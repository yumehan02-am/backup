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加納商店\"/>
    </mc:Choice>
  </mc:AlternateContent>
  <xr:revisionPtr revIDLastSave="0" documentId="13_ncr:1_{74EA0931-330E-4B8F-A1D8-DDA86B79920E}" xr6:coauthVersionLast="47" xr6:coauthVersionMax="47" xr10:uidLastSave="{00000000-0000-0000-0000-000000000000}"/>
  <bookViews>
    <workbookView xWindow="-120" yWindow="-120" windowWidth="29040" windowHeight="15720" tabRatio="686" xr2:uid="{00000000-000D-0000-FFFF-FFFF00000000}"/>
  </bookViews>
  <sheets>
    <sheet name="ソフトブラオリジナル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98" i="1" l="1"/>
  <c r="I2198" i="1"/>
  <c r="J2198" i="1"/>
  <c r="E2199" i="1"/>
  <c r="J2199" i="1" s="1"/>
  <c r="I2199" i="1"/>
  <c r="E2200" i="1"/>
  <c r="I2200" i="1"/>
  <c r="J2200" i="1"/>
  <c r="E2201" i="1"/>
  <c r="J2201" i="1" s="1"/>
  <c r="I2201" i="1"/>
  <c r="E2202" i="1"/>
  <c r="I2202" i="1"/>
  <c r="J2202" i="1"/>
  <c r="E2207" i="1"/>
  <c r="J2207" i="1" s="1"/>
  <c r="I2207" i="1"/>
  <c r="E2208" i="1"/>
  <c r="I2208" i="1"/>
  <c r="J2208" i="1"/>
  <c r="E2209" i="1"/>
  <c r="I2209" i="1"/>
  <c r="E2210" i="1"/>
  <c r="I2210" i="1"/>
  <c r="J2210" i="1"/>
  <c r="E2211" i="1"/>
  <c r="J2211" i="1" s="1"/>
  <c r="I2211" i="1"/>
  <c r="E2212" i="1"/>
  <c r="I2212" i="1"/>
  <c r="J2212" i="1"/>
  <c r="E2213" i="1"/>
  <c r="J2213" i="1" s="1"/>
  <c r="I2213" i="1"/>
  <c r="E2214" i="1"/>
  <c r="I2214" i="1"/>
  <c r="J2214" i="1"/>
  <c r="E2215" i="1"/>
  <c r="J2215" i="1" s="1"/>
  <c r="I2215" i="1"/>
  <c r="E2216" i="1"/>
  <c r="I2216" i="1"/>
  <c r="J2216" i="1"/>
  <c r="E2217" i="1"/>
  <c r="J2217" i="1" s="1"/>
  <c r="I2217" i="1"/>
  <c r="E2218" i="1"/>
  <c r="I2218" i="1"/>
  <c r="J2218" i="1"/>
  <c r="E2219" i="1"/>
  <c r="J2219" i="1" s="1"/>
  <c r="I2219" i="1"/>
  <c r="E2220" i="1"/>
  <c r="I2220" i="1"/>
  <c r="J2220" i="1"/>
  <c r="E2221" i="1"/>
  <c r="J2221" i="1" s="1"/>
  <c r="I2221" i="1"/>
  <c r="E2222" i="1"/>
  <c r="I2222" i="1"/>
  <c r="J2222" i="1"/>
  <c r="H2233" i="1"/>
  <c r="G2233" i="1"/>
  <c r="F2233" i="1"/>
  <c r="D2233" i="1"/>
  <c r="C2233" i="1"/>
  <c r="I2232" i="1"/>
  <c r="J2232" i="1" s="1"/>
  <c r="E2232" i="1"/>
  <c r="I2231" i="1"/>
  <c r="E2231" i="1"/>
  <c r="J2231" i="1" s="1"/>
  <c r="I2230" i="1"/>
  <c r="J2230" i="1" s="1"/>
  <c r="E2230" i="1"/>
  <c r="I2229" i="1"/>
  <c r="E2229" i="1"/>
  <c r="J2229" i="1" s="1"/>
  <c r="I2228" i="1"/>
  <c r="J2228" i="1" s="1"/>
  <c r="E2228" i="1"/>
  <c r="I2227" i="1"/>
  <c r="E2227" i="1"/>
  <c r="J2227" i="1" s="1"/>
  <c r="I2226" i="1"/>
  <c r="J2226" i="1" s="1"/>
  <c r="E2226" i="1"/>
  <c r="I2225" i="1"/>
  <c r="E2225" i="1"/>
  <c r="J2225" i="1" s="1"/>
  <c r="I2224" i="1"/>
  <c r="J2224" i="1" s="1"/>
  <c r="E2224" i="1"/>
  <c r="I2223" i="1"/>
  <c r="E2223" i="1"/>
  <c r="J2223" i="1" s="1"/>
  <c r="B2233" i="1"/>
  <c r="E2233" i="1"/>
  <c r="F2206" i="1"/>
  <c r="D2206" i="1"/>
  <c r="D2234" i="1" s="1"/>
  <c r="I2205" i="1"/>
  <c r="E2205" i="1"/>
  <c r="J2205" i="1" s="1"/>
  <c r="J2204" i="1"/>
  <c r="I2204" i="1"/>
  <c r="E2204" i="1"/>
  <c r="I2203" i="1"/>
  <c r="E2203" i="1"/>
  <c r="J2203" i="1" s="1"/>
  <c r="H2197" i="1"/>
  <c r="H2206" i="1" s="1"/>
  <c r="H2234" i="1" s="1"/>
  <c r="G2197" i="1"/>
  <c r="G2206" i="1" s="1"/>
  <c r="G2234" i="1" s="1"/>
  <c r="F2197" i="1"/>
  <c r="D2197" i="1"/>
  <c r="C2197" i="1"/>
  <c r="C2206" i="1" s="1"/>
  <c r="B2197" i="1"/>
  <c r="B2206" i="1" s="1"/>
  <c r="G2190" i="1"/>
  <c r="J2209" i="1" l="1"/>
  <c r="I2233" i="1"/>
  <c r="J2233" i="1" s="1"/>
  <c r="F2234" i="1"/>
  <c r="C2234" i="1"/>
  <c r="B2234" i="1"/>
  <c r="I2197" i="1"/>
  <c r="I2206" i="1" s="1"/>
  <c r="E2197" i="1"/>
  <c r="T2155" i="1"/>
  <c r="P2155" i="1"/>
  <c r="I2234" i="1" l="1"/>
  <c r="E2206" i="1"/>
  <c r="E2234" i="1" s="1"/>
  <c r="J2197" i="1"/>
  <c r="J2206" i="1" s="1"/>
  <c r="J2234" i="1" s="1"/>
  <c r="U2155" i="1"/>
  <c r="B2168" i="1" l="1"/>
  <c r="T2136" i="1" l="1"/>
  <c r="P2136" i="1"/>
  <c r="AD2190" i="1"/>
  <c r="AC2190" i="1"/>
  <c r="AB2190" i="1"/>
  <c r="Z2190" i="1"/>
  <c r="Y2190" i="1"/>
  <c r="X2190" i="1"/>
  <c r="S2190" i="1"/>
  <c r="R2190" i="1"/>
  <c r="Q2190" i="1"/>
  <c r="O2190" i="1"/>
  <c r="N2190" i="1"/>
  <c r="M2190" i="1"/>
  <c r="H2190" i="1"/>
  <c r="F2190" i="1"/>
  <c r="D2190" i="1"/>
  <c r="C2190" i="1"/>
  <c r="B2190" i="1"/>
  <c r="AE2189" i="1"/>
  <c r="AA2189" i="1"/>
  <c r="T2189" i="1"/>
  <c r="P2189" i="1"/>
  <c r="I2189" i="1"/>
  <c r="E2189" i="1"/>
  <c r="AE2188" i="1"/>
  <c r="AA2188" i="1"/>
  <c r="T2188" i="1"/>
  <c r="P2188" i="1"/>
  <c r="I2188" i="1"/>
  <c r="E2188" i="1"/>
  <c r="AE2187" i="1"/>
  <c r="AA2187" i="1"/>
  <c r="T2187" i="1"/>
  <c r="P2187" i="1"/>
  <c r="I2187" i="1"/>
  <c r="E2187" i="1"/>
  <c r="AE2186" i="1"/>
  <c r="AA2186" i="1"/>
  <c r="T2186" i="1"/>
  <c r="P2186" i="1"/>
  <c r="I2186" i="1"/>
  <c r="E2186" i="1"/>
  <c r="AE2185" i="1"/>
  <c r="AA2185" i="1"/>
  <c r="T2185" i="1"/>
  <c r="P2185" i="1"/>
  <c r="I2185" i="1"/>
  <c r="E2185" i="1"/>
  <c r="AE2184" i="1"/>
  <c r="AA2184" i="1"/>
  <c r="T2184" i="1"/>
  <c r="P2184" i="1"/>
  <c r="I2184" i="1"/>
  <c r="E2184" i="1"/>
  <c r="AE2183" i="1"/>
  <c r="AA2183" i="1"/>
  <c r="T2183" i="1"/>
  <c r="P2183" i="1"/>
  <c r="I2183" i="1"/>
  <c r="E2183" i="1"/>
  <c r="AE2182" i="1"/>
  <c r="AA2182" i="1"/>
  <c r="T2182" i="1"/>
  <c r="P2182" i="1"/>
  <c r="I2182" i="1"/>
  <c r="E2182" i="1"/>
  <c r="AE2181" i="1"/>
  <c r="AA2181" i="1"/>
  <c r="T2181" i="1"/>
  <c r="P2181" i="1"/>
  <c r="I2181" i="1"/>
  <c r="E2181" i="1"/>
  <c r="AE2180" i="1"/>
  <c r="AA2180" i="1"/>
  <c r="T2180" i="1"/>
  <c r="P2180" i="1"/>
  <c r="I2180" i="1"/>
  <c r="E2180" i="1"/>
  <c r="AE2179" i="1"/>
  <c r="AA2179" i="1"/>
  <c r="T2179" i="1"/>
  <c r="P2179" i="1"/>
  <c r="I2179" i="1"/>
  <c r="E2179" i="1"/>
  <c r="AE2178" i="1"/>
  <c r="AA2178" i="1"/>
  <c r="T2178" i="1"/>
  <c r="P2178" i="1"/>
  <c r="I2178" i="1"/>
  <c r="E2178" i="1"/>
  <c r="AE2177" i="1"/>
  <c r="AA2177" i="1"/>
  <c r="T2177" i="1"/>
  <c r="P2177" i="1"/>
  <c r="I2177" i="1"/>
  <c r="E2177" i="1"/>
  <c r="AE2176" i="1"/>
  <c r="AA2176" i="1"/>
  <c r="T2176" i="1"/>
  <c r="P2176" i="1"/>
  <c r="I2176" i="1"/>
  <c r="E2176" i="1"/>
  <c r="AE2175" i="1"/>
  <c r="AA2175" i="1"/>
  <c r="T2175" i="1"/>
  <c r="P2175" i="1"/>
  <c r="E2175" i="1"/>
  <c r="AE2174" i="1"/>
  <c r="AA2174" i="1"/>
  <c r="T2174" i="1"/>
  <c r="P2174" i="1"/>
  <c r="I2174" i="1"/>
  <c r="E2174" i="1"/>
  <c r="AE2173" i="1"/>
  <c r="AA2173" i="1"/>
  <c r="T2173" i="1"/>
  <c r="P2173" i="1"/>
  <c r="I2173" i="1"/>
  <c r="E2173" i="1"/>
  <c r="AE2172" i="1"/>
  <c r="AA2172" i="1"/>
  <c r="T2172" i="1"/>
  <c r="P2172" i="1"/>
  <c r="I2172" i="1"/>
  <c r="E2172" i="1"/>
  <c r="AE2171" i="1"/>
  <c r="AA2171" i="1"/>
  <c r="T2171" i="1"/>
  <c r="P2171" i="1"/>
  <c r="I2171" i="1"/>
  <c r="E2171" i="1"/>
  <c r="AE2170" i="1"/>
  <c r="AA2170" i="1"/>
  <c r="T2170" i="1"/>
  <c r="P2170" i="1"/>
  <c r="I2170" i="1"/>
  <c r="E2170" i="1"/>
  <c r="AE2169" i="1"/>
  <c r="AA2169" i="1"/>
  <c r="T2169" i="1"/>
  <c r="P2169" i="1"/>
  <c r="I2169" i="1"/>
  <c r="E2169" i="1"/>
  <c r="AE2168" i="1"/>
  <c r="AA2168" i="1"/>
  <c r="T2168" i="1"/>
  <c r="P2168" i="1"/>
  <c r="I2168" i="1"/>
  <c r="E2168" i="1"/>
  <c r="AE2167" i="1"/>
  <c r="AA2167" i="1"/>
  <c r="T2167" i="1"/>
  <c r="P2167" i="1"/>
  <c r="I2167" i="1"/>
  <c r="E2167" i="1"/>
  <c r="AE2166" i="1"/>
  <c r="AA2166" i="1"/>
  <c r="T2166" i="1"/>
  <c r="P2166" i="1"/>
  <c r="I2166" i="1"/>
  <c r="E2166" i="1"/>
  <c r="AE2165" i="1"/>
  <c r="AA2165" i="1"/>
  <c r="T2165" i="1"/>
  <c r="P2165" i="1"/>
  <c r="I2165" i="1"/>
  <c r="E2165" i="1"/>
  <c r="AE2164" i="1"/>
  <c r="AA2164" i="1"/>
  <c r="T2164" i="1"/>
  <c r="P2164" i="1"/>
  <c r="I2164" i="1"/>
  <c r="E2164" i="1"/>
  <c r="AE2162" i="1"/>
  <c r="AA2162" i="1"/>
  <c r="T2162" i="1"/>
  <c r="P2162" i="1"/>
  <c r="I2162" i="1"/>
  <c r="E2162" i="1"/>
  <c r="AE2161" i="1"/>
  <c r="AA2161" i="1"/>
  <c r="T2161" i="1"/>
  <c r="P2161" i="1"/>
  <c r="I2161" i="1"/>
  <c r="E2161" i="1"/>
  <c r="AE2160" i="1"/>
  <c r="AA2160" i="1"/>
  <c r="T2160" i="1"/>
  <c r="P2160" i="1"/>
  <c r="I2160" i="1"/>
  <c r="E2160" i="1"/>
  <c r="AE2159" i="1"/>
  <c r="AA2159" i="1"/>
  <c r="T2159" i="1"/>
  <c r="P2159" i="1"/>
  <c r="I2159" i="1"/>
  <c r="E2159" i="1"/>
  <c r="AE2158" i="1"/>
  <c r="AA2158" i="1"/>
  <c r="T2158" i="1"/>
  <c r="P2158" i="1"/>
  <c r="I2158" i="1"/>
  <c r="E2158" i="1"/>
  <c r="AE2157" i="1"/>
  <c r="AA2157" i="1"/>
  <c r="T2157" i="1"/>
  <c r="P2157" i="1"/>
  <c r="I2157" i="1"/>
  <c r="E2157" i="1"/>
  <c r="AE2156" i="1"/>
  <c r="AA2156" i="1"/>
  <c r="T2156" i="1"/>
  <c r="P2156" i="1"/>
  <c r="I2156" i="1"/>
  <c r="E2156" i="1"/>
  <c r="AE2155" i="1"/>
  <c r="AA2155" i="1"/>
  <c r="I2155" i="1"/>
  <c r="E2155" i="1"/>
  <c r="AF2156" i="1" l="1"/>
  <c r="AF2158" i="1"/>
  <c r="AF2160" i="1"/>
  <c r="AF2162" i="1"/>
  <c r="AF2165" i="1"/>
  <c r="AF2167" i="1"/>
  <c r="AF2169" i="1"/>
  <c r="AF2171" i="1"/>
  <c r="AF2173" i="1"/>
  <c r="AF2175" i="1"/>
  <c r="AF2177" i="1"/>
  <c r="AF2179" i="1"/>
  <c r="AF2181" i="1"/>
  <c r="AF2185" i="1"/>
  <c r="AF2157" i="1"/>
  <c r="AF2161" i="1"/>
  <c r="AF2166" i="1"/>
  <c r="AF2170" i="1"/>
  <c r="AF2174" i="1"/>
  <c r="AF2178" i="1"/>
  <c r="AF2182" i="1"/>
  <c r="AF2186" i="1"/>
  <c r="AF2183" i="1"/>
  <c r="AF2187" i="1"/>
  <c r="AE2190" i="1"/>
  <c r="AF2155" i="1"/>
  <c r="AF2159" i="1"/>
  <c r="AF2168" i="1"/>
  <c r="AF2172" i="1"/>
  <c r="AF2176" i="1"/>
  <c r="AF2180" i="1"/>
  <c r="AF2184" i="1"/>
  <c r="AF2188" i="1"/>
  <c r="E2190" i="1"/>
  <c r="P2190" i="1"/>
  <c r="AF2189" i="1"/>
  <c r="U2136" i="1"/>
  <c r="T2190" i="1"/>
  <c r="J2156" i="1"/>
  <c r="J2157" i="1"/>
  <c r="J2158" i="1"/>
  <c r="J2159" i="1"/>
  <c r="J2160" i="1"/>
  <c r="J2161" i="1"/>
  <c r="J2162" i="1"/>
  <c r="J2168" i="1"/>
  <c r="J2170" i="1"/>
  <c r="J2171" i="1"/>
  <c r="J2172" i="1"/>
  <c r="J2173" i="1"/>
  <c r="J2174" i="1"/>
  <c r="J2176" i="1"/>
  <c r="J2177" i="1"/>
  <c r="J2178" i="1"/>
  <c r="J2179" i="1"/>
  <c r="J2180" i="1"/>
  <c r="J2181" i="1"/>
  <c r="J2182" i="1"/>
  <c r="J2183" i="1"/>
  <c r="J2184" i="1"/>
  <c r="J2185" i="1"/>
  <c r="J2187" i="1"/>
  <c r="J2188" i="1"/>
  <c r="J2189" i="1"/>
  <c r="AA2190" i="1"/>
  <c r="U2156" i="1"/>
  <c r="U2157" i="1"/>
  <c r="U2158" i="1"/>
  <c r="U2159" i="1"/>
  <c r="U2160" i="1"/>
  <c r="U2161" i="1"/>
  <c r="U2162" i="1"/>
  <c r="U2181" i="1"/>
  <c r="U2182" i="1"/>
  <c r="U2183" i="1"/>
  <c r="U2184" i="1"/>
  <c r="U2185" i="1"/>
  <c r="U2186" i="1"/>
  <c r="U2187" i="1"/>
  <c r="U2188" i="1"/>
  <c r="U2189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J2155" i="1"/>
  <c r="J2165" i="1"/>
  <c r="J2166" i="1"/>
  <c r="J2167" i="1"/>
  <c r="J2169" i="1"/>
  <c r="J2186" i="1"/>
  <c r="U2164" i="1"/>
  <c r="I2175" i="1"/>
  <c r="I2190" i="1" s="1"/>
  <c r="J2164" i="1"/>
  <c r="AF2164" i="1"/>
  <c r="P2070" i="1"/>
  <c r="T2070" i="1"/>
  <c r="P2071" i="1"/>
  <c r="T2071" i="1"/>
  <c r="U2190" i="1" l="1"/>
  <c r="AF2190" i="1"/>
  <c r="J2190" i="1"/>
  <c r="U2070" i="1"/>
  <c r="U2071" i="1"/>
  <c r="J2175" i="1"/>
  <c r="G2132" i="1" l="1"/>
  <c r="T2125" i="1" l="1"/>
  <c r="P2125" i="1"/>
  <c r="U2125" i="1" l="1"/>
  <c r="I2122" i="1" l="1"/>
  <c r="E2122" i="1"/>
  <c r="I2121" i="1"/>
  <c r="E2121" i="1"/>
  <c r="J2121" i="1" l="1"/>
  <c r="J2122" i="1"/>
  <c r="I2087" i="1" l="1"/>
  <c r="E2087" i="1"/>
  <c r="J2087" i="1" l="1"/>
  <c r="T2069" i="1" l="1"/>
  <c r="P2069" i="1"/>
  <c r="U2069" i="1" l="1"/>
  <c r="AD2147" i="1"/>
  <c r="AC2147" i="1"/>
  <c r="AB2147" i="1"/>
  <c r="Z2147" i="1"/>
  <c r="Y2147" i="1"/>
  <c r="X2147" i="1"/>
  <c r="S2147" i="1"/>
  <c r="R2147" i="1"/>
  <c r="Q2147" i="1"/>
  <c r="O2147" i="1"/>
  <c r="N2147" i="1"/>
  <c r="M2147" i="1"/>
  <c r="H2147" i="1"/>
  <c r="G2147" i="1"/>
  <c r="F2147" i="1"/>
  <c r="D2147" i="1"/>
  <c r="C2147" i="1"/>
  <c r="B2147" i="1"/>
  <c r="AE2146" i="1"/>
  <c r="AA2146" i="1"/>
  <c r="T2146" i="1"/>
  <c r="P2146" i="1"/>
  <c r="I2146" i="1"/>
  <c r="E2146" i="1"/>
  <c r="AE2145" i="1"/>
  <c r="AA2145" i="1"/>
  <c r="T2145" i="1"/>
  <c r="P2145" i="1"/>
  <c r="I2145" i="1"/>
  <c r="E2145" i="1"/>
  <c r="AE2144" i="1"/>
  <c r="AA2144" i="1"/>
  <c r="T2144" i="1"/>
  <c r="P2144" i="1"/>
  <c r="I2144" i="1"/>
  <c r="E2144" i="1"/>
  <c r="AE2143" i="1"/>
  <c r="AA2143" i="1"/>
  <c r="T2143" i="1"/>
  <c r="P2143" i="1"/>
  <c r="I2143" i="1"/>
  <c r="E2143" i="1"/>
  <c r="AE2142" i="1"/>
  <c r="AA2142" i="1"/>
  <c r="T2142" i="1"/>
  <c r="P2142" i="1"/>
  <c r="I2142" i="1"/>
  <c r="E2142" i="1"/>
  <c r="AE2141" i="1"/>
  <c r="AA2141" i="1"/>
  <c r="T2141" i="1"/>
  <c r="P2141" i="1"/>
  <c r="I2141" i="1"/>
  <c r="E2141" i="1"/>
  <c r="AE2140" i="1"/>
  <c r="AA2140" i="1"/>
  <c r="T2140" i="1"/>
  <c r="P2140" i="1"/>
  <c r="I2140" i="1"/>
  <c r="E2140" i="1"/>
  <c r="AE2139" i="1"/>
  <c r="AA2139" i="1"/>
  <c r="T2139" i="1"/>
  <c r="P2139" i="1"/>
  <c r="I2139" i="1"/>
  <c r="E2139" i="1"/>
  <c r="AE2138" i="1"/>
  <c r="AA2138" i="1"/>
  <c r="T2138" i="1"/>
  <c r="P2138" i="1"/>
  <c r="I2138" i="1"/>
  <c r="E2138" i="1"/>
  <c r="AE2137" i="1"/>
  <c r="AA2137" i="1"/>
  <c r="T2137" i="1"/>
  <c r="P2137" i="1"/>
  <c r="I2137" i="1"/>
  <c r="E2137" i="1"/>
  <c r="AE2136" i="1"/>
  <c r="AA2136" i="1"/>
  <c r="I2136" i="1"/>
  <c r="E2136" i="1"/>
  <c r="AE2135" i="1"/>
  <c r="AA2135" i="1"/>
  <c r="T2135" i="1"/>
  <c r="P2135" i="1"/>
  <c r="I2135" i="1"/>
  <c r="E2135" i="1"/>
  <c r="AE2134" i="1"/>
  <c r="AA2134" i="1"/>
  <c r="T2134" i="1"/>
  <c r="P2134" i="1"/>
  <c r="I2134" i="1"/>
  <c r="E2134" i="1"/>
  <c r="AE2133" i="1"/>
  <c r="AA2133" i="1"/>
  <c r="T2133" i="1"/>
  <c r="P2133" i="1"/>
  <c r="I2133" i="1"/>
  <c r="E2133" i="1"/>
  <c r="AE2132" i="1"/>
  <c r="AA2132" i="1"/>
  <c r="T2132" i="1"/>
  <c r="P2132" i="1"/>
  <c r="I2132" i="1"/>
  <c r="E2132" i="1"/>
  <c r="AE2131" i="1"/>
  <c r="AA2131" i="1"/>
  <c r="T2131" i="1"/>
  <c r="P2131" i="1"/>
  <c r="I2131" i="1"/>
  <c r="E2131" i="1"/>
  <c r="AE2130" i="1"/>
  <c r="AA2130" i="1"/>
  <c r="T2130" i="1"/>
  <c r="P2130" i="1"/>
  <c r="I2130" i="1"/>
  <c r="E2130" i="1"/>
  <c r="AE2129" i="1"/>
  <c r="AA2129" i="1"/>
  <c r="T2129" i="1"/>
  <c r="P2129" i="1"/>
  <c r="I2129" i="1"/>
  <c r="E2129" i="1"/>
  <c r="AE2128" i="1"/>
  <c r="AA2128" i="1"/>
  <c r="T2128" i="1"/>
  <c r="P2128" i="1"/>
  <c r="I2128" i="1"/>
  <c r="E2128" i="1"/>
  <c r="AE2127" i="1"/>
  <c r="AA2127" i="1"/>
  <c r="T2127" i="1"/>
  <c r="P2127" i="1"/>
  <c r="I2127" i="1"/>
  <c r="E2127" i="1"/>
  <c r="AE2126" i="1"/>
  <c r="AA2126" i="1"/>
  <c r="T2126" i="1"/>
  <c r="P2126" i="1"/>
  <c r="I2126" i="1"/>
  <c r="E2126" i="1"/>
  <c r="AE2125" i="1"/>
  <c r="AA2125" i="1"/>
  <c r="I2125" i="1"/>
  <c r="E2125" i="1"/>
  <c r="AE2124" i="1"/>
  <c r="AA2124" i="1"/>
  <c r="T2124" i="1"/>
  <c r="P2124" i="1"/>
  <c r="I2124" i="1"/>
  <c r="E2124" i="1"/>
  <c r="AE2123" i="1"/>
  <c r="AA2123" i="1"/>
  <c r="T2123" i="1"/>
  <c r="P2123" i="1"/>
  <c r="I2123" i="1"/>
  <c r="E2123" i="1"/>
  <c r="AE2122" i="1"/>
  <c r="AA2122" i="1"/>
  <c r="T2122" i="1"/>
  <c r="P2122" i="1"/>
  <c r="AE2121" i="1"/>
  <c r="AA2121" i="1"/>
  <c r="T2121" i="1"/>
  <c r="P2121" i="1"/>
  <c r="AE2119" i="1"/>
  <c r="AA2119" i="1"/>
  <c r="T2119" i="1"/>
  <c r="P2119" i="1"/>
  <c r="I2119" i="1"/>
  <c r="E2119" i="1"/>
  <c r="AE2118" i="1"/>
  <c r="AA2118" i="1"/>
  <c r="T2118" i="1"/>
  <c r="P2118" i="1"/>
  <c r="I2118" i="1"/>
  <c r="E2118" i="1"/>
  <c r="AE2117" i="1"/>
  <c r="AA2117" i="1"/>
  <c r="T2117" i="1"/>
  <c r="P2117" i="1"/>
  <c r="I2117" i="1"/>
  <c r="E2117" i="1"/>
  <c r="AE2116" i="1"/>
  <c r="AA2116" i="1"/>
  <c r="T2116" i="1"/>
  <c r="P2116" i="1"/>
  <c r="I2116" i="1"/>
  <c r="E2116" i="1"/>
  <c r="AE2115" i="1"/>
  <c r="AA2115" i="1"/>
  <c r="T2115" i="1"/>
  <c r="P2115" i="1"/>
  <c r="I2115" i="1"/>
  <c r="E2115" i="1"/>
  <c r="AE2114" i="1"/>
  <c r="AA2114" i="1"/>
  <c r="T2114" i="1"/>
  <c r="P2114" i="1"/>
  <c r="I2114" i="1"/>
  <c r="E2114" i="1"/>
  <c r="AE2113" i="1"/>
  <c r="AA2113" i="1"/>
  <c r="T2113" i="1"/>
  <c r="P2113" i="1"/>
  <c r="I2113" i="1"/>
  <c r="E2113" i="1"/>
  <c r="AE2112" i="1"/>
  <c r="AA2112" i="1"/>
  <c r="T2112" i="1"/>
  <c r="P2112" i="1"/>
  <c r="I2112" i="1"/>
  <c r="E2112" i="1"/>
  <c r="AA2147" i="1" l="1"/>
  <c r="T2147" i="1"/>
  <c r="AE2147" i="1"/>
  <c r="I2147" i="1"/>
  <c r="E2147" i="1"/>
  <c r="AF2112" i="1"/>
  <c r="AF2113" i="1"/>
  <c r="AF2114" i="1"/>
  <c r="AF2115" i="1"/>
  <c r="AF2116" i="1"/>
  <c r="AF2117" i="1"/>
  <c r="AF2118" i="1"/>
  <c r="AF2119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J2112" i="1"/>
  <c r="J2113" i="1"/>
  <c r="J2114" i="1"/>
  <c r="J2115" i="1"/>
  <c r="J2116" i="1"/>
  <c r="J2117" i="1"/>
  <c r="J2118" i="1"/>
  <c r="J2119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U2112" i="1"/>
  <c r="U2113" i="1"/>
  <c r="U2114" i="1"/>
  <c r="U2115" i="1"/>
  <c r="U2116" i="1"/>
  <c r="U2117" i="1"/>
  <c r="U2118" i="1"/>
  <c r="U2119" i="1"/>
  <c r="U2121" i="1"/>
  <c r="U2122" i="1"/>
  <c r="U2123" i="1"/>
  <c r="U2124" i="1"/>
  <c r="U2126" i="1"/>
  <c r="U2127" i="1"/>
  <c r="U2128" i="1"/>
  <c r="U2129" i="1"/>
  <c r="U2130" i="1"/>
  <c r="U2131" i="1"/>
  <c r="U2132" i="1"/>
  <c r="U2133" i="1"/>
  <c r="U2134" i="1"/>
  <c r="U2135" i="1"/>
  <c r="U2137" i="1"/>
  <c r="U2138" i="1"/>
  <c r="U2139" i="1"/>
  <c r="U2140" i="1"/>
  <c r="U2141" i="1"/>
  <c r="U2142" i="1"/>
  <c r="U2143" i="1"/>
  <c r="U2144" i="1"/>
  <c r="U2145" i="1"/>
  <c r="U2146" i="1"/>
  <c r="AF2121" i="1"/>
  <c r="P2147" i="1"/>
  <c r="T2078" i="1"/>
  <c r="P2078" i="1"/>
  <c r="U2147" i="1" l="1"/>
  <c r="AF2147" i="1"/>
  <c r="J2147" i="1"/>
  <c r="U2078" i="1"/>
  <c r="T2045" i="1"/>
  <c r="P2045" i="1"/>
  <c r="U2045" i="1" l="1"/>
  <c r="T2043" i="1"/>
  <c r="P2043" i="1"/>
  <c r="U2043" i="1" l="1"/>
  <c r="X572" i="1" l="1"/>
  <c r="X599" i="1"/>
  <c r="X642" i="1"/>
  <c r="X685" i="1"/>
  <c r="X728" i="1"/>
  <c r="X771" i="1"/>
  <c r="X814" i="1"/>
  <c r="X857" i="1"/>
  <c r="X900" i="1"/>
  <c r="X943" i="1"/>
  <c r="X986" i="1"/>
  <c r="X1029" i="1"/>
  <c r="X1072" i="1"/>
  <c r="X1115" i="1"/>
  <c r="X1158" i="1"/>
  <c r="X1201" i="1"/>
  <c r="X1244" i="1"/>
  <c r="X1287" i="1"/>
  <c r="X1330" i="1"/>
  <c r="X1373" i="1"/>
  <c r="X1416" i="1"/>
  <c r="X1459" i="1"/>
  <c r="X1502" i="1"/>
  <c r="X1545" i="1"/>
  <c r="X1588" i="1"/>
  <c r="X1631" i="1"/>
  <c r="X1674" i="1"/>
  <c r="X1717" i="1"/>
  <c r="X1760" i="1"/>
  <c r="X1803" i="1"/>
  <c r="X1846" i="1"/>
  <c r="X1889" i="1"/>
  <c r="X1932" i="1"/>
  <c r="X1975" i="1"/>
  <c r="X2018" i="1"/>
  <c r="X2061" i="1"/>
  <c r="Y572" i="1"/>
  <c r="Y599" i="1"/>
  <c r="Y642" i="1"/>
  <c r="Y685" i="1"/>
  <c r="Y728" i="1"/>
  <c r="Y771" i="1"/>
  <c r="Y814" i="1"/>
  <c r="Y857" i="1"/>
  <c r="Y900" i="1"/>
  <c r="Y943" i="1"/>
  <c r="Y986" i="1"/>
  <c r="Y1029" i="1"/>
  <c r="Y1072" i="1"/>
  <c r="Y1115" i="1"/>
  <c r="Y1158" i="1"/>
  <c r="Y1201" i="1"/>
  <c r="Y1244" i="1"/>
  <c r="Y1287" i="1"/>
  <c r="Y1330" i="1"/>
  <c r="Y1373" i="1"/>
  <c r="Y1416" i="1"/>
  <c r="Y1459" i="1"/>
  <c r="Y1502" i="1"/>
  <c r="Y1545" i="1"/>
  <c r="Y1588" i="1"/>
  <c r="Y1631" i="1"/>
  <c r="Y1674" i="1"/>
  <c r="Y1717" i="1"/>
  <c r="Y1760" i="1"/>
  <c r="Y1803" i="1"/>
  <c r="Y1846" i="1"/>
  <c r="Y1889" i="1"/>
  <c r="Y1932" i="1"/>
  <c r="Y1975" i="1"/>
  <c r="Y2018" i="1"/>
  <c r="Y2061" i="1"/>
  <c r="Z572" i="1"/>
  <c r="Z599" i="1"/>
  <c r="Z642" i="1"/>
  <c r="Z685" i="1"/>
  <c r="Z728" i="1"/>
  <c r="Z771" i="1"/>
  <c r="Z814" i="1"/>
  <c r="Z857" i="1"/>
  <c r="Z900" i="1"/>
  <c r="Z943" i="1"/>
  <c r="Z986" i="1"/>
  <c r="Z1029" i="1"/>
  <c r="Z1072" i="1"/>
  <c r="Z1115" i="1"/>
  <c r="Z1158" i="1"/>
  <c r="Z1201" i="1"/>
  <c r="Z1244" i="1"/>
  <c r="Z1287" i="1"/>
  <c r="Z1330" i="1"/>
  <c r="Z1373" i="1"/>
  <c r="Z1416" i="1"/>
  <c r="Z1459" i="1"/>
  <c r="Z1502" i="1"/>
  <c r="Z1545" i="1"/>
  <c r="Z1588" i="1"/>
  <c r="Z1631" i="1"/>
  <c r="Z1674" i="1"/>
  <c r="Z1717" i="1"/>
  <c r="Z1760" i="1"/>
  <c r="Z1803" i="1"/>
  <c r="Z1846" i="1"/>
  <c r="Z1889" i="1"/>
  <c r="Z1932" i="1"/>
  <c r="Z1975" i="1"/>
  <c r="Z2018" i="1"/>
  <c r="Z2061" i="1"/>
  <c r="AB572" i="1"/>
  <c r="AB599" i="1"/>
  <c r="AB642" i="1"/>
  <c r="AB685" i="1"/>
  <c r="AB728" i="1"/>
  <c r="AB771" i="1"/>
  <c r="AB814" i="1"/>
  <c r="AB857" i="1"/>
  <c r="AB900" i="1"/>
  <c r="AB943" i="1"/>
  <c r="AB986" i="1"/>
  <c r="AB1029" i="1"/>
  <c r="AB1072" i="1"/>
  <c r="AB1115" i="1"/>
  <c r="AB1158" i="1"/>
  <c r="AB1201" i="1"/>
  <c r="AB1244" i="1"/>
  <c r="AB1287" i="1"/>
  <c r="AB1330" i="1"/>
  <c r="AB1373" i="1"/>
  <c r="AB1416" i="1"/>
  <c r="AB1459" i="1"/>
  <c r="AB1502" i="1"/>
  <c r="AB1545" i="1"/>
  <c r="AB1588" i="1"/>
  <c r="AB1631" i="1"/>
  <c r="AB1674" i="1"/>
  <c r="AB1717" i="1"/>
  <c r="AB1760" i="1"/>
  <c r="AB1803" i="1"/>
  <c r="AB1846" i="1"/>
  <c r="AB1889" i="1"/>
  <c r="AB1932" i="1"/>
  <c r="AB1975" i="1"/>
  <c r="AB2018" i="1"/>
  <c r="AB2061" i="1"/>
  <c r="AC572" i="1"/>
  <c r="AC599" i="1"/>
  <c r="AC642" i="1"/>
  <c r="AC685" i="1"/>
  <c r="AC728" i="1"/>
  <c r="AC771" i="1"/>
  <c r="AC814" i="1"/>
  <c r="AC857" i="1"/>
  <c r="AC900" i="1"/>
  <c r="AC943" i="1"/>
  <c r="AC986" i="1"/>
  <c r="AC1029" i="1"/>
  <c r="AC1072" i="1"/>
  <c r="AC1115" i="1"/>
  <c r="AC1158" i="1"/>
  <c r="AC1201" i="1"/>
  <c r="AC1244" i="1"/>
  <c r="AC1287" i="1"/>
  <c r="AC1330" i="1"/>
  <c r="AC1373" i="1"/>
  <c r="AC1416" i="1"/>
  <c r="AC1459" i="1"/>
  <c r="AC1502" i="1"/>
  <c r="AC1545" i="1"/>
  <c r="AC1588" i="1"/>
  <c r="AC1631" i="1"/>
  <c r="AC1674" i="1"/>
  <c r="AC1717" i="1"/>
  <c r="AC1760" i="1"/>
  <c r="AC1803" i="1"/>
  <c r="AC1846" i="1"/>
  <c r="AC1889" i="1"/>
  <c r="AC1932" i="1"/>
  <c r="AC1975" i="1"/>
  <c r="AC2018" i="1"/>
  <c r="AC2061" i="1"/>
  <c r="AD572" i="1"/>
  <c r="AD599" i="1"/>
  <c r="AD642" i="1"/>
  <c r="AD685" i="1"/>
  <c r="AD728" i="1"/>
  <c r="AD771" i="1"/>
  <c r="AD814" i="1"/>
  <c r="AD857" i="1"/>
  <c r="AD900" i="1"/>
  <c r="AD943" i="1"/>
  <c r="AD986" i="1"/>
  <c r="AD1029" i="1"/>
  <c r="AD1072" i="1"/>
  <c r="AD1115" i="1"/>
  <c r="AD1158" i="1"/>
  <c r="AD1201" i="1"/>
  <c r="AD1244" i="1"/>
  <c r="AD1287" i="1"/>
  <c r="AD1330" i="1"/>
  <c r="AD1373" i="1"/>
  <c r="AD1416" i="1"/>
  <c r="AD1459" i="1"/>
  <c r="AD1502" i="1"/>
  <c r="AD1545" i="1"/>
  <c r="AD1588" i="1"/>
  <c r="AD1631" i="1"/>
  <c r="AD1674" i="1"/>
  <c r="AD1717" i="1"/>
  <c r="AD1760" i="1"/>
  <c r="AD1803" i="1"/>
  <c r="AD1846" i="1"/>
  <c r="AD1889" i="1"/>
  <c r="AD1932" i="1"/>
  <c r="AD1975" i="1"/>
  <c r="AD2018" i="1"/>
  <c r="AD2061" i="1"/>
  <c r="AA2069" i="1"/>
  <c r="AE2069" i="1"/>
  <c r="AA2070" i="1"/>
  <c r="AE2070" i="1"/>
  <c r="AA2071" i="1"/>
  <c r="AE2071" i="1"/>
  <c r="AA2072" i="1"/>
  <c r="AE2072" i="1"/>
  <c r="AA2073" i="1"/>
  <c r="AE2073" i="1"/>
  <c r="AA2074" i="1"/>
  <c r="AE2074" i="1"/>
  <c r="AA2075" i="1"/>
  <c r="AE2075" i="1"/>
  <c r="AA2076" i="1"/>
  <c r="AE2076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D2104" i="1"/>
  <c r="AC2104" i="1"/>
  <c r="AB2104" i="1"/>
  <c r="Z2104" i="1"/>
  <c r="Y2104" i="1"/>
  <c r="X2104" i="1"/>
  <c r="M1690" i="1"/>
  <c r="M1717" i="1"/>
  <c r="M1760" i="1"/>
  <c r="M1803" i="1"/>
  <c r="M1846" i="1"/>
  <c r="M1889" i="1"/>
  <c r="M1932" i="1"/>
  <c r="M1975" i="1"/>
  <c r="M2018" i="1"/>
  <c r="M2061" i="1"/>
  <c r="N1690" i="1"/>
  <c r="N1717" i="1"/>
  <c r="N1760" i="1"/>
  <c r="N1803" i="1"/>
  <c r="N1846" i="1"/>
  <c r="N1889" i="1"/>
  <c r="N1932" i="1"/>
  <c r="N1975" i="1"/>
  <c r="N2018" i="1"/>
  <c r="N2061" i="1"/>
  <c r="O1690" i="1"/>
  <c r="O1717" i="1"/>
  <c r="O1760" i="1"/>
  <c r="O1803" i="1"/>
  <c r="O1846" i="1"/>
  <c r="O1889" i="1"/>
  <c r="O1932" i="1"/>
  <c r="O1975" i="1"/>
  <c r="O2018" i="1"/>
  <c r="O2061" i="1"/>
  <c r="Q1690" i="1"/>
  <c r="Q1717" i="1"/>
  <c r="Q1760" i="1"/>
  <c r="Q1803" i="1"/>
  <c r="Q1846" i="1"/>
  <c r="Q1889" i="1"/>
  <c r="Q1932" i="1"/>
  <c r="Q1975" i="1"/>
  <c r="Q2018" i="1"/>
  <c r="Q2061" i="1"/>
  <c r="R1690" i="1"/>
  <c r="R1717" i="1"/>
  <c r="R1760" i="1"/>
  <c r="R1803" i="1"/>
  <c r="R1846" i="1"/>
  <c r="R1889" i="1"/>
  <c r="R1932" i="1"/>
  <c r="R1975" i="1"/>
  <c r="R2018" i="1"/>
  <c r="R2061" i="1"/>
  <c r="S1690" i="1"/>
  <c r="S1717" i="1"/>
  <c r="S1760" i="1"/>
  <c r="S1803" i="1"/>
  <c r="S1846" i="1"/>
  <c r="S1889" i="1"/>
  <c r="S1932" i="1"/>
  <c r="S1975" i="1"/>
  <c r="S2018" i="1"/>
  <c r="S2061" i="1"/>
  <c r="P2072" i="1"/>
  <c r="T2072" i="1"/>
  <c r="P2073" i="1"/>
  <c r="T2073" i="1"/>
  <c r="P2074" i="1"/>
  <c r="T2074" i="1"/>
  <c r="P2075" i="1"/>
  <c r="T2075" i="1"/>
  <c r="P2076" i="1"/>
  <c r="T2076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S2104" i="1"/>
  <c r="R2104" i="1"/>
  <c r="Q2104" i="1"/>
  <c r="O2104" i="1"/>
  <c r="N2104" i="1"/>
  <c r="M2104" i="1"/>
  <c r="B13" i="1"/>
  <c r="B40" i="1"/>
  <c r="B83" i="1"/>
  <c r="B126" i="1"/>
  <c r="B169" i="1"/>
  <c r="B212" i="1"/>
  <c r="B255" i="1"/>
  <c r="B298" i="1"/>
  <c r="B341" i="1"/>
  <c r="B384" i="1"/>
  <c r="B427" i="1"/>
  <c r="B470" i="1"/>
  <c r="B513" i="1"/>
  <c r="B556" i="1"/>
  <c r="B599" i="1"/>
  <c r="B642" i="1"/>
  <c r="B685" i="1"/>
  <c r="B728" i="1"/>
  <c r="B771" i="1"/>
  <c r="B814" i="1"/>
  <c r="B857" i="1"/>
  <c r="B900" i="1"/>
  <c r="B943" i="1"/>
  <c r="B986" i="1"/>
  <c r="B1029" i="1"/>
  <c r="B1072" i="1"/>
  <c r="B1115" i="1"/>
  <c r="B1158" i="1"/>
  <c r="B1201" i="1"/>
  <c r="B1244" i="1"/>
  <c r="B1287" i="1"/>
  <c r="B1330" i="1"/>
  <c r="B1373" i="1"/>
  <c r="B1416" i="1"/>
  <c r="B1459" i="1"/>
  <c r="B1502" i="1"/>
  <c r="B1545" i="1"/>
  <c r="B1588" i="1"/>
  <c r="B1631" i="1"/>
  <c r="B1674" i="1"/>
  <c r="B1717" i="1"/>
  <c r="B1760" i="1"/>
  <c r="B1803" i="1"/>
  <c r="B1846" i="1"/>
  <c r="B1889" i="1"/>
  <c r="B1932" i="1"/>
  <c r="B1975" i="1"/>
  <c r="B2018" i="1"/>
  <c r="B2061" i="1"/>
  <c r="C13" i="1"/>
  <c r="C40" i="1"/>
  <c r="C83" i="1"/>
  <c r="C126" i="1"/>
  <c r="C169" i="1"/>
  <c r="C212" i="1"/>
  <c r="C255" i="1"/>
  <c r="C298" i="1"/>
  <c r="C341" i="1"/>
  <c r="C384" i="1"/>
  <c r="C427" i="1"/>
  <c r="C470" i="1"/>
  <c r="C513" i="1"/>
  <c r="C556" i="1"/>
  <c r="C599" i="1"/>
  <c r="C642" i="1"/>
  <c r="C685" i="1"/>
  <c r="C728" i="1"/>
  <c r="C771" i="1"/>
  <c r="C814" i="1"/>
  <c r="C857" i="1"/>
  <c r="C900" i="1"/>
  <c r="C943" i="1"/>
  <c r="C986" i="1"/>
  <c r="C1029" i="1"/>
  <c r="C1072" i="1"/>
  <c r="C1115" i="1"/>
  <c r="C1158" i="1"/>
  <c r="C1201" i="1"/>
  <c r="C1244" i="1"/>
  <c r="C1287" i="1"/>
  <c r="C1330" i="1"/>
  <c r="C1373" i="1"/>
  <c r="C1416" i="1"/>
  <c r="C1459" i="1"/>
  <c r="C1502" i="1"/>
  <c r="C1545" i="1"/>
  <c r="C1588" i="1"/>
  <c r="C1631" i="1"/>
  <c r="C1674" i="1"/>
  <c r="C1717" i="1"/>
  <c r="C1760" i="1"/>
  <c r="C1803" i="1"/>
  <c r="C1846" i="1"/>
  <c r="C1889" i="1"/>
  <c r="C1932" i="1"/>
  <c r="C1975" i="1"/>
  <c r="C2018" i="1"/>
  <c r="C2061" i="1"/>
  <c r="D13" i="1"/>
  <c r="D40" i="1"/>
  <c r="D83" i="1"/>
  <c r="D126" i="1"/>
  <c r="D169" i="1"/>
  <c r="D212" i="1"/>
  <c r="D255" i="1"/>
  <c r="D298" i="1"/>
  <c r="D341" i="1"/>
  <c r="D384" i="1"/>
  <c r="D427" i="1"/>
  <c r="D470" i="1"/>
  <c r="D513" i="1"/>
  <c r="D556" i="1"/>
  <c r="D599" i="1"/>
  <c r="D642" i="1"/>
  <c r="D685" i="1"/>
  <c r="D728" i="1"/>
  <c r="D771" i="1"/>
  <c r="D814" i="1"/>
  <c r="D857" i="1"/>
  <c r="D900" i="1"/>
  <c r="D943" i="1"/>
  <c r="D986" i="1"/>
  <c r="D1029" i="1"/>
  <c r="D1072" i="1"/>
  <c r="D1115" i="1"/>
  <c r="D1158" i="1"/>
  <c r="D1201" i="1"/>
  <c r="D1244" i="1"/>
  <c r="D1287" i="1"/>
  <c r="D1330" i="1"/>
  <c r="D1373" i="1"/>
  <c r="D1416" i="1"/>
  <c r="D1459" i="1"/>
  <c r="D1502" i="1"/>
  <c r="D1545" i="1"/>
  <c r="D1588" i="1"/>
  <c r="D1631" i="1"/>
  <c r="D1674" i="1"/>
  <c r="D1717" i="1"/>
  <c r="D1760" i="1"/>
  <c r="D1803" i="1"/>
  <c r="D1846" i="1"/>
  <c r="D1889" i="1"/>
  <c r="D1932" i="1"/>
  <c r="D1975" i="1"/>
  <c r="D2018" i="1"/>
  <c r="D2061" i="1"/>
  <c r="F13" i="1"/>
  <c r="F40" i="1"/>
  <c r="F83" i="1"/>
  <c r="F126" i="1"/>
  <c r="F169" i="1"/>
  <c r="F212" i="1"/>
  <c r="F255" i="1"/>
  <c r="F298" i="1"/>
  <c r="F341" i="1"/>
  <c r="F384" i="1"/>
  <c r="F427" i="1"/>
  <c r="F470" i="1"/>
  <c r="F513" i="1"/>
  <c r="F556" i="1"/>
  <c r="F599" i="1"/>
  <c r="F642" i="1"/>
  <c r="F685" i="1"/>
  <c r="F728" i="1"/>
  <c r="F771" i="1"/>
  <c r="F814" i="1"/>
  <c r="F857" i="1"/>
  <c r="F900" i="1"/>
  <c r="F943" i="1"/>
  <c r="F986" i="1"/>
  <c r="F1029" i="1"/>
  <c r="F1072" i="1"/>
  <c r="F1115" i="1"/>
  <c r="F1158" i="1"/>
  <c r="F1201" i="1"/>
  <c r="F1244" i="1"/>
  <c r="F1287" i="1"/>
  <c r="F1330" i="1"/>
  <c r="F1373" i="1"/>
  <c r="F1416" i="1"/>
  <c r="F1459" i="1"/>
  <c r="F1502" i="1"/>
  <c r="F1545" i="1"/>
  <c r="F1588" i="1"/>
  <c r="F1631" i="1"/>
  <c r="F1674" i="1"/>
  <c r="F1717" i="1"/>
  <c r="F1760" i="1"/>
  <c r="F1803" i="1"/>
  <c r="F1846" i="1"/>
  <c r="F1889" i="1"/>
  <c r="F1932" i="1"/>
  <c r="F1975" i="1"/>
  <c r="F2018" i="1"/>
  <c r="F2061" i="1"/>
  <c r="G13" i="1"/>
  <c r="G40" i="1"/>
  <c r="G83" i="1"/>
  <c r="G126" i="1"/>
  <c r="G169" i="1"/>
  <c r="G212" i="1"/>
  <c r="G255" i="1"/>
  <c r="G298" i="1"/>
  <c r="G341" i="1"/>
  <c r="G384" i="1"/>
  <c r="G427" i="1"/>
  <c r="G470" i="1"/>
  <c r="G513" i="1"/>
  <c r="G556" i="1"/>
  <c r="G599" i="1"/>
  <c r="G642" i="1"/>
  <c r="G685" i="1"/>
  <c r="G728" i="1"/>
  <c r="G771" i="1"/>
  <c r="G814" i="1"/>
  <c r="G857" i="1"/>
  <c r="G900" i="1"/>
  <c r="G943" i="1"/>
  <c r="G986" i="1"/>
  <c r="G1029" i="1"/>
  <c r="G1072" i="1"/>
  <c r="G1115" i="1"/>
  <c r="G1158" i="1"/>
  <c r="G1201" i="1"/>
  <c r="G1244" i="1"/>
  <c r="G1287" i="1"/>
  <c r="G1330" i="1"/>
  <c r="G1373" i="1"/>
  <c r="G1416" i="1"/>
  <c r="G1459" i="1"/>
  <c r="G1502" i="1"/>
  <c r="G1545" i="1"/>
  <c r="G1588" i="1"/>
  <c r="G1631" i="1"/>
  <c r="G1674" i="1"/>
  <c r="G1717" i="1"/>
  <c r="G1760" i="1"/>
  <c r="G1803" i="1"/>
  <c r="G1846" i="1"/>
  <c r="G1889" i="1"/>
  <c r="G1932" i="1"/>
  <c r="G1975" i="1"/>
  <c r="G2018" i="1"/>
  <c r="G2061" i="1"/>
  <c r="H13" i="1"/>
  <c r="H40" i="1"/>
  <c r="H83" i="1"/>
  <c r="H126" i="1"/>
  <c r="H169" i="1"/>
  <c r="H212" i="1"/>
  <c r="H255" i="1"/>
  <c r="H298" i="1"/>
  <c r="H341" i="1"/>
  <c r="H384" i="1"/>
  <c r="H427" i="1"/>
  <c r="H470" i="1"/>
  <c r="H513" i="1"/>
  <c r="H556" i="1"/>
  <c r="H599" i="1"/>
  <c r="H642" i="1"/>
  <c r="H685" i="1"/>
  <c r="H728" i="1"/>
  <c r="H771" i="1"/>
  <c r="H814" i="1"/>
  <c r="H857" i="1"/>
  <c r="H900" i="1"/>
  <c r="H943" i="1"/>
  <c r="H986" i="1"/>
  <c r="H1029" i="1"/>
  <c r="H1072" i="1"/>
  <c r="H1115" i="1"/>
  <c r="H1158" i="1"/>
  <c r="H1201" i="1"/>
  <c r="H1244" i="1"/>
  <c r="H1287" i="1"/>
  <c r="H1330" i="1"/>
  <c r="H1373" i="1"/>
  <c r="H1416" i="1"/>
  <c r="H1459" i="1"/>
  <c r="H1502" i="1"/>
  <c r="H1545" i="1"/>
  <c r="H1588" i="1"/>
  <c r="H1631" i="1"/>
  <c r="H1674" i="1"/>
  <c r="H1717" i="1"/>
  <c r="H1760" i="1"/>
  <c r="H1803" i="1"/>
  <c r="H1846" i="1"/>
  <c r="H1889" i="1"/>
  <c r="H1932" i="1"/>
  <c r="H1975" i="1"/>
  <c r="H2018" i="1"/>
  <c r="H2061" i="1"/>
  <c r="E2069" i="1"/>
  <c r="I2069" i="1"/>
  <c r="E2070" i="1"/>
  <c r="I2070" i="1"/>
  <c r="E2071" i="1"/>
  <c r="I2071" i="1"/>
  <c r="E2072" i="1"/>
  <c r="I2072" i="1"/>
  <c r="E2073" i="1"/>
  <c r="I2073" i="1"/>
  <c r="E2074" i="1"/>
  <c r="I2074" i="1"/>
  <c r="E2075" i="1"/>
  <c r="I2075" i="1"/>
  <c r="E2076" i="1"/>
  <c r="I2076" i="1"/>
  <c r="E2078" i="1"/>
  <c r="E2079" i="1"/>
  <c r="E2080" i="1"/>
  <c r="E2081" i="1"/>
  <c r="E2082" i="1"/>
  <c r="E2083" i="1"/>
  <c r="E2084" i="1"/>
  <c r="E2085" i="1"/>
  <c r="E2086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I2078" i="1"/>
  <c r="I2079" i="1"/>
  <c r="I2080" i="1"/>
  <c r="I2081" i="1"/>
  <c r="I2082" i="1"/>
  <c r="I2083" i="1"/>
  <c r="I2084" i="1"/>
  <c r="I2085" i="1"/>
  <c r="I2086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H2104" i="1"/>
  <c r="G2104" i="1"/>
  <c r="F2104" i="1"/>
  <c r="D2104" i="1"/>
  <c r="C2104" i="1"/>
  <c r="B2104" i="1"/>
  <c r="P2059" i="1"/>
  <c r="T2059" i="1"/>
  <c r="T2035" i="1"/>
  <c r="P2035" i="1"/>
  <c r="T2028" i="1"/>
  <c r="T2029" i="1"/>
  <c r="T2030" i="1"/>
  <c r="T2031" i="1"/>
  <c r="P1989" i="1"/>
  <c r="P1988" i="1"/>
  <c r="P1987" i="1"/>
  <c r="U1987" i="1" s="1"/>
  <c r="P1986" i="1"/>
  <c r="P1985" i="1"/>
  <c r="U1985" i="1" s="1"/>
  <c r="P2028" i="1"/>
  <c r="P2029" i="1"/>
  <c r="P2030" i="1"/>
  <c r="P2031" i="1"/>
  <c r="AE2060" i="1"/>
  <c r="AA2060" i="1"/>
  <c r="T2060" i="1"/>
  <c r="P2060" i="1"/>
  <c r="I2060" i="1"/>
  <c r="E2060" i="1"/>
  <c r="AE2059" i="1"/>
  <c r="AA2059" i="1"/>
  <c r="I2059" i="1"/>
  <c r="E2059" i="1"/>
  <c r="AE2058" i="1"/>
  <c r="AA2058" i="1"/>
  <c r="T2058" i="1"/>
  <c r="P2058" i="1"/>
  <c r="I2058" i="1"/>
  <c r="E2058" i="1"/>
  <c r="AE2057" i="1"/>
  <c r="AA2057" i="1"/>
  <c r="T2057" i="1"/>
  <c r="P2057" i="1"/>
  <c r="I2057" i="1"/>
  <c r="E2057" i="1"/>
  <c r="AE2056" i="1"/>
  <c r="AA2056" i="1"/>
  <c r="T2056" i="1"/>
  <c r="P2056" i="1"/>
  <c r="I2056" i="1"/>
  <c r="E2056" i="1"/>
  <c r="AE2055" i="1"/>
  <c r="AA2055" i="1"/>
  <c r="T2055" i="1"/>
  <c r="P2055" i="1"/>
  <c r="I2055" i="1"/>
  <c r="E2055" i="1"/>
  <c r="AE2054" i="1"/>
  <c r="AA2054" i="1"/>
  <c r="T2054" i="1"/>
  <c r="P2054" i="1"/>
  <c r="I2054" i="1"/>
  <c r="E2054" i="1"/>
  <c r="AE2053" i="1"/>
  <c r="AA2053" i="1"/>
  <c r="T2053" i="1"/>
  <c r="P2053" i="1"/>
  <c r="I2053" i="1"/>
  <c r="E2053" i="1"/>
  <c r="AE2052" i="1"/>
  <c r="AA2052" i="1"/>
  <c r="T2052" i="1"/>
  <c r="P2052" i="1"/>
  <c r="I2052" i="1"/>
  <c r="E2052" i="1"/>
  <c r="AE2051" i="1"/>
  <c r="AA2051" i="1"/>
  <c r="T2051" i="1"/>
  <c r="P2051" i="1"/>
  <c r="I2051" i="1"/>
  <c r="E2051" i="1"/>
  <c r="AE2050" i="1"/>
  <c r="AA2050" i="1"/>
  <c r="T2050" i="1"/>
  <c r="P2050" i="1"/>
  <c r="I2050" i="1"/>
  <c r="E2050" i="1"/>
  <c r="AE2049" i="1"/>
  <c r="AA2049" i="1"/>
  <c r="T2049" i="1"/>
  <c r="P2049" i="1"/>
  <c r="I2049" i="1"/>
  <c r="E2049" i="1"/>
  <c r="AE2048" i="1"/>
  <c r="AA2048" i="1"/>
  <c r="T2048" i="1"/>
  <c r="P2048" i="1"/>
  <c r="I2048" i="1"/>
  <c r="E2048" i="1"/>
  <c r="AE2047" i="1"/>
  <c r="AA2047" i="1"/>
  <c r="T2047" i="1"/>
  <c r="P2047" i="1"/>
  <c r="I2047" i="1"/>
  <c r="E2047" i="1"/>
  <c r="AE2046" i="1"/>
  <c r="AA2046" i="1"/>
  <c r="T2046" i="1"/>
  <c r="P2046" i="1"/>
  <c r="I2046" i="1"/>
  <c r="E2046" i="1"/>
  <c r="AE2045" i="1"/>
  <c r="AA2045" i="1"/>
  <c r="I2045" i="1"/>
  <c r="E2045" i="1"/>
  <c r="AE2044" i="1"/>
  <c r="AA2044" i="1"/>
  <c r="T2044" i="1"/>
  <c r="P2044" i="1"/>
  <c r="I2044" i="1"/>
  <c r="E2044" i="1"/>
  <c r="AE2043" i="1"/>
  <c r="AA2043" i="1"/>
  <c r="I2043" i="1"/>
  <c r="E2043" i="1"/>
  <c r="AE2042" i="1"/>
  <c r="AA2042" i="1"/>
  <c r="T2042" i="1"/>
  <c r="P2042" i="1"/>
  <c r="I2042" i="1"/>
  <c r="E2042" i="1"/>
  <c r="AE2041" i="1"/>
  <c r="AA2041" i="1"/>
  <c r="T2041" i="1"/>
  <c r="P2041" i="1"/>
  <c r="I2041" i="1"/>
  <c r="E2041" i="1"/>
  <c r="AE2040" i="1"/>
  <c r="AA2040" i="1"/>
  <c r="T2040" i="1"/>
  <c r="P2040" i="1"/>
  <c r="I2040" i="1"/>
  <c r="E2040" i="1"/>
  <c r="AE2039" i="1"/>
  <c r="AA2039" i="1"/>
  <c r="T2039" i="1"/>
  <c r="P2039" i="1"/>
  <c r="I2039" i="1"/>
  <c r="E2039" i="1"/>
  <c r="AE2038" i="1"/>
  <c r="AA2038" i="1"/>
  <c r="T2038" i="1"/>
  <c r="P2038" i="1"/>
  <c r="I2038" i="1"/>
  <c r="E2038" i="1"/>
  <c r="AE2037" i="1"/>
  <c r="AA2037" i="1"/>
  <c r="T2037" i="1"/>
  <c r="P2037" i="1"/>
  <c r="I2037" i="1"/>
  <c r="E2037" i="1"/>
  <c r="AE2036" i="1"/>
  <c r="AA2036" i="1"/>
  <c r="T2036" i="1"/>
  <c r="P2036" i="1"/>
  <c r="I2036" i="1"/>
  <c r="E2036" i="1"/>
  <c r="AE2035" i="1"/>
  <c r="AA2035" i="1"/>
  <c r="I2035" i="1"/>
  <c r="E2035" i="1"/>
  <c r="AE2033" i="1"/>
  <c r="AA2033" i="1"/>
  <c r="T2033" i="1"/>
  <c r="P2033" i="1"/>
  <c r="I2033" i="1"/>
  <c r="E2033" i="1"/>
  <c r="AE2032" i="1"/>
  <c r="AA2032" i="1"/>
  <c r="T2032" i="1"/>
  <c r="P2032" i="1"/>
  <c r="I2032" i="1"/>
  <c r="E2032" i="1"/>
  <c r="AE2031" i="1"/>
  <c r="AA2031" i="1"/>
  <c r="I2031" i="1"/>
  <c r="E2031" i="1"/>
  <c r="AE2030" i="1"/>
  <c r="AA2030" i="1"/>
  <c r="I2030" i="1"/>
  <c r="E2030" i="1"/>
  <c r="AE2029" i="1"/>
  <c r="AA2029" i="1"/>
  <c r="I2029" i="1"/>
  <c r="E2029" i="1"/>
  <c r="AE2028" i="1"/>
  <c r="AA2028" i="1"/>
  <c r="I2028" i="1"/>
  <c r="E2028" i="1"/>
  <c r="AE2027" i="1"/>
  <c r="AA2027" i="1"/>
  <c r="T2027" i="1"/>
  <c r="P2027" i="1"/>
  <c r="I2027" i="1"/>
  <c r="E2027" i="1"/>
  <c r="AE2026" i="1"/>
  <c r="AA2026" i="1"/>
  <c r="T2026" i="1"/>
  <c r="P2026" i="1"/>
  <c r="I2026" i="1"/>
  <c r="E2026" i="1"/>
  <c r="T1984" i="1"/>
  <c r="P1984" i="1"/>
  <c r="AE2017" i="1"/>
  <c r="AA2017" i="1"/>
  <c r="AE2016" i="1"/>
  <c r="AA2016" i="1"/>
  <c r="AE2015" i="1"/>
  <c r="AA2015" i="1"/>
  <c r="AE2014" i="1"/>
  <c r="AA2014" i="1"/>
  <c r="AE2013" i="1"/>
  <c r="AA2013" i="1"/>
  <c r="AE2012" i="1"/>
  <c r="AA2012" i="1"/>
  <c r="AE2011" i="1"/>
  <c r="AA2011" i="1"/>
  <c r="AE2010" i="1"/>
  <c r="AA2010" i="1"/>
  <c r="AE2009" i="1"/>
  <c r="AA2009" i="1"/>
  <c r="AE2008" i="1"/>
  <c r="AA2008" i="1"/>
  <c r="AE2007" i="1"/>
  <c r="AA2007" i="1"/>
  <c r="AE2006" i="1"/>
  <c r="AA2006" i="1"/>
  <c r="AE2005" i="1"/>
  <c r="AA2005" i="1"/>
  <c r="AE2004" i="1"/>
  <c r="AA2004" i="1"/>
  <c r="AE2003" i="1"/>
  <c r="AA2003" i="1"/>
  <c r="AE2002" i="1"/>
  <c r="AA2002" i="1"/>
  <c r="AE2001" i="1"/>
  <c r="AA2001" i="1"/>
  <c r="AE2000" i="1"/>
  <c r="AA2000" i="1"/>
  <c r="AE1999" i="1"/>
  <c r="AA1999" i="1"/>
  <c r="AE1998" i="1"/>
  <c r="AA1998" i="1"/>
  <c r="AE1997" i="1"/>
  <c r="AA1997" i="1"/>
  <c r="AE1996" i="1"/>
  <c r="AA1996" i="1"/>
  <c r="AE1995" i="1"/>
  <c r="AA1995" i="1"/>
  <c r="AE1994" i="1"/>
  <c r="AA1994" i="1"/>
  <c r="AE1993" i="1"/>
  <c r="AA1993" i="1"/>
  <c r="AE1992" i="1"/>
  <c r="AA1992" i="1"/>
  <c r="AE1990" i="1"/>
  <c r="AA1990" i="1"/>
  <c r="AE1989" i="1"/>
  <c r="AA1989" i="1"/>
  <c r="AE1988" i="1"/>
  <c r="AA1988" i="1"/>
  <c r="AE1987" i="1"/>
  <c r="AA1987" i="1"/>
  <c r="AE1986" i="1"/>
  <c r="AA1986" i="1"/>
  <c r="AE1985" i="1"/>
  <c r="AA1985" i="1"/>
  <c r="AE1984" i="1"/>
  <c r="AA1984" i="1"/>
  <c r="AE1983" i="1"/>
  <c r="AA1983" i="1"/>
  <c r="I2017" i="1"/>
  <c r="E2017" i="1"/>
  <c r="I2016" i="1"/>
  <c r="E2016" i="1"/>
  <c r="I2015" i="1"/>
  <c r="E2015" i="1"/>
  <c r="I2014" i="1"/>
  <c r="E2014" i="1"/>
  <c r="I2013" i="1"/>
  <c r="E2013" i="1"/>
  <c r="I2012" i="1"/>
  <c r="E2012" i="1"/>
  <c r="I2011" i="1"/>
  <c r="E2011" i="1"/>
  <c r="I2010" i="1"/>
  <c r="E2010" i="1"/>
  <c r="I2009" i="1"/>
  <c r="E2009" i="1"/>
  <c r="I2008" i="1"/>
  <c r="E2008" i="1"/>
  <c r="I2007" i="1"/>
  <c r="E2007" i="1"/>
  <c r="I2006" i="1"/>
  <c r="E2006" i="1"/>
  <c r="I2005" i="1"/>
  <c r="E2005" i="1"/>
  <c r="I2004" i="1"/>
  <c r="E2004" i="1"/>
  <c r="I2003" i="1"/>
  <c r="E2003" i="1"/>
  <c r="I2002" i="1"/>
  <c r="E2002" i="1"/>
  <c r="I2001" i="1"/>
  <c r="E2001" i="1"/>
  <c r="I2000" i="1"/>
  <c r="E2000" i="1"/>
  <c r="I1999" i="1"/>
  <c r="E1999" i="1"/>
  <c r="I1998" i="1"/>
  <c r="E1998" i="1"/>
  <c r="I1997" i="1"/>
  <c r="E1997" i="1"/>
  <c r="I1996" i="1"/>
  <c r="E1996" i="1"/>
  <c r="I1995" i="1"/>
  <c r="E1995" i="1"/>
  <c r="I1994" i="1"/>
  <c r="E1994" i="1"/>
  <c r="I1993" i="1"/>
  <c r="E1993" i="1"/>
  <c r="I1992" i="1"/>
  <c r="E1992" i="1"/>
  <c r="I1990" i="1"/>
  <c r="E1990" i="1"/>
  <c r="I1989" i="1"/>
  <c r="E1989" i="1"/>
  <c r="I1988" i="1"/>
  <c r="E1988" i="1"/>
  <c r="I1987" i="1"/>
  <c r="E1987" i="1"/>
  <c r="I1986" i="1"/>
  <c r="E1986" i="1"/>
  <c r="I1985" i="1"/>
  <c r="E1985" i="1"/>
  <c r="I1984" i="1"/>
  <c r="E1984" i="1"/>
  <c r="I1983" i="1"/>
  <c r="E1983" i="1"/>
  <c r="T2017" i="1"/>
  <c r="P2017" i="1"/>
  <c r="T2016" i="1"/>
  <c r="P2016" i="1"/>
  <c r="T2015" i="1"/>
  <c r="P2015" i="1"/>
  <c r="T2014" i="1"/>
  <c r="P2014" i="1"/>
  <c r="T2013" i="1"/>
  <c r="P2013" i="1"/>
  <c r="T2012" i="1"/>
  <c r="P2012" i="1"/>
  <c r="T2011" i="1"/>
  <c r="P2011" i="1"/>
  <c r="T2010" i="1"/>
  <c r="P2010" i="1"/>
  <c r="T2009" i="1"/>
  <c r="P2009" i="1"/>
  <c r="T2008" i="1"/>
  <c r="P2008" i="1"/>
  <c r="T2007" i="1"/>
  <c r="P2007" i="1"/>
  <c r="T2006" i="1"/>
  <c r="P2006" i="1"/>
  <c r="T2005" i="1"/>
  <c r="P2005" i="1"/>
  <c r="T2004" i="1"/>
  <c r="P2004" i="1"/>
  <c r="T2003" i="1"/>
  <c r="P2003" i="1"/>
  <c r="T2002" i="1"/>
  <c r="P2002" i="1"/>
  <c r="T2001" i="1"/>
  <c r="P2001" i="1"/>
  <c r="T2000" i="1"/>
  <c r="P2000" i="1"/>
  <c r="T1999" i="1"/>
  <c r="P1999" i="1"/>
  <c r="T1998" i="1"/>
  <c r="P1998" i="1"/>
  <c r="T1997" i="1"/>
  <c r="P1997" i="1"/>
  <c r="T1996" i="1"/>
  <c r="P1996" i="1"/>
  <c r="T1995" i="1"/>
  <c r="P1995" i="1"/>
  <c r="T1994" i="1"/>
  <c r="P1994" i="1"/>
  <c r="T1993" i="1"/>
  <c r="P1993" i="1"/>
  <c r="T1992" i="1"/>
  <c r="P1992" i="1"/>
  <c r="T1990" i="1"/>
  <c r="P1990" i="1"/>
  <c r="T1989" i="1"/>
  <c r="T1988" i="1"/>
  <c r="T1986" i="1"/>
  <c r="T1983" i="1"/>
  <c r="P1983" i="1"/>
  <c r="T1917" i="1"/>
  <c r="P1917" i="1"/>
  <c r="T1916" i="1"/>
  <c r="P1916" i="1"/>
  <c r="P1950" i="1"/>
  <c r="AE1974" i="1"/>
  <c r="AA1974" i="1"/>
  <c r="T1974" i="1"/>
  <c r="P1974" i="1"/>
  <c r="I1974" i="1"/>
  <c r="E1974" i="1"/>
  <c r="AE1973" i="1"/>
  <c r="AA1973" i="1"/>
  <c r="T1973" i="1"/>
  <c r="P1973" i="1"/>
  <c r="I1973" i="1"/>
  <c r="E1973" i="1"/>
  <c r="AE1972" i="1"/>
  <c r="AA1972" i="1"/>
  <c r="T1972" i="1"/>
  <c r="P1972" i="1"/>
  <c r="I1972" i="1"/>
  <c r="E1972" i="1"/>
  <c r="AE1971" i="1"/>
  <c r="AA1971" i="1"/>
  <c r="T1971" i="1"/>
  <c r="P1971" i="1"/>
  <c r="I1971" i="1"/>
  <c r="E1971" i="1"/>
  <c r="AE1970" i="1"/>
  <c r="AA1970" i="1"/>
  <c r="T1970" i="1"/>
  <c r="P1970" i="1"/>
  <c r="I1970" i="1"/>
  <c r="E1970" i="1"/>
  <c r="AE1969" i="1"/>
  <c r="AA1969" i="1"/>
  <c r="T1969" i="1"/>
  <c r="P1969" i="1"/>
  <c r="I1969" i="1"/>
  <c r="E1969" i="1"/>
  <c r="AE1968" i="1"/>
  <c r="AA1968" i="1"/>
  <c r="T1968" i="1"/>
  <c r="P1968" i="1"/>
  <c r="I1968" i="1"/>
  <c r="E1968" i="1"/>
  <c r="AE1967" i="1"/>
  <c r="AA1967" i="1"/>
  <c r="T1967" i="1"/>
  <c r="P1967" i="1"/>
  <c r="I1967" i="1"/>
  <c r="E1967" i="1"/>
  <c r="AE1966" i="1"/>
  <c r="AA1966" i="1"/>
  <c r="T1966" i="1"/>
  <c r="P1966" i="1"/>
  <c r="I1966" i="1"/>
  <c r="E1966" i="1"/>
  <c r="AE1965" i="1"/>
  <c r="AA1965" i="1"/>
  <c r="T1965" i="1"/>
  <c r="P1965" i="1"/>
  <c r="I1965" i="1"/>
  <c r="E1965" i="1"/>
  <c r="AE1964" i="1"/>
  <c r="AA1964" i="1"/>
  <c r="T1964" i="1"/>
  <c r="P1964" i="1"/>
  <c r="I1964" i="1"/>
  <c r="E1964" i="1"/>
  <c r="AE1963" i="1"/>
  <c r="AA1963" i="1"/>
  <c r="T1963" i="1"/>
  <c r="P1963" i="1"/>
  <c r="I1963" i="1"/>
  <c r="E1963" i="1"/>
  <c r="AE1962" i="1"/>
  <c r="AA1962" i="1"/>
  <c r="T1962" i="1"/>
  <c r="P1962" i="1"/>
  <c r="I1962" i="1"/>
  <c r="E1962" i="1"/>
  <c r="AE1961" i="1"/>
  <c r="AA1961" i="1"/>
  <c r="T1961" i="1"/>
  <c r="P1961" i="1"/>
  <c r="I1961" i="1"/>
  <c r="E1961" i="1"/>
  <c r="AE1960" i="1"/>
  <c r="AA1960" i="1"/>
  <c r="T1960" i="1"/>
  <c r="P1960" i="1"/>
  <c r="I1960" i="1"/>
  <c r="E1960" i="1"/>
  <c r="AE1959" i="1"/>
  <c r="AA1959" i="1"/>
  <c r="T1959" i="1"/>
  <c r="P1959" i="1"/>
  <c r="I1959" i="1"/>
  <c r="E1959" i="1"/>
  <c r="AE1958" i="1"/>
  <c r="AA1958" i="1"/>
  <c r="T1958" i="1"/>
  <c r="P1958" i="1"/>
  <c r="I1958" i="1"/>
  <c r="E1958" i="1"/>
  <c r="AE1957" i="1"/>
  <c r="AA1957" i="1"/>
  <c r="T1957" i="1"/>
  <c r="P1957" i="1"/>
  <c r="I1957" i="1"/>
  <c r="E1957" i="1"/>
  <c r="AE1956" i="1"/>
  <c r="AA1956" i="1"/>
  <c r="T1956" i="1"/>
  <c r="P1956" i="1"/>
  <c r="I1956" i="1"/>
  <c r="E1956" i="1"/>
  <c r="AE1955" i="1"/>
  <c r="AA1955" i="1"/>
  <c r="T1955" i="1"/>
  <c r="P1955" i="1"/>
  <c r="I1955" i="1"/>
  <c r="E1955" i="1"/>
  <c r="AE1954" i="1"/>
  <c r="AA1954" i="1"/>
  <c r="T1954" i="1"/>
  <c r="P1954" i="1"/>
  <c r="I1954" i="1"/>
  <c r="E1954" i="1"/>
  <c r="AE1953" i="1"/>
  <c r="AA1953" i="1"/>
  <c r="T1953" i="1"/>
  <c r="P1953" i="1"/>
  <c r="I1953" i="1"/>
  <c r="E1953" i="1"/>
  <c r="AE1952" i="1"/>
  <c r="AA1952" i="1"/>
  <c r="T1952" i="1"/>
  <c r="P1952" i="1"/>
  <c r="I1952" i="1"/>
  <c r="E1952" i="1"/>
  <c r="AE1951" i="1"/>
  <c r="AA1951" i="1"/>
  <c r="T1951" i="1"/>
  <c r="P1951" i="1"/>
  <c r="I1951" i="1"/>
  <c r="E1951" i="1"/>
  <c r="AE1950" i="1"/>
  <c r="AA1950" i="1"/>
  <c r="T1950" i="1"/>
  <c r="I1950" i="1"/>
  <c r="E1950" i="1"/>
  <c r="AE1949" i="1"/>
  <c r="AA1949" i="1"/>
  <c r="T1949" i="1"/>
  <c r="P1949" i="1"/>
  <c r="I1949" i="1"/>
  <c r="E1949" i="1"/>
  <c r="AE1947" i="1"/>
  <c r="AA1947" i="1"/>
  <c r="T1947" i="1"/>
  <c r="P1947" i="1"/>
  <c r="I1947" i="1"/>
  <c r="E1947" i="1"/>
  <c r="AE1946" i="1"/>
  <c r="AA1946" i="1"/>
  <c r="T1946" i="1"/>
  <c r="P1946" i="1"/>
  <c r="I1946" i="1"/>
  <c r="E1946" i="1"/>
  <c r="AE1945" i="1"/>
  <c r="AA1945" i="1"/>
  <c r="T1945" i="1"/>
  <c r="P1945" i="1"/>
  <c r="I1945" i="1"/>
  <c r="E1945" i="1"/>
  <c r="AE1944" i="1"/>
  <c r="AA1944" i="1"/>
  <c r="T1944" i="1"/>
  <c r="P1944" i="1"/>
  <c r="I1944" i="1"/>
  <c r="E1944" i="1"/>
  <c r="AE1943" i="1"/>
  <c r="AA1943" i="1"/>
  <c r="T1943" i="1"/>
  <c r="P1943" i="1"/>
  <c r="I1943" i="1"/>
  <c r="E1943" i="1"/>
  <c r="AE1942" i="1"/>
  <c r="AA1942" i="1"/>
  <c r="T1942" i="1"/>
  <c r="P1942" i="1"/>
  <c r="I1942" i="1"/>
  <c r="E1942" i="1"/>
  <c r="AE1941" i="1"/>
  <c r="AA1941" i="1"/>
  <c r="T1941" i="1"/>
  <c r="P1941" i="1"/>
  <c r="I1941" i="1"/>
  <c r="E1941" i="1"/>
  <c r="AE1940" i="1"/>
  <c r="AA1940" i="1"/>
  <c r="T1940" i="1"/>
  <c r="P1940" i="1"/>
  <c r="I1940" i="1"/>
  <c r="E1940" i="1"/>
  <c r="T1930" i="1"/>
  <c r="P1930" i="1"/>
  <c r="T1929" i="1"/>
  <c r="P1929" i="1"/>
  <c r="T1928" i="1"/>
  <c r="P1928" i="1"/>
  <c r="T1931" i="1"/>
  <c r="P1931" i="1"/>
  <c r="AE1868" i="1"/>
  <c r="AA1868" i="1"/>
  <c r="I1859" i="1"/>
  <c r="E1859" i="1"/>
  <c r="AE1931" i="1"/>
  <c r="AA1931" i="1"/>
  <c r="I1931" i="1"/>
  <c r="E1931" i="1"/>
  <c r="AE1930" i="1"/>
  <c r="AA1930" i="1"/>
  <c r="I1930" i="1"/>
  <c r="E1930" i="1"/>
  <c r="AE1929" i="1"/>
  <c r="AA1929" i="1"/>
  <c r="I1929" i="1"/>
  <c r="E1929" i="1"/>
  <c r="AE1928" i="1"/>
  <c r="AA1928" i="1"/>
  <c r="I1928" i="1"/>
  <c r="E1928" i="1"/>
  <c r="AE1927" i="1"/>
  <c r="AA1927" i="1"/>
  <c r="T1927" i="1"/>
  <c r="P1927" i="1"/>
  <c r="I1927" i="1"/>
  <c r="E1927" i="1"/>
  <c r="AE1926" i="1"/>
  <c r="AA1926" i="1"/>
  <c r="T1926" i="1"/>
  <c r="P1926" i="1"/>
  <c r="I1926" i="1"/>
  <c r="E1926" i="1"/>
  <c r="AE1925" i="1"/>
  <c r="AA1925" i="1"/>
  <c r="T1925" i="1"/>
  <c r="P1925" i="1"/>
  <c r="I1925" i="1"/>
  <c r="E1925" i="1"/>
  <c r="AE1924" i="1"/>
  <c r="AA1924" i="1"/>
  <c r="T1924" i="1"/>
  <c r="P1924" i="1"/>
  <c r="I1924" i="1"/>
  <c r="E1924" i="1"/>
  <c r="AE1923" i="1"/>
  <c r="AA1923" i="1"/>
  <c r="T1923" i="1"/>
  <c r="P1923" i="1"/>
  <c r="I1923" i="1"/>
  <c r="E1923" i="1"/>
  <c r="AE1922" i="1"/>
  <c r="AA1922" i="1"/>
  <c r="T1922" i="1"/>
  <c r="P1922" i="1"/>
  <c r="I1922" i="1"/>
  <c r="E1922" i="1"/>
  <c r="AE1921" i="1"/>
  <c r="AA1921" i="1"/>
  <c r="T1921" i="1"/>
  <c r="P1921" i="1"/>
  <c r="I1921" i="1"/>
  <c r="E1921" i="1"/>
  <c r="AE1920" i="1"/>
  <c r="AA1920" i="1"/>
  <c r="T1920" i="1"/>
  <c r="P1920" i="1"/>
  <c r="I1920" i="1"/>
  <c r="E1920" i="1"/>
  <c r="AE1919" i="1"/>
  <c r="AA1919" i="1"/>
  <c r="T1919" i="1"/>
  <c r="P1919" i="1"/>
  <c r="I1919" i="1"/>
  <c r="E1919" i="1"/>
  <c r="AE1918" i="1"/>
  <c r="AA1918" i="1"/>
  <c r="T1918" i="1"/>
  <c r="P1918" i="1"/>
  <c r="I1918" i="1"/>
  <c r="E1918" i="1"/>
  <c r="AE1917" i="1"/>
  <c r="AA1917" i="1"/>
  <c r="I1917" i="1"/>
  <c r="E1917" i="1"/>
  <c r="AE1916" i="1"/>
  <c r="AA1916" i="1"/>
  <c r="I1916" i="1"/>
  <c r="E1916" i="1"/>
  <c r="AE1915" i="1"/>
  <c r="AA1915" i="1"/>
  <c r="T1915" i="1"/>
  <c r="P1915" i="1"/>
  <c r="I1915" i="1"/>
  <c r="E1915" i="1"/>
  <c r="AE1914" i="1"/>
  <c r="AA1914" i="1"/>
  <c r="T1914" i="1"/>
  <c r="P1914" i="1"/>
  <c r="I1914" i="1"/>
  <c r="E1914" i="1"/>
  <c r="AE1913" i="1"/>
  <c r="AA1913" i="1"/>
  <c r="T1913" i="1"/>
  <c r="P1913" i="1"/>
  <c r="I1913" i="1"/>
  <c r="E1913" i="1"/>
  <c r="AE1912" i="1"/>
  <c r="AA1912" i="1"/>
  <c r="T1912" i="1"/>
  <c r="P1912" i="1"/>
  <c r="I1912" i="1"/>
  <c r="E1912" i="1"/>
  <c r="AE1911" i="1"/>
  <c r="AA1911" i="1"/>
  <c r="T1911" i="1"/>
  <c r="P1911" i="1"/>
  <c r="I1911" i="1"/>
  <c r="E1911" i="1"/>
  <c r="AE1910" i="1"/>
  <c r="AA1910" i="1"/>
  <c r="T1910" i="1"/>
  <c r="P1910" i="1"/>
  <c r="I1910" i="1"/>
  <c r="E1910" i="1"/>
  <c r="AE1909" i="1"/>
  <c r="AA1909" i="1"/>
  <c r="T1909" i="1"/>
  <c r="P1909" i="1"/>
  <c r="I1909" i="1"/>
  <c r="E1909" i="1"/>
  <c r="AE1908" i="1"/>
  <c r="AA1908" i="1"/>
  <c r="T1908" i="1"/>
  <c r="P1908" i="1"/>
  <c r="I1908" i="1"/>
  <c r="E1908" i="1"/>
  <c r="AE1907" i="1"/>
  <c r="AA1907" i="1"/>
  <c r="T1907" i="1"/>
  <c r="P1907" i="1"/>
  <c r="I1907" i="1"/>
  <c r="E1907" i="1"/>
  <c r="AE1906" i="1"/>
  <c r="AA1906" i="1"/>
  <c r="T1906" i="1"/>
  <c r="P1906" i="1"/>
  <c r="I1906" i="1"/>
  <c r="E1906" i="1"/>
  <c r="AE1904" i="1"/>
  <c r="AA1904" i="1"/>
  <c r="T1904" i="1"/>
  <c r="P1904" i="1"/>
  <c r="I1904" i="1"/>
  <c r="E1904" i="1"/>
  <c r="AE1903" i="1"/>
  <c r="AA1903" i="1"/>
  <c r="T1903" i="1"/>
  <c r="P1903" i="1"/>
  <c r="I1903" i="1"/>
  <c r="E1903" i="1"/>
  <c r="AE1902" i="1"/>
  <c r="AA1902" i="1"/>
  <c r="T1902" i="1"/>
  <c r="P1902" i="1"/>
  <c r="I1902" i="1"/>
  <c r="E1902" i="1"/>
  <c r="AE1901" i="1"/>
  <c r="AA1901" i="1"/>
  <c r="T1901" i="1"/>
  <c r="P1901" i="1"/>
  <c r="I1901" i="1"/>
  <c r="E1901" i="1"/>
  <c r="AE1900" i="1"/>
  <c r="AA1900" i="1"/>
  <c r="T1900" i="1"/>
  <c r="P1900" i="1"/>
  <c r="I1900" i="1"/>
  <c r="E1900" i="1"/>
  <c r="AE1899" i="1"/>
  <c r="AA1899" i="1"/>
  <c r="T1899" i="1"/>
  <c r="P1899" i="1"/>
  <c r="I1899" i="1"/>
  <c r="E1899" i="1"/>
  <c r="AE1898" i="1"/>
  <c r="AA1898" i="1"/>
  <c r="T1898" i="1"/>
  <c r="P1898" i="1"/>
  <c r="I1898" i="1"/>
  <c r="E1898" i="1"/>
  <c r="AE1897" i="1"/>
  <c r="AA1897" i="1"/>
  <c r="T1897" i="1"/>
  <c r="P1897" i="1"/>
  <c r="I1897" i="1"/>
  <c r="E1897" i="1"/>
  <c r="AE1865" i="1"/>
  <c r="AA1865" i="1"/>
  <c r="AA1863" i="1"/>
  <c r="I1865" i="1"/>
  <c r="E1865" i="1"/>
  <c r="I1844" i="1"/>
  <c r="E1844" i="1"/>
  <c r="AE1855" i="1"/>
  <c r="AA1855" i="1"/>
  <c r="AE1887" i="1"/>
  <c r="AA1887" i="1"/>
  <c r="AE1888" i="1"/>
  <c r="AA1888" i="1"/>
  <c r="T1888" i="1"/>
  <c r="P1888" i="1"/>
  <c r="I1888" i="1"/>
  <c r="E1888" i="1"/>
  <c r="T1887" i="1"/>
  <c r="P1887" i="1"/>
  <c r="I1887" i="1"/>
  <c r="E1887" i="1"/>
  <c r="AE1886" i="1"/>
  <c r="AA1886" i="1"/>
  <c r="T1886" i="1"/>
  <c r="P1886" i="1"/>
  <c r="I1886" i="1"/>
  <c r="E1886" i="1"/>
  <c r="AE1885" i="1"/>
  <c r="AA1885" i="1"/>
  <c r="T1885" i="1"/>
  <c r="P1885" i="1"/>
  <c r="I1885" i="1"/>
  <c r="E1885" i="1"/>
  <c r="AE1884" i="1"/>
  <c r="AA1884" i="1"/>
  <c r="T1884" i="1"/>
  <c r="P1884" i="1"/>
  <c r="I1884" i="1"/>
  <c r="E1884" i="1"/>
  <c r="AE1883" i="1"/>
  <c r="AA1883" i="1"/>
  <c r="T1883" i="1"/>
  <c r="P1883" i="1"/>
  <c r="I1883" i="1"/>
  <c r="E1883" i="1"/>
  <c r="AE1882" i="1"/>
  <c r="AA1882" i="1"/>
  <c r="T1882" i="1"/>
  <c r="P1882" i="1"/>
  <c r="I1882" i="1"/>
  <c r="E1882" i="1"/>
  <c r="AE1881" i="1"/>
  <c r="AA1881" i="1"/>
  <c r="T1881" i="1"/>
  <c r="P1881" i="1"/>
  <c r="I1881" i="1"/>
  <c r="E1881" i="1"/>
  <c r="AE1880" i="1"/>
  <c r="AA1880" i="1"/>
  <c r="T1880" i="1"/>
  <c r="P1880" i="1"/>
  <c r="I1880" i="1"/>
  <c r="E1880" i="1"/>
  <c r="AE1879" i="1"/>
  <c r="AA1879" i="1"/>
  <c r="T1879" i="1"/>
  <c r="P1879" i="1"/>
  <c r="I1879" i="1"/>
  <c r="E1879" i="1"/>
  <c r="AE1878" i="1"/>
  <c r="AA1878" i="1"/>
  <c r="T1878" i="1"/>
  <c r="P1878" i="1"/>
  <c r="I1878" i="1"/>
  <c r="E1878" i="1"/>
  <c r="AE1877" i="1"/>
  <c r="AA1877" i="1"/>
  <c r="T1877" i="1"/>
  <c r="P1877" i="1"/>
  <c r="I1877" i="1"/>
  <c r="E1877" i="1"/>
  <c r="AE1876" i="1"/>
  <c r="AA1876" i="1"/>
  <c r="T1876" i="1"/>
  <c r="P1876" i="1"/>
  <c r="I1876" i="1"/>
  <c r="E1876" i="1"/>
  <c r="AE1875" i="1"/>
  <c r="AA1875" i="1"/>
  <c r="T1875" i="1"/>
  <c r="P1875" i="1"/>
  <c r="I1875" i="1"/>
  <c r="E1875" i="1"/>
  <c r="AE1874" i="1"/>
  <c r="AA1874" i="1"/>
  <c r="T1874" i="1"/>
  <c r="P1874" i="1"/>
  <c r="I1874" i="1"/>
  <c r="E1874" i="1"/>
  <c r="AE1873" i="1"/>
  <c r="AA1873" i="1"/>
  <c r="T1873" i="1"/>
  <c r="P1873" i="1"/>
  <c r="I1873" i="1"/>
  <c r="E1873" i="1"/>
  <c r="AE1872" i="1"/>
  <c r="AA1872" i="1"/>
  <c r="T1872" i="1"/>
  <c r="P1872" i="1"/>
  <c r="I1872" i="1"/>
  <c r="E1872" i="1"/>
  <c r="AE1871" i="1"/>
  <c r="AA1871" i="1"/>
  <c r="T1871" i="1"/>
  <c r="P1871" i="1"/>
  <c r="I1871" i="1"/>
  <c r="E1871" i="1"/>
  <c r="AE1870" i="1"/>
  <c r="AA1870" i="1"/>
  <c r="T1870" i="1"/>
  <c r="P1870" i="1"/>
  <c r="I1870" i="1"/>
  <c r="E1870" i="1"/>
  <c r="AE1869" i="1"/>
  <c r="AA1869" i="1"/>
  <c r="T1869" i="1"/>
  <c r="P1869" i="1"/>
  <c r="I1869" i="1"/>
  <c r="E1869" i="1"/>
  <c r="T1868" i="1"/>
  <c r="P1868" i="1"/>
  <c r="I1868" i="1"/>
  <c r="E1868" i="1"/>
  <c r="AE1867" i="1"/>
  <c r="AA1867" i="1"/>
  <c r="T1867" i="1"/>
  <c r="P1867" i="1"/>
  <c r="I1867" i="1"/>
  <c r="E1867" i="1"/>
  <c r="AE1866" i="1"/>
  <c r="AA1866" i="1"/>
  <c r="T1866" i="1"/>
  <c r="P1866" i="1"/>
  <c r="I1866" i="1"/>
  <c r="E1866" i="1"/>
  <c r="T1865" i="1"/>
  <c r="P1865" i="1"/>
  <c r="AE1864" i="1"/>
  <c r="AA1864" i="1"/>
  <c r="T1864" i="1"/>
  <c r="P1864" i="1"/>
  <c r="I1864" i="1"/>
  <c r="E1864" i="1"/>
  <c r="AE1863" i="1"/>
  <c r="T1863" i="1"/>
  <c r="P1863" i="1"/>
  <c r="I1863" i="1"/>
  <c r="E1863" i="1"/>
  <c r="AE1861" i="1"/>
  <c r="AA1861" i="1"/>
  <c r="T1861" i="1"/>
  <c r="P1861" i="1"/>
  <c r="I1861" i="1"/>
  <c r="E1861" i="1"/>
  <c r="AE1860" i="1"/>
  <c r="AA1860" i="1"/>
  <c r="T1860" i="1"/>
  <c r="P1860" i="1"/>
  <c r="I1860" i="1"/>
  <c r="E1860" i="1"/>
  <c r="AE1859" i="1"/>
  <c r="AA1859" i="1"/>
  <c r="T1859" i="1"/>
  <c r="P1859" i="1"/>
  <c r="AE1858" i="1"/>
  <c r="AA1858" i="1"/>
  <c r="T1858" i="1"/>
  <c r="P1858" i="1"/>
  <c r="I1858" i="1"/>
  <c r="E1858" i="1"/>
  <c r="AE1857" i="1"/>
  <c r="AA1857" i="1"/>
  <c r="T1857" i="1"/>
  <c r="P1857" i="1"/>
  <c r="I1857" i="1"/>
  <c r="E1857" i="1"/>
  <c r="AE1856" i="1"/>
  <c r="AA1856" i="1"/>
  <c r="T1856" i="1"/>
  <c r="P1856" i="1"/>
  <c r="I1856" i="1"/>
  <c r="E1856" i="1"/>
  <c r="T1855" i="1"/>
  <c r="P1855" i="1"/>
  <c r="I1855" i="1"/>
  <c r="E1855" i="1"/>
  <c r="AE1854" i="1"/>
  <c r="AA1854" i="1"/>
  <c r="T1854" i="1"/>
  <c r="P1854" i="1"/>
  <c r="I1854" i="1"/>
  <c r="E1854" i="1"/>
  <c r="AA1734" i="1"/>
  <c r="AA1777" i="1"/>
  <c r="AE1820" i="1"/>
  <c r="AE1845" i="1"/>
  <c r="AA1845" i="1"/>
  <c r="T1845" i="1"/>
  <c r="P1845" i="1"/>
  <c r="I1845" i="1"/>
  <c r="E1845" i="1"/>
  <c r="AE1844" i="1"/>
  <c r="AA1844" i="1"/>
  <c r="T1844" i="1"/>
  <c r="P1844" i="1"/>
  <c r="AE1843" i="1"/>
  <c r="AA1843" i="1"/>
  <c r="T1843" i="1"/>
  <c r="P1843" i="1"/>
  <c r="I1843" i="1"/>
  <c r="E1843" i="1"/>
  <c r="AE1842" i="1"/>
  <c r="AA1842" i="1"/>
  <c r="T1842" i="1"/>
  <c r="P1842" i="1"/>
  <c r="I1842" i="1"/>
  <c r="E1842" i="1"/>
  <c r="AE1841" i="1"/>
  <c r="AA1841" i="1"/>
  <c r="T1841" i="1"/>
  <c r="P1841" i="1"/>
  <c r="I1841" i="1"/>
  <c r="E1841" i="1"/>
  <c r="AE1840" i="1"/>
  <c r="AA1840" i="1"/>
  <c r="T1840" i="1"/>
  <c r="P1840" i="1"/>
  <c r="I1840" i="1"/>
  <c r="E1840" i="1"/>
  <c r="AE1839" i="1"/>
  <c r="AA1839" i="1"/>
  <c r="T1839" i="1"/>
  <c r="P1839" i="1"/>
  <c r="I1839" i="1"/>
  <c r="E1839" i="1"/>
  <c r="AE1838" i="1"/>
  <c r="AA1838" i="1"/>
  <c r="T1838" i="1"/>
  <c r="P1838" i="1"/>
  <c r="I1838" i="1"/>
  <c r="E1838" i="1"/>
  <c r="AE1837" i="1"/>
  <c r="AA1837" i="1"/>
  <c r="T1837" i="1"/>
  <c r="P1837" i="1"/>
  <c r="I1837" i="1"/>
  <c r="E1837" i="1"/>
  <c r="AE1836" i="1"/>
  <c r="AA1836" i="1"/>
  <c r="T1836" i="1"/>
  <c r="P1836" i="1"/>
  <c r="I1836" i="1"/>
  <c r="E1836" i="1"/>
  <c r="AE1835" i="1"/>
  <c r="AA1835" i="1"/>
  <c r="T1835" i="1"/>
  <c r="P1835" i="1"/>
  <c r="I1835" i="1"/>
  <c r="E1835" i="1"/>
  <c r="AE1834" i="1"/>
  <c r="AA1834" i="1"/>
  <c r="T1834" i="1"/>
  <c r="P1834" i="1"/>
  <c r="I1834" i="1"/>
  <c r="E1834" i="1"/>
  <c r="AE1833" i="1"/>
  <c r="AA1833" i="1"/>
  <c r="T1833" i="1"/>
  <c r="P1833" i="1"/>
  <c r="I1833" i="1"/>
  <c r="E1833" i="1"/>
  <c r="AE1832" i="1"/>
  <c r="AA1832" i="1"/>
  <c r="T1832" i="1"/>
  <c r="P1832" i="1"/>
  <c r="I1832" i="1"/>
  <c r="E1832" i="1"/>
  <c r="AE1831" i="1"/>
  <c r="AA1831" i="1"/>
  <c r="T1831" i="1"/>
  <c r="P1831" i="1"/>
  <c r="I1831" i="1"/>
  <c r="E1831" i="1"/>
  <c r="AE1830" i="1"/>
  <c r="AA1830" i="1"/>
  <c r="T1830" i="1"/>
  <c r="P1830" i="1"/>
  <c r="I1830" i="1"/>
  <c r="E1830" i="1"/>
  <c r="AE1829" i="1"/>
  <c r="AA1829" i="1"/>
  <c r="T1829" i="1"/>
  <c r="P1829" i="1"/>
  <c r="I1829" i="1"/>
  <c r="E1829" i="1"/>
  <c r="AE1828" i="1"/>
  <c r="AA1828" i="1"/>
  <c r="T1828" i="1"/>
  <c r="P1828" i="1"/>
  <c r="I1828" i="1"/>
  <c r="E1828" i="1"/>
  <c r="AE1827" i="1"/>
  <c r="AA1827" i="1"/>
  <c r="T1827" i="1"/>
  <c r="P1827" i="1"/>
  <c r="I1827" i="1"/>
  <c r="E1827" i="1"/>
  <c r="AE1826" i="1"/>
  <c r="AA1826" i="1"/>
  <c r="T1826" i="1"/>
  <c r="P1826" i="1"/>
  <c r="I1826" i="1"/>
  <c r="E1826" i="1"/>
  <c r="AE1825" i="1"/>
  <c r="AA1825" i="1"/>
  <c r="T1825" i="1"/>
  <c r="P1825" i="1"/>
  <c r="I1825" i="1"/>
  <c r="E1825" i="1"/>
  <c r="AE1824" i="1"/>
  <c r="AA1824" i="1"/>
  <c r="T1824" i="1"/>
  <c r="P1824" i="1"/>
  <c r="I1824" i="1"/>
  <c r="E1824" i="1"/>
  <c r="AE1823" i="1"/>
  <c r="AA1823" i="1"/>
  <c r="T1823" i="1"/>
  <c r="P1823" i="1"/>
  <c r="I1823" i="1"/>
  <c r="E1823" i="1"/>
  <c r="AE1822" i="1"/>
  <c r="AA1822" i="1"/>
  <c r="T1822" i="1"/>
  <c r="P1822" i="1"/>
  <c r="I1822" i="1"/>
  <c r="E1822" i="1"/>
  <c r="AE1821" i="1"/>
  <c r="AA1821" i="1"/>
  <c r="T1821" i="1"/>
  <c r="P1821" i="1"/>
  <c r="I1821" i="1"/>
  <c r="E1821" i="1"/>
  <c r="T1820" i="1"/>
  <c r="P1820" i="1"/>
  <c r="I1820" i="1"/>
  <c r="E1820" i="1"/>
  <c r="AE1818" i="1"/>
  <c r="AA1818" i="1"/>
  <c r="T1818" i="1"/>
  <c r="P1818" i="1"/>
  <c r="I1818" i="1"/>
  <c r="E1818" i="1"/>
  <c r="AE1817" i="1"/>
  <c r="AA1817" i="1"/>
  <c r="T1817" i="1"/>
  <c r="P1817" i="1"/>
  <c r="I1817" i="1"/>
  <c r="E1817" i="1"/>
  <c r="AE1816" i="1"/>
  <c r="AA1816" i="1"/>
  <c r="T1816" i="1"/>
  <c r="P1816" i="1"/>
  <c r="I1816" i="1"/>
  <c r="E1816" i="1"/>
  <c r="AE1815" i="1"/>
  <c r="AA1815" i="1"/>
  <c r="T1815" i="1"/>
  <c r="P1815" i="1"/>
  <c r="I1815" i="1"/>
  <c r="E1815" i="1"/>
  <c r="AE1814" i="1"/>
  <c r="AA1814" i="1"/>
  <c r="T1814" i="1"/>
  <c r="P1814" i="1"/>
  <c r="I1814" i="1"/>
  <c r="E1814" i="1"/>
  <c r="AE1813" i="1"/>
  <c r="AA1813" i="1"/>
  <c r="T1813" i="1"/>
  <c r="P1813" i="1"/>
  <c r="I1813" i="1"/>
  <c r="E1813" i="1"/>
  <c r="AE1812" i="1"/>
  <c r="AA1812" i="1"/>
  <c r="T1812" i="1"/>
  <c r="P1812" i="1"/>
  <c r="I1812" i="1"/>
  <c r="E1812" i="1"/>
  <c r="AE1811" i="1"/>
  <c r="AA1811" i="1"/>
  <c r="T1811" i="1"/>
  <c r="P1811" i="1"/>
  <c r="I1811" i="1"/>
  <c r="E1811" i="1"/>
  <c r="E1795" i="1"/>
  <c r="AE1802" i="1"/>
  <c r="AA1802" i="1"/>
  <c r="T1802" i="1"/>
  <c r="P1802" i="1"/>
  <c r="I1802" i="1"/>
  <c r="E1802" i="1"/>
  <c r="AE1801" i="1"/>
  <c r="AA1801" i="1"/>
  <c r="T1801" i="1"/>
  <c r="P1801" i="1"/>
  <c r="I1801" i="1"/>
  <c r="E1801" i="1"/>
  <c r="AE1800" i="1"/>
  <c r="AA1800" i="1"/>
  <c r="T1800" i="1"/>
  <c r="P1800" i="1"/>
  <c r="I1800" i="1"/>
  <c r="E1800" i="1"/>
  <c r="AE1799" i="1"/>
  <c r="AA1799" i="1"/>
  <c r="T1799" i="1"/>
  <c r="P1799" i="1"/>
  <c r="I1799" i="1"/>
  <c r="E1799" i="1"/>
  <c r="AE1798" i="1"/>
  <c r="AA1798" i="1"/>
  <c r="T1798" i="1"/>
  <c r="P1798" i="1"/>
  <c r="I1798" i="1"/>
  <c r="E1798" i="1"/>
  <c r="AE1797" i="1"/>
  <c r="AA1797" i="1"/>
  <c r="T1797" i="1"/>
  <c r="P1797" i="1"/>
  <c r="I1797" i="1"/>
  <c r="E1797" i="1"/>
  <c r="AE1796" i="1"/>
  <c r="AA1796" i="1"/>
  <c r="T1796" i="1"/>
  <c r="P1796" i="1"/>
  <c r="I1796" i="1"/>
  <c r="E1796" i="1"/>
  <c r="AE1795" i="1"/>
  <c r="AA1795" i="1"/>
  <c r="T1795" i="1"/>
  <c r="P1795" i="1"/>
  <c r="I1795" i="1"/>
  <c r="AE1794" i="1"/>
  <c r="AA1794" i="1"/>
  <c r="T1794" i="1"/>
  <c r="P1794" i="1"/>
  <c r="I1794" i="1"/>
  <c r="E1794" i="1"/>
  <c r="AE1793" i="1"/>
  <c r="AA1793" i="1"/>
  <c r="T1793" i="1"/>
  <c r="P1793" i="1"/>
  <c r="I1793" i="1"/>
  <c r="E1793" i="1"/>
  <c r="AE1792" i="1"/>
  <c r="AA1792" i="1"/>
  <c r="T1792" i="1"/>
  <c r="P1792" i="1"/>
  <c r="I1792" i="1"/>
  <c r="E1792" i="1"/>
  <c r="AE1791" i="1"/>
  <c r="AA1791" i="1"/>
  <c r="T1791" i="1"/>
  <c r="P1791" i="1"/>
  <c r="I1791" i="1"/>
  <c r="E1791" i="1"/>
  <c r="AE1790" i="1"/>
  <c r="AA1790" i="1"/>
  <c r="T1790" i="1"/>
  <c r="P1790" i="1"/>
  <c r="I1790" i="1"/>
  <c r="E1790" i="1"/>
  <c r="AE1789" i="1"/>
  <c r="AA1789" i="1"/>
  <c r="T1789" i="1"/>
  <c r="P1789" i="1"/>
  <c r="I1789" i="1"/>
  <c r="E1789" i="1"/>
  <c r="AE1788" i="1"/>
  <c r="AA1788" i="1"/>
  <c r="T1788" i="1"/>
  <c r="P1788" i="1"/>
  <c r="I1788" i="1"/>
  <c r="E1788" i="1"/>
  <c r="AE1787" i="1"/>
  <c r="AA1787" i="1"/>
  <c r="T1787" i="1"/>
  <c r="P1787" i="1"/>
  <c r="I1787" i="1"/>
  <c r="E1787" i="1"/>
  <c r="AE1786" i="1"/>
  <c r="AA1786" i="1"/>
  <c r="T1786" i="1"/>
  <c r="P1786" i="1"/>
  <c r="I1786" i="1"/>
  <c r="E1786" i="1"/>
  <c r="AE1785" i="1"/>
  <c r="AA1785" i="1"/>
  <c r="T1785" i="1"/>
  <c r="P1785" i="1"/>
  <c r="I1785" i="1"/>
  <c r="E1785" i="1"/>
  <c r="AE1784" i="1"/>
  <c r="AA1784" i="1"/>
  <c r="T1784" i="1"/>
  <c r="P1784" i="1"/>
  <c r="I1784" i="1"/>
  <c r="E1784" i="1"/>
  <c r="AE1783" i="1"/>
  <c r="AA1783" i="1"/>
  <c r="T1783" i="1"/>
  <c r="P1783" i="1"/>
  <c r="I1783" i="1"/>
  <c r="E1783" i="1"/>
  <c r="AE1782" i="1"/>
  <c r="AA1782" i="1"/>
  <c r="T1782" i="1"/>
  <c r="P1782" i="1"/>
  <c r="I1782" i="1"/>
  <c r="E1782" i="1"/>
  <c r="AE1781" i="1"/>
  <c r="AA1781" i="1"/>
  <c r="T1781" i="1"/>
  <c r="P1781" i="1"/>
  <c r="I1781" i="1"/>
  <c r="E1781" i="1"/>
  <c r="AE1780" i="1"/>
  <c r="AA1780" i="1"/>
  <c r="T1780" i="1"/>
  <c r="P1780" i="1"/>
  <c r="I1780" i="1"/>
  <c r="E1780" i="1"/>
  <c r="AE1779" i="1"/>
  <c r="AA1779" i="1"/>
  <c r="T1779" i="1"/>
  <c r="P1779" i="1"/>
  <c r="I1779" i="1"/>
  <c r="E1779" i="1"/>
  <c r="AE1778" i="1"/>
  <c r="AA1778" i="1"/>
  <c r="T1778" i="1"/>
  <c r="P1778" i="1"/>
  <c r="I1778" i="1"/>
  <c r="E1778" i="1"/>
  <c r="T1777" i="1"/>
  <c r="P1777" i="1"/>
  <c r="I1777" i="1"/>
  <c r="E1777" i="1"/>
  <c r="AE1775" i="1"/>
  <c r="AA1775" i="1"/>
  <c r="T1775" i="1"/>
  <c r="P1775" i="1"/>
  <c r="I1775" i="1"/>
  <c r="E1775" i="1"/>
  <c r="AE1774" i="1"/>
  <c r="AA1774" i="1"/>
  <c r="T1774" i="1"/>
  <c r="P1774" i="1"/>
  <c r="I1774" i="1"/>
  <c r="E1774" i="1"/>
  <c r="AE1773" i="1"/>
  <c r="AA1773" i="1"/>
  <c r="T1773" i="1"/>
  <c r="P1773" i="1"/>
  <c r="I1773" i="1"/>
  <c r="E1773" i="1"/>
  <c r="AE1772" i="1"/>
  <c r="AA1772" i="1"/>
  <c r="T1772" i="1"/>
  <c r="P1772" i="1"/>
  <c r="I1772" i="1"/>
  <c r="E1772" i="1"/>
  <c r="AE1771" i="1"/>
  <c r="AA1771" i="1"/>
  <c r="T1771" i="1"/>
  <c r="P1771" i="1"/>
  <c r="I1771" i="1"/>
  <c r="E1771" i="1"/>
  <c r="AE1770" i="1"/>
  <c r="AA1770" i="1"/>
  <c r="T1770" i="1"/>
  <c r="P1770" i="1"/>
  <c r="I1770" i="1"/>
  <c r="E1770" i="1"/>
  <c r="AE1769" i="1"/>
  <c r="AA1769" i="1"/>
  <c r="T1769" i="1"/>
  <c r="P1769" i="1"/>
  <c r="I1769" i="1"/>
  <c r="E1769" i="1"/>
  <c r="AE1768" i="1"/>
  <c r="AA1768" i="1"/>
  <c r="T1768" i="1"/>
  <c r="P1768" i="1"/>
  <c r="I1768" i="1"/>
  <c r="E1768" i="1"/>
  <c r="E1737" i="1"/>
  <c r="I1737" i="1"/>
  <c r="E1738" i="1"/>
  <c r="I1738" i="1"/>
  <c r="E1739" i="1"/>
  <c r="I1739" i="1"/>
  <c r="E1740" i="1"/>
  <c r="I1740" i="1"/>
  <c r="E1741" i="1"/>
  <c r="I1741" i="1"/>
  <c r="AE1735" i="1"/>
  <c r="AA1735" i="1"/>
  <c r="E1725" i="1"/>
  <c r="I1725" i="1"/>
  <c r="T1759" i="1"/>
  <c r="P1759" i="1"/>
  <c r="T1758" i="1"/>
  <c r="P1758" i="1"/>
  <c r="T1757" i="1"/>
  <c r="P1757" i="1"/>
  <c r="T1756" i="1"/>
  <c r="P1756" i="1"/>
  <c r="T1755" i="1"/>
  <c r="P1755" i="1"/>
  <c r="T1754" i="1"/>
  <c r="P1754" i="1"/>
  <c r="T1753" i="1"/>
  <c r="P1753" i="1"/>
  <c r="T1752" i="1"/>
  <c r="P1752" i="1"/>
  <c r="T1751" i="1"/>
  <c r="P1751" i="1"/>
  <c r="T1750" i="1"/>
  <c r="P1750" i="1"/>
  <c r="T1749" i="1"/>
  <c r="P1749" i="1"/>
  <c r="T1748" i="1"/>
  <c r="P1748" i="1"/>
  <c r="T1747" i="1"/>
  <c r="P1747" i="1"/>
  <c r="T1746" i="1"/>
  <c r="P1746" i="1"/>
  <c r="T1745" i="1"/>
  <c r="P1745" i="1"/>
  <c r="T1744" i="1"/>
  <c r="P1744" i="1"/>
  <c r="T1743" i="1"/>
  <c r="P1743" i="1"/>
  <c r="T1742" i="1"/>
  <c r="P1742" i="1"/>
  <c r="T1741" i="1"/>
  <c r="P1741" i="1"/>
  <c r="T1740" i="1"/>
  <c r="P1740" i="1"/>
  <c r="T1739" i="1"/>
  <c r="P1739" i="1"/>
  <c r="T1738" i="1"/>
  <c r="P1738" i="1"/>
  <c r="T1737" i="1"/>
  <c r="P1737" i="1"/>
  <c r="T1736" i="1"/>
  <c r="P1736" i="1"/>
  <c r="T1735" i="1"/>
  <c r="P1735" i="1"/>
  <c r="T1734" i="1"/>
  <c r="P1734" i="1"/>
  <c r="T1732" i="1"/>
  <c r="P1732" i="1"/>
  <c r="T1731" i="1"/>
  <c r="P1731" i="1"/>
  <c r="T1730" i="1"/>
  <c r="P1730" i="1"/>
  <c r="T1729" i="1"/>
  <c r="P1729" i="1"/>
  <c r="T1728" i="1"/>
  <c r="P1728" i="1"/>
  <c r="T1727" i="1"/>
  <c r="P1727" i="1"/>
  <c r="T1726" i="1"/>
  <c r="P1726" i="1"/>
  <c r="T1725" i="1"/>
  <c r="P1725" i="1"/>
  <c r="T1716" i="1"/>
  <c r="P1716" i="1"/>
  <c r="T1715" i="1"/>
  <c r="P1715" i="1"/>
  <c r="T1714" i="1"/>
  <c r="P1714" i="1"/>
  <c r="T1713" i="1"/>
  <c r="P1713" i="1"/>
  <c r="T1712" i="1"/>
  <c r="P1712" i="1"/>
  <c r="T1711" i="1"/>
  <c r="P1711" i="1"/>
  <c r="T1710" i="1"/>
  <c r="P1710" i="1"/>
  <c r="T1709" i="1"/>
  <c r="P1709" i="1"/>
  <c r="T1708" i="1"/>
  <c r="P1708" i="1"/>
  <c r="T1707" i="1"/>
  <c r="P1707" i="1"/>
  <c r="T1706" i="1"/>
  <c r="P1706" i="1"/>
  <c r="T1705" i="1"/>
  <c r="P1705" i="1"/>
  <c r="T1704" i="1"/>
  <c r="P1704" i="1"/>
  <c r="T1703" i="1"/>
  <c r="P1703" i="1"/>
  <c r="T1702" i="1"/>
  <c r="P1702" i="1"/>
  <c r="T1701" i="1"/>
  <c r="P1701" i="1"/>
  <c r="T1700" i="1"/>
  <c r="P1700" i="1"/>
  <c r="T1699" i="1"/>
  <c r="P1699" i="1"/>
  <c r="T1698" i="1"/>
  <c r="P1698" i="1"/>
  <c r="T1697" i="1"/>
  <c r="P1697" i="1"/>
  <c r="T1696" i="1"/>
  <c r="P1696" i="1"/>
  <c r="T1695" i="1"/>
  <c r="P1695" i="1"/>
  <c r="T1694" i="1"/>
  <c r="P1694" i="1"/>
  <c r="T1693" i="1"/>
  <c r="P1693" i="1"/>
  <c r="T1692" i="1"/>
  <c r="P1692" i="1"/>
  <c r="T1691" i="1"/>
  <c r="P1691" i="1"/>
  <c r="T1689" i="1"/>
  <c r="P1689" i="1"/>
  <c r="T1688" i="1"/>
  <c r="P1688" i="1"/>
  <c r="T1687" i="1"/>
  <c r="P1687" i="1"/>
  <c r="T1686" i="1"/>
  <c r="P1686" i="1"/>
  <c r="T1685" i="1"/>
  <c r="P1685" i="1"/>
  <c r="T1684" i="1"/>
  <c r="P1684" i="1"/>
  <c r="T1683" i="1"/>
  <c r="P1683" i="1"/>
  <c r="T1682" i="1"/>
  <c r="P1682" i="1"/>
  <c r="T1681" i="1"/>
  <c r="P1681" i="1"/>
  <c r="AE1736" i="1"/>
  <c r="AE1737" i="1"/>
  <c r="AE1738" i="1"/>
  <c r="AE1759" i="1"/>
  <c r="AA1759" i="1"/>
  <c r="I1759" i="1"/>
  <c r="E1759" i="1"/>
  <c r="AE1758" i="1"/>
  <c r="AA1758" i="1"/>
  <c r="I1758" i="1"/>
  <c r="E1758" i="1"/>
  <c r="AE1757" i="1"/>
  <c r="AA1757" i="1"/>
  <c r="I1757" i="1"/>
  <c r="E1757" i="1"/>
  <c r="AE1756" i="1"/>
  <c r="AA1756" i="1"/>
  <c r="I1756" i="1"/>
  <c r="E1756" i="1"/>
  <c r="AE1755" i="1"/>
  <c r="AA1755" i="1"/>
  <c r="I1755" i="1"/>
  <c r="E1755" i="1"/>
  <c r="AE1754" i="1"/>
  <c r="AA1754" i="1"/>
  <c r="I1754" i="1"/>
  <c r="E1754" i="1"/>
  <c r="AE1753" i="1"/>
  <c r="AA1753" i="1"/>
  <c r="I1753" i="1"/>
  <c r="E1753" i="1"/>
  <c r="AE1752" i="1"/>
  <c r="AA1752" i="1"/>
  <c r="I1752" i="1"/>
  <c r="E1752" i="1"/>
  <c r="AE1751" i="1"/>
  <c r="AA1751" i="1"/>
  <c r="I1751" i="1"/>
  <c r="E1751" i="1"/>
  <c r="AE1750" i="1"/>
  <c r="AA1750" i="1"/>
  <c r="I1750" i="1"/>
  <c r="E1750" i="1"/>
  <c r="AE1749" i="1"/>
  <c r="AA1749" i="1"/>
  <c r="I1749" i="1"/>
  <c r="E1749" i="1"/>
  <c r="AE1748" i="1"/>
  <c r="AA1748" i="1"/>
  <c r="I1748" i="1"/>
  <c r="E1748" i="1"/>
  <c r="AE1747" i="1"/>
  <c r="AA1747" i="1"/>
  <c r="I1747" i="1"/>
  <c r="E1747" i="1"/>
  <c r="AE1746" i="1"/>
  <c r="AA1746" i="1"/>
  <c r="I1746" i="1"/>
  <c r="E1746" i="1"/>
  <c r="AE1745" i="1"/>
  <c r="AA1745" i="1"/>
  <c r="I1745" i="1"/>
  <c r="E1745" i="1"/>
  <c r="AE1744" i="1"/>
  <c r="AA1744" i="1"/>
  <c r="I1744" i="1"/>
  <c r="E1744" i="1"/>
  <c r="AE1743" i="1"/>
  <c r="AA1743" i="1"/>
  <c r="I1743" i="1"/>
  <c r="E1743" i="1"/>
  <c r="AE1742" i="1"/>
  <c r="AA1742" i="1"/>
  <c r="I1742" i="1"/>
  <c r="E1742" i="1"/>
  <c r="AE1741" i="1"/>
  <c r="AA1741" i="1"/>
  <c r="AE1740" i="1"/>
  <c r="AA1740" i="1"/>
  <c r="AE1739" i="1"/>
  <c r="AA1739" i="1"/>
  <c r="AA1738" i="1"/>
  <c r="AA1737" i="1"/>
  <c r="AA1736" i="1"/>
  <c r="I1736" i="1"/>
  <c r="E1736" i="1"/>
  <c r="I1735" i="1"/>
  <c r="E1735" i="1"/>
  <c r="I1734" i="1"/>
  <c r="E1734" i="1"/>
  <c r="AE1732" i="1"/>
  <c r="AA1732" i="1"/>
  <c r="I1732" i="1"/>
  <c r="E1732" i="1"/>
  <c r="AE1731" i="1"/>
  <c r="AA1731" i="1"/>
  <c r="I1731" i="1"/>
  <c r="E1731" i="1"/>
  <c r="AE1730" i="1"/>
  <c r="AA1730" i="1"/>
  <c r="I1730" i="1"/>
  <c r="E1730" i="1"/>
  <c r="AE1729" i="1"/>
  <c r="AA1729" i="1"/>
  <c r="I1729" i="1"/>
  <c r="E1729" i="1"/>
  <c r="AE1728" i="1"/>
  <c r="AA1728" i="1"/>
  <c r="I1728" i="1"/>
  <c r="E1728" i="1"/>
  <c r="AE1727" i="1"/>
  <c r="AA1727" i="1"/>
  <c r="I1727" i="1"/>
  <c r="E1727" i="1"/>
  <c r="AE1726" i="1"/>
  <c r="AA1726" i="1"/>
  <c r="I1726" i="1"/>
  <c r="E1726" i="1"/>
  <c r="AE1725" i="1"/>
  <c r="AA1725" i="1"/>
  <c r="AE1716" i="1"/>
  <c r="AA1716" i="1"/>
  <c r="I1716" i="1"/>
  <c r="E1716" i="1"/>
  <c r="AE1715" i="1"/>
  <c r="AA1715" i="1"/>
  <c r="I1715" i="1"/>
  <c r="E1715" i="1"/>
  <c r="AE1714" i="1"/>
  <c r="AA1714" i="1"/>
  <c r="I1714" i="1"/>
  <c r="E1714" i="1"/>
  <c r="AE1713" i="1"/>
  <c r="AA1713" i="1"/>
  <c r="I1713" i="1"/>
  <c r="E1713" i="1"/>
  <c r="AE1712" i="1"/>
  <c r="AA1712" i="1"/>
  <c r="I1712" i="1"/>
  <c r="E1712" i="1"/>
  <c r="AE1711" i="1"/>
  <c r="AA1711" i="1"/>
  <c r="I1711" i="1"/>
  <c r="E1711" i="1"/>
  <c r="AE1710" i="1"/>
  <c r="AA1710" i="1"/>
  <c r="I1710" i="1"/>
  <c r="E1710" i="1"/>
  <c r="AE1709" i="1"/>
  <c r="AA1709" i="1"/>
  <c r="I1709" i="1"/>
  <c r="E1709" i="1"/>
  <c r="AE1708" i="1"/>
  <c r="AA1708" i="1"/>
  <c r="I1708" i="1"/>
  <c r="E1708" i="1"/>
  <c r="AE1707" i="1"/>
  <c r="AA1707" i="1"/>
  <c r="I1707" i="1"/>
  <c r="E1707" i="1"/>
  <c r="AE1706" i="1"/>
  <c r="AA1706" i="1"/>
  <c r="I1706" i="1"/>
  <c r="E1706" i="1"/>
  <c r="AE1705" i="1"/>
  <c r="AA1705" i="1"/>
  <c r="I1705" i="1"/>
  <c r="E1705" i="1"/>
  <c r="AE1704" i="1"/>
  <c r="AA1704" i="1"/>
  <c r="I1704" i="1"/>
  <c r="E1704" i="1"/>
  <c r="AE1703" i="1"/>
  <c r="AA1703" i="1"/>
  <c r="I1703" i="1"/>
  <c r="E1703" i="1"/>
  <c r="AE1702" i="1"/>
  <c r="AA1702" i="1"/>
  <c r="I1702" i="1"/>
  <c r="E1702" i="1"/>
  <c r="AE1701" i="1"/>
  <c r="AA1701" i="1"/>
  <c r="I1701" i="1"/>
  <c r="E1701" i="1"/>
  <c r="AE1700" i="1"/>
  <c r="AA1700" i="1"/>
  <c r="I1700" i="1"/>
  <c r="E1700" i="1"/>
  <c r="AE1699" i="1"/>
  <c r="AA1699" i="1"/>
  <c r="I1699" i="1"/>
  <c r="E1699" i="1"/>
  <c r="AE1698" i="1"/>
  <c r="AA1698" i="1"/>
  <c r="I1698" i="1"/>
  <c r="E1698" i="1"/>
  <c r="AE1697" i="1"/>
  <c r="AA1697" i="1"/>
  <c r="I1697" i="1"/>
  <c r="E1697" i="1"/>
  <c r="AE1696" i="1"/>
  <c r="AA1696" i="1"/>
  <c r="I1696" i="1"/>
  <c r="E1696" i="1"/>
  <c r="AE1695" i="1"/>
  <c r="AA1695" i="1"/>
  <c r="I1695" i="1"/>
  <c r="E1695" i="1"/>
  <c r="AE1694" i="1"/>
  <c r="AA1694" i="1"/>
  <c r="I1694" i="1"/>
  <c r="E1694" i="1"/>
  <c r="AE1693" i="1"/>
  <c r="AA1693" i="1"/>
  <c r="I1693" i="1"/>
  <c r="E1693" i="1"/>
  <c r="AE1692" i="1"/>
  <c r="AA1692" i="1"/>
  <c r="I1692" i="1"/>
  <c r="E1692" i="1"/>
  <c r="AE1691" i="1"/>
  <c r="AA1691" i="1"/>
  <c r="I1691" i="1"/>
  <c r="E1691" i="1"/>
  <c r="AE1689" i="1"/>
  <c r="AA1689" i="1"/>
  <c r="I1689" i="1"/>
  <c r="E1689" i="1"/>
  <c r="AE1688" i="1"/>
  <c r="AA1688" i="1"/>
  <c r="I1688" i="1"/>
  <c r="E1688" i="1"/>
  <c r="AE1687" i="1"/>
  <c r="AA1687" i="1"/>
  <c r="I1687" i="1"/>
  <c r="E1687" i="1"/>
  <c r="AE1686" i="1"/>
  <c r="AA1686" i="1"/>
  <c r="I1686" i="1"/>
  <c r="E1686" i="1"/>
  <c r="AE1685" i="1"/>
  <c r="AA1685" i="1"/>
  <c r="I1685" i="1"/>
  <c r="E1685" i="1"/>
  <c r="AE1684" i="1"/>
  <c r="AA1684" i="1"/>
  <c r="I1684" i="1"/>
  <c r="E1684" i="1"/>
  <c r="AE1683" i="1"/>
  <c r="AA1683" i="1"/>
  <c r="I1683" i="1"/>
  <c r="E1683" i="1"/>
  <c r="AE1682" i="1"/>
  <c r="AA1682" i="1"/>
  <c r="I1650" i="1"/>
  <c r="E1650" i="1"/>
  <c r="I1673" i="1"/>
  <c r="E1673" i="1"/>
  <c r="E1653" i="1"/>
  <c r="AE1566" i="1"/>
  <c r="AA1566" i="1"/>
  <c r="AE1673" i="1"/>
  <c r="AA1673" i="1"/>
  <c r="AE1672" i="1"/>
  <c r="AA1672" i="1"/>
  <c r="I1672" i="1"/>
  <c r="E1672" i="1"/>
  <c r="AE1671" i="1"/>
  <c r="AA1671" i="1"/>
  <c r="I1671" i="1"/>
  <c r="E1671" i="1"/>
  <c r="AE1670" i="1"/>
  <c r="AA1670" i="1"/>
  <c r="I1670" i="1"/>
  <c r="E1670" i="1"/>
  <c r="AE1669" i="1"/>
  <c r="AA1669" i="1"/>
  <c r="I1669" i="1"/>
  <c r="E1669" i="1"/>
  <c r="AE1668" i="1"/>
  <c r="AA1668" i="1"/>
  <c r="I1668" i="1"/>
  <c r="E1668" i="1"/>
  <c r="AE1667" i="1"/>
  <c r="AA1667" i="1"/>
  <c r="I1667" i="1"/>
  <c r="E1667" i="1"/>
  <c r="AE1666" i="1"/>
  <c r="AA1666" i="1"/>
  <c r="I1666" i="1"/>
  <c r="E1666" i="1"/>
  <c r="AE1665" i="1"/>
  <c r="AA1665" i="1"/>
  <c r="I1665" i="1"/>
  <c r="E1665" i="1"/>
  <c r="AE1664" i="1"/>
  <c r="AA1664" i="1"/>
  <c r="I1664" i="1"/>
  <c r="E1664" i="1"/>
  <c r="AE1663" i="1"/>
  <c r="AA1663" i="1"/>
  <c r="I1663" i="1"/>
  <c r="E1663" i="1"/>
  <c r="AE1662" i="1"/>
  <c r="AA1662" i="1"/>
  <c r="I1662" i="1"/>
  <c r="E1662" i="1"/>
  <c r="AE1661" i="1"/>
  <c r="AA1661" i="1"/>
  <c r="I1661" i="1"/>
  <c r="E1661" i="1"/>
  <c r="AE1660" i="1"/>
  <c r="AA1660" i="1"/>
  <c r="I1660" i="1"/>
  <c r="E1660" i="1"/>
  <c r="AE1659" i="1"/>
  <c r="AA1659" i="1"/>
  <c r="I1659" i="1"/>
  <c r="E1659" i="1"/>
  <c r="AE1658" i="1"/>
  <c r="AA1658" i="1"/>
  <c r="I1658" i="1"/>
  <c r="E1658" i="1"/>
  <c r="AE1657" i="1"/>
  <c r="AA1657" i="1"/>
  <c r="I1657" i="1"/>
  <c r="E1657" i="1"/>
  <c r="AE1656" i="1"/>
  <c r="AA1656" i="1"/>
  <c r="I1656" i="1"/>
  <c r="E1656" i="1"/>
  <c r="AE1655" i="1"/>
  <c r="AA1655" i="1"/>
  <c r="I1655" i="1"/>
  <c r="E1655" i="1"/>
  <c r="AE1654" i="1"/>
  <c r="AA1654" i="1"/>
  <c r="I1654" i="1"/>
  <c r="E1654" i="1"/>
  <c r="AE1653" i="1"/>
  <c r="AA1653" i="1"/>
  <c r="I1653" i="1"/>
  <c r="AE1652" i="1"/>
  <c r="AA1652" i="1"/>
  <c r="I1652" i="1"/>
  <c r="E1652" i="1"/>
  <c r="AE1651" i="1"/>
  <c r="AA1651" i="1"/>
  <c r="I1651" i="1"/>
  <c r="E1651" i="1"/>
  <c r="AE1650" i="1"/>
  <c r="AA1650" i="1"/>
  <c r="AE1649" i="1"/>
  <c r="AA1649" i="1"/>
  <c r="I1649" i="1"/>
  <c r="E1649" i="1"/>
  <c r="AE1648" i="1"/>
  <c r="AA1648" i="1"/>
  <c r="I1648" i="1"/>
  <c r="E1648" i="1"/>
  <c r="AE1646" i="1"/>
  <c r="AA1646" i="1"/>
  <c r="I1646" i="1"/>
  <c r="E1646" i="1"/>
  <c r="AE1645" i="1"/>
  <c r="AA1645" i="1"/>
  <c r="I1645" i="1"/>
  <c r="E1645" i="1"/>
  <c r="AE1644" i="1"/>
  <c r="AA1644" i="1"/>
  <c r="I1644" i="1"/>
  <c r="E1644" i="1"/>
  <c r="AE1643" i="1"/>
  <c r="AA1643" i="1"/>
  <c r="I1643" i="1"/>
  <c r="E1643" i="1"/>
  <c r="AE1642" i="1"/>
  <c r="AA1642" i="1"/>
  <c r="I1642" i="1"/>
  <c r="E1642" i="1"/>
  <c r="AE1641" i="1"/>
  <c r="AA1641" i="1"/>
  <c r="I1641" i="1"/>
  <c r="E1641" i="1"/>
  <c r="AE1640" i="1"/>
  <c r="AA1640" i="1"/>
  <c r="I1640" i="1"/>
  <c r="E1640" i="1"/>
  <c r="AE1639" i="1"/>
  <c r="AA1639" i="1"/>
  <c r="I1639" i="1"/>
  <c r="E1639" i="1"/>
  <c r="AE1630" i="1"/>
  <c r="AA1630" i="1"/>
  <c r="I1630" i="1"/>
  <c r="E1630" i="1"/>
  <c r="AE1629" i="1"/>
  <c r="AA1629" i="1"/>
  <c r="I1629" i="1"/>
  <c r="E1629" i="1"/>
  <c r="AE1628" i="1"/>
  <c r="AA1628" i="1"/>
  <c r="I1628" i="1"/>
  <c r="E1628" i="1"/>
  <c r="AE1627" i="1"/>
  <c r="AA1627" i="1"/>
  <c r="I1627" i="1"/>
  <c r="E1627" i="1"/>
  <c r="AE1626" i="1"/>
  <c r="AA1626" i="1"/>
  <c r="I1626" i="1"/>
  <c r="E1626" i="1"/>
  <c r="AE1625" i="1"/>
  <c r="AA1625" i="1"/>
  <c r="I1625" i="1"/>
  <c r="E1625" i="1"/>
  <c r="AE1624" i="1"/>
  <c r="AA1624" i="1"/>
  <c r="I1624" i="1"/>
  <c r="E1624" i="1"/>
  <c r="AE1623" i="1"/>
  <c r="AA1623" i="1"/>
  <c r="I1623" i="1"/>
  <c r="E1623" i="1"/>
  <c r="AE1622" i="1"/>
  <c r="AA1622" i="1"/>
  <c r="I1622" i="1"/>
  <c r="E1622" i="1"/>
  <c r="AE1621" i="1"/>
  <c r="AA1621" i="1"/>
  <c r="I1621" i="1"/>
  <c r="E1621" i="1"/>
  <c r="AE1620" i="1"/>
  <c r="AA1620" i="1"/>
  <c r="I1620" i="1"/>
  <c r="E1620" i="1"/>
  <c r="AE1619" i="1"/>
  <c r="AA1619" i="1"/>
  <c r="I1619" i="1"/>
  <c r="E1619" i="1"/>
  <c r="AE1618" i="1"/>
  <c r="AA1618" i="1"/>
  <c r="I1618" i="1"/>
  <c r="E1618" i="1"/>
  <c r="AE1617" i="1"/>
  <c r="AA1617" i="1"/>
  <c r="I1617" i="1"/>
  <c r="E1617" i="1"/>
  <c r="AE1616" i="1"/>
  <c r="AA1616" i="1"/>
  <c r="I1616" i="1"/>
  <c r="E1616" i="1"/>
  <c r="AE1615" i="1"/>
  <c r="AA1615" i="1"/>
  <c r="I1615" i="1"/>
  <c r="E1615" i="1"/>
  <c r="AE1614" i="1"/>
  <c r="AA1614" i="1"/>
  <c r="I1614" i="1"/>
  <c r="E1614" i="1"/>
  <c r="AE1613" i="1"/>
  <c r="AA1613" i="1"/>
  <c r="I1613" i="1"/>
  <c r="E1613" i="1"/>
  <c r="AE1612" i="1"/>
  <c r="AA1612" i="1"/>
  <c r="I1612" i="1"/>
  <c r="E1612" i="1"/>
  <c r="AE1611" i="1"/>
  <c r="AA1611" i="1"/>
  <c r="I1611" i="1"/>
  <c r="E1611" i="1"/>
  <c r="AE1610" i="1"/>
  <c r="AA1610" i="1"/>
  <c r="I1610" i="1"/>
  <c r="E1610" i="1"/>
  <c r="AE1609" i="1"/>
  <c r="AA1609" i="1"/>
  <c r="I1609" i="1"/>
  <c r="E1609" i="1"/>
  <c r="AE1608" i="1"/>
  <c r="AA1608" i="1"/>
  <c r="I1608" i="1"/>
  <c r="E1608" i="1"/>
  <c r="AE1607" i="1"/>
  <c r="AA1607" i="1"/>
  <c r="I1607" i="1"/>
  <c r="E1607" i="1"/>
  <c r="AE1606" i="1"/>
  <c r="AA1606" i="1"/>
  <c r="I1606" i="1"/>
  <c r="E1606" i="1"/>
  <c r="AE1605" i="1"/>
  <c r="AA1605" i="1"/>
  <c r="I1605" i="1"/>
  <c r="E1605" i="1"/>
  <c r="AE1603" i="1"/>
  <c r="AA1603" i="1"/>
  <c r="I1603" i="1"/>
  <c r="E1603" i="1"/>
  <c r="AE1602" i="1"/>
  <c r="AA1602" i="1"/>
  <c r="I1602" i="1"/>
  <c r="E1602" i="1"/>
  <c r="AE1601" i="1"/>
  <c r="AA1601" i="1"/>
  <c r="I1601" i="1"/>
  <c r="E1601" i="1"/>
  <c r="AE1600" i="1"/>
  <c r="AA1600" i="1"/>
  <c r="I1600" i="1"/>
  <c r="E1600" i="1"/>
  <c r="AE1599" i="1"/>
  <c r="AA1599" i="1"/>
  <c r="I1599" i="1"/>
  <c r="E1599" i="1"/>
  <c r="AE1598" i="1"/>
  <c r="AA1598" i="1"/>
  <c r="I1598" i="1"/>
  <c r="E1598" i="1"/>
  <c r="AE1597" i="1"/>
  <c r="AA1597" i="1"/>
  <c r="I1597" i="1"/>
  <c r="E1597" i="1"/>
  <c r="AE1596" i="1"/>
  <c r="AA1596" i="1"/>
  <c r="I1596" i="1"/>
  <c r="E1596" i="1"/>
  <c r="AE1472" i="1"/>
  <c r="AA1472" i="1"/>
  <c r="AE1471" i="1"/>
  <c r="AA1471" i="1"/>
  <c r="I1498" i="1"/>
  <c r="E1498" i="1"/>
  <c r="AE1587" i="1"/>
  <c r="AA1587" i="1"/>
  <c r="I1587" i="1"/>
  <c r="E1587" i="1"/>
  <c r="AE1586" i="1"/>
  <c r="AA1586" i="1"/>
  <c r="I1586" i="1"/>
  <c r="E1586" i="1"/>
  <c r="AE1585" i="1"/>
  <c r="AA1585" i="1"/>
  <c r="I1585" i="1"/>
  <c r="E1585" i="1"/>
  <c r="AE1584" i="1"/>
  <c r="AA1584" i="1"/>
  <c r="I1584" i="1"/>
  <c r="E1584" i="1"/>
  <c r="AE1583" i="1"/>
  <c r="AA1583" i="1"/>
  <c r="I1583" i="1"/>
  <c r="E1583" i="1"/>
  <c r="AE1582" i="1"/>
  <c r="AA1582" i="1"/>
  <c r="I1582" i="1"/>
  <c r="E1582" i="1"/>
  <c r="AE1581" i="1"/>
  <c r="AA1581" i="1"/>
  <c r="I1581" i="1"/>
  <c r="E1581" i="1"/>
  <c r="AE1580" i="1"/>
  <c r="AA1580" i="1"/>
  <c r="I1580" i="1"/>
  <c r="E1580" i="1"/>
  <c r="AE1579" i="1"/>
  <c r="AA1579" i="1"/>
  <c r="I1579" i="1"/>
  <c r="E1579" i="1"/>
  <c r="AE1578" i="1"/>
  <c r="AA1578" i="1"/>
  <c r="I1578" i="1"/>
  <c r="E1578" i="1"/>
  <c r="AE1577" i="1"/>
  <c r="AA1577" i="1"/>
  <c r="I1577" i="1"/>
  <c r="E1577" i="1"/>
  <c r="AE1576" i="1"/>
  <c r="AA1576" i="1"/>
  <c r="I1576" i="1"/>
  <c r="E1576" i="1"/>
  <c r="AE1575" i="1"/>
  <c r="AA1575" i="1"/>
  <c r="I1575" i="1"/>
  <c r="E1575" i="1"/>
  <c r="AE1574" i="1"/>
  <c r="AA1574" i="1"/>
  <c r="I1574" i="1"/>
  <c r="E1574" i="1"/>
  <c r="AE1573" i="1"/>
  <c r="AA1573" i="1"/>
  <c r="I1573" i="1"/>
  <c r="E1573" i="1"/>
  <c r="AE1572" i="1"/>
  <c r="AA1572" i="1"/>
  <c r="I1572" i="1"/>
  <c r="E1572" i="1"/>
  <c r="AE1571" i="1"/>
  <c r="AA1571" i="1"/>
  <c r="I1571" i="1"/>
  <c r="E1571" i="1"/>
  <c r="AE1570" i="1"/>
  <c r="AA1570" i="1"/>
  <c r="I1570" i="1"/>
  <c r="E1570" i="1"/>
  <c r="AE1569" i="1"/>
  <c r="AA1569" i="1"/>
  <c r="I1569" i="1"/>
  <c r="E1569" i="1"/>
  <c r="AE1568" i="1"/>
  <c r="AA1568" i="1"/>
  <c r="I1568" i="1"/>
  <c r="E1568" i="1"/>
  <c r="AE1567" i="1"/>
  <c r="AA1567" i="1"/>
  <c r="I1567" i="1"/>
  <c r="E1567" i="1"/>
  <c r="I1566" i="1"/>
  <c r="E1566" i="1"/>
  <c r="AE1565" i="1"/>
  <c r="AA1565" i="1"/>
  <c r="I1565" i="1"/>
  <c r="E1565" i="1"/>
  <c r="AE1564" i="1"/>
  <c r="AA1564" i="1"/>
  <c r="I1564" i="1"/>
  <c r="E1564" i="1"/>
  <c r="AE1563" i="1"/>
  <c r="AA1563" i="1"/>
  <c r="I1563" i="1"/>
  <c r="E1563" i="1"/>
  <c r="AE1562" i="1"/>
  <c r="AA1562" i="1"/>
  <c r="I1562" i="1"/>
  <c r="E1562" i="1"/>
  <c r="AE1560" i="1"/>
  <c r="AA1560" i="1"/>
  <c r="I1560" i="1"/>
  <c r="E1560" i="1"/>
  <c r="AE1559" i="1"/>
  <c r="AA1559" i="1"/>
  <c r="I1559" i="1"/>
  <c r="E1559" i="1"/>
  <c r="AE1558" i="1"/>
  <c r="AA1558" i="1"/>
  <c r="I1558" i="1"/>
  <c r="E1558" i="1"/>
  <c r="AE1557" i="1"/>
  <c r="AA1557" i="1"/>
  <c r="I1557" i="1"/>
  <c r="E1557" i="1"/>
  <c r="AE1556" i="1"/>
  <c r="AA1556" i="1"/>
  <c r="I1556" i="1"/>
  <c r="E1556" i="1"/>
  <c r="AE1555" i="1"/>
  <c r="AA1555" i="1"/>
  <c r="I1555" i="1"/>
  <c r="E1555" i="1"/>
  <c r="AE1554" i="1"/>
  <c r="AA1554" i="1"/>
  <c r="I1554" i="1"/>
  <c r="E1554" i="1"/>
  <c r="AE1553" i="1"/>
  <c r="AA1553" i="1"/>
  <c r="I1553" i="1"/>
  <c r="E1553" i="1"/>
  <c r="I1481" i="1"/>
  <c r="E1481" i="1"/>
  <c r="AE1482" i="1"/>
  <c r="AA1482" i="1"/>
  <c r="I1501" i="1"/>
  <c r="E1501" i="1"/>
  <c r="AE1544" i="1"/>
  <c r="AA1544" i="1"/>
  <c r="I1544" i="1"/>
  <c r="E1544" i="1"/>
  <c r="AE1543" i="1"/>
  <c r="AA1543" i="1"/>
  <c r="I1543" i="1"/>
  <c r="E1543" i="1"/>
  <c r="AE1542" i="1"/>
  <c r="AA1542" i="1"/>
  <c r="I1542" i="1"/>
  <c r="E1542" i="1"/>
  <c r="AE1541" i="1"/>
  <c r="AA1541" i="1"/>
  <c r="I1541" i="1"/>
  <c r="E1541" i="1"/>
  <c r="AE1540" i="1"/>
  <c r="AA1540" i="1"/>
  <c r="I1540" i="1"/>
  <c r="E1540" i="1"/>
  <c r="AE1539" i="1"/>
  <c r="AA1539" i="1"/>
  <c r="I1539" i="1"/>
  <c r="E1539" i="1"/>
  <c r="AE1538" i="1"/>
  <c r="AA1538" i="1"/>
  <c r="I1538" i="1"/>
  <c r="E1538" i="1"/>
  <c r="AE1537" i="1"/>
  <c r="AA1537" i="1"/>
  <c r="I1537" i="1"/>
  <c r="E1537" i="1"/>
  <c r="AE1536" i="1"/>
  <c r="AA1536" i="1"/>
  <c r="I1536" i="1"/>
  <c r="E1536" i="1"/>
  <c r="AE1535" i="1"/>
  <c r="AA1535" i="1"/>
  <c r="I1535" i="1"/>
  <c r="E1535" i="1"/>
  <c r="AE1534" i="1"/>
  <c r="AA1534" i="1"/>
  <c r="I1534" i="1"/>
  <c r="E1534" i="1"/>
  <c r="AE1533" i="1"/>
  <c r="AA1533" i="1"/>
  <c r="I1533" i="1"/>
  <c r="E1533" i="1"/>
  <c r="AE1532" i="1"/>
  <c r="AA1532" i="1"/>
  <c r="I1532" i="1"/>
  <c r="E1532" i="1"/>
  <c r="AE1531" i="1"/>
  <c r="AA1531" i="1"/>
  <c r="I1531" i="1"/>
  <c r="E1531" i="1"/>
  <c r="AE1530" i="1"/>
  <c r="AA1530" i="1"/>
  <c r="I1530" i="1"/>
  <c r="E1530" i="1"/>
  <c r="AE1529" i="1"/>
  <c r="AA1529" i="1"/>
  <c r="I1529" i="1"/>
  <c r="E1529" i="1"/>
  <c r="AE1528" i="1"/>
  <c r="AA1528" i="1"/>
  <c r="I1528" i="1"/>
  <c r="E1528" i="1"/>
  <c r="AE1527" i="1"/>
  <c r="AA1527" i="1"/>
  <c r="I1527" i="1"/>
  <c r="E1527" i="1"/>
  <c r="AE1526" i="1"/>
  <c r="AA1526" i="1"/>
  <c r="I1526" i="1"/>
  <c r="E1526" i="1"/>
  <c r="AE1525" i="1"/>
  <c r="AA1525" i="1"/>
  <c r="I1525" i="1"/>
  <c r="E1525" i="1"/>
  <c r="AE1524" i="1"/>
  <c r="AA1524" i="1"/>
  <c r="I1524" i="1"/>
  <c r="E1524" i="1"/>
  <c r="AE1523" i="1"/>
  <c r="AA1523" i="1"/>
  <c r="I1523" i="1"/>
  <c r="E1523" i="1"/>
  <c r="AE1522" i="1"/>
  <c r="AA1522" i="1"/>
  <c r="I1522" i="1"/>
  <c r="E1522" i="1"/>
  <c r="AE1521" i="1"/>
  <c r="AA1521" i="1"/>
  <c r="I1521" i="1"/>
  <c r="E1521" i="1"/>
  <c r="AE1520" i="1"/>
  <c r="AA1520" i="1"/>
  <c r="I1520" i="1"/>
  <c r="E1520" i="1"/>
  <c r="AE1519" i="1"/>
  <c r="AA1519" i="1"/>
  <c r="I1519" i="1"/>
  <c r="E1519" i="1"/>
  <c r="AE1517" i="1"/>
  <c r="AA1517" i="1"/>
  <c r="I1517" i="1"/>
  <c r="E1517" i="1"/>
  <c r="AE1516" i="1"/>
  <c r="AA1516" i="1"/>
  <c r="I1516" i="1"/>
  <c r="E1516" i="1"/>
  <c r="AE1515" i="1"/>
  <c r="AA1515" i="1"/>
  <c r="I1515" i="1"/>
  <c r="E1515" i="1"/>
  <c r="AE1514" i="1"/>
  <c r="AA1514" i="1"/>
  <c r="I1514" i="1"/>
  <c r="E1514" i="1"/>
  <c r="AE1513" i="1"/>
  <c r="AA1513" i="1"/>
  <c r="I1513" i="1"/>
  <c r="E1513" i="1"/>
  <c r="AE1512" i="1"/>
  <c r="AA1512" i="1"/>
  <c r="I1512" i="1"/>
  <c r="E1512" i="1"/>
  <c r="AE1511" i="1"/>
  <c r="AA1511" i="1"/>
  <c r="I1511" i="1"/>
  <c r="E1511" i="1"/>
  <c r="AE1510" i="1"/>
  <c r="AA1510" i="1"/>
  <c r="I1510" i="1"/>
  <c r="E1510" i="1"/>
  <c r="AE1476" i="1"/>
  <c r="AA1476" i="1"/>
  <c r="I1456" i="1"/>
  <c r="E1456" i="1"/>
  <c r="AE1440" i="1"/>
  <c r="AA1440" i="1"/>
  <c r="AE1458" i="1"/>
  <c r="AA1458" i="1"/>
  <c r="AE1469" i="1"/>
  <c r="AA1469" i="1"/>
  <c r="AE1427" i="1"/>
  <c r="AA1427" i="1"/>
  <c r="AE1426" i="1"/>
  <c r="AA1426" i="1"/>
  <c r="AE1470" i="1"/>
  <c r="AA1470" i="1"/>
  <c r="I1500" i="1"/>
  <c r="E1500" i="1"/>
  <c r="I1499" i="1"/>
  <c r="E1499" i="1"/>
  <c r="I1497" i="1"/>
  <c r="E1497" i="1"/>
  <c r="I1496" i="1"/>
  <c r="E1496" i="1"/>
  <c r="I1495" i="1"/>
  <c r="E1495" i="1"/>
  <c r="I1494" i="1"/>
  <c r="E1494" i="1"/>
  <c r="I1493" i="1"/>
  <c r="E1493" i="1"/>
  <c r="I1492" i="1"/>
  <c r="E1492" i="1"/>
  <c r="I1491" i="1"/>
  <c r="E1491" i="1"/>
  <c r="I1490" i="1"/>
  <c r="E1490" i="1"/>
  <c r="I1489" i="1"/>
  <c r="E1489" i="1"/>
  <c r="I1488" i="1"/>
  <c r="E1488" i="1"/>
  <c r="I1487" i="1"/>
  <c r="E1487" i="1"/>
  <c r="I1486" i="1"/>
  <c r="E1486" i="1"/>
  <c r="I1485" i="1"/>
  <c r="E1485" i="1"/>
  <c r="I1484" i="1"/>
  <c r="E1484" i="1"/>
  <c r="I1483" i="1"/>
  <c r="E1483" i="1"/>
  <c r="I1482" i="1"/>
  <c r="E1482" i="1"/>
  <c r="I1480" i="1"/>
  <c r="E1480" i="1"/>
  <c r="I1479" i="1"/>
  <c r="E1479" i="1"/>
  <c r="I1478" i="1"/>
  <c r="E1478" i="1"/>
  <c r="I1477" i="1"/>
  <c r="E1477" i="1"/>
  <c r="I1476" i="1"/>
  <c r="E1476" i="1"/>
  <c r="I1474" i="1"/>
  <c r="E1474" i="1"/>
  <c r="I1473" i="1"/>
  <c r="E1473" i="1"/>
  <c r="I1472" i="1"/>
  <c r="E1472" i="1"/>
  <c r="I1471" i="1"/>
  <c r="E1471" i="1"/>
  <c r="I1470" i="1"/>
  <c r="E1470" i="1"/>
  <c r="I1469" i="1"/>
  <c r="E1469" i="1"/>
  <c r="I1468" i="1"/>
  <c r="E1468" i="1"/>
  <c r="I1467" i="1"/>
  <c r="E1467" i="1"/>
  <c r="AE1501" i="1"/>
  <c r="AA1501" i="1"/>
  <c r="AE1500" i="1"/>
  <c r="AA1500" i="1"/>
  <c r="AE1499" i="1"/>
  <c r="AA1499" i="1"/>
  <c r="AE1498" i="1"/>
  <c r="AA1498" i="1"/>
  <c r="AE1497" i="1"/>
  <c r="AA1497" i="1"/>
  <c r="AE1496" i="1"/>
  <c r="AA1496" i="1"/>
  <c r="AE1495" i="1"/>
  <c r="AA1495" i="1"/>
  <c r="AE1494" i="1"/>
  <c r="AA1494" i="1"/>
  <c r="AE1493" i="1"/>
  <c r="AA1493" i="1"/>
  <c r="AE1492" i="1"/>
  <c r="AA1492" i="1"/>
  <c r="AE1491" i="1"/>
  <c r="AA1491" i="1"/>
  <c r="AE1490" i="1"/>
  <c r="AA1490" i="1"/>
  <c r="AE1489" i="1"/>
  <c r="AA1489" i="1"/>
  <c r="AE1488" i="1"/>
  <c r="AA1488" i="1"/>
  <c r="AE1487" i="1"/>
  <c r="AA1487" i="1"/>
  <c r="AE1486" i="1"/>
  <c r="AA1486" i="1"/>
  <c r="AE1485" i="1"/>
  <c r="AA1485" i="1"/>
  <c r="AE1484" i="1"/>
  <c r="AA1484" i="1"/>
  <c r="AE1483" i="1"/>
  <c r="AA1483" i="1"/>
  <c r="AE1481" i="1"/>
  <c r="AA1481" i="1"/>
  <c r="AE1480" i="1"/>
  <c r="AA1480" i="1"/>
  <c r="AE1479" i="1"/>
  <c r="AA1479" i="1"/>
  <c r="AE1478" i="1"/>
  <c r="AA1478" i="1"/>
  <c r="AE1477" i="1"/>
  <c r="AA1477" i="1"/>
  <c r="AE1474" i="1"/>
  <c r="AA1474" i="1"/>
  <c r="AE1473" i="1"/>
  <c r="AA1473" i="1"/>
  <c r="AE1468" i="1"/>
  <c r="AA1468" i="1"/>
  <c r="AE1467" i="1"/>
  <c r="AA1467" i="1"/>
  <c r="AE1415" i="1"/>
  <c r="AA1415" i="1"/>
  <c r="AE1414" i="1"/>
  <c r="AA1414" i="1"/>
  <c r="AE1429" i="1"/>
  <c r="AA1429" i="1"/>
  <c r="AE1385" i="1"/>
  <c r="AA1385" i="1"/>
  <c r="AE1387" i="1"/>
  <c r="AA1387" i="1"/>
  <c r="I1458" i="1"/>
  <c r="E1458" i="1"/>
  <c r="I1457" i="1"/>
  <c r="E1457" i="1"/>
  <c r="I1455" i="1"/>
  <c r="E1455" i="1"/>
  <c r="I1454" i="1"/>
  <c r="E1454" i="1"/>
  <c r="I1453" i="1"/>
  <c r="E1453" i="1"/>
  <c r="I1452" i="1"/>
  <c r="E1452" i="1"/>
  <c r="I1451" i="1"/>
  <c r="E1451" i="1"/>
  <c r="I1450" i="1"/>
  <c r="E1450" i="1"/>
  <c r="I1449" i="1"/>
  <c r="E1449" i="1"/>
  <c r="I1448" i="1"/>
  <c r="E1448" i="1"/>
  <c r="I1447" i="1"/>
  <c r="E1447" i="1"/>
  <c r="I1446" i="1"/>
  <c r="E1446" i="1"/>
  <c r="I1445" i="1"/>
  <c r="E1445" i="1"/>
  <c r="I1444" i="1"/>
  <c r="E1444" i="1"/>
  <c r="I1443" i="1"/>
  <c r="E1443" i="1"/>
  <c r="I1442" i="1"/>
  <c r="E1442" i="1"/>
  <c r="I1441" i="1"/>
  <c r="E1441" i="1"/>
  <c r="I1440" i="1"/>
  <c r="E1440" i="1"/>
  <c r="I1439" i="1"/>
  <c r="E1439" i="1"/>
  <c r="I1438" i="1"/>
  <c r="E1438" i="1"/>
  <c r="I1437" i="1"/>
  <c r="E1437" i="1"/>
  <c r="I1436" i="1"/>
  <c r="E1436" i="1"/>
  <c r="I1435" i="1"/>
  <c r="E1435" i="1"/>
  <c r="I1434" i="1"/>
  <c r="E1434" i="1"/>
  <c r="I1433" i="1"/>
  <c r="E1433" i="1"/>
  <c r="I1431" i="1"/>
  <c r="E1431" i="1"/>
  <c r="I1430" i="1"/>
  <c r="E1430" i="1"/>
  <c r="I1429" i="1"/>
  <c r="E1429" i="1"/>
  <c r="I1428" i="1"/>
  <c r="E1428" i="1"/>
  <c r="I1427" i="1"/>
  <c r="E1427" i="1"/>
  <c r="I1426" i="1"/>
  <c r="E1426" i="1"/>
  <c r="I1425" i="1"/>
  <c r="E1425" i="1"/>
  <c r="I1424" i="1"/>
  <c r="E1424" i="1"/>
  <c r="AE1457" i="1"/>
  <c r="AA1457" i="1"/>
  <c r="AE1456" i="1"/>
  <c r="AA1456" i="1"/>
  <c r="AE1455" i="1"/>
  <c r="AA1455" i="1"/>
  <c r="AE1454" i="1"/>
  <c r="AA1454" i="1"/>
  <c r="AE1453" i="1"/>
  <c r="AA1453" i="1"/>
  <c r="AE1452" i="1"/>
  <c r="AA1452" i="1"/>
  <c r="AE1451" i="1"/>
  <c r="AA1451" i="1"/>
  <c r="AE1450" i="1"/>
  <c r="AA1450" i="1"/>
  <c r="AE1449" i="1"/>
  <c r="AA1449" i="1"/>
  <c r="AE1448" i="1"/>
  <c r="AA1448" i="1"/>
  <c r="AE1447" i="1"/>
  <c r="AA1447" i="1"/>
  <c r="AE1446" i="1"/>
  <c r="AA1446" i="1"/>
  <c r="AE1445" i="1"/>
  <c r="AA1445" i="1"/>
  <c r="AE1444" i="1"/>
  <c r="AA1444" i="1"/>
  <c r="AE1443" i="1"/>
  <c r="AA1443" i="1"/>
  <c r="AE1442" i="1"/>
  <c r="AA1442" i="1"/>
  <c r="AE1441" i="1"/>
  <c r="AA1441" i="1"/>
  <c r="AE1439" i="1"/>
  <c r="AA1439" i="1"/>
  <c r="AE1438" i="1"/>
  <c r="AA1438" i="1"/>
  <c r="AE1437" i="1"/>
  <c r="AA1437" i="1"/>
  <c r="AE1436" i="1"/>
  <c r="AA1436" i="1"/>
  <c r="AE1435" i="1"/>
  <c r="AA1435" i="1"/>
  <c r="AE1434" i="1"/>
  <c r="AA1434" i="1"/>
  <c r="AE1433" i="1"/>
  <c r="AA1433" i="1"/>
  <c r="AE1431" i="1"/>
  <c r="AA1431" i="1"/>
  <c r="AE1430" i="1"/>
  <c r="AA1430" i="1"/>
  <c r="AE1428" i="1"/>
  <c r="AA1428" i="1"/>
  <c r="AE1425" i="1"/>
  <c r="AA1425" i="1"/>
  <c r="AE1424" i="1"/>
  <c r="AA1424" i="1"/>
  <c r="I1344" i="1"/>
  <c r="E1344" i="1"/>
  <c r="E1345" i="1"/>
  <c r="I1345" i="1"/>
  <c r="AE1360" i="1"/>
  <c r="AA1360" i="1"/>
  <c r="I1415" i="1"/>
  <c r="E1415" i="1"/>
  <c r="I1414" i="1"/>
  <c r="E1414" i="1"/>
  <c r="AE1413" i="1"/>
  <c r="AA1413" i="1"/>
  <c r="I1413" i="1"/>
  <c r="E1413" i="1"/>
  <c r="AE1412" i="1"/>
  <c r="AA1412" i="1"/>
  <c r="I1412" i="1"/>
  <c r="E1412" i="1"/>
  <c r="AE1411" i="1"/>
  <c r="AA1411" i="1"/>
  <c r="I1411" i="1"/>
  <c r="E1411" i="1"/>
  <c r="AE1410" i="1"/>
  <c r="AA1410" i="1"/>
  <c r="I1410" i="1"/>
  <c r="E1410" i="1"/>
  <c r="AE1409" i="1"/>
  <c r="AA1409" i="1"/>
  <c r="I1409" i="1"/>
  <c r="E1409" i="1"/>
  <c r="AE1408" i="1"/>
  <c r="AA1408" i="1"/>
  <c r="I1408" i="1"/>
  <c r="E1408" i="1"/>
  <c r="AE1407" i="1"/>
  <c r="AA1407" i="1"/>
  <c r="I1407" i="1"/>
  <c r="E1407" i="1"/>
  <c r="AE1406" i="1"/>
  <c r="AA1406" i="1"/>
  <c r="I1406" i="1"/>
  <c r="E1406" i="1"/>
  <c r="AE1405" i="1"/>
  <c r="AA1405" i="1"/>
  <c r="I1405" i="1"/>
  <c r="E1405" i="1"/>
  <c r="AE1404" i="1"/>
  <c r="AA1404" i="1"/>
  <c r="I1404" i="1"/>
  <c r="E1404" i="1"/>
  <c r="AE1403" i="1"/>
  <c r="AA1403" i="1"/>
  <c r="I1403" i="1"/>
  <c r="E1403" i="1"/>
  <c r="AE1402" i="1"/>
  <c r="AA1402" i="1"/>
  <c r="I1402" i="1"/>
  <c r="E1402" i="1"/>
  <c r="AE1401" i="1"/>
  <c r="AA1401" i="1"/>
  <c r="I1401" i="1"/>
  <c r="E1401" i="1"/>
  <c r="AE1400" i="1"/>
  <c r="AA1400" i="1"/>
  <c r="I1400" i="1"/>
  <c r="E1400" i="1"/>
  <c r="AE1399" i="1"/>
  <c r="AA1399" i="1"/>
  <c r="I1399" i="1"/>
  <c r="E1399" i="1"/>
  <c r="AE1398" i="1"/>
  <c r="AA1398" i="1"/>
  <c r="I1398" i="1"/>
  <c r="E1398" i="1"/>
  <c r="AE1397" i="1"/>
  <c r="AA1397" i="1"/>
  <c r="I1397" i="1"/>
  <c r="E1397" i="1"/>
  <c r="AE1396" i="1"/>
  <c r="AA1396" i="1"/>
  <c r="I1396" i="1"/>
  <c r="E1396" i="1"/>
  <c r="AE1395" i="1"/>
  <c r="AA1395" i="1"/>
  <c r="I1395" i="1"/>
  <c r="E1395" i="1"/>
  <c r="AE1394" i="1"/>
  <c r="AA1394" i="1"/>
  <c r="I1394" i="1"/>
  <c r="E1394" i="1"/>
  <c r="AE1393" i="1"/>
  <c r="AA1393" i="1"/>
  <c r="I1393" i="1"/>
  <c r="E1393" i="1"/>
  <c r="AE1392" i="1"/>
  <c r="AA1392" i="1"/>
  <c r="I1392" i="1"/>
  <c r="E1392" i="1"/>
  <c r="AE1391" i="1"/>
  <c r="AA1391" i="1"/>
  <c r="I1391" i="1"/>
  <c r="E1391" i="1"/>
  <c r="AE1390" i="1"/>
  <c r="AA1390" i="1"/>
  <c r="I1390" i="1"/>
  <c r="E1390" i="1"/>
  <c r="AE1388" i="1"/>
  <c r="AA1388" i="1"/>
  <c r="I1388" i="1"/>
  <c r="E1388" i="1"/>
  <c r="I1387" i="1"/>
  <c r="E1387" i="1"/>
  <c r="AE1386" i="1"/>
  <c r="AA1386" i="1"/>
  <c r="I1386" i="1"/>
  <c r="E1386" i="1"/>
  <c r="I1385" i="1"/>
  <c r="E1385" i="1"/>
  <c r="AE1384" i="1"/>
  <c r="AA1384" i="1"/>
  <c r="I1384" i="1"/>
  <c r="E1384" i="1"/>
  <c r="AE1383" i="1"/>
  <c r="AA1383" i="1"/>
  <c r="I1383" i="1"/>
  <c r="E1383" i="1"/>
  <c r="AE1382" i="1"/>
  <c r="AA1382" i="1"/>
  <c r="I1382" i="1"/>
  <c r="E1382" i="1"/>
  <c r="AE1381" i="1"/>
  <c r="AA1381" i="1"/>
  <c r="I1381" i="1"/>
  <c r="E1381" i="1"/>
  <c r="I1298" i="1"/>
  <c r="E1298" i="1"/>
  <c r="E1296" i="1"/>
  <c r="I1372" i="1"/>
  <c r="E1372" i="1"/>
  <c r="I1371" i="1"/>
  <c r="E1371" i="1"/>
  <c r="I1370" i="1"/>
  <c r="E1370" i="1"/>
  <c r="I1369" i="1"/>
  <c r="E1369" i="1"/>
  <c r="I1368" i="1"/>
  <c r="E1368" i="1"/>
  <c r="I1367" i="1"/>
  <c r="E1367" i="1"/>
  <c r="I1366" i="1"/>
  <c r="E1366" i="1"/>
  <c r="I1365" i="1"/>
  <c r="E1365" i="1"/>
  <c r="I1364" i="1"/>
  <c r="E1364" i="1"/>
  <c r="I1363" i="1"/>
  <c r="E1363" i="1"/>
  <c r="I1362" i="1"/>
  <c r="E1362" i="1"/>
  <c r="I1361" i="1"/>
  <c r="E1361" i="1"/>
  <c r="I1360" i="1"/>
  <c r="E1360" i="1"/>
  <c r="I1359" i="1"/>
  <c r="E1359" i="1"/>
  <c r="I1358" i="1"/>
  <c r="E1358" i="1"/>
  <c r="I1357" i="1"/>
  <c r="E1357" i="1"/>
  <c r="I1356" i="1"/>
  <c r="E1356" i="1"/>
  <c r="I1355" i="1"/>
  <c r="E1355" i="1"/>
  <c r="I1354" i="1"/>
  <c r="E1354" i="1"/>
  <c r="I1353" i="1"/>
  <c r="E1353" i="1"/>
  <c r="I1352" i="1"/>
  <c r="E1352" i="1"/>
  <c r="I1351" i="1"/>
  <c r="E1351" i="1"/>
  <c r="I1350" i="1"/>
  <c r="E1350" i="1"/>
  <c r="I1349" i="1"/>
  <c r="E1349" i="1"/>
  <c r="I1348" i="1"/>
  <c r="E1348" i="1"/>
  <c r="I1347" i="1"/>
  <c r="E1347" i="1"/>
  <c r="I1343" i="1"/>
  <c r="E1343" i="1"/>
  <c r="I1342" i="1"/>
  <c r="E1342" i="1"/>
  <c r="I1341" i="1"/>
  <c r="E1341" i="1"/>
  <c r="I1340" i="1"/>
  <c r="E1340" i="1"/>
  <c r="I1339" i="1"/>
  <c r="E1339" i="1"/>
  <c r="I1338" i="1"/>
  <c r="E1338" i="1"/>
  <c r="AE1372" i="1"/>
  <c r="AA1372" i="1"/>
  <c r="AE1371" i="1"/>
  <c r="AA1371" i="1"/>
  <c r="AE1370" i="1"/>
  <c r="AA1370" i="1"/>
  <c r="AE1369" i="1"/>
  <c r="AA1369" i="1"/>
  <c r="AE1368" i="1"/>
  <c r="AA1368" i="1"/>
  <c r="AE1367" i="1"/>
  <c r="AA1367" i="1"/>
  <c r="AE1366" i="1"/>
  <c r="AA1366" i="1"/>
  <c r="AE1365" i="1"/>
  <c r="AA1365" i="1"/>
  <c r="AE1364" i="1"/>
  <c r="AA1364" i="1"/>
  <c r="AE1363" i="1"/>
  <c r="AA1363" i="1"/>
  <c r="AE1362" i="1"/>
  <c r="AA1362" i="1"/>
  <c r="AE1361" i="1"/>
  <c r="AA1361" i="1"/>
  <c r="AE1359" i="1"/>
  <c r="AA1359" i="1"/>
  <c r="AE1358" i="1"/>
  <c r="AA1358" i="1"/>
  <c r="AE1357" i="1"/>
  <c r="AA1357" i="1"/>
  <c r="AE1356" i="1"/>
  <c r="AA1356" i="1"/>
  <c r="AE1355" i="1"/>
  <c r="AA1355" i="1"/>
  <c r="AE1354" i="1"/>
  <c r="AA1354" i="1"/>
  <c r="AE1353" i="1"/>
  <c r="AA1353" i="1"/>
  <c r="AE1352" i="1"/>
  <c r="AA1352" i="1"/>
  <c r="AE1351" i="1"/>
  <c r="AA1351" i="1"/>
  <c r="AE1350" i="1"/>
  <c r="AA1350" i="1"/>
  <c r="AE1349" i="1"/>
  <c r="AA1349" i="1"/>
  <c r="AE1348" i="1"/>
  <c r="AA1348" i="1"/>
  <c r="AE1347" i="1"/>
  <c r="AA1347" i="1"/>
  <c r="AE1345" i="1"/>
  <c r="AA1345" i="1"/>
  <c r="AE1344" i="1"/>
  <c r="AA1344" i="1"/>
  <c r="AE1343" i="1"/>
  <c r="AA1343" i="1"/>
  <c r="AE1342" i="1"/>
  <c r="AA1342" i="1"/>
  <c r="AE1341" i="1"/>
  <c r="AA1341" i="1"/>
  <c r="AE1340" i="1"/>
  <c r="AA1340" i="1"/>
  <c r="AE1339" i="1"/>
  <c r="AA1339" i="1"/>
  <c r="AE1338" i="1"/>
  <c r="AA1338" i="1"/>
  <c r="AE1266" i="1"/>
  <c r="AA1266" i="1"/>
  <c r="I1329" i="1"/>
  <c r="E1329" i="1"/>
  <c r="I1328" i="1"/>
  <c r="E1328" i="1"/>
  <c r="I1327" i="1"/>
  <c r="E1327" i="1"/>
  <c r="I1326" i="1"/>
  <c r="E1326" i="1"/>
  <c r="I1325" i="1"/>
  <c r="E1325" i="1"/>
  <c r="I1324" i="1"/>
  <c r="E1324" i="1"/>
  <c r="I1323" i="1"/>
  <c r="E1323" i="1"/>
  <c r="I1322" i="1"/>
  <c r="E1322" i="1"/>
  <c r="I1321" i="1"/>
  <c r="E1321" i="1"/>
  <c r="I1320" i="1"/>
  <c r="E1320" i="1"/>
  <c r="I1319" i="1"/>
  <c r="E1319" i="1"/>
  <c r="I1318" i="1"/>
  <c r="E1318" i="1"/>
  <c r="I1317" i="1"/>
  <c r="E1317" i="1"/>
  <c r="I1316" i="1"/>
  <c r="E1316" i="1"/>
  <c r="I1315" i="1"/>
  <c r="E1315" i="1"/>
  <c r="I1314" i="1"/>
  <c r="E1314" i="1"/>
  <c r="I1313" i="1"/>
  <c r="E1313" i="1"/>
  <c r="I1312" i="1"/>
  <c r="E1312" i="1"/>
  <c r="I1311" i="1"/>
  <c r="E1311" i="1"/>
  <c r="I1310" i="1"/>
  <c r="E1310" i="1"/>
  <c r="I1309" i="1"/>
  <c r="E1309" i="1"/>
  <c r="I1308" i="1"/>
  <c r="E1308" i="1"/>
  <c r="I1307" i="1"/>
  <c r="E1307" i="1"/>
  <c r="I1306" i="1"/>
  <c r="E1306" i="1"/>
  <c r="I1305" i="1"/>
  <c r="E1305" i="1"/>
  <c r="I1304" i="1"/>
  <c r="E1304" i="1"/>
  <c r="I1302" i="1"/>
  <c r="E1302" i="1"/>
  <c r="I1301" i="1"/>
  <c r="E1301" i="1"/>
  <c r="I1300" i="1"/>
  <c r="E1300" i="1"/>
  <c r="I1299" i="1"/>
  <c r="E1299" i="1"/>
  <c r="I1297" i="1"/>
  <c r="E1297" i="1"/>
  <c r="I1296" i="1"/>
  <c r="I1295" i="1"/>
  <c r="E1295" i="1"/>
  <c r="AE1329" i="1"/>
  <c r="AA1329" i="1"/>
  <c r="AE1328" i="1"/>
  <c r="AA1328" i="1"/>
  <c r="AE1327" i="1"/>
  <c r="AA1327" i="1"/>
  <c r="AE1326" i="1"/>
  <c r="AA1326" i="1"/>
  <c r="AE1325" i="1"/>
  <c r="AA1325" i="1"/>
  <c r="AE1324" i="1"/>
  <c r="AA1324" i="1"/>
  <c r="AE1323" i="1"/>
  <c r="AA1323" i="1"/>
  <c r="AE1322" i="1"/>
  <c r="AA1322" i="1"/>
  <c r="AE1321" i="1"/>
  <c r="AA1321" i="1"/>
  <c r="AE1320" i="1"/>
  <c r="AA1320" i="1"/>
  <c r="AE1319" i="1"/>
  <c r="AA1319" i="1"/>
  <c r="AE1318" i="1"/>
  <c r="AA1318" i="1"/>
  <c r="AE1317" i="1"/>
  <c r="AA1317" i="1"/>
  <c r="AE1316" i="1"/>
  <c r="AA1316" i="1"/>
  <c r="AE1315" i="1"/>
  <c r="AA1315" i="1"/>
  <c r="AE1314" i="1"/>
  <c r="AA1314" i="1"/>
  <c r="AE1313" i="1"/>
  <c r="AA1313" i="1"/>
  <c r="AE1312" i="1"/>
  <c r="AA1312" i="1"/>
  <c r="AE1311" i="1"/>
  <c r="AA1311" i="1"/>
  <c r="AE1310" i="1"/>
  <c r="AA1310" i="1"/>
  <c r="AE1309" i="1"/>
  <c r="AA1309" i="1"/>
  <c r="AE1308" i="1"/>
  <c r="AA1308" i="1"/>
  <c r="AE1307" i="1"/>
  <c r="AA1307" i="1"/>
  <c r="AE1306" i="1"/>
  <c r="AA1306" i="1"/>
  <c r="AE1305" i="1"/>
  <c r="AA1305" i="1"/>
  <c r="AE1304" i="1"/>
  <c r="AA1304" i="1"/>
  <c r="AE1302" i="1"/>
  <c r="AA1302" i="1"/>
  <c r="AE1301" i="1"/>
  <c r="AA1301" i="1"/>
  <c r="AE1300" i="1"/>
  <c r="AA1300" i="1"/>
  <c r="AE1299" i="1"/>
  <c r="AA1299" i="1"/>
  <c r="AE1298" i="1"/>
  <c r="AA1298" i="1"/>
  <c r="AE1297" i="1"/>
  <c r="AA1297" i="1"/>
  <c r="AE1296" i="1"/>
  <c r="AA1296" i="1"/>
  <c r="AE1295" i="1"/>
  <c r="AA1295" i="1"/>
  <c r="AE1286" i="1"/>
  <c r="AA1286" i="1"/>
  <c r="AE1243" i="1"/>
  <c r="AA1243" i="1"/>
  <c r="I1286" i="1"/>
  <c r="E1286" i="1"/>
  <c r="I1285" i="1"/>
  <c r="E1285" i="1"/>
  <c r="I1284" i="1"/>
  <c r="E1284" i="1"/>
  <c r="I1283" i="1"/>
  <c r="E1283" i="1"/>
  <c r="I1282" i="1"/>
  <c r="E1282" i="1"/>
  <c r="I1281" i="1"/>
  <c r="E1281" i="1"/>
  <c r="I1280" i="1"/>
  <c r="E1280" i="1"/>
  <c r="I1279" i="1"/>
  <c r="E1279" i="1"/>
  <c r="I1278" i="1"/>
  <c r="E1278" i="1"/>
  <c r="I1277" i="1"/>
  <c r="E1277" i="1"/>
  <c r="I1276" i="1"/>
  <c r="E1276" i="1"/>
  <c r="I1275" i="1"/>
  <c r="E1275" i="1"/>
  <c r="I1274" i="1"/>
  <c r="E1274" i="1"/>
  <c r="I1273" i="1"/>
  <c r="E1273" i="1"/>
  <c r="I1272" i="1"/>
  <c r="E1272" i="1"/>
  <c r="I1271" i="1"/>
  <c r="E1271" i="1"/>
  <c r="I1270" i="1"/>
  <c r="E1270" i="1"/>
  <c r="I1269" i="1"/>
  <c r="E1269" i="1"/>
  <c r="I1268" i="1"/>
  <c r="E1268" i="1"/>
  <c r="I1267" i="1"/>
  <c r="E1267" i="1"/>
  <c r="I1266" i="1"/>
  <c r="E1266" i="1"/>
  <c r="I1265" i="1"/>
  <c r="E1265" i="1"/>
  <c r="I1264" i="1"/>
  <c r="E1264" i="1"/>
  <c r="I1263" i="1"/>
  <c r="E1263" i="1"/>
  <c r="I1262" i="1"/>
  <c r="E1262" i="1"/>
  <c r="I1261" i="1"/>
  <c r="E1261" i="1"/>
  <c r="I1259" i="1"/>
  <c r="E1259" i="1"/>
  <c r="I1258" i="1"/>
  <c r="E1258" i="1"/>
  <c r="I1257" i="1"/>
  <c r="E1257" i="1"/>
  <c r="I1256" i="1"/>
  <c r="E1256" i="1"/>
  <c r="I1255" i="1"/>
  <c r="E1255" i="1"/>
  <c r="I1254" i="1"/>
  <c r="E1254" i="1"/>
  <c r="I1253" i="1"/>
  <c r="E1253" i="1"/>
  <c r="I1252" i="1"/>
  <c r="E1252" i="1"/>
  <c r="AE1285" i="1"/>
  <c r="AA1285" i="1"/>
  <c r="AE1284" i="1"/>
  <c r="AA1284" i="1"/>
  <c r="AE1283" i="1"/>
  <c r="AA1283" i="1"/>
  <c r="AE1282" i="1"/>
  <c r="AA1282" i="1"/>
  <c r="AE1281" i="1"/>
  <c r="AA1281" i="1"/>
  <c r="AE1280" i="1"/>
  <c r="AA1280" i="1"/>
  <c r="AE1279" i="1"/>
  <c r="AA1279" i="1"/>
  <c r="AE1278" i="1"/>
  <c r="AA1278" i="1"/>
  <c r="AE1277" i="1"/>
  <c r="AA1277" i="1"/>
  <c r="AE1276" i="1"/>
  <c r="AA1276" i="1"/>
  <c r="AE1275" i="1"/>
  <c r="AA1275" i="1"/>
  <c r="AE1274" i="1"/>
  <c r="AA1274" i="1"/>
  <c r="AE1273" i="1"/>
  <c r="AA1273" i="1"/>
  <c r="AE1272" i="1"/>
  <c r="AA1272" i="1"/>
  <c r="AE1271" i="1"/>
  <c r="AA1271" i="1"/>
  <c r="AE1270" i="1"/>
  <c r="AA1270" i="1"/>
  <c r="AE1269" i="1"/>
  <c r="AA1269" i="1"/>
  <c r="AE1268" i="1"/>
  <c r="AA1268" i="1"/>
  <c r="AE1267" i="1"/>
  <c r="AA1267" i="1"/>
  <c r="AE1265" i="1"/>
  <c r="AA1265" i="1"/>
  <c r="AE1264" i="1"/>
  <c r="AA1264" i="1"/>
  <c r="AE1263" i="1"/>
  <c r="AA1263" i="1"/>
  <c r="AE1262" i="1"/>
  <c r="AA1262" i="1"/>
  <c r="AE1261" i="1"/>
  <c r="AA1261" i="1"/>
  <c r="AE1259" i="1"/>
  <c r="AA1259" i="1"/>
  <c r="AE1258" i="1"/>
  <c r="AA1258" i="1"/>
  <c r="AE1257" i="1"/>
  <c r="AA1257" i="1"/>
  <c r="AE1256" i="1"/>
  <c r="AA1256" i="1"/>
  <c r="AE1255" i="1"/>
  <c r="AA1255" i="1"/>
  <c r="AE1254" i="1"/>
  <c r="AA1254" i="1"/>
  <c r="AE1253" i="1"/>
  <c r="AA1253" i="1"/>
  <c r="AE1252" i="1"/>
  <c r="AA1252" i="1"/>
  <c r="AE1241" i="1"/>
  <c r="AA1241" i="1"/>
  <c r="AE1213" i="1"/>
  <c r="AA1213" i="1"/>
  <c r="AA1175" i="1"/>
  <c r="AE1175" i="1"/>
  <c r="E1209" i="1"/>
  <c r="I1209" i="1"/>
  <c r="E1210" i="1"/>
  <c r="I1210" i="1"/>
  <c r="E1211" i="1"/>
  <c r="I1211" i="1"/>
  <c r="E1212" i="1"/>
  <c r="I1212" i="1"/>
  <c r="E1213" i="1"/>
  <c r="I1213" i="1"/>
  <c r="E1214" i="1"/>
  <c r="I1214" i="1"/>
  <c r="E1215" i="1"/>
  <c r="I1215" i="1"/>
  <c r="E1216" i="1"/>
  <c r="I1216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AA1200" i="1"/>
  <c r="AE1200" i="1"/>
  <c r="AA1242" i="1"/>
  <c r="AE1242" i="1"/>
  <c r="AE1210" i="1"/>
  <c r="AA1210" i="1"/>
  <c r="AA1209" i="1"/>
  <c r="AE1209" i="1"/>
  <c r="AA1211" i="1"/>
  <c r="AE1211" i="1"/>
  <c r="AA1212" i="1"/>
  <c r="AE1212" i="1"/>
  <c r="AA1214" i="1"/>
  <c r="AE1214" i="1"/>
  <c r="AA1215" i="1"/>
  <c r="AE1215" i="1"/>
  <c r="AA1216" i="1"/>
  <c r="AE1216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A1197" i="1"/>
  <c r="AE1197" i="1"/>
  <c r="AA1135" i="1"/>
  <c r="AE1135" i="1"/>
  <c r="AA1172" i="1"/>
  <c r="AE1172" i="1"/>
  <c r="AA1168" i="1"/>
  <c r="AE1168" i="1"/>
  <c r="AA1167" i="1"/>
  <c r="AE1167" i="1"/>
  <c r="AA1176" i="1"/>
  <c r="AE1176" i="1"/>
  <c r="AA1177" i="1"/>
  <c r="AE1177" i="1"/>
  <c r="AA1178" i="1"/>
  <c r="AE1178" i="1"/>
  <c r="AA1179" i="1"/>
  <c r="AE1179" i="1"/>
  <c r="AA1180" i="1"/>
  <c r="AE1180" i="1"/>
  <c r="AA1181" i="1"/>
  <c r="AE1181" i="1"/>
  <c r="AA1182" i="1"/>
  <c r="AE1182" i="1"/>
  <c r="AA1183" i="1"/>
  <c r="AE1183" i="1"/>
  <c r="AA1184" i="1"/>
  <c r="AE1184" i="1"/>
  <c r="AA1185" i="1"/>
  <c r="AE1185" i="1"/>
  <c r="AA1186" i="1"/>
  <c r="AE1186" i="1"/>
  <c r="AA1187" i="1"/>
  <c r="AE1187" i="1"/>
  <c r="AA1188" i="1"/>
  <c r="AE1188" i="1"/>
  <c r="AA1189" i="1"/>
  <c r="AE1189" i="1"/>
  <c r="AA1190" i="1"/>
  <c r="AE1190" i="1"/>
  <c r="AA1191" i="1"/>
  <c r="AE1191" i="1"/>
  <c r="AA1192" i="1"/>
  <c r="AE1192" i="1"/>
  <c r="AA1193" i="1"/>
  <c r="AE1193" i="1"/>
  <c r="AA1194" i="1"/>
  <c r="AE1194" i="1"/>
  <c r="AA1195" i="1"/>
  <c r="AE1195" i="1"/>
  <c r="AA1196" i="1"/>
  <c r="AE1196" i="1"/>
  <c r="AA1198" i="1"/>
  <c r="AE1198" i="1"/>
  <c r="AA1199" i="1"/>
  <c r="AE1199" i="1"/>
  <c r="I1200" i="1"/>
  <c r="E1200" i="1"/>
  <c r="I1199" i="1"/>
  <c r="E1199" i="1"/>
  <c r="I1198" i="1"/>
  <c r="E1198" i="1"/>
  <c r="I1197" i="1"/>
  <c r="E1197" i="1"/>
  <c r="I1196" i="1"/>
  <c r="E1196" i="1"/>
  <c r="I1195" i="1"/>
  <c r="E1195" i="1"/>
  <c r="I1194" i="1"/>
  <c r="E1194" i="1"/>
  <c r="I1193" i="1"/>
  <c r="E1193" i="1"/>
  <c r="I1192" i="1"/>
  <c r="E1192" i="1"/>
  <c r="I1191" i="1"/>
  <c r="E1191" i="1"/>
  <c r="I1190" i="1"/>
  <c r="E1190" i="1"/>
  <c r="I1189" i="1"/>
  <c r="E1189" i="1"/>
  <c r="I1188" i="1"/>
  <c r="E1188" i="1"/>
  <c r="I1187" i="1"/>
  <c r="E1187" i="1"/>
  <c r="I1186" i="1"/>
  <c r="E1186" i="1"/>
  <c r="I1185" i="1"/>
  <c r="E1185" i="1"/>
  <c r="I1184" i="1"/>
  <c r="E1184" i="1"/>
  <c r="I1183" i="1"/>
  <c r="E1183" i="1"/>
  <c r="I1182" i="1"/>
  <c r="E1182" i="1"/>
  <c r="I1181" i="1"/>
  <c r="E1181" i="1"/>
  <c r="I1180" i="1"/>
  <c r="E1180" i="1"/>
  <c r="I1179" i="1"/>
  <c r="E1179" i="1"/>
  <c r="I1178" i="1"/>
  <c r="E1178" i="1"/>
  <c r="I1177" i="1"/>
  <c r="E1177" i="1"/>
  <c r="I1176" i="1"/>
  <c r="E1176" i="1"/>
  <c r="I1175" i="1"/>
  <c r="E1175" i="1"/>
  <c r="I1173" i="1"/>
  <c r="E1173" i="1"/>
  <c r="I1172" i="1"/>
  <c r="E1172" i="1"/>
  <c r="I1171" i="1"/>
  <c r="E1171" i="1"/>
  <c r="I1170" i="1"/>
  <c r="E1170" i="1"/>
  <c r="I1169" i="1"/>
  <c r="E1169" i="1"/>
  <c r="I1168" i="1"/>
  <c r="E1168" i="1"/>
  <c r="I1167" i="1"/>
  <c r="E1167" i="1"/>
  <c r="I1166" i="1"/>
  <c r="E1166" i="1"/>
  <c r="AE1173" i="1"/>
  <c r="AA1173" i="1"/>
  <c r="AE1171" i="1"/>
  <c r="AA1171" i="1"/>
  <c r="AE1170" i="1"/>
  <c r="AA1170" i="1"/>
  <c r="AE1169" i="1"/>
  <c r="AA1169" i="1"/>
  <c r="AE1166" i="1"/>
  <c r="AA1166" i="1"/>
  <c r="AE1157" i="1"/>
  <c r="AA1157" i="1"/>
  <c r="I1157" i="1"/>
  <c r="E1157" i="1"/>
  <c r="I1156" i="1"/>
  <c r="E1156" i="1"/>
  <c r="I1155" i="1"/>
  <c r="E1155" i="1"/>
  <c r="I1154" i="1"/>
  <c r="E1154" i="1"/>
  <c r="I1153" i="1"/>
  <c r="E1153" i="1"/>
  <c r="I1152" i="1"/>
  <c r="E1152" i="1"/>
  <c r="I1151" i="1"/>
  <c r="E1151" i="1"/>
  <c r="I1150" i="1"/>
  <c r="E1150" i="1"/>
  <c r="I1149" i="1"/>
  <c r="E1149" i="1"/>
  <c r="I1148" i="1"/>
  <c r="E1148" i="1"/>
  <c r="I1147" i="1"/>
  <c r="E1147" i="1"/>
  <c r="I1146" i="1"/>
  <c r="E1146" i="1"/>
  <c r="I1145" i="1"/>
  <c r="E1145" i="1"/>
  <c r="I1144" i="1"/>
  <c r="E1144" i="1"/>
  <c r="I1143" i="1"/>
  <c r="E1143" i="1"/>
  <c r="I1142" i="1"/>
  <c r="E1142" i="1"/>
  <c r="I1141" i="1"/>
  <c r="E1141" i="1"/>
  <c r="I1140" i="1"/>
  <c r="E1140" i="1"/>
  <c r="I1139" i="1"/>
  <c r="E1139" i="1"/>
  <c r="I1138" i="1"/>
  <c r="E1138" i="1"/>
  <c r="I1137" i="1"/>
  <c r="E1137" i="1"/>
  <c r="I1136" i="1"/>
  <c r="E1136" i="1"/>
  <c r="I1135" i="1"/>
  <c r="E1135" i="1"/>
  <c r="I1134" i="1"/>
  <c r="E1134" i="1"/>
  <c r="I1133" i="1"/>
  <c r="E1133" i="1"/>
  <c r="I1132" i="1"/>
  <c r="E1132" i="1"/>
  <c r="I1130" i="1"/>
  <c r="E1130" i="1"/>
  <c r="I1129" i="1"/>
  <c r="E1129" i="1"/>
  <c r="I1128" i="1"/>
  <c r="E1128" i="1"/>
  <c r="I1127" i="1"/>
  <c r="E1127" i="1"/>
  <c r="I1126" i="1"/>
  <c r="E1126" i="1"/>
  <c r="I1125" i="1"/>
  <c r="E1125" i="1"/>
  <c r="I1124" i="1"/>
  <c r="E1124" i="1"/>
  <c r="I1123" i="1"/>
  <c r="E1123" i="1"/>
  <c r="AE1156" i="1"/>
  <c r="AA1156" i="1"/>
  <c r="AE1155" i="1"/>
  <c r="AA1155" i="1"/>
  <c r="AE1154" i="1"/>
  <c r="AA1154" i="1"/>
  <c r="AE1153" i="1"/>
  <c r="AA1153" i="1"/>
  <c r="AE1152" i="1"/>
  <c r="AA1152" i="1"/>
  <c r="AE1151" i="1"/>
  <c r="AA1151" i="1"/>
  <c r="AE1150" i="1"/>
  <c r="AA1150" i="1"/>
  <c r="AE1149" i="1"/>
  <c r="AA1149" i="1"/>
  <c r="AE1148" i="1"/>
  <c r="AA1148" i="1"/>
  <c r="AE1147" i="1"/>
  <c r="AA1147" i="1"/>
  <c r="AE1146" i="1"/>
  <c r="AA1146" i="1"/>
  <c r="AE1145" i="1"/>
  <c r="AA1145" i="1"/>
  <c r="AE1144" i="1"/>
  <c r="AA1144" i="1"/>
  <c r="AE1143" i="1"/>
  <c r="AA1143" i="1"/>
  <c r="AE1142" i="1"/>
  <c r="AA1142" i="1"/>
  <c r="AE1141" i="1"/>
  <c r="AA1141" i="1"/>
  <c r="AE1140" i="1"/>
  <c r="AA1140" i="1"/>
  <c r="AE1139" i="1"/>
  <c r="AA1139" i="1"/>
  <c r="AE1138" i="1"/>
  <c r="AA1138" i="1"/>
  <c r="AE1137" i="1"/>
  <c r="AA1137" i="1"/>
  <c r="AE1136" i="1"/>
  <c r="AA1136" i="1"/>
  <c r="AE1134" i="1"/>
  <c r="AA1134" i="1"/>
  <c r="AE1133" i="1"/>
  <c r="AA1133" i="1"/>
  <c r="AE1132" i="1"/>
  <c r="AA1132" i="1"/>
  <c r="AE1130" i="1"/>
  <c r="AA1130" i="1"/>
  <c r="AE1129" i="1"/>
  <c r="AA1129" i="1"/>
  <c r="AE1128" i="1"/>
  <c r="AA1128" i="1"/>
  <c r="AE1127" i="1"/>
  <c r="AA1127" i="1"/>
  <c r="AE1126" i="1"/>
  <c r="AA1126" i="1"/>
  <c r="AE1125" i="1"/>
  <c r="AA1125" i="1"/>
  <c r="AE1124" i="1"/>
  <c r="AA1124" i="1"/>
  <c r="AE1123" i="1"/>
  <c r="AA1123" i="1"/>
  <c r="E1097" i="1"/>
  <c r="AE1114" i="1"/>
  <c r="AA1114" i="1"/>
  <c r="AE1113" i="1"/>
  <c r="AA1113" i="1"/>
  <c r="AE1112" i="1"/>
  <c r="AA1112" i="1"/>
  <c r="AE1111" i="1"/>
  <c r="AA1111" i="1"/>
  <c r="AE1110" i="1"/>
  <c r="AA1110" i="1"/>
  <c r="AE1109" i="1"/>
  <c r="AA1109" i="1"/>
  <c r="AE1108" i="1"/>
  <c r="AA1108" i="1"/>
  <c r="AE1107" i="1"/>
  <c r="AA1107" i="1"/>
  <c r="AE1106" i="1"/>
  <c r="AA1106" i="1"/>
  <c r="AE1105" i="1"/>
  <c r="AA1105" i="1"/>
  <c r="AE1104" i="1"/>
  <c r="AA1104" i="1"/>
  <c r="AE1103" i="1"/>
  <c r="AA1103" i="1"/>
  <c r="AE1102" i="1"/>
  <c r="AA1102" i="1"/>
  <c r="AE1101" i="1"/>
  <c r="AA1101" i="1"/>
  <c r="AE1100" i="1"/>
  <c r="AA1100" i="1"/>
  <c r="AE1099" i="1"/>
  <c r="AA1099" i="1"/>
  <c r="AE1098" i="1"/>
  <c r="AA1098" i="1"/>
  <c r="AE1097" i="1"/>
  <c r="AA1097" i="1"/>
  <c r="AE1096" i="1"/>
  <c r="AA1096" i="1"/>
  <c r="AE1095" i="1"/>
  <c r="AA1095" i="1"/>
  <c r="AE1094" i="1"/>
  <c r="AA1094" i="1"/>
  <c r="AE1093" i="1"/>
  <c r="AA1093" i="1"/>
  <c r="AE1092" i="1"/>
  <c r="AA1092" i="1"/>
  <c r="AE1091" i="1"/>
  <c r="AA1091" i="1"/>
  <c r="AE1090" i="1"/>
  <c r="AA1090" i="1"/>
  <c r="AE1089" i="1"/>
  <c r="AA1089" i="1"/>
  <c r="AE1087" i="1"/>
  <c r="AA1087" i="1"/>
  <c r="AE1086" i="1"/>
  <c r="AA1086" i="1"/>
  <c r="AE1085" i="1"/>
  <c r="AA1085" i="1"/>
  <c r="AE1084" i="1"/>
  <c r="AA1084" i="1"/>
  <c r="AE1083" i="1"/>
  <c r="AA1083" i="1"/>
  <c r="AE1082" i="1"/>
  <c r="AA1082" i="1"/>
  <c r="AE1081" i="1"/>
  <c r="AA1081" i="1"/>
  <c r="AE1080" i="1"/>
  <c r="AA1080" i="1"/>
  <c r="I1114" i="1"/>
  <c r="E1114" i="1"/>
  <c r="I1113" i="1"/>
  <c r="E1113" i="1"/>
  <c r="I1112" i="1"/>
  <c r="E1112" i="1"/>
  <c r="I1111" i="1"/>
  <c r="E1111" i="1"/>
  <c r="I1110" i="1"/>
  <c r="E1110" i="1"/>
  <c r="I1109" i="1"/>
  <c r="E1109" i="1"/>
  <c r="I1108" i="1"/>
  <c r="E1108" i="1"/>
  <c r="I1107" i="1"/>
  <c r="E1107" i="1"/>
  <c r="I1106" i="1"/>
  <c r="E1106" i="1"/>
  <c r="I1105" i="1"/>
  <c r="E1105" i="1"/>
  <c r="I1104" i="1"/>
  <c r="E1104" i="1"/>
  <c r="I1103" i="1"/>
  <c r="E1103" i="1"/>
  <c r="I1102" i="1"/>
  <c r="E1102" i="1"/>
  <c r="I1101" i="1"/>
  <c r="E1101" i="1"/>
  <c r="I1100" i="1"/>
  <c r="E1100" i="1"/>
  <c r="I1099" i="1"/>
  <c r="E1099" i="1"/>
  <c r="I1098" i="1"/>
  <c r="E1098" i="1"/>
  <c r="I1097" i="1"/>
  <c r="I1096" i="1"/>
  <c r="E1096" i="1"/>
  <c r="I1095" i="1"/>
  <c r="E1095" i="1"/>
  <c r="I1094" i="1"/>
  <c r="E1094" i="1"/>
  <c r="I1093" i="1"/>
  <c r="E1093" i="1"/>
  <c r="I1092" i="1"/>
  <c r="E1092" i="1"/>
  <c r="I1091" i="1"/>
  <c r="E1091" i="1"/>
  <c r="I1090" i="1"/>
  <c r="E1090" i="1"/>
  <c r="I1089" i="1"/>
  <c r="E1089" i="1"/>
  <c r="I1087" i="1"/>
  <c r="E1087" i="1"/>
  <c r="I1086" i="1"/>
  <c r="E1086" i="1"/>
  <c r="I1085" i="1"/>
  <c r="E1085" i="1"/>
  <c r="I1084" i="1"/>
  <c r="E1084" i="1"/>
  <c r="I1083" i="1"/>
  <c r="E1083" i="1"/>
  <c r="I1082" i="1"/>
  <c r="E1082" i="1"/>
  <c r="I1081" i="1"/>
  <c r="E1081" i="1"/>
  <c r="I1080" i="1"/>
  <c r="E1080" i="1"/>
  <c r="AE1046" i="1"/>
  <c r="AA1046" i="1"/>
  <c r="AE1043" i="1"/>
  <c r="AA1043" i="1"/>
  <c r="AE1000" i="1"/>
  <c r="AA1000" i="1"/>
  <c r="AE967" i="1"/>
  <c r="AA967" i="1"/>
  <c r="I1071" i="1"/>
  <c r="E1071" i="1"/>
  <c r="I1070" i="1"/>
  <c r="E1070" i="1"/>
  <c r="I1069" i="1"/>
  <c r="E1069" i="1"/>
  <c r="I1068" i="1"/>
  <c r="E1068" i="1"/>
  <c r="I1067" i="1"/>
  <c r="E1067" i="1"/>
  <c r="I1066" i="1"/>
  <c r="E1066" i="1"/>
  <c r="I1065" i="1"/>
  <c r="E1065" i="1"/>
  <c r="I1064" i="1"/>
  <c r="E1064" i="1"/>
  <c r="I1063" i="1"/>
  <c r="E1063" i="1"/>
  <c r="I1062" i="1"/>
  <c r="E1062" i="1"/>
  <c r="I1061" i="1"/>
  <c r="E1061" i="1"/>
  <c r="I1060" i="1"/>
  <c r="E1060" i="1"/>
  <c r="I1059" i="1"/>
  <c r="E1059" i="1"/>
  <c r="I1058" i="1"/>
  <c r="E1058" i="1"/>
  <c r="I1057" i="1"/>
  <c r="E1057" i="1"/>
  <c r="I1056" i="1"/>
  <c r="E1056" i="1"/>
  <c r="I1055" i="1"/>
  <c r="E1055" i="1"/>
  <c r="I1054" i="1"/>
  <c r="E1054" i="1"/>
  <c r="I1053" i="1"/>
  <c r="E1053" i="1"/>
  <c r="I1052" i="1"/>
  <c r="E1052" i="1"/>
  <c r="I1051" i="1"/>
  <c r="E1051" i="1"/>
  <c r="I1050" i="1"/>
  <c r="E1050" i="1"/>
  <c r="I1049" i="1"/>
  <c r="E1049" i="1"/>
  <c r="I1048" i="1"/>
  <c r="E1048" i="1"/>
  <c r="I1047" i="1"/>
  <c r="E1047" i="1"/>
  <c r="I1046" i="1"/>
  <c r="E1046" i="1"/>
  <c r="I1044" i="1"/>
  <c r="E1044" i="1"/>
  <c r="I1043" i="1"/>
  <c r="E1043" i="1"/>
  <c r="I1042" i="1"/>
  <c r="E1042" i="1"/>
  <c r="I1041" i="1"/>
  <c r="E1041" i="1"/>
  <c r="I1040" i="1"/>
  <c r="E1040" i="1"/>
  <c r="I1039" i="1"/>
  <c r="E1039" i="1"/>
  <c r="I1038" i="1"/>
  <c r="E1038" i="1"/>
  <c r="I1037" i="1"/>
  <c r="E1037" i="1"/>
  <c r="AE995" i="1"/>
  <c r="AA995" i="1"/>
  <c r="AE1071" i="1"/>
  <c r="AA1071" i="1"/>
  <c r="AE1070" i="1"/>
  <c r="AA1070" i="1"/>
  <c r="AE1069" i="1"/>
  <c r="AA1069" i="1"/>
  <c r="AE1068" i="1"/>
  <c r="AA1068" i="1"/>
  <c r="AE1067" i="1"/>
  <c r="AA1067" i="1"/>
  <c r="AE1066" i="1"/>
  <c r="AA1066" i="1"/>
  <c r="AE1065" i="1"/>
  <c r="AA1065" i="1"/>
  <c r="AE1064" i="1"/>
  <c r="AA1064" i="1"/>
  <c r="AE1063" i="1"/>
  <c r="AA1063" i="1"/>
  <c r="AE1062" i="1"/>
  <c r="AA1062" i="1"/>
  <c r="AE1061" i="1"/>
  <c r="AA1061" i="1"/>
  <c r="AE1060" i="1"/>
  <c r="AA1060" i="1"/>
  <c r="AE1059" i="1"/>
  <c r="AA1059" i="1"/>
  <c r="AE1058" i="1"/>
  <c r="AA1058" i="1"/>
  <c r="AE1057" i="1"/>
  <c r="AA1057" i="1"/>
  <c r="AE1056" i="1"/>
  <c r="AA1056" i="1"/>
  <c r="AE1055" i="1"/>
  <c r="AA1055" i="1"/>
  <c r="AE1054" i="1"/>
  <c r="AA1054" i="1"/>
  <c r="AE1053" i="1"/>
  <c r="AA1053" i="1"/>
  <c r="AE1052" i="1"/>
  <c r="AA1052" i="1"/>
  <c r="AE1051" i="1"/>
  <c r="AA1051" i="1"/>
  <c r="AE1050" i="1"/>
  <c r="AA1050" i="1"/>
  <c r="AE1049" i="1"/>
  <c r="AA1049" i="1"/>
  <c r="AE1048" i="1"/>
  <c r="AA1048" i="1"/>
  <c r="AE1047" i="1"/>
  <c r="AA1047" i="1"/>
  <c r="AE1044" i="1"/>
  <c r="AA1044" i="1"/>
  <c r="AE1042" i="1"/>
  <c r="AA1042" i="1"/>
  <c r="AE1041" i="1"/>
  <c r="AA1041" i="1"/>
  <c r="AE1040" i="1"/>
  <c r="AA1040" i="1"/>
  <c r="AE1039" i="1"/>
  <c r="AA1039" i="1"/>
  <c r="AE1038" i="1"/>
  <c r="AA1038" i="1"/>
  <c r="AE1037" i="1"/>
  <c r="AA1037" i="1"/>
  <c r="I957" i="1"/>
  <c r="E957" i="1"/>
  <c r="AE1028" i="1"/>
  <c r="AA1028" i="1"/>
  <c r="AE985" i="1"/>
  <c r="AA985" i="1"/>
  <c r="I958" i="1"/>
  <c r="E958" i="1"/>
  <c r="E972" i="1"/>
  <c r="I970" i="1"/>
  <c r="E970" i="1"/>
  <c r="I969" i="1"/>
  <c r="E969" i="1"/>
  <c r="AE960" i="1"/>
  <c r="AA960" i="1"/>
  <c r="AE961" i="1"/>
  <c r="AA961" i="1"/>
  <c r="I960" i="1"/>
  <c r="E960" i="1"/>
  <c r="I961" i="1"/>
  <c r="E961" i="1"/>
  <c r="I940" i="1"/>
  <c r="E940" i="1"/>
  <c r="I1028" i="1"/>
  <c r="E1028" i="1"/>
  <c r="I1027" i="1"/>
  <c r="E1027" i="1"/>
  <c r="I1026" i="1"/>
  <c r="E1026" i="1"/>
  <c r="I1025" i="1"/>
  <c r="E1025" i="1"/>
  <c r="I1024" i="1"/>
  <c r="E1024" i="1"/>
  <c r="I1023" i="1"/>
  <c r="E1023" i="1"/>
  <c r="I1022" i="1"/>
  <c r="E1022" i="1"/>
  <c r="I1021" i="1"/>
  <c r="E1021" i="1"/>
  <c r="I1020" i="1"/>
  <c r="E1020" i="1"/>
  <c r="I1019" i="1"/>
  <c r="E1019" i="1"/>
  <c r="I1018" i="1"/>
  <c r="E1018" i="1"/>
  <c r="I1017" i="1"/>
  <c r="E1017" i="1"/>
  <c r="I1016" i="1"/>
  <c r="E1016" i="1"/>
  <c r="I1015" i="1"/>
  <c r="E1015" i="1"/>
  <c r="I1014" i="1"/>
  <c r="E1014" i="1"/>
  <c r="I1013" i="1"/>
  <c r="E1013" i="1"/>
  <c r="I1012" i="1"/>
  <c r="E1012" i="1"/>
  <c r="I1011" i="1"/>
  <c r="E1011" i="1"/>
  <c r="I1010" i="1"/>
  <c r="E1010" i="1"/>
  <c r="I1009" i="1"/>
  <c r="E1009" i="1"/>
  <c r="I1008" i="1"/>
  <c r="E1008" i="1"/>
  <c r="I1007" i="1"/>
  <c r="E1007" i="1"/>
  <c r="I1006" i="1"/>
  <c r="E1006" i="1"/>
  <c r="I1005" i="1"/>
  <c r="E1005" i="1"/>
  <c r="I1004" i="1"/>
  <c r="E1004" i="1"/>
  <c r="I1003" i="1"/>
  <c r="E1003" i="1"/>
  <c r="I1001" i="1"/>
  <c r="E1001" i="1"/>
  <c r="I1000" i="1"/>
  <c r="E1000" i="1"/>
  <c r="I999" i="1"/>
  <c r="E999" i="1"/>
  <c r="I998" i="1"/>
  <c r="E998" i="1"/>
  <c r="I997" i="1"/>
  <c r="E997" i="1"/>
  <c r="I996" i="1"/>
  <c r="E996" i="1"/>
  <c r="I995" i="1"/>
  <c r="E995" i="1"/>
  <c r="I994" i="1"/>
  <c r="E994" i="1"/>
  <c r="AE1027" i="1"/>
  <c r="AA1027" i="1"/>
  <c r="AE1026" i="1"/>
  <c r="AA1026" i="1"/>
  <c r="AE1025" i="1"/>
  <c r="AA1025" i="1"/>
  <c r="AE1024" i="1"/>
  <c r="AA1024" i="1"/>
  <c r="AE1023" i="1"/>
  <c r="AA1023" i="1"/>
  <c r="AE1022" i="1"/>
  <c r="AA1022" i="1"/>
  <c r="AE1021" i="1"/>
  <c r="AA1021" i="1"/>
  <c r="AE1020" i="1"/>
  <c r="AA1020" i="1"/>
  <c r="AE1019" i="1"/>
  <c r="AA1019" i="1"/>
  <c r="AE1018" i="1"/>
  <c r="AA1018" i="1"/>
  <c r="AE1017" i="1"/>
  <c r="AA1017" i="1"/>
  <c r="AE1016" i="1"/>
  <c r="AA1016" i="1"/>
  <c r="AE1015" i="1"/>
  <c r="AA1015" i="1"/>
  <c r="AE1014" i="1"/>
  <c r="AA1014" i="1"/>
  <c r="AE1013" i="1"/>
  <c r="AA1013" i="1"/>
  <c r="AE1012" i="1"/>
  <c r="AA1012" i="1"/>
  <c r="AE1011" i="1"/>
  <c r="AA1011" i="1"/>
  <c r="AE1010" i="1"/>
  <c r="AA1010" i="1"/>
  <c r="AE1009" i="1"/>
  <c r="AA1009" i="1"/>
  <c r="AE1008" i="1"/>
  <c r="AA1008" i="1"/>
  <c r="AE1007" i="1"/>
  <c r="AA1007" i="1"/>
  <c r="AE1006" i="1"/>
  <c r="AA1006" i="1"/>
  <c r="AE1005" i="1"/>
  <c r="AA1005" i="1"/>
  <c r="AE1004" i="1"/>
  <c r="AA1004" i="1"/>
  <c r="AE1003" i="1"/>
  <c r="AA1003" i="1"/>
  <c r="AE1001" i="1"/>
  <c r="AA1001" i="1"/>
  <c r="AE999" i="1"/>
  <c r="AA999" i="1"/>
  <c r="AE998" i="1"/>
  <c r="AA998" i="1"/>
  <c r="AE997" i="1"/>
  <c r="AA997" i="1"/>
  <c r="AE996" i="1"/>
  <c r="AA996" i="1"/>
  <c r="AE994" i="1"/>
  <c r="AA994" i="1"/>
  <c r="I937" i="1"/>
  <c r="E937" i="1"/>
  <c r="AE983" i="1"/>
  <c r="AA983" i="1"/>
  <c r="I985" i="1"/>
  <c r="E985" i="1"/>
  <c r="I984" i="1"/>
  <c r="E984" i="1"/>
  <c r="I983" i="1"/>
  <c r="E983" i="1"/>
  <c r="I982" i="1"/>
  <c r="E982" i="1"/>
  <c r="I981" i="1"/>
  <c r="E981" i="1"/>
  <c r="I980" i="1"/>
  <c r="E980" i="1"/>
  <c r="I979" i="1"/>
  <c r="E979" i="1"/>
  <c r="I978" i="1"/>
  <c r="E978" i="1"/>
  <c r="I977" i="1"/>
  <c r="E977" i="1"/>
  <c r="I976" i="1"/>
  <c r="E976" i="1"/>
  <c r="I975" i="1"/>
  <c r="E975" i="1"/>
  <c r="I974" i="1"/>
  <c r="E974" i="1"/>
  <c r="I973" i="1"/>
  <c r="E973" i="1"/>
  <c r="I972" i="1"/>
  <c r="I971" i="1"/>
  <c r="E971" i="1"/>
  <c r="I968" i="1"/>
  <c r="E968" i="1"/>
  <c r="I967" i="1"/>
  <c r="E967" i="1"/>
  <c r="I966" i="1"/>
  <c r="E966" i="1"/>
  <c r="I965" i="1"/>
  <c r="E965" i="1"/>
  <c r="I964" i="1"/>
  <c r="E964" i="1"/>
  <c r="I963" i="1"/>
  <c r="E963" i="1"/>
  <c r="I962" i="1"/>
  <c r="E962" i="1"/>
  <c r="I956" i="1"/>
  <c r="E956" i="1"/>
  <c r="I955" i="1"/>
  <c r="E955" i="1"/>
  <c r="I954" i="1"/>
  <c r="E954" i="1"/>
  <c r="I953" i="1"/>
  <c r="E953" i="1"/>
  <c r="I952" i="1"/>
  <c r="E952" i="1"/>
  <c r="I951" i="1"/>
  <c r="E951" i="1"/>
  <c r="AE957" i="1"/>
  <c r="AA957" i="1"/>
  <c r="AE940" i="1"/>
  <c r="AA940" i="1"/>
  <c r="AE984" i="1"/>
  <c r="AA984" i="1"/>
  <c r="AE982" i="1"/>
  <c r="AA982" i="1"/>
  <c r="AE981" i="1"/>
  <c r="AA981" i="1"/>
  <c r="AE980" i="1"/>
  <c r="AA980" i="1"/>
  <c r="AE979" i="1"/>
  <c r="AA979" i="1"/>
  <c r="AE978" i="1"/>
  <c r="AA978" i="1"/>
  <c r="AE977" i="1"/>
  <c r="AA977" i="1"/>
  <c r="AE976" i="1"/>
  <c r="AA976" i="1"/>
  <c r="AE975" i="1"/>
  <c r="AA975" i="1"/>
  <c r="AE974" i="1"/>
  <c r="AA974" i="1"/>
  <c r="AE973" i="1"/>
  <c r="AA973" i="1"/>
  <c r="AE972" i="1"/>
  <c r="AA972" i="1"/>
  <c r="AE971" i="1"/>
  <c r="AA971" i="1"/>
  <c r="AE970" i="1"/>
  <c r="AA970" i="1"/>
  <c r="AE969" i="1"/>
  <c r="AA969" i="1"/>
  <c r="AE968" i="1"/>
  <c r="AA968" i="1"/>
  <c r="AE966" i="1"/>
  <c r="AA966" i="1"/>
  <c r="AE965" i="1"/>
  <c r="AA965" i="1"/>
  <c r="AE964" i="1"/>
  <c r="AA964" i="1"/>
  <c r="AE963" i="1"/>
  <c r="AA963" i="1"/>
  <c r="AE962" i="1"/>
  <c r="AA962" i="1"/>
  <c r="AE958" i="1"/>
  <c r="AA958" i="1"/>
  <c r="AE956" i="1"/>
  <c r="AA956" i="1"/>
  <c r="AE955" i="1"/>
  <c r="AA955" i="1"/>
  <c r="AE954" i="1"/>
  <c r="AA954" i="1"/>
  <c r="AE953" i="1"/>
  <c r="AA953" i="1"/>
  <c r="AE952" i="1"/>
  <c r="AA952" i="1"/>
  <c r="AE951" i="1"/>
  <c r="AA951" i="1"/>
  <c r="I871" i="1"/>
  <c r="E871" i="1"/>
  <c r="I870" i="1"/>
  <c r="E870" i="1"/>
  <c r="I869" i="1"/>
  <c r="E869" i="1"/>
  <c r="AE939" i="1"/>
  <c r="AA939" i="1"/>
  <c r="I874" i="1"/>
  <c r="E874" i="1"/>
  <c r="I942" i="1"/>
  <c r="E942" i="1"/>
  <c r="I941" i="1"/>
  <c r="E941" i="1"/>
  <c r="I939" i="1"/>
  <c r="E939" i="1"/>
  <c r="I938" i="1"/>
  <c r="E938" i="1"/>
  <c r="I936" i="1"/>
  <c r="E936" i="1"/>
  <c r="I935" i="1"/>
  <c r="E935" i="1"/>
  <c r="I934" i="1"/>
  <c r="E934" i="1"/>
  <c r="I933" i="1"/>
  <c r="E933" i="1"/>
  <c r="I932" i="1"/>
  <c r="E932" i="1"/>
  <c r="I931" i="1"/>
  <c r="E931" i="1"/>
  <c r="I930" i="1"/>
  <c r="E930" i="1"/>
  <c r="I929" i="1"/>
  <c r="E929" i="1"/>
  <c r="I928" i="1"/>
  <c r="E928" i="1"/>
  <c r="I927" i="1"/>
  <c r="E927" i="1"/>
  <c r="I926" i="1"/>
  <c r="E926" i="1"/>
  <c r="I925" i="1"/>
  <c r="E925" i="1"/>
  <c r="I924" i="1"/>
  <c r="E924" i="1"/>
  <c r="I923" i="1"/>
  <c r="E923" i="1"/>
  <c r="I922" i="1"/>
  <c r="E922" i="1"/>
  <c r="I921" i="1"/>
  <c r="E921" i="1"/>
  <c r="I920" i="1"/>
  <c r="E920" i="1"/>
  <c r="I919" i="1"/>
  <c r="E919" i="1"/>
  <c r="I918" i="1"/>
  <c r="E918" i="1"/>
  <c r="I917" i="1"/>
  <c r="E917" i="1"/>
  <c r="I915" i="1"/>
  <c r="E915" i="1"/>
  <c r="I914" i="1"/>
  <c r="E914" i="1"/>
  <c r="I913" i="1"/>
  <c r="E913" i="1"/>
  <c r="I912" i="1"/>
  <c r="E912" i="1"/>
  <c r="I911" i="1"/>
  <c r="E911" i="1"/>
  <c r="I910" i="1"/>
  <c r="E910" i="1"/>
  <c r="I909" i="1"/>
  <c r="E909" i="1"/>
  <c r="I908" i="1"/>
  <c r="E908" i="1"/>
  <c r="AE899" i="1"/>
  <c r="AA899" i="1"/>
  <c r="AE898" i="1"/>
  <c r="AA898" i="1"/>
  <c r="AE942" i="1"/>
  <c r="AA942" i="1"/>
  <c r="AE941" i="1"/>
  <c r="AA941" i="1"/>
  <c r="AE938" i="1"/>
  <c r="AA938" i="1"/>
  <c r="AE937" i="1"/>
  <c r="AA937" i="1"/>
  <c r="AE936" i="1"/>
  <c r="AA936" i="1"/>
  <c r="AE935" i="1"/>
  <c r="AA935" i="1"/>
  <c r="AE934" i="1"/>
  <c r="AA934" i="1"/>
  <c r="AE933" i="1"/>
  <c r="AA933" i="1"/>
  <c r="AE932" i="1"/>
  <c r="AA932" i="1"/>
  <c r="AE931" i="1"/>
  <c r="AA931" i="1"/>
  <c r="AE930" i="1"/>
  <c r="AA930" i="1"/>
  <c r="AE929" i="1"/>
  <c r="AA929" i="1"/>
  <c r="AE928" i="1"/>
  <c r="AA928" i="1"/>
  <c r="AE927" i="1"/>
  <c r="AA927" i="1"/>
  <c r="AE926" i="1"/>
  <c r="AA926" i="1"/>
  <c r="AE925" i="1"/>
  <c r="AA925" i="1"/>
  <c r="AE924" i="1"/>
  <c r="AA924" i="1"/>
  <c r="AE923" i="1"/>
  <c r="AA923" i="1"/>
  <c r="AE922" i="1"/>
  <c r="AA922" i="1"/>
  <c r="AE921" i="1"/>
  <c r="AA921" i="1"/>
  <c r="AE920" i="1"/>
  <c r="AA920" i="1"/>
  <c r="AE919" i="1"/>
  <c r="AA919" i="1"/>
  <c r="AE918" i="1"/>
  <c r="AA918" i="1"/>
  <c r="AE917" i="1"/>
  <c r="AA917" i="1"/>
  <c r="AE915" i="1"/>
  <c r="AA915" i="1"/>
  <c r="AE914" i="1"/>
  <c r="AA914" i="1"/>
  <c r="AE913" i="1"/>
  <c r="AA913" i="1"/>
  <c r="AE912" i="1"/>
  <c r="AA912" i="1"/>
  <c r="AE911" i="1"/>
  <c r="AA911" i="1"/>
  <c r="AE910" i="1"/>
  <c r="AA910" i="1"/>
  <c r="AE909" i="1"/>
  <c r="AA909" i="1"/>
  <c r="AE908" i="1"/>
  <c r="AA908" i="1"/>
  <c r="AE866" i="1"/>
  <c r="AA866" i="1"/>
  <c r="AE826" i="1"/>
  <c r="AA826" i="1"/>
  <c r="I832" i="1"/>
  <c r="E832" i="1"/>
  <c r="I831" i="1"/>
  <c r="E831" i="1"/>
  <c r="I794" i="1"/>
  <c r="E794" i="1"/>
  <c r="I789" i="1"/>
  <c r="E789" i="1"/>
  <c r="E742" i="1"/>
  <c r="AE745" i="1"/>
  <c r="AA745" i="1"/>
  <c r="AE708" i="1"/>
  <c r="AA708" i="1"/>
  <c r="I741" i="1"/>
  <c r="E741" i="1"/>
  <c r="AE854" i="1"/>
  <c r="AA854" i="1"/>
  <c r="I899" i="1"/>
  <c r="E899" i="1"/>
  <c r="I898" i="1"/>
  <c r="E898" i="1"/>
  <c r="I897" i="1"/>
  <c r="E897" i="1"/>
  <c r="I896" i="1"/>
  <c r="E896" i="1"/>
  <c r="I895" i="1"/>
  <c r="E895" i="1"/>
  <c r="I894" i="1"/>
  <c r="E894" i="1"/>
  <c r="I893" i="1"/>
  <c r="E893" i="1"/>
  <c r="I892" i="1"/>
  <c r="E892" i="1"/>
  <c r="I891" i="1"/>
  <c r="E891" i="1"/>
  <c r="I890" i="1"/>
  <c r="E890" i="1"/>
  <c r="I889" i="1"/>
  <c r="E889" i="1"/>
  <c r="I888" i="1"/>
  <c r="E888" i="1"/>
  <c r="I887" i="1"/>
  <c r="E887" i="1"/>
  <c r="I886" i="1"/>
  <c r="E886" i="1"/>
  <c r="I885" i="1"/>
  <c r="E885" i="1"/>
  <c r="I884" i="1"/>
  <c r="E884" i="1"/>
  <c r="I883" i="1"/>
  <c r="E883" i="1"/>
  <c r="I882" i="1"/>
  <c r="E882" i="1"/>
  <c r="I881" i="1"/>
  <c r="E881" i="1"/>
  <c r="I880" i="1"/>
  <c r="E880" i="1"/>
  <c r="I879" i="1"/>
  <c r="E879" i="1"/>
  <c r="I878" i="1"/>
  <c r="E878" i="1"/>
  <c r="I877" i="1"/>
  <c r="E877" i="1"/>
  <c r="I876" i="1"/>
  <c r="E876" i="1"/>
  <c r="I875" i="1"/>
  <c r="E875" i="1"/>
  <c r="I872" i="1"/>
  <c r="E872" i="1"/>
  <c r="I868" i="1"/>
  <c r="E868" i="1"/>
  <c r="I867" i="1"/>
  <c r="E867" i="1"/>
  <c r="I866" i="1"/>
  <c r="E866" i="1"/>
  <c r="I865" i="1"/>
  <c r="E865" i="1"/>
  <c r="AE707" i="1"/>
  <c r="AA707" i="1"/>
  <c r="AA822" i="1"/>
  <c r="AE822" i="1"/>
  <c r="AA823" i="1"/>
  <c r="AE823" i="1"/>
  <c r="AA824" i="1"/>
  <c r="AE824" i="1"/>
  <c r="AA825" i="1"/>
  <c r="AE825" i="1"/>
  <c r="AA827" i="1"/>
  <c r="AE827" i="1"/>
  <c r="AA828" i="1"/>
  <c r="AE828" i="1"/>
  <c r="AA829" i="1"/>
  <c r="AE829" i="1"/>
  <c r="AA831" i="1"/>
  <c r="AE831" i="1"/>
  <c r="AA832" i="1"/>
  <c r="AE832" i="1"/>
  <c r="AA833" i="1"/>
  <c r="AE833" i="1"/>
  <c r="AA834" i="1"/>
  <c r="AE834" i="1"/>
  <c r="AA835" i="1"/>
  <c r="AE835" i="1"/>
  <c r="AA836" i="1"/>
  <c r="AE836" i="1"/>
  <c r="AA837" i="1"/>
  <c r="AE837" i="1"/>
  <c r="AA838" i="1"/>
  <c r="AE838" i="1"/>
  <c r="AA839" i="1"/>
  <c r="AE839" i="1"/>
  <c r="AA840" i="1"/>
  <c r="AE840" i="1"/>
  <c r="AA841" i="1"/>
  <c r="AE841" i="1"/>
  <c r="AA842" i="1"/>
  <c r="AE842" i="1"/>
  <c r="AA843" i="1"/>
  <c r="AE843" i="1"/>
  <c r="AA844" i="1"/>
  <c r="AE844" i="1"/>
  <c r="AA845" i="1"/>
  <c r="AE845" i="1"/>
  <c r="AA846" i="1"/>
  <c r="AE846" i="1"/>
  <c r="AA847" i="1"/>
  <c r="AE847" i="1"/>
  <c r="AA848" i="1"/>
  <c r="AE848" i="1"/>
  <c r="AA849" i="1"/>
  <c r="AE849" i="1"/>
  <c r="AA850" i="1"/>
  <c r="AE850" i="1"/>
  <c r="AA851" i="1"/>
  <c r="AE851" i="1"/>
  <c r="AA852" i="1"/>
  <c r="AE852" i="1"/>
  <c r="AA853" i="1"/>
  <c r="AE853" i="1"/>
  <c r="AA855" i="1"/>
  <c r="AE855" i="1"/>
  <c r="AA856" i="1"/>
  <c r="AE856" i="1"/>
  <c r="AA865" i="1"/>
  <c r="AE865" i="1"/>
  <c r="AA867" i="1"/>
  <c r="AE867" i="1"/>
  <c r="AA868" i="1"/>
  <c r="AE868" i="1"/>
  <c r="AA869" i="1"/>
  <c r="AE869" i="1"/>
  <c r="AA870" i="1"/>
  <c r="AE870" i="1"/>
  <c r="AA871" i="1"/>
  <c r="AE871" i="1"/>
  <c r="AA872" i="1"/>
  <c r="AE872" i="1"/>
  <c r="AA874" i="1"/>
  <c r="AE874" i="1"/>
  <c r="AA875" i="1"/>
  <c r="AE875" i="1"/>
  <c r="AA876" i="1"/>
  <c r="AE876" i="1"/>
  <c r="AA877" i="1"/>
  <c r="AE877" i="1"/>
  <c r="AA878" i="1"/>
  <c r="AE878" i="1"/>
  <c r="AA879" i="1"/>
  <c r="AE879" i="1"/>
  <c r="AA880" i="1"/>
  <c r="AE880" i="1"/>
  <c r="AA881" i="1"/>
  <c r="AE881" i="1"/>
  <c r="AA882" i="1"/>
  <c r="AE882" i="1"/>
  <c r="AA883" i="1"/>
  <c r="AE883" i="1"/>
  <c r="AA884" i="1"/>
  <c r="AE884" i="1"/>
  <c r="AA885" i="1"/>
  <c r="AE885" i="1"/>
  <c r="AA886" i="1"/>
  <c r="AE886" i="1"/>
  <c r="AA887" i="1"/>
  <c r="AE887" i="1"/>
  <c r="AA888" i="1"/>
  <c r="AE888" i="1"/>
  <c r="AA889" i="1"/>
  <c r="AE889" i="1"/>
  <c r="AA890" i="1"/>
  <c r="AE890" i="1"/>
  <c r="AA891" i="1"/>
  <c r="AE891" i="1"/>
  <c r="AA892" i="1"/>
  <c r="AE892" i="1"/>
  <c r="AA893" i="1"/>
  <c r="AE893" i="1"/>
  <c r="AA894" i="1"/>
  <c r="AE894" i="1"/>
  <c r="AA895" i="1"/>
  <c r="AE895" i="1"/>
  <c r="AA896" i="1"/>
  <c r="AE896" i="1"/>
  <c r="AA897" i="1"/>
  <c r="AE897" i="1"/>
  <c r="I699" i="1"/>
  <c r="E699" i="1"/>
  <c r="I697" i="1"/>
  <c r="E697" i="1"/>
  <c r="AA704" i="1"/>
  <c r="AE781" i="1"/>
  <c r="AA781" i="1"/>
  <c r="I727" i="1"/>
  <c r="E727" i="1"/>
  <c r="AE812" i="1"/>
  <c r="AA812" i="1"/>
  <c r="AE768" i="1"/>
  <c r="AA768" i="1"/>
  <c r="AE769" i="1"/>
  <c r="AA769" i="1"/>
  <c r="AE725" i="1"/>
  <c r="AA725" i="1"/>
  <c r="AE740" i="1"/>
  <c r="AA740" i="1"/>
  <c r="I856" i="1"/>
  <c r="E856" i="1"/>
  <c r="I855" i="1"/>
  <c r="E855" i="1"/>
  <c r="I854" i="1"/>
  <c r="E854" i="1"/>
  <c r="I853" i="1"/>
  <c r="E853" i="1"/>
  <c r="I852" i="1"/>
  <c r="E852" i="1"/>
  <c r="I851" i="1"/>
  <c r="E851" i="1"/>
  <c r="I850" i="1"/>
  <c r="E850" i="1"/>
  <c r="I849" i="1"/>
  <c r="E849" i="1"/>
  <c r="I848" i="1"/>
  <c r="E848" i="1"/>
  <c r="I847" i="1"/>
  <c r="E847" i="1"/>
  <c r="I846" i="1"/>
  <c r="E846" i="1"/>
  <c r="I845" i="1"/>
  <c r="E845" i="1"/>
  <c r="I844" i="1"/>
  <c r="E844" i="1"/>
  <c r="I843" i="1"/>
  <c r="E843" i="1"/>
  <c r="I842" i="1"/>
  <c r="E842" i="1"/>
  <c r="I841" i="1"/>
  <c r="E841" i="1"/>
  <c r="I840" i="1"/>
  <c r="E840" i="1"/>
  <c r="I839" i="1"/>
  <c r="E839" i="1"/>
  <c r="I838" i="1"/>
  <c r="E838" i="1"/>
  <c r="I837" i="1"/>
  <c r="E837" i="1"/>
  <c r="I836" i="1"/>
  <c r="E836" i="1"/>
  <c r="I835" i="1"/>
  <c r="E835" i="1"/>
  <c r="I834" i="1"/>
  <c r="E834" i="1"/>
  <c r="I833" i="1"/>
  <c r="E833" i="1"/>
  <c r="I829" i="1"/>
  <c r="E829" i="1"/>
  <c r="I828" i="1"/>
  <c r="E828" i="1"/>
  <c r="I827" i="1"/>
  <c r="E827" i="1"/>
  <c r="I826" i="1"/>
  <c r="E826" i="1"/>
  <c r="I825" i="1"/>
  <c r="E825" i="1"/>
  <c r="I824" i="1"/>
  <c r="E824" i="1"/>
  <c r="I823" i="1"/>
  <c r="E823" i="1"/>
  <c r="I822" i="1"/>
  <c r="E822" i="1"/>
  <c r="I813" i="1"/>
  <c r="E813" i="1"/>
  <c r="I812" i="1"/>
  <c r="E812" i="1"/>
  <c r="I811" i="1"/>
  <c r="E811" i="1"/>
  <c r="I810" i="1"/>
  <c r="E810" i="1"/>
  <c r="I809" i="1"/>
  <c r="E809" i="1"/>
  <c r="I808" i="1"/>
  <c r="E808" i="1"/>
  <c r="I807" i="1"/>
  <c r="E807" i="1"/>
  <c r="I806" i="1"/>
  <c r="E806" i="1"/>
  <c r="I805" i="1"/>
  <c r="E805" i="1"/>
  <c r="I804" i="1"/>
  <c r="E804" i="1"/>
  <c r="I803" i="1"/>
  <c r="E803" i="1"/>
  <c r="I802" i="1"/>
  <c r="E802" i="1"/>
  <c r="I801" i="1"/>
  <c r="E801" i="1"/>
  <c r="I800" i="1"/>
  <c r="E800" i="1"/>
  <c r="I799" i="1"/>
  <c r="E799" i="1"/>
  <c r="I798" i="1"/>
  <c r="E798" i="1"/>
  <c r="I797" i="1"/>
  <c r="E797" i="1"/>
  <c r="I796" i="1"/>
  <c r="E796" i="1"/>
  <c r="I795" i="1"/>
  <c r="E795" i="1"/>
  <c r="I793" i="1"/>
  <c r="E793" i="1"/>
  <c r="I792" i="1"/>
  <c r="E792" i="1"/>
  <c r="I791" i="1"/>
  <c r="E791" i="1"/>
  <c r="I790" i="1"/>
  <c r="E790" i="1"/>
  <c r="I788" i="1"/>
  <c r="E788" i="1"/>
  <c r="I786" i="1"/>
  <c r="E786" i="1"/>
  <c r="I785" i="1"/>
  <c r="E785" i="1"/>
  <c r="I784" i="1"/>
  <c r="E784" i="1"/>
  <c r="I783" i="1"/>
  <c r="E783" i="1"/>
  <c r="I782" i="1"/>
  <c r="E782" i="1"/>
  <c r="I781" i="1"/>
  <c r="E781" i="1"/>
  <c r="I780" i="1"/>
  <c r="E780" i="1"/>
  <c r="I779" i="1"/>
  <c r="E779" i="1"/>
  <c r="AA779" i="1"/>
  <c r="AE779" i="1"/>
  <c r="AA780" i="1"/>
  <c r="AE780" i="1"/>
  <c r="AA782" i="1"/>
  <c r="AE782" i="1"/>
  <c r="AA783" i="1"/>
  <c r="AE783" i="1"/>
  <c r="AA784" i="1"/>
  <c r="AE784" i="1"/>
  <c r="AA785" i="1"/>
  <c r="AE785" i="1"/>
  <c r="AA786" i="1"/>
  <c r="AE786" i="1"/>
  <c r="AA788" i="1"/>
  <c r="AE788" i="1"/>
  <c r="AA789" i="1"/>
  <c r="AE789" i="1"/>
  <c r="AA790" i="1"/>
  <c r="AE790" i="1"/>
  <c r="AA791" i="1"/>
  <c r="AE791" i="1"/>
  <c r="AA792" i="1"/>
  <c r="AE792" i="1"/>
  <c r="AA793" i="1"/>
  <c r="AE793" i="1"/>
  <c r="AA794" i="1"/>
  <c r="AE794" i="1"/>
  <c r="AA795" i="1"/>
  <c r="AE795" i="1"/>
  <c r="AA796" i="1"/>
  <c r="AE796" i="1"/>
  <c r="AA797" i="1"/>
  <c r="AE797" i="1"/>
  <c r="AA798" i="1"/>
  <c r="AE798" i="1"/>
  <c r="AA799" i="1"/>
  <c r="AE799" i="1"/>
  <c r="AA800" i="1"/>
  <c r="AE800" i="1"/>
  <c r="AA801" i="1"/>
  <c r="AE801" i="1"/>
  <c r="AA802" i="1"/>
  <c r="AE802" i="1"/>
  <c r="AA803" i="1"/>
  <c r="AE803" i="1"/>
  <c r="AA804" i="1"/>
  <c r="AE804" i="1"/>
  <c r="AA805" i="1"/>
  <c r="AE805" i="1"/>
  <c r="AA806" i="1"/>
  <c r="AE806" i="1"/>
  <c r="AA807" i="1"/>
  <c r="AE807" i="1"/>
  <c r="AA808" i="1"/>
  <c r="AE808" i="1"/>
  <c r="AA809" i="1"/>
  <c r="AE809" i="1"/>
  <c r="AA810" i="1"/>
  <c r="AE810" i="1"/>
  <c r="AA811" i="1"/>
  <c r="AE811" i="1"/>
  <c r="AA813" i="1"/>
  <c r="AE813" i="1"/>
  <c r="AE727" i="1"/>
  <c r="AA727" i="1"/>
  <c r="AA736" i="1"/>
  <c r="AE736" i="1"/>
  <c r="AA737" i="1"/>
  <c r="AE737" i="1"/>
  <c r="AA738" i="1"/>
  <c r="AE738" i="1"/>
  <c r="AA739" i="1"/>
  <c r="AE739" i="1"/>
  <c r="AA741" i="1"/>
  <c r="AE741" i="1"/>
  <c r="AA742" i="1"/>
  <c r="AE742" i="1"/>
  <c r="AA743" i="1"/>
  <c r="AE743" i="1"/>
  <c r="AA746" i="1"/>
  <c r="AE746" i="1"/>
  <c r="AA747" i="1"/>
  <c r="AE747" i="1"/>
  <c r="AA748" i="1"/>
  <c r="AE748" i="1"/>
  <c r="AA749" i="1"/>
  <c r="AE749" i="1"/>
  <c r="AA750" i="1"/>
  <c r="AE750" i="1"/>
  <c r="AA751" i="1"/>
  <c r="AE751" i="1"/>
  <c r="AA752" i="1"/>
  <c r="AE752" i="1"/>
  <c r="AA753" i="1"/>
  <c r="AE753" i="1"/>
  <c r="AA754" i="1"/>
  <c r="AE754" i="1"/>
  <c r="AA755" i="1"/>
  <c r="AE755" i="1"/>
  <c r="AA756" i="1"/>
  <c r="AE756" i="1"/>
  <c r="AA757" i="1"/>
  <c r="AE757" i="1"/>
  <c r="AA758" i="1"/>
  <c r="AE758" i="1"/>
  <c r="AA759" i="1"/>
  <c r="AE759" i="1"/>
  <c r="AA760" i="1"/>
  <c r="AE760" i="1"/>
  <c r="AA761" i="1"/>
  <c r="AE761" i="1"/>
  <c r="AA762" i="1"/>
  <c r="AE762" i="1"/>
  <c r="AA763" i="1"/>
  <c r="AE763" i="1"/>
  <c r="AA764" i="1"/>
  <c r="AE764" i="1"/>
  <c r="AA765" i="1"/>
  <c r="AE765" i="1"/>
  <c r="AA766" i="1"/>
  <c r="AE766" i="1"/>
  <c r="AA767" i="1"/>
  <c r="AE767" i="1"/>
  <c r="AA770" i="1"/>
  <c r="AE770" i="1"/>
  <c r="AE684" i="1"/>
  <c r="AA684" i="1"/>
  <c r="AE724" i="1"/>
  <c r="AA724" i="1"/>
  <c r="E736" i="1"/>
  <c r="I736" i="1"/>
  <c r="E737" i="1"/>
  <c r="I737" i="1"/>
  <c r="E738" i="1"/>
  <c r="I738" i="1"/>
  <c r="E739" i="1"/>
  <c r="I739" i="1"/>
  <c r="E740" i="1"/>
  <c r="I740" i="1"/>
  <c r="I742" i="1"/>
  <c r="E743" i="1"/>
  <c r="I743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AA698" i="1"/>
  <c r="AE698" i="1"/>
  <c r="AE683" i="1"/>
  <c r="AA683" i="1"/>
  <c r="AE617" i="1"/>
  <c r="AA617" i="1"/>
  <c r="I726" i="1"/>
  <c r="E726" i="1"/>
  <c r="I725" i="1"/>
  <c r="E725" i="1"/>
  <c r="I724" i="1"/>
  <c r="E724" i="1"/>
  <c r="I723" i="1"/>
  <c r="E723" i="1"/>
  <c r="I722" i="1"/>
  <c r="E722" i="1"/>
  <c r="I721" i="1"/>
  <c r="E721" i="1"/>
  <c r="I720" i="1"/>
  <c r="E720" i="1"/>
  <c r="I719" i="1"/>
  <c r="E719" i="1"/>
  <c r="I718" i="1"/>
  <c r="E718" i="1"/>
  <c r="I717" i="1"/>
  <c r="E717" i="1"/>
  <c r="I716" i="1"/>
  <c r="E716" i="1"/>
  <c r="I715" i="1"/>
  <c r="E715" i="1"/>
  <c r="I714" i="1"/>
  <c r="E714" i="1"/>
  <c r="I713" i="1"/>
  <c r="E713" i="1"/>
  <c r="I712" i="1"/>
  <c r="E712" i="1"/>
  <c r="I711" i="1"/>
  <c r="E711" i="1"/>
  <c r="I710" i="1"/>
  <c r="E710" i="1"/>
  <c r="I709" i="1"/>
  <c r="E709" i="1"/>
  <c r="I708" i="1"/>
  <c r="E708" i="1"/>
  <c r="I707" i="1"/>
  <c r="E707" i="1"/>
  <c r="I706" i="1"/>
  <c r="E706" i="1"/>
  <c r="I705" i="1"/>
  <c r="E705" i="1"/>
  <c r="I704" i="1"/>
  <c r="E704" i="1"/>
  <c r="I703" i="1"/>
  <c r="E703" i="1"/>
  <c r="I702" i="1"/>
  <c r="E702" i="1"/>
  <c r="I700" i="1"/>
  <c r="E700" i="1"/>
  <c r="I698" i="1"/>
  <c r="E698" i="1"/>
  <c r="I696" i="1"/>
  <c r="E696" i="1"/>
  <c r="I695" i="1"/>
  <c r="E695" i="1"/>
  <c r="I694" i="1"/>
  <c r="E694" i="1"/>
  <c r="I693" i="1"/>
  <c r="E693" i="1"/>
  <c r="I684" i="1"/>
  <c r="E684" i="1"/>
  <c r="I683" i="1"/>
  <c r="E683" i="1"/>
  <c r="I682" i="1"/>
  <c r="E682" i="1"/>
  <c r="I681" i="1"/>
  <c r="E681" i="1"/>
  <c r="I680" i="1"/>
  <c r="E680" i="1"/>
  <c r="I679" i="1"/>
  <c r="E679" i="1"/>
  <c r="I678" i="1"/>
  <c r="E678" i="1"/>
  <c r="I677" i="1"/>
  <c r="E677" i="1"/>
  <c r="I676" i="1"/>
  <c r="E676" i="1"/>
  <c r="I675" i="1"/>
  <c r="E675" i="1"/>
  <c r="I674" i="1"/>
  <c r="E674" i="1"/>
  <c r="I673" i="1"/>
  <c r="E673" i="1"/>
  <c r="I672" i="1"/>
  <c r="E672" i="1"/>
  <c r="I671" i="1"/>
  <c r="E671" i="1"/>
  <c r="I670" i="1"/>
  <c r="E670" i="1"/>
  <c r="I669" i="1"/>
  <c r="E669" i="1"/>
  <c r="I668" i="1"/>
  <c r="E668" i="1"/>
  <c r="I667" i="1"/>
  <c r="E667" i="1"/>
  <c r="I666" i="1"/>
  <c r="E666" i="1"/>
  <c r="I665" i="1"/>
  <c r="E665" i="1"/>
  <c r="I664" i="1"/>
  <c r="E664" i="1"/>
  <c r="I663" i="1"/>
  <c r="E663" i="1"/>
  <c r="I662" i="1"/>
  <c r="E662" i="1"/>
  <c r="I661" i="1"/>
  <c r="E661" i="1"/>
  <c r="I660" i="1"/>
  <c r="E660" i="1"/>
  <c r="I659" i="1"/>
  <c r="E659" i="1"/>
  <c r="I657" i="1"/>
  <c r="E657" i="1"/>
  <c r="I656" i="1"/>
  <c r="E656" i="1"/>
  <c r="I655" i="1"/>
  <c r="E655" i="1"/>
  <c r="I654" i="1"/>
  <c r="E654" i="1"/>
  <c r="I653" i="1"/>
  <c r="E653" i="1"/>
  <c r="I652" i="1"/>
  <c r="E652" i="1"/>
  <c r="I651" i="1"/>
  <c r="E651" i="1"/>
  <c r="I650" i="1"/>
  <c r="E650" i="1"/>
  <c r="AE679" i="1"/>
  <c r="AA679" i="1"/>
  <c r="AE726" i="1"/>
  <c r="AA726" i="1"/>
  <c r="AE723" i="1"/>
  <c r="AA723" i="1"/>
  <c r="AE722" i="1"/>
  <c r="AA722" i="1"/>
  <c r="AE721" i="1"/>
  <c r="AA721" i="1"/>
  <c r="AE720" i="1"/>
  <c r="AA720" i="1"/>
  <c r="AE719" i="1"/>
  <c r="AA719" i="1"/>
  <c r="AE718" i="1"/>
  <c r="AA718" i="1"/>
  <c r="AE717" i="1"/>
  <c r="AA717" i="1"/>
  <c r="AE716" i="1"/>
  <c r="AA716" i="1"/>
  <c r="AE715" i="1"/>
  <c r="AA715" i="1"/>
  <c r="AE714" i="1"/>
  <c r="AA714" i="1"/>
  <c r="AE713" i="1"/>
  <c r="AA713" i="1"/>
  <c r="AE712" i="1"/>
  <c r="AA712" i="1"/>
  <c r="AE711" i="1"/>
  <c r="AA711" i="1"/>
  <c r="AE710" i="1"/>
  <c r="AA710" i="1"/>
  <c r="AE709" i="1"/>
  <c r="AA709" i="1"/>
  <c r="AE706" i="1"/>
  <c r="AA706" i="1"/>
  <c r="AE705" i="1"/>
  <c r="AA705" i="1"/>
  <c r="AE704" i="1"/>
  <c r="AE703" i="1"/>
  <c r="AA703" i="1"/>
  <c r="AE702" i="1"/>
  <c r="AA702" i="1"/>
  <c r="AE700" i="1"/>
  <c r="AA700" i="1"/>
  <c r="AE699" i="1"/>
  <c r="AA699" i="1"/>
  <c r="AE697" i="1"/>
  <c r="AA697" i="1"/>
  <c r="AE696" i="1"/>
  <c r="AA696" i="1"/>
  <c r="AE695" i="1"/>
  <c r="AA695" i="1"/>
  <c r="AE694" i="1"/>
  <c r="AA694" i="1"/>
  <c r="AE693" i="1"/>
  <c r="AA693" i="1"/>
  <c r="AE682" i="1"/>
  <c r="AA682" i="1"/>
  <c r="AE680" i="1"/>
  <c r="AA680" i="1"/>
  <c r="AE681" i="1"/>
  <c r="AA681" i="1"/>
  <c r="AE678" i="1"/>
  <c r="AA678" i="1"/>
  <c r="AE677" i="1"/>
  <c r="AA677" i="1"/>
  <c r="AE676" i="1"/>
  <c r="AA676" i="1"/>
  <c r="AE675" i="1"/>
  <c r="AA675" i="1"/>
  <c r="AE674" i="1"/>
  <c r="AA674" i="1"/>
  <c r="AE673" i="1"/>
  <c r="AA673" i="1"/>
  <c r="AE672" i="1"/>
  <c r="AA672" i="1"/>
  <c r="AE671" i="1"/>
  <c r="AA671" i="1"/>
  <c r="AE670" i="1"/>
  <c r="AA670" i="1"/>
  <c r="AE669" i="1"/>
  <c r="AA669" i="1"/>
  <c r="AE668" i="1"/>
  <c r="AA668" i="1"/>
  <c r="AE667" i="1"/>
  <c r="AA667" i="1"/>
  <c r="AE666" i="1"/>
  <c r="AA666" i="1"/>
  <c r="AE665" i="1"/>
  <c r="AA665" i="1"/>
  <c r="AE664" i="1"/>
  <c r="AA664" i="1"/>
  <c r="AE663" i="1"/>
  <c r="AA663" i="1"/>
  <c r="AE662" i="1"/>
  <c r="AA662" i="1"/>
  <c r="AE661" i="1"/>
  <c r="AA661" i="1"/>
  <c r="AE660" i="1"/>
  <c r="AA660" i="1"/>
  <c r="AE659" i="1"/>
  <c r="AA659" i="1"/>
  <c r="AE657" i="1"/>
  <c r="AA657" i="1"/>
  <c r="AE656" i="1"/>
  <c r="AA656" i="1"/>
  <c r="AE655" i="1"/>
  <c r="AA655" i="1"/>
  <c r="AE654" i="1"/>
  <c r="AA654" i="1"/>
  <c r="AE653" i="1"/>
  <c r="AA653" i="1"/>
  <c r="AE652" i="1"/>
  <c r="AA652" i="1"/>
  <c r="AE651" i="1"/>
  <c r="AA651" i="1"/>
  <c r="AE650" i="1"/>
  <c r="AA650" i="1"/>
  <c r="I622" i="1"/>
  <c r="E622" i="1"/>
  <c r="AE616" i="1"/>
  <c r="AA616" i="1"/>
  <c r="AE641" i="1"/>
  <c r="AA641" i="1"/>
  <c r="T478" i="1"/>
  <c r="P478" i="1"/>
  <c r="T489" i="1"/>
  <c r="P489" i="1"/>
  <c r="T527" i="1"/>
  <c r="P527" i="1"/>
  <c r="I641" i="1"/>
  <c r="E641" i="1"/>
  <c r="AE640" i="1"/>
  <c r="AA640" i="1"/>
  <c r="I640" i="1"/>
  <c r="E640" i="1"/>
  <c r="AE639" i="1"/>
  <c r="AA639" i="1"/>
  <c r="I639" i="1"/>
  <c r="E639" i="1"/>
  <c r="AE638" i="1"/>
  <c r="AA638" i="1"/>
  <c r="I638" i="1"/>
  <c r="E638" i="1"/>
  <c r="AE637" i="1"/>
  <c r="AA637" i="1"/>
  <c r="I637" i="1"/>
  <c r="E637" i="1"/>
  <c r="AE636" i="1"/>
  <c r="AA636" i="1"/>
  <c r="I636" i="1"/>
  <c r="E636" i="1"/>
  <c r="AE635" i="1"/>
  <c r="AA635" i="1"/>
  <c r="I635" i="1"/>
  <c r="E635" i="1"/>
  <c r="AE634" i="1"/>
  <c r="AA634" i="1"/>
  <c r="I634" i="1"/>
  <c r="E634" i="1"/>
  <c r="AE633" i="1"/>
  <c r="AA633" i="1"/>
  <c r="I633" i="1"/>
  <c r="E633" i="1"/>
  <c r="AE632" i="1"/>
  <c r="AA632" i="1"/>
  <c r="I632" i="1"/>
  <c r="E632" i="1"/>
  <c r="AE631" i="1"/>
  <c r="AA631" i="1"/>
  <c r="I631" i="1"/>
  <c r="E631" i="1"/>
  <c r="AE630" i="1"/>
  <c r="AA630" i="1"/>
  <c r="I630" i="1"/>
  <c r="E630" i="1"/>
  <c r="AE629" i="1"/>
  <c r="AA629" i="1"/>
  <c r="I629" i="1"/>
  <c r="E629" i="1"/>
  <c r="AE628" i="1"/>
  <c r="AA628" i="1"/>
  <c r="I628" i="1"/>
  <c r="E628" i="1"/>
  <c r="AE627" i="1"/>
  <c r="AA627" i="1"/>
  <c r="I627" i="1"/>
  <c r="E627" i="1"/>
  <c r="AE626" i="1"/>
  <c r="AA626" i="1"/>
  <c r="I626" i="1"/>
  <c r="E626" i="1"/>
  <c r="AE625" i="1"/>
  <c r="AA625" i="1"/>
  <c r="I625" i="1"/>
  <c r="E625" i="1"/>
  <c r="AE624" i="1"/>
  <c r="AA624" i="1"/>
  <c r="I624" i="1"/>
  <c r="E624" i="1"/>
  <c r="AE623" i="1"/>
  <c r="AA623" i="1"/>
  <c r="I623" i="1"/>
  <c r="E623" i="1"/>
  <c r="AE622" i="1"/>
  <c r="AA622" i="1"/>
  <c r="AE621" i="1"/>
  <c r="AA621" i="1"/>
  <c r="I621" i="1"/>
  <c r="E621" i="1"/>
  <c r="AE620" i="1"/>
  <c r="AA620" i="1"/>
  <c r="I620" i="1"/>
  <c r="E620" i="1"/>
  <c r="AE619" i="1"/>
  <c r="AA619" i="1"/>
  <c r="I619" i="1"/>
  <c r="E619" i="1"/>
  <c r="AE618" i="1"/>
  <c r="AA618" i="1"/>
  <c r="I618" i="1"/>
  <c r="E618" i="1"/>
  <c r="I617" i="1"/>
  <c r="E617" i="1"/>
  <c r="I616" i="1"/>
  <c r="E616" i="1"/>
  <c r="AE614" i="1"/>
  <c r="AA614" i="1"/>
  <c r="I614" i="1"/>
  <c r="E614" i="1"/>
  <c r="AE613" i="1"/>
  <c r="AA613" i="1"/>
  <c r="I613" i="1"/>
  <c r="E613" i="1"/>
  <c r="AE612" i="1"/>
  <c r="AA612" i="1"/>
  <c r="I612" i="1"/>
  <c r="E612" i="1"/>
  <c r="AE611" i="1"/>
  <c r="AA611" i="1"/>
  <c r="I611" i="1"/>
  <c r="E611" i="1"/>
  <c r="AE610" i="1"/>
  <c r="AA610" i="1"/>
  <c r="I610" i="1"/>
  <c r="E610" i="1"/>
  <c r="AE609" i="1"/>
  <c r="AA609" i="1"/>
  <c r="I609" i="1"/>
  <c r="E609" i="1"/>
  <c r="AE608" i="1"/>
  <c r="AA608" i="1"/>
  <c r="I608" i="1"/>
  <c r="E608" i="1"/>
  <c r="AE607" i="1"/>
  <c r="AA607" i="1"/>
  <c r="I607" i="1"/>
  <c r="E607" i="1"/>
  <c r="AE598" i="1"/>
  <c r="AA598" i="1"/>
  <c r="AE597" i="1"/>
  <c r="AA597" i="1"/>
  <c r="AE596" i="1"/>
  <c r="AA596" i="1"/>
  <c r="AE595" i="1"/>
  <c r="AA595" i="1"/>
  <c r="AE594" i="1"/>
  <c r="AA594" i="1"/>
  <c r="AE593" i="1"/>
  <c r="AA593" i="1"/>
  <c r="AE592" i="1"/>
  <c r="AA592" i="1"/>
  <c r="AE591" i="1"/>
  <c r="AA591" i="1"/>
  <c r="AE590" i="1"/>
  <c r="AA590" i="1"/>
  <c r="AE589" i="1"/>
  <c r="AA589" i="1"/>
  <c r="AE588" i="1"/>
  <c r="AA588" i="1"/>
  <c r="AE587" i="1"/>
  <c r="AA587" i="1"/>
  <c r="AE586" i="1"/>
  <c r="AA586" i="1"/>
  <c r="AE585" i="1"/>
  <c r="AA585" i="1"/>
  <c r="AE584" i="1"/>
  <c r="AA584" i="1"/>
  <c r="AE583" i="1"/>
  <c r="AA583" i="1"/>
  <c r="AE582" i="1"/>
  <c r="AA582" i="1"/>
  <c r="AE581" i="1"/>
  <c r="AA581" i="1"/>
  <c r="AE580" i="1"/>
  <c r="AA580" i="1"/>
  <c r="AE579" i="1"/>
  <c r="AA579" i="1"/>
  <c r="AE578" i="1"/>
  <c r="AA578" i="1"/>
  <c r="AE577" i="1"/>
  <c r="AA577" i="1"/>
  <c r="AE576" i="1"/>
  <c r="AA576" i="1"/>
  <c r="AE575" i="1"/>
  <c r="AA575" i="1"/>
  <c r="AE574" i="1"/>
  <c r="AA574" i="1"/>
  <c r="AE573" i="1"/>
  <c r="AA573" i="1"/>
  <c r="AE571" i="1"/>
  <c r="AA571" i="1"/>
  <c r="AE570" i="1"/>
  <c r="AA570" i="1"/>
  <c r="AE569" i="1"/>
  <c r="AA569" i="1"/>
  <c r="AE568" i="1"/>
  <c r="AA568" i="1"/>
  <c r="AE567" i="1"/>
  <c r="AA567" i="1"/>
  <c r="AE566" i="1"/>
  <c r="AA566" i="1"/>
  <c r="AE565" i="1"/>
  <c r="AA565" i="1"/>
  <c r="AE564" i="1"/>
  <c r="AA564" i="1"/>
  <c r="AE563" i="1"/>
  <c r="AA563" i="1"/>
  <c r="I598" i="1"/>
  <c r="E598" i="1"/>
  <c r="I597" i="1"/>
  <c r="E597" i="1"/>
  <c r="I596" i="1"/>
  <c r="E596" i="1"/>
  <c r="I595" i="1"/>
  <c r="E595" i="1"/>
  <c r="I594" i="1"/>
  <c r="E594" i="1"/>
  <c r="I593" i="1"/>
  <c r="E593" i="1"/>
  <c r="I592" i="1"/>
  <c r="E592" i="1"/>
  <c r="I591" i="1"/>
  <c r="E591" i="1"/>
  <c r="I590" i="1"/>
  <c r="E590" i="1"/>
  <c r="I589" i="1"/>
  <c r="E589" i="1"/>
  <c r="I588" i="1"/>
  <c r="E588" i="1"/>
  <c r="I587" i="1"/>
  <c r="E587" i="1"/>
  <c r="I586" i="1"/>
  <c r="E586" i="1"/>
  <c r="I585" i="1"/>
  <c r="E585" i="1"/>
  <c r="I584" i="1"/>
  <c r="E584" i="1"/>
  <c r="I583" i="1"/>
  <c r="E583" i="1"/>
  <c r="I582" i="1"/>
  <c r="E582" i="1"/>
  <c r="I581" i="1"/>
  <c r="E581" i="1"/>
  <c r="I580" i="1"/>
  <c r="E580" i="1"/>
  <c r="I579" i="1"/>
  <c r="E579" i="1"/>
  <c r="I578" i="1"/>
  <c r="E578" i="1"/>
  <c r="I577" i="1"/>
  <c r="E577" i="1"/>
  <c r="I576" i="1"/>
  <c r="E576" i="1"/>
  <c r="I575" i="1"/>
  <c r="E575" i="1"/>
  <c r="I574" i="1"/>
  <c r="E574" i="1"/>
  <c r="I573" i="1"/>
  <c r="E573" i="1"/>
  <c r="I571" i="1"/>
  <c r="E571" i="1"/>
  <c r="I570" i="1"/>
  <c r="E570" i="1"/>
  <c r="I569" i="1"/>
  <c r="E569" i="1"/>
  <c r="I568" i="1"/>
  <c r="E568" i="1"/>
  <c r="I567" i="1"/>
  <c r="E567" i="1"/>
  <c r="I566" i="1"/>
  <c r="E566" i="1"/>
  <c r="I565" i="1"/>
  <c r="E565" i="1"/>
  <c r="I564" i="1"/>
  <c r="E564" i="1"/>
  <c r="T512" i="1"/>
  <c r="P512" i="1"/>
  <c r="P521" i="1"/>
  <c r="T521" i="1"/>
  <c r="P522" i="1"/>
  <c r="T522" i="1"/>
  <c r="P523" i="1"/>
  <c r="T523" i="1"/>
  <c r="P524" i="1"/>
  <c r="T524" i="1"/>
  <c r="P525" i="1"/>
  <c r="T525" i="1"/>
  <c r="P526" i="1"/>
  <c r="T526" i="1"/>
  <c r="P528" i="1"/>
  <c r="T528" i="1"/>
  <c r="P530" i="1"/>
  <c r="T530" i="1"/>
  <c r="P531" i="1"/>
  <c r="T531" i="1"/>
  <c r="P532" i="1"/>
  <c r="T532" i="1"/>
  <c r="P533" i="1"/>
  <c r="T533" i="1"/>
  <c r="P534" i="1"/>
  <c r="T534" i="1"/>
  <c r="P535" i="1"/>
  <c r="T535" i="1"/>
  <c r="P536" i="1"/>
  <c r="T536" i="1"/>
  <c r="P537" i="1"/>
  <c r="T537" i="1"/>
  <c r="P538" i="1"/>
  <c r="T538" i="1"/>
  <c r="P539" i="1"/>
  <c r="T539" i="1"/>
  <c r="P540" i="1"/>
  <c r="T540" i="1"/>
  <c r="P541" i="1"/>
  <c r="T541" i="1"/>
  <c r="P542" i="1"/>
  <c r="T542" i="1"/>
  <c r="P543" i="1"/>
  <c r="T543" i="1"/>
  <c r="P544" i="1"/>
  <c r="T544" i="1"/>
  <c r="P545" i="1"/>
  <c r="T545" i="1"/>
  <c r="P546" i="1"/>
  <c r="T546" i="1"/>
  <c r="P547" i="1"/>
  <c r="T547" i="1"/>
  <c r="P548" i="1"/>
  <c r="T548" i="1"/>
  <c r="P549" i="1"/>
  <c r="T549" i="1"/>
  <c r="P550" i="1"/>
  <c r="T550" i="1"/>
  <c r="P551" i="1"/>
  <c r="T551" i="1"/>
  <c r="P552" i="1"/>
  <c r="T552" i="1"/>
  <c r="P553" i="1"/>
  <c r="T553" i="1"/>
  <c r="P554" i="1"/>
  <c r="T554" i="1"/>
  <c r="P555" i="1"/>
  <c r="T555" i="1"/>
  <c r="M556" i="1"/>
  <c r="N556" i="1"/>
  <c r="O556" i="1"/>
  <c r="Q556" i="1"/>
  <c r="R556" i="1"/>
  <c r="S556" i="1"/>
  <c r="P564" i="1"/>
  <c r="T564" i="1"/>
  <c r="P565" i="1"/>
  <c r="T565" i="1"/>
  <c r="P566" i="1"/>
  <c r="T566" i="1"/>
  <c r="P567" i="1"/>
  <c r="T567" i="1"/>
  <c r="P568" i="1"/>
  <c r="T568" i="1"/>
  <c r="P569" i="1"/>
  <c r="T569" i="1"/>
  <c r="P570" i="1"/>
  <c r="T570" i="1"/>
  <c r="P571" i="1"/>
  <c r="T571" i="1"/>
  <c r="P573" i="1"/>
  <c r="T573" i="1"/>
  <c r="P574" i="1"/>
  <c r="T574" i="1"/>
  <c r="P575" i="1"/>
  <c r="T575" i="1"/>
  <c r="P576" i="1"/>
  <c r="T576" i="1"/>
  <c r="P577" i="1"/>
  <c r="T577" i="1"/>
  <c r="P578" i="1"/>
  <c r="T578" i="1"/>
  <c r="P579" i="1"/>
  <c r="T579" i="1"/>
  <c r="P580" i="1"/>
  <c r="T580" i="1"/>
  <c r="P581" i="1"/>
  <c r="T581" i="1"/>
  <c r="P582" i="1"/>
  <c r="T582" i="1"/>
  <c r="P583" i="1"/>
  <c r="T583" i="1"/>
  <c r="P584" i="1"/>
  <c r="T584" i="1"/>
  <c r="P585" i="1"/>
  <c r="T585" i="1"/>
  <c r="P586" i="1"/>
  <c r="T586" i="1"/>
  <c r="P587" i="1"/>
  <c r="T587" i="1"/>
  <c r="P588" i="1"/>
  <c r="T588" i="1"/>
  <c r="P589" i="1"/>
  <c r="T589" i="1"/>
  <c r="P590" i="1"/>
  <c r="T590" i="1"/>
  <c r="P591" i="1"/>
  <c r="T591" i="1"/>
  <c r="P592" i="1"/>
  <c r="T592" i="1"/>
  <c r="P593" i="1"/>
  <c r="T593" i="1"/>
  <c r="P594" i="1"/>
  <c r="T594" i="1"/>
  <c r="P595" i="1"/>
  <c r="T595" i="1"/>
  <c r="P596" i="1"/>
  <c r="T596" i="1"/>
  <c r="P597" i="1"/>
  <c r="T597" i="1"/>
  <c r="P598" i="1"/>
  <c r="T598" i="1"/>
  <c r="M599" i="1"/>
  <c r="N599" i="1"/>
  <c r="O599" i="1"/>
  <c r="Q599" i="1"/>
  <c r="R599" i="1"/>
  <c r="S599" i="1"/>
  <c r="T479" i="1"/>
  <c r="P479" i="1"/>
  <c r="I439" i="1"/>
  <c r="E439" i="1"/>
  <c r="I555" i="1"/>
  <c r="E555" i="1"/>
  <c r="I554" i="1"/>
  <c r="E554" i="1"/>
  <c r="I553" i="1"/>
  <c r="E553" i="1"/>
  <c r="I552" i="1"/>
  <c r="E552" i="1"/>
  <c r="I551" i="1"/>
  <c r="E551" i="1"/>
  <c r="I550" i="1"/>
  <c r="E550" i="1"/>
  <c r="I549" i="1"/>
  <c r="E549" i="1"/>
  <c r="I548" i="1"/>
  <c r="E548" i="1"/>
  <c r="I547" i="1"/>
  <c r="E547" i="1"/>
  <c r="I546" i="1"/>
  <c r="E546" i="1"/>
  <c r="I545" i="1"/>
  <c r="E545" i="1"/>
  <c r="I544" i="1"/>
  <c r="E544" i="1"/>
  <c r="I543" i="1"/>
  <c r="E543" i="1"/>
  <c r="I542" i="1"/>
  <c r="E542" i="1"/>
  <c r="I541" i="1"/>
  <c r="E541" i="1"/>
  <c r="I540" i="1"/>
  <c r="E540" i="1"/>
  <c r="I539" i="1"/>
  <c r="E539" i="1"/>
  <c r="I538" i="1"/>
  <c r="E538" i="1"/>
  <c r="I537" i="1"/>
  <c r="E537" i="1"/>
  <c r="I536" i="1"/>
  <c r="E536" i="1"/>
  <c r="I535" i="1"/>
  <c r="E535" i="1"/>
  <c r="I534" i="1"/>
  <c r="E534" i="1"/>
  <c r="I533" i="1"/>
  <c r="E533" i="1"/>
  <c r="I532" i="1"/>
  <c r="E532" i="1"/>
  <c r="I531" i="1"/>
  <c r="E531" i="1"/>
  <c r="I530" i="1"/>
  <c r="E530" i="1"/>
  <c r="I528" i="1"/>
  <c r="E528" i="1"/>
  <c r="I527" i="1"/>
  <c r="E527" i="1"/>
  <c r="I526" i="1"/>
  <c r="E526" i="1"/>
  <c r="I525" i="1"/>
  <c r="E525" i="1"/>
  <c r="I524" i="1"/>
  <c r="E524" i="1"/>
  <c r="I523" i="1"/>
  <c r="E523" i="1"/>
  <c r="I522" i="1"/>
  <c r="E522" i="1"/>
  <c r="I521" i="1"/>
  <c r="E521" i="1"/>
  <c r="S513" i="1"/>
  <c r="R513" i="1"/>
  <c r="Q513" i="1"/>
  <c r="O513" i="1"/>
  <c r="N513" i="1"/>
  <c r="M513" i="1"/>
  <c r="I512" i="1"/>
  <c r="E512" i="1"/>
  <c r="T511" i="1"/>
  <c r="P511" i="1"/>
  <c r="I511" i="1"/>
  <c r="E511" i="1"/>
  <c r="T510" i="1"/>
  <c r="P510" i="1"/>
  <c r="I510" i="1"/>
  <c r="E510" i="1"/>
  <c r="T509" i="1"/>
  <c r="P509" i="1"/>
  <c r="I509" i="1"/>
  <c r="E509" i="1"/>
  <c r="T508" i="1"/>
  <c r="P508" i="1"/>
  <c r="I508" i="1"/>
  <c r="E508" i="1"/>
  <c r="T507" i="1"/>
  <c r="P507" i="1"/>
  <c r="I507" i="1"/>
  <c r="E507" i="1"/>
  <c r="T506" i="1"/>
  <c r="P506" i="1"/>
  <c r="I506" i="1"/>
  <c r="E506" i="1"/>
  <c r="T505" i="1"/>
  <c r="P505" i="1"/>
  <c r="I505" i="1"/>
  <c r="E505" i="1"/>
  <c r="T504" i="1"/>
  <c r="P504" i="1"/>
  <c r="I504" i="1"/>
  <c r="E504" i="1"/>
  <c r="T503" i="1"/>
  <c r="P503" i="1"/>
  <c r="I503" i="1"/>
  <c r="E503" i="1"/>
  <c r="T502" i="1"/>
  <c r="P502" i="1"/>
  <c r="I502" i="1"/>
  <c r="E502" i="1"/>
  <c r="T501" i="1"/>
  <c r="P501" i="1"/>
  <c r="I501" i="1"/>
  <c r="E501" i="1"/>
  <c r="T500" i="1"/>
  <c r="P500" i="1"/>
  <c r="I500" i="1"/>
  <c r="E500" i="1"/>
  <c r="T499" i="1"/>
  <c r="P499" i="1"/>
  <c r="I499" i="1"/>
  <c r="E499" i="1"/>
  <c r="T498" i="1"/>
  <c r="P498" i="1"/>
  <c r="I498" i="1"/>
  <c r="E498" i="1"/>
  <c r="T497" i="1"/>
  <c r="P497" i="1"/>
  <c r="I497" i="1"/>
  <c r="E497" i="1"/>
  <c r="T496" i="1"/>
  <c r="P496" i="1"/>
  <c r="I496" i="1"/>
  <c r="E496" i="1"/>
  <c r="T495" i="1"/>
  <c r="P495" i="1"/>
  <c r="I495" i="1"/>
  <c r="E495" i="1"/>
  <c r="T494" i="1"/>
  <c r="P494" i="1"/>
  <c r="I494" i="1"/>
  <c r="E494" i="1"/>
  <c r="T493" i="1"/>
  <c r="P493" i="1"/>
  <c r="I493" i="1"/>
  <c r="E493" i="1"/>
  <c r="T492" i="1"/>
  <c r="P492" i="1"/>
  <c r="I492" i="1"/>
  <c r="E492" i="1"/>
  <c r="T491" i="1"/>
  <c r="P491" i="1"/>
  <c r="I491" i="1"/>
  <c r="E491" i="1"/>
  <c r="T490" i="1"/>
  <c r="P490" i="1"/>
  <c r="I490" i="1"/>
  <c r="E490" i="1"/>
  <c r="I489" i="1"/>
  <c r="E489" i="1"/>
  <c r="T488" i="1"/>
  <c r="P488" i="1"/>
  <c r="I488" i="1"/>
  <c r="E488" i="1"/>
  <c r="T487" i="1"/>
  <c r="P487" i="1"/>
  <c r="I487" i="1"/>
  <c r="E487" i="1"/>
  <c r="T485" i="1"/>
  <c r="P485" i="1"/>
  <c r="I485" i="1"/>
  <c r="E485" i="1"/>
  <c r="T484" i="1"/>
  <c r="P484" i="1"/>
  <c r="I484" i="1"/>
  <c r="E484" i="1"/>
  <c r="T483" i="1"/>
  <c r="P483" i="1"/>
  <c r="I483" i="1"/>
  <c r="E483" i="1"/>
  <c r="T482" i="1"/>
  <c r="P482" i="1"/>
  <c r="I482" i="1"/>
  <c r="E482" i="1"/>
  <c r="T481" i="1"/>
  <c r="P481" i="1"/>
  <c r="I481" i="1"/>
  <c r="E481" i="1"/>
  <c r="T480" i="1"/>
  <c r="P480" i="1"/>
  <c r="I480" i="1"/>
  <c r="E480" i="1"/>
  <c r="I479" i="1"/>
  <c r="E479" i="1"/>
  <c r="I478" i="1"/>
  <c r="E478" i="1"/>
  <c r="T468" i="1"/>
  <c r="P468" i="1"/>
  <c r="S470" i="1"/>
  <c r="R470" i="1"/>
  <c r="Q470" i="1"/>
  <c r="O470" i="1"/>
  <c r="N470" i="1"/>
  <c r="M470" i="1"/>
  <c r="T469" i="1"/>
  <c r="P469" i="1"/>
  <c r="I469" i="1"/>
  <c r="E469" i="1"/>
  <c r="I468" i="1"/>
  <c r="E468" i="1"/>
  <c r="T467" i="1"/>
  <c r="P467" i="1"/>
  <c r="I467" i="1"/>
  <c r="E467" i="1"/>
  <c r="T466" i="1"/>
  <c r="P466" i="1"/>
  <c r="I466" i="1"/>
  <c r="E466" i="1"/>
  <c r="T465" i="1"/>
  <c r="P465" i="1"/>
  <c r="I465" i="1"/>
  <c r="E465" i="1"/>
  <c r="T464" i="1"/>
  <c r="P464" i="1"/>
  <c r="I464" i="1"/>
  <c r="E464" i="1"/>
  <c r="T463" i="1"/>
  <c r="P463" i="1"/>
  <c r="I463" i="1"/>
  <c r="E463" i="1"/>
  <c r="T462" i="1"/>
  <c r="P462" i="1"/>
  <c r="I462" i="1"/>
  <c r="E462" i="1"/>
  <c r="T461" i="1"/>
  <c r="P461" i="1"/>
  <c r="I461" i="1"/>
  <c r="E461" i="1"/>
  <c r="T460" i="1"/>
  <c r="P460" i="1"/>
  <c r="I460" i="1"/>
  <c r="E460" i="1"/>
  <c r="T459" i="1"/>
  <c r="P459" i="1"/>
  <c r="I459" i="1"/>
  <c r="E459" i="1"/>
  <c r="T458" i="1"/>
  <c r="P458" i="1"/>
  <c r="I458" i="1"/>
  <c r="E458" i="1"/>
  <c r="T457" i="1"/>
  <c r="P457" i="1"/>
  <c r="I457" i="1"/>
  <c r="E457" i="1"/>
  <c r="T456" i="1"/>
  <c r="P456" i="1"/>
  <c r="I456" i="1"/>
  <c r="E456" i="1"/>
  <c r="T455" i="1"/>
  <c r="P455" i="1"/>
  <c r="I455" i="1"/>
  <c r="E455" i="1"/>
  <c r="T454" i="1"/>
  <c r="P454" i="1"/>
  <c r="I454" i="1"/>
  <c r="E454" i="1"/>
  <c r="T453" i="1"/>
  <c r="P453" i="1"/>
  <c r="I453" i="1"/>
  <c r="E453" i="1"/>
  <c r="T452" i="1"/>
  <c r="P452" i="1"/>
  <c r="I452" i="1"/>
  <c r="E452" i="1"/>
  <c r="T451" i="1"/>
  <c r="P451" i="1"/>
  <c r="I451" i="1"/>
  <c r="E451" i="1"/>
  <c r="T450" i="1"/>
  <c r="P450" i="1"/>
  <c r="I450" i="1"/>
  <c r="E450" i="1"/>
  <c r="T449" i="1"/>
  <c r="P449" i="1"/>
  <c r="I449" i="1"/>
  <c r="E449" i="1"/>
  <c r="T448" i="1"/>
  <c r="P448" i="1"/>
  <c r="I448" i="1"/>
  <c r="E448" i="1"/>
  <c r="T447" i="1"/>
  <c r="P447" i="1"/>
  <c r="I447" i="1"/>
  <c r="E447" i="1"/>
  <c r="T446" i="1"/>
  <c r="P446" i="1"/>
  <c r="I446" i="1"/>
  <c r="E446" i="1"/>
  <c r="T445" i="1"/>
  <c r="P445" i="1"/>
  <c r="I445" i="1"/>
  <c r="E445" i="1"/>
  <c r="T444" i="1"/>
  <c r="P444" i="1"/>
  <c r="I444" i="1"/>
  <c r="E444" i="1"/>
  <c r="T442" i="1"/>
  <c r="P442" i="1"/>
  <c r="I442" i="1"/>
  <c r="E442" i="1"/>
  <c r="T441" i="1"/>
  <c r="P441" i="1"/>
  <c r="I441" i="1"/>
  <c r="E441" i="1"/>
  <c r="T440" i="1"/>
  <c r="P440" i="1"/>
  <c r="I440" i="1"/>
  <c r="E440" i="1"/>
  <c r="T439" i="1"/>
  <c r="P439" i="1"/>
  <c r="T438" i="1"/>
  <c r="P438" i="1"/>
  <c r="I438" i="1"/>
  <c r="E438" i="1"/>
  <c r="T437" i="1"/>
  <c r="P437" i="1"/>
  <c r="I437" i="1"/>
  <c r="E437" i="1"/>
  <c r="T436" i="1"/>
  <c r="P436" i="1"/>
  <c r="I436" i="1"/>
  <c r="E436" i="1"/>
  <c r="T435" i="1"/>
  <c r="P435" i="1"/>
  <c r="I435" i="1"/>
  <c r="E435" i="1"/>
  <c r="T383" i="1"/>
  <c r="P383" i="1"/>
  <c r="T426" i="1"/>
  <c r="P426" i="1"/>
  <c r="T382" i="1"/>
  <c r="T392" i="1"/>
  <c r="P392" i="1"/>
  <c r="I426" i="1"/>
  <c r="E426" i="1"/>
  <c r="I425" i="1"/>
  <c r="E425" i="1"/>
  <c r="I424" i="1"/>
  <c r="E424" i="1"/>
  <c r="I423" i="1"/>
  <c r="E423" i="1"/>
  <c r="I422" i="1"/>
  <c r="E422" i="1"/>
  <c r="I421" i="1"/>
  <c r="E421" i="1"/>
  <c r="I420" i="1"/>
  <c r="E420" i="1"/>
  <c r="I419" i="1"/>
  <c r="E419" i="1"/>
  <c r="I418" i="1"/>
  <c r="E418" i="1"/>
  <c r="I417" i="1"/>
  <c r="E417" i="1"/>
  <c r="I416" i="1"/>
  <c r="E416" i="1"/>
  <c r="I415" i="1"/>
  <c r="E415" i="1"/>
  <c r="I414" i="1"/>
  <c r="E414" i="1"/>
  <c r="I413" i="1"/>
  <c r="E413" i="1"/>
  <c r="I412" i="1"/>
  <c r="E412" i="1"/>
  <c r="I411" i="1"/>
  <c r="E411" i="1"/>
  <c r="I410" i="1"/>
  <c r="E410" i="1"/>
  <c r="I409" i="1"/>
  <c r="E409" i="1"/>
  <c r="I408" i="1"/>
  <c r="E408" i="1"/>
  <c r="I407" i="1"/>
  <c r="E407" i="1"/>
  <c r="I406" i="1"/>
  <c r="E406" i="1"/>
  <c r="I405" i="1"/>
  <c r="E405" i="1"/>
  <c r="I404" i="1"/>
  <c r="E404" i="1"/>
  <c r="I403" i="1"/>
  <c r="E403" i="1"/>
  <c r="I402" i="1"/>
  <c r="E402" i="1"/>
  <c r="I401" i="1"/>
  <c r="E401" i="1"/>
  <c r="I399" i="1"/>
  <c r="E399" i="1"/>
  <c r="I398" i="1"/>
  <c r="E398" i="1"/>
  <c r="I397" i="1"/>
  <c r="E397" i="1"/>
  <c r="I396" i="1"/>
  <c r="E396" i="1"/>
  <c r="I395" i="1"/>
  <c r="E395" i="1"/>
  <c r="I394" i="1"/>
  <c r="E394" i="1"/>
  <c r="I393" i="1"/>
  <c r="E393" i="1"/>
  <c r="I392" i="1"/>
  <c r="E392" i="1"/>
  <c r="S427" i="1"/>
  <c r="R427" i="1"/>
  <c r="Q427" i="1"/>
  <c r="O427" i="1"/>
  <c r="N427" i="1"/>
  <c r="M427" i="1"/>
  <c r="T425" i="1"/>
  <c r="P425" i="1"/>
  <c r="T424" i="1"/>
  <c r="P424" i="1"/>
  <c r="T423" i="1"/>
  <c r="P423" i="1"/>
  <c r="T422" i="1"/>
  <c r="P422" i="1"/>
  <c r="T421" i="1"/>
  <c r="P421" i="1"/>
  <c r="T420" i="1"/>
  <c r="P420" i="1"/>
  <c r="T419" i="1"/>
  <c r="P419" i="1"/>
  <c r="T418" i="1"/>
  <c r="P418" i="1"/>
  <c r="T417" i="1"/>
  <c r="P417" i="1"/>
  <c r="T416" i="1"/>
  <c r="P416" i="1"/>
  <c r="T415" i="1"/>
  <c r="P415" i="1"/>
  <c r="T414" i="1"/>
  <c r="P414" i="1"/>
  <c r="T413" i="1"/>
  <c r="P413" i="1"/>
  <c r="T412" i="1"/>
  <c r="P412" i="1"/>
  <c r="T411" i="1"/>
  <c r="P411" i="1"/>
  <c r="T410" i="1"/>
  <c r="P410" i="1"/>
  <c r="T409" i="1"/>
  <c r="P409" i="1"/>
  <c r="T408" i="1"/>
  <c r="P408" i="1"/>
  <c r="T407" i="1"/>
  <c r="P407" i="1"/>
  <c r="T406" i="1"/>
  <c r="P406" i="1"/>
  <c r="T405" i="1"/>
  <c r="P405" i="1"/>
  <c r="T404" i="1"/>
  <c r="P404" i="1"/>
  <c r="T403" i="1"/>
  <c r="P403" i="1"/>
  <c r="T402" i="1"/>
  <c r="P402" i="1"/>
  <c r="T401" i="1"/>
  <c r="P401" i="1"/>
  <c r="T399" i="1"/>
  <c r="P399" i="1"/>
  <c r="T398" i="1"/>
  <c r="P398" i="1"/>
  <c r="T397" i="1"/>
  <c r="P397" i="1"/>
  <c r="T396" i="1"/>
  <c r="P396" i="1"/>
  <c r="T395" i="1"/>
  <c r="P395" i="1"/>
  <c r="T394" i="1"/>
  <c r="P394" i="1"/>
  <c r="T393" i="1"/>
  <c r="P393" i="1"/>
  <c r="I306" i="1"/>
  <c r="E306" i="1"/>
  <c r="I383" i="1"/>
  <c r="E383" i="1"/>
  <c r="I382" i="1"/>
  <c r="E382" i="1"/>
  <c r="I381" i="1"/>
  <c r="E381" i="1"/>
  <c r="I380" i="1"/>
  <c r="E380" i="1"/>
  <c r="I379" i="1"/>
  <c r="E379" i="1"/>
  <c r="I378" i="1"/>
  <c r="E378" i="1"/>
  <c r="I377" i="1"/>
  <c r="E377" i="1"/>
  <c r="I376" i="1"/>
  <c r="E376" i="1"/>
  <c r="I375" i="1"/>
  <c r="E375" i="1"/>
  <c r="I374" i="1"/>
  <c r="E374" i="1"/>
  <c r="I373" i="1"/>
  <c r="E373" i="1"/>
  <c r="I372" i="1"/>
  <c r="E372" i="1"/>
  <c r="I371" i="1"/>
  <c r="E371" i="1"/>
  <c r="I370" i="1"/>
  <c r="E370" i="1"/>
  <c r="I369" i="1"/>
  <c r="E369" i="1"/>
  <c r="I368" i="1"/>
  <c r="E368" i="1"/>
  <c r="I367" i="1"/>
  <c r="E367" i="1"/>
  <c r="I366" i="1"/>
  <c r="E366" i="1"/>
  <c r="I365" i="1"/>
  <c r="E365" i="1"/>
  <c r="I364" i="1"/>
  <c r="E364" i="1"/>
  <c r="I363" i="1"/>
  <c r="E363" i="1"/>
  <c r="I362" i="1"/>
  <c r="E362" i="1"/>
  <c r="I361" i="1"/>
  <c r="E361" i="1"/>
  <c r="I360" i="1"/>
  <c r="E360" i="1"/>
  <c r="I359" i="1"/>
  <c r="E359" i="1"/>
  <c r="I358" i="1"/>
  <c r="E358" i="1"/>
  <c r="I356" i="1"/>
  <c r="E356" i="1"/>
  <c r="I355" i="1"/>
  <c r="E355" i="1"/>
  <c r="I354" i="1"/>
  <c r="E354" i="1"/>
  <c r="I353" i="1"/>
  <c r="E353" i="1"/>
  <c r="I352" i="1"/>
  <c r="E352" i="1"/>
  <c r="I351" i="1"/>
  <c r="E351" i="1"/>
  <c r="I350" i="1"/>
  <c r="E350" i="1"/>
  <c r="I349" i="1"/>
  <c r="E349" i="1"/>
  <c r="T340" i="1"/>
  <c r="P340" i="1"/>
  <c r="T339" i="1"/>
  <c r="P339" i="1"/>
  <c r="S384" i="1"/>
  <c r="R384" i="1"/>
  <c r="Q384" i="1"/>
  <c r="O384" i="1"/>
  <c r="N384" i="1"/>
  <c r="M384" i="1"/>
  <c r="P382" i="1"/>
  <c r="T381" i="1"/>
  <c r="P381" i="1"/>
  <c r="T380" i="1"/>
  <c r="P380" i="1"/>
  <c r="T379" i="1"/>
  <c r="P379" i="1"/>
  <c r="T378" i="1"/>
  <c r="P378" i="1"/>
  <c r="T377" i="1"/>
  <c r="P377" i="1"/>
  <c r="T376" i="1"/>
  <c r="P376" i="1"/>
  <c r="T375" i="1"/>
  <c r="P375" i="1"/>
  <c r="T374" i="1"/>
  <c r="P374" i="1"/>
  <c r="T373" i="1"/>
  <c r="P373" i="1"/>
  <c r="T372" i="1"/>
  <c r="P372" i="1"/>
  <c r="T371" i="1"/>
  <c r="P371" i="1"/>
  <c r="T370" i="1"/>
  <c r="P370" i="1"/>
  <c r="T369" i="1"/>
  <c r="P369" i="1"/>
  <c r="T368" i="1"/>
  <c r="P368" i="1"/>
  <c r="T367" i="1"/>
  <c r="P367" i="1"/>
  <c r="T366" i="1"/>
  <c r="P366" i="1"/>
  <c r="T365" i="1"/>
  <c r="P365" i="1"/>
  <c r="T364" i="1"/>
  <c r="P364" i="1"/>
  <c r="T363" i="1"/>
  <c r="P363" i="1"/>
  <c r="T362" i="1"/>
  <c r="P362" i="1"/>
  <c r="T361" i="1"/>
  <c r="P361" i="1"/>
  <c r="T360" i="1"/>
  <c r="P360" i="1"/>
  <c r="T359" i="1"/>
  <c r="P359" i="1"/>
  <c r="T358" i="1"/>
  <c r="P358" i="1"/>
  <c r="T356" i="1"/>
  <c r="P356" i="1"/>
  <c r="T355" i="1"/>
  <c r="P355" i="1"/>
  <c r="T354" i="1"/>
  <c r="P354" i="1"/>
  <c r="T353" i="1"/>
  <c r="P353" i="1"/>
  <c r="T352" i="1"/>
  <c r="P352" i="1"/>
  <c r="T351" i="1"/>
  <c r="P351" i="1"/>
  <c r="T350" i="1"/>
  <c r="P350" i="1"/>
  <c r="T349" i="1"/>
  <c r="P349" i="1"/>
  <c r="T234" i="1"/>
  <c r="P234" i="1"/>
  <c r="P235" i="1"/>
  <c r="T235" i="1"/>
  <c r="T272" i="1"/>
  <c r="P272" i="1"/>
  <c r="I225" i="1"/>
  <c r="E225" i="1"/>
  <c r="P295" i="1"/>
  <c r="T295" i="1"/>
  <c r="P296" i="1"/>
  <c r="T296" i="1"/>
  <c r="P297" i="1"/>
  <c r="T297" i="1"/>
  <c r="T338" i="1"/>
  <c r="P338" i="1"/>
  <c r="T337" i="1"/>
  <c r="P337" i="1"/>
  <c r="T294" i="1"/>
  <c r="P294" i="1"/>
  <c r="T220" i="1"/>
  <c r="P220" i="1"/>
  <c r="I236" i="1"/>
  <c r="E236" i="1"/>
  <c r="I224" i="1"/>
  <c r="E224" i="1"/>
  <c r="T230" i="1"/>
  <c r="P230" i="1"/>
  <c r="T293" i="1"/>
  <c r="P293" i="1"/>
  <c r="T249" i="1"/>
  <c r="P249" i="1"/>
  <c r="T186" i="1"/>
  <c r="P186" i="1"/>
  <c r="T211" i="1"/>
  <c r="P211" i="1"/>
  <c r="T251" i="1"/>
  <c r="P251" i="1"/>
  <c r="T210" i="1"/>
  <c r="P210" i="1"/>
  <c r="T254" i="1"/>
  <c r="P254" i="1"/>
  <c r="T253" i="1"/>
  <c r="P253" i="1"/>
  <c r="T252" i="1"/>
  <c r="P252" i="1"/>
  <c r="T207" i="1"/>
  <c r="P207" i="1"/>
  <c r="T209" i="1"/>
  <c r="P209" i="1"/>
  <c r="T208" i="1"/>
  <c r="P208" i="1"/>
  <c r="T183" i="1"/>
  <c r="P183" i="1"/>
  <c r="I340" i="1"/>
  <c r="E340" i="1"/>
  <c r="I339" i="1"/>
  <c r="E339" i="1"/>
  <c r="I338" i="1"/>
  <c r="E338" i="1"/>
  <c r="I337" i="1"/>
  <c r="E337" i="1"/>
  <c r="I336" i="1"/>
  <c r="E336" i="1"/>
  <c r="I335" i="1"/>
  <c r="E335" i="1"/>
  <c r="I334" i="1"/>
  <c r="E334" i="1"/>
  <c r="I333" i="1"/>
  <c r="E333" i="1"/>
  <c r="I332" i="1"/>
  <c r="E332" i="1"/>
  <c r="I331" i="1"/>
  <c r="E331" i="1"/>
  <c r="I330" i="1"/>
  <c r="E330" i="1"/>
  <c r="I329" i="1"/>
  <c r="E329" i="1"/>
  <c r="I328" i="1"/>
  <c r="E328" i="1"/>
  <c r="I327" i="1"/>
  <c r="E327" i="1"/>
  <c r="I326" i="1"/>
  <c r="E326" i="1"/>
  <c r="I325" i="1"/>
  <c r="E325" i="1"/>
  <c r="I324" i="1"/>
  <c r="E324" i="1"/>
  <c r="I323" i="1"/>
  <c r="E323" i="1"/>
  <c r="I322" i="1"/>
  <c r="E322" i="1"/>
  <c r="I321" i="1"/>
  <c r="E321" i="1"/>
  <c r="I320" i="1"/>
  <c r="E320" i="1"/>
  <c r="I319" i="1"/>
  <c r="E319" i="1"/>
  <c r="I318" i="1"/>
  <c r="E318" i="1"/>
  <c r="I317" i="1"/>
  <c r="E317" i="1"/>
  <c r="I316" i="1"/>
  <c r="E316" i="1"/>
  <c r="I315" i="1"/>
  <c r="E315" i="1"/>
  <c r="I313" i="1"/>
  <c r="E313" i="1"/>
  <c r="I312" i="1"/>
  <c r="E312" i="1"/>
  <c r="I311" i="1"/>
  <c r="E311" i="1"/>
  <c r="I310" i="1"/>
  <c r="E310" i="1"/>
  <c r="I309" i="1"/>
  <c r="E309" i="1"/>
  <c r="I308" i="1"/>
  <c r="E308" i="1"/>
  <c r="I307" i="1"/>
  <c r="E307" i="1"/>
  <c r="T248" i="1"/>
  <c r="P248" i="1"/>
  <c r="T247" i="1"/>
  <c r="P247" i="1"/>
  <c r="S341" i="1"/>
  <c r="R341" i="1"/>
  <c r="Q341" i="1"/>
  <c r="O341" i="1"/>
  <c r="N341" i="1"/>
  <c r="M341" i="1"/>
  <c r="T336" i="1"/>
  <c r="P336" i="1"/>
  <c r="T335" i="1"/>
  <c r="P335" i="1"/>
  <c r="T334" i="1"/>
  <c r="P334" i="1"/>
  <c r="T333" i="1"/>
  <c r="P333" i="1"/>
  <c r="T332" i="1"/>
  <c r="P332" i="1"/>
  <c r="T331" i="1"/>
  <c r="P331" i="1"/>
  <c r="T330" i="1"/>
  <c r="P330" i="1"/>
  <c r="T329" i="1"/>
  <c r="P329" i="1"/>
  <c r="T328" i="1"/>
  <c r="P328" i="1"/>
  <c r="T327" i="1"/>
  <c r="P327" i="1"/>
  <c r="T326" i="1"/>
  <c r="P326" i="1"/>
  <c r="T325" i="1"/>
  <c r="P325" i="1"/>
  <c r="T324" i="1"/>
  <c r="P324" i="1"/>
  <c r="T323" i="1"/>
  <c r="P323" i="1"/>
  <c r="T322" i="1"/>
  <c r="P322" i="1"/>
  <c r="T321" i="1"/>
  <c r="P321" i="1"/>
  <c r="T320" i="1"/>
  <c r="P320" i="1"/>
  <c r="T319" i="1"/>
  <c r="P319" i="1"/>
  <c r="T318" i="1"/>
  <c r="P318" i="1"/>
  <c r="T317" i="1"/>
  <c r="P317" i="1"/>
  <c r="T316" i="1"/>
  <c r="P316" i="1"/>
  <c r="T315" i="1"/>
  <c r="P315" i="1"/>
  <c r="T313" i="1"/>
  <c r="P313" i="1"/>
  <c r="T312" i="1"/>
  <c r="P312" i="1"/>
  <c r="T311" i="1"/>
  <c r="P311" i="1"/>
  <c r="T310" i="1"/>
  <c r="P310" i="1"/>
  <c r="T309" i="1"/>
  <c r="P309" i="1"/>
  <c r="T308" i="1"/>
  <c r="P308" i="1"/>
  <c r="T307" i="1"/>
  <c r="P307" i="1"/>
  <c r="T306" i="1"/>
  <c r="P306" i="1"/>
  <c r="T144" i="1"/>
  <c r="P144" i="1"/>
  <c r="T143" i="1"/>
  <c r="P143" i="1"/>
  <c r="I180" i="1"/>
  <c r="E180" i="1"/>
  <c r="I297" i="1"/>
  <c r="E297" i="1"/>
  <c r="I296" i="1"/>
  <c r="E296" i="1"/>
  <c r="I295" i="1"/>
  <c r="E295" i="1"/>
  <c r="I294" i="1"/>
  <c r="E294" i="1"/>
  <c r="I293" i="1"/>
  <c r="E293" i="1"/>
  <c r="I292" i="1"/>
  <c r="E292" i="1"/>
  <c r="I291" i="1"/>
  <c r="E291" i="1"/>
  <c r="I290" i="1"/>
  <c r="E290" i="1"/>
  <c r="I289" i="1"/>
  <c r="E289" i="1"/>
  <c r="I288" i="1"/>
  <c r="E288" i="1"/>
  <c r="I287" i="1"/>
  <c r="E287" i="1"/>
  <c r="I286" i="1"/>
  <c r="E286" i="1"/>
  <c r="I285" i="1"/>
  <c r="E285" i="1"/>
  <c r="I284" i="1"/>
  <c r="E284" i="1"/>
  <c r="I283" i="1"/>
  <c r="E283" i="1"/>
  <c r="I282" i="1"/>
  <c r="E282" i="1"/>
  <c r="I281" i="1"/>
  <c r="E281" i="1"/>
  <c r="I280" i="1"/>
  <c r="E280" i="1"/>
  <c r="I279" i="1"/>
  <c r="E279" i="1"/>
  <c r="I278" i="1"/>
  <c r="E278" i="1"/>
  <c r="I277" i="1"/>
  <c r="E277" i="1"/>
  <c r="I276" i="1"/>
  <c r="E276" i="1"/>
  <c r="I275" i="1"/>
  <c r="E275" i="1"/>
  <c r="I274" i="1"/>
  <c r="E274" i="1"/>
  <c r="I273" i="1"/>
  <c r="E273" i="1"/>
  <c r="I272" i="1"/>
  <c r="E272" i="1"/>
  <c r="I270" i="1"/>
  <c r="E270" i="1"/>
  <c r="I269" i="1"/>
  <c r="E269" i="1"/>
  <c r="I268" i="1"/>
  <c r="E268" i="1"/>
  <c r="I267" i="1"/>
  <c r="E267" i="1"/>
  <c r="I266" i="1"/>
  <c r="E266" i="1"/>
  <c r="I265" i="1"/>
  <c r="E265" i="1"/>
  <c r="I264" i="1"/>
  <c r="E264" i="1"/>
  <c r="I263" i="1"/>
  <c r="E263" i="1"/>
  <c r="S212" i="1"/>
  <c r="R212" i="1"/>
  <c r="Q212" i="1"/>
  <c r="O212" i="1"/>
  <c r="N212" i="1"/>
  <c r="M212" i="1"/>
  <c r="T206" i="1"/>
  <c r="P206" i="1"/>
  <c r="T205" i="1"/>
  <c r="P205" i="1"/>
  <c r="T204" i="1"/>
  <c r="P204" i="1"/>
  <c r="T203" i="1"/>
  <c r="P203" i="1"/>
  <c r="T202" i="1"/>
  <c r="P202" i="1"/>
  <c r="T201" i="1"/>
  <c r="P201" i="1"/>
  <c r="T200" i="1"/>
  <c r="P200" i="1"/>
  <c r="T199" i="1"/>
  <c r="P199" i="1"/>
  <c r="T198" i="1"/>
  <c r="P198" i="1"/>
  <c r="T197" i="1"/>
  <c r="P197" i="1"/>
  <c r="T196" i="1"/>
  <c r="P196" i="1"/>
  <c r="T195" i="1"/>
  <c r="P195" i="1"/>
  <c r="T194" i="1"/>
  <c r="P194" i="1"/>
  <c r="T193" i="1"/>
  <c r="P193" i="1"/>
  <c r="T192" i="1"/>
  <c r="P192" i="1"/>
  <c r="T191" i="1"/>
  <c r="P191" i="1"/>
  <c r="T190" i="1"/>
  <c r="P190" i="1"/>
  <c r="T189" i="1"/>
  <c r="P189" i="1"/>
  <c r="T188" i="1"/>
  <c r="P188" i="1"/>
  <c r="T187" i="1"/>
  <c r="P187" i="1"/>
  <c r="T184" i="1"/>
  <c r="P184" i="1"/>
  <c r="T182" i="1"/>
  <c r="P182" i="1"/>
  <c r="T181" i="1"/>
  <c r="P181" i="1"/>
  <c r="T180" i="1"/>
  <c r="P180" i="1"/>
  <c r="T179" i="1"/>
  <c r="P179" i="1"/>
  <c r="T178" i="1"/>
  <c r="P178" i="1"/>
  <c r="T177" i="1"/>
  <c r="P177" i="1"/>
  <c r="S255" i="1"/>
  <c r="R255" i="1"/>
  <c r="Q255" i="1"/>
  <c r="O255" i="1"/>
  <c r="N255" i="1"/>
  <c r="M255" i="1"/>
  <c r="T250" i="1"/>
  <c r="P250" i="1"/>
  <c r="T246" i="1"/>
  <c r="P246" i="1"/>
  <c r="T245" i="1"/>
  <c r="P245" i="1"/>
  <c r="T244" i="1"/>
  <c r="P244" i="1"/>
  <c r="T243" i="1"/>
  <c r="P243" i="1"/>
  <c r="T242" i="1"/>
  <c r="P242" i="1"/>
  <c r="T241" i="1"/>
  <c r="P241" i="1"/>
  <c r="T240" i="1"/>
  <c r="P240" i="1"/>
  <c r="T239" i="1"/>
  <c r="P239" i="1"/>
  <c r="T238" i="1"/>
  <c r="P238" i="1"/>
  <c r="T237" i="1"/>
  <c r="P237" i="1"/>
  <c r="T236" i="1"/>
  <c r="P236" i="1"/>
  <c r="T233" i="1"/>
  <c r="P233" i="1"/>
  <c r="T232" i="1"/>
  <c r="P232" i="1"/>
  <c r="T231" i="1"/>
  <c r="P231" i="1"/>
  <c r="T229" i="1"/>
  <c r="P229" i="1"/>
  <c r="T227" i="1"/>
  <c r="P227" i="1"/>
  <c r="T226" i="1"/>
  <c r="P226" i="1"/>
  <c r="T225" i="1"/>
  <c r="P225" i="1"/>
  <c r="T224" i="1"/>
  <c r="P224" i="1"/>
  <c r="T223" i="1"/>
  <c r="P223" i="1"/>
  <c r="T222" i="1"/>
  <c r="P222" i="1"/>
  <c r="T221" i="1"/>
  <c r="P221" i="1"/>
  <c r="S298" i="1"/>
  <c r="R298" i="1"/>
  <c r="Q298" i="1"/>
  <c r="O298" i="1"/>
  <c r="N298" i="1"/>
  <c r="M298" i="1"/>
  <c r="T292" i="1"/>
  <c r="P292" i="1"/>
  <c r="T291" i="1"/>
  <c r="P291" i="1"/>
  <c r="T290" i="1"/>
  <c r="P290" i="1"/>
  <c r="T289" i="1"/>
  <c r="P289" i="1"/>
  <c r="T288" i="1"/>
  <c r="P288" i="1"/>
  <c r="T287" i="1"/>
  <c r="P287" i="1"/>
  <c r="T286" i="1"/>
  <c r="P286" i="1"/>
  <c r="T285" i="1"/>
  <c r="P285" i="1"/>
  <c r="T284" i="1"/>
  <c r="P284" i="1"/>
  <c r="T283" i="1"/>
  <c r="P283" i="1"/>
  <c r="T282" i="1"/>
  <c r="P282" i="1"/>
  <c r="T281" i="1"/>
  <c r="P281" i="1"/>
  <c r="T280" i="1"/>
  <c r="P280" i="1"/>
  <c r="T279" i="1"/>
  <c r="P279" i="1"/>
  <c r="T278" i="1"/>
  <c r="P278" i="1"/>
  <c r="T277" i="1"/>
  <c r="P277" i="1"/>
  <c r="T276" i="1"/>
  <c r="P276" i="1"/>
  <c r="T275" i="1"/>
  <c r="P275" i="1"/>
  <c r="T274" i="1"/>
  <c r="P274" i="1"/>
  <c r="T273" i="1"/>
  <c r="P273" i="1"/>
  <c r="T270" i="1"/>
  <c r="P270" i="1"/>
  <c r="T269" i="1"/>
  <c r="P269" i="1"/>
  <c r="T268" i="1"/>
  <c r="P268" i="1"/>
  <c r="T267" i="1"/>
  <c r="P267" i="1"/>
  <c r="T266" i="1"/>
  <c r="P266" i="1"/>
  <c r="T265" i="1"/>
  <c r="P265" i="1"/>
  <c r="T264" i="1"/>
  <c r="P264" i="1"/>
  <c r="T263" i="1"/>
  <c r="P263" i="1"/>
  <c r="I177" i="1"/>
  <c r="E177" i="1"/>
  <c r="I254" i="1"/>
  <c r="E254" i="1"/>
  <c r="I253" i="1"/>
  <c r="E253" i="1"/>
  <c r="I252" i="1"/>
  <c r="E252" i="1"/>
  <c r="I251" i="1"/>
  <c r="E251" i="1"/>
  <c r="I250" i="1"/>
  <c r="E250" i="1"/>
  <c r="I249" i="1"/>
  <c r="E249" i="1"/>
  <c r="I248" i="1"/>
  <c r="E248" i="1"/>
  <c r="I247" i="1"/>
  <c r="E247" i="1"/>
  <c r="I246" i="1"/>
  <c r="E246" i="1"/>
  <c r="I245" i="1"/>
  <c r="E245" i="1"/>
  <c r="I244" i="1"/>
  <c r="E244" i="1"/>
  <c r="I243" i="1"/>
  <c r="E243" i="1"/>
  <c r="I242" i="1"/>
  <c r="E242" i="1"/>
  <c r="I241" i="1"/>
  <c r="E241" i="1"/>
  <c r="I240" i="1"/>
  <c r="E240" i="1"/>
  <c r="I239" i="1"/>
  <c r="E239" i="1"/>
  <c r="I238" i="1"/>
  <c r="E238" i="1"/>
  <c r="I237" i="1"/>
  <c r="E237" i="1"/>
  <c r="I235" i="1"/>
  <c r="E235" i="1"/>
  <c r="I234" i="1"/>
  <c r="E234" i="1"/>
  <c r="I233" i="1"/>
  <c r="E233" i="1"/>
  <c r="I232" i="1"/>
  <c r="E232" i="1"/>
  <c r="I231" i="1"/>
  <c r="E231" i="1"/>
  <c r="I230" i="1"/>
  <c r="E230" i="1"/>
  <c r="I229" i="1"/>
  <c r="E229" i="1"/>
  <c r="I227" i="1"/>
  <c r="E227" i="1"/>
  <c r="I226" i="1"/>
  <c r="E226" i="1"/>
  <c r="I223" i="1"/>
  <c r="E223" i="1"/>
  <c r="I222" i="1"/>
  <c r="E222" i="1"/>
  <c r="I221" i="1"/>
  <c r="E221" i="1"/>
  <c r="I220" i="1"/>
  <c r="E220" i="1"/>
  <c r="I211" i="1"/>
  <c r="E211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99" i="1"/>
  <c r="E199" i="1"/>
  <c r="I198" i="1"/>
  <c r="E198" i="1"/>
  <c r="I197" i="1"/>
  <c r="E197" i="1"/>
  <c r="I196" i="1"/>
  <c r="E196" i="1"/>
  <c r="I195" i="1"/>
  <c r="E195" i="1"/>
  <c r="I194" i="1"/>
  <c r="E194" i="1"/>
  <c r="I193" i="1"/>
  <c r="E193" i="1"/>
  <c r="I192" i="1"/>
  <c r="E192" i="1"/>
  <c r="I191" i="1"/>
  <c r="E191" i="1"/>
  <c r="I190" i="1"/>
  <c r="E190" i="1"/>
  <c r="I189" i="1"/>
  <c r="E189" i="1"/>
  <c r="I188" i="1"/>
  <c r="E188" i="1"/>
  <c r="I187" i="1"/>
  <c r="E187" i="1"/>
  <c r="I186" i="1"/>
  <c r="E186" i="1"/>
  <c r="I184" i="1"/>
  <c r="E184" i="1"/>
  <c r="I183" i="1"/>
  <c r="E183" i="1"/>
  <c r="I182" i="1"/>
  <c r="E182" i="1"/>
  <c r="I181" i="1"/>
  <c r="E181" i="1"/>
  <c r="I179" i="1"/>
  <c r="E179" i="1"/>
  <c r="I178" i="1"/>
  <c r="E178" i="1"/>
  <c r="T168" i="1"/>
  <c r="P168" i="1"/>
  <c r="T167" i="1"/>
  <c r="P167" i="1"/>
  <c r="T166" i="1"/>
  <c r="P166" i="1"/>
  <c r="T165" i="1"/>
  <c r="P165" i="1"/>
  <c r="E144" i="1"/>
  <c r="I144" i="1"/>
  <c r="I112" i="1"/>
  <c r="E112" i="1"/>
  <c r="T91" i="1"/>
  <c r="P91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3" i="1"/>
  <c r="E143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E125" i="1"/>
  <c r="I106" i="1"/>
  <c r="E106" i="1"/>
  <c r="T121" i="1"/>
  <c r="P121" i="1"/>
  <c r="T125" i="1"/>
  <c r="P125" i="1"/>
  <c r="T124" i="1"/>
  <c r="P124" i="1"/>
  <c r="T123" i="1"/>
  <c r="P123" i="1"/>
  <c r="T122" i="1"/>
  <c r="P122" i="1"/>
  <c r="T92" i="1"/>
  <c r="P92" i="1"/>
  <c r="S169" i="1"/>
  <c r="R169" i="1"/>
  <c r="Q169" i="1"/>
  <c r="O169" i="1"/>
  <c r="N169" i="1"/>
  <c r="M169" i="1"/>
  <c r="T164" i="1"/>
  <c r="P164" i="1"/>
  <c r="T163" i="1"/>
  <c r="P163" i="1"/>
  <c r="T162" i="1"/>
  <c r="P162" i="1"/>
  <c r="T161" i="1"/>
  <c r="P161" i="1"/>
  <c r="T160" i="1"/>
  <c r="P160" i="1"/>
  <c r="T159" i="1"/>
  <c r="P159" i="1"/>
  <c r="T158" i="1"/>
  <c r="P158" i="1"/>
  <c r="T157" i="1"/>
  <c r="P157" i="1"/>
  <c r="T156" i="1"/>
  <c r="P156" i="1"/>
  <c r="T155" i="1"/>
  <c r="P155" i="1"/>
  <c r="T154" i="1"/>
  <c r="P154" i="1"/>
  <c r="T153" i="1"/>
  <c r="P153" i="1"/>
  <c r="T152" i="1"/>
  <c r="P152" i="1"/>
  <c r="T151" i="1"/>
  <c r="P151" i="1"/>
  <c r="T150" i="1"/>
  <c r="P150" i="1"/>
  <c r="T149" i="1"/>
  <c r="P149" i="1"/>
  <c r="T148" i="1"/>
  <c r="P148" i="1"/>
  <c r="T147" i="1"/>
  <c r="P147" i="1"/>
  <c r="T146" i="1"/>
  <c r="P146" i="1"/>
  <c r="T145" i="1"/>
  <c r="P145" i="1"/>
  <c r="T141" i="1"/>
  <c r="P141" i="1"/>
  <c r="T140" i="1"/>
  <c r="P140" i="1"/>
  <c r="T139" i="1"/>
  <c r="P139" i="1"/>
  <c r="T138" i="1"/>
  <c r="P138" i="1"/>
  <c r="T137" i="1"/>
  <c r="P137" i="1"/>
  <c r="T136" i="1"/>
  <c r="P136" i="1"/>
  <c r="T135" i="1"/>
  <c r="P135" i="1"/>
  <c r="T134" i="1"/>
  <c r="P134" i="1"/>
  <c r="I101" i="1"/>
  <c r="E101" i="1"/>
  <c r="I53" i="1"/>
  <c r="E53" i="1"/>
  <c r="T82" i="1"/>
  <c r="P82" i="1"/>
  <c r="T81" i="1"/>
  <c r="P81" i="1"/>
  <c r="T80" i="1"/>
  <c r="P80" i="1"/>
  <c r="T79" i="1"/>
  <c r="P79" i="1"/>
  <c r="T78" i="1"/>
  <c r="P78" i="1"/>
  <c r="T77" i="1"/>
  <c r="P77" i="1"/>
  <c r="I74" i="1"/>
  <c r="E74" i="1"/>
  <c r="T54" i="1"/>
  <c r="P54" i="1"/>
  <c r="T60" i="1"/>
  <c r="P60" i="1"/>
  <c r="T51" i="1"/>
  <c r="P51" i="1"/>
  <c r="T50" i="1"/>
  <c r="P50" i="1"/>
  <c r="T49" i="1"/>
  <c r="P49" i="1"/>
  <c r="I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1" i="1"/>
  <c r="E111" i="1"/>
  <c r="I110" i="1"/>
  <c r="E110" i="1"/>
  <c r="I109" i="1"/>
  <c r="E109" i="1"/>
  <c r="I108" i="1"/>
  <c r="E108" i="1"/>
  <c r="I107" i="1"/>
  <c r="E107" i="1"/>
  <c r="I105" i="1"/>
  <c r="E105" i="1"/>
  <c r="I104" i="1"/>
  <c r="E104" i="1"/>
  <c r="I103" i="1"/>
  <c r="E103" i="1"/>
  <c r="I102" i="1"/>
  <c r="E102" i="1"/>
  <c r="I100" i="1"/>
  <c r="E100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S126" i="1"/>
  <c r="R126" i="1"/>
  <c r="Q126" i="1"/>
  <c r="O126" i="1"/>
  <c r="N126" i="1"/>
  <c r="M126" i="1"/>
  <c r="T120" i="1"/>
  <c r="P120" i="1"/>
  <c r="T119" i="1"/>
  <c r="P119" i="1"/>
  <c r="T118" i="1"/>
  <c r="P118" i="1"/>
  <c r="T117" i="1"/>
  <c r="P117" i="1"/>
  <c r="T116" i="1"/>
  <c r="P116" i="1"/>
  <c r="T115" i="1"/>
  <c r="P115" i="1"/>
  <c r="T114" i="1"/>
  <c r="P114" i="1"/>
  <c r="T113" i="1"/>
  <c r="P113" i="1"/>
  <c r="T112" i="1"/>
  <c r="P112" i="1"/>
  <c r="T111" i="1"/>
  <c r="P111" i="1"/>
  <c r="T110" i="1"/>
  <c r="P110" i="1"/>
  <c r="T109" i="1"/>
  <c r="P109" i="1"/>
  <c r="T108" i="1"/>
  <c r="P108" i="1"/>
  <c r="T107" i="1"/>
  <c r="P107" i="1"/>
  <c r="T106" i="1"/>
  <c r="P106" i="1"/>
  <c r="T105" i="1"/>
  <c r="P105" i="1"/>
  <c r="T104" i="1"/>
  <c r="P104" i="1"/>
  <c r="T103" i="1"/>
  <c r="P103" i="1"/>
  <c r="T102" i="1"/>
  <c r="P102" i="1"/>
  <c r="T101" i="1"/>
  <c r="P101" i="1"/>
  <c r="T100" i="1"/>
  <c r="P100" i="1"/>
  <c r="T98" i="1"/>
  <c r="P98" i="1"/>
  <c r="T97" i="1"/>
  <c r="P97" i="1"/>
  <c r="T96" i="1"/>
  <c r="P96" i="1"/>
  <c r="T95" i="1"/>
  <c r="P95" i="1"/>
  <c r="T94" i="1"/>
  <c r="P94" i="1"/>
  <c r="T93" i="1"/>
  <c r="P93" i="1"/>
  <c r="I65" i="1"/>
  <c r="E65" i="1"/>
  <c r="T37" i="1"/>
  <c r="P37" i="1"/>
  <c r="S83" i="1"/>
  <c r="R83" i="1"/>
  <c r="Q83" i="1"/>
  <c r="O83" i="1"/>
  <c r="N83" i="1"/>
  <c r="M83" i="1"/>
  <c r="T76" i="1"/>
  <c r="P76" i="1"/>
  <c r="T75" i="1"/>
  <c r="P75" i="1"/>
  <c r="T74" i="1"/>
  <c r="P74" i="1"/>
  <c r="T73" i="1"/>
  <c r="P73" i="1"/>
  <c r="T72" i="1"/>
  <c r="P72" i="1"/>
  <c r="T71" i="1"/>
  <c r="P71" i="1"/>
  <c r="T70" i="1"/>
  <c r="P70" i="1"/>
  <c r="T69" i="1"/>
  <c r="P69" i="1"/>
  <c r="T68" i="1"/>
  <c r="P68" i="1"/>
  <c r="T67" i="1"/>
  <c r="P67" i="1"/>
  <c r="T66" i="1"/>
  <c r="P66" i="1"/>
  <c r="T65" i="1"/>
  <c r="P65" i="1"/>
  <c r="T64" i="1"/>
  <c r="P64" i="1"/>
  <c r="T63" i="1"/>
  <c r="P63" i="1"/>
  <c r="T62" i="1"/>
  <c r="P62" i="1"/>
  <c r="T61" i="1"/>
  <c r="P61" i="1"/>
  <c r="T59" i="1"/>
  <c r="P59" i="1"/>
  <c r="T58" i="1"/>
  <c r="P58" i="1"/>
  <c r="T57" i="1"/>
  <c r="P57" i="1"/>
  <c r="T55" i="1"/>
  <c r="P55" i="1"/>
  <c r="T53" i="1"/>
  <c r="P53" i="1"/>
  <c r="T52" i="1"/>
  <c r="P52" i="1"/>
  <c r="T48" i="1"/>
  <c r="P48" i="1"/>
  <c r="I82" i="1"/>
  <c r="E82" i="1"/>
  <c r="I81" i="1"/>
  <c r="E81" i="1"/>
  <c r="I80" i="1"/>
  <c r="E80" i="1"/>
  <c r="I79" i="1"/>
  <c r="E79" i="1"/>
  <c r="I78" i="1"/>
  <c r="E78" i="1"/>
  <c r="I77" i="1"/>
  <c r="E77" i="1"/>
  <c r="I76" i="1"/>
  <c r="E76" i="1"/>
  <c r="I75" i="1"/>
  <c r="E75" i="1"/>
  <c r="I73" i="1"/>
  <c r="E73" i="1"/>
  <c r="I72" i="1"/>
  <c r="E72" i="1"/>
  <c r="I71" i="1"/>
  <c r="E71" i="1"/>
  <c r="I70" i="1"/>
  <c r="E70" i="1"/>
  <c r="I69" i="1"/>
  <c r="E69" i="1"/>
  <c r="I68" i="1"/>
  <c r="E68" i="1"/>
  <c r="I67" i="1"/>
  <c r="E67" i="1"/>
  <c r="I66" i="1"/>
  <c r="E66" i="1"/>
  <c r="I64" i="1"/>
  <c r="E64" i="1"/>
  <c r="I63" i="1"/>
  <c r="E63" i="1"/>
  <c r="I62" i="1"/>
  <c r="E62" i="1"/>
  <c r="I61" i="1"/>
  <c r="E61" i="1"/>
  <c r="I60" i="1"/>
  <c r="E60" i="1"/>
  <c r="I59" i="1"/>
  <c r="E59" i="1"/>
  <c r="I58" i="1"/>
  <c r="E58" i="1"/>
  <c r="I57" i="1"/>
  <c r="E57" i="1"/>
  <c r="I55" i="1"/>
  <c r="E55" i="1"/>
  <c r="I54" i="1"/>
  <c r="E54" i="1"/>
  <c r="I52" i="1"/>
  <c r="E52" i="1"/>
  <c r="I51" i="1"/>
  <c r="E51" i="1"/>
  <c r="I50" i="1"/>
  <c r="E50" i="1"/>
  <c r="I49" i="1"/>
  <c r="E49" i="1"/>
  <c r="I48" i="1"/>
  <c r="E48" i="1"/>
  <c r="S40" i="1"/>
  <c r="R40" i="1"/>
  <c r="Q40" i="1"/>
  <c r="O40" i="1"/>
  <c r="N40" i="1"/>
  <c r="M40" i="1"/>
  <c r="T39" i="1"/>
  <c r="P39" i="1"/>
  <c r="T38" i="1"/>
  <c r="P38" i="1"/>
  <c r="T36" i="1"/>
  <c r="P36" i="1"/>
  <c r="T35" i="1"/>
  <c r="P35" i="1"/>
  <c r="T34" i="1"/>
  <c r="P34" i="1"/>
  <c r="T33" i="1"/>
  <c r="P33" i="1"/>
  <c r="T32" i="1"/>
  <c r="P32" i="1"/>
  <c r="T31" i="1"/>
  <c r="P31" i="1"/>
  <c r="T30" i="1"/>
  <c r="P30" i="1"/>
  <c r="T29" i="1"/>
  <c r="P29" i="1"/>
  <c r="T28" i="1"/>
  <c r="P28" i="1"/>
  <c r="T27" i="1"/>
  <c r="P27" i="1"/>
  <c r="T26" i="1"/>
  <c r="P26" i="1"/>
  <c r="T25" i="1"/>
  <c r="P25" i="1"/>
  <c r="T24" i="1"/>
  <c r="P24" i="1"/>
  <c r="T23" i="1"/>
  <c r="P23" i="1"/>
  <c r="T22" i="1"/>
  <c r="P22" i="1"/>
  <c r="T21" i="1"/>
  <c r="P21" i="1"/>
  <c r="T20" i="1"/>
  <c r="P20" i="1"/>
  <c r="T19" i="1"/>
  <c r="P19" i="1"/>
  <c r="T18" i="1"/>
  <c r="P18" i="1"/>
  <c r="T17" i="1"/>
  <c r="P17" i="1"/>
  <c r="T16" i="1"/>
  <c r="P16" i="1"/>
  <c r="T15" i="1"/>
  <c r="P15" i="1"/>
  <c r="T14" i="1"/>
  <c r="P14" i="1"/>
  <c r="S13" i="1"/>
  <c r="R13" i="1"/>
  <c r="Q13" i="1"/>
  <c r="O13" i="1"/>
  <c r="N13" i="1"/>
  <c r="M13" i="1"/>
  <c r="T12" i="1"/>
  <c r="P12" i="1"/>
  <c r="T11" i="1"/>
  <c r="P11" i="1"/>
  <c r="T10" i="1"/>
  <c r="P10" i="1"/>
  <c r="T9" i="1"/>
  <c r="P9" i="1"/>
  <c r="T8" i="1"/>
  <c r="P8" i="1"/>
  <c r="T7" i="1"/>
  <c r="P7" i="1"/>
  <c r="T6" i="1"/>
  <c r="P6" i="1"/>
  <c r="T5" i="1"/>
  <c r="P5" i="1"/>
  <c r="T4" i="1"/>
  <c r="P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E16" i="1"/>
  <c r="E17" i="1"/>
  <c r="E18" i="1"/>
  <c r="E19" i="1"/>
  <c r="E20" i="1"/>
  <c r="J20" i="1" s="1"/>
  <c r="E21" i="1"/>
  <c r="J21" i="1" s="1"/>
  <c r="E22" i="1"/>
  <c r="E23" i="1"/>
  <c r="J23" i="1" s="1"/>
  <c r="E24" i="1"/>
  <c r="E25" i="1"/>
  <c r="E26" i="1"/>
  <c r="E27" i="1"/>
  <c r="E28" i="1"/>
  <c r="J28" i="1" s="1"/>
  <c r="E29" i="1"/>
  <c r="E30" i="1"/>
  <c r="J30" i="1" s="1"/>
  <c r="E31" i="1"/>
  <c r="E32" i="1"/>
  <c r="E33" i="1"/>
  <c r="E34" i="1"/>
  <c r="J34" i="1" s="1"/>
  <c r="E35" i="1"/>
  <c r="E36" i="1"/>
  <c r="E37" i="1"/>
  <c r="E38" i="1"/>
  <c r="E39" i="1"/>
  <c r="I14" i="1"/>
  <c r="E14" i="1"/>
  <c r="I15" i="1"/>
  <c r="E15" i="1"/>
  <c r="E5" i="1"/>
  <c r="E6" i="1"/>
  <c r="E7" i="1"/>
  <c r="E8" i="1"/>
  <c r="E9" i="1"/>
  <c r="E10" i="1"/>
  <c r="E11" i="1"/>
  <c r="E12" i="1"/>
  <c r="I5" i="1"/>
  <c r="I6" i="1"/>
  <c r="I7" i="1"/>
  <c r="I8" i="1"/>
  <c r="I9" i="1"/>
  <c r="I10" i="1"/>
  <c r="I11" i="1"/>
  <c r="I12" i="1"/>
  <c r="I4" i="1"/>
  <c r="E4" i="1"/>
  <c r="J35" i="1" l="1"/>
  <c r="J29" i="1"/>
  <c r="J36" i="1"/>
  <c r="J27" i="1"/>
  <c r="J26" i="1"/>
  <c r="J16" i="1"/>
  <c r="J22" i="1"/>
  <c r="J24" i="1"/>
  <c r="J19" i="1"/>
  <c r="J32" i="1"/>
  <c r="AF1385" i="1"/>
  <c r="AF1451" i="1"/>
  <c r="J18" i="1"/>
  <c r="J1468" i="1"/>
  <c r="AF1473" i="1"/>
  <c r="AF1354" i="1"/>
  <c r="J1347" i="1"/>
  <c r="J1365" i="1"/>
  <c r="AF1478" i="1"/>
  <c r="AF1485" i="1"/>
  <c r="AF1488" i="1"/>
  <c r="AF1491" i="1"/>
  <c r="AF1494" i="1"/>
  <c r="AF1500" i="1"/>
  <c r="J1471" i="1"/>
  <c r="J1474" i="1"/>
  <c r="J1478" i="1"/>
  <c r="J1482" i="1"/>
  <c r="J1488" i="1"/>
  <c r="J1491" i="1"/>
  <c r="J1494" i="1"/>
  <c r="AF1470" i="1"/>
  <c r="AF1469" i="1"/>
  <c r="J1399" i="1"/>
  <c r="AF1409" i="1"/>
  <c r="AF1431" i="1"/>
  <c r="AF1438" i="1"/>
  <c r="AF1457" i="1"/>
  <c r="J1139" i="1"/>
  <c r="J1168" i="1"/>
  <c r="AF1175" i="1"/>
  <c r="AF1262" i="1"/>
  <c r="AF1272" i="1"/>
  <c r="J1256" i="1"/>
  <c r="J1259" i="1"/>
  <c r="J1266" i="1"/>
  <c r="J1269" i="1"/>
  <c r="J1278" i="1"/>
  <c r="J1281" i="1"/>
  <c r="J1284" i="1"/>
  <c r="AF1299" i="1"/>
  <c r="AF1318" i="1"/>
  <c r="AF1345" i="1"/>
  <c r="AF1352" i="1"/>
  <c r="AF1362" i="1"/>
  <c r="J1357" i="1"/>
  <c r="J1369" i="1"/>
  <c r="AF1467" i="1"/>
  <c r="AF1474" i="1"/>
  <c r="AF1479" i="1"/>
  <c r="AF1483" i="1"/>
  <c r="AF1486" i="1"/>
  <c r="AF1489" i="1"/>
  <c r="AF1492" i="1"/>
  <c r="AF1495" i="1"/>
  <c r="AF1498" i="1"/>
  <c r="AF1501" i="1"/>
  <c r="J1469" i="1"/>
  <c r="J1476" i="1"/>
  <c r="J1479" i="1"/>
  <c r="J1483" i="1"/>
  <c r="J1486" i="1"/>
  <c r="J1489" i="1"/>
  <c r="J1492" i="1"/>
  <c r="J1495" i="1"/>
  <c r="J1499" i="1"/>
  <c r="AF1426" i="1"/>
  <c r="AF1458" i="1"/>
  <c r="AF1094" i="1"/>
  <c r="J1097" i="1"/>
  <c r="AF1191" i="1"/>
  <c r="J1319" i="1"/>
  <c r="J1384" i="1"/>
  <c r="AF1390" i="1"/>
  <c r="J1401" i="1"/>
  <c r="AF1402" i="1"/>
  <c r="AF1411" i="1"/>
  <c r="AF1452" i="1"/>
  <c r="J1455" i="1"/>
  <c r="J1472" i="1"/>
  <c r="J1383" i="1"/>
  <c r="AF1392" i="1"/>
  <c r="AF1398" i="1"/>
  <c r="AF1401" i="1"/>
  <c r="J1403" i="1"/>
  <c r="J1406" i="1"/>
  <c r="AF1359" i="1"/>
  <c r="J1340" i="1"/>
  <c r="AF1407" i="1"/>
  <c r="AF1410" i="1"/>
  <c r="AF1413" i="1"/>
  <c r="AF1424" i="1"/>
  <c r="J1435" i="1"/>
  <c r="J1444" i="1"/>
  <c r="J1457" i="1"/>
  <c r="AF1387" i="1"/>
  <c r="AF1437" i="1"/>
  <c r="U1988" i="1"/>
  <c r="J682" i="1"/>
  <c r="AF1340" i="1"/>
  <c r="AF1343" i="1"/>
  <c r="AF1347" i="1"/>
  <c r="AF1350" i="1"/>
  <c r="AF1353" i="1"/>
  <c r="AF1356" i="1"/>
  <c r="AF1363" i="1"/>
  <c r="AF1366" i="1"/>
  <c r="AF1369" i="1"/>
  <c r="AF1372" i="1"/>
  <c r="J1343" i="1"/>
  <c r="J1349" i="1"/>
  <c r="J1352" i="1"/>
  <c r="J1355" i="1"/>
  <c r="J1358" i="1"/>
  <c r="J1361" i="1"/>
  <c r="J1364" i="1"/>
  <c r="J1367" i="1"/>
  <c r="J1370" i="1"/>
  <c r="AF1468" i="1"/>
  <c r="AF1496" i="1"/>
  <c r="J1467" i="1"/>
  <c r="J1490" i="1"/>
  <c r="J1230" i="1"/>
  <c r="I1373" i="1"/>
  <c r="J1157" i="1"/>
  <c r="AF1302" i="1"/>
  <c r="AF1309" i="1"/>
  <c r="AF1315" i="1"/>
  <c r="AF1365" i="1"/>
  <c r="J1372" i="1"/>
  <c r="J668" i="1"/>
  <c r="J698" i="1"/>
  <c r="AF841" i="1"/>
  <c r="J878" i="1"/>
  <c r="AF1081" i="1"/>
  <c r="AF1100" i="1"/>
  <c r="AF1112" i="1"/>
  <c r="AF1220" i="1"/>
  <c r="J1300" i="1"/>
  <c r="J1304" i="1"/>
  <c r="J1307" i="1"/>
  <c r="J1310" i="1"/>
  <c r="J1313" i="1"/>
  <c r="J1316" i="1"/>
  <c r="J1322" i="1"/>
  <c r="J1328" i="1"/>
  <c r="J1381" i="1"/>
  <c r="AF1382" i="1"/>
  <c r="J1386" i="1"/>
  <c r="J1392" i="1"/>
  <c r="AF1393" i="1"/>
  <c r="J1395" i="1"/>
  <c r="AF1396" i="1"/>
  <c r="J1398" i="1"/>
  <c r="AF1399" i="1"/>
  <c r="J1404" i="1"/>
  <c r="AF1405" i="1"/>
  <c r="AF1408" i="1"/>
  <c r="J1410" i="1"/>
  <c r="J1415" i="1"/>
  <c r="J1344" i="1"/>
  <c r="AF1433" i="1"/>
  <c r="AF1436" i="1"/>
  <c r="AF1439" i="1"/>
  <c r="AF1446" i="1"/>
  <c r="J1424" i="1"/>
  <c r="J1430" i="1"/>
  <c r="J1437" i="1"/>
  <c r="J1449" i="1"/>
  <c r="J1452" i="1"/>
  <c r="AF1429" i="1"/>
  <c r="E1502" i="1"/>
  <c r="AA1459" i="1"/>
  <c r="J1296" i="1"/>
  <c r="U422" i="1"/>
  <c r="AF705" i="1"/>
  <c r="AF1103" i="1"/>
  <c r="AF1238" i="1"/>
  <c r="AF1232" i="1"/>
  <c r="J1325" i="1"/>
  <c r="J1388" i="1"/>
  <c r="J1407" i="1"/>
  <c r="J1413" i="1"/>
  <c r="AF1428" i="1"/>
  <c r="AF1443" i="1"/>
  <c r="AF1449" i="1"/>
  <c r="AF1455" i="1"/>
  <c r="J1427" i="1"/>
  <c r="J1434" i="1"/>
  <c r="J1440" i="1"/>
  <c r="J1443" i="1"/>
  <c r="J1446" i="1"/>
  <c r="J1086" i="1"/>
  <c r="J1359" i="1"/>
  <c r="AF1497" i="1"/>
  <c r="AF1653" i="1"/>
  <c r="J1653" i="1"/>
  <c r="J673" i="1"/>
  <c r="J702" i="1"/>
  <c r="J708" i="1"/>
  <c r="J717" i="1"/>
  <c r="AF698" i="1"/>
  <c r="J1321" i="1"/>
  <c r="AF1391" i="1"/>
  <c r="AF1397" i="1"/>
  <c r="AF1403" i="1"/>
  <c r="J1411" i="1"/>
  <c r="J1429" i="1"/>
  <c r="J1454" i="1"/>
  <c r="J1664" i="1"/>
  <c r="J413" i="1"/>
  <c r="J465" i="1"/>
  <c r="U543" i="1"/>
  <c r="J582" i="1"/>
  <c r="J591" i="1"/>
  <c r="AF661" i="1"/>
  <c r="AF681" i="1"/>
  <c r="J1123" i="1"/>
  <c r="U407" i="1"/>
  <c r="J747" i="1"/>
  <c r="AF1109" i="1"/>
  <c r="AA1330" i="1"/>
  <c r="J349" i="1"/>
  <c r="J352" i="1"/>
  <c r="J365" i="1"/>
  <c r="J374" i="1"/>
  <c r="J377" i="1"/>
  <c r="U397" i="1"/>
  <c r="J397" i="1"/>
  <c r="J422" i="1"/>
  <c r="AF710" i="1"/>
  <c r="AF713" i="1"/>
  <c r="AF722" i="1"/>
  <c r="AF679" i="1"/>
  <c r="J652" i="1"/>
  <c r="J659" i="1"/>
  <c r="J662" i="1"/>
  <c r="J665" i="1"/>
  <c r="AF828" i="1"/>
  <c r="AF824" i="1"/>
  <c r="AF997" i="1"/>
  <c r="AF1005" i="1"/>
  <c r="AF1014" i="1"/>
  <c r="AF1023" i="1"/>
  <c r="AF1026" i="1"/>
  <c r="J1005" i="1"/>
  <c r="J1008" i="1"/>
  <c r="J1014" i="1"/>
  <c r="J1098" i="1"/>
  <c r="J1104" i="1"/>
  <c r="J1107" i="1"/>
  <c r="AF1084" i="1"/>
  <c r="U229" i="1"/>
  <c r="U197" i="1"/>
  <c r="U426" i="1"/>
  <c r="U435" i="1"/>
  <c r="J437" i="1"/>
  <c r="J442" i="1"/>
  <c r="U447" i="1"/>
  <c r="J449" i="1"/>
  <c r="U453" i="1"/>
  <c r="J455" i="1"/>
  <c r="J461" i="1"/>
  <c r="U465" i="1"/>
  <c r="J467" i="1"/>
  <c r="J478" i="1"/>
  <c r="J482" i="1"/>
  <c r="J485" i="1"/>
  <c r="U492" i="1"/>
  <c r="J500" i="1"/>
  <c r="U510" i="1"/>
  <c r="J512" i="1"/>
  <c r="J545" i="1"/>
  <c r="U596" i="1"/>
  <c r="U571" i="1"/>
  <c r="U568" i="1"/>
  <c r="U554" i="1"/>
  <c r="U548" i="1"/>
  <c r="U542" i="1"/>
  <c r="U536" i="1"/>
  <c r="U525" i="1"/>
  <c r="AF568" i="1"/>
  <c r="AF584" i="1"/>
  <c r="J607" i="1"/>
  <c r="AF611" i="1"/>
  <c r="J613" i="1"/>
  <c r="J621" i="1"/>
  <c r="AF624" i="1"/>
  <c r="J626" i="1"/>
  <c r="AF627" i="1"/>
  <c r="AF630" i="1"/>
  <c r="AF633" i="1"/>
  <c r="AF636" i="1"/>
  <c r="AF639" i="1"/>
  <c r="J622" i="1"/>
  <c r="AF652" i="1"/>
  <c r="AF662" i="1"/>
  <c r="AF665" i="1"/>
  <c r="AF671" i="1"/>
  <c r="AF674" i="1"/>
  <c r="AF677" i="1"/>
  <c r="AF694" i="1"/>
  <c r="AF697" i="1"/>
  <c r="AF702" i="1"/>
  <c r="J740" i="1"/>
  <c r="J737" i="1"/>
  <c r="AF766" i="1"/>
  <c r="AF937" i="1"/>
  <c r="AF942" i="1"/>
  <c r="J918" i="1"/>
  <c r="J927" i="1"/>
  <c r="AF976" i="1"/>
  <c r="AF626" i="1"/>
  <c r="J1242" i="1"/>
  <c r="J1224" i="1"/>
  <c r="J1218" i="1"/>
  <c r="AF1726" i="1"/>
  <c r="AF1732" i="1"/>
  <c r="U1917" i="1"/>
  <c r="U313" i="1"/>
  <c r="J225" i="1"/>
  <c r="J464" i="1"/>
  <c r="J497" i="1"/>
  <c r="J503" i="1"/>
  <c r="J509" i="1"/>
  <c r="J548" i="1"/>
  <c r="U587" i="1"/>
  <c r="J564" i="1"/>
  <c r="AF614" i="1"/>
  <c r="J623" i="1"/>
  <c r="J629" i="1"/>
  <c r="J635" i="1"/>
  <c r="J641" i="1"/>
  <c r="AF655" i="1"/>
  <c r="AF668" i="1"/>
  <c r="AF684" i="1"/>
  <c r="AF979" i="1"/>
  <c r="AF1271" i="1"/>
  <c r="J1341" i="1"/>
  <c r="AF1481" i="1"/>
  <c r="J1485" i="1"/>
  <c r="J1497" i="1"/>
  <c r="J1598" i="1"/>
  <c r="J1605" i="1"/>
  <c r="AF1943" i="1"/>
  <c r="J1236" i="1"/>
  <c r="J1608" i="1"/>
  <c r="J1728" i="1"/>
  <c r="U1777" i="1"/>
  <c r="U401" i="1"/>
  <c r="U425" i="1"/>
  <c r="AF719" i="1"/>
  <c r="J655" i="1"/>
  <c r="J664" i="1"/>
  <c r="AF832" i="1"/>
  <c r="AF1020" i="1"/>
  <c r="J998" i="1"/>
  <c r="J1019" i="1"/>
  <c r="AF1091" i="1"/>
  <c r="J1312" i="1"/>
  <c r="J1324" i="1"/>
  <c r="J1390" i="1"/>
  <c r="J1408" i="1"/>
  <c r="U50" i="1"/>
  <c r="U54" i="1"/>
  <c r="U78" i="1"/>
  <c r="U81" i="1"/>
  <c r="J101" i="1"/>
  <c r="U136" i="1"/>
  <c r="U139" i="1"/>
  <c r="U145" i="1"/>
  <c r="U148" i="1"/>
  <c r="U151" i="1"/>
  <c r="U154" i="1"/>
  <c r="U157" i="1"/>
  <c r="U160" i="1"/>
  <c r="U163" i="1"/>
  <c r="U122" i="1"/>
  <c r="U125" i="1"/>
  <c r="U152" i="1"/>
  <c r="U158" i="1"/>
  <c r="N41" i="1"/>
  <c r="N47" i="1" s="1"/>
  <c r="N56" i="1" s="1"/>
  <c r="N84" i="1" s="1"/>
  <c r="N90" i="1" s="1"/>
  <c r="N99" i="1" s="1"/>
  <c r="N127" i="1" s="1"/>
  <c r="N133" i="1" s="1"/>
  <c r="N142" i="1" s="1"/>
  <c r="N170" i="1" s="1"/>
  <c r="N176" i="1" s="1"/>
  <c r="N185" i="1" s="1"/>
  <c r="N213" i="1" s="1"/>
  <c r="N219" i="1" s="1"/>
  <c r="N228" i="1" s="1"/>
  <c r="N256" i="1" s="1"/>
  <c r="N262" i="1" s="1"/>
  <c r="N271" i="1" s="1"/>
  <c r="N299" i="1" s="1"/>
  <c r="N305" i="1" s="1"/>
  <c r="N314" i="1" s="1"/>
  <c r="N342" i="1" s="1"/>
  <c r="N348" i="1" s="1"/>
  <c r="N357" i="1" s="1"/>
  <c r="N385" i="1" s="1"/>
  <c r="N391" i="1" s="1"/>
  <c r="N400" i="1" s="1"/>
  <c r="N428" i="1" s="1"/>
  <c r="N434" i="1" s="1"/>
  <c r="N443" i="1" s="1"/>
  <c r="N471" i="1" s="1"/>
  <c r="N477" i="1" s="1"/>
  <c r="N486" i="1" s="1"/>
  <c r="N514" i="1" s="1"/>
  <c r="N520" i="1" s="1"/>
  <c r="N529" i="1" s="1"/>
  <c r="N557" i="1" s="1"/>
  <c r="N563" i="1" s="1"/>
  <c r="N572" i="1" s="1"/>
  <c r="N600" i="1" s="1"/>
  <c r="J64" i="1"/>
  <c r="J68" i="1"/>
  <c r="U8" i="1"/>
  <c r="U11" i="1"/>
  <c r="U18" i="1"/>
  <c r="U24" i="1"/>
  <c r="U27" i="1"/>
  <c r="U30" i="1"/>
  <c r="U33" i="1"/>
  <c r="U36" i="1"/>
  <c r="J48" i="1"/>
  <c r="J51" i="1"/>
  <c r="J55" i="1"/>
  <c r="J62" i="1"/>
  <c r="J66" i="1"/>
  <c r="J69" i="1"/>
  <c r="J72" i="1"/>
  <c r="J76" i="1"/>
  <c r="J79" i="1"/>
  <c r="J82" i="1"/>
  <c r="U53" i="1"/>
  <c r="U58" i="1"/>
  <c r="U62" i="1"/>
  <c r="U65" i="1"/>
  <c r="U74" i="1"/>
  <c r="U37" i="1"/>
  <c r="U94" i="1"/>
  <c r="U97" i="1"/>
  <c r="U104" i="1"/>
  <c r="U107" i="1"/>
  <c r="U110" i="1"/>
  <c r="U113" i="1"/>
  <c r="U116" i="1"/>
  <c r="J92" i="1"/>
  <c r="J95" i="1"/>
  <c r="J98" i="1"/>
  <c r="J107" i="1"/>
  <c r="J110" i="1"/>
  <c r="J114" i="1"/>
  <c r="J117" i="1"/>
  <c r="J120" i="1"/>
  <c r="J123" i="1"/>
  <c r="J136" i="1"/>
  <c r="J139" i="1"/>
  <c r="J147" i="1"/>
  <c r="J150" i="1"/>
  <c r="J153" i="1"/>
  <c r="J156" i="1"/>
  <c r="J159" i="1"/>
  <c r="J162" i="1"/>
  <c r="J165" i="1"/>
  <c r="J168" i="1"/>
  <c r="U167" i="1"/>
  <c r="J179" i="1"/>
  <c r="J183" i="1"/>
  <c r="J190" i="1"/>
  <c r="U340" i="1"/>
  <c r="J351" i="1"/>
  <c r="J354" i="1"/>
  <c r="J358" i="1"/>
  <c r="J361" i="1"/>
  <c r="J364" i="1"/>
  <c r="J367" i="1"/>
  <c r="J370" i="1"/>
  <c r="J373" i="1"/>
  <c r="J376" i="1"/>
  <c r="J379" i="1"/>
  <c r="J382" i="1"/>
  <c r="U393" i="1"/>
  <c r="U396" i="1"/>
  <c r="U399" i="1"/>
  <c r="U403" i="1"/>
  <c r="U406" i="1"/>
  <c r="U409" i="1"/>
  <c r="U412" i="1"/>
  <c r="U415" i="1"/>
  <c r="U418" i="1"/>
  <c r="U421" i="1"/>
  <c r="U424" i="1"/>
  <c r="J393" i="1"/>
  <c r="J396" i="1"/>
  <c r="J399" i="1"/>
  <c r="J403" i="1"/>
  <c r="J406" i="1"/>
  <c r="J409" i="1"/>
  <c r="J412" i="1"/>
  <c r="J415" i="1"/>
  <c r="J418" i="1"/>
  <c r="J421" i="1"/>
  <c r="J424" i="1"/>
  <c r="U392" i="1"/>
  <c r="J193" i="1"/>
  <c r="J196" i="1"/>
  <c r="J199" i="1"/>
  <c r="J202" i="1"/>
  <c r="J205" i="1"/>
  <c r="J208" i="1"/>
  <c r="J211" i="1"/>
  <c r="J222" i="1"/>
  <c r="J227" i="1"/>
  <c r="J234" i="1"/>
  <c r="J238" i="1"/>
  <c r="J241" i="1"/>
  <c r="J244" i="1"/>
  <c r="J247" i="1"/>
  <c r="J250" i="1"/>
  <c r="J253" i="1"/>
  <c r="U263" i="1"/>
  <c r="U266" i="1"/>
  <c r="U269" i="1"/>
  <c r="U274" i="1"/>
  <c r="U283" i="1"/>
  <c r="U223" i="1"/>
  <c r="U226" i="1"/>
  <c r="U231" i="1"/>
  <c r="U236" i="1"/>
  <c r="U239" i="1"/>
  <c r="U242" i="1"/>
  <c r="U177" i="1"/>
  <c r="U180" i="1"/>
  <c r="U184" i="1"/>
  <c r="U192" i="1"/>
  <c r="U195" i="1"/>
  <c r="U198" i="1"/>
  <c r="U201" i="1"/>
  <c r="U204" i="1"/>
  <c r="J266" i="1"/>
  <c r="J269" i="1"/>
  <c r="J273" i="1"/>
  <c r="J276" i="1"/>
  <c r="J279" i="1"/>
  <c r="J282" i="1"/>
  <c r="J285" i="1"/>
  <c r="J288" i="1"/>
  <c r="J291" i="1"/>
  <c r="U144" i="1"/>
  <c r="U308" i="1"/>
  <c r="U311" i="1"/>
  <c r="U315" i="1"/>
  <c r="U318" i="1"/>
  <c r="U321" i="1"/>
  <c r="U324" i="1"/>
  <c r="U327" i="1"/>
  <c r="U330" i="1"/>
  <c r="U333" i="1"/>
  <c r="U336" i="1"/>
  <c r="J310" i="1"/>
  <c r="J313" i="1"/>
  <c r="J320" i="1"/>
  <c r="J323" i="1"/>
  <c r="J326" i="1"/>
  <c r="J329" i="1"/>
  <c r="J332" i="1"/>
  <c r="J338" i="1"/>
  <c r="U183" i="1"/>
  <c r="U207" i="1"/>
  <c r="U254" i="1"/>
  <c r="U211" i="1"/>
  <c r="U293" i="1"/>
  <c r="J236" i="1"/>
  <c r="U337" i="1"/>
  <c r="U272" i="1"/>
  <c r="U349" i="1"/>
  <c r="U352" i="1"/>
  <c r="U355" i="1"/>
  <c r="U362" i="1"/>
  <c r="U365" i="1"/>
  <c r="U368" i="1"/>
  <c r="U371" i="1"/>
  <c r="U374" i="1"/>
  <c r="U377" i="1"/>
  <c r="U380" i="1"/>
  <c r="U383" i="1"/>
  <c r="J436" i="1"/>
  <c r="U437" i="1"/>
  <c r="U439" i="1"/>
  <c r="J441" i="1"/>
  <c r="U442" i="1"/>
  <c r="J445" i="1"/>
  <c r="U446" i="1"/>
  <c r="J448" i="1"/>
  <c r="U449" i="1"/>
  <c r="J451" i="1"/>
  <c r="U452" i="1"/>
  <c r="J454" i="1"/>
  <c r="U455" i="1"/>
  <c r="J457" i="1"/>
  <c r="U458" i="1"/>
  <c r="J460" i="1"/>
  <c r="U461" i="1"/>
  <c r="J463" i="1"/>
  <c r="U464" i="1"/>
  <c r="J466" i="1"/>
  <c r="U467" i="1"/>
  <c r="U469" i="1"/>
  <c r="J479" i="1"/>
  <c r="J481" i="1"/>
  <c r="U482" i="1"/>
  <c r="J484" i="1"/>
  <c r="U485" i="1"/>
  <c r="J490" i="1"/>
  <c r="U491" i="1"/>
  <c r="J493" i="1"/>
  <c r="U494" i="1"/>
  <c r="J496" i="1"/>
  <c r="U497" i="1"/>
  <c r="J499" i="1"/>
  <c r="U500" i="1"/>
  <c r="J502" i="1"/>
  <c r="U503" i="1"/>
  <c r="J505" i="1"/>
  <c r="U506" i="1"/>
  <c r="J508" i="1"/>
  <c r="U509" i="1"/>
  <c r="J511" i="1"/>
  <c r="J521" i="1"/>
  <c r="J524" i="1"/>
  <c r="J527" i="1"/>
  <c r="J534" i="1"/>
  <c r="J537" i="1"/>
  <c r="J540" i="1"/>
  <c r="J543" i="1"/>
  <c r="J546" i="1"/>
  <c r="J549" i="1"/>
  <c r="J552" i="1"/>
  <c r="J555" i="1"/>
  <c r="U598" i="1"/>
  <c r="U595" i="1"/>
  <c r="U592" i="1"/>
  <c r="U589" i="1"/>
  <c r="U586" i="1"/>
  <c r="U583" i="1"/>
  <c r="U580" i="1"/>
  <c r="U577" i="1"/>
  <c r="U570" i="1"/>
  <c r="U567" i="1"/>
  <c r="U564" i="1"/>
  <c r="U550" i="1"/>
  <c r="U547" i="1"/>
  <c r="U544" i="1"/>
  <c r="U541" i="1"/>
  <c r="U538" i="1"/>
  <c r="U535" i="1"/>
  <c r="U532" i="1"/>
  <c r="U528" i="1"/>
  <c r="U524" i="1"/>
  <c r="U521" i="1"/>
  <c r="J584" i="1"/>
  <c r="J587" i="1"/>
  <c r="J590" i="1"/>
  <c r="J593" i="1"/>
  <c r="J596" i="1"/>
  <c r="AF569" i="1"/>
  <c r="AF579" i="1"/>
  <c r="AF582" i="1"/>
  <c r="AF585" i="1"/>
  <c r="AF588" i="1"/>
  <c r="AF591" i="1"/>
  <c r="AF594" i="1"/>
  <c r="AF597" i="1"/>
  <c r="AF607" i="1"/>
  <c r="AF589" i="1"/>
  <c r="J674" i="1"/>
  <c r="J677" i="1"/>
  <c r="J680" i="1"/>
  <c r="J694" i="1"/>
  <c r="J703" i="1"/>
  <c r="J706" i="1"/>
  <c r="J709" i="1"/>
  <c r="J712" i="1"/>
  <c r="J715" i="1"/>
  <c r="J718" i="1"/>
  <c r="J721" i="1"/>
  <c r="J724" i="1"/>
  <c r="AF617" i="1"/>
  <c r="J766" i="1"/>
  <c r="J760" i="1"/>
  <c r="J754" i="1"/>
  <c r="J748" i="1"/>
  <c r="J742" i="1"/>
  <c r="AF746" i="1"/>
  <c r="AF891" i="1"/>
  <c r="AF888" i="1"/>
  <c r="AF885" i="1"/>
  <c r="AF876" i="1"/>
  <c r="AF853" i="1"/>
  <c r="AF835" i="1"/>
  <c r="J867" i="1"/>
  <c r="J881" i="1"/>
  <c r="J893" i="1"/>
  <c r="J896" i="1"/>
  <c r="AF975" i="1"/>
  <c r="J940" i="1"/>
  <c r="J970" i="1"/>
  <c r="AF985" i="1"/>
  <c r="J1084" i="1"/>
  <c r="J1094" i="1"/>
  <c r="J1110" i="1"/>
  <c r="AF763" i="1"/>
  <c r="AF754" i="1"/>
  <c r="AF743" i="1"/>
  <c r="AF739" i="1"/>
  <c r="AF736" i="1"/>
  <c r="AF811" i="1"/>
  <c r="AF808" i="1"/>
  <c r="AF805" i="1"/>
  <c r="AF802" i="1"/>
  <c r="AF783" i="1"/>
  <c r="AF779" i="1"/>
  <c r="J822" i="1"/>
  <c r="J936" i="1"/>
  <c r="AF953" i="1"/>
  <c r="AF963" i="1"/>
  <c r="AF982" i="1"/>
  <c r="J609" i="1"/>
  <c r="AF610" i="1"/>
  <c r="J612" i="1"/>
  <c r="AF613" i="1"/>
  <c r="J616" i="1"/>
  <c r="AF618" i="1"/>
  <c r="J620" i="1"/>
  <c r="AF621" i="1"/>
  <c r="AF623" i="1"/>
  <c r="J625" i="1"/>
  <c r="J628" i="1"/>
  <c r="AF629" i="1"/>
  <c r="J631" i="1"/>
  <c r="J634" i="1"/>
  <c r="AF635" i="1"/>
  <c r="J637" i="1"/>
  <c r="AF638" i="1"/>
  <c r="J640" i="1"/>
  <c r="U527" i="1"/>
  <c r="AF641" i="1"/>
  <c r="AF650" i="1"/>
  <c r="AF653" i="1"/>
  <c r="AF660" i="1"/>
  <c r="AF663" i="1"/>
  <c r="AF666" i="1"/>
  <c r="AF669" i="1"/>
  <c r="AF672" i="1"/>
  <c r="AF675" i="1"/>
  <c r="AF678" i="1"/>
  <c r="AF682" i="1"/>
  <c r="AF695" i="1"/>
  <c r="AF703" i="1"/>
  <c r="J739" i="1"/>
  <c r="J736" i="1"/>
  <c r="AF770" i="1"/>
  <c r="AF762" i="1"/>
  <c r="AF759" i="1"/>
  <c r="AF756" i="1"/>
  <c r="AF753" i="1"/>
  <c r="AF750" i="1"/>
  <c r="AF747" i="1"/>
  <c r="AF742" i="1"/>
  <c r="AF738" i="1"/>
  <c r="AF727" i="1"/>
  <c r="AF810" i="1"/>
  <c r="AF807" i="1"/>
  <c r="AF798" i="1"/>
  <c r="AF795" i="1"/>
  <c r="AF792" i="1"/>
  <c r="AF785" i="1"/>
  <c r="AF782" i="1"/>
  <c r="J779" i="1"/>
  <c r="J782" i="1"/>
  <c r="J790" i="1"/>
  <c r="J793" i="1"/>
  <c r="J797" i="1"/>
  <c r="J800" i="1"/>
  <c r="J803" i="1"/>
  <c r="J806" i="1"/>
  <c r="AA1502" i="1"/>
  <c r="U1768" i="1"/>
  <c r="U1769" i="1"/>
  <c r="U1770" i="1"/>
  <c r="U1771" i="1"/>
  <c r="U1772" i="1"/>
  <c r="U1773" i="1"/>
  <c r="U1774" i="1"/>
  <c r="U1775" i="1"/>
  <c r="AF1779" i="1"/>
  <c r="AF1780" i="1"/>
  <c r="AF1781" i="1"/>
  <c r="AF1782" i="1"/>
  <c r="AF1783" i="1"/>
  <c r="J2012" i="1"/>
  <c r="U1993" i="1"/>
  <c r="U2014" i="1"/>
  <c r="U2017" i="1"/>
  <c r="AF1338" i="1"/>
  <c r="AF1341" i="1"/>
  <c r="AF1344" i="1"/>
  <c r="AF1348" i="1"/>
  <c r="AF1351" i="1"/>
  <c r="AF1357" i="1"/>
  <c r="AF1361" i="1"/>
  <c r="AF1364" i="1"/>
  <c r="AF1367" i="1"/>
  <c r="AF1370" i="1"/>
  <c r="J1338" i="1"/>
  <c r="J1350" i="1"/>
  <c r="J1353" i="1"/>
  <c r="J1356" i="1"/>
  <c r="J1362" i="1"/>
  <c r="J1368" i="1"/>
  <c r="AF2101" i="1"/>
  <c r="AF2095" i="1"/>
  <c r="AF2089" i="1"/>
  <c r="AF2083" i="1"/>
  <c r="J11" i="1"/>
  <c r="T13" i="1"/>
  <c r="J272" i="1"/>
  <c r="U351" i="1"/>
  <c r="J458" i="1"/>
  <c r="U462" i="1"/>
  <c r="U480" i="1"/>
  <c r="U551" i="1"/>
  <c r="AF571" i="1"/>
  <c r="AF593" i="1"/>
  <c r="AF608" i="1"/>
  <c r="J610" i="1"/>
  <c r="AF619" i="1"/>
  <c r="J638" i="1"/>
  <c r="J770" i="1"/>
  <c r="J764" i="1"/>
  <c r="J758" i="1"/>
  <c r="J752" i="1"/>
  <c r="AF760" i="1"/>
  <c r="J930" i="1"/>
  <c r="AF1028" i="1"/>
  <c r="AF1038" i="1"/>
  <c r="AF1041" i="1"/>
  <c r="AF1047" i="1"/>
  <c r="AF1050" i="1"/>
  <c r="AF1053" i="1"/>
  <c r="AF1056" i="1"/>
  <c r="AF1059" i="1"/>
  <c r="AF1062" i="1"/>
  <c r="AF1071" i="1"/>
  <c r="J1044" i="1"/>
  <c r="J1051" i="1"/>
  <c r="J1054" i="1"/>
  <c r="J1057" i="1"/>
  <c r="J1063" i="1"/>
  <c r="J1066" i="1"/>
  <c r="J1082" i="1"/>
  <c r="J1089" i="1"/>
  <c r="J1092" i="1"/>
  <c r="J1095" i="1"/>
  <c r="AF1126" i="1"/>
  <c r="AF1129" i="1"/>
  <c r="AF1133" i="1"/>
  <c r="AF1140" i="1"/>
  <c r="AF1155" i="1"/>
  <c r="J1124" i="1"/>
  <c r="J1127" i="1"/>
  <c r="J1130" i="1"/>
  <c r="J1137" i="1"/>
  <c r="J1140" i="1"/>
  <c r="J1143" i="1"/>
  <c r="J1146" i="1"/>
  <c r="J1152" i="1"/>
  <c r="AF1170" i="1"/>
  <c r="J1172" i="1"/>
  <c r="J1182" i="1"/>
  <c r="J1185" i="1"/>
  <c r="J1191" i="1"/>
  <c r="J1194" i="1"/>
  <c r="J1197" i="1"/>
  <c r="J1200" i="1"/>
  <c r="AF1196" i="1"/>
  <c r="AF1193" i="1"/>
  <c r="AF1187" i="1"/>
  <c r="AF1184" i="1"/>
  <c r="AF1167" i="1"/>
  <c r="AF1237" i="1"/>
  <c r="AF1231" i="1"/>
  <c r="AF1225" i="1"/>
  <c r="AF1219" i="1"/>
  <c r="AF1209" i="1"/>
  <c r="AF1200" i="1"/>
  <c r="J1216" i="1"/>
  <c r="J1213" i="1"/>
  <c r="J1210" i="1"/>
  <c r="AF1213" i="1"/>
  <c r="AF1253" i="1"/>
  <c r="J1276" i="1"/>
  <c r="AF1325" i="1"/>
  <c r="AF1521" i="1"/>
  <c r="AF1524" i="1"/>
  <c r="AF1530" i="1"/>
  <c r="AF1539" i="1"/>
  <c r="AF1542" i="1"/>
  <c r="J571" i="1"/>
  <c r="AF566" i="1"/>
  <c r="AF765" i="1"/>
  <c r="AF804" i="1"/>
  <c r="AF801" i="1"/>
  <c r="J785" i="1"/>
  <c r="J1233" i="1"/>
  <c r="J1227" i="1"/>
  <c r="J1371" i="1"/>
  <c r="J1241" i="1"/>
  <c r="J1223" i="1"/>
  <c r="AF1784" i="1"/>
  <c r="AF1785" i="1"/>
  <c r="AF1786" i="1"/>
  <c r="AF1787" i="1"/>
  <c r="AF1788" i="1"/>
  <c r="AF1789" i="1"/>
  <c r="AF1790" i="1"/>
  <c r="AF1791" i="1"/>
  <c r="AF1792" i="1"/>
  <c r="AF1793" i="1"/>
  <c r="AF1796" i="1"/>
  <c r="AF1797" i="1"/>
  <c r="AF1798" i="1"/>
  <c r="AF1799" i="1"/>
  <c r="AF1800" i="1"/>
  <c r="AF1801" i="1"/>
  <c r="AF1802" i="1"/>
  <c r="J1843" i="1"/>
  <c r="J14" i="1"/>
  <c r="U6" i="1"/>
  <c r="U9" i="1"/>
  <c r="U12" i="1"/>
  <c r="U16" i="1"/>
  <c r="U19" i="1"/>
  <c r="U22" i="1"/>
  <c r="U25" i="1"/>
  <c r="U28" i="1"/>
  <c r="U31" i="1"/>
  <c r="U34" i="1"/>
  <c r="U38" i="1"/>
  <c r="J49" i="1"/>
  <c r="J52" i="1"/>
  <c r="J57" i="1"/>
  <c r="J60" i="1"/>
  <c r="J63" i="1"/>
  <c r="J67" i="1"/>
  <c r="J70" i="1"/>
  <c r="J73" i="1"/>
  <c r="J77" i="1"/>
  <c r="J80" i="1"/>
  <c r="U48" i="1"/>
  <c r="U55" i="1"/>
  <c r="U59" i="1"/>
  <c r="U63" i="1"/>
  <c r="U66" i="1"/>
  <c r="U69" i="1"/>
  <c r="U72" i="1"/>
  <c r="U75" i="1"/>
  <c r="J65" i="1"/>
  <c r="U95" i="1"/>
  <c r="U98" i="1"/>
  <c r="U102" i="1"/>
  <c r="U105" i="1"/>
  <c r="U108" i="1"/>
  <c r="U111" i="1"/>
  <c r="U114" i="1"/>
  <c r="U117" i="1"/>
  <c r="U120" i="1"/>
  <c r="J93" i="1"/>
  <c r="J96" i="1"/>
  <c r="J100" i="1"/>
  <c r="J104" i="1"/>
  <c r="J108" i="1"/>
  <c r="J111" i="1"/>
  <c r="J115" i="1"/>
  <c r="J118" i="1"/>
  <c r="J121" i="1"/>
  <c r="J124" i="1"/>
  <c r="J134" i="1"/>
  <c r="J137" i="1"/>
  <c r="J140" i="1"/>
  <c r="J145" i="1"/>
  <c r="J148" i="1"/>
  <c r="J151" i="1"/>
  <c r="J154" i="1"/>
  <c r="J157" i="1"/>
  <c r="J160" i="1"/>
  <c r="J163" i="1"/>
  <c r="J166" i="1"/>
  <c r="U91" i="1"/>
  <c r="U165" i="1"/>
  <c r="U168" i="1"/>
  <c r="J181" i="1"/>
  <c r="J184" i="1"/>
  <c r="J188" i="1"/>
  <c r="J191" i="1"/>
  <c r="J194" i="1"/>
  <c r="J197" i="1"/>
  <c r="J200" i="1"/>
  <c r="J203" i="1"/>
  <c r="J206" i="1"/>
  <c r="J209" i="1"/>
  <c r="J220" i="1"/>
  <c r="J223" i="1"/>
  <c r="J229" i="1"/>
  <c r="J232" i="1"/>
  <c r="J235" i="1"/>
  <c r="J239" i="1"/>
  <c r="J242" i="1"/>
  <c r="J245" i="1"/>
  <c r="J248" i="1"/>
  <c r="J251" i="1"/>
  <c r="J254" i="1"/>
  <c r="U264" i="1"/>
  <c r="U267" i="1"/>
  <c r="U270" i="1"/>
  <c r="U275" i="1"/>
  <c r="U278" i="1"/>
  <c r="U281" i="1"/>
  <c r="U284" i="1"/>
  <c r="U287" i="1"/>
  <c r="U290" i="1"/>
  <c r="U221" i="1"/>
  <c r="U224" i="1"/>
  <c r="U227" i="1"/>
  <c r="U232" i="1"/>
  <c r="U237" i="1"/>
  <c r="U240" i="1"/>
  <c r="U243" i="1"/>
  <c r="U178" i="1"/>
  <c r="U181" i="1"/>
  <c r="U187" i="1"/>
  <c r="U190" i="1"/>
  <c r="U193" i="1"/>
  <c r="U196" i="1"/>
  <c r="U199" i="1"/>
  <c r="U202" i="1"/>
  <c r="U205" i="1"/>
  <c r="J264" i="1"/>
  <c r="J267" i="1"/>
  <c r="J270" i="1"/>
  <c r="J769" i="1"/>
  <c r="J757" i="1"/>
  <c r="J751" i="1"/>
  <c r="J809" i="1"/>
  <c r="J812" i="1"/>
  <c r="J829" i="1"/>
  <c r="J835" i="1"/>
  <c r="J841" i="1"/>
  <c r="J844" i="1"/>
  <c r="J847" i="1"/>
  <c r="J850" i="1"/>
  <c r="J853" i="1"/>
  <c r="J856" i="1"/>
  <c r="J727" i="1"/>
  <c r="AF929" i="1"/>
  <c r="AF898" i="1"/>
  <c r="J919" i="1"/>
  <c r="J928" i="1"/>
  <c r="J938" i="1"/>
  <c r="AF951" i="1"/>
  <c r="AF968" i="1"/>
  <c r="AF974" i="1"/>
  <c r="J968" i="1"/>
  <c r="J958" i="1"/>
  <c r="AF1039" i="1"/>
  <c r="AF1054" i="1"/>
  <c r="AF1057" i="1"/>
  <c r="AF1063" i="1"/>
  <c r="J1039" i="1"/>
  <c r="J1046" i="1"/>
  <c r="J1049" i="1"/>
  <c r="J1052" i="1"/>
  <c r="J1055" i="1"/>
  <c r="J1061" i="1"/>
  <c r="J1064" i="1"/>
  <c r="J1067" i="1"/>
  <c r="J1070" i="1"/>
  <c r="AF1000" i="1"/>
  <c r="J1090" i="1"/>
  <c r="J1093" i="1"/>
  <c r="J1096" i="1"/>
  <c r="J1102" i="1"/>
  <c r="AF1124" i="1"/>
  <c r="AF1127" i="1"/>
  <c r="AF1130" i="1"/>
  <c r="AF1138" i="1"/>
  <c r="AF1144" i="1"/>
  <c r="AF1150" i="1"/>
  <c r="J1128" i="1"/>
  <c r="J1138" i="1"/>
  <c r="J1150" i="1"/>
  <c r="J1153" i="1"/>
  <c r="J1170" i="1"/>
  <c r="J1173" i="1"/>
  <c r="J1183" i="1"/>
  <c r="J1186" i="1"/>
  <c r="J1192" i="1"/>
  <c r="AF1192" i="1"/>
  <c r="AF1189" i="1"/>
  <c r="AF1180" i="1"/>
  <c r="AF1177" i="1"/>
  <c r="AF1235" i="1"/>
  <c r="AF1229" i="1"/>
  <c r="Q41" i="1"/>
  <c r="Q47" i="1" s="1"/>
  <c r="Q56" i="1" s="1"/>
  <c r="Q84" i="1" s="1"/>
  <c r="Q90" i="1" s="1"/>
  <c r="Q99" i="1" s="1"/>
  <c r="Q127" i="1" s="1"/>
  <c r="Q133" i="1" s="1"/>
  <c r="Q142" i="1" s="1"/>
  <c r="Q170" i="1" s="1"/>
  <c r="Q176" i="1" s="1"/>
  <c r="Q185" i="1" s="1"/>
  <c r="Q213" i="1" s="1"/>
  <c r="Q219" i="1" s="1"/>
  <c r="J274" i="1"/>
  <c r="J277" i="1"/>
  <c r="J280" i="1"/>
  <c r="J283" i="1"/>
  <c r="J286" i="1"/>
  <c r="J289" i="1"/>
  <c r="J292" i="1"/>
  <c r="J295" i="1"/>
  <c r="J180" i="1"/>
  <c r="U306" i="1"/>
  <c r="U309" i="1"/>
  <c r="U312" i="1"/>
  <c r="U316" i="1"/>
  <c r="U319" i="1"/>
  <c r="U322" i="1"/>
  <c r="U325" i="1"/>
  <c r="U328" i="1"/>
  <c r="U331" i="1"/>
  <c r="U334" i="1"/>
  <c r="U247" i="1"/>
  <c r="J308" i="1"/>
  <c r="J311" i="1"/>
  <c r="J315" i="1"/>
  <c r="J318" i="1"/>
  <c r="J321" i="1"/>
  <c r="J324" i="1"/>
  <c r="J327" i="1"/>
  <c r="J330" i="1"/>
  <c r="J333" i="1"/>
  <c r="J336" i="1"/>
  <c r="J339" i="1"/>
  <c r="U208" i="1"/>
  <c r="U252" i="1"/>
  <c r="U210" i="1"/>
  <c r="U186" i="1"/>
  <c r="U230" i="1"/>
  <c r="U220" i="1"/>
  <c r="U338" i="1"/>
  <c r="U350" i="1"/>
  <c r="U353" i="1"/>
  <c r="U356" i="1"/>
  <c r="U360" i="1"/>
  <c r="U363" i="1"/>
  <c r="U366" i="1"/>
  <c r="U369" i="1"/>
  <c r="U372" i="1"/>
  <c r="U375" i="1"/>
  <c r="U378" i="1"/>
  <c r="U381" i="1"/>
  <c r="U496" i="1"/>
  <c r="J498" i="1"/>
  <c r="U499" i="1"/>
  <c r="J501" i="1"/>
  <c r="U502" i="1"/>
  <c r="J504" i="1"/>
  <c r="U505" i="1"/>
  <c r="J507" i="1"/>
  <c r="U508" i="1"/>
  <c r="J510" i="1"/>
  <c r="U511" i="1"/>
  <c r="J522" i="1"/>
  <c r="J525" i="1"/>
  <c r="J528" i="1"/>
  <c r="J532" i="1"/>
  <c r="J535" i="1"/>
  <c r="J538" i="1"/>
  <c r="J541" i="1"/>
  <c r="J544" i="1"/>
  <c r="J547" i="1"/>
  <c r="J550" i="1"/>
  <c r="J553" i="1"/>
  <c r="J439" i="1"/>
  <c r="U597" i="1"/>
  <c r="U594" i="1"/>
  <c r="U591" i="1"/>
  <c r="U588" i="1"/>
  <c r="U585" i="1"/>
  <c r="U582" i="1"/>
  <c r="U579" i="1"/>
  <c r="U576" i="1"/>
  <c r="U573" i="1"/>
  <c r="U569" i="1"/>
  <c r="U566" i="1"/>
  <c r="U555" i="1"/>
  <c r="U552" i="1"/>
  <c r="J74" i="1"/>
  <c r="U79" i="1"/>
  <c r="U82" i="1"/>
  <c r="U134" i="1"/>
  <c r="U137" i="1"/>
  <c r="U140" i="1"/>
  <c r="U146" i="1"/>
  <c r="U149" i="1"/>
  <c r="U155" i="1"/>
  <c r="U161" i="1"/>
  <c r="U123" i="1"/>
  <c r="U382" i="1"/>
  <c r="J683" i="1"/>
  <c r="AF1223" i="1"/>
  <c r="AF1212" i="1"/>
  <c r="AF1210" i="1"/>
  <c r="J1215" i="1"/>
  <c r="J1212" i="1"/>
  <c r="AF1241" i="1"/>
  <c r="AF1254" i="1"/>
  <c r="AF1257" i="1"/>
  <c r="AF1261" i="1"/>
  <c r="AF1264" i="1"/>
  <c r="AF1268" i="1"/>
  <c r="AF1274" i="1"/>
  <c r="AF1277" i="1"/>
  <c r="AF1280" i="1"/>
  <c r="AF1283" i="1"/>
  <c r="J1252" i="1"/>
  <c r="J1255" i="1"/>
  <c r="J1258" i="1"/>
  <c r="J1262" i="1"/>
  <c r="J1265" i="1"/>
  <c r="J1268" i="1"/>
  <c r="J1271" i="1"/>
  <c r="J1274" i="1"/>
  <c r="J1277" i="1"/>
  <c r="J1280" i="1"/>
  <c r="J1283" i="1"/>
  <c r="J1286" i="1"/>
  <c r="AF1295" i="1"/>
  <c r="AF1298" i="1"/>
  <c r="AF1301" i="1"/>
  <c r="AF1305" i="1"/>
  <c r="AF1308" i="1"/>
  <c r="AF1311" i="1"/>
  <c r="AF1314" i="1"/>
  <c r="AF1317" i="1"/>
  <c r="AF1320" i="1"/>
  <c r="AF1323" i="1"/>
  <c r="AF1326" i="1"/>
  <c r="AF1329" i="1"/>
  <c r="J1314" i="1"/>
  <c r="J1298" i="1"/>
  <c r="AF1794" i="1"/>
  <c r="J1596" i="1"/>
  <c r="AF1597" i="1"/>
  <c r="J1599" i="1"/>
  <c r="AF1600" i="1"/>
  <c r="J1602" i="1"/>
  <c r="AF1603" i="1"/>
  <c r="AF1607" i="1"/>
  <c r="J1609" i="1"/>
  <c r="AF1610" i="1"/>
  <c r="J1612" i="1"/>
  <c r="AF1613" i="1"/>
  <c r="J1615" i="1"/>
  <c r="AF1616" i="1"/>
  <c r="J1618" i="1"/>
  <c r="AF1619" i="1"/>
  <c r="J1621" i="1"/>
  <c r="AF1622" i="1"/>
  <c r="AF1651" i="1"/>
  <c r="J356" i="1"/>
  <c r="AF856" i="1"/>
  <c r="J876" i="1"/>
  <c r="J12" i="1"/>
  <c r="J6" i="1"/>
  <c r="U246" i="1"/>
  <c r="J435" i="1"/>
  <c r="U436" i="1"/>
  <c r="J438" i="1"/>
  <c r="J440" i="1"/>
  <c r="U441" i="1"/>
  <c r="J444" i="1"/>
  <c r="J447" i="1"/>
  <c r="U448" i="1"/>
  <c r="J450" i="1"/>
  <c r="U451" i="1"/>
  <c r="J453" i="1"/>
  <c r="U454" i="1"/>
  <c r="J456" i="1"/>
  <c r="J355" i="1"/>
  <c r="J359" i="1"/>
  <c r="J368" i="1"/>
  <c r="J383" i="1"/>
  <c r="U394" i="1"/>
  <c r="U404" i="1"/>
  <c r="U410" i="1"/>
  <c r="U413" i="1"/>
  <c r="U416" i="1"/>
  <c r="U419" i="1"/>
  <c r="J401" i="1"/>
  <c r="J404" i="1"/>
  <c r="J407" i="1"/>
  <c r="J410" i="1"/>
  <c r="J416" i="1"/>
  <c r="J419" i="1"/>
  <c r="J425" i="1"/>
  <c r="U457" i="1"/>
  <c r="J459" i="1"/>
  <c r="U460" i="1"/>
  <c r="J462" i="1"/>
  <c r="U463" i="1"/>
  <c r="U466" i="1"/>
  <c r="J468" i="1"/>
  <c r="U468" i="1"/>
  <c r="J480" i="1"/>
  <c r="U481" i="1"/>
  <c r="J483" i="1"/>
  <c r="U484" i="1"/>
  <c r="J487" i="1"/>
  <c r="U488" i="1"/>
  <c r="U490" i="1"/>
  <c r="J492" i="1"/>
  <c r="U493" i="1"/>
  <c r="J495" i="1"/>
  <c r="U549" i="1"/>
  <c r="U546" i="1"/>
  <c r="U540" i="1"/>
  <c r="U537" i="1"/>
  <c r="U534" i="1"/>
  <c r="U531" i="1"/>
  <c r="U526" i="1"/>
  <c r="U523" i="1"/>
  <c r="U512" i="1"/>
  <c r="J566" i="1"/>
  <c r="J569" i="1"/>
  <c r="J573" i="1"/>
  <c r="J576" i="1"/>
  <c r="J579" i="1"/>
  <c r="J585" i="1"/>
  <c r="J588" i="1"/>
  <c r="J594" i="1"/>
  <c r="J597" i="1"/>
  <c r="AF564" i="1"/>
  <c r="AF567" i="1"/>
  <c r="AF570" i="1"/>
  <c r="AF574" i="1"/>
  <c r="AF577" i="1"/>
  <c r="AF580" i="1"/>
  <c r="AF583" i="1"/>
  <c r="AF586" i="1"/>
  <c r="AF592" i="1"/>
  <c r="AF595" i="1"/>
  <c r="AF598" i="1"/>
  <c r="J608" i="1"/>
  <c r="AF609" i="1"/>
  <c r="J611" i="1"/>
  <c r="AF612" i="1"/>
  <c r="J614" i="1"/>
  <c r="J617" i="1"/>
  <c r="J619" i="1"/>
  <c r="AF620" i="1"/>
  <c r="AF622" i="1"/>
  <c r="J624" i="1"/>
  <c r="AF625" i="1"/>
  <c r="J627" i="1"/>
  <c r="AF628" i="1"/>
  <c r="J630" i="1"/>
  <c r="AF631" i="1"/>
  <c r="J633" i="1"/>
  <c r="AF634" i="1"/>
  <c r="J636" i="1"/>
  <c r="AF637" i="1"/>
  <c r="J639" i="1"/>
  <c r="AF640" i="1"/>
  <c r="U489" i="1"/>
  <c r="AF651" i="1"/>
  <c r="AF654" i="1"/>
  <c r="AF657" i="1"/>
  <c r="AF664" i="1"/>
  <c r="AF667" i="1"/>
  <c r="AF670" i="1"/>
  <c r="AF673" i="1"/>
  <c r="AF676" i="1"/>
  <c r="AF693" i="1"/>
  <c r="AF696" i="1"/>
  <c r="AF700" i="1"/>
  <c r="J738" i="1"/>
  <c r="AF724" i="1"/>
  <c r="AF767" i="1"/>
  <c r="AF764" i="1"/>
  <c r="AF761" i="1"/>
  <c r="AF758" i="1"/>
  <c r="AF755" i="1"/>
  <c r="AF752" i="1"/>
  <c r="AF749" i="1"/>
  <c r="AF741" i="1"/>
  <c r="AF737" i="1"/>
  <c r="AF813" i="1"/>
  <c r="AF809" i="1"/>
  <c r="AF806" i="1"/>
  <c r="AF803" i="1"/>
  <c r="AF800" i="1"/>
  <c r="AF797" i="1"/>
  <c r="AF794" i="1"/>
  <c r="AF791" i="1"/>
  <c r="AF788" i="1"/>
  <c r="AF784" i="1"/>
  <c r="AF780" i="1"/>
  <c r="J780" i="1"/>
  <c r="J783" i="1"/>
  <c r="J786" i="1"/>
  <c r="J791" i="1"/>
  <c r="J795" i="1"/>
  <c r="J798" i="1"/>
  <c r="J801" i="1"/>
  <c r="J804" i="1"/>
  <c r="J807" i="1"/>
  <c r="J810" i="1"/>
  <c r="J813" i="1"/>
  <c r="J824" i="1"/>
  <c r="J827" i="1"/>
  <c r="J833" i="1"/>
  <c r="J836" i="1"/>
  <c r="J839" i="1"/>
  <c r="J842" i="1"/>
  <c r="J845" i="1"/>
  <c r="J848" i="1"/>
  <c r="J851" i="1"/>
  <c r="J854" i="1"/>
  <c r="AF740" i="1"/>
  <c r="AF768" i="1"/>
  <c r="AF781" i="1"/>
  <c r="J699" i="1"/>
  <c r="AF895" i="1"/>
  <c r="AF892" i="1"/>
  <c r="AF889" i="1"/>
  <c r="AF886" i="1"/>
  <c r="AF883" i="1"/>
  <c r="AF880" i="1"/>
  <c r="AF877" i="1"/>
  <c r="AF874" i="1"/>
  <c r="AF870" i="1"/>
  <c r="AF867" i="1"/>
  <c r="AF855" i="1"/>
  <c r="AF851" i="1"/>
  <c r="AF848" i="1"/>
  <c r="AF845" i="1"/>
  <c r="AF842" i="1"/>
  <c r="AF839" i="1"/>
  <c r="AF836" i="1"/>
  <c r="AF833" i="1"/>
  <c r="AF829" i="1"/>
  <c r="AF825" i="1"/>
  <c r="AF822" i="1"/>
  <c r="J866" i="1"/>
  <c r="J872" i="1"/>
  <c r="J877" i="1"/>
  <c r="J880" i="1"/>
  <c r="J883" i="1"/>
  <c r="J886" i="1"/>
  <c r="J889" i="1"/>
  <c r="J892" i="1"/>
  <c r="J895" i="1"/>
  <c r="J898" i="1"/>
  <c r="J741" i="1"/>
  <c r="J789" i="1"/>
  <c r="J832" i="1"/>
  <c r="AF908" i="1"/>
  <c r="AF911" i="1"/>
  <c r="AF914" i="1"/>
  <c r="AF918" i="1"/>
  <c r="AF921" i="1"/>
  <c r="AF924" i="1"/>
  <c r="AF927" i="1"/>
  <c r="AF930" i="1"/>
  <c r="AF933" i="1"/>
  <c r="AF936" i="1"/>
  <c r="AF941" i="1"/>
  <c r="AF899" i="1"/>
  <c r="J910" i="1"/>
  <c r="J913" i="1"/>
  <c r="J917" i="1"/>
  <c r="J920" i="1"/>
  <c r="J923" i="1"/>
  <c r="J926" i="1"/>
  <c r="J929" i="1"/>
  <c r="J932" i="1"/>
  <c r="J935" i="1"/>
  <c r="J939" i="1"/>
  <c r="J874" i="1"/>
  <c r="J870" i="1"/>
  <c r="AF952" i="1"/>
  <c r="AF955" i="1"/>
  <c r="AF962" i="1"/>
  <c r="AF965" i="1"/>
  <c r="AF969" i="1"/>
  <c r="AF972" i="1"/>
  <c r="AF978" i="1"/>
  <c r="AF981" i="1"/>
  <c r="AF940" i="1"/>
  <c r="J952" i="1"/>
  <c r="J955" i="1"/>
  <c r="J963" i="1"/>
  <c r="J966" i="1"/>
  <c r="J971" i="1"/>
  <c r="J974" i="1"/>
  <c r="J977" i="1"/>
  <c r="J980" i="1"/>
  <c r="J983" i="1"/>
  <c r="AF983" i="1"/>
  <c r="AF996" i="1"/>
  <c r="AF999" i="1"/>
  <c r="AF1004" i="1"/>
  <c r="AF1007" i="1"/>
  <c r="AF1010" i="1"/>
  <c r="AF1013" i="1"/>
  <c r="AF1016" i="1"/>
  <c r="AF1019" i="1"/>
  <c r="AF1022" i="1"/>
  <c r="AF1025" i="1"/>
  <c r="J994" i="1"/>
  <c r="J997" i="1"/>
  <c r="J1000" i="1"/>
  <c r="J1004" i="1"/>
  <c r="J1007" i="1"/>
  <c r="J1010" i="1"/>
  <c r="J1013" i="1"/>
  <c r="J1016" i="1"/>
  <c r="J1022" i="1"/>
  <c r="J1025" i="1"/>
  <c r="J1028" i="1"/>
  <c r="J960" i="1"/>
  <c r="J969" i="1"/>
  <c r="AF1037" i="1"/>
  <c r="AF1040" i="1"/>
  <c r="AF1044" i="1"/>
  <c r="AF1049" i="1"/>
  <c r="AF1052" i="1"/>
  <c r="AF1055" i="1"/>
  <c r="AF1058" i="1"/>
  <c r="AF1061" i="1"/>
  <c r="AF1064" i="1"/>
  <c r="AF1067" i="1"/>
  <c r="AF1070" i="1"/>
  <c r="J1037" i="1"/>
  <c r="J1040" i="1"/>
  <c r="J1043" i="1"/>
  <c r="J1047" i="1"/>
  <c r="J1050" i="1"/>
  <c r="J1053" i="1"/>
  <c r="J1056" i="1"/>
  <c r="J1059" i="1"/>
  <c r="J1062" i="1"/>
  <c r="J1065" i="1"/>
  <c r="J1068" i="1"/>
  <c r="J1071" i="1"/>
  <c r="AF1043" i="1"/>
  <c r="J1081" i="1"/>
  <c r="J1087" i="1"/>
  <c r="J1091" i="1"/>
  <c r="J1100" i="1"/>
  <c r="J1103" i="1"/>
  <c r="J1106" i="1"/>
  <c r="J1109" i="1"/>
  <c r="J1112" i="1"/>
  <c r="AF1080" i="1"/>
  <c r="AF1083" i="1"/>
  <c r="AF1086" i="1"/>
  <c r="AF1090" i="1"/>
  <c r="AF1093" i="1"/>
  <c r="AF1096" i="1"/>
  <c r="AF1099" i="1"/>
  <c r="AF1102" i="1"/>
  <c r="AF1105" i="1"/>
  <c r="AF1108" i="1"/>
  <c r="AF1111" i="1"/>
  <c r="AF1114" i="1"/>
  <c r="AF1125" i="1"/>
  <c r="AF1128" i="1"/>
  <c r="AF1132" i="1"/>
  <c r="AF1136" i="1"/>
  <c r="AF1139" i="1"/>
  <c r="AF1142" i="1"/>
  <c r="AF1145" i="1"/>
  <c r="AF1148" i="1"/>
  <c r="AF1151" i="1"/>
  <c r="AF1154" i="1"/>
  <c r="J1126" i="1"/>
  <c r="J1129" i="1"/>
  <c r="J1133" i="1"/>
  <c r="J1136" i="1"/>
  <c r="J1142" i="1"/>
  <c r="J1145" i="1"/>
  <c r="J1148" i="1"/>
  <c r="J1151" i="1"/>
  <c r="J1154" i="1"/>
  <c r="AF1169" i="1"/>
  <c r="AF1173" i="1"/>
  <c r="J1171" i="1"/>
  <c r="J1175" i="1"/>
  <c r="J1178" i="1"/>
  <c r="J1181" i="1"/>
  <c r="J1184" i="1"/>
  <c r="J1187" i="1"/>
  <c r="J1190" i="1"/>
  <c r="J1193" i="1"/>
  <c r="J1196" i="1"/>
  <c r="J1199" i="1"/>
  <c r="AF1198" i="1"/>
  <c r="AF1194" i="1"/>
  <c r="AF1188" i="1"/>
  <c r="AF1185" i="1"/>
  <c r="AF1182" i="1"/>
  <c r="AF1179" i="1"/>
  <c r="AF1176" i="1"/>
  <c r="AF1172" i="1"/>
  <c r="AF1240" i="1"/>
  <c r="AF1234" i="1"/>
  <c r="AF1228" i="1"/>
  <c r="AF1222" i="1"/>
  <c r="AF1239" i="1"/>
  <c r="AF1233" i="1"/>
  <c r="AF1227" i="1"/>
  <c r="AF1221" i="1"/>
  <c r="AF1215" i="1"/>
  <c r="AF1211" i="1"/>
  <c r="AF1242" i="1"/>
  <c r="J1214" i="1"/>
  <c r="J1211" i="1"/>
  <c r="AF1252" i="1"/>
  <c r="AF1255" i="1"/>
  <c r="AF1258" i="1"/>
  <c r="AF1265" i="1"/>
  <c r="AF1269" i="1"/>
  <c r="AF1275" i="1"/>
  <c r="AF1278" i="1"/>
  <c r="AF1281" i="1"/>
  <c r="AF1284" i="1"/>
  <c r="J1253" i="1"/>
  <c r="J1263" i="1"/>
  <c r="J1272" i="1"/>
  <c r="J1275" i="1"/>
  <c r="AF1243" i="1"/>
  <c r="AF1296" i="1"/>
  <c r="AF1306" i="1"/>
  <c r="AF1312" i="1"/>
  <c r="AF1321" i="1"/>
  <c r="AF1324" i="1"/>
  <c r="AF1327" i="1"/>
  <c r="J1295" i="1"/>
  <c r="J1299" i="1"/>
  <c r="J1302" i="1"/>
  <c r="J1309" i="1"/>
  <c r="J1315" i="1"/>
  <c r="J1318" i="1"/>
  <c r="J1327" i="1"/>
  <c r="AF1266" i="1"/>
  <c r="J1563" i="1"/>
  <c r="AF1572" i="1"/>
  <c r="AF1587" i="1"/>
  <c r="J1481" i="1"/>
  <c r="AF1381" i="1"/>
  <c r="AF1384" i="1"/>
  <c r="AF1386" i="1"/>
  <c r="AF1388" i="1"/>
  <c r="AE1416" i="1"/>
  <c r="J1394" i="1"/>
  <c r="AF1395" i="1"/>
  <c r="J1397" i="1"/>
  <c r="J1400" i="1"/>
  <c r="AF1404" i="1"/>
  <c r="J1409" i="1"/>
  <c r="J1412" i="1"/>
  <c r="AF1430" i="1"/>
  <c r="AF1434" i="1"/>
  <c r="AF1441" i="1"/>
  <c r="AF1444" i="1"/>
  <c r="AF1447" i="1"/>
  <c r="AF1450" i="1"/>
  <c r="AF1453" i="1"/>
  <c r="AF1456" i="1"/>
  <c r="J1425" i="1"/>
  <c r="J1428" i="1"/>
  <c r="J1431" i="1"/>
  <c r="J1438" i="1"/>
  <c r="J1441" i="1"/>
  <c r="J1447" i="1"/>
  <c r="J1450" i="1"/>
  <c r="J1453" i="1"/>
  <c r="AF1414" i="1"/>
  <c r="AF1477" i="1"/>
  <c r="AF1480" i="1"/>
  <c r="AF1484" i="1"/>
  <c r="AF1487" i="1"/>
  <c r="AF1490" i="1"/>
  <c r="AF1493" i="1"/>
  <c r="AF1499" i="1"/>
  <c r="J1470" i="1"/>
  <c r="J1473" i="1"/>
  <c r="J1477" i="1"/>
  <c r="J1480" i="1"/>
  <c r="J1484" i="1"/>
  <c r="J1487" i="1"/>
  <c r="J1493" i="1"/>
  <c r="J1496" i="1"/>
  <c r="J1500" i="1"/>
  <c r="AF1427" i="1"/>
  <c r="J1693" i="1"/>
  <c r="AF1697" i="1"/>
  <c r="AF1715" i="1"/>
  <c r="U1929" i="1"/>
  <c r="AF1897" i="1"/>
  <c r="AF1899" i="1"/>
  <c r="AF1901" i="1"/>
  <c r="AF1910" i="1"/>
  <c r="AF1914" i="1"/>
  <c r="U1919" i="1"/>
  <c r="U1921" i="1"/>
  <c r="U1923" i="1"/>
  <c r="AF1928" i="1"/>
  <c r="I1416" i="1"/>
  <c r="J1391" i="1"/>
  <c r="AE1373" i="1"/>
  <c r="AF1360" i="1"/>
  <c r="E1416" i="1"/>
  <c r="AA1416" i="1"/>
  <c r="E1459" i="1"/>
  <c r="J1624" i="1"/>
  <c r="U295" i="1"/>
  <c r="AF709" i="1"/>
  <c r="AF712" i="1"/>
  <c r="AF715" i="1"/>
  <c r="AF718" i="1"/>
  <c r="AF721" i="1"/>
  <c r="AF726" i="1"/>
  <c r="J651" i="1"/>
  <c r="J654" i="1"/>
  <c r="J657" i="1"/>
  <c r="J661" i="1"/>
  <c r="J667" i="1"/>
  <c r="J670" i="1"/>
  <c r="J676" i="1"/>
  <c r="J679" i="1"/>
  <c r="J693" i="1"/>
  <c r="J696" i="1"/>
  <c r="J705" i="1"/>
  <c r="J711" i="1"/>
  <c r="J714" i="1"/>
  <c r="J720" i="1"/>
  <c r="J723" i="1"/>
  <c r="J726" i="1"/>
  <c r="J743" i="1"/>
  <c r="J1626" i="1"/>
  <c r="U70" i="1"/>
  <c r="U112" i="1"/>
  <c r="J337" i="1"/>
  <c r="U361" i="1"/>
  <c r="AF909" i="1"/>
  <c r="U1682" i="1"/>
  <c r="U1688" i="1"/>
  <c r="U1701" i="1"/>
  <c r="U1704" i="1"/>
  <c r="U1710" i="1"/>
  <c r="U1727" i="1"/>
  <c r="J1997" i="1"/>
  <c r="U2026" i="1"/>
  <c r="U2027" i="1"/>
  <c r="AF2028" i="1"/>
  <c r="J2030" i="1"/>
  <c r="AF2031" i="1"/>
  <c r="AF2032" i="1"/>
  <c r="AF2033" i="1"/>
  <c r="J2036" i="1"/>
  <c r="J2037" i="1"/>
  <c r="J2039" i="1"/>
  <c r="J2040" i="1"/>
  <c r="J2041" i="1"/>
  <c r="J2042" i="1"/>
  <c r="J2043" i="1"/>
  <c r="J2044" i="1"/>
  <c r="J2045" i="1"/>
  <c r="J2046" i="1"/>
  <c r="J2047" i="1"/>
  <c r="J2048" i="1"/>
  <c r="J2049" i="1"/>
  <c r="J2051" i="1"/>
  <c r="J2052" i="1"/>
  <c r="J2053" i="1"/>
  <c r="J2054" i="1"/>
  <c r="J2055" i="1"/>
  <c r="J2056" i="1"/>
  <c r="J2057" i="1"/>
  <c r="J2058" i="1"/>
  <c r="J2059" i="1"/>
  <c r="J2082" i="1"/>
  <c r="U2029" i="1"/>
  <c r="J2072" i="1"/>
  <c r="AF2087" i="1"/>
  <c r="J125" i="1"/>
  <c r="U121" i="1"/>
  <c r="J671" i="1"/>
  <c r="AF897" i="1"/>
  <c r="AF894" i="1"/>
  <c r="AF882" i="1"/>
  <c r="AF879" i="1"/>
  <c r="AF872" i="1"/>
  <c r="AF869" i="1"/>
  <c r="AF865" i="1"/>
  <c r="AF847" i="1"/>
  <c r="AF844" i="1"/>
  <c r="AF838" i="1"/>
  <c r="AF707" i="1"/>
  <c r="J875" i="1"/>
  <c r="J887" i="1"/>
  <c r="J890" i="1"/>
  <c r="J899" i="1"/>
  <c r="AF708" i="1"/>
  <c r="J978" i="1"/>
  <c r="J981" i="1"/>
  <c r="J984" i="1"/>
  <c r="U17" i="1"/>
  <c r="S41" i="1"/>
  <c r="S47" i="1" s="1"/>
  <c r="S56" i="1" s="1"/>
  <c r="S84" i="1" s="1"/>
  <c r="S90" i="1" s="1"/>
  <c r="S99" i="1" s="1"/>
  <c r="S127" i="1" s="1"/>
  <c r="S133" i="1" s="1"/>
  <c r="S142" i="1" s="1"/>
  <c r="S170" i="1" s="1"/>
  <c r="S176" i="1" s="1"/>
  <c r="S185" i="1" s="1"/>
  <c r="S213" i="1" s="1"/>
  <c r="S219" i="1" s="1"/>
  <c r="S228" i="1" s="1"/>
  <c r="S256" i="1" s="1"/>
  <c r="S262" i="1" s="1"/>
  <c r="S271" i="1" s="1"/>
  <c r="S299" i="1" s="1"/>
  <c r="S305" i="1" s="1"/>
  <c r="S314" i="1" s="1"/>
  <c r="S342" i="1" s="1"/>
  <c r="S348" i="1" s="1"/>
  <c r="S357" i="1" s="1"/>
  <c r="S385" i="1" s="1"/>
  <c r="S391" i="1" s="1"/>
  <c r="S400" i="1" s="1"/>
  <c r="S428" i="1" s="1"/>
  <c r="S434" i="1" s="1"/>
  <c r="S443" i="1" s="1"/>
  <c r="S471" i="1" s="1"/>
  <c r="S477" i="1" s="1"/>
  <c r="S486" i="1" s="1"/>
  <c r="S514" i="1" s="1"/>
  <c r="S520" i="1" s="1"/>
  <c r="S529" i="1" s="1"/>
  <c r="S557" i="1" s="1"/>
  <c r="S563" i="1" s="1"/>
  <c r="S572" i="1" s="1"/>
  <c r="S600" i="1" s="1"/>
  <c r="U141" i="1"/>
  <c r="J182" i="1"/>
  <c r="I212" i="1"/>
  <c r="J201" i="1"/>
  <c r="I255" i="1"/>
  <c r="U282" i="1"/>
  <c r="U285" i="1"/>
  <c r="T212" i="1"/>
  <c r="J290" i="1"/>
  <c r="U320" i="1"/>
  <c r="U329" i="1"/>
  <c r="U364" i="1"/>
  <c r="U367" i="1"/>
  <c r="J350" i="1"/>
  <c r="E384" i="1"/>
  <c r="J363" i="1"/>
  <c r="J369" i="1"/>
  <c r="J375" i="1"/>
  <c r="J381" i="1"/>
  <c r="P427" i="1"/>
  <c r="U411" i="1"/>
  <c r="J395" i="1"/>
  <c r="J398" i="1"/>
  <c r="J408" i="1"/>
  <c r="I470" i="1"/>
  <c r="I513" i="1"/>
  <c r="I556" i="1"/>
  <c r="J574" i="1"/>
  <c r="AE572" i="1"/>
  <c r="I642" i="1"/>
  <c r="AE685" i="1"/>
  <c r="AF706" i="1"/>
  <c r="AF711" i="1"/>
  <c r="AF714" i="1"/>
  <c r="AF717" i="1"/>
  <c r="AF720" i="1"/>
  <c r="AF723" i="1"/>
  <c r="J656" i="1"/>
  <c r="J663" i="1"/>
  <c r="J666" i="1"/>
  <c r="J675" i="1"/>
  <c r="J681" i="1"/>
  <c r="J684" i="1"/>
  <c r="J704" i="1"/>
  <c r="J707" i="1"/>
  <c r="J713" i="1"/>
  <c r="J716" i="1"/>
  <c r="J725" i="1"/>
  <c r="J768" i="1"/>
  <c r="J762" i="1"/>
  <c r="J756" i="1"/>
  <c r="J750" i="1"/>
  <c r="J746" i="1"/>
  <c r="I814" i="1"/>
  <c r="J792" i="1"/>
  <c r="J802" i="1"/>
  <c r="J805" i="1"/>
  <c r="J808" i="1"/>
  <c r="J825" i="1"/>
  <c r="J837" i="1"/>
  <c r="J849" i="1"/>
  <c r="J852" i="1"/>
  <c r="AF725" i="1"/>
  <c r="J697" i="1"/>
  <c r="J885" i="1"/>
  <c r="J897" i="1"/>
  <c r="AF915" i="1"/>
  <c r="AE943" i="1"/>
  <c r="J908" i="1"/>
  <c r="J953" i="1"/>
  <c r="J964" i="1"/>
  <c r="AF994" i="1"/>
  <c r="AF998" i="1"/>
  <c r="AF1006" i="1"/>
  <c r="AF1012" i="1"/>
  <c r="AF1018" i="1"/>
  <c r="AF1021" i="1"/>
  <c r="AF1024" i="1"/>
  <c r="E1029" i="1"/>
  <c r="J1024" i="1"/>
  <c r="I1072" i="1"/>
  <c r="AE1072" i="1"/>
  <c r="J1099" i="1"/>
  <c r="J1111" i="1"/>
  <c r="AF1082" i="1"/>
  <c r="AF1085" i="1"/>
  <c r="AF1089" i="1"/>
  <c r="AF1092" i="1"/>
  <c r="AF1104" i="1"/>
  <c r="AF1107" i="1"/>
  <c r="AF1110" i="1"/>
  <c r="AE1158" i="1"/>
  <c r="I1158" i="1"/>
  <c r="I1201" i="1"/>
  <c r="AF1236" i="1"/>
  <c r="AF1224" i="1"/>
  <c r="J1238" i="1"/>
  <c r="J1232" i="1"/>
  <c r="J1226" i="1"/>
  <c r="J1220" i="1"/>
  <c r="J1240" i="1"/>
  <c r="J1234" i="1"/>
  <c r="J1228" i="1"/>
  <c r="J1222" i="1"/>
  <c r="AF1256" i="1"/>
  <c r="AF1259" i="1"/>
  <c r="AF1263" i="1"/>
  <c r="AF1267" i="1"/>
  <c r="AF1270" i="1"/>
  <c r="AF1273" i="1"/>
  <c r="AF1276" i="1"/>
  <c r="AF1279" i="1"/>
  <c r="AF1282" i="1"/>
  <c r="AF1285" i="1"/>
  <c r="J1254" i="1"/>
  <c r="J1257" i="1"/>
  <c r="J1264" i="1"/>
  <c r="J1267" i="1"/>
  <c r="J1270" i="1"/>
  <c r="J1273" i="1"/>
  <c r="J1279" i="1"/>
  <c r="J1282" i="1"/>
  <c r="J1285" i="1"/>
  <c r="AF1286" i="1"/>
  <c r="AF1297" i="1"/>
  <c r="AF1300" i="1"/>
  <c r="AF1307" i="1"/>
  <c r="AF1310" i="1"/>
  <c r="AF1313" i="1"/>
  <c r="AF1316" i="1"/>
  <c r="AF1319" i="1"/>
  <c r="AF1322" i="1"/>
  <c r="AF1328" i="1"/>
  <c r="J1297" i="1"/>
  <c r="J1301" i="1"/>
  <c r="J1305" i="1"/>
  <c r="J1308" i="1"/>
  <c r="J1311" i="1"/>
  <c r="J1317" i="1"/>
  <c r="J1320" i="1"/>
  <c r="J1323" i="1"/>
  <c r="J1326" i="1"/>
  <c r="J1329" i="1"/>
  <c r="AF1656" i="1"/>
  <c r="J1658" i="1"/>
  <c r="AF1659" i="1"/>
  <c r="AF1662" i="1"/>
  <c r="AF1665" i="1"/>
  <c r="AF1668" i="1"/>
  <c r="J1670" i="1"/>
  <c r="AF1671" i="1"/>
  <c r="AF1673" i="1"/>
  <c r="AF1743" i="1"/>
  <c r="AF1749" i="1"/>
  <c r="AF1755" i="1"/>
  <c r="U1751" i="1"/>
  <c r="AF1566" i="1"/>
  <c r="U1795" i="1"/>
  <c r="U2079" i="1"/>
  <c r="AF2099" i="1"/>
  <c r="J1771" i="1"/>
  <c r="AF1985" i="1"/>
  <c r="AF1988" i="1"/>
  <c r="AF1992" i="1"/>
  <c r="AF1995" i="1"/>
  <c r="AF2001" i="1"/>
  <c r="AF2004" i="1"/>
  <c r="AF2007" i="1"/>
  <c r="AF2010" i="1"/>
  <c r="AF2013" i="1"/>
  <c r="AF2016" i="1"/>
  <c r="P599" i="1"/>
  <c r="E685" i="1"/>
  <c r="I857" i="1"/>
  <c r="U138" i="1"/>
  <c r="U159" i="1"/>
  <c r="J366" i="1"/>
  <c r="J372" i="1"/>
  <c r="J378" i="1"/>
  <c r="J306" i="1"/>
  <c r="U395" i="1"/>
  <c r="U398" i="1"/>
  <c r="U405" i="1"/>
  <c r="U408" i="1"/>
  <c r="U414" i="1"/>
  <c r="U417" i="1"/>
  <c r="U420" i="1"/>
  <c r="U423" i="1"/>
  <c r="J392" i="1"/>
  <c r="J405" i="1"/>
  <c r="J411" i="1"/>
  <c r="J417" i="1"/>
  <c r="J420" i="1"/>
  <c r="J650" i="1"/>
  <c r="J653" i="1"/>
  <c r="J669" i="1"/>
  <c r="J672" i="1"/>
  <c r="J678" i="1"/>
  <c r="J695" i="1"/>
  <c r="J700" i="1"/>
  <c r="J710" i="1"/>
  <c r="J719" i="1"/>
  <c r="J722" i="1"/>
  <c r="AF683" i="1"/>
  <c r="AF893" i="1"/>
  <c r="AF890" i="1"/>
  <c r="AF887" i="1"/>
  <c r="AF884" i="1"/>
  <c r="AF881" i="1"/>
  <c r="AF878" i="1"/>
  <c r="AF871" i="1"/>
  <c r="AF868" i="1"/>
  <c r="T384" i="1"/>
  <c r="AE1330" i="1"/>
  <c r="AF1304" i="1"/>
  <c r="U60" i="1"/>
  <c r="U135" i="1"/>
  <c r="U150" i="1"/>
  <c r="U162" i="1"/>
  <c r="J106" i="1"/>
  <c r="AF565" i="1"/>
  <c r="J1134" i="1"/>
  <c r="T513" i="1"/>
  <c r="U487" i="1"/>
  <c r="P556" i="1"/>
  <c r="U530" i="1"/>
  <c r="AA814" i="1"/>
  <c r="AE857" i="1"/>
  <c r="J1261" i="1"/>
  <c r="I1287" i="1"/>
  <c r="J1176" i="1"/>
  <c r="J788" i="1"/>
  <c r="U80" i="1"/>
  <c r="U156" i="1"/>
  <c r="U92" i="1"/>
  <c r="I599" i="1"/>
  <c r="E427" i="1"/>
  <c r="J402" i="1"/>
  <c r="U444" i="1"/>
  <c r="T470" i="1"/>
  <c r="AE599" i="1"/>
  <c r="AF575" i="1"/>
  <c r="AE900" i="1"/>
  <c r="AA1201" i="1"/>
  <c r="AF1178" i="1"/>
  <c r="U49" i="1"/>
  <c r="J53" i="1"/>
  <c r="U153" i="1"/>
  <c r="E771" i="1"/>
  <c r="E728" i="1"/>
  <c r="E1330" i="1"/>
  <c r="J360" i="1"/>
  <c r="AA1115" i="1"/>
  <c r="U20" i="1"/>
  <c r="J146" i="1"/>
  <c r="U265" i="1"/>
  <c r="U326" i="1"/>
  <c r="AF852" i="1"/>
  <c r="AF846" i="1"/>
  <c r="AF837" i="1"/>
  <c r="AF827" i="1"/>
  <c r="J868" i="1"/>
  <c r="J891" i="1"/>
  <c r="J976" i="1"/>
  <c r="AF1009" i="1"/>
  <c r="AF1015" i="1"/>
  <c r="AF1027" i="1"/>
  <c r="J1012" i="1"/>
  <c r="AF960" i="1"/>
  <c r="AF849" i="1"/>
  <c r="AF840" i="1"/>
  <c r="J865" i="1"/>
  <c r="J879" i="1"/>
  <c r="J888" i="1"/>
  <c r="AF854" i="1"/>
  <c r="J996" i="1"/>
  <c r="J1009" i="1"/>
  <c r="J1027" i="1"/>
  <c r="E13" i="1"/>
  <c r="T255" i="1"/>
  <c r="P470" i="1"/>
  <c r="AF843" i="1"/>
  <c r="AF823" i="1"/>
  <c r="J894" i="1"/>
  <c r="J985" i="1"/>
  <c r="J999" i="1"/>
  <c r="J1015" i="1"/>
  <c r="J961" i="1"/>
  <c r="J1006" i="1"/>
  <c r="U7" i="1"/>
  <c r="U14" i="1"/>
  <c r="U23" i="1"/>
  <c r="U29" i="1"/>
  <c r="U32" i="1"/>
  <c r="U35" i="1"/>
  <c r="U39" i="1"/>
  <c r="J50" i="1"/>
  <c r="J54" i="1"/>
  <c r="J58" i="1"/>
  <c r="J61" i="1"/>
  <c r="J71" i="1"/>
  <c r="J75" i="1"/>
  <c r="J78" i="1"/>
  <c r="J81" i="1"/>
  <c r="U52" i="1"/>
  <c r="U57" i="1"/>
  <c r="U61" i="1"/>
  <c r="U64" i="1"/>
  <c r="U67" i="1"/>
  <c r="U73" i="1"/>
  <c r="U76" i="1"/>
  <c r="U93" i="1"/>
  <c r="U96" i="1"/>
  <c r="U100" i="1"/>
  <c r="U103" i="1"/>
  <c r="U106" i="1"/>
  <c r="U109" i="1"/>
  <c r="U115" i="1"/>
  <c r="U118" i="1"/>
  <c r="J91" i="1"/>
  <c r="J94" i="1"/>
  <c r="J97" i="1"/>
  <c r="J102" i="1"/>
  <c r="J113" i="1"/>
  <c r="J116" i="1"/>
  <c r="J119" i="1"/>
  <c r="J138" i="1"/>
  <c r="J141" i="1"/>
  <c r="J149" i="1"/>
  <c r="J152" i="1"/>
  <c r="J155" i="1"/>
  <c r="J158" i="1"/>
  <c r="J161" i="1"/>
  <c r="J164" i="1"/>
  <c r="J167" i="1"/>
  <c r="J112" i="1"/>
  <c r="U166" i="1"/>
  <c r="J178" i="1"/>
  <c r="J186" i="1"/>
  <c r="J189" i="1"/>
  <c r="J192" i="1"/>
  <c r="J195" i="1"/>
  <c r="J198" i="1"/>
  <c r="J204" i="1"/>
  <c r="J207" i="1"/>
  <c r="J210" i="1"/>
  <c r="J221" i="1"/>
  <c r="J226" i="1"/>
  <c r="J230" i="1"/>
  <c r="J233" i="1"/>
  <c r="J237" i="1"/>
  <c r="J240" i="1"/>
  <c r="J243" i="1"/>
  <c r="J246" i="1"/>
  <c r="J249" i="1"/>
  <c r="J252" i="1"/>
  <c r="J177" i="1"/>
  <c r="U268" i="1"/>
  <c r="U273" i="1"/>
  <c r="U276" i="1"/>
  <c r="U279" i="1"/>
  <c r="U288" i="1"/>
  <c r="U291" i="1"/>
  <c r="U222" i="1"/>
  <c r="U225" i="1"/>
  <c r="U233" i="1"/>
  <c r="U238" i="1"/>
  <c r="U241" i="1"/>
  <c r="U244" i="1"/>
  <c r="U250" i="1"/>
  <c r="U179" i="1"/>
  <c r="U182" i="1"/>
  <c r="U188" i="1"/>
  <c r="U191" i="1"/>
  <c r="U194" i="1"/>
  <c r="U200" i="1"/>
  <c r="U203" i="1"/>
  <c r="U206" i="1"/>
  <c r="J265" i="1"/>
  <c r="J268" i="1"/>
  <c r="J275" i="1"/>
  <c r="J278" i="1"/>
  <c r="J281" i="1"/>
  <c r="J284" i="1"/>
  <c r="J287" i="1"/>
  <c r="J293" i="1"/>
  <c r="U143" i="1"/>
  <c r="U307" i="1"/>
  <c r="U310" i="1"/>
  <c r="U317" i="1"/>
  <c r="U323" i="1"/>
  <c r="U332" i="1"/>
  <c r="U335" i="1"/>
  <c r="U248" i="1"/>
  <c r="J309" i="1"/>
  <c r="J312" i="1"/>
  <c r="J316" i="1"/>
  <c r="J319" i="1"/>
  <c r="J322" i="1"/>
  <c r="J325" i="1"/>
  <c r="J328" i="1"/>
  <c r="J331" i="1"/>
  <c r="J334" i="1"/>
  <c r="J340" i="1"/>
  <c r="U209" i="1"/>
  <c r="U253" i="1"/>
  <c r="U251" i="1"/>
  <c r="U249" i="1"/>
  <c r="J224" i="1"/>
  <c r="U294" i="1"/>
  <c r="U297" i="1"/>
  <c r="U234" i="1"/>
  <c r="U354" i="1"/>
  <c r="U358" i="1"/>
  <c r="U370" i="1"/>
  <c r="U373" i="1"/>
  <c r="U376" i="1"/>
  <c r="U379" i="1"/>
  <c r="U438" i="1"/>
  <c r="U440" i="1"/>
  <c r="J446" i="1"/>
  <c r="U450" i="1"/>
  <c r="J452" i="1"/>
  <c r="U456" i="1"/>
  <c r="U459" i="1"/>
  <c r="J469" i="1"/>
  <c r="U483" i="1"/>
  <c r="J489" i="1"/>
  <c r="J491" i="1"/>
  <c r="J494" i="1"/>
  <c r="U495" i="1"/>
  <c r="U498" i="1"/>
  <c r="U501" i="1"/>
  <c r="U504" i="1"/>
  <c r="J506" i="1"/>
  <c r="U507" i="1"/>
  <c r="J551" i="1"/>
  <c r="J589" i="1"/>
  <c r="AF587" i="1"/>
  <c r="AF1581" i="1"/>
  <c r="AA685" i="1"/>
  <c r="AE728" i="1"/>
  <c r="J765" i="1"/>
  <c r="J759" i="1"/>
  <c r="J753" i="1"/>
  <c r="J767" i="1"/>
  <c r="J755" i="1"/>
  <c r="J749" i="1"/>
  <c r="J1237" i="1"/>
  <c r="J1231" i="1"/>
  <c r="J1219" i="1"/>
  <c r="AA1287" i="1"/>
  <c r="I1330" i="1"/>
  <c r="J523" i="1"/>
  <c r="J526" i="1"/>
  <c r="J530" i="1"/>
  <c r="J533" i="1"/>
  <c r="J536" i="1"/>
  <c r="J539" i="1"/>
  <c r="J542" i="1"/>
  <c r="J554" i="1"/>
  <c r="U479" i="1"/>
  <c r="U593" i="1"/>
  <c r="U590" i="1"/>
  <c r="U584" i="1"/>
  <c r="U581" i="1"/>
  <c r="U578" i="1"/>
  <c r="U575" i="1"/>
  <c r="U565" i="1"/>
  <c r="U545" i="1"/>
  <c r="U539" i="1"/>
  <c r="U533" i="1"/>
  <c r="U522" i="1"/>
  <c r="J567" i="1"/>
  <c r="J570" i="1"/>
  <c r="J577" i="1"/>
  <c r="J580" i="1"/>
  <c r="J583" i="1"/>
  <c r="J592" i="1"/>
  <c r="J595" i="1"/>
  <c r="AF578" i="1"/>
  <c r="AF581" i="1"/>
  <c r="AF590" i="1"/>
  <c r="AF596" i="1"/>
  <c r="J618" i="1"/>
  <c r="J632" i="1"/>
  <c r="AF659" i="1"/>
  <c r="AF680" i="1"/>
  <c r="AF757" i="1"/>
  <c r="AF751" i="1"/>
  <c r="AF748" i="1"/>
  <c r="AF799" i="1"/>
  <c r="AF796" i="1"/>
  <c r="AF793" i="1"/>
  <c r="AF790" i="1"/>
  <c r="AF786" i="1"/>
  <c r="J781" i="1"/>
  <c r="J784" i="1"/>
  <c r="J796" i="1"/>
  <c r="J799" i="1"/>
  <c r="J811" i="1"/>
  <c r="J828" i="1"/>
  <c r="J840" i="1"/>
  <c r="J843" i="1"/>
  <c r="J846" i="1"/>
  <c r="J855" i="1"/>
  <c r="AF812" i="1"/>
  <c r="J794" i="1"/>
  <c r="AF826" i="1"/>
  <c r="AF912" i="1"/>
  <c r="AF919" i="1"/>
  <c r="AF922" i="1"/>
  <c r="AF925" i="1"/>
  <c r="AF931" i="1"/>
  <c r="J911" i="1"/>
  <c r="J914" i="1"/>
  <c r="J921" i="1"/>
  <c r="J924" i="1"/>
  <c r="J933" i="1"/>
  <c r="AF939" i="1"/>
  <c r="J871" i="1"/>
  <c r="AF956" i="1"/>
  <c r="AF966" i="1"/>
  <c r="AF970" i="1"/>
  <c r="AF973" i="1"/>
  <c r="AF957" i="1"/>
  <c r="J956" i="1"/>
  <c r="J967" i="1"/>
  <c r="J972" i="1"/>
  <c r="AF1065" i="1"/>
  <c r="AF1068" i="1"/>
  <c r="I1588" i="1"/>
  <c r="I1502" i="1"/>
  <c r="AF1339" i="1"/>
  <c r="AF1342" i="1"/>
  <c r="AA1373" i="1"/>
  <c r="AF1355" i="1"/>
  <c r="AF1358" i="1"/>
  <c r="AF1368" i="1"/>
  <c r="AF1371" i="1"/>
  <c r="J1339" i="1"/>
  <c r="J1342" i="1"/>
  <c r="E1373" i="1"/>
  <c r="J1351" i="1"/>
  <c r="J1354" i="1"/>
  <c r="J1360" i="1"/>
  <c r="J1363" i="1"/>
  <c r="J1366" i="1"/>
  <c r="J1382" i="1"/>
  <c r="AF1383" i="1"/>
  <c r="J1385" i="1"/>
  <c r="J1387" i="1"/>
  <c r="J1393" i="1"/>
  <c r="AF1394" i="1"/>
  <c r="J1396" i="1"/>
  <c r="AF1400" i="1"/>
  <c r="J1402" i="1"/>
  <c r="J1405" i="1"/>
  <c r="AF1406" i="1"/>
  <c r="AF1412" i="1"/>
  <c r="J1414" i="1"/>
  <c r="J1345" i="1"/>
  <c r="AF1425" i="1"/>
  <c r="AF1435" i="1"/>
  <c r="AF1442" i="1"/>
  <c r="AF1445" i="1"/>
  <c r="AF1448" i="1"/>
  <c r="AF1454" i="1"/>
  <c r="J1426" i="1"/>
  <c r="J1436" i="1"/>
  <c r="J1439" i="1"/>
  <c r="J1442" i="1"/>
  <c r="J1445" i="1"/>
  <c r="J1448" i="1"/>
  <c r="J1451" i="1"/>
  <c r="J1458" i="1"/>
  <c r="AF1415" i="1"/>
  <c r="J1553" i="1"/>
  <c r="AF1554" i="1"/>
  <c r="J1556" i="1"/>
  <c r="J1559" i="1"/>
  <c r="AF1560" i="1"/>
  <c r="J1566" i="1"/>
  <c r="AF1569" i="1"/>
  <c r="AF1575" i="1"/>
  <c r="AF1578" i="1"/>
  <c r="AF1584" i="1"/>
  <c r="J1586" i="1"/>
  <c r="AF1660" i="1"/>
  <c r="AF1625" i="1"/>
  <c r="J1627" i="1"/>
  <c r="AF1628" i="1"/>
  <c r="J1630" i="1"/>
  <c r="AF1639" i="1"/>
  <c r="J1641" i="1"/>
  <c r="AF1642" i="1"/>
  <c r="J1644" i="1"/>
  <c r="AF1645" i="1"/>
  <c r="J1650" i="1"/>
  <c r="J1832" i="1"/>
  <c r="J1838" i="1"/>
  <c r="U1844" i="1"/>
  <c r="AF1854" i="1"/>
  <c r="P1889" i="1"/>
  <c r="J1811" i="1"/>
  <c r="J1812" i="1"/>
  <c r="J1813" i="1"/>
  <c r="J1814" i="1"/>
  <c r="J1815" i="1"/>
  <c r="J1816" i="1"/>
  <c r="J1818" i="1"/>
  <c r="J1820" i="1"/>
  <c r="U1821" i="1"/>
  <c r="U1822" i="1"/>
  <c r="U1823" i="1"/>
  <c r="U1824" i="1"/>
  <c r="U1825" i="1"/>
  <c r="U1826" i="1"/>
  <c r="U1827" i="1"/>
  <c r="U1828" i="1"/>
  <c r="U1829" i="1"/>
  <c r="U1830" i="1"/>
  <c r="U1831" i="1"/>
  <c r="U1992" i="1"/>
  <c r="U2010" i="1"/>
  <c r="U2013" i="1"/>
  <c r="U2016" i="1"/>
  <c r="J1984" i="1"/>
  <c r="J2015" i="1"/>
  <c r="J2076" i="1"/>
  <c r="J2073" i="1"/>
  <c r="J2070" i="1"/>
  <c r="D41" i="1"/>
  <c r="D47" i="1" s="1"/>
  <c r="D56" i="1" s="1"/>
  <c r="D84" i="1" s="1"/>
  <c r="D90" i="1" s="1"/>
  <c r="D99" i="1" s="1"/>
  <c r="D127" i="1" s="1"/>
  <c r="D133" i="1" s="1"/>
  <c r="D142" i="1" s="1"/>
  <c r="D170" i="1" s="1"/>
  <c r="D176" i="1" s="1"/>
  <c r="D185" i="1" s="1"/>
  <c r="D213" i="1" s="1"/>
  <c r="D219" i="1" s="1"/>
  <c r="D228" i="1" s="1"/>
  <c r="D256" i="1" s="1"/>
  <c r="D262" i="1" s="1"/>
  <c r="D271" i="1" s="1"/>
  <c r="D299" i="1" s="1"/>
  <c r="D305" i="1" s="1"/>
  <c r="D314" i="1" s="1"/>
  <c r="D342" i="1" s="1"/>
  <c r="D348" i="1" s="1"/>
  <c r="D357" i="1" s="1"/>
  <c r="D385" i="1" s="1"/>
  <c r="D391" i="1" s="1"/>
  <c r="D400" i="1" s="1"/>
  <c r="D428" i="1" s="1"/>
  <c r="D434" i="1" s="1"/>
  <c r="D443" i="1" s="1"/>
  <c r="D471" i="1" s="1"/>
  <c r="D477" i="1" s="1"/>
  <c r="D486" i="1" s="1"/>
  <c r="D514" i="1" s="1"/>
  <c r="D520" i="1" s="1"/>
  <c r="D529" i="1" s="1"/>
  <c r="D557" i="1" s="1"/>
  <c r="D563" i="1" s="1"/>
  <c r="D572" i="1" s="1"/>
  <c r="D600" i="1" s="1"/>
  <c r="D606" i="1" s="1"/>
  <c r="D615" i="1" s="1"/>
  <c r="D643" i="1" s="1"/>
  <c r="D649" i="1" s="1"/>
  <c r="D658" i="1" s="1"/>
  <c r="D686" i="1" s="1"/>
  <c r="D692" i="1" s="1"/>
  <c r="D701" i="1" s="1"/>
  <c r="D729" i="1" s="1"/>
  <c r="D735" i="1" s="1"/>
  <c r="D744" i="1" s="1"/>
  <c r="D772" i="1" s="1"/>
  <c r="D778" i="1" s="1"/>
  <c r="D787" i="1" s="1"/>
  <c r="D815" i="1" s="1"/>
  <c r="D821" i="1" s="1"/>
  <c r="D830" i="1" s="1"/>
  <c r="D858" i="1" s="1"/>
  <c r="D864" i="1" s="1"/>
  <c r="D873" i="1" s="1"/>
  <c r="D901" i="1" s="1"/>
  <c r="D907" i="1" s="1"/>
  <c r="D916" i="1" s="1"/>
  <c r="D944" i="1" s="1"/>
  <c r="D950" i="1" s="1"/>
  <c r="D959" i="1" s="1"/>
  <c r="D987" i="1" s="1"/>
  <c r="D993" i="1" s="1"/>
  <c r="D1002" i="1" s="1"/>
  <c r="D1030" i="1" s="1"/>
  <c r="D1036" i="1" s="1"/>
  <c r="D1045" i="1" s="1"/>
  <c r="D1073" i="1" s="1"/>
  <c r="D1079" i="1" s="1"/>
  <c r="D1088" i="1" s="1"/>
  <c r="D1116" i="1" s="1"/>
  <c r="D1122" i="1" s="1"/>
  <c r="D1131" i="1" s="1"/>
  <c r="D1159" i="1" s="1"/>
  <c r="D1165" i="1" s="1"/>
  <c r="D1174" i="1" s="1"/>
  <c r="D1202" i="1" s="1"/>
  <c r="D1208" i="1" s="1"/>
  <c r="D1217" i="1" s="1"/>
  <c r="D1245" i="1" s="1"/>
  <c r="D1251" i="1" s="1"/>
  <c r="D1260" i="1" s="1"/>
  <c r="D1288" i="1" s="1"/>
  <c r="D1294" i="1" s="1"/>
  <c r="D1303" i="1" s="1"/>
  <c r="D1331" i="1" s="1"/>
  <c r="D1337" i="1" s="1"/>
  <c r="D1346" i="1" s="1"/>
  <c r="D1374" i="1" s="1"/>
  <c r="D1380" i="1" s="1"/>
  <c r="D1389" i="1" s="1"/>
  <c r="D1417" i="1" s="1"/>
  <c r="D1423" i="1" s="1"/>
  <c r="D1432" i="1" s="1"/>
  <c r="D1460" i="1" s="1"/>
  <c r="D1466" i="1" s="1"/>
  <c r="D1475" i="1" s="1"/>
  <c r="D1503" i="1" s="1"/>
  <c r="D1509" i="1" s="1"/>
  <c r="D1518" i="1" s="1"/>
  <c r="D1546" i="1" s="1"/>
  <c r="D1552" i="1" s="1"/>
  <c r="D1561" i="1" s="1"/>
  <c r="D1589" i="1" s="1"/>
  <c r="D1595" i="1" s="1"/>
  <c r="D1604" i="1" s="1"/>
  <c r="D1632" i="1" s="1"/>
  <c r="D1638" i="1" s="1"/>
  <c r="D1647" i="1" s="1"/>
  <c r="D1675" i="1" s="1"/>
  <c r="D1681" i="1" s="1"/>
  <c r="D1690" i="1" s="1"/>
  <c r="D1718" i="1" s="1"/>
  <c r="D1724" i="1" s="1"/>
  <c r="D1733" i="1" s="1"/>
  <c r="D1761" i="1" s="1"/>
  <c r="D1767" i="1" s="1"/>
  <c r="D1776" i="1" s="1"/>
  <c r="D1804" i="1" s="1"/>
  <c r="D1810" i="1" s="1"/>
  <c r="D1819" i="1" s="1"/>
  <c r="D1847" i="1" s="1"/>
  <c r="D1853" i="1" s="1"/>
  <c r="D1862" i="1" s="1"/>
  <c r="D1890" i="1" s="1"/>
  <c r="D1896" i="1" s="1"/>
  <c r="D1905" i="1" s="1"/>
  <c r="D1933" i="1" s="1"/>
  <c r="D1939" i="1" s="1"/>
  <c r="D1948" i="1" s="1"/>
  <c r="D1976" i="1" s="1"/>
  <c r="D1982" i="1" s="1"/>
  <c r="D1991" i="1" s="1"/>
  <c r="D2019" i="1" s="1"/>
  <c r="D2025" i="1" s="1"/>
  <c r="D2034" i="1" s="1"/>
  <c r="D2062" i="1" s="1"/>
  <c r="D2068" i="1" s="1"/>
  <c r="D2077" i="1" s="1"/>
  <c r="D2105" i="1" s="1"/>
  <c r="D2111" i="1" s="1"/>
  <c r="D2120" i="1" s="1"/>
  <c r="D2148" i="1" s="1"/>
  <c r="D2154" i="1" s="1"/>
  <c r="D2163" i="1" s="1"/>
  <c r="D2191" i="1" s="1"/>
  <c r="U2102" i="1"/>
  <c r="U2096" i="1"/>
  <c r="U2090" i="1"/>
  <c r="U2084" i="1"/>
  <c r="AF2098" i="1"/>
  <c r="AF2092" i="1"/>
  <c r="AF2086" i="1"/>
  <c r="AF2080" i="1"/>
  <c r="AF2075" i="1"/>
  <c r="AF2069" i="1"/>
  <c r="AB600" i="1"/>
  <c r="AB606" i="1" s="1"/>
  <c r="AB615" i="1" s="1"/>
  <c r="AB643" i="1" s="1"/>
  <c r="AB649" i="1" s="1"/>
  <c r="AB658" i="1" s="1"/>
  <c r="AB686" i="1" s="1"/>
  <c r="AB692" i="1" s="1"/>
  <c r="AB701" i="1" s="1"/>
  <c r="AB729" i="1" s="1"/>
  <c r="AB735" i="1" s="1"/>
  <c r="AB744" i="1" s="1"/>
  <c r="AB772" i="1" s="1"/>
  <c r="AB778" i="1" s="1"/>
  <c r="AB787" i="1" s="1"/>
  <c r="AB815" i="1" s="1"/>
  <c r="AB821" i="1" s="1"/>
  <c r="AB830" i="1" s="1"/>
  <c r="AB858" i="1" s="1"/>
  <c r="AB864" i="1" s="1"/>
  <c r="AB873" i="1" s="1"/>
  <c r="AB901" i="1" s="1"/>
  <c r="AB907" i="1" s="1"/>
  <c r="AB916" i="1" s="1"/>
  <c r="AB944" i="1" s="1"/>
  <c r="AB950" i="1" s="1"/>
  <c r="AB959" i="1" s="1"/>
  <c r="AB987" i="1" s="1"/>
  <c r="AB993" i="1" s="1"/>
  <c r="AB1002" i="1" s="1"/>
  <c r="AB1030" i="1" s="1"/>
  <c r="AB1036" i="1" s="1"/>
  <c r="AB1045" i="1" s="1"/>
  <c r="AB1073" i="1" s="1"/>
  <c r="AB1079" i="1" s="1"/>
  <c r="AB1088" i="1" s="1"/>
  <c r="AB1116" i="1" s="1"/>
  <c r="AB1122" i="1" s="1"/>
  <c r="AB1131" i="1" s="1"/>
  <c r="AB1159" i="1" s="1"/>
  <c r="AB1165" i="1" s="1"/>
  <c r="AB1174" i="1" s="1"/>
  <c r="AB1202" i="1" s="1"/>
  <c r="AB1208" i="1" s="1"/>
  <c r="AB1217" i="1" s="1"/>
  <c r="AB1245" i="1" s="1"/>
  <c r="AB1251" i="1" s="1"/>
  <c r="AB1260" i="1" s="1"/>
  <c r="AB1288" i="1" s="1"/>
  <c r="AB1294" i="1" s="1"/>
  <c r="AB1303" i="1" s="1"/>
  <c r="AB1331" i="1" s="1"/>
  <c r="AB1337" i="1" s="1"/>
  <c r="AB1346" i="1" s="1"/>
  <c r="AB1374" i="1" s="1"/>
  <c r="AB1380" i="1" s="1"/>
  <c r="AB1389" i="1" s="1"/>
  <c r="AB1417" i="1" s="1"/>
  <c r="AB1423" i="1" s="1"/>
  <c r="AB1432" i="1" s="1"/>
  <c r="AB1460" i="1" s="1"/>
  <c r="AB1466" i="1" s="1"/>
  <c r="AB1475" i="1" s="1"/>
  <c r="AB1503" i="1" s="1"/>
  <c r="AB1509" i="1" s="1"/>
  <c r="AB1518" i="1" s="1"/>
  <c r="AB1546" i="1" s="1"/>
  <c r="AB1552" i="1" s="1"/>
  <c r="AB1561" i="1" s="1"/>
  <c r="AB1589" i="1" s="1"/>
  <c r="AB1595" i="1" s="1"/>
  <c r="AB1604" i="1" s="1"/>
  <c r="AB1632" i="1" s="1"/>
  <c r="AB1638" i="1" s="1"/>
  <c r="AB1647" i="1" s="1"/>
  <c r="AB1675" i="1" s="1"/>
  <c r="AB1681" i="1" s="1"/>
  <c r="AB1690" i="1" s="1"/>
  <c r="AB1718" i="1" s="1"/>
  <c r="AB1724" i="1" s="1"/>
  <c r="AB1733" i="1" s="1"/>
  <c r="AB1761" i="1" s="1"/>
  <c r="AB1767" i="1" s="1"/>
  <c r="AB1776" i="1" s="1"/>
  <c r="AB1804" i="1" s="1"/>
  <c r="AB1810" i="1" s="1"/>
  <c r="AB1819" i="1" s="1"/>
  <c r="AB1847" i="1" s="1"/>
  <c r="AB1853" i="1" s="1"/>
  <c r="AB1862" i="1" s="1"/>
  <c r="AB1890" i="1" s="1"/>
  <c r="AB1896" i="1" s="1"/>
  <c r="AB1905" i="1" s="1"/>
  <c r="AB1933" i="1" s="1"/>
  <c r="AB1939" i="1" s="1"/>
  <c r="AB1948" i="1" s="1"/>
  <c r="AB1976" i="1" s="1"/>
  <c r="AB1982" i="1" s="1"/>
  <c r="AB1991" i="1" s="1"/>
  <c r="AB2019" i="1" s="1"/>
  <c r="AB2025" i="1" s="1"/>
  <c r="AB2034" i="1" s="1"/>
  <c r="AB2062" i="1" s="1"/>
  <c r="AB2068" i="1" s="1"/>
  <c r="AB2077" i="1" s="1"/>
  <c r="AB2105" i="1" s="1"/>
  <c r="AB2111" i="1" s="1"/>
  <c r="AF1876" i="1"/>
  <c r="J2074" i="1"/>
  <c r="U2097" i="1"/>
  <c r="U2091" i="1"/>
  <c r="U2085" i="1"/>
  <c r="U2081" i="1"/>
  <c r="AF2093" i="1"/>
  <c r="AF2081" i="1"/>
  <c r="U1910" i="1"/>
  <c r="AF1916" i="1"/>
  <c r="AF1984" i="1"/>
  <c r="AF1990" i="1"/>
  <c r="AF2006" i="1"/>
  <c r="AF2012" i="1"/>
  <c r="U2031" i="1"/>
  <c r="T40" i="1"/>
  <c r="U553" i="1"/>
  <c r="AF866" i="1"/>
  <c r="AF910" i="1"/>
  <c r="AF913" i="1"/>
  <c r="AF920" i="1"/>
  <c r="AF923" i="1"/>
  <c r="AF932" i="1"/>
  <c r="AF935" i="1"/>
  <c r="J909" i="1"/>
  <c r="J912" i="1"/>
  <c r="J915" i="1"/>
  <c r="J925" i="1"/>
  <c r="J931" i="1"/>
  <c r="J934" i="1"/>
  <c r="J942" i="1"/>
  <c r="J869" i="1"/>
  <c r="AF954" i="1"/>
  <c r="AF958" i="1"/>
  <c r="AF971" i="1"/>
  <c r="AF977" i="1"/>
  <c r="AF980" i="1"/>
  <c r="AF984" i="1"/>
  <c r="J951" i="1"/>
  <c r="J965" i="1"/>
  <c r="J1105" i="1"/>
  <c r="J1108" i="1"/>
  <c r="J1114" i="1"/>
  <c r="AF1230" i="1"/>
  <c r="AE1459" i="1"/>
  <c r="J17" i="1"/>
  <c r="J937" i="1"/>
  <c r="AF1008" i="1"/>
  <c r="J1001" i="1"/>
  <c r="J1038" i="1"/>
  <c r="J1041" i="1"/>
  <c r="J1060" i="1"/>
  <c r="J1069" i="1"/>
  <c r="AF967" i="1"/>
  <c r="AF1123" i="1"/>
  <c r="AF1137" i="1"/>
  <c r="AF1143" i="1"/>
  <c r="AF1146" i="1"/>
  <c r="AF1149" i="1"/>
  <c r="AF1152" i="1"/>
  <c r="J1149" i="1"/>
  <c r="J1155" i="1"/>
  <c r="AF1157" i="1"/>
  <c r="J1166" i="1"/>
  <c r="J1169" i="1"/>
  <c r="J1179" i="1"/>
  <c r="J1188" i="1"/>
  <c r="AF1181" i="1"/>
  <c r="U1734" i="1"/>
  <c r="AF1682" i="1"/>
  <c r="J1684" i="1"/>
  <c r="AF1685" i="1"/>
  <c r="J1687" i="1"/>
  <c r="AF1688" i="1"/>
  <c r="J1691" i="1"/>
  <c r="J1694" i="1"/>
  <c r="AF1695" i="1"/>
  <c r="J1697" i="1"/>
  <c r="AF1698" i="1"/>
  <c r="J1700" i="1"/>
  <c r="AF1701" i="1"/>
  <c r="J1703" i="1"/>
  <c r="AF1704" i="1"/>
  <c r="J1706" i="1"/>
  <c r="AF1707" i="1"/>
  <c r="J1709" i="1"/>
  <c r="AF1710" i="1"/>
  <c r="J1712" i="1"/>
  <c r="AF1713" i="1"/>
  <c r="J1715" i="1"/>
  <c r="AF1716" i="1"/>
  <c r="J1727" i="1"/>
  <c r="AF1728" i="1"/>
  <c r="J1730" i="1"/>
  <c r="J1513" i="1"/>
  <c r="AF1527" i="1"/>
  <c r="AF1533" i="1"/>
  <c r="AF1536" i="1"/>
  <c r="J1743" i="1"/>
  <c r="J1746" i="1"/>
  <c r="J1749" i="1"/>
  <c r="J1752" i="1"/>
  <c r="J1755" i="1"/>
  <c r="J1758" i="1"/>
  <c r="I1459" i="1"/>
  <c r="AF1863" i="1"/>
  <c r="AF1553" i="1"/>
  <c r="J1555" i="1"/>
  <c r="J1558" i="1"/>
  <c r="AF1559" i="1"/>
  <c r="AF1563" i="1"/>
  <c r="J1565" i="1"/>
  <c r="J1567" i="1"/>
  <c r="AF1568" i="1"/>
  <c r="J1570" i="1"/>
  <c r="AF1571" i="1"/>
  <c r="AF1574" i="1"/>
  <c r="J1576" i="1"/>
  <c r="AF1577" i="1"/>
  <c r="J1579" i="1"/>
  <c r="AF1580" i="1"/>
  <c r="AF1583" i="1"/>
  <c r="J1585" i="1"/>
  <c r="AF1586" i="1"/>
  <c r="J1648" i="1"/>
  <c r="AF1649" i="1"/>
  <c r="J1656" i="1"/>
  <c r="AF1657" i="1"/>
  <c r="J1659" i="1"/>
  <c r="J1662" i="1"/>
  <c r="AF1663" i="1"/>
  <c r="J1665" i="1"/>
  <c r="AF1666" i="1"/>
  <c r="J1668" i="1"/>
  <c r="AF1669" i="1"/>
  <c r="J1671" i="1"/>
  <c r="AF1672" i="1"/>
  <c r="J1689" i="1"/>
  <c r="J1796" i="1"/>
  <c r="J1768" i="1"/>
  <c r="J1769" i="1"/>
  <c r="J1772" i="1"/>
  <c r="J1773" i="1"/>
  <c r="J1774" i="1"/>
  <c r="J1775" i="1"/>
  <c r="J1777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J1740" i="1"/>
  <c r="U1796" i="1"/>
  <c r="U1797" i="1"/>
  <c r="U1798" i="1"/>
  <c r="U1799" i="1"/>
  <c r="U1800" i="1"/>
  <c r="U1801" i="1"/>
  <c r="U1802" i="1"/>
  <c r="AF1811" i="1"/>
  <c r="AF1812" i="1"/>
  <c r="AF1813" i="1"/>
  <c r="AF1816" i="1"/>
  <c r="AF1817" i="1"/>
  <c r="J1823" i="1"/>
  <c r="J1824" i="1"/>
  <c r="J1825" i="1"/>
  <c r="J1829" i="1"/>
  <c r="J1830" i="1"/>
  <c r="J1831" i="1"/>
  <c r="J1854" i="1"/>
  <c r="J1855" i="1"/>
  <c r="U1856" i="1"/>
  <c r="U1857" i="1"/>
  <c r="U1858" i="1"/>
  <c r="AF1859" i="1"/>
  <c r="AF1860" i="1"/>
  <c r="AF1861" i="1"/>
  <c r="U1867" i="1"/>
  <c r="U1868" i="1"/>
  <c r="AF1869" i="1"/>
  <c r="AF1870" i="1"/>
  <c r="AF1871" i="1"/>
  <c r="AF1872" i="1"/>
  <c r="AF1873" i="1"/>
  <c r="AF1874" i="1"/>
  <c r="AF1875" i="1"/>
  <c r="AF1877" i="1"/>
  <c r="AF1878" i="1"/>
  <c r="AF1879" i="1"/>
  <c r="AF1880" i="1"/>
  <c r="AF1881" i="1"/>
  <c r="AF1882" i="1"/>
  <c r="AF1883" i="1"/>
  <c r="AF1884" i="1"/>
  <c r="AF1885" i="1"/>
  <c r="AF1886" i="1"/>
  <c r="J1888" i="1"/>
  <c r="J1835" i="1"/>
  <c r="J1836" i="1"/>
  <c r="J1837" i="1"/>
  <c r="J1841" i="1"/>
  <c r="J1859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AF1844" i="1"/>
  <c r="AF1845" i="1"/>
  <c r="U1854" i="1"/>
  <c r="AF1856" i="1"/>
  <c r="AF1858" i="1"/>
  <c r="J1860" i="1"/>
  <c r="J1863" i="1"/>
  <c r="U1865" i="1"/>
  <c r="AF1866" i="1"/>
  <c r="J1870" i="1"/>
  <c r="J1871" i="1"/>
  <c r="J1873" i="1"/>
  <c r="J1876" i="1"/>
  <c r="J1877" i="1"/>
  <c r="J1879" i="1"/>
  <c r="J1882" i="1"/>
  <c r="J1883" i="1"/>
  <c r="J1885" i="1"/>
  <c r="U1888" i="1"/>
  <c r="J1844" i="1"/>
  <c r="AF1955" i="1"/>
  <c r="AF1960" i="1"/>
  <c r="AF1965" i="1"/>
  <c r="AF1900" i="1"/>
  <c r="U2039" i="1"/>
  <c r="U2046" i="1"/>
  <c r="U2047" i="1"/>
  <c r="U2048" i="1"/>
  <c r="U2050" i="1"/>
  <c r="U2051" i="1"/>
  <c r="U2052" i="1"/>
  <c r="U2053" i="1"/>
  <c r="U2057" i="1"/>
  <c r="U2058" i="1"/>
  <c r="AF2059" i="1"/>
  <c r="AF2060" i="1"/>
  <c r="AF1969" i="1"/>
  <c r="AF1974" i="1"/>
  <c r="U2007" i="1"/>
  <c r="J2000" i="1"/>
  <c r="AF2036" i="1"/>
  <c r="AF2042" i="1"/>
  <c r="AF2045" i="1"/>
  <c r="AF2046" i="1"/>
  <c r="AF2047" i="1"/>
  <c r="AF2048" i="1"/>
  <c r="AF2049" i="1"/>
  <c r="AF2053" i="1"/>
  <c r="AF2054" i="1"/>
  <c r="AF2055" i="1"/>
  <c r="AF2056" i="1"/>
  <c r="AF2057" i="1"/>
  <c r="AF2058" i="1"/>
  <c r="J2060" i="1"/>
  <c r="U2099" i="1"/>
  <c r="U2093" i="1"/>
  <c r="U2087" i="1"/>
  <c r="J2004" i="1"/>
  <c r="J2007" i="1"/>
  <c r="J1960" i="1"/>
  <c r="U2060" i="1"/>
  <c r="AA642" i="1"/>
  <c r="J8" i="1"/>
  <c r="J5" i="1"/>
  <c r="J7" i="1"/>
  <c r="AF1476" i="1"/>
  <c r="AF1557" i="1"/>
  <c r="AF1564" i="1"/>
  <c r="J1568" i="1"/>
  <c r="J1571" i="1"/>
  <c r="J1574" i="1"/>
  <c r="J1577" i="1"/>
  <c r="J1580" i="1"/>
  <c r="J1583" i="1"/>
  <c r="U445" i="1"/>
  <c r="E900" i="1"/>
  <c r="J763" i="1"/>
  <c r="AF1011" i="1"/>
  <c r="J1011" i="1"/>
  <c r="J1017" i="1"/>
  <c r="AF1046" i="1"/>
  <c r="AF1135" i="1"/>
  <c r="AF1214" i="1"/>
  <c r="AF1511" i="1"/>
  <c r="J1516" i="1"/>
  <c r="J1523" i="1"/>
  <c r="J1526" i="1"/>
  <c r="J1529" i="1"/>
  <c r="J1532" i="1"/>
  <c r="J1538" i="1"/>
  <c r="J1544" i="1"/>
  <c r="J1683" i="1"/>
  <c r="AF1684" i="1"/>
  <c r="J1686" i="1"/>
  <c r="AF1687" i="1"/>
  <c r="AF1691" i="1"/>
  <c r="AF1694" i="1"/>
  <c r="J1696" i="1"/>
  <c r="J1699" i="1"/>
  <c r="AF1700" i="1"/>
  <c r="J1702" i="1"/>
  <c r="AF1703" i="1"/>
  <c r="J1705" i="1"/>
  <c r="AF1706" i="1"/>
  <c r="J1708" i="1"/>
  <c r="AF1709" i="1"/>
  <c r="J1711" i="1"/>
  <c r="AF1712" i="1"/>
  <c r="J1714" i="1"/>
  <c r="T556" i="1"/>
  <c r="P513" i="1"/>
  <c r="J957" i="1"/>
  <c r="AF1042" i="1"/>
  <c r="AF1051" i="1"/>
  <c r="AF1066" i="1"/>
  <c r="AF1069" i="1"/>
  <c r="AF995" i="1"/>
  <c r="AF1095" i="1"/>
  <c r="AF1098" i="1"/>
  <c r="AF1113" i="1"/>
  <c r="AA1545" i="1"/>
  <c r="J1667" i="1"/>
  <c r="AF616" i="1"/>
  <c r="AF1599" i="1"/>
  <c r="J1614" i="1"/>
  <c r="J1620" i="1"/>
  <c r="E1717" i="1"/>
  <c r="I1717" i="1"/>
  <c r="T1760" i="1"/>
  <c r="U1691" i="1"/>
  <c r="U1694" i="1"/>
  <c r="U1697" i="1"/>
  <c r="U1700" i="1"/>
  <c r="U1703" i="1"/>
  <c r="U1706" i="1"/>
  <c r="U1712" i="1"/>
  <c r="U1715" i="1"/>
  <c r="U1726" i="1"/>
  <c r="U1729" i="1"/>
  <c r="U1732" i="1"/>
  <c r="U1742" i="1"/>
  <c r="U1745" i="1"/>
  <c r="U1748" i="1"/>
  <c r="P1846" i="1"/>
  <c r="AA1846" i="1"/>
  <c r="J1842" i="1"/>
  <c r="U1845" i="1"/>
  <c r="J1906" i="1"/>
  <c r="J1908" i="1"/>
  <c r="J1914" i="1"/>
  <c r="AF1920" i="1"/>
  <c r="AF1922" i="1"/>
  <c r="J1739" i="1"/>
  <c r="J1802" i="1"/>
  <c r="AF1887" i="1"/>
  <c r="U1906" i="1"/>
  <c r="U1940" i="1"/>
  <c r="U1941" i="1"/>
  <c r="U1942" i="1"/>
  <c r="U1943" i="1"/>
  <c r="U1944" i="1"/>
  <c r="U1945" i="1"/>
  <c r="U1946" i="1"/>
  <c r="U1947" i="1"/>
  <c r="U1949" i="1"/>
  <c r="AF1904" i="1"/>
  <c r="AF1909" i="1"/>
  <c r="AF1911" i="1"/>
  <c r="AF1915" i="1"/>
  <c r="J1917" i="1"/>
  <c r="U1918" i="1"/>
  <c r="U1924" i="1"/>
  <c r="U1925" i="1"/>
  <c r="J1930" i="1"/>
  <c r="AF1931" i="1"/>
  <c r="AF1868" i="1"/>
  <c r="AF1941" i="1"/>
  <c r="AF1946" i="1"/>
  <c r="AA1975" i="1"/>
  <c r="AF1950" i="1"/>
  <c r="AF1951" i="1"/>
  <c r="AF1952" i="1"/>
  <c r="AF1953" i="1"/>
  <c r="AF1954" i="1"/>
  <c r="AF1956" i="1"/>
  <c r="AF1957" i="1"/>
  <c r="AF1958" i="1"/>
  <c r="AF1959" i="1"/>
  <c r="AF1961" i="1"/>
  <c r="J1952" i="1"/>
  <c r="J1954" i="1"/>
  <c r="J1958" i="1"/>
  <c r="J1964" i="1"/>
  <c r="J1966" i="1"/>
  <c r="J1970" i="1"/>
  <c r="J1972" i="1"/>
  <c r="J1973" i="1"/>
  <c r="J1945" i="1"/>
  <c r="U1960" i="1"/>
  <c r="U1969" i="1"/>
  <c r="U2028" i="1"/>
  <c r="AF1999" i="1"/>
  <c r="AF2002" i="1"/>
  <c r="AF2005" i="1"/>
  <c r="AF2011" i="1"/>
  <c r="AF2017" i="1"/>
  <c r="AF1962" i="1"/>
  <c r="AF1963" i="1"/>
  <c r="AF1964" i="1"/>
  <c r="AF1966" i="1"/>
  <c r="AF1967" i="1"/>
  <c r="AF1968" i="1"/>
  <c r="AF1970" i="1"/>
  <c r="AF1971" i="1"/>
  <c r="AF1972" i="1"/>
  <c r="AF1973" i="1"/>
  <c r="U1995" i="1"/>
  <c r="U1998" i="1"/>
  <c r="U2001" i="1"/>
  <c r="U2004" i="1"/>
  <c r="J1987" i="1"/>
  <c r="J1990" i="1"/>
  <c r="J1994" i="1"/>
  <c r="J2003" i="1"/>
  <c r="J2006" i="1"/>
  <c r="J2009" i="1"/>
  <c r="J2100" i="1"/>
  <c r="J2088" i="1"/>
  <c r="Q1718" i="1"/>
  <c r="Q1724" i="1" s="1"/>
  <c r="Q1733" i="1" s="1"/>
  <c r="Q1761" i="1" s="1"/>
  <c r="Q1767" i="1" s="1"/>
  <c r="Q1776" i="1" s="1"/>
  <c r="Q1804" i="1" s="1"/>
  <c r="Q1810" i="1" s="1"/>
  <c r="Q1819" i="1" s="1"/>
  <c r="Q1847" i="1" s="1"/>
  <c r="Q1853" i="1" s="1"/>
  <c r="Q1862" i="1" s="1"/>
  <c r="Q1890" i="1" s="1"/>
  <c r="Q1896" i="1" s="1"/>
  <c r="Q1905" i="1" s="1"/>
  <c r="Q1933" i="1" s="1"/>
  <c r="Q1939" i="1" s="1"/>
  <c r="Q1948" i="1" s="1"/>
  <c r="Q1976" i="1" s="1"/>
  <c r="Q1982" i="1" s="1"/>
  <c r="Q1991" i="1" s="1"/>
  <c r="Q2019" i="1" s="1"/>
  <c r="Q2025" i="1" s="1"/>
  <c r="Q2034" i="1" s="1"/>
  <c r="Q2062" i="1" s="1"/>
  <c r="Q2068" i="1" s="1"/>
  <c r="Q2077" i="1" s="1"/>
  <c r="Q2105" i="1" s="1"/>
  <c r="Q2111" i="1" s="1"/>
  <c r="M1718" i="1"/>
  <c r="M1724" i="1" s="1"/>
  <c r="M1733" i="1" s="1"/>
  <c r="M1761" i="1" s="1"/>
  <c r="M1767" i="1" s="1"/>
  <c r="AF2073" i="1"/>
  <c r="AF2070" i="1"/>
  <c r="U2101" i="1"/>
  <c r="U2095" i="1"/>
  <c r="U2089" i="1"/>
  <c r="U2083" i="1"/>
  <c r="J2098" i="1"/>
  <c r="J2092" i="1"/>
  <c r="J2080" i="1"/>
  <c r="U2098" i="1"/>
  <c r="U2092" i="1"/>
  <c r="U2086" i="1"/>
  <c r="U2080" i="1"/>
  <c r="AF2100" i="1"/>
  <c r="AF2094" i="1"/>
  <c r="AF2088" i="1"/>
  <c r="AF2082" i="1"/>
  <c r="AF2102" i="1"/>
  <c r="AF2096" i="1"/>
  <c r="AF2090" i="1"/>
  <c r="AF2084" i="1"/>
  <c r="AF2074" i="1"/>
  <c r="AF2071" i="1"/>
  <c r="E1287" i="1"/>
  <c r="AE1502" i="1"/>
  <c r="AE1287" i="1"/>
  <c r="AF704" i="1"/>
  <c r="AE1717" i="1"/>
  <c r="AF1693" i="1"/>
  <c r="AA1158" i="1"/>
  <c r="J1306" i="1"/>
  <c r="AF1349" i="1"/>
  <c r="AF1556" i="1"/>
  <c r="J1573" i="1"/>
  <c r="J1582" i="1"/>
  <c r="AF1654" i="1"/>
  <c r="J1348" i="1"/>
  <c r="J1433" i="1"/>
  <c r="U235" i="1"/>
  <c r="AF1510" i="1"/>
  <c r="AF1513" i="1"/>
  <c r="J1515" i="1"/>
  <c r="AF1516" i="1"/>
  <c r="J1522" i="1"/>
  <c r="AF1523" i="1"/>
  <c r="J1525" i="1"/>
  <c r="AF1526" i="1"/>
  <c r="J1528" i="1"/>
  <c r="AF1529" i="1"/>
  <c r="J1531" i="1"/>
  <c r="AF1532" i="1"/>
  <c r="J1534" i="1"/>
  <c r="AF1535" i="1"/>
  <c r="J1537" i="1"/>
  <c r="AF1538" i="1"/>
  <c r="J1540" i="1"/>
  <c r="AF1541" i="1"/>
  <c r="J1543" i="1"/>
  <c r="AF1544" i="1"/>
  <c r="I1631" i="1"/>
  <c r="AE1631" i="1"/>
  <c r="J38" i="1"/>
  <c r="J33" i="1"/>
  <c r="U4" i="1"/>
  <c r="U10" i="1"/>
  <c r="U26" i="1"/>
  <c r="R41" i="1"/>
  <c r="R47" i="1" s="1"/>
  <c r="R56" i="1" s="1"/>
  <c r="R84" i="1" s="1"/>
  <c r="R90" i="1" s="1"/>
  <c r="R99" i="1" s="1"/>
  <c r="R127" i="1" s="1"/>
  <c r="R133" i="1" s="1"/>
  <c r="J105" i="1"/>
  <c r="J109" i="1"/>
  <c r="J122" i="1"/>
  <c r="U51" i="1"/>
  <c r="U164" i="1"/>
  <c r="J135" i="1"/>
  <c r="J296" i="1"/>
  <c r="J362" i="1"/>
  <c r="J371" i="1"/>
  <c r="J380" i="1"/>
  <c r="J394" i="1"/>
  <c r="J586" i="1"/>
  <c r="J598" i="1"/>
  <c r="U478" i="1"/>
  <c r="AF716" i="1"/>
  <c r="AE642" i="1"/>
  <c r="E814" i="1"/>
  <c r="J834" i="1"/>
  <c r="AF850" i="1"/>
  <c r="J884" i="1"/>
  <c r="AF928" i="1"/>
  <c r="AF934" i="1"/>
  <c r="J941" i="1"/>
  <c r="J975" i="1"/>
  <c r="AF1001" i="1"/>
  <c r="AF1017" i="1"/>
  <c r="J995" i="1"/>
  <c r="J1020" i="1"/>
  <c r="J1023" i="1"/>
  <c r="J1026" i="1"/>
  <c r="AF961" i="1"/>
  <c r="AA1029" i="1"/>
  <c r="E1072" i="1"/>
  <c r="J1085" i="1"/>
  <c r="J1101" i="1"/>
  <c r="J1113" i="1"/>
  <c r="AF1087" i="1"/>
  <c r="AF1097" i="1"/>
  <c r="AF1106" i="1"/>
  <c r="AF1190" i="1"/>
  <c r="AF1226" i="1"/>
  <c r="J1235" i="1"/>
  <c r="J1229" i="1"/>
  <c r="AE1588" i="1"/>
  <c r="AF1650" i="1"/>
  <c r="J1501" i="1"/>
  <c r="I13" i="1"/>
  <c r="J9" i="1"/>
  <c r="J31" i="1"/>
  <c r="O41" i="1"/>
  <c r="O47" i="1" s="1"/>
  <c r="O56" i="1" s="1"/>
  <c r="O84" i="1" s="1"/>
  <c r="O90" i="1" s="1"/>
  <c r="O99" i="1" s="1"/>
  <c r="O127" i="1" s="1"/>
  <c r="O133" i="1" s="1"/>
  <c r="O142" i="1" s="1"/>
  <c r="O170" i="1" s="1"/>
  <c r="O176" i="1" s="1"/>
  <c r="O185" i="1" s="1"/>
  <c r="O213" i="1" s="1"/>
  <c r="O219" i="1" s="1"/>
  <c r="O228" i="1" s="1"/>
  <c r="O256" i="1" s="1"/>
  <c r="O262" i="1" s="1"/>
  <c r="O271" i="1" s="1"/>
  <c r="O299" i="1" s="1"/>
  <c r="O305" i="1" s="1"/>
  <c r="O314" i="1" s="1"/>
  <c r="O342" i="1" s="1"/>
  <c r="O348" i="1" s="1"/>
  <c r="O357" i="1" s="1"/>
  <c r="O385" i="1" s="1"/>
  <c r="O391" i="1" s="1"/>
  <c r="O400" i="1" s="1"/>
  <c r="O428" i="1" s="1"/>
  <c r="O434" i="1" s="1"/>
  <c r="O443" i="1" s="1"/>
  <c r="O471" i="1" s="1"/>
  <c r="O477" i="1" s="1"/>
  <c r="O486" i="1" s="1"/>
  <c r="O514" i="1" s="1"/>
  <c r="O520" i="1" s="1"/>
  <c r="O529" i="1" s="1"/>
  <c r="O557" i="1" s="1"/>
  <c r="O563" i="1" s="1"/>
  <c r="O572" i="1" s="1"/>
  <c r="O600" i="1" s="1"/>
  <c r="U21" i="1"/>
  <c r="U68" i="1"/>
  <c r="U71" i="1"/>
  <c r="U119" i="1"/>
  <c r="U77" i="1"/>
  <c r="U277" i="1"/>
  <c r="U280" i="1"/>
  <c r="U286" i="1"/>
  <c r="U289" i="1"/>
  <c r="U292" i="1"/>
  <c r="U245" i="1"/>
  <c r="J263" i="1"/>
  <c r="J294" i="1"/>
  <c r="J297" i="1"/>
  <c r="J307" i="1"/>
  <c r="J335" i="1"/>
  <c r="J353" i="1"/>
  <c r="J414" i="1"/>
  <c r="J423" i="1"/>
  <c r="J426" i="1"/>
  <c r="J565" i="1"/>
  <c r="J568" i="1"/>
  <c r="J578" i="1"/>
  <c r="J581" i="1"/>
  <c r="AF576" i="1"/>
  <c r="AF632" i="1"/>
  <c r="AF656" i="1"/>
  <c r="AF699" i="1"/>
  <c r="J761" i="1"/>
  <c r="J823" i="1"/>
  <c r="J826" i="1"/>
  <c r="J838" i="1"/>
  <c r="AF896" i="1"/>
  <c r="AF834" i="1"/>
  <c r="J882" i="1"/>
  <c r="AF926" i="1"/>
  <c r="AF938" i="1"/>
  <c r="J922" i="1"/>
  <c r="J954" i="1"/>
  <c r="J979" i="1"/>
  <c r="J982" i="1"/>
  <c r="J1018" i="1"/>
  <c r="J1021" i="1"/>
  <c r="AF1060" i="1"/>
  <c r="AF1101" i="1"/>
  <c r="J1520" i="1"/>
  <c r="J1535" i="1"/>
  <c r="J1541" i="1"/>
  <c r="AF1472" i="1"/>
  <c r="J1597" i="1"/>
  <c r="AF1598" i="1"/>
  <c r="J1600" i="1"/>
  <c r="AF1601" i="1"/>
  <c r="J1603" i="1"/>
  <c r="J1607" i="1"/>
  <c r="AF1608" i="1"/>
  <c r="J1610" i="1"/>
  <c r="AF1611" i="1"/>
  <c r="J1613" i="1"/>
  <c r="AF1614" i="1"/>
  <c r="J1616" i="1"/>
  <c r="AF1617" i="1"/>
  <c r="J1619" i="1"/>
  <c r="AF1620" i="1"/>
  <c r="J1622" i="1"/>
  <c r="AF1623" i="1"/>
  <c r="J1625" i="1"/>
  <c r="AF1626" i="1"/>
  <c r="J1628" i="1"/>
  <c r="AF1629" i="1"/>
  <c r="J1639" i="1"/>
  <c r="AF1640" i="1"/>
  <c r="J1642" i="1"/>
  <c r="AF1643" i="1"/>
  <c r="J1645" i="1"/>
  <c r="AF1646" i="1"/>
  <c r="J1651" i="1"/>
  <c r="AF1652" i="1"/>
  <c r="J1741" i="1"/>
  <c r="J1738" i="1"/>
  <c r="AF1820" i="1"/>
  <c r="AE1846" i="1"/>
  <c r="J1726" i="1"/>
  <c r="AF1727" i="1"/>
  <c r="J1729" i="1"/>
  <c r="AF1730" i="1"/>
  <c r="J1732" i="1"/>
  <c r="AF1738" i="1"/>
  <c r="AF1744" i="1"/>
  <c r="AF1747" i="1"/>
  <c r="U1684" i="1"/>
  <c r="U1687" i="1"/>
  <c r="U1709" i="1"/>
  <c r="U1736" i="1"/>
  <c r="U1739" i="1"/>
  <c r="U1754" i="1"/>
  <c r="U1757" i="1"/>
  <c r="AF1778" i="1"/>
  <c r="AE1803" i="1"/>
  <c r="AF1735" i="1"/>
  <c r="J1797" i="1"/>
  <c r="J1798" i="1"/>
  <c r="J1799" i="1"/>
  <c r="J1800" i="1"/>
  <c r="J1801" i="1"/>
  <c r="E1846" i="1"/>
  <c r="AF1739" i="1"/>
  <c r="J1742" i="1"/>
  <c r="J1745" i="1"/>
  <c r="AF1746" i="1"/>
  <c r="J1748" i="1"/>
  <c r="J1751" i="1"/>
  <c r="AF1752" i="1"/>
  <c r="J1754" i="1"/>
  <c r="J1757" i="1"/>
  <c r="AF1758" i="1"/>
  <c r="J1685" i="1"/>
  <c r="AF1689" i="1"/>
  <c r="AF1696" i="1"/>
  <c r="J1698" i="1"/>
  <c r="J1701" i="1"/>
  <c r="J1704" i="1"/>
  <c r="J1707" i="1"/>
  <c r="AF1708" i="1"/>
  <c r="J1710" i="1"/>
  <c r="J1713" i="1"/>
  <c r="AF1740" i="1"/>
  <c r="U1681" i="1"/>
  <c r="J1779" i="1"/>
  <c r="J1794" i="1"/>
  <c r="P1803" i="1"/>
  <c r="U1811" i="1"/>
  <c r="U1812" i="1"/>
  <c r="U1813" i="1"/>
  <c r="U1814" i="1"/>
  <c r="U1815" i="1"/>
  <c r="U1816" i="1"/>
  <c r="U1817" i="1"/>
  <c r="U1818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J1770" i="1"/>
  <c r="AF1814" i="1"/>
  <c r="AF1815" i="1"/>
  <c r="AF1818" i="1"/>
  <c r="J1821" i="1"/>
  <c r="J1822" i="1"/>
  <c r="J1826" i="1"/>
  <c r="J1827" i="1"/>
  <c r="J1828" i="1"/>
  <c r="J1833" i="1"/>
  <c r="J1834" i="1"/>
  <c r="J1839" i="1"/>
  <c r="J1840" i="1"/>
  <c r="E1889" i="1"/>
  <c r="J1817" i="1"/>
  <c r="AF1864" i="1"/>
  <c r="AA1889" i="1"/>
  <c r="U1855" i="1"/>
  <c r="AF1857" i="1"/>
  <c r="J1861" i="1"/>
  <c r="J1864" i="1"/>
  <c r="AF1867" i="1"/>
  <c r="J1869" i="1"/>
  <c r="J1872" i="1"/>
  <c r="J1874" i="1"/>
  <c r="J1875" i="1"/>
  <c r="J1878" i="1"/>
  <c r="J1880" i="1"/>
  <c r="J1881" i="1"/>
  <c r="J1884" i="1"/>
  <c r="J1886" i="1"/>
  <c r="J1887" i="1"/>
  <c r="AF1917" i="1"/>
  <c r="AE1932" i="1"/>
  <c r="U1966" i="1"/>
  <c r="U1967" i="1"/>
  <c r="U1968" i="1"/>
  <c r="U1970" i="1"/>
  <c r="U1971" i="1"/>
  <c r="U1972" i="1"/>
  <c r="U1973" i="1"/>
  <c r="U1974" i="1"/>
  <c r="J1856" i="1"/>
  <c r="J1857" i="1"/>
  <c r="J1858" i="1"/>
  <c r="U1859" i="1"/>
  <c r="U1860" i="1"/>
  <c r="U1861" i="1"/>
  <c r="U1864" i="1"/>
  <c r="J1867" i="1"/>
  <c r="J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AF1888" i="1"/>
  <c r="U1897" i="1"/>
  <c r="U1898" i="1"/>
  <c r="U1899" i="1"/>
  <c r="U1900" i="1"/>
  <c r="U1901" i="1"/>
  <c r="U1902" i="1"/>
  <c r="U1903" i="1"/>
  <c r="U1904" i="1"/>
  <c r="T1932" i="1"/>
  <c r="U1907" i="1"/>
  <c r="U1908" i="1"/>
  <c r="U1909" i="1"/>
  <c r="U1911" i="1"/>
  <c r="U1912" i="1"/>
  <c r="U1913" i="1"/>
  <c r="U1914" i="1"/>
  <c r="U1915" i="1"/>
  <c r="J1919" i="1"/>
  <c r="J1920" i="1"/>
  <c r="J1921" i="1"/>
  <c r="J1922" i="1"/>
  <c r="J1923" i="1"/>
  <c r="J1924" i="1"/>
  <c r="J1925" i="1"/>
  <c r="J1926" i="1"/>
  <c r="J1927" i="1"/>
  <c r="J1928" i="1"/>
  <c r="AF1929" i="1"/>
  <c r="J1931" i="1"/>
  <c r="J1865" i="1"/>
  <c r="AF1898" i="1"/>
  <c r="AF1902" i="1"/>
  <c r="AF1903" i="1"/>
  <c r="AF1906" i="1"/>
  <c r="AF1907" i="1"/>
  <c r="AF1908" i="1"/>
  <c r="AF1912" i="1"/>
  <c r="AF1913" i="1"/>
  <c r="U1920" i="1"/>
  <c r="U1922" i="1"/>
  <c r="U1926" i="1"/>
  <c r="U1927" i="1"/>
  <c r="AF1940" i="1"/>
  <c r="AF1942" i="1"/>
  <c r="AF1944" i="1"/>
  <c r="AF1945" i="1"/>
  <c r="AF1947" i="1"/>
  <c r="AF1949" i="1"/>
  <c r="E1932" i="1"/>
  <c r="AE1975" i="1"/>
  <c r="T2018" i="1"/>
  <c r="U1996" i="1"/>
  <c r="U1999" i="1"/>
  <c r="U2002" i="1"/>
  <c r="U2005" i="1"/>
  <c r="U2008" i="1"/>
  <c r="U1916" i="1"/>
  <c r="U1990" i="1"/>
  <c r="U1997" i="1"/>
  <c r="U2000" i="1"/>
  <c r="U2003" i="1"/>
  <c r="U2006" i="1"/>
  <c r="U2009" i="1"/>
  <c r="U2012" i="1"/>
  <c r="U2015" i="1"/>
  <c r="J1983" i="1"/>
  <c r="J1986" i="1"/>
  <c r="J1989" i="1"/>
  <c r="J1996" i="1"/>
  <c r="J1999" i="1"/>
  <c r="J2002" i="1"/>
  <c r="J2005" i="1"/>
  <c r="J2008" i="1"/>
  <c r="J2011" i="1"/>
  <c r="J2014" i="1"/>
  <c r="J2017" i="1"/>
  <c r="U2011" i="1"/>
  <c r="J1985" i="1"/>
  <c r="J1988" i="1"/>
  <c r="J1995" i="1"/>
  <c r="J1998" i="1"/>
  <c r="J2001" i="1"/>
  <c r="J2010" i="1"/>
  <c r="J2013" i="1"/>
  <c r="J2016" i="1"/>
  <c r="AF1994" i="1"/>
  <c r="AF2009" i="1"/>
  <c r="AF2015" i="1"/>
  <c r="J2026" i="1"/>
  <c r="J2027" i="1"/>
  <c r="J2028" i="1"/>
  <c r="AF2029" i="1"/>
  <c r="J2031" i="1"/>
  <c r="U2032" i="1"/>
  <c r="U2033" i="1"/>
  <c r="AF2035" i="1"/>
  <c r="AF2037" i="1"/>
  <c r="AF2039" i="1"/>
  <c r="AF2040" i="1"/>
  <c r="AF2043" i="1"/>
  <c r="AF2044" i="1"/>
  <c r="U1986" i="1"/>
  <c r="AF1983" i="1"/>
  <c r="AF1986" i="1"/>
  <c r="AF1989" i="1"/>
  <c r="AF1993" i="1"/>
  <c r="AF2008" i="1"/>
  <c r="AF2014" i="1"/>
  <c r="U1984" i="1"/>
  <c r="J2102" i="1"/>
  <c r="J2096" i="1"/>
  <c r="J2090" i="1"/>
  <c r="J2084" i="1"/>
  <c r="AF2026" i="1"/>
  <c r="AF2027" i="1"/>
  <c r="J2029" i="1"/>
  <c r="J2032" i="1"/>
  <c r="U2037" i="1"/>
  <c r="U2040" i="1"/>
  <c r="U2044" i="1"/>
  <c r="U2030" i="1"/>
  <c r="U2072" i="1"/>
  <c r="U2103" i="1"/>
  <c r="N1718" i="1"/>
  <c r="N1724" i="1" s="1"/>
  <c r="Y600" i="1"/>
  <c r="Y606" i="1" s="1"/>
  <c r="Y615" i="1" s="1"/>
  <c r="Y643" i="1" s="1"/>
  <c r="Y649" i="1" s="1"/>
  <c r="U2100" i="1"/>
  <c r="U2094" i="1"/>
  <c r="U2088" i="1"/>
  <c r="U2082" i="1"/>
  <c r="AF2078" i="1"/>
  <c r="O1718" i="1"/>
  <c r="O1724" i="1" s="1"/>
  <c r="O1733" i="1" s="1"/>
  <c r="O1761" i="1" s="1"/>
  <c r="O1767" i="1" s="1"/>
  <c r="O1776" i="1" s="1"/>
  <c r="O1804" i="1" s="1"/>
  <c r="O1810" i="1" s="1"/>
  <c r="O1819" i="1" s="1"/>
  <c r="O1847" i="1" s="1"/>
  <c r="O1853" i="1" s="1"/>
  <c r="O1862" i="1" s="1"/>
  <c r="O1890" i="1" s="1"/>
  <c r="O1896" i="1" s="1"/>
  <c r="O1905" i="1" s="1"/>
  <c r="O1933" i="1" s="1"/>
  <c r="O1939" i="1" s="1"/>
  <c r="O1948" i="1" s="1"/>
  <c r="O1976" i="1" s="1"/>
  <c r="O1982" i="1" s="1"/>
  <c r="O1991" i="1" s="1"/>
  <c r="O2019" i="1" s="1"/>
  <c r="O2025" i="1" s="1"/>
  <c r="O2034" i="1" s="1"/>
  <c r="O2062" i="1" s="1"/>
  <c r="O2068" i="1" s="1"/>
  <c r="O2077" i="1" s="1"/>
  <c r="O2105" i="1" s="1"/>
  <c r="O2111" i="1" s="1"/>
  <c r="O2120" i="1" s="1"/>
  <c r="O2148" i="1" s="1"/>
  <c r="O2154" i="1" s="1"/>
  <c r="O2163" i="1" s="1"/>
  <c r="O2191" i="1" s="1"/>
  <c r="AF2103" i="1"/>
  <c r="AF2097" i="1"/>
  <c r="AF2091" i="1"/>
  <c r="AF2085" i="1"/>
  <c r="AF2079" i="1"/>
  <c r="X600" i="1"/>
  <c r="X606" i="1" s="1"/>
  <c r="X615" i="1" s="1"/>
  <c r="X643" i="1" s="1"/>
  <c r="X649" i="1" s="1"/>
  <c r="X658" i="1" s="1"/>
  <c r="X686" i="1" s="1"/>
  <c r="X692" i="1" s="1"/>
  <c r="X701" i="1" s="1"/>
  <c r="X729" i="1" s="1"/>
  <c r="X735" i="1" s="1"/>
  <c r="X744" i="1" s="1"/>
  <c r="X772" i="1" s="1"/>
  <c r="X778" i="1" s="1"/>
  <c r="X787" i="1" s="1"/>
  <c r="X815" i="1" s="1"/>
  <c r="X821" i="1" s="1"/>
  <c r="X830" i="1" s="1"/>
  <c r="X858" i="1" s="1"/>
  <c r="X864" i="1" s="1"/>
  <c r="X873" i="1" s="1"/>
  <c r="X901" i="1" s="1"/>
  <c r="X907" i="1" s="1"/>
  <c r="X916" i="1" s="1"/>
  <c r="X944" i="1" s="1"/>
  <c r="X950" i="1" s="1"/>
  <c r="I2061" i="1"/>
  <c r="I83" i="1"/>
  <c r="J1512" i="1"/>
  <c r="AF1520" i="1"/>
  <c r="I1545" i="1"/>
  <c r="J1519" i="1"/>
  <c r="J1048" i="1"/>
  <c r="E40" i="1"/>
  <c r="I943" i="1"/>
  <c r="J39" i="1"/>
  <c r="I298" i="1"/>
  <c r="I341" i="1"/>
  <c r="J1498" i="1"/>
  <c r="J1655" i="1"/>
  <c r="J1661" i="1"/>
  <c r="J1456" i="1"/>
  <c r="J1510" i="1"/>
  <c r="AF1514" i="1"/>
  <c r="AF1517" i="1"/>
  <c r="J4" i="1"/>
  <c r="J10" i="1"/>
  <c r="J15" i="1"/>
  <c r="AF1482" i="1"/>
  <c r="J1511" i="1"/>
  <c r="AF1512" i="1"/>
  <c r="J1514" i="1"/>
  <c r="AF1515" i="1"/>
  <c r="J1517" i="1"/>
  <c r="AF1519" i="1"/>
  <c r="AF1522" i="1"/>
  <c r="J1524" i="1"/>
  <c r="AF1525" i="1"/>
  <c r="J1527" i="1"/>
  <c r="AF1528" i="1"/>
  <c r="J1530" i="1"/>
  <c r="AF1531" i="1"/>
  <c r="J1533" i="1"/>
  <c r="AF1534" i="1"/>
  <c r="J1536" i="1"/>
  <c r="AF1537" i="1"/>
  <c r="J1539" i="1"/>
  <c r="AF1540" i="1"/>
  <c r="J1542" i="1"/>
  <c r="AF1543" i="1"/>
  <c r="J1554" i="1"/>
  <c r="AF1555" i="1"/>
  <c r="J1557" i="1"/>
  <c r="AF1558" i="1"/>
  <c r="J1560" i="1"/>
  <c r="J1564" i="1"/>
  <c r="AF1565" i="1"/>
  <c r="AF1567" i="1"/>
  <c r="J1569" i="1"/>
  <c r="AF1570" i="1"/>
  <c r="J1572" i="1"/>
  <c r="AF1573" i="1"/>
  <c r="J1575" i="1"/>
  <c r="AF1576" i="1"/>
  <c r="J1578" i="1"/>
  <c r="AF1579" i="1"/>
  <c r="J1581" i="1"/>
  <c r="AF1582" i="1"/>
  <c r="J1584" i="1"/>
  <c r="AF1585" i="1"/>
  <c r="J1587" i="1"/>
  <c r="J25" i="1"/>
  <c r="P40" i="1"/>
  <c r="M41" i="1"/>
  <c r="M47" i="1" s="1"/>
  <c r="M56" i="1" s="1"/>
  <c r="M84" i="1" s="1"/>
  <c r="M90" i="1" s="1"/>
  <c r="E83" i="1"/>
  <c r="P126" i="1"/>
  <c r="T126" i="1"/>
  <c r="E169" i="1"/>
  <c r="E255" i="1"/>
  <c r="P255" i="1"/>
  <c r="P341" i="1"/>
  <c r="T341" i="1"/>
  <c r="I384" i="1"/>
  <c r="T427" i="1"/>
  <c r="I427" i="1"/>
  <c r="E470" i="1"/>
  <c r="E642" i="1"/>
  <c r="AA728" i="1"/>
  <c r="I728" i="1"/>
  <c r="J745" i="1"/>
  <c r="I900" i="1"/>
  <c r="E943" i="1"/>
  <c r="AE1029" i="1"/>
  <c r="AA1072" i="1"/>
  <c r="J1042" i="1"/>
  <c r="J1058" i="1"/>
  <c r="J1080" i="1"/>
  <c r="J1083" i="1"/>
  <c r="E1115" i="1"/>
  <c r="I1115" i="1"/>
  <c r="AE1115" i="1"/>
  <c r="AF1134" i="1"/>
  <c r="AF1141" i="1"/>
  <c r="AF1147" i="1"/>
  <c r="AF1153" i="1"/>
  <c r="AF1156" i="1"/>
  <c r="J1125" i="1"/>
  <c r="E1158" i="1"/>
  <c r="J1135" i="1"/>
  <c r="J1141" i="1"/>
  <c r="J1144" i="1"/>
  <c r="J1147" i="1"/>
  <c r="J1156" i="1"/>
  <c r="AF1166" i="1"/>
  <c r="AF1171" i="1"/>
  <c r="J1167" i="1"/>
  <c r="J1180" i="1"/>
  <c r="J1189" i="1"/>
  <c r="J1195" i="1"/>
  <c r="J1198" i="1"/>
  <c r="AF1199" i="1"/>
  <c r="AF1195" i="1"/>
  <c r="AF1186" i="1"/>
  <c r="AF1183" i="1"/>
  <c r="AE1201" i="1"/>
  <c r="AF1168" i="1"/>
  <c r="AF1197" i="1"/>
  <c r="AA1244" i="1"/>
  <c r="AF1216" i="1"/>
  <c r="J1243" i="1"/>
  <c r="J1225" i="1"/>
  <c r="J1239" i="1"/>
  <c r="J1209" i="1"/>
  <c r="AE1545" i="1"/>
  <c r="AF1471" i="1"/>
  <c r="J1601" i="1"/>
  <c r="AF1602" i="1"/>
  <c r="AF1609" i="1"/>
  <c r="J1611" i="1"/>
  <c r="AF1612" i="1"/>
  <c r="AF1615" i="1"/>
  <c r="J1617" i="1"/>
  <c r="AF1618" i="1"/>
  <c r="AF1621" i="1"/>
  <c r="J1623" i="1"/>
  <c r="AF1624" i="1"/>
  <c r="AF1627" i="1"/>
  <c r="J1629" i="1"/>
  <c r="AF1630" i="1"/>
  <c r="AF1641" i="1"/>
  <c r="AF1644" i="1"/>
  <c r="J1652" i="1"/>
  <c r="J1737" i="1"/>
  <c r="I1760" i="1"/>
  <c r="AF1725" i="1"/>
  <c r="AF1731" i="1"/>
  <c r="J1734" i="1"/>
  <c r="AF1737" i="1"/>
  <c r="J1725" i="1"/>
  <c r="T1803" i="1"/>
  <c r="U1778" i="1"/>
  <c r="AF1795" i="1"/>
  <c r="AA1803" i="1"/>
  <c r="AE1760" i="1"/>
  <c r="AF1750" i="1"/>
  <c r="AF1753" i="1"/>
  <c r="AF1756" i="1"/>
  <c r="AF1759" i="1"/>
  <c r="T1690" i="1"/>
  <c r="U1685" i="1"/>
  <c r="T1717" i="1"/>
  <c r="U1695" i="1"/>
  <c r="U1698" i="1"/>
  <c r="U1707" i="1"/>
  <c r="U1713" i="1"/>
  <c r="U1716" i="1"/>
  <c r="U1730" i="1"/>
  <c r="U1737" i="1"/>
  <c r="U1740" i="1"/>
  <c r="U1743" i="1"/>
  <c r="U1746" i="1"/>
  <c r="U1749" i="1"/>
  <c r="U1752" i="1"/>
  <c r="U1755" i="1"/>
  <c r="U1758" i="1"/>
  <c r="U1683" i="1"/>
  <c r="U1686" i="1"/>
  <c r="U1689" i="1"/>
  <c r="U1696" i="1"/>
  <c r="U1699" i="1"/>
  <c r="U1702" i="1"/>
  <c r="U1705" i="1"/>
  <c r="U1708" i="1"/>
  <c r="U1711" i="1"/>
  <c r="U1714" i="1"/>
  <c r="U1725" i="1"/>
  <c r="U1728" i="1"/>
  <c r="U1731" i="1"/>
  <c r="P1760" i="1"/>
  <c r="U1738" i="1"/>
  <c r="U1741" i="1"/>
  <c r="U1744" i="1"/>
  <c r="U1747" i="1"/>
  <c r="U1750" i="1"/>
  <c r="U1753" i="1"/>
  <c r="U1756" i="1"/>
  <c r="U1759" i="1"/>
  <c r="AF1683" i="1"/>
  <c r="AF1686" i="1"/>
  <c r="J1688" i="1"/>
  <c r="J1695" i="1"/>
  <c r="AF1699" i="1"/>
  <c r="AF1702" i="1"/>
  <c r="AF1705" i="1"/>
  <c r="AF1711" i="1"/>
  <c r="AF1714" i="1"/>
  <c r="J1716" i="1"/>
  <c r="AF1729" i="1"/>
  <c r="J1731" i="1"/>
  <c r="J1736" i="1"/>
  <c r="AF1742" i="1"/>
  <c r="J1744" i="1"/>
  <c r="AF1745" i="1"/>
  <c r="J1747" i="1"/>
  <c r="AF1748" i="1"/>
  <c r="J1750" i="1"/>
  <c r="AF1751" i="1"/>
  <c r="J1753" i="1"/>
  <c r="AF1754" i="1"/>
  <c r="J1756" i="1"/>
  <c r="AF1757" i="1"/>
  <c r="J1759" i="1"/>
  <c r="AF1736" i="1"/>
  <c r="T1889" i="1"/>
  <c r="U1863" i="1"/>
  <c r="AF1768" i="1"/>
  <c r="AF1769" i="1"/>
  <c r="AF1770" i="1"/>
  <c r="AF1771" i="1"/>
  <c r="AF1772" i="1"/>
  <c r="AF1773" i="1"/>
  <c r="AF1774" i="1"/>
  <c r="AF1775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AF1855" i="1"/>
  <c r="U1866" i="1"/>
  <c r="I1932" i="1"/>
  <c r="J1918" i="1"/>
  <c r="U1931" i="1"/>
  <c r="U1928" i="1"/>
  <c r="J1897" i="1"/>
  <c r="J1898" i="1"/>
  <c r="J1899" i="1"/>
  <c r="J1900" i="1"/>
  <c r="J1901" i="1"/>
  <c r="J1902" i="1"/>
  <c r="J1903" i="1"/>
  <c r="J1904" i="1"/>
  <c r="J1907" i="1"/>
  <c r="J1909" i="1"/>
  <c r="J1910" i="1"/>
  <c r="J1911" i="1"/>
  <c r="J1912" i="1"/>
  <c r="J1913" i="1"/>
  <c r="J1915" i="1"/>
  <c r="J1916" i="1"/>
  <c r="AA1932" i="1"/>
  <c r="AF1918" i="1"/>
  <c r="AF1919" i="1"/>
  <c r="AF1921" i="1"/>
  <c r="AF1923" i="1"/>
  <c r="AF1924" i="1"/>
  <c r="AF1925" i="1"/>
  <c r="AF1926" i="1"/>
  <c r="AF1927" i="1"/>
  <c r="J1929" i="1"/>
  <c r="AF1930" i="1"/>
  <c r="J1940" i="1"/>
  <c r="J1941" i="1"/>
  <c r="J1942" i="1"/>
  <c r="J1943" i="1"/>
  <c r="J1944" i="1"/>
  <c r="J1946" i="1"/>
  <c r="J1947" i="1"/>
  <c r="E1975" i="1"/>
  <c r="J1950" i="1"/>
  <c r="I1975" i="1"/>
  <c r="J1953" i="1"/>
  <c r="J1955" i="1"/>
  <c r="J1956" i="1"/>
  <c r="J1957" i="1"/>
  <c r="J1959" i="1"/>
  <c r="J1961" i="1"/>
  <c r="J1962" i="1"/>
  <c r="J1963" i="1"/>
  <c r="J1965" i="1"/>
  <c r="J1967" i="1"/>
  <c r="J1968" i="1"/>
  <c r="J1969" i="1"/>
  <c r="J1971" i="1"/>
  <c r="J1974" i="1"/>
  <c r="U1930" i="1"/>
  <c r="U1954" i="1"/>
  <c r="U1955" i="1"/>
  <c r="U1956" i="1"/>
  <c r="U1958" i="1"/>
  <c r="U1961" i="1"/>
  <c r="U1963" i="1"/>
  <c r="U1964" i="1"/>
  <c r="I2018" i="1"/>
  <c r="J1992" i="1"/>
  <c r="U1983" i="1"/>
  <c r="AF1987" i="1"/>
  <c r="AF1997" i="1"/>
  <c r="AF2000" i="1"/>
  <c r="AF2003" i="1"/>
  <c r="J2033" i="1"/>
  <c r="U2036" i="1"/>
  <c r="AF1996" i="1"/>
  <c r="AF2030" i="1"/>
  <c r="J2035" i="1"/>
  <c r="U2038" i="1"/>
  <c r="U2041" i="1"/>
  <c r="U1989" i="1"/>
  <c r="AF2050" i="1"/>
  <c r="AF2051" i="1"/>
  <c r="AF2052" i="1"/>
  <c r="J2050" i="1"/>
  <c r="U2049" i="1"/>
  <c r="U2054" i="1"/>
  <c r="U2055" i="1"/>
  <c r="U2056" i="1"/>
  <c r="J2103" i="1"/>
  <c r="J2097" i="1"/>
  <c r="J2091" i="1"/>
  <c r="J2085" i="1"/>
  <c r="J2079" i="1"/>
  <c r="J2071" i="1"/>
  <c r="R1718" i="1"/>
  <c r="R1724" i="1" s="1"/>
  <c r="AF2076" i="1"/>
  <c r="T2104" i="1"/>
  <c r="U2075" i="1"/>
  <c r="S1718" i="1"/>
  <c r="S1724" i="1" s="1"/>
  <c r="S1733" i="1" s="1"/>
  <c r="S1761" i="1" s="1"/>
  <c r="S1767" i="1" s="1"/>
  <c r="S1776" i="1" s="1"/>
  <c r="S1804" i="1" s="1"/>
  <c r="S1810" i="1" s="1"/>
  <c r="S1819" i="1" s="1"/>
  <c r="S1847" i="1" s="1"/>
  <c r="S1853" i="1" s="1"/>
  <c r="S1862" i="1" s="1"/>
  <c r="S1890" i="1" s="1"/>
  <c r="S1896" i="1" s="1"/>
  <c r="S1905" i="1" s="1"/>
  <c r="S1933" i="1" s="1"/>
  <c r="S1939" i="1" s="1"/>
  <c r="S1948" i="1" s="1"/>
  <c r="S1976" i="1" s="1"/>
  <c r="S1982" i="1" s="1"/>
  <c r="S1991" i="1" s="1"/>
  <c r="S2019" i="1" s="1"/>
  <c r="S2025" i="1" s="1"/>
  <c r="S2034" i="1" s="1"/>
  <c r="S2062" i="1" s="1"/>
  <c r="S2068" i="1" s="1"/>
  <c r="S2077" i="1" s="1"/>
  <c r="S2105" i="1" s="1"/>
  <c r="S2111" i="1" s="1"/>
  <c r="S2120" i="1" s="1"/>
  <c r="S2148" i="1" s="1"/>
  <c r="S2154" i="1" s="1"/>
  <c r="S2163" i="1" s="1"/>
  <c r="S2191" i="1" s="1"/>
  <c r="U2074" i="1"/>
  <c r="U2059" i="1"/>
  <c r="I2104" i="1"/>
  <c r="J2101" i="1"/>
  <c r="J2095" i="1"/>
  <c r="J2089" i="1"/>
  <c r="J2083" i="1"/>
  <c r="B41" i="1"/>
  <c r="B47" i="1" s="1"/>
  <c r="B56" i="1" s="1"/>
  <c r="B84" i="1" s="1"/>
  <c r="B90" i="1" s="1"/>
  <c r="B99" i="1" s="1"/>
  <c r="B127" i="1" s="1"/>
  <c r="B133" i="1" s="1"/>
  <c r="B142" i="1" s="1"/>
  <c r="B170" i="1" s="1"/>
  <c r="B176" i="1" s="1"/>
  <c r="B185" i="1" s="1"/>
  <c r="B213" i="1" s="1"/>
  <c r="B219" i="1" s="1"/>
  <c r="B228" i="1" s="1"/>
  <c r="B256" i="1" s="1"/>
  <c r="B262" i="1" s="1"/>
  <c r="B271" i="1" s="1"/>
  <c r="B299" i="1" s="1"/>
  <c r="B305" i="1" s="1"/>
  <c r="B314" i="1" s="1"/>
  <c r="B342" i="1" s="1"/>
  <c r="B348" i="1" s="1"/>
  <c r="B357" i="1" s="1"/>
  <c r="B385" i="1" s="1"/>
  <c r="B391" i="1" s="1"/>
  <c r="B400" i="1" s="1"/>
  <c r="B428" i="1" s="1"/>
  <c r="B434" i="1" s="1"/>
  <c r="B443" i="1" s="1"/>
  <c r="B471" i="1" s="1"/>
  <c r="B477" i="1" s="1"/>
  <c r="B486" i="1" s="1"/>
  <c r="B514" i="1" s="1"/>
  <c r="B520" i="1" s="1"/>
  <c r="B529" i="1" s="1"/>
  <c r="B557" i="1" s="1"/>
  <c r="B563" i="1" s="1"/>
  <c r="B572" i="1" s="1"/>
  <c r="B600" i="1" s="1"/>
  <c r="B606" i="1" s="1"/>
  <c r="B615" i="1" s="1"/>
  <c r="B643" i="1" s="1"/>
  <c r="B649" i="1" s="1"/>
  <c r="B658" i="1" s="1"/>
  <c r="B686" i="1" s="1"/>
  <c r="B692" i="1" s="1"/>
  <c r="B701" i="1" s="1"/>
  <c r="B729" i="1" s="1"/>
  <c r="B735" i="1" s="1"/>
  <c r="B744" i="1" s="1"/>
  <c r="B772" i="1" s="1"/>
  <c r="B778" i="1" s="1"/>
  <c r="B787" i="1" s="1"/>
  <c r="B815" i="1" s="1"/>
  <c r="B821" i="1" s="1"/>
  <c r="B830" i="1" s="1"/>
  <c r="B858" i="1" s="1"/>
  <c r="B864" i="1" s="1"/>
  <c r="B873" i="1" s="1"/>
  <c r="B901" i="1" s="1"/>
  <c r="B907" i="1" s="1"/>
  <c r="B916" i="1" s="1"/>
  <c r="B944" i="1" s="1"/>
  <c r="B950" i="1" s="1"/>
  <c r="B959" i="1" s="1"/>
  <c r="B987" i="1" s="1"/>
  <c r="B993" i="1" s="1"/>
  <c r="B1002" i="1" s="1"/>
  <c r="B1030" i="1" s="1"/>
  <c r="B1036" i="1" s="1"/>
  <c r="B1045" i="1" s="1"/>
  <c r="B1073" i="1" s="1"/>
  <c r="B1079" i="1" s="1"/>
  <c r="B1088" i="1" s="1"/>
  <c r="B1116" i="1" s="1"/>
  <c r="B1122" i="1" s="1"/>
  <c r="B1131" i="1" s="1"/>
  <c r="B1159" i="1" s="1"/>
  <c r="B1165" i="1" s="1"/>
  <c r="B1174" i="1" s="1"/>
  <c r="B1202" i="1" s="1"/>
  <c r="B1208" i="1" s="1"/>
  <c r="B1217" i="1" s="1"/>
  <c r="B1245" i="1" s="1"/>
  <c r="B1251" i="1" s="1"/>
  <c r="B1260" i="1" s="1"/>
  <c r="B1288" i="1" s="1"/>
  <c r="B1294" i="1" s="1"/>
  <c r="B1303" i="1" s="1"/>
  <c r="B1331" i="1" s="1"/>
  <c r="B1337" i="1" s="1"/>
  <c r="B1346" i="1" s="1"/>
  <c r="B1374" i="1" s="1"/>
  <c r="B1380" i="1" s="1"/>
  <c r="B1389" i="1" s="1"/>
  <c r="B1417" i="1" s="1"/>
  <c r="B1423" i="1" s="1"/>
  <c r="B1432" i="1" s="1"/>
  <c r="B1460" i="1" s="1"/>
  <c r="B1466" i="1" s="1"/>
  <c r="B1475" i="1" s="1"/>
  <c r="B1503" i="1" s="1"/>
  <c r="B1509" i="1" s="1"/>
  <c r="B1518" i="1" s="1"/>
  <c r="B1546" i="1" s="1"/>
  <c r="B1552" i="1" s="1"/>
  <c r="B1561" i="1" s="1"/>
  <c r="B1589" i="1" s="1"/>
  <c r="B1595" i="1" s="1"/>
  <c r="B1604" i="1" s="1"/>
  <c r="B1632" i="1" s="1"/>
  <c r="B1638" i="1" s="1"/>
  <c r="B1647" i="1" s="1"/>
  <c r="B1675" i="1" s="1"/>
  <c r="B1681" i="1" s="1"/>
  <c r="B1690" i="1" s="1"/>
  <c r="B1718" i="1" s="1"/>
  <c r="B1724" i="1" s="1"/>
  <c r="B1733" i="1" s="1"/>
  <c r="B1761" i="1" s="1"/>
  <c r="B1767" i="1" s="1"/>
  <c r="B1776" i="1" s="1"/>
  <c r="B1804" i="1" s="1"/>
  <c r="B1810" i="1" s="1"/>
  <c r="B1819" i="1" s="1"/>
  <c r="B1847" i="1" s="1"/>
  <c r="B1853" i="1" s="1"/>
  <c r="B1862" i="1" s="1"/>
  <c r="B1890" i="1" s="1"/>
  <c r="B1896" i="1" s="1"/>
  <c r="B1905" i="1" s="1"/>
  <c r="B1933" i="1" s="1"/>
  <c r="B1939" i="1" s="1"/>
  <c r="B1948" i="1" s="1"/>
  <c r="B1976" i="1" s="1"/>
  <c r="B1982" i="1" s="1"/>
  <c r="B1991" i="1" s="1"/>
  <c r="B2019" i="1" s="1"/>
  <c r="B2025" i="1" s="1"/>
  <c r="B2034" i="1" s="1"/>
  <c r="B2062" i="1" s="1"/>
  <c r="B2068" i="1" s="1"/>
  <c r="B2077" i="1" s="1"/>
  <c r="B2105" i="1" s="1"/>
  <c r="B2111" i="1" s="1"/>
  <c r="U2076" i="1"/>
  <c r="AF2072" i="1"/>
  <c r="Z600" i="1"/>
  <c r="Z606" i="1" s="1"/>
  <c r="J2086" i="1"/>
  <c r="J2094" i="1"/>
  <c r="I40" i="1"/>
  <c r="P13" i="1"/>
  <c r="U5" i="1"/>
  <c r="E126" i="1"/>
  <c r="J103" i="1"/>
  <c r="T169" i="1"/>
  <c r="U147" i="1"/>
  <c r="J144" i="1"/>
  <c r="I169" i="1"/>
  <c r="E212" i="1"/>
  <c r="J187" i="1"/>
  <c r="U189" i="1"/>
  <c r="P212" i="1"/>
  <c r="P169" i="1"/>
  <c r="E341" i="1"/>
  <c r="J317" i="1"/>
  <c r="T298" i="1"/>
  <c r="U296" i="1"/>
  <c r="U359" i="1"/>
  <c r="P384" i="1"/>
  <c r="E513" i="1"/>
  <c r="J488" i="1"/>
  <c r="E556" i="1"/>
  <c r="J531" i="1"/>
  <c r="T599" i="1"/>
  <c r="U574" i="1"/>
  <c r="E599" i="1"/>
  <c r="J575" i="1"/>
  <c r="AF563" i="1"/>
  <c r="AA572" i="1"/>
  <c r="AA599" i="1"/>
  <c r="AF573" i="1"/>
  <c r="I685" i="1"/>
  <c r="J660" i="1"/>
  <c r="I771" i="1"/>
  <c r="AE814" i="1"/>
  <c r="AF789" i="1"/>
  <c r="AA771" i="1"/>
  <c r="AF769" i="1"/>
  <c r="AA900" i="1"/>
  <c r="AF875" i="1"/>
  <c r="AF831" i="1"/>
  <c r="AA857" i="1"/>
  <c r="AF745" i="1"/>
  <c r="AE771" i="1"/>
  <c r="J831" i="1"/>
  <c r="E857" i="1"/>
  <c r="AA943" i="1"/>
  <c r="AF917" i="1"/>
  <c r="AF964" i="1"/>
  <c r="AA986" i="1"/>
  <c r="E986" i="1"/>
  <c r="J962" i="1"/>
  <c r="I986" i="1"/>
  <c r="J973" i="1"/>
  <c r="U402" i="1"/>
  <c r="J59" i="1"/>
  <c r="T83" i="1"/>
  <c r="P298" i="1"/>
  <c r="J231" i="1"/>
  <c r="U101" i="1"/>
  <c r="I126" i="1"/>
  <c r="P83" i="1"/>
  <c r="E298" i="1"/>
  <c r="U15" i="1"/>
  <c r="U339" i="1"/>
  <c r="J143" i="1"/>
  <c r="U124" i="1"/>
  <c r="AF1048" i="1"/>
  <c r="AF1003" i="1"/>
  <c r="AE986" i="1"/>
  <c r="J1132" i="1"/>
  <c r="I1029" i="1"/>
  <c r="J1003" i="1"/>
  <c r="E1201" i="1"/>
  <c r="J1177" i="1"/>
  <c r="AF1218" i="1"/>
  <c r="AE1244" i="1"/>
  <c r="I1244" i="1"/>
  <c r="J1221" i="1"/>
  <c r="E1244" i="1"/>
  <c r="J37" i="1"/>
  <c r="AA1588" i="1"/>
  <c r="AF1562" i="1"/>
  <c r="AF1440" i="1"/>
  <c r="J1521" i="1"/>
  <c r="E1545" i="1"/>
  <c r="E1588" i="1"/>
  <c r="AA1631" i="1"/>
  <c r="AF1605" i="1"/>
  <c r="J1649" i="1"/>
  <c r="E1674" i="1"/>
  <c r="J1562" i="1"/>
  <c r="J1606" i="1"/>
  <c r="E1631" i="1"/>
  <c r="J1673" i="1"/>
  <c r="AA1717" i="1"/>
  <c r="AF1692" i="1"/>
  <c r="J1692" i="1"/>
  <c r="AF1596" i="1"/>
  <c r="AF1606" i="1"/>
  <c r="J1640" i="1"/>
  <c r="J1643" i="1"/>
  <c r="J1646" i="1"/>
  <c r="AA1674" i="1"/>
  <c r="AE1674" i="1"/>
  <c r="AF1648" i="1"/>
  <c r="I1674" i="1"/>
  <c r="J1654" i="1"/>
  <c r="AF1655" i="1"/>
  <c r="J1657" i="1"/>
  <c r="AF1658" i="1"/>
  <c r="J1660" i="1"/>
  <c r="AF1661" i="1"/>
  <c r="J1663" i="1"/>
  <c r="AF1664" i="1"/>
  <c r="J1666" i="1"/>
  <c r="AF1667" i="1"/>
  <c r="J1669" i="1"/>
  <c r="AF1670" i="1"/>
  <c r="J1672" i="1"/>
  <c r="AF1741" i="1"/>
  <c r="J1735" i="1"/>
  <c r="E1760" i="1"/>
  <c r="AA1760" i="1"/>
  <c r="U1693" i="1"/>
  <c r="P1717" i="1"/>
  <c r="J2038" i="1"/>
  <c r="E2061" i="1"/>
  <c r="P1690" i="1"/>
  <c r="U1735" i="1"/>
  <c r="E1803" i="1"/>
  <c r="J1778" i="1"/>
  <c r="J1795" i="1"/>
  <c r="I1803" i="1"/>
  <c r="U1692" i="1"/>
  <c r="AF1998" i="1"/>
  <c r="AA2018" i="1"/>
  <c r="T1846" i="1"/>
  <c r="U1820" i="1"/>
  <c r="J1845" i="1"/>
  <c r="I1846" i="1"/>
  <c r="J1866" i="1"/>
  <c r="I1889" i="1"/>
  <c r="P1932" i="1"/>
  <c r="P1975" i="1"/>
  <c r="U1951" i="1"/>
  <c r="U1952" i="1"/>
  <c r="U1953" i="1"/>
  <c r="U1957" i="1"/>
  <c r="U1959" i="1"/>
  <c r="U1962" i="1"/>
  <c r="U1965" i="1"/>
  <c r="AF1865" i="1"/>
  <c r="AE1889" i="1"/>
  <c r="T1975" i="1"/>
  <c r="U1950" i="1"/>
  <c r="J1951" i="1"/>
  <c r="AE2018" i="1"/>
  <c r="P2061" i="1"/>
  <c r="U2035" i="1"/>
  <c r="J1949" i="1"/>
  <c r="U2042" i="1"/>
  <c r="T2061" i="1"/>
  <c r="AA2061" i="1"/>
  <c r="AF2041" i="1"/>
  <c r="U1994" i="1"/>
  <c r="P2018" i="1"/>
  <c r="E2018" i="1"/>
  <c r="J1993" i="1"/>
  <c r="AF2038" i="1"/>
  <c r="AE2061" i="1"/>
  <c r="P2104" i="1"/>
  <c r="J2075" i="1"/>
  <c r="E2104" i="1"/>
  <c r="J2078" i="1"/>
  <c r="H41" i="1"/>
  <c r="H47" i="1" s="1"/>
  <c r="H56" i="1" s="1"/>
  <c r="H84" i="1" s="1"/>
  <c r="H90" i="1" s="1"/>
  <c r="H99" i="1" s="1"/>
  <c r="H127" i="1" s="1"/>
  <c r="H133" i="1" s="1"/>
  <c r="H142" i="1" s="1"/>
  <c r="H170" i="1" s="1"/>
  <c r="H176" i="1" s="1"/>
  <c r="H185" i="1" s="1"/>
  <c r="H213" i="1" s="1"/>
  <c r="H219" i="1" s="1"/>
  <c r="H228" i="1" s="1"/>
  <c r="H256" i="1" s="1"/>
  <c r="H262" i="1" s="1"/>
  <c r="H271" i="1" s="1"/>
  <c r="H299" i="1" s="1"/>
  <c r="H305" i="1" s="1"/>
  <c r="H314" i="1" s="1"/>
  <c r="H342" i="1" s="1"/>
  <c r="H348" i="1" s="1"/>
  <c r="H357" i="1" s="1"/>
  <c r="H385" i="1" s="1"/>
  <c r="H391" i="1" s="1"/>
  <c r="H400" i="1" s="1"/>
  <c r="H428" i="1" s="1"/>
  <c r="H434" i="1" s="1"/>
  <c r="H443" i="1" s="1"/>
  <c r="H471" i="1" s="1"/>
  <c r="H477" i="1" s="1"/>
  <c r="H486" i="1" s="1"/>
  <c r="H514" i="1" s="1"/>
  <c r="H520" i="1" s="1"/>
  <c r="H529" i="1" s="1"/>
  <c r="H557" i="1" s="1"/>
  <c r="H563" i="1" s="1"/>
  <c r="H572" i="1" s="1"/>
  <c r="H600" i="1" s="1"/>
  <c r="H606" i="1" s="1"/>
  <c r="H615" i="1" s="1"/>
  <c r="H643" i="1" s="1"/>
  <c r="H649" i="1" s="1"/>
  <c r="H658" i="1" s="1"/>
  <c r="H686" i="1" s="1"/>
  <c r="H692" i="1" s="1"/>
  <c r="H701" i="1" s="1"/>
  <c r="H729" i="1" s="1"/>
  <c r="H735" i="1" s="1"/>
  <c r="H744" i="1" s="1"/>
  <c r="H772" i="1" s="1"/>
  <c r="H778" i="1" s="1"/>
  <c r="H787" i="1" s="1"/>
  <c r="H815" i="1" s="1"/>
  <c r="H821" i="1" s="1"/>
  <c r="H830" i="1" s="1"/>
  <c r="H858" i="1" s="1"/>
  <c r="H864" i="1" s="1"/>
  <c r="H873" i="1" s="1"/>
  <c r="H901" i="1" s="1"/>
  <c r="H907" i="1" s="1"/>
  <c r="H916" i="1" s="1"/>
  <c r="H944" i="1" s="1"/>
  <c r="H950" i="1" s="1"/>
  <c r="H959" i="1" s="1"/>
  <c r="H987" i="1" s="1"/>
  <c r="H993" i="1" s="1"/>
  <c r="H1002" i="1" s="1"/>
  <c r="H1030" i="1" s="1"/>
  <c r="H1036" i="1" s="1"/>
  <c r="H1045" i="1" s="1"/>
  <c r="H1073" i="1" s="1"/>
  <c r="H1079" i="1" s="1"/>
  <c r="H1088" i="1" s="1"/>
  <c r="H1116" i="1" s="1"/>
  <c r="H1122" i="1" s="1"/>
  <c r="H1131" i="1" s="1"/>
  <c r="H1159" i="1" s="1"/>
  <c r="H1165" i="1" s="1"/>
  <c r="H1174" i="1" s="1"/>
  <c r="H1202" i="1" s="1"/>
  <c r="H1208" i="1" s="1"/>
  <c r="H1217" i="1" s="1"/>
  <c r="H1245" i="1" s="1"/>
  <c r="H1251" i="1" s="1"/>
  <c r="H1260" i="1" s="1"/>
  <c r="H1288" i="1" s="1"/>
  <c r="H1294" i="1" s="1"/>
  <c r="H1303" i="1" s="1"/>
  <c r="H1331" i="1" s="1"/>
  <c r="H1337" i="1" s="1"/>
  <c r="H1346" i="1" s="1"/>
  <c r="H1374" i="1" s="1"/>
  <c r="H1380" i="1" s="1"/>
  <c r="H1389" i="1" s="1"/>
  <c r="H1417" i="1" s="1"/>
  <c r="H1423" i="1" s="1"/>
  <c r="H1432" i="1" s="1"/>
  <c r="H1460" i="1" s="1"/>
  <c r="H1466" i="1" s="1"/>
  <c r="H1475" i="1" s="1"/>
  <c r="H1503" i="1" s="1"/>
  <c r="H1509" i="1" s="1"/>
  <c r="H1518" i="1" s="1"/>
  <c r="H1546" i="1" s="1"/>
  <c r="H1552" i="1" s="1"/>
  <c r="H1561" i="1" s="1"/>
  <c r="H1589" i="1" s="1"/>
  <c r="H1595" i="1" s="1"/>
  <c r="H1604" i="1" s="1"/>
  <c r="H1632" i="1" s="1"/>
  <c r="H1638" i="1" s="1"/>
  <c r="H1647" i="1" s="1"/>
  <c r="H1675" i="1" s="1"/>
  <c r="H1681" i="1" s="1"/>
  <c r="H1690" i="1" s="1"/>
  <c r="H1718" i="1" s="1"/>
  <c r="H1724" i="1" s="1"/>
  <c r="H1733" i="1" s="1"/>
  <c r="H1761" i="1" s="1"/>
  <c r="H1767" i="1" s="1"/>
  <c r="H1776" i="1" s="1"/>
  <c r="H1804" i="1" s="1"/>
  <c r="H1810" i="1" s="1"/>
  <c r="H1819" i="1" s="1"/>
  <c r="H1847" i="1" s="1"/>
  <c r="H1853" i="1" s="1"/>
  <c r="H1862" i="1" s="1"/>
  <c r="H1890" i="1" s="1"/>
  <c r="H1896" i="1" s="1"/>
  <c r="H1905" i="1" s="1"/>
  <c r="H1933" i="1" s="1"/>
  <c r="H1939" i="1" s="1"/>
  <c r="H1948" i="1" s="1"/>
  <c r="H1976" i="1" s="1"/>
  <c r="H1982" i="1" s="1"/>
  <c r="H1991" i="1" s="1"/>
  <c r="H2019" i="1" s="1"/>
  <c r="H2025" i="1" s="1"/>
  <c r="H2034" i="1" s="1"/>
  <c r="H2062" i="1" s="1"/>
  <c r="H2068" i="1" s="1"/>
  <c r="H2077" i="1" s="1"/>
  <c r="H2105" i="1" s="1"/>
  <c r="H2111" i="1" s="1"/>
  <c r="H2120" i="1" s="1"/>
  <c r="H2148" i="1" s="1"/>
  <c r="H2154" i="1" s="1"/>
  <c r="H2163" i="1" s="1"/>
  <c r="H2191" i="1" s="1"/>
  <c r="F41" i="1"/>
  <c r="F47" i="1" s="1"/>
  <c r="G41" i="1"/>
  <c r="G47" i="1" s="1"/>
  <c r="G56" i="1" s="1"/>
  <c r="G84" i="1" s="1"/>
  <c r="G90" i="1" s="1"/>
  <c r="G99" i="1" s="1"/>
  <c r="G127" i="1" s="1"/>
  <c r="G133" i="1" s="1"/>
  <c r="G142" i="1" s="1"/>
  <c r="G170" i="1" s="1"/>
  <c r="G176" i="1" s="1"/>
  <c r="G185" i="1" s="1"/>
  <c r="G213" i="1" s="1"/>
  <c r="G219" i="1" s="1"/>
  <c r="G228" i="1" s="1"/>
  <c r="G256" i="1" s="1"/>
  <c r="G262" i="1" s="1"/>
  <c r="G271" i="1" s="1"/>
  <c r="G299" i="1" s="1"/>
  <c r="G305" i="1" s="1"/>
  <c r="G314" i="1" s="1"/>
  <c r="G342" i="1" s="1"/>
  <c r="G348" i="1" s="1"/>
  <c r="G357" i="1" s="1"/>
  <c r="G385" i="1" s="1"/>
  <c r="G391" i="1" s="1"/>
  <c r="G400" i="1" s="1"/>
  <c r="G428" i="1" s="1"/>
  <c r="G434" i="1" s="1"/>
  <c r="G443" i="1" s="1"/>
  <c r="G471" i="1" s="1"/>
  <c r="G477" i="1" s="1"/>
  <c r="G486" i="1" s="1"/>
  <c r="G514" i="1" s="1"/>
  <c r="G520" i="1" s="1"/>
  <c r="G529" i="1" s="1"/>
  <c r="G557" i="1" s="1"/>
  <c r="G563" i="1" s="1"/>
  <c r="G572" i="1" s="1"/>
  <c r="G600" i="1" s="1"/>
  <c r="G606" i="1" s="1"/>
  <c r="G615" i="1" s="1"/>
  <c r="G643" i="1" s="1"/>
  <c r="G649" i="1" s="1"/>
  <c r="G658" i="1" s="1"/>
  <c r="G686" i="1" s="1"/>
  <c r="G692" i="1" s="1"/>
  <c r="G701" i="1" s="1"/>
  <c r="G729" i="1" s="1"/>
  <c r="G735" i="1" s="1"/>
  <c r="G744" i="1" s="1"/>
  <c r="G772" i="1" s="1"/>
  <c r="G778" i="1" s="1"/>
  <c r="G787" i="1" s="1"/>
  <c r="G815" i="1" s="1"/>
  <c r="G821" i="1" s="1"/>
  <c r="G830" i="1" s="1"/>
  <c r="G858" i="1" s="1"/>
  <c r="G864" i="1" s="1"/>
  <c r="G873" i="1" s="1"/>
  <c r="G901" i="1" s="1"/>
  <c r="G907" i="1" s="1"/>
  <c r="G916" i="1" s="1"/>
  <c r="G944" i="1" s="1"/>
  <c r="G950" i="1" s="1"/>
  <c r="G959" i="1" s="1"/>
  <c r="G987" i="1" s="1"/>
  <c r="G993" i="1" s="1"/>
  <c r="G1002" i="1" s="1"/>
  <c r="G1030" i="1" s="1"/>
  <c r="G1036" i="1" s="1"/>
  <c r="G1045" i="1" s="1"/>
  <c r="G1073" i="1" s="1"/>
  <c r="G1079" i="1" s="1"/>
  <c r="G1088" i="1" s="1"/>
  <c r="G1116" i="1" s="1"/>
  <c r="G1122" i="1" s="1"/>
  <c r="G1131" i="1" s="1"/>
  <c r="G1159" i="1" s="1"/>
  <c r="G1165" i="1" s="1"/>
  <c r="G1174" i="1" s="1"/>
  <c r="G1202" i="1" s="1"/>
  <c r="G1208" i="1" s="1"/>
  <c r="G1217" i="1" s="1"/>
  <c r="G1245" i="1" s="1"/>
  <c r="G1251" i="1" s="1"/>
  <c r="G1260" i="1" s="1"/>
  <c r="G1288" i="1" s="1"/>
  <c r="G1294" i="1" s="1"/>
  <c r="G1303" i="1" s="1"/>
  <c r="G1331" i="1" s="1"/>
  <c r="G1337" i="1" s="1"/>
  <c r="G1346" i="1" s="1"/>
  <c r="G1374" i="1" s="1"/>
  <c r="G1380" i="1" s="1"/>
  <c r="G1389" i="1" s="1"/>
  <c r="G1417" i="1" s="1"/>
  <c r="G1423" i="1" s="1"/>
  <c r="G1432" i="1" s="1"/>
  <c r="G1460" i="1" s="1"/>
  <c r="G1466" i="1" s="1"/>
  <c r="G1475" i="1" s="1"/>
  <c r="G1503" i="1" s="1"/>
  <c r="G1509" i="1" s="1"/>
  <c r="G1518" i="1" s="1"/>
  <c r="G1546" i="1" s="1"/>
  <c r="G1552" i="1" s="1"/>
  <c r="G1561" i="1" s="1"/>
  <c r="G1589" i="1" s="1"/>
  <c r="G1595" i="1" s="1"/>
  <c r="G1604" i="1" s="1"/>
  <c r="G1632" i="1" s="1"/>
  <c r="G1638" i="1" s="1"/>
  <c r="G1647" i="1" s="1"/>
  <c r="G1675" i="1" s="1"/>
  <c r="G1681" i="1" s="1"/>
  <c r="G1690" i="1" s="1"/>
  <c r="G1718" i="1" s="1"/>
  <c r="G1724" i="1" s="1"/>
  <c r="G1733" i="1" s="1"/>
  <c r="G1761" i="1" s="1"/>
  <c r="G1767" i="1" s="1"/>
  <c r="G1776" i="1" s="1"/>
  <c r="G1804" i="1" s="1"/>
  <c r="G1810" i="1" s="1"/>
  <c r="G1819" i="1" s="1"/>
  <c r="G1847" i="1" s="1"/>
  <c r="G1853" i="1" s="1"/>
  <c r="G1862" i="1" s="1"/>
  <c r="G1890" i="1" s="1"/>
  <c r="G1896" i="1" s="1"/>
  <c r="G1905" i="1" s="1"/>
  <c r="G1933" i="1" s="1"/>
  <c r="G1939" i="1" s="1"/>
  <c r="G1948" i="1" s="1"/>
  <c r="G1976" i="1" s="1"/>
  <c r="G1982" i="1" s="1"/>
  <c r="G1991" i="1" s="1"/>
  <c r="G2019" i="1" s="1"/>
  <c r="G2025" i="1" s="1"/>
  <c r="G2034" i="1" s="1"/>
  <c r="G2062" i="1" s="1"/>
  <c r="G2068" i="1" s="1"/>
  <c r="G2077" i="1" s="1"/>
  <c r="G2105" i="1" s="1"/>
  <c r="G2111" i="1" s="1"/>
  <c r="G2120" i="1" s="1"/>
  <c r="G2148" i="1" s="1"/>
  <c r="G2154" i="1" s="1"/>
  <c r="G2163" i="1" s="1"/>
  <c r="G2191" i="1" s="1"/>
  <c r="J2099" i="1"/>
  <c r="J2093" i="1"/>
  <c r="J2081" i="1"/>
  <c r="J2069" i="1"/>
  <c r="C41" i="1"/>
  <c r="C47" i="1" s="1"/>
  <c r="U2073" i="1"/>
  <c r="AA2104" i="1"/>
  <c r="AD600" i="1"/>
  <c r="AD606" i="1" s="1"/>
  <c r="AD615" i="1" s="1"/>
  <c r="AD643" i="1" s="1"/>
  <c r="AD649" i="1" s="1"/>
  <c r="AD658" i="1" s="1"/>
  <c r="AD686" i="1" s="1"/>
  <c r="AD692" i="1" s="1"/>
  <c r="AD701" i="1" s="1"/>
  <c r="AD729" i="1" s="1"/>
  <c r="AD735" i="1" s="1"/>
  <c r="AD744" i="1" s="1"/>
  <c r="AD772" i="1" s="1"/>
  <c r="AD778" i="1" s="1"/>
  <c r="AD787" i="1" s="1"/>
  <c r="AD815" i="1" s="1"/>
  <c r="AD821" i="1" s="1"/>
  <c r="AD830" i="1" s="1"/>
  <c r="AD858" i="1" s="1"/>
  <c r="AD864" i="1" s="1"/>
  <c r="AD873" i="1" s="1"/>
  <c r="AD901" i="1" s="1"/>
  <c r="AD907" i="1" s="1"/>
  <c r="AD916" i="1" s="1"/>
  <c r="AD944" i="1" s="1"/>
  <c r="AD950" i="1" s="1"/>
  <c r="AD959" i="1" s="1"/>
  <c r="AD987" i="1" s="1"/>
  <c r="AD993" i="1" s="1"/>
  <c r="AD1002" i="1" s="1"/>
  <c r="AD1030" i="1" s="1"/>
  <c r="AD1036" i="1" s="1"/>
  <c r="AD1045" i="1" s="1"/>
  <c r="AD1073" i="1" s="1"/>
  <c r="AD1079" i="1" s="1"/>
  <c r="AD1088" i="1" s="1"/>
  <c r="AD1116" i="1" s="1"/>
  <c r="AD1122" i="1" s="1"/>
  <c r="AD1131" i="1" s="1"/>
  <c r="AD1159" i="1" s="1"/>
  <c r="AD1165" i="1" s="1"/>
  <c r="AD1174" i="1" s="1"/>
  <c r="AD1202" i="1" s="1"/>
  <c r="AD1208" i="1" s="1"/>
  <c r="AD1217" i="1" s="1"/>
  <c r="AD1245" i="1" s="1"/>
  <c r="AD1251" i="1" s="1"/>
  <c r="AD1260" i="1" s="1"/>
  <c r="AD1288" i="1" s="1"/>
  <c r="AD1294" i="1" s="1"/>
  <c r="AD1303" i="1" s="1"/>
  <c r="AD1331" i="1" s="1"/>
  <c r="AD1337" i="1" s="1"/>
  <c r="AD1346" i="1" s="1"/>
  <c r="AD1374" i="1" s="1"/>
  <c r="AD1380" i="1" s="1"/>
  <c r="AD1389" i="1" s="1"/>
  <c r="AD1417" i="1" s="1"/>
  <c r="AD1423" i="1" s="1"/>
  <c r="AD1432" i="1" s="1"/>
  <c r="AD1460" i="1" s="1"/>
  <c r="AD1466" i="1" s="1"/>
  <c r="AD1475" i="1" s="1"/>
  <c r="AD1503" i="1" s="1"/>
  <c r="AD1509" i="1" s="1"/>
  <c r="AD1518" i="1" s="1"/>
  <c r="AD1546" i="1" s="1"/>
  <c r="AD1552" i="1" s="1"/>
  <c r="AD1561" i="1" s="1"/>
  <c r="AD1589" i="1" s="1"/>
  <c r="AD1595" i="1" s="1"/>
  <c r="AD1604" i="1" s="1"/>
  <c r="AD1632" i="1" s="1"/>
  <c r="AD1638" i="1" s="1"/>
  <c r="AD1647" i="1" s="1"/>
  <c r="AD1675" i="1" s="1"/>
  <c r="AD1681" i="1" s="1"/>
  <c r="AD1690" i="1" s="1"/>
  <c r="AD1718" i="1" s="1"/>
  <c r="AD1724" i="1" s="1"/>
  <c r="AD1733" i="1" s="1"/>
  <c r="AD1761" i="1" s="1"/>
  <c r="AD1767" i="1" s="1"/>
  <c r="AD1776" i="1" s="1"/>
  <c r="AD1804" i="1" s="1"/>
  <c r="AD1810" i="1" s="1"/>
  <c r="AD1819" i="1" s="1"/>
  <c r="AD1847" i="1" s="1"/>
  <c r="AD1853" i="1" s="1"/>
  <c r="AD1862" i="1" s="1"/>
  <c r="AD1890" i="1" s="1"/>
  <c r="AD1896" i="1" s="1"/>
  <c r="AD1905" i="1" s="1"/>
  <c r="AD1933" i="1" s="1"/>
  <c r="AD1939" i="1" s="1"/>
  <c r="AD1948" i="1" s="1"/>
  <c r="AD1976" i="1" s="1"/>
  <c r="AD1982" i="1" s="1"/>
  <c r="AD1991" i="1" s="1"/>
  <c r="AD2019" i="1" s="1"/>
  <c r="AD2025" i="1" s="1"/>
  <c r="AD2034" i="1" s="1"/>
  <c r="AD2062" i="1" s="1"/>
  <c r="AD2068" i="1" s="1"/>
  <c r="AD2077" i="1" s="1"/>
  <c r="AD2105" i="1" s="1"/>
  <c r="AD2111" i="1" s="1"/>
  <c r="AD2120" i="1" s="1"/>
  <c r="AD2148" i="1" s="1"/>
  <c r="AD2154" i="1" s="1"/>
  <c r="AD2163" i="1" s="1"/>
  <c r="AD2191" i="1" s="1"/>
  <c r="AE2104" i="1"/>
  <c r="AC600" i="1"/>
  <c r="AC606" i="1" s="1"/>
  <c r="U298" i="1" l="1"/>
  <c r="J384" i="1"/>
  <c r="AF1072" i="1"/>
  <c r="U212" i="1"/>
  <c r="AB2120" i="1"/>
  <c r="AB2148" i="1" s="1"/>
  <c r="AB2154" i="1" s="1"/>
  <c r="B2120" i="1"/>
  <c r="B2148" i="1" s="1"/>
  <c r="B2154" i="1" s="1"/>
  <c r="Q2120" i="1"/>
  <c r="Q2148" i="1" s="1"/>
  <c r="Q2154" i="1" s="1"/>
  <c r="AF1502" i="1"/>
  <c r="AF1115" i="1"/>
  <c r="J728" i="1"/>
  <c r="J1158" i="1"/>
  <c r="J1373" i="1"/>
  <c r="AF943" i="1"/>
  <c r="J1459" i="1"/>
  <c r="U427" i="1"/>
  <c r="J513" i="1"/>
  <c r="U1717" i="1"/>
  <c r="AF1158" i="1"/>
  <c r="J1072" i="1"/>
  <c r="J556" i="1"/>
  <c r="AF900" i="1"/>
  <c r="J212" i="1"/>
  <c r="E41" i="1"/>
  <c r="T41" i="1"/>
  <c r="J427" i="1"/>
  <c r="AF1287" i="1"/>
  <c r="AF1459" i="1"/>
  <c r="AF1330" i="1"/>
  <c r="J685" i="1"/>
  <c r="AF1932" i="1"/>
  <c r="U513" i="1"/>
  <c r="U1760" i="1"/>
  <c r="J1502" i="1"/>
  <c r="AF1717" i="1"/>
  <c r="AF1416" i="1"/>
  <c r="AF1588" i="1"/>
  <c r="J341" i="1"/>
  <c r="J255" i="1"/>
  <c r="AF857" i="1"/>
  <c r="J40" i="1"/>
  <c r="J1201" i="1"/>
  <c r="AE600" i="1"/>
  <c r="J1588" i="1"/>
  <c r="J857" i="1"/>
  <c r="J771" i="1"/>
  <c r="AF728" i="1"/>
  <c r="U2018" i="1"/>
  <c r="AF599" i="1"/>
  <c r="AF1803" i="1"/>
  <c r="J1287" i="1"/>
  <c r="AF685" i="1"/>
  <c r="J1416" i="1"/>
  <c r="P41" i="1"/>
  <c r="J1330" i="1"/>
  <c r="U2104" i="1"/>
  <c r="J169" i="1"/>
  <c r="U1803" i="1"/>
  <c r="J1029" i="1"/>
  <c r="J470" i="1"/>
  <c r="U255" i="1"/>
  <c r="J1244" i="1"/>
  <c r="U470" i="1"/>
  <c r="J1932" i="1"/>
  <c r="U40" i="1"/>
  <c r="AF1244" i="1"/>
  <c r="AF1201" i="1"/>
  <c r="J2104" i="1"/>
  <c r="U384" i="1"/>
  <c r="J1846" i="1"/>
  <c r="AF1373" i="1"/>
  <c r="T47" i="1"/>
  <c r="T56" i="1" s="1"/>
  <c r="T84" i="1" s="1"/>
  <c r="U599" i="1"/>
  <c r="U126" i="1"/>
  <c r="AF814" i="1"/>
  <c r="AF1029" i="1"/>
  <c r="J642" i="1"/>
  <c r="J814" i="1"/>
  <c r="J1631" i="1"/>
  <c r="AF1846" i="1"/>
  <c r="R142" i="1"/>
  <c r="R170" i="1" s="1"/>
  <c r="R176" i="1" s="1"/>
  <c r="R185" i="1" s="1"/>
  <c r="R213" i="1" s="1"/>
  <c r="R219" i="1" s="1"/>
  <c r="R228" i="1" s="1"/>
  <c r="R256" i="1" s="1"/>
  <c r="R262" i="1" s="1"/>
  <c r="R271" i="1" s="1"/>
  <c r="R299" i="1" s="1"/>
  <c r="R305" i="1" s="1"/>
  <c r="R314" i="1" s="1"/>
  <c r="R342" i="1" s="1"/>
  <c r="R348" i="1" s="1"/>
  <c r="R357" i="1" s="1"/>
  <c r="R385" i="1" s="1"/>
  <c r="R391" i="1" s="1"/>
  <c r="R400" i="1" s="1"/>
  <c r="R428" i="1" s="1"/>
  <c r="R434" i="1" s="1"/>
  <c r="R443" i="1" s="1"/>
  <c r="R471" i="1" s="1"/>
  <c r="R477" i="1" s="1"/>
  <c r="R486" i="1" s="1"/>
  <c r="R514" i="1" s="1"/>
  <c r="R520" i="1" s="1"/>
  <c r="R529" i="1" s="1"/>
  <c r="R557" i="1" s="1"/>
  <c r="R563" i="1" s="1"/>
  <c r="R572" i="1" s="1"/>
  <c r="R600" i="1" s="1"/>
  <c r="T133" i="1"/>
  <c r="T142" i="1" s="1"/>
  <c r="T170" i="1" s="1"/>
  <c r="J986" i="1"/>
  <c r="P47" i="1"/>
  <c r="T90" i="1"/>
  <c r="T99" i="1" s="1"/>
  <c r="T127" i="1" s="1"/>
  <c r="J2061" i="1"/>
  <c r="AF1760" i="1"/>
  <c r="AF572" i="1"/>
  <c r="J900" i="1"/>
  <c r="U556" i="1"/>
  <c r="AF1631" i="1"/>
  <c r="U1889" i="1"/>
  <c r="AF1975" i="1"/>
  <c r="J1717" i="1"/>
  <c r="J599" i="1"/>
  <c r="AF642" i="1"/>
  <c r="U1690" i="1"/>
  <c r="J1760" i="1"/>
  <c r="AF2018" i="1"/>
  <c r="U13" i="1"/>
  <c r="AF1545" i="1"/>
  <c r="J13" i="1"/>
  <c r="J1975" i="1"/>
  <c r="U1932" i="1"/>
  <c r="U1846" i="1"/>
  <c r="AF1889" i="1"/>
  <c r="J1889" i="1"/>
  <c r="J1545" i="1"/>
  <c r="AF2104" i="1"/>
  <c r="AA600" i="1"/>
  <c r="J83" i="1"/>
  <c r="N1733" i="1"/>
  <c r="N1761" i="1" s="1"/>
  <c r="N1767" i="1" s="1"/>
  <c r="N1776" i="1" s="1"/>
  <c r="N1804" i="1" s="1"/>
  <c r="N1810" i="1" s="1"/>
  <c r="N1819" i="1" s="1"/>
  <c r="N1847" i="1" s="1"/>
  <c r="N1853" i="1" s="1"/>
  <c r="N1862" i="1" s="1"/>
  <c r="N1890" i="1" s="1"/>
  <c r="N1896" i="1" s="1"/>
  <c r="N1905" i="1" s="1"/>
  <c r="N1933" i="1" s="1"/>
  <c r="N1939" i="1" s="1"/>
  <c r="N1948" i="1" s="1"/>
  <c r="N1976" i="1" s="1"/>
  <c r="N1982" i="1" s="1"/>
  <c r="N1991" i="1" s="1"/>
  <c r="N2019" i="1" s="1"/>
  <c r="N2025" i="1" s="1"/>
  <c r="N2034" i="1" s="1"/>
  <c r="N2062" i="1" s="1"/>
  <c r="N2068" i="1" s="1"/>
  <c r="N2077" i="1" s="1"/>
  <c r="N2105" i="1" s="1"/>
  <c r="N2111" i="1" s="1"/>
  <c r="N2120" i="1" s="1"/>
  <c r="N2148" i="1" s="1"/>
  <c r="N2154" i="1" s="1"/>
  <c r="N2163" i="1" s="1"/>
  <c r="N2191" i="1" s="1"/>
  <c r="P1724" i="1"/>
  <c r="P1733" i="1" s="1"/>
  <c r="P1761" i="1" s="1"/>
  <c r="Z615" i="1"/>
  <c r="Z643" i="1" s="1"/>
  <c r="Z649" i="1" s="1"/>
  <c r="Z658" i="1" s="1"/>
  <c r="Z686" i="1" s="1"/>
  <c r="Z692" i="1" s="1"/>
  <c r="Z701" i="1" s="1"/>
  <c r="Z729" i="1" s="1"/>
  <c r="Z735" i="1" s="1"/>
  <c r="Z744" i="1" s="1"/>
  <c r="Z772" i="1" s="1"/>
  <c r="Z778" i="1" s="1"/>
  <c r="Z787" i="1" s="1"/>
  <c r="Z815" i="1" s="1"/>
  <c r="Z821" i="1" s="1"/>
  <c r="Z830" i="1" s="1"/>
  <c r="Z858" i="1" s="1"/>
  <c r="Z864" i="1" s="1"/>
  <c r="Z873" i="1" s="1"/>
  <c r="Z901" i="1" s="1"/>
  <c r="Z907" i="1" s="1"/>
  <c r="Z916" i="1" s="1"/>
  <c r="Z944" i="1" s="1"/>
  <c r="Z950" i="1" s="1"/>
  <c r="Z959" i="1" s="1"/>
  <c r="Z987" i="1" s="1"/>
  <c r="Z993" i="1" s="1"/>
  <c r="Z1002" i="1" s="1"/>
  <c r="Z1030" i="1" s="1"/>
  <c r="Z1036" i="1" s="1"/>
  <c r="Z1045" i="1" s="1"/>
  <c r="Z1073" i="1" s="1"/>
  <c r="Z1079" i="1" s="1"/>
  <c r="Z1088" i="1" s="1"/>
  <c r="Z1116" i="1" s="1"/>
  <c r="Z1122" i="1" s="1"/>
  <c r="Z1131" i="1" s="1"/>
  <c r="Z1159" i="1" s="1"/>
  <c r="Z1165" i="1" s="1"/>
  <c r="Z1174" i="1" s="1"/>
  <c r="Z1202" i="1" s="1"/>
  <c r="Z1208" i="1" s="1"/>
  <c r="Z1217" i="1" s="1"/>
  <c r="Z1245" i="1" s="1"/>
  <c r="Z1251" i="1" s="1"/>
  <c r="Z1260" i="1" s="1"/>
  <c r="Z1288" i="1" s="1"/>
  <c r="Z1294" i="1" s="1"/>
  <c r="Z1303" i="1" s="1"/>
  <c r="Z1331" i="1" s="1"/>
  <c r="Z1337" i="1" s="1"/>
  <c r="Z1346" i="1" s="1"/>
  <c r="Z1374" i="1" s="1"/>
  <c r="Z1380" i="1" s="1"/>
  <c r="Z1389" i="1" s="1"/>
  <c r="Z1417" i="1" s="1"/>
  <c r="Z1423" i="1" s="1"/>
  <c r="Z1432" i="1" s="1"/>
  <c r="Z1460" i="1" s="1"/>
  <c r="Z1466" i="1" s="1"/>
  <c r="Z1475" i="1" s="1"/>
  <c r="Z1503" i="1" s="1"/>
  <c r="Z1509" i="1" s="1"/>
  <c r="Z1518" i="1" s="1"/>
  <c r="Z1546" i="1" s="1"/>
  <c r="Z1552" i="1" s="1"/>
  <c r="Z1561" i="1" s="1"/>
  <c r="Z1589" i="1" s="1"/>
  <c r="Z1595" i="1" s="1"/>
  <c r="Z1604" i="1" s="1"/>
  <c r="Z1632" i="1" s="1"/>
  <c r="Z1638" i="1" s="1"/>
  <c r="Z1647" i="1" s="1"/>
  <c r="Z1675" i="1" s="1"/>
  <c r="Z1681" i="1" s="1"/>
  <c r="Z1690" i="1" s="1"/>
  <c r="Z1718" i="1" s="1"/>
  <c r="Z1724" i="1" s="1"/>
  <c r="Z1733" i="1" s="1"/>
  <c r="Z1761" i="1" s="1"/>
  <c r="Z1767" i="1" s="1"/>
  <c r="Z1776" i="1" s="1"/>
  <c r="Z1804" i="1" s="1"/>
  <c r="Z1810" i="1" s="1"/>
  <c r="Z1819" i="1" s="1"/>
  <c r="Z1847" i="1" s="1"/>
  <c r="Z1853" i="1" s="1"/>
  <c r="Z1862" i="1" s="1"/>
  <c r="Z1890" i="1" s="1"/>
  <c r="Z1896" i="1" s="1"/>
  <c r="Z1905" i="1" s="1"/>
  <c r="Z1933" i="1" s="1"/>
  <c r="Z1939" i="1" s="1"/>
  <c r="Z1948" i="1" s="1"/>
  <c r="Z1976" i="1" s="1"/>
  <c r="Z1982" i="1" s="1"/>
  <c r="Z1991" i="1" s="1"/>
  <c r="Z2019" i="1" s="1"/>
  <c r="Z2025" i="1" s="1"/>
  <c r="Z2034" i="1" s="1"/>
  <c r="Z2062" i="1" s="1"/>
  <c r="Z2068" i="1" s="1"/>
  <c r="Z2077" i="1" s="1"/>
  <c r="Z2105" i="1" s="1"/>
  <c r="Z2111" i="1" s="1"/>
  <c r="Z2120" i="1" s="1"/>
  <c r="Z2148" i="1" s="1"/>
  <c r="Z2154" i="1" s="1"/>
  <c r="Z2163" i="1" s="1"/>
  <c r="Z2191" i="1" s="1"/>
  <c r="AA606" i="1"/>
  <c r="AA615" i="1" s="1"/>
  <c r="AA643" i="1" s="1"/>
  <c r="J2018" i="1"/>
  <c r="P1718" i="1"/>
  <c r="M1776" i="1"/>
  <c r="M1804" i="1" s="1"/>
  <c r="M1810" i="1" s="1"/>
  <c r="T1718" i="1"/>
  <c r="J1803" i="1"/>
  <c r="U1975" i="1"/>
  <c r="J1115" i="1"/>
  <c r="U341" i="1"/>
  <c r="J298" i="1"/>
  <c r="J943" i="1"/>
  <c r="Y658" i="1"/>
  <c r="Y686" i="1" s="1"/>
  <c r="Y692" i="1" s="1"/>
  <c r="R1733" i="1"/>
  <c r="R1761" i="1" s="1"/>
  <c r="R1767" i="1" s="1"/>
  <c r="T1724" i="1"/>
  <c r="F56" i="1"/>
  <c r="F84" i="1" s="1"/>
  <c r="F90" i="1" s="1"/>
  <c r="I47" i="1"/>
  <c r="I56" i="1" s="1"/>
  <c r="I84" i="1" s="1"/>
  <c r="AF2061" i="1"/>
  <c r="AF771" i="1"/>
  <c r="U169" i="1"/>
  <c r="M99" i="1"/>
  <c r="M127" i="1" s="1"/>
  <c r="M133" i="1" s="1"/>
  <c r="P90" i="1"/>
  <c r="U83" i="1"/>
  <c r="AF1674" i="1"/>
  <c r="I41" i="1"/>
  <c r="Q228" i="1"/>
  <c r="Q256" i="1" s="1"/>
  <c r="Q262" i="1" s="1"/>
  <c r="J126" i="1"/>
  <c r="AC615" i="1"/>
  <c r="AC643" i="1" s="1"/>
  <c r="AC649" i="1" s="1"/>
  <c r="AE606" i="1"/>
  <c r="C56" i="1"/>
  <c r="C84" i="1" s="1"/>
  <c r="C90" i="1" s="1"/>
  <c r="E47" i="1"/>
  <c r="X959" i="1"/>
  <c r="X987" i="1" s="1"/>
  <c r="X993" i="1" s="1"/>
  <c r="U2061" i="1"/>
  <c r="J1674" i="1"/>
  <c r="AF986" i="1"/>
  <c r="AB2163" i="1" l="1"/>
  <c r="AB2191" i="1" s="1"/>
  <c r="B2163" i="1"/>
  <c r="B2191" i="1" s="1"/>
  <c r="Q2163" i="1"/>
  <c r="Q2191" i="1" s="1"/>
  <c r="U1718" i="1"/>
  <c r="J41" i="1"/>
  <c r="AF600" i="1"/>
  <c r="U47" i="1"/>
  <c r="U56" i="1" s="1"/>
  <c r="U84" i="1" s="1"/>
  <c r="U41" i="1"/>
  <c r="P56" i="1"/>
  <c r="P84" i="1" s="1"/>
  <c r="T219" i="1"/>
  <c r="T228" i="1" s="1"/>
  <c r="T256" i="1" s="1"/>
  <c r="T176" i="1"/>
  <c r="T185" i="1" s="1"/>
  <c r="T213" i="1" s="1"/>
  <c r="AA649" i="1"/>
  <c r="AA658" i="1" s="1"/>
  <c r="AA686" i="1" s="1"/>
  <c r="P1767" i="1"/>
  <c r="P1776" i="1" s="1"/>
  <c r="P1804" i="1" s="1"/>
  <c r="Y701" i="1"/>
  <c r="Y729" i="1" s="1"/>
  <c r="Y735" i="1" s="1"/>
  <c r="AA692" i="1"/>
  <c r="AA701" i="1" s="1"/>
  <c r="AA729" i="1" s="1"/>
  <c r="T1733" i="1"/>
  <c r="T1761" i="1" s="1"/>
  <c r="U1724" i="1"/>
  <c r="U1733" i="1" s="1"/>
  <c r="U1761" i="1" s="1"/>
  <c r="M1819" i="1"/>
  <c r="M1847" i="1" s="1"/>
  <c r="M1853" i="1" s="1"/>
  <c r="P1810" i="1"/>
  <c r="P1819" i="1" s="1"/>
  <c r="P1847" i="1" s="1"/>
  <c r="R1776" i="1"/>
  <c r="R1804" i="1" s="1"/>
  <c r="R1810" i="1" s="1"/>
  <c r="T1767" i="1"/>
  <c r="T1776" i="1" s="1"/>
  <c r="T1804" i="1" s="1"/>
  <c r="F99" i="1"/>
  <c r="F127" i="1" s="1"/>
  <c r="F133" i="1" s="1"/>
  <c r="I90" i="1"/>
  <c r="I99" i="1" s="1"/>
  <c r="I127" i="1" s="1"/>
  <c r="C99" i="1"/>
  <c r="C127" i="1" s="1"/>
  <c r="C133" i="1" s="1"/>
  <c r="E90" i="1"/>
  <c r="X1002" i="1"/>
  <c r="X1030" i="1" s="1"/>
  <c r="X1036" i="1" s="1"/>
  <c r="U90" i="1"/>
  <c r="U99" i="1" s="1"/>
  <c r="U127" i="1" s="1"/>
  <c r="P99" i="1"/>
  <c r="P127" i="1" s="1"/>
  <c r="AF606" i="1"/>
  <c r="AF615" i="1" s="1"/>
  <c r="AF643" i="1" s="1"/>
  <c r="AE615" i="1"/>
  <c r="AE643" i="1" s="1"/>
  <c r="M142" i="1"/>
  <c r="M170" i="1" s="1"/>
  <c r="M176" i="1" s="1"/>
  <c r="P133" i="1"/>
  <c r="T262" i="1"/>
  <c r="T271" i="1" s="1"/>
  <c r="T299" i="1" s="1"/>
  <c r="Q271" i="1"/>
  <c r="Q299" i="1" s="1"/>
  <c r="Q305" i="1" s="1"/>
  <c r="E56" i="1"/>
  <c r="E84" i="1" s="1"/>
  <c r="J47" i="1"/>
  <c r="J56" i="1" s="1"/>
  <c r="J84" i="1" s="1"/>
  <c r="AC658" i="1"/>
  <c r="AC686" i="1" s="1"/>
  <c r="AC692" i="1" s="1"/>
  <c r="AE649" i="1"/>
  <c r="M1862" i="1" l="1"/>
  <c r="M1890" i="1" s="1"/>
  <c r="M1896" i="1" s="1"/>
  <c r="P1853" i="1"/>
  <c r="P1862" i="1" s="1"/>
  <c r="P1890" i="1" s="1"/>
  <c r="U1767" i="1"/>
  <c r="U1776" i="1" s="1"/>
  <c r="U1804" i="1" s="1"/>
  <c r="Y744" i="1"/>
  <c r="Y772" i="1" s="1"/>
  <c r="Y778" i="1" s="1"/>
  <c r="AA735" i="1"/>
  <c r="AA744" i="1" s="1"/>
  <c r="AA772" i="1" s="1"/>
  <c r="R1819" i="1"/>
  <c r="R1847" i="1" s="1"/>
  <c r="R1853" i="1" s="1"/>
  <c r="T1810" i="1"/>
  <c r="T305" i="1"/>
  <c r="T314" i="1" s="1"/>
  <c r="T342" i="1" s="1"/>
  <c r="Q314" i="1"/>
  <c r="Q342" i="1" s="1"/>
  <c r="Q348" i="1" s="1"/>
  <c r="P142" i="1"/>
  <c r="P170" i="1" s="1"/>
  <c r="U133" i="1"/>
  <c r="U142" i="1" s="1"/>
  <c r="U170" i="1" s="1"/>
  <c r="M185" i="1"/>
  <c r="M213" i="1" s="1"/>
  <c r="M219" i="1" s="1"/>
  <c r="P176" i="1"/>
  <c r="X1045" i="1"/>
  <c r="X1073" i="1" s="1"/>
  <c r="X1079" i="1" s="1"/>
  <c r="J90" i="1"/>
  <c r="J99" i="1" s="1"/>
  <c r="J127" i="1" s="1"/>
  <c r="E99" i="1"/>
  <c r="E127" i="1" s="1"/>
  <c r="AE658" i="1"/>
  <c r="AE686" i="1" s="1"/>
  <c r="AF649" i="1"/>
  <c r="AF658" i="1" s="1"/>
  <c r="AF686" i="1" s="1"/>
  <c r="F142" i="1"/>
  <c r="F170" i="1" s="1"/>
  <c r="F176" i="1" s="1"/>
  <c r="I133" i="1"/>
  <c r="I142" i="1" s="1"/>
  <c r="I170" i="1" s="1"/>
  <c r="AC701" i="1"/>
  <c r="AC729" i="1" s="1"/>
  <c r="AC735" i="1" s="1"/>
  <c r="AE692" i="1"/>
  <c r="C142" i="1"/>
  <c r="C170" i="1" s="1"/>
  <c r="C176" i="1" s="1"/>
  <c r="E133" i="1"/>
  <c r="Y787" i="1" l="1"/>
  <c r="Y815" i="1" s="1"/>
  <c r="Y821" i="1" s="1"/>
  <c r="AA778" i="1"/>
  <c r="AA787" i="1" s="1"/>
  <c r="AA815" i="1" s="1"/>
  <c r="U1810" i="1"/>
  <c r="U1819" i="1" s="1"/>
  <c r="U1847" i="1" s="1"/>
  <c r="T1819" i="1"/>
  <c r="T1847" i="1" s="1"/>
  <c r="M1905" i="1"/>
  <c r="M1933" i="1" s="1"/>
  <c r="M1939" i="1" s="1"/>
  <c r="P1896" i="1"/>
  <c r="P1905" i="1" s="1"/>
  <c r="P1933" i="1" s="1"/>
  <c r="R1862" i="1"/>
  <c r="R1890" i="1" s="1"/>
  <c r="R1896" i="1" s="1"/>
  <c r="T1853" i="1"/>
  <c r="AC744" i="1"/>
  <c r="AC772" i="1" s="1"/>
  <c r="AC778" i="1" s="1"/>
  <c r="AE735" i="1"/>
  <c r="J133" i="1"/>
  <c r="J142" i="1" s="1"/>
  <c r="J170" i="1" s="1"/>
  <c r="E142" i="1"/>
  <c r="E170" i="1" s="1"/>
  <c r="AF692" i="1"/>
  <c r="AF701" i="1" s="1"/>
  <c r="AF729" i="1" s="1"/>
  <c r="AE701" i="1"/>
  <c r="AE729" i="1" s="1"/>
  <c r="U176" i="1"/>
  <c r="U185" i="1" s="1"/>
  <c r="U213" i="1" s="1"/>
  <c r="P185" i="1"/>
  <c r="P213" i="1" s="1"/>
  <c r="Q357" i="1"/>
  <c r="Q385" i="1" s="1"/>
  <c r="Q391" i="1" s="1"/>
  <c r="T348" i="1"/>
  <c r="T357" i="1" s="1"/>
  <c r="T385" i="1" s="1"/>
  <c r="X1088" i="1"/>
  <c r="X1116" i="1" s="1"/>
  <c r="X1122" i="1" s="1"/>
  <c r="P219" i="1"/>
  <c r="M228" i="1"/>
  <c r="M256" i="1" s="1"/>
  <c r="M262" i="1" s="1"/>
  <c r="C185" i="1"/>
  <c r="C213" i="1" s="1"/>
  <c r="C219" i="1" s="1"/>
  <c r="E176" i="1"/>
  <c r="F185" i="1"/>
  <c r="F213" i="1" s="1"/>
  <c r="F219" i="1" s="1"/>
  <c r="I176" i="1"/>
  <c r="I185" i="1" s="1"/>
  <c r="I213" i="1" s="1"/>
  <c r="R1905" i="1" l="1"/>
  <c r="R1933" i="1" s="1"/>
  <c r="R1939" i="1" s="1"/>
  <c r="T1896" i="1"/>
  <c r="M1948" i="1"/>
  <c r="M1976" i="1" s="1"/>
  <c r="M1982" i="1" s="1"/>
  <c r="P1939" i="1"/>
  <c r="P1948" i="1" s="1"/>
  <c r="P1976" i="1" s="1"/>
  <c r="T1862" i="1"/>
  <c r="T1890" i="1" s="1"/>
  <c r="U1853" i="1"/>
  <c r="U1862" i="1" s="1"/>
  <c r="U1890" i="1" s="1"/>
  <c r="Y830" i="1"/>
  <c r="Y858" i="1" s="1"/>
  <c r="Y864" i="1" s="1"/>
  <c r="AA821" i="1"/>
  <c r="AA830" i="1" s="1"/>
  <c r="AA858" i="1" s="1"/>
  <c r="X1131" i="1"/>
  <c r="X1159" i="1" s="1"/>
  <c r="X1165" i="1" s="1"/>
  <c r="AE744" i="1"/>
  <c r="AE772" i="1" s="1"/>
  <c r="AF735" i="1"/>
  <c r="AF744" i="1" s="1"/>
  <c r="AF772" i="1" s="1"/>
  <c r="E185" i="1"/>
  <c r="E213" i="1" s="1"/>
  <c r="J176" i="1"/>
  <c r="J185" i="1" s="1"/>
  <c r="J213" i="1" s="1"/>
  <c r="T391" i="1"/>
  <c r="T400" i="1" s="1"/>
  <c r="T428" i="1" s="1"/>
  <c r="Q400" i="1"/>
  <c r="Q428" i="1" s="1"/>
  <c r="Q434" i="1" s="1"/>
  <c r="AC787" i="1"/>
  <c r="AC815" i="1" s="1"/>
  <c r="AC821" i="1" s="1"/>
  <c r="AE778" i="1"/>
  <c r="C228" i="1"/>
  <c r="C256" i="1" s="1"/>
  <c r="C262" i="1" s="1"/>
  <c r="E219" i="1"/>
  <c r="M271" i="1"/>
  <c r="M299" i="1" s="1"/>
  <c r="M305" i="1" s="1"/>
  <c r="P262" i="1"/>
  <c r="F228" i="1"/>
  <c r="F256" i="1" s="1"/>
  <c r="F262" i="1" s="1"/>
  <c r="I219" i="1"/>
  <c r="I228" i="1" s="1"/>
  <c r="I256" i="1" s="1"/>
  <c r="P228" i="1"/>
  <c r="P256" i="1" s="1"/>
  <c r="U219" i="1"/>
  <c r="U228" i="1" s="1"/>
  <c r="U256" i="1" s="1"/>
  <c r="AA864" i="1" l="1"/>
  <c r="AA873" i="1" s="1"/>
  <c r="AA901" i="1" s="1"/>
  <c r="Y873" i="1"/>
  <c r="Y901" i="1" s="1"/>
  <c r="Y907" i="1" s="1"/>
  <c r="M1991" i="1"/>
  <c r="M2019" i="1" s="1"/>
  <c r="M2025" i="1" s="1"/>
  <c r="P1982" i="1"/>
  <c r="P1991" i="1" s="1"/>
  <c r="P2019" i="1" s="1"/>
  <c r="T1905" i="1"/>
  <c r="T1933" i="1" s="1"/>
  <c r="U1896" i="1"/>
  <c r="U1905" i="1" s="1"/>
  <c r="U1933" i="1" s="1"/>
  <c r="T1939" i="1"/>
  <c r="R1948" i="1"/>
  <c r="R1976" i="1" s="1"/>
  <c r="R1982" i="1" s="1"/>
  <c r="Q443" i="1"/>
  <c r="Q471" i="1" s="1"/>
  <c r="Q477" i="1" s="1"/>
  <c r="T434" i="1"/>
  <c r="T443" i="1" s="1"/>
  <c r="T471" i="1" s="1"/>
  <c r="F271" i="1"/>
  <c r="F299" i="1" s="1"/>
  <c r="F305" i="1" s="1"/>
  <c r="I262" i="1"/>
  <c r="I271" i="1" s="1"/>
  <c r="I299" i="1" s="1"/>
  <c r="M314" i="1"/>
  <c r="M342" i="1" s="1"/>
  <c r="M348" i="1" s="1"/>
  <c r="P305" i="1"/>
  <c r="AC830" i="1"/>
  <c r="AC858" i="1" s="1"/>
  <c r="AC864" i="1" s="1"/>
  <c r="AE821" i="1"/>
  <c r="X1174" i="1"/>
  <c r="X1202" i="1" s="1"/>
  <c r="X1208" i="1" s="1"/>
  <c r="E228" i="1"/>
  <c r="E256" i="1" s="1"/>
  <c r="J219" i="1"/>
  <c r="J228" i="1" s="1"/>
  <c r="J256" i="1" s="1"/>
  <c r="C271" i="1"/>
  <c r="C299" i="1" s="1"/>
  <c r="C305" i="1" s="1"/>
  <c r="E262" i="1"/>
  <c r="U262" i="1"/>
  <c r="U271" i="1" s="1"/>
  <c r="U299" i="1" s="1"/>
  <c r="P271" i="1"/>
  <c r="P299" i="1" s="1"/>
  <c r="AE787" i="1"/>
  <c r="AE815" i="1" s="1"/>
  <c r="AF778" i="1"/>
  <c r="AF787" i="1" s="1"/>
  <c r="AF815" i="1" s="1"/>
  <c r="R1991" i="1" l="1"/>
  <c r="R2019" i="1" s="1"/>
  <c r="R2025" i="1" s="1"/>
  <c r="T1982" i="1"/>
  <c r="U1939" i="1"/>
  <c r="U1948" i="1" s="1"/>
  <c r="U1976" i="1" s="1"/>
  <c r="T1948" i="1"/>
  <c r="T1976" i="1" s="1"/>
  <c r="Y916" i="1"/>
  <c r="Y944" i="1" s="1"/>
  <c r="Y950" i="1" s="1"/>
  <c r="AA907" i="1"/>
  <c r="AA916" i="1" s="1"/>
  <c r="AA944" i="1" s="1"/>
  <c r="M2034" i="1"/>
  <c r="M2062" i="1" s="1"/>
  <c r="M2068" i="1" s="1"/>
  <c r="P2025" i="1"/>
  <c r="P2034" i="1" s="1"/>
  <c r="P2062" i="1" s="1"/>
  <c r="M357" i="1"/>
  <c r="M385" i="1" s="1"/>
  <c r="M391" i="1" s="1"/>
  <c r="P348" i="1"/>
  <c r="F314" i="1"/>
  <c r="F342" i="1" s="1"/>
  <c r="F348" i="1" s="1"/>
  <c r="I305" i="1"/>
  <c r="I314" i="1" s="1"/>
  <c r="I342" i="1" s="1"/>
  <c r="AE830" i="1"/>
  <c r="AE858" i="1" s="1"/>
  <c r="AF821" i="1"/>
  <c r="AF830" i="1" s="1"/>
  <c r="AF858" i="1" s="1"/>
  <c r="Q486" i="1"/>
  <c r="Q514" i="1" s="1"/>
  <c r="Q520" i="1" s="1"/>
  <c r="T477" i="1"/>
  <c r="T486" i="1" s="1"/>
  <c r="T514" i="1" s="1"/>
  <c r="E271" i="1"/>
  <c r="E299" i="1" s="1"/>
  <c r="J262" i="1"/>
  <c r="J271" i="1" s="1"/>
  <c r="J299" i="1" s="1"/>
  <c r="C314" i="1"/>
  <c r="C342" i="1" s="1"/>
  <c r="C348" i="1" s="1"/>
  <c r="E305" i="1"/>
  <c r="X1217" i="1"/>
  <c r="X1245" i="1" s="1"/>
  <c r="X1251" i="1" s="1"/>
  <c r="AC873" i="1"/>
  <c r="AC901" i="1" s="1"/>
  <c r="AC907" i="1" s="1"/>
  <c r="AE864" i="1"/>
  <c r="P314" i="1"/>
  <c r="P342" i="1" s="1"/>
  <c r="U305" i="1"/>
  <c r="U314" i="1" s="1"/>
  <c r="U342" i="1" s="1"/>
  <c r="T1991" i="1" l="1"/>
  <c r="T2019" i="1" s="1"/>
  <c r="U1982" i="1"/>
  <c r="U1991" i="1" s="1"/>
  <c r="U2019" i="1" s="1"/>
  <c r="Y959" i="1"/>
  <c r="Y987" i="1" s="1"/>
  <c r="Y993" i="1" s="1"/>
  <c r="AA950" i="1"/>
  <c r="AA959" i="1" s="1"/>
  <c r="AA987" i="1" s="1"/>
  <c r="R2034" i="1"/>
  <c r="R2062" i="1" s="1"/>
  <c r="R2068" i="1" s="1"/>
  <c r="T2025" i="1"/>
  <c r="M2077" i="1"/>
  <c r="M2105" i="1" s="1"/>
  <c r="M2111" i="1" s="1"/>
  <c r="P2068" i="1"/>
  <c r="P2077" i="1" s="1"/>
  <c r="P2105" i="1" s="1"/>
  <c r="X1260" i="1"/>
  <c r="X1288" i="1" s="1"/>
  <c r="X1294" i="1" s="1"/>
  <c r="AE873" i="1"/>
  <c r="AE901" i="1" s="1"/>
  <c r="AF864" i="1"/>
  <c r="AF873" i="1" s="1"/>
  <c r="AF901" i="1" s="1"/>
  <c r="J305" i="1"/>
  <c r="J314" i="1" s="1"/>
  <c r="J342" i="1" s="1"/>
  <c r="E314" i="1"/>
  <c r="E342" i="1" s="1"/>
  <c r="AC916" i="1"/>
  <c r="AC944" i="1" s="1"/>
  <c r="AC950" i="1" s="1"/>
  <c r="AE907" i="1"/>
  <c r="C357" i="1"/>
  <c r="C385" i="1" s="1"/>
  <c r="C391" i="1" s="1"/>
  <c r="E348" i="1"/>
  <c r="Q529" i="1"/>
  <c r="Q557" i="1" s="1"/>
  <c r="Q563" i="1" s="1"/>
  <c r="T520" i="1"/>
  <c r="T529" i="1" s="1"/>
  <c r="T557" i="1" s="1"/>
  <c r="F357" i="1"/>
  <c r="F385" i="1" s="1"/>
  <c r="F391" i="1" s="1"/>
  <c r="I348" i="1"/>
  <c r="I357" i="1" s="1"/>
  <c r="I385" i="1" s="1"/>
  <c r="P357" i="1"/>
  <c r="P385" i="1" s="1"/>
  <c r="U348" i="1"/>
  <c r="U357" i="1" s="1"/>
  <c r="U385" i="1" s="1"/>
  <c r="P391" i="1"/>
  <c r="M400" i="1"/>
  <c r="M428" i="1" s="1"/>
  <c r="M434" i="1" s="1"/>
  <c r="M2120" i="1" l="1"/>
  <c r="M2148" i="1" s="1"/>
  <c r="M2154" i="1" s="1"/>
  <c r="P2111" i="1"/>
  <c r="Y1002" i="1"/>
  <c r="Y1030" i="1" s="1"/>
  <c r="Y1036" i="1" s="1"/>
  <c r="AA993" i="1"/>
  <c r="AA1002" i="1" s="1"/>
  <c r="AA1030" i="1" s="1"/>
  <c r="U2025" i="1"/>
  <c r="U2034" i="1" s="1"/>
  <c r="U2062" i="1" s="1"/>
  <c r="T2034" i="1"/>
  <c r="T2062" i="1" s="1"/>
  <c r="T2068" i="1"/>
  <c r="T2077" i="1" s="1"/>
  <c r="T2105" i="1" s="1"/>
  <c r="R2077" i="1"/>
  <c r="R2105" i="1" s="1"/>
  <c r="R2111" i="1" s="1"/>
  <c r="F400" i="1"/>
  <c r="F428" i="1" s="1"/>
  <c r="F434" i="1" s="1"/>
  <c r="I391" i="1"/>
  <c r="I400" i="1" s="1"/>
  <c r="I428" i="1" s="1"/>
  <c r="P434" i="1"/>
  <c r="M443" i="1"/>
  <c r="M471" i="1" s="1"/>
  <c r="M477" i="1" s="1"/>
  <c r="J348" i="1"/>
  <c r="J357" i="1" s="1"/>
  <c r="J385" i="1" s="1"/>
  <c r="E357" i="1"/>
  <c r="E385" i="1" s="1"/>
  <c r="P400" i="1"/>
  <c r="P428" i="1" s="1"/>
  <c r="U391" i="1"/>
  <c r="U400" i="1" s="1"/>
  <c r="U428" i="1" s="1"/>
  <c r="AE916" i="1"/>
  <c r="AE944" i="1" s="1"/>
  <c r="AF907" i="1"/>
  <c r="AF916" i="1" s="1"/>
  <c r="AF944" i="1" s="1"/>
  <c r="C400" i="1"/>
  <c r="C428" i="1" s="1"/>
  <c r="C434" i="1" s="1"/>
  <c r="E391" i="1"/>
  <c r="Q572" i="1"/>
  <c r="Q600" i="1" s="1"/>
  <c r="T563" i="1"/>
  <c r="T572" i="1" s="1"/>
  <c r="T600" i="1" s="1"/>
  <c r="AC959" i="1"/>
  <c r="AC987" i="1" s="1"/>
  <c r="AC993" i="1" s="1"/>
  <c r="AE950" i="1"/>
  <c r="X1303" i="1"/>
  <c r="X1331" i="1" s="1"/>
  <c r="X1337" i="1" s="1"/>
  <c r="M2163" i="1" l="1"/>
  <c r="M2191" i="1" s="1"/>
  <c r="P2154" i="1"/>
  <c r="R2120" i="1"/>
  <c r="R2148" i="1" s="1"/>
  <c r="R2154" i="1" s="1"/>
  <c r="T2111" i="1"/>
  <c r="T2120" i="1" s="1"/>
  <c r="T2148" i="1" s="1"/>
  <c r="P2120" i="1"/>
  <c r="P2148" i="1" s="1"/>
  <c r="U2068" i="1"/>
  <c r="U2077" i="1" s="1"/>
  <c r="U2105" i="1" s="1"/>
  <c r="AA1036" i="1"/>
  <c r="AA1045" i="1" s="1"/>
  <c r="AA1073" i="1" s="1"/>
  <c r="Y1045" i="1"/>
  <c r="Y1073" i="1" s="1"/>
  <c r="Y1079" i="1" s="1"/>
  <c r="X1346" i="1"/>
  <c r="X1374" i="1" s="1"/>
  <c r="X1380" i="1" s="1"/>
  <c r="AC1002" i="1"/>
  <c r="AC1030" i="1" s="1"/>
  <c r="AC1036" i="1" s="1"/>
  <c r="AE993" i="1"/>
  <c r="P477" i="1"/>
  <c r="M486" i="1"/>
  <c r="M514" i="1" s="1"/>
  <c r="M520" i="1" s="1"/>
  <c r="J391" i="1"/>
  <c r="J400" i="1" s="1"/>
  <c r="J428" i="1" s="1"/>
  <c r="E400" i="1"/>
  <c r="E428" i="1" s="1"/>
  <c r="P443" i="1"/>
  <c r="P471" i="1" s="1"/>
  <c r="U434" i="1"/>
  <c r="U443" i="1" s="1"/>
  <c r="U471" i="1" s="1"/>
  <c r="C443" i="1"/>
  <c r="C471" i="1" s="1"/>
  <c r="C477" i="1" s="1"/>
  <c r="E434" i="1"/>
  <c r="F443" i="1"/>
  <c r="F471" i="1" s="1"/>
  <c r="F477" i="1" s="1"/>
  <c r="I434" i="1"/>
  <c r="I443" i="1" s="1"/>
  <c r="I471" i="1" s="1"/>
  <c r="AE959" i="1"/>
  <c r="AE987" i="1" s="1"/>
  <c r="AF950" i="1"/>
  <c r="AF959" i="1" s="1"/>
  <c r="AF987" i="1" s="1"/>
  <c r="R2163" i="1" l="1"/>
  <c r="R2191" i="1" s="1"/>
  <c r="T2154" i="1"/>
  <c r="T2163" i="1" s="1"/>
  <c r="T2191" i="1" s="1"/>
  <c r="P2163" i="1"/>
  <c r="P2191" i="1" s="1"/>
  <c r="U2111" i="1"/>
  <c r="U2120" i="1" s="1"/>
  <c r="U2148" i="1" s="1"/>
  <c r="Y1088" i="1"/>
  <c r="Y1116" i="1" s="1"/>
  <c r="Y1122" i="1" s="1"/>
  <c r="AA1079" i="1"/>
  <c r="AA1088" i="1" s="1"/>
  <c r="AA1116" i="1" s="1"/>
  <c r="J434" i="1"/>
  <c r="J443" i="1" s="1"/>
  <c r="J471" i="1" s="1"/>
  <c r="E443" i="1"/>
  <c r="E471" i="1" s="1"/>
  <c r="F486" i="1"/>
  <c r="F514" i="1" s="1"/>
  <c r="F520" i="1" s="1"/>
  <c r="I477" i="1"/>
  <c r="I486" i="1" s="1"/>
  <c r="I514" i="1" s="1"/>
  <c r="C486" i="1"/>
  <c r="C514" i="1" s="1"/>
  <c r="C520" i="1" s="1"/>
  <c r="E477" i="1"/>
  <c r="P520" i="1"/>
  <c r="M529" i="1"/>
  <c r="M557" i="1" s="1"/>
  <c r="M563" i="1" s="1"/>
  <c r="AE1002" i="1"/>
  <c r="AE1030" i="1" s="1"/>
  <c r="AF993" i="1"/>
  <c r="AF1002" i="1" s="1"/>
  <c r="AF1030" i="1" s="1"/>
  <c r="U477" i="1"/>
  <c r="U486" i="1" s="1"/>
  <c r="U514" i="1" s="1"/>
  <c r="P486" i="1"/>
  <c r="P514" i="1" s="1"/>
  <c r="AC1045" i="1"/>
  <c r="AC1073" i="1" s="1"/>
  <c r="AC1079" i="1" s="1"/>
  <c r="AE1036" i="1"/>
  <c r="X1389" i="1"/>
  <c r="X1417" i="1" s="1"/>
  <c r="X1423" i="1" s="1"/>
  <c r="U2154" i="1" l="1"/>
  <c r="U2163" i="1" s="1"/>
  <c r="U2191" i="1" s="1"/>
  <c r="Y1131" i="1"/>
  <c r="Y1159" i="1" s="1"/>
  <c r="Y1165" i="1" s="1"/>
  <c r="AA1122" i="1"/>
  <c r="AA1131" i="1" s="1"/>
  <c r="AA1159" i="1" s="1"/>
  <c r="C529" i="1"/>
  <c r="C557" i="1" s="1"/>
  <c r="C563" i="1" s="1"/>
  <c r="E520" i="1"/>
  <c r="AE1045" i="1"/>
  <c r="AE1073" i="1" s="1"/>
  <c r="AF1036" i="1"/>
  <c r="AF1045" i="1" s="1"/>
  <c r="AF1073" i="1" s="1"/>
  <c r="M572" i="1"/>
  <c r="M600" i="1" s="1"/>
  <c r="P563" i="1"/>
  <c r="X1432" i="1"/>
  <c r="X1460" i="1" s="1"/>
  <c r="X1466" i="1" s="1"/>
  <c r="AC1088" i="1"/>
  <c r="AC1116" i="1" s="1"/>
  <c r="AC1122" i="1" s="1"/>
  <c r="AE1079" i="1"/>
  <c r="U520" i="1"/>
  <c r="U529" i="1" s="1"/>
  <c r="U557" i="1" s="1"/>
  <c r="P529" i="1"/>
  <c r="P557" i="1" s="1"/>
  <c r="F529" i="1"/>
  <c r="F557" i="1" s="1"/>
  <c r="F563" i="1" s="1"/>
  <c r="I520" i="1"/>
  <c r="I529" i="1" s="1"/>
  <c r="I557" i="1" s="1"/>
  <c r="E486" i="1"/>
  <c r="E514" i="1" s="1"/>
  <c r="J477" i="1"/>
  <c r="J486" i="1" s="1"/>
  <c r="J514" i="1" s="1"/>
  <c r="Y1174" i="1" l="1"/>
  <c r="Y1202" i="1" s="1"/>
  <c r="Y1208" i="1" s="1"/>
  <c r="AA1165" i="1"/>
  <c r="AA1174" i="1" s="1"/>
  <c r="AA1202" i="1" s="1"/>
  <c r="J520" i="1"/>
  <c r="J529" i="1" s="1"/>
  <c r="J557" i="1" s="1"/>
  <c r="E529" i="1"/>
  <c r="E557" i="1" s="1"/>
  <c r="C572" i="1"/>
  <c r="C600" i="1" s="1"/>
  <c r="C606" i="1" s="1"/>
  <c r="E563" i="1"/>
  <c r="AE1088" i="1"/>
  <c r="AE1116" i="1" s="1"/>
  <c r="AF1079" i="1"/>
  <c r="AF1088" i="1" s="1"/>
  <c r="AF1116" i="1" s="1"/>
  <c r="P572" i="1"/>
  <c r="P600" i="1" s="1"/>
  <c r="U563" i="1"/>
  <c r="U572" i="1" s="1"/>
  <c r="U600" i="1" s="1"/>
  <c r="F572" i="1"/>
  <c r="F600" i="1" s="1"/>
  <c r="F606" i="1" s="1"/>
  <c r="I563" i="1"/>
  <c r="I572" i="1" s="1"/>
  <c r="I600" i="1" s="1"/>
  <c r="AC1131" i="1"/>
  <c r="AC1159" i="1" s="1"/>
  <c r="AC1165" i="1" s="1"/>
  <c r="AE1122" i="1"/>
  <c r="X1475" i="1"/>
  <c r="X1503" i="1" s="1"/>
  <c r="X1509" i="1" s="1"/>
  <c r="Y1217" i="1" l="1"/>
  <c r="Y1245" i="1" s="1"/>
  <c r="Y1251" i="1" s="1"/>
  <c r="AA1208" i="1"/>
  <c r="AA1217" i="1" s="1"/>
  <c r="AA1245" i="1" s="1"/>
  <c r="X1518" i="1"/>
  <c r="X1546" i="1" s="1"/>
  <c r="X1552" i="1" s="1"/>
  <c r="J563" i="1"/>
  <c r="J572" i="1" s="1"/>
  <c r="J600" i="1" s="1"/>
  <c r="E572" i="1"/>
  <c r="E600" i="1" s="1"/>
  <c r="C615" i="1"/>
  <c r="C643" i="1" s="1"/>
  <c r="C649" i="1" s="1"/>
  <c r="E606" i="1"/>
  <c r="AC1174" i="1"/>
  <c r="AC1202" i="1" s="1"/>
  <c r="AC1208" i="1" s="1"/>
  <c r="AE1165" i="1"/>
  <c r="AE1131" i="1"/>
  <c r="AE1159" i="1" s="1"/>
  <c r="AF1122" i="1"/>
  <c r="AF1131" i="1" s="1"/>
  <c r="AF1159" i="1" s="1"/>
  <c r="F615" i="1"/>
  <c r="F643" i="1" s="1"/>
  <c r="F649" i="1" s="1"/>
  <c r="I606" i="1"/>
  <c r="I615" i="1" s="1"/>
  <c r="I643" i="1" s="1"/>
  <c r="AA1251" i="1" l="1"/>
  <c r="AA1260" i="1" s="1"/>
  <c r="AA1288" i="1" s="1"/>
  <c r="Y1260" i="1"/>
  <c r="Y1288" i="1" s="1"/>
  <c r="Y1294" i="1" s="1"/>
  <c r="AE1174" i="1"/>
  <c r="AE1202" i="1" s="1"/>
  <c r="AF1165" i="1"/>
  <c r="AF1174" i="1" s="1"/>
  <c r="AF1202" i="1" s="1"/>
  <c r="J606" i="1"/>
  <c r="J615" i="1" s="1"/>
  <c r="J643" i="1" s="1"/>
  <c r="E615" i="1"/>
  <c r="E643" i="1" s="1"/>
  <c r="F658" i="1"/>
  <c r="F686" i="1" s="1"/>
  <c r="F692" i="1" s="1"/>
  <c r="I649" i="1"/>
  <c r="I658" i="1" s="1"/>
  <c r="I686" i="1" s="1"/>
  <c r="AC1217" i="1"/>
  <c r="AC1245" i="1" s="1"/>
  <c r="AC1251" i="1" s="1"/>
  <c r="AE1208" i="1"/>
  <c r="C658" i="1"/>
  <c r="C686" i="1" s="1"/>
  <c r="C692" i="1" s="1"/>
  <c r="E649" i="1"/>
  <c r="X1561" i="1"/>
  <c r="X1589" i="1" s="1"/>
  <c r="X1595" i="1" s="1"/>
  <c r="Y1303" i="1" l="1"/>
  <c r="Y1331" i="1" s="1"/>
  <c r="Y1337" i="1" s="1"/>
  <c r="AA1294" i="1"/>
  <c r="AA1303" i="1" s="1"/>
  <c r="AA1331" i="1" s="1"/>
  <c r="C701" i="1"/>
  <c r="C729" i="1" s="1"/>
  <c r="C735" i="1" s="1"/>
  <c r="E692" i="1"/>
  <c r="AC1260" i="1"/>
  <c r="AC1288" i="1" s="1"/>
  <c r="AC1294" i="1" s="1"/>
  <c r="AE1251" i="1"/>
  <c r="E658" i="1"/>
  <c r="E686" i="1" s="1"/>
  <c r="J649" i="1"/>
  <c r="J658" i="1" s="1"/>
  <c r="J686" i="1" s="1"/>
  <c r="AE1217" i="1"/>
  <c r="AE1245" i="1" s="1"/>
  <c r="AF1208" i="1"/>
  <c r="AF1217" i="1" s="1"/>
  <c r="AF1245" i="1" s="1"/>
  <c r="X1604" i="1"/>
  <c r="X1632" i="1" s="1"/>
  <c r="X1638" i="1" s="1"/>
  <c r="F701" i="1"/>
  <c r="F729" i="1" s="1"/>
  <c r="F735" i="1" s="1"/>
  <c r="I692" i="1"/>
  <c r="I701" i="1" s="1"/>
  <c r="I729" i="1" s="1"/>
  <c r="Y1346" i="1" l="1"/>
  <c r="Y1374" i="1" s="1"/>
  <c r="Y1380" i="1" s="1"/>
  <c r="AA1337" i="1"/>
  <c r="AA1346" i="1" s="1"/>
  <c r="AA1374" i="1" s="1"/>
  <c r="E701" i="1"/>
  <c r="E729" i="1" s="1"/>
  <c r="J692" i="1"/>
  <c r="J701" i="1" s="1"/>
  <c r="J729" i="1" s="1"/>
  <c r="C744" i="1"/>
  <c r="C772" i="1" s="1"/>
  <c r="C778" i="1" s="1"/>
  <c r="E735" i="1"/>
  <c r="AE1260" i="1"/>
  <c r="AE1288" i="1" s="1"/>
  <c r="AF1251" i="1"/>
  <c r="AF1260" i="1" s="1"/>
  <c r="AF1288" i="1" s="1"/>
  <c r="AC1303" i="1"/>
  <c r="AC1331" i="1" s="1"/>
  <c r="AC1337" i="1" s="1"/>
  <c r="AE1294" i="1"/>
  <c r="X1647" i="1"/>
  <c r="X1675" i="1" s="1"/>
  <c r="X1681" i="1" s="1"/>
  <c r="F744" i="1"/>
  <c r="F772" i="1" s="1"/>
  <c r="F778" i="1" s="1"/>
  <c r="I735" i="1"/>
  <c r="I744" i="1" s="1"/>
  <c r="I772" i="1" s="1"/>
  <c r="Y1389" i="1" l="1"/>
  <c r="Y1417" i="1" s="1"/>
  <c r="Y1423" i="1" s="1"/>
  <c r="AA1380" i="1"/>
  <c r="AA1389" i="1" s="1"/>
  <c r="AA1417" i="1" s="1"/>
  <c r="E744" i="1"/>
  <c r="E772" i="1" s="1"/>
  <c r="J735" i="1"/>
  <c r="J744" i="1" s="1"/>
  <c r="J772" i="1" s="1"/>
  <c r="X1690" i="1"/>
  <c r="X1718" i="1" s="1"/>
  <c r="X1724" i="1" s="1"/>
  <c r="C787" i="1"/>
  <c r="C815" i="1" s="1"/>
  <c r="C821" i="1" s="1"/>
  <c r="E778" i="1"/>
  <c r="AE1303" i="1"/>
  <c r="AE1331" i="1" s="1"/>
  <c r="AF1294" i="1"/>
  <c r="AF1303" i="1" s="1"/>
  <c r="AF1331" i="1" s="1"/>
  <c r="F787" i="1"/>
  <c r="F815" i="1" s="1"/>
  <c r="F821" i="1" s="1"/>
  <c r="I778" i="1"/>
  <c r="I787" i="1" s="1"/>
  <c r="I815" i="1" s="1"/>
  <c r="AC1346" i="1"/>
  <c r="AC1374" i="1" s="1"/>
  <c r="AC1380" i="1" s="1"/>
  <c r="AE1337" i="1"/>
  <c r="Y1432" i="1" l="1"/>
  <c r="Y1460" i="1" s="1"/>
  <c r="Y1466" i="1" s="1"/>
  <c r="AA1423" i="1"/>
  <c r="AA1432" i="1" s="1"/>
  <c r="AA1460" i="1" s="1"/>
  <c r="AE1346" i="1"/>
  <c r="AE1374" i="1" s="1"/>
  <c r="AF1337" i="1"/>
  <c r="AF1346" i="1" s="1"/>
  <c r="AF1374" i="1" s="1"/>
  <c r="E787" i="1"/>
  <c r="E815" i="1" s="1"/>
  <c r="J778" i="1"/>
  <c r="J787" i="1" s="1"/>
  <c r="J815" i="1" s="1"/>
  <c r="C830" i="1"/>
  <c r="C858" i="1" s="1"/>
  <c r="C864" i="1" s="1"/>
  <c r="E821" i="1"/>
  <c r="X1733" i="1"/>
  <c r="X1761" i="1" s="1"/>
  <c r="X1767" i="1" s="1"/>
  <c r="AC1389" i="1"/>
  <c r="AC1417" i="1" s="1"/>
  <c r="AC1423" i="1" s="1"/>
  <c r="AE1380" i="1"/>
  <c r="F830" i="1"/>
  <c r="F858" i="1" s="1"/>
  <c r="F864" i="1" s="1"/>
  <c r="I821" i="1"/>
  <c r="I830" i="1" s="1"/>
  <c r="I858" i="1" s="1"/>
  <c r="Y1475" i="1" l="1"/>
  <c r="Y1503" i="1" s="1"/>
  <c r="Y1509" i="1" s="1"/>
  <c r="AA1466" i="1"/>
  <c r="AA1475" i="1" s="1"/>
  <c r="AA1503" i="1" s="1"/>
  <c r="F873" i="1"/>
  <c r="F901" i="1" s="1"/>
  <c r="F907" i="1" s="1"/>
  <c r="I864" i="1"/>
  <c r="I873" i="1" s="1"/>
  <c r="I901" i="1" s="1"/>
  <c r="AE1389" i="1"/>
  <c r="AE1417" i="1" s="1"/>
  <c r="AF1380" i="1"/>
  <c r="AF1389" i="1" s="1"/>
  <c r="AF1417" i="1" s="1"/>
  <c r="J821" i="1"/>
  <c r="J830" i="1" s="1"/>
  <c r="J858" i="1" s="1"/>
  <c r="E830" i="1"/>
  <c r="E858" i="1" s="1"/>
  <c r="X1776" i="1"/>
  <c r="X1804" i="1" s="1"/>
  <c r="X1810" i="1" s="1"/>
  <c r="AC1432" i="1"/>
  <c r="AC1460" i="1" s="1"/>
  <c r="AC1466" i="1" s="1"/>
  <c r="AE1423" i="1"/>
  <c r="C873" i="1"/>
  <c r="C901" i="1" s="1"/>
  <c r="C907" i="1" s="1"/>
  <c r="E864" i="1"/>
  <c r="AA1509" i="1" l="1"/>
  <c r="AA1518" i="1" s="1"/>
  <c r="AA1546" i="1" s="1"/>
  <c r="Y1518" i="1"/>
  <c r="Y1546" i="1" s="1"/>
  <c r="Y1552" i="1" s="1"/>
  <c r="AC1475" i="1"/>
  <c r="AC1503" i="1" s="1"/>
  <c r="AC1509" i="1" s="1"/>
  <c r="AE1466" i="1"/>
  <c r="X1819" i="1"/>
  <c r="X1847" i="1" s="1"/>
  <c r="X1853" i="1" s="1"/>
  <c r="AE1432" i="1"/>
  <c r="AE1460" i="1" s="1"/>
  <c r="AF1423" i="1"/>
  <c r="AF1432" i="1" s="1"/>
  <c r="AF1460" i="1" s="1"/>
  <c r="E873" i="1"/>
  <c r="E901" i="1" s="1"/>
  <c r="J864" i="1"/>
  <c r="J873" i="1" s="1"/>
  <c r="J901" i="1" s="1"/>
  <c r="C916" i="1"/>
  <c r="C944" i="1" s="1"/>
  <c r="C950" i="1" s="1"/>
  <c r="E907" i="1"/>
  <c r="F916" i="1"/>
  <c r="F944" i="1" s="1"/>
  <c r="F950" i="1" s="1"/>
  <c r="I907" i="1"/>
  <c r="I916" i="1" s="1"/>
  <c r="I944" i="1" s="1"/>
  <c r="Y1561" i="1" l="1"/>
  <c r="Y1589" i="1" s="1"/>
  <c r="Y1595" i="1" s="1"/>
  <c r="AA1552" i="1"/>
  <c r="AA1561" i="1" s="1"/>
  <c r="AA1589" i="1" s="1"/>
  <c r="X1862" i="1"/>
  <c r="X1890" i="1" s="1"/>
  <c r="X1896" i="1" s="1"/>
  <c r="J907" i="1"/>
  <c r="J916" i="1" s="1"/>
  <c r="J944" i="1" s="1"/>
  <c r="E916" i="1"/>
  <c r="E944" i="1" s="1"/>
  <c r="AE1475" i="1"/>
  <c r="AE1503" i="1" s="1"/>
  <c r="AF1466" i="1"/>
  <c r="AF1475" i="1" s="1"/>
  <c r="AF1503" i="1" s="1"/>
  <c r="C959" i="1"/>
  <c r="C987" i="1" s="1"/>
  <c r="C993" i="1" s="1"/>
  <c r="E950" i="1"/>
  <c r="F959" i="1"/>
  <c r="F987" i="1" s="1"/>
  <c r="F993" i="1" s="1"/>
  <c r="I950" i="1"/>
  <c r="I959" i="1" s="1"/>
  <c r="I987" i="1" s="1"/>
  <c r="AC1518" i="1"/>
  <c r="AC1546" i="1" s="1"/>
  <c r="AC1552" i="1" s="1"/>
  <c r="AE1509" i="1"/>
  <c r="Y1604" i="1" l="1"/>
  <c r="Y1632" i="1" s="1"/>
  <c r="Y1638" i="1" s="1"/>
  <c r="AA1595" i="1"/>
  <c r="AA1604" i="1" s="1"/>
  <c r="AA1632" i="1" s="1"/>
  <c r="X1905" i="1"/>
  <c r="X1933" i="1" s="1"/>
  <c r="X1939" i="1" s="1"/>
  <c r="J950" i="1"/>
  <c r="J959" i="1" s="1"/>
  <c r="J987" i="1" s="1"/>
  <c r="E959" i="1"/>
  <c r="E987" i="1" s="1"/>
  <c r="C1002" i="1"/>
  <c r="C1030" i="1" s="1"/>
  <c r="C1036" i="1" s="1"/>
  <c r="E993" i="1"/>
  <c r="F1002" i="1"/>
  <c r="F1030" i="1" s="1"/>
  <c r="F1036" i="1" s="1"/>
  <c r="I993" i="1"/>
  <c r="I1002" i="1" s="1"/>
  <c r="I1030" i="1" s="1"/>
  <c r="AE1518" i="1"/>
  <c r="AE1546" i="1" s="1"/>
  <c r="AF1509" i="1"/>
  <c r="AF1518" i="1" s="1"/>
  <c r="AF1546" i="1" s="1"/>
  <c r="AC1561" i="1"/>
  <c r="AC1589" i="1" s="1"/>
  <c r="AC1595" i="1" s="1"/>
  <c r="AE1552" i="1"/>
  <c r="Y1647" i="1" l="1"/>
  <c r="Y1675" i="1" s="1"/>
  <c r="Y1681" i="1" s="1"/>
  <c r="AA1638" i="1"/>
  <c r="AA1647" i="1" s="1"/>
  <c r="AA1675" i="1" s="1"/>
  <c r="X1948" i="1"/>
  <c r="X1976" i="1" s="1"/>
  <c r="X1982" i="1" s="1"/>
  <c r="AE1561" i="1"/>
  <c r="AE1589" i="1" s="1"/>
  <c r="AF1552" i="1"/>
  <c r="AF1561" i="1" s="1"/>
  <c r="AF1589" i="1" s="1"/>
  <c r="E1002" i="1"/>
  <c r="E1030" i="1" s="1"/>
  <c r="J993" i="1"/>
  <c r="J1002" i="1" s="1"/>
  <c r="J1030" i="1" s="1"/>
  <c r="AC1604" i="1"/>
  <c r="AC1632" i="1" s="1"/>
  <c r="AC1638" i="1" s="1"/>
  <c r="AE1595" i="1"/>
  <c r="F1045" i="1"/>
  <c r="F1073" i="1" s="1"/>
  <c r="F1079" i="1" s="1"/>
  <c r="I1036" i="1"/>
  <c r="I1045" i="1" s="1"/>
  <c r="I1073" i="1" s="1"/>
  <c r="C1045" i="1"/>
  <c r="C1073" i="1" s="1"/>
  <c r="C1079" i="1" s="1"/>
  <c r="E1036" i="1"/>
  <c r="AA1681" i="1" l="1"/>
  <c r="AA1690" i="1" s="1"/>
  <c r="AA1718" i="1" s="1"/>
  <c r="Y1690" i="1"/>
  <c r="Y1718" i="1" s="1"/>
  <c r="Y1724" i="1" s="1"/>
  <c r="F1088" i="1"/>
  <c r="F1116" i="1" s="1"/>
  <c r="F1122" i="1" s="1"/>
  <c r="I1079" i="1"/>
  <c r="I1088" i="1" s="1"/>
  <c r="I1116" i="1" s="1"/>
  <c r="AE1604" i="1"/>
  <c r="AE1632" i="1" s="1"/>
  <c r="AF1595" i="1"/>
  <c r="AF1604" i="1" s="1"/>
  <c r="AF1632" i="1" s="1"/>
  <c r="X1991" i="1"/>
  <c r="X2019" i="1" s="1"/>
  <c r="X2025" i="1" s="1"/>
  <c r="J1036" i="1"/>
  <c r="J1045" i="1" s="1"/>
  <c r="J1073" i="1" s="1"/>
  <c r="E1045" i="1"/>
  <c r="E1073" i="1" s="1"/>
  <c r="AC1647" i="1"/>
  <c r="AC1675" i="1" s="1"/>
  <c r="AC1681" i="1" s="1"/>
  <c r="AE1638" i="1"/>
  <c r="C1088" i="1"/>
  <c r="C1116" i="1" s="1"/>
  <c r="C1122" i="1" s="1"/>
  <c r="E1079" i="1"/>
  <c r="AA1724" i="1" l="1"/>
  <c r="AA1733" i="1" s="1"/>
  <c r="AA1761" i="1" s="1"/>
  <c r="Y1733" i="1"/>
  <c r="Y1761" i="1" s="1"/>
  <c r="Y1767" i="1" s="1"/>
  <c r="J1079" i="1"/>
  <c r="J1088" i="1" s="1"/>
  <c r="J1116" i="1" s="1"/>
  <c r="E1088" i="1"/>
  <c r="E1116" i="1" s="1"/>
  <c r="F1131" i="1"/>
  <c r="F1159" i="1" s="1"/>
  <c r="F1165" i="1" s="1"/>
  <c r="I1122" i="1"/>
  <c r="I1131" i="1" s="1"/>
  <c r="I1159" i="1" s="1"/>
  <c r="AE1647" i="1"/>
  <c r="AE1675" i="1" s="1"/>
  <c r="AF1638" i="1"/>
  <c r="AF1647" i="1" s="1"/>
  <c r="AF1675" i="1" s="1"/>
  <c r="C1131" i="1"/>
  <c r="C1159" i="1" s="1"/>
  <c r="C1165" i="1" s="1"/>
  <c r="E1122" i="1"/>
  <c r="AC1690" i="1"/>
  <c r="AC1718" i="1" s="1"/>
  <c r="AC1724" i="1" s="1"/>
  <c r="AE1681" i="1"/>
  <c r="X2034" i="1"/>
  <c r="X2062" i="1" s="1"/>
  <c r="X2068" i="1" s="1"/>
  <c r="Y1776" i="1" l="1"/>
  <c r="Y1804" i="1" s="1"/>
  <c r="Y1810" i="1" s="1"/>
  <c r="AA1767" i="1"/>
  <c r="AA1776" i="1" s="1"/>
  <c r="AA1804" i="1" s="1"/>
  <c r="F1174" i="1"/>
  <c r="F1202" i="1" s="1"/>
  <c r="F1208" i="1" s="1"/>
  <c r="I1165" i="1"/>
  <c r="I1174" i="1" s="1"/>
  <c r="I1202" i="1" s="1"/>
  <c r="J1122" i="1"/>
  <c r="J1131" i="1" s="1"/>
  <c r="J1159" i="1" s="1"/>
  <c r="E1131" i="1"/>
  <c r="E1159" i="1" s="1"/>
  <c r="AE1690" i="1"/>
  <c r="AE1718" i="1" s="1"/>
  <c r="AF1681" i="1"/>
  <c r="AF1690" i="1" s="1"/>
  <c r="AF1718" i="1" s="1"/>
  <c r="X2077" i="1"/>
  <c r="X2105" i="1" s="1"/>
  <c r="X2111" i="1" s="1"/>
  <c r="C1174" i="1"/>
  <c r="C1202" i="1" s="1"/>
  <c r="C1208" i="1" s="1"/>
  <c r="E1165" i="1"/>
  <c r="AC1733" i="1"/>
  <c r="AC1761" i="1" s="1"/>
  <c r="AC1767" i="1" s="1"/>
  <c r="AE1724" i="1"/>
  <c r="X2120" i="1" l="1"/>
  <c r="X2148" i="1" s="1"/>
  <c r="X2154" i="1" s="1"/>
  <c r="Y1819" i="1"/>
  <c r="Y1847" i="1" s="1"/>
  <c r="Y1853" i="1" s="1"/>
  <c r="AA1810" i="1"/>
  <c r="AA1819" i="1" s="1"/>
  <c r="AA1847" i="1" s="1"/>
  <c r="AE1733" i="1"/>
  <c r="AE1761" i="1" s="1"/>
  <c r="AF1724" i="1"/>
  <c r="AF1733" i="1" s="1"/>
  <c r="AF1761" i="1" s="1"/>
  <c r="AC1776" i="1"/>
  <c r="AC1804" i="1" s="1"/>
  <c r="AC1810" i="1" s="1"/>
  <c r="AE1767" i="1"/>
  <c r="E1174" i="1"/>
  <c r="E1202" i="1" s="1"/>
  <c r="J1165" i="1"/>
  <c r="J1174" i="1" s="1"/>
  <c r="J1202" i="1" s="1"/>
  <c r="C1217" i="1"/>
  <c r="C1245" i="1" s="1"/>
  <c r="C1251" i="1" s="1"/>
  <c r="E1208" i="1"/>
  <c r="F1217" i="1"/>
  <c r="F1245" i="1" s="1"/>
  <c r="F1251" i="1" s="1"/>
  <c r="I1208" i="1"/>
  <c r="I1217" i="1" s="1"/>
  <c r="I1245" i="1" s="1"/>
  <c r="X2163" i="1" l="1"/>
  <c r="X2191" i="1" s="1"/>
  <c r="Y1862" i="1"/>
  <c r="Y1890" i="1" s="1"/>
  <c r="Y1896" i="1" s="1"/>
  <c r="AA1853" i="1"/>
  <c r="AA1862" i="1" s="1"/>
  <c r="AA1890" i="1" s="1"/>
  <c r="J1208" i="1"/>
  <c r="J1217" i="1" s="1"/>
  <c r="J1245" i="1" s="1"/>
  <c r="E1217" i="1"/>
  <c r="E1245" i="1" s="1"/>
  <c r="C1260" i="1"/>
  <c r="C1288" i="1" s="1"/>
  <c r="C1294" i="1" s="1"/>
  <c r="E1251" i="1"/>
  <c r="AC1819" i="1"/>
  <c r="AC1847" i="1" s="1"/>
  <c r="AC1853" i="1" s="1"/>
  <c r="AE1810" i="1"/>
  <c r="AE1776" i="1"/>
  <c r="AE1804" i="1" s="1"/>
  <c r="AF1767" i="1"/>
  <c r="AF1776" i="1" s="1"/>
  <c r="AF1804" i="1" s="1"/>
  <c r="F1260" i="1"/>
  <c r="F1288" i="1" s="1"/>
  <c r="F1294" i="1" s="1"/>
  <c r="I1251" i="1"/>
  <c r="I1260" i="1" s="1"/>
  <c r="I1288" i="1" s="1"/>
  <c r="AA1896" i="1" l="1"/>
  <c r="AA1905" i="1" s="1"/>
  <c r="AA1933" i="1" s="1"/>
  <c r="Y1905" i="1"/>
  <c r="Y1933" i="1" s="1"/>
  <c r="Y1939" i="1" s="1"/>
  <c r="J1251" i="1"/>
  <c r="J1260" i="1" s="1"/>
  <c r="J1288" i="1" s="1"/>
  <c r="E1260" i="1"/>
  <c r="E1288" i="1" s="1"/>
  <c r="C1303" i="1"/>
  <c r="C1331" i="1" s="1"/>
  <c r="C1337" i="1" s="1"/>
  <c r="E1294" i="1"/>
  <c r="F1303" i="1"/>
  <c r="F1331" i="1" s="1"/>
  <c r="F1337" i="1" s="1"/>
  <c r="I1294" i="1"/>
  <c r="I1303" i="1" s="1"/>
  <c r="I1331" i="1" s="1"/>
  <c r="AE1819" i="1"/>
  <c r="AE1847" i="1" s="1"/>
  <c r="AF1810" i="1"/>
  <c r="AF1819" i="1" s="1"/>
  <c r="AF1847" i="1" s="1"/>
  <c r="AC1862" i="1"/>
  <c r="AC1890" i="1" s="1"/>
  <c r="AC1896" i="1" s="1"/>
  <c r="AE1853" i="1"/>
  <c r="Y1948" i="1" l="1"/>
  <c r="Y1976" i="1" s="1"/>
  <c r="Y1982" i="1" s="1"/>
  <c r="AA1939" i="1"/>
  <c r="AA1948" i="1" s="1"/>
  <c r="AA1976" i="1" s="1"/>
  <c r="AE1862" i="1"/>
  <c r="AE1890" i="1" s="1"/>
  <c r="AF1853" i="1"/>
  <c r="AF1862" i="1" s="1"/>
  <c r="AF1890" i="1" s="1"/>
  <c r="C1346" i="1"/>
  <c r="C1374" i="1" s="1"/>
  <c r="C1380" i="1" s="1"/>
  <c r="E1337" i="1"/>
  <c r="J1294" i="1"/>
  <c r="J1303" i="1" s="1"/>
  <c r="J1331" i="1" s="1"/>
  <c r="E1303" i="1"/>
  <c r="E1331" i="1" s="1"/>
  <c r="F1346" i="1"/>
  <c r="F1374" i="1" s="1"/>
  <c r="F1380" i="1" s="1"/>
  <c r="I1337" i="1"/>
  <c r="I1346" i="1" s="1"/>
  <c r="I1374" i="1" s="1"/>
  <c r="AC1905" i="1"/>
  <c r="AC1933" i="1" s="1"/>
  <c r="AC1939" i="1" s="1"/>
  <c r="AE1896" i="1"/>
  <c r="Y1991" i="1" l="1"/>
  <c r="Y2019" i="1" s="1"/>
  <c r="Y2025" i="1" s="1"/>
  <c r="AA1982" i="1"/>
  <c r="AA1991" i="1" s="1"/>
  <c r="AA2019" i="1" s="1"/>
  <c r="AC1948" i="1"/>
  <c r="AC1976" i="1" s="1"/>
  <c r="AC1982" i="1" s="1"/>
  <c r="AE1939" i="1"/>
  <c r="E1346" i="1"/>
  <c r="E1374" i="1" s="1"/>
  <c r="J1337" i="1"/>
  <c r="J1346" i="1" s="1"/>
  <c r="J1374" i="1" s="1"/>
  <c r="AE1905" i="1"/>
  <c r="AE1933" i="1" s="1"/>
  <c r="AF1896" i="1"/>
  <c r="AF1905" i="1" s="1"/>
  <c r="AF1933" i="1" s="1"/>
  <c r="C1389" i="1"/>
  <c r="C1417" i="1" s="1"/>
  <c r="C1423" i="1" s="1"/>
  <c r="E1380" i="1"/>
  <c r="F1389" i="1"/>
  <c r="F1417" i="1" s="1"/>
  <c r="F1423" i="1" s="1"/>
  <c r="I1380" i="1"/>
  <c r="I1389" i="1" s="1"/>
  <c r="I1417" i="1" s="1"/>
  <c r="Y2034" i="1" l="1"/>
  <c r="Y2062" i="1" s="1"/>
  <c r="Y2068" i="1" s="1"/>
  <c r="AA2025" i="1"/>
  <c r="AA2034" i="1" s="1"/>
  <c r="AA2062" i="1" s="1"/>
  <c r="F1432" i="1"/>
  <c r="F1460" i="1" s="1"/>
  <c r="F1466" i="1" s="1"/>
  <c r="I1423" i="1"/>
  <c r="I1432" i="1" s="1"/>
  <c r="I1460" i="1" s="1"/>
  <c r="AE1948" i="1"/>
  <c r="AE1976" i="1" s="1"/>
  <c r="AF1939" i="1"/>
  <c r="AF1948" i="1" s="1"/>
  <c r="AF1976" i="1" s="1"/>
  <c r="J1380" i="1"/>
  <c r="J1389" i="1" s="1"/>
  <c r="J1417" i="1" s="1"/>
  <c r="E1389" i="1"/>
  <c r="E1417" i="1" s="1"/>
  <c r="C1432" i="1"/>
  <c r="C1460" i="1" s="1"/>
  <c r="C1466" i="1" s="1"/>
  <c r="E1423" i="1"/>
  <c r="AC1991" i="1"/>
  <c r="AC2019" i="1" s="1"/>
  <c r="AC2025" i="1" s="1"/>
  <c r="AE1982" i="1"/>
  <c r="Y2077" i="1" l="1"/>
  <c r="Y2105" i="1" s="1"/>
  <c r="Y2111" i="1" s="1"/>
  <c r="AA2068" i="1"/>
  <c r="AA2077" i="1" s="1"/>
  <c r="AA2105" i="1" s="1"/>
  <c r="AC2034" i="1"/>
  <c r="AC2062" i="1" s="1"/>
  <c r="AC2068" i="1" s="1"/>
  <c r="AE2025" i="1"/>
  <c r="AE1991" i="1"/>
  <c r="AE2019" i="1" s="1"/>
  <c r="AF1982" i="1"/>
  <c r="AF1991" i="1" s="1"/>
  <c r="AF2019" i="1" s="1"/>
  <c r="E1432" i="1"/>
  <c r="E1460" i="1" s="1"/>
  <c r="J1423" i="1"/>
  <c r="J1432" i="1" s="1"/>
  <c r="J1460" i="1" s="1"/>
  <c r="C1475" i="1"/>
  <c r="C1503" i="1" s="1"/>
  <c r="C1509" i="1" s="1"/>
  <c r="E1466" i="1"/>
  <c r="F1475" i="1"/>
  <c r="F1503" i="1" s="1"/>
  <c r="F1509" i="1" s="1"/>
  <c r="I1466" i="1"/>
  <c r="I1475" i="1" s="1"/>
  <c r="I1503" i="1" s="1"/>
  <c r="Y2120" i="1" l="1"/>
  <c r="Y2148" i="1" s="1"/>
  <c r="Y2154" i="1" s="1"/>
  <c r="AA2111" i="1"/>
  <c r="F1518" i="1"/>
  <c r="F1546" i="1" s="1"/>
  <c r="F1552" i="1" s="1"/>
  <c r="I1509" i="1"/>
  <c r="I1518" i="1" s="1"/>
  <c r="I1546" i="1" s="1"/>
  <c r="E1475" i="1"/>
  <c r="E1503" i="1" s="1"/>
  <c r="J1466" i="1"/>
  <c r="J1475" i="1" s="1"/>
  <c r="J1503" i="1" s="1"/>
  <c r="AE2034" i="1"/>
  <c r="AE2062" i="1" s="1"/>
  <c r="AF2025" i="1"/>
  <c r="AF2034" i="1" s="1"/>
  <c r="AF2062" i="1" s="1"/>
  <c r="C1518" i="1"/>
  <c r="C1546" i="1" s="1"/>
  <c r="C1552" i="1" s="1"/>
  <c r="E1509" i="1"/>
  <c r="AC2077" i="1"/>
  <c r="AC2105" i="1" s="1"/>
  <c r="AC2111" i="1" s="1"/>
  <c r="AE2068" i="1"/>
  <c r="Y2163" i="1" l="1"/>
  <c r="Y2191" i="1" s="1"/>
  <c r="AA2154" i="1"/>
  <c r="AC2120" i="1"/>
  <c r="AC2148" i="1" s="1"/>
  <c r="AC2154" i="1" s="1"/>
  <c r="AE2111" i="1"/>
  <c r="AE2120" i="1" s="1"/>
  <c r="AE2148" i="1" s="1"/>
  <c r="AA2120" i="1"/>
  <c r="AA2148" i="1" s="1"/>
  <c r="AE2077" i="1"/>
  <c r="AE2105" i="1" s="1"/>
  <c r="AF2068" i="1"/>
  <c r="AF2077" i="1" s="1"/>
  <c r="AF2105" i="1" s="1"/>
  <c r="J1509" i="1"/>
  <c r="J1518" i="1" s="1"/>
  <c r="J1546" i="1" s="1"/>
  <c r="E1518" i="1"/>
  <c r="E1546" i="1" s="1"/>
  <c r="C1561" i="1"/>
  <c r="C1589" i="1" s="1"/>
  <c r="C1595" i="1" s="1"/>
  <c r="E1552" i="1"/>
  <c r="F1561" i="1"/>
  <c r="F1589" i="1" s="1"/>
  <c r="F1595" i="1" s="1"/>
  <c r="I1552" i="1"/>
  <c r="I1561" i="1" s="1"/>
  <c r="I1589" i="1" s="1"/>
  <c r="AA2163" i="1" l="1"/>
  <c r="AA2191" i="1" s="1"/>
  <c r="AC2163" i="1"/>
  <c r="AC2191" i="1" s="1"/>
  <c r="AE2154" i="1"/>
  <c r="AE2163" i="1" s="1"/>
  <c r="AE2191" i="1" s="1"/>
  <c r="AF2111" i="1"/>
  <c r="AF2120" i="1" s="1"/>
  <c r="AF2148" i="1" s="1"/>
  <c r="C1604" i="1"/>
  <c r="C1632" i="1" s="1"/>
  <c r="C1638" i="1" s="1"/>
  <c r="E1595" i="1"/>
  <c r="E1561" i="1"/>
  <c r="E1589" i="1" s="1"/>
  <c r="J1552" i="1"/>
  <c r="J1561" i="1" s="1"/>
  <c r="J1589" i="1" s="1"/>
  <c r="F1604" i="1"/>
  <c r="F1632" i="1" s="1"/>
  <c r="F1638" i="1" s="1"/>
  <c r="I1595" i="1"/>
  <c r="I1604" i="1" s="1"/>
  <c r="I1632" i="1" s="1"/>
  <c r="AF2154" i="1" l="1"/>
  <c r="AF2163" i="1" s="1"/>
  <c r="AF2191" i="1" s="1"/>
  <c r="F1647" i="1"/>
  <c r="F1675" i="1" s="1"/>
  <c r="F1681" i="1" s="1"/>
  <c r="I1638" i="1"/>
  <c r="I1647" i="1" s="1"/>
  <c r="I1675" i="1" s="1"/>
  <c r="E1604" i="1"/>
  <c r="E1632" i="1" s="1"/>
  <c r="J1595" i="1"/>
  <c r="J1604" i="1" s="1"/>
  <c r="J1632" i="1" s="1"/>
  <c r="C1647" i="1"/>
  <c r="C1675" i="1" s="1"/>
  <c r="C1681" i="1" s="1"/>
  <c r="E1638" i="1"/>
  <c r="C1690" i="1" l="1"/>
  <c r="C1718" i="1" s="1"/>
  <c r="C1724" i="1" s="1"/>
  <c r="E1681" i="1"/>
  <c r="J1638" i="1"/>
  <c r="J1647" i="1" s="1"/>
  <c r="J1675" i="1" s="1"/>
  <c r="E1647" i="1"/>
  <c r="E1675" i="1" s="1"/>
  <c r="F1690" i="1"/>
  <c r="F1718" i="1" s="1"/>
  <c r="F1724" i="1" s="1"/>
  <c r="I1681" i="1"/>
  <c r="I1690" i="1" s="1"/>
  <c r="I1718" i="1" s="1"/>
  <c r="F1733" i="1" l="1"/>
  <c r="F1761" i="1" s="1"/>
  <c r="F1767" i="1" s="1"/>
  <c r="I1724" i="1"/>
  <c r="I1733" i="1" s="1"/>
  <c r="I1761" i="1" s="1"/>
  <c r="J1681" i="1"/>
  <c r="J1690" i="1" s="1"/>
  <c r="J1718" i="1" s="1"/>
  <c r="E1690" i="1"/>
  <c r="E1718" i="1" s="1"/>
  <c r="C1733" i="1"/>
  <c r="C1761" i="1" s="1"/>
  <c r="C1767" i="1" s="1"/>
  <c r="E1724" i="1"/>
  <c r="C1776" i="1" l="1"/>
  <c r="C1804" i="1" s="1"/>
  <c r="C1810" i="1" s="1"/>
  <c r="E1767" i="1"/>
  <c r="E1733" i="1"/>
  <c r="E1761" i="1" s="1"/>
  <c r="J1724" i="1"/>
  <c r="J1733" i="1" s="1"/>
  <c r="J1761" i="1" s="1"/>
  <c r="F1776" i="1"/>
  <c r="F1804" i="1" s="1"/>
  <c r="F1810" i="1" s="1"/>
  <c r="I1767" i="1"/>
  <c r="I1776" i="1" s="1"/>
  <c r="I1804" i="1" s="1"/>
  <c r="F1819" i="1" l="1"/>
  <c r="F1847" i="1" s="1"/>
  <c r="F1853" i="1" s="1"/>
  <c r="I1810" i="1"/>
  <c r="I1819" i="1" s="1"/>
  <c r="I1847" i="1" s="1"/>
  <c r="E1776" i="1"/>
  <c r="E1804" i="1" s="1"/>
  <c r="J1767" i="1"/>
  <c r="J1776" i="1" s="1"/>
  <c r="J1804" i="1" s="1"/>
  <c r="C1819" i="1"/>
  <c r="C1847" i="1" s="1"/>
  <c r="C1853" i="1" s="1"/>
  <c r="E1810" i="1"/>
  <c r="C1862" i="1" l="1"/>
  <c r="C1890" i="1" s="1"/>
  <c r="C1896" i="1" s="1"/>
  <c r="E1853" i="1"/>
  <c r="E1819" i="1"/>
  <c r="E1847" i="1" s="1"/>
  <c r="J1810" i="1"/>
  <c r="J1819" i="1" s="1"/>
  <c r="J1847" i="1" s="1"/>
  <c r="F1862" i="1"/>
  <c r="F1890" i="1" s="1"/>
  <c r="F1896" i="1" s="1"/>
  <c r="I1853" i="1"/>
  <c r="I1862" i="1" s="1"/>
  <c r="I1890" i="1" s="1"/>
  <c r="F1905" i="1" l="1"/>
  <c r="F1933" i="1" s="1"/>
  <c r="F1939" i="1" s="1"/>
  <c r="I1896" i="1"/>
  <c r="I1905" i="1" s="1"/>
  <c r="I1933" i="1" s="1"/>
  <c r="E1862" i="1"/>
  <c r="E1890" i="1" s="1"/>
  <c r="J1853" i="1"/>
  <c r="J1862" i="1" s="1"/>
  <c r="J1890" i="1" s="1"/>
  <c r="C1905" i="1"/>
  <c r="C1933" i="1" s="1"/>
  <c r="C1939" i="1" s="1"/>
  <c r="E1896" i="1"/>
  <c r="C1948" i="1" l="1"/>
  <c r="C1976" i="1" s="1"/>
  <c r="C1982" i="1" s="1"/>
  <c r="E1939" i="1"/>
  <c r="E1905" i="1"/>
  <c r="E1933" i="1" s="1"/>
  <c r="J1896" i="1"/>
  <c r="J1905" i="1" s="1"/>
  <c r="J1933" i="1" s="1"/>
  <c r="F1948" i="1"/>
  <c r="F1976" i="1" s="1"/>
  <c r="F1982" i="1" s="1"/>
  <c r="I1939" i="1"/>
  <c r="I1948" i="1" s="1"/>
  <c r="I1976" i="1" s="1"/>
  <c r="F1991" i="1" l="1"/>
  <c r="F2019" i="1" s="1"/>
  <c r="F2025" i="1" s="1"/>
  <c r="I1982" i="1"/>
  <c r="I1991" i="1" s="1"/>
  <c r="I2019" i="1" s="1"/>
  <c r="E1948" i="1"/>
  <c r="E1976" i="1" s="1"/>
  <c r="J1939" i="1"/>
  <c r="J1948" i="1" s="1"/>
  <c r="J1976" i="1" s="1"/>
  <c r="C1991" i="1"/>
  <c r="C2019" i="1" s="1"/>
  <c r="C2025" i="1" s="1"/>
  <c r="E1982" i="1"/>
  <c r="C2034" i="1" l="1"/>
  <c r="C2062" i="1" s="1"/>
  <c r="C2068" i="1" s="1"/>
  <c r="E2025" i="1"/>
  <c r="J1982" i="1"/>
  <c r="J1991" i="1" s="1"/>
  <c r="J2019" i="1" s="1"/>
  <c r="E1991" i="1"/>
  <c r="E2019" i="1" s="1"/>
  <c r="F2034" i="1"/>
  <c r="F2062" i="1" s="1"/>
  <c r="F2068" i="1" s="1"/>
  <c r="I2025" i="1"/>
  <c r="I2034" i="1" s="1"/>
  <c r="I2062" i="1" s="1"/>
  <c r="F2077" i="1" l="1"/>
  <c r="F2105" i="1" s="1"/>
  <c r="F2111" i="1" s="1"/>
  <c r="I2068" i="1"/>
  <c r="I2077" i="1" s="1"/>
  <c r="I2105" i="1" s="1"/>
  <c r="J2025" i="1"/>
  <c r="J2034" i="1" s="1"/>
  <c r="J2062" i="1" s="1"/>
  <c r="E2034" i="1"/>
  <c r="E2062" i="1" s="1"/>
  <c r="C2077" i="1"/>
  <c r="C2105" i="1" s="1"/>
  <c r="C2111" i="1" s="1"/>
  <c r="E2068" i="1"/>
  <c r="F2120" i="1" l="1"/>
  <c r="F2148" i="1" s="1"/>
  <c r="F2154" i="1" s="1"/>
  <c r="I2111" i="1"/>
  <c r="I2120" i="1" s="1"/>
  <c r="I2148" i="1" s="1"/>
  <c r="C2120" i="1"/>
  <c r="C2148" i="1" s="1"/>
  <c r="C2154" i="1" s="1"/>
  <c r="E2111" i="1"/>
  <c r="E2077" i="1"/>
  <c r="E2105" i="1" s="1"/>
  <c r="J2068" i="1"/>
  <c r="J2077" i="1" s="1"/>
  <c r="J2105" i="1" s="1"/>
  <c r="C2163" i="1" l="1"/>
  <c r="C2191" i="1" s="1"/>
  <c r="E2154" i="1"/>
  <c r="F2163" i="1"/>
  <c r="F2191" i="1" s="1"/>
  <c r="I2154" i="1"/>
  <c r="I2163" i="1" s="1"/>
  <c r="I2191" i="1" s="1"/>
  <c r="E2120" i="1"/>
  <c r="E2148" i="1" s="1"/>
  <c r="J2111" i="1"/>
  <c r="J2120" i="1" s="1"/>
  <c r="J2148" i="1" s="1"/>
  <c r="E2163" i="1" l="1"/>
  <c r="E2191" i="1" s="1"/>
  <c r="J2154" i="1"/>
  <c r="J2163" i="1" s="1"/>
  <c r="J2191" i="1" s="1"/>
</calcChain>
</file>

<file path=xl/sharedStrings.xml><?xml version="1.0" encoding="utf-8"?>
<sst xmlns="http://schemas.openxmlformats.org/spreadsheetml/2006/main" count="4609" uniqueCount="971">
  <si>
    <t>カラー</t>
  </si>
  <si>
    <t>モカ</t>
  </si>
  <si>
    <t>ブラック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</si>
  <si>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</si>
  <si>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</si>
  <si>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</si>
  <si>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</si>
  <si>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</si>
  <si>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</si>
  <si>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</si>
  <si>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</si>
  <si>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</si>
  <si>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</si>
  <si>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</si>
  <si>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</si>
  <si>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</si>
  <si>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</si>
  <si>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</si>
  <si>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</si>
  <si>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初回</t>
    <rPh sb="0" eb="2">
      <t>ショカイ</t>
    </rPh>
    <phoneticPr fontId="2"/>
  </si>
  <si>
    <t>総在庫</t>
    <rPh sb="0" eb="1">
      <t>ソウ</t>
    </rPh>
    <rPh sb="1" eb="3">
      <t>ザイコ</t>
    </rPh>
    <phoneticPr fontId="2"/>
  </si>
  <si>
    <t>美・キュート　ソフトブラ　（夢販在庫）</t>
    <rPh sb="0" eb="1">
      <t>ビ</t>
    </rPh>
    <rPh sb="14" eb="15">
      <t>ユメ</t>
    </rPh>
    <rPh sb="15" eb="16">
      <t>ハン</t>
    </rPh>
    <rPh sb="16" eb="18">
      <t>ザイコ</t>
    </rPh>
    <phoneticPr fontId="2"/>
  </si>
  <si>
    <t>美・キュート　ソフトブラ　（旭在庫）</t>
    <rPh sb="0" eb="1">
      <t>ビ</t>
    </rPh>
    <rPh sb="14" eb="15">
      <t>アサヒ</t>
    </rPh>
    <rPh sb="15" eb="17">
      <t>ザイコ</t>
    </rPh>
    <phoneticPr fontId="2"/>
  </si>
  <si>
    <t>夢販</t>
    <rPh sb="0" eb="1">
      <t>ユメ</t>
    </rPh>
    <rPh sb="1" eb="2">
      <t>ハン</t>
    </rPh>
    <phoneticPr fontId="8"/>
  </si>
  <si>
    <t>JOD</t>
    <phoneticPr fontId="8"/>
  </si>
  <si>
    <t>高谷さんサンプル</t>
    <rPh sb="0" eb="2">
      <t>タカタニ</t>
    </rPh>
    <phoneticPr fontId="8"/>
  </si>
  <si>
    <t>ｾｼｰﾙnet確認用sample</t>
    <rPh sb="7" eb="9">
      <t>カクニン</t>
    </rPh>
    <rPh sb="9" eb="10">
      <t>ヨウ</t>
    </rPh>
    <phoneticPr fontId="8"/>
  </si>
  <si>
    <t>ファイン（東都）</t>
    <rPh sb="5" eb="7">
      <t>トウト</t>
    </rPh>
    <phoneticPr fontId="8"/>
  </si>
  <si>
    <t>ファイン（よつば）</t>
    <phoneticPr fontId="8"/>
  </si>
  <si>
    <t>夢販</t>
    <phoneticPr fontId="8"/>
  </si>
  <si>
    <t>夢販</t>
    <phoneticPr fontId="8"/>
  </si>
  <si>
    <t>くらし企画（大阪）</t>
    <rPh sb="3" eb="5">
      <t>キカク</t>
    </rPh>
    <rPh sb="6" eb="8">
      <t>オオサカ</t>
    </rPh>
    <phoneticPr fontId="8"/>
  </si>
  <si>
    <t>Amazon</t>
    <phoneticPr fontId="8"/>
  </si>
  <si>
    <t>くらし企画松平さんサンプル</t>
    <rPh sb="5" eb="7">
      <t>マツダイラ</t>
    </rPh>
    <phoneticPr fontId="8"/>
  </si>
  <si>
    <t>ファイン（とやま他）</t>
    <rPh sb="8" eb="9">
      <t>ホカ</t>
    </rPh>
    <phoneticPr fontId="8"/>
  </si>
  <si>
    <t>セシール</t>
    <phoneticPr fontId="8"/>
  </si>
  <si>
    <t>Amazon</t>
    <phoneticPr fontId="8"/>
  </si>
  <si>
    <t>Amazon</t>
    <phoneticPr fontId="8"/>
  </si>
  <si>
    <t>JOD返品</t>
    <rPh sb="3" eb="5">
      <t>ヘンピン</t>
    </rPh>
    <phoneticPr fontId="2"/>
  </si>
  <si>
    <t>かりん</t>
    <phoneticPr fontId="8"/>
  </si>
  <si>
    <t>ファイン（東都）</t>
    <rPh sb="5" eb="7">
      <t>トウト</t>
    </rPh>
    <phoneticPr fontId="8"/>
  </si>
  <si>
    <t>夢販</t>
    <rPh sb="0" eb="2">
      <t>ユメハン</t>
    </rPh>
    <phoneticPr fontId="8"/>
  </si>
  <si>
    <t>かりん</t>
    <phoneticPr fontId="8"/>
  </si>
  <si>
    <t>かりん</t>
    <phoneticPr fontId="8"/>
  </si>
  <si>
    <t>Amazon</t>
    <phoneticPr fontId="8"/>
  </si>
  <si>
    <t>Amazon</t>
    <phoneticPr fontId="8"/>
  </si>
  <si>
    <t>再生</t>
    <rPh sb="0" eb="2">
      <t>サイセイ</t>
    </rPh>
    <phoneticPr fontId="2"/>
  </si>
  <si>
    <t>ファイン（なら）</t>
    <phoneticPr fontId="8"/>
  </si>
  <si>
    <t>夢販</t>
    <phoneticPr fontId="8"/>
  </si>
  <si>
    <t>セシール</t>
    <phoneticPr fontId="8"/>
  </si>
  <si>
    <t>ファイン</t>
    <phoneticPr fontId="8"/>
  </si>
  <si>
    <t>夢販</t>
    <phoneticPr fontId="8"/>
  </si>
  <si>
    <t>ファイン(なら）</t>
    <phoneticPr fontId="8"/>
  </si>
  <si>
    <t>夢展望</t>
    <rPh sb="0" eb="3">
      <t>ユメテンボウ</t>
    </rPh>
    <phoneticPr fontId="8"/>
  </si>
  <si>
    <t>夢販</t>
    <phoneticPr fontId="8"/>
  </si>
  <si>
    <t>ネップラ</t>
    <phoneticPr fontId="8"/>
  </si>
  <si>
    <t>セシール</t>
    <phoneticPr fontId="8"/>
  </si>
  <si>
    <t>Amazon</t>
    <phoneticPr fontId="8"/>
  </si>
  <si>
    <t>Amazon</t>
    <phoneticPr fontId="8"/>
  </si>
  <si>
    <t>セシール返品</t>
    <rPh sb="4" eb="6">
      <t>ヘンピン</t>
    </rPh>
    <phoneticPr fontId="2"/>
  </si>
  <si>
    <t>セシールサンプル返却</t>
    <rPh sb="8" eb="10">
      <t>ヘンキャク</t>
    </rPh>
    <phoneticPr fontId="2"/>
  </si>
  <si>
    <t>ニッセン</t>
    <phoneticPr fontId="8"/>
  </si>
  <si>
    <t>ファイン返品</t>
    <rPh sb="4" eb="6">
      <t>ヘンピン</t>
    </rPh>
    <phoneticPr fontId="2"/>
  </si>
  <si>
    <t>ネップラ返品</t>
    <rPh sb="4" eb="6">
      <t>ヘンピン</t>
    </rPh>
    <phoneticPr fontId="2"/>
  </si>
  <si>
    <t>全国通販サンンプル</t>
    <rPh sb="0" eb="4">
      <t>ゼンコクツウハン</t>
    </rPh>
    <phoneticPr fontId="8"/>
  </si>
  <si>
    <t>夢販</t>
    <phoneticPr fontId="8"/>
  </si>
  <si>
    <t>Amazon</t>
    <phoneticPr fontId="8"/>
  </si>
  <si>
    <t>ネット</t>
    <phoneticPr fontId="8"/>
  </si>
  <si>
    <t>日生協19号コープネット版①</t>
    <rPh sb="0" eb="2">
      <t>ニッセイ</t>
    </rPh>
    <rPh sb="2" eb="3">
      <t>キョウ</t>
    </rPh>
    <rPh sb="5" eb="6">
      <t>ゴウ</t>
    </rPh>
    <rPh sb="12" eb="13">
      <t>バン</t>
    </rPh>
    <phoneticPr fontId="8"/>
  </si>
  <si>
    <t>日生協19号コープネット版②</t>
    <rPh sb="0" eb="2">
      <t>ニッセイ</t>
    </rPh>
    <rPh sb="2" eb="3">
      <t>キョウ</t>
    </rPh>
    <rPh sb="5" eb="6">
      <t>ゴウ</t>
    </rPh>
    <rPh sb="12" eb="13">
      <t>バン</t>
    </rPh>
    <phoneticPr fontId="8"/>
  </si>
  <si>
    <t>日生協19号コープネット版③</t>
    <rPh sb="0" eb="2">
      <t>ニッセイ</t>
    </rPh>
    <rPh sb="2" eb="3">
      <t>キョウ</t>
    </rPh>
    <rPh sb="5" eb="6">
      <t>ゴウ</t>
    </rPh>
    <rPh sb="12" eb="13">
      <t>バン</t>
    </rPh>
    <phoneticPr fontId="8"/>
  </si>
  <si>
    <t>日生協19号コープネット版④</t>
    <phoneticPr fontId="8"/>
  </si>
  <si>
    <t>ネット</t>
    <phoneticPr fontId="8"/>
  </si>
  <si>
    <t>ネット</t>
    <phoneticPr fontId="8"/>
  </si>
  <si>
    <t>夢販</t>
    <phoneticPr fontId="8"/>
  </si>
  <si>
    <t>Amazon</t>
    <phoneticPr fontId="8"/>
  </si>
  <si>
    <t>Amazon</t>
    <phoneticPr fontId="8"/>
  </si>
  <si>
    <t>ネット</t>
    <phoneticPr fontId="8"/>
  </si>
  <si>
    <t>ファイン返品</t>
    <rPh sb="4" eb="6">
      <t>ヘンピン</t>
    </rPh>
    <phoneticPr fontId="8"/>
  </si>
  <si>
    <t>Amazon</t>
    <phoneticPr fontId="8"/>
  </si>
  <si>
    <t>くらし（日生協sample）</t>
    <rPh sb="4" eb="6">
      <t>ニッセイ</t>
    </rPh>
    <rPh sb="6" eb="7">
      <t>キョウ</t>
    </rPh>
    <phoneticPr fontId="8"/>
  </si>
  <si>
    <t>ネット</t>
    <phoneticPr fontId="8"/>
  </si>
  <si>
    <t>ネット</t>
    <phoneticPr fontId="8"/>
  </si>
  <si>
    <t>ニッセン返品</t>
    <rPh sb="4" eb="6">
      <t>ヘンピン</t>
    </rPh>
    <phoneticPr fontId="2"/>
  </si>
  <si>
    <t>ファイン（北陸）</t>
    <rPh sb="5" eb="7">
      <t>ホクリク</t>
    </rPh>
    <phoneticPr fontId="8"/>
  </si>
  <si>
    <t>ファイン(吉田さんsample)</t>
    <rPh sb="5" eb="7">
      <t>ヨシダ</t>
    </rPh>
    <phoneticPr fontId="8"/>
  </si>
  <si>
    <t>セシール</t>
    <phoneticPr fontId="8"/>
  </si>
  <si>
    <t>ニッセン①</t>
    <phoneticPr fontId="8"/>
  </si>
  <si>
    <t>ニッセン②</t>
    <phoneticPr fontId="8"/>
  </si>
  <si>
    <t>丸藤ｸﾞﾘｰﾝｺｰﾌﾟsample</t>
    <rPh sb="0" eb="2">
      <t>マルフジ</t>
    </rPh>
    <phoneticPr fontId="8"/>
  </si>
  <si>
    <t>美・キュート　ソフトブラ　（ゼクー在庫）</t>
    <rPh sb="0" eb="1">
      <t>ビ</t>
    </rPh>
    <rPh sb="17" eb="19">
      <t>ザイコ</t>
    </rPh>
    <phoneticPr fontId="2"/>
  </si>
  <si>
    <t>ネット</t>
    <phoneticPr fontId="8"/>
  </si>
  <si>
    <t>Amazon</t>
    <phoneticPr fontId="8"/>
  </si>
  <si>
    <t>ファインサンプル</t>
    <phoneticPr fontId="8"/>
  </si>
  <si>
    <t>ファイン（東京レーヌ）①</t>
    <rPh sb="5" eb="7">
      <t>トウキョウ</t>
    </rPh>
    <phoneticPr fontId="8"/>
  </si>
  <si>
    <t>ファイン（東京レーヌ）②</t>
    <rPh sb="5" eb="7">
      <t>トウキョウ</t>
    </rPh>
    <phoneticPr fontId="8"/>
  </si>
  <si>
    <t>セシール返品</t>
    <rPh sb="4" eb="6">
      <t>ヘンピン</t>
    </rPh>
    <phoneticPr fontId="8"/>
  </si>
  <si>
    <t>全国通販色校正サンプル</t>
    <rPh sb="0" eb="4">
      <t>ゼンコクツウハン</t>
    </rPh>
    <rPh sb="4" eb="7">
      <t>イロコウセイ</t>
    </rPh>
    <phoneticPr fontId="8"/>
  </si>
  <si>
    <t>ネット</t>
    <phoneticPr fontId="8"/>
  </si>
  <si>
    <t>Amazon</t>
    <phoneticPr fontId="8"/>
  </si>
  <si>
    <t>ニッセン③</t>
    <phoneticPr fontId="8"/>
  </si>
  <si>
    <t>ファイン（よつ葉、東京レーヌ）③</t>
    <rPh sb="7" eb="8">
      <t>バ</t>
    </rPh>
    <rPh sb="9" eb="11">
      <t>トウキョウ</t>
    </rPh>
    <phoneticPr fontId="8"/>
  </si>
  <si>
    <t>9/5モデル撮影用</t>
    <rPh sb="6" eb="8">
      <t>サツエイ</t>
    </rPh>
    <rPh sb="8" eb="9">
      <t>ヨウ</t>
    </rPh>
    <phoneticPr fontId="8"/>
  </si>
  <si>
    <t>夢販</t>
    <rPh sb="0" eb="2">
      <t>ユメハン</t>
    </rPh>
    <phoneticPr fontId="8"/>
  </si>
  <si>
    <t>くらし返品</t>
    <rPh sb="3" eb="5">
      <t>ヘンピン</t>
    </rPh>
    <phoneticPr fontId="2"/>
  </si>
  <si>
    <t>モデル撮影用返却</t>
    <rPh sb="3" eb="5">
      <t>サツエイ</t>
    </rPh>
    <rPh sb="5" eb="6">
      <t>ヨウ</t>
    </rPh>
    <rPh sb="6" eb="8">
      <t>ヘンキャク</t>
    </rPh>
    <phoneticPr fontId="8"/>
  </si>
  <si>
    <t>ネット</t>
    <phoneticPr fontId="8"/>
  </si>
  <si>
    <t>ファイン（とやまフレスタ・なら）</t>
    <phoneticPr fontId="8"/>
  </si>
  <si>
    <t>くらしサンプル</t>
    <phoneticPr fontId="8"/>
  </si>
  <si>
    <t>ファイン直送</t>
    <rPh sb="4" eb="6">
      <t>チョクソウ</t>
    </rPh>
    <phoneticPr fontId="8"/>
  </si>
  <si>
    <t>ネット</t>
    <phoneticPr fontId="8"/>
  </si>
  <si>
    <t>セシール</t>
    <phoneticPr fontId="8"/>
  </si>
  <si>
    <t>ｾｼｰﾙ事前確認用sample</t>
    <rPh sb="4" eb="6">
      <t>ジゼン</t>
    </rPh>
    <rPh sb="6" eb="9">
      <t>カクニンヨウ</t>
    </rPh>
    <phoneticPr fontId="8"/>
  </si>
  <si>
    <t>Amazon</t>
    <phoneticPr fontId="8"/>
  </si>
  <si>
    <t>Amazon</t>
    <phoneticPr fontId="8"/>
  </si>
  <si>
    <t>sakai営業持ち出し</t>
    <rPh sb="5" eb="7">
      <t>エイギョウ</t>
    </rPh>
    <rPh sb="7" eb="8">
      <t>モ</t>
    </rPh>
    <rPh sb="9" eb="10">
      <t>ダ</t>
    </rPh>
    <phoneticPr fontId="8"/>
  </si>
  <si>
    <t>Amazon</t>
    <phoneticPr fontId="8"/>
  </si>
  <si>
    <t>セシール</t>
    <phoneticPr fontId="8"/>
  </si>
  <si>
    <t>ニッセン</t>
    <phoneticPr fontId="8"/>
  </si>
  <si>
    <t>ネット</t>
    <phoneticPr fontId="8"/>
  </si>
  <si>
    <t>西夢</t>
    <rPh sb="0" eb="2">
      <t>ニシユメ</t>
    </rPh>
    <phoneticPr fontId="8"/>
  </si>
  <si>
    <t>ネット</t>
    <phoneticPr fontId="8"/>
  </si>
  <si>
    <t>Amazon</t>
    <phoneticPr fontId="8"/>
  </si>
  <si>
    <t>セシール</t>
    <phoneticPr fontId="8"/>
  </si>
  <si>
    <t>ベルーナ</t>
    <phoneticPr fontId="8"/>
  </si>
  <si>
    <t>かりん誤配分</t>
    <rPh sb="3" eb="5">
      <t>ゴハイ</t>
    </rPh>
    <rPh sb="5" eb="6">
      <t>ブン</t>
    </rPh>
    <phoneticPr fontId="8"/>
  </si>
  <si>
    <t>返却予定</t>
    <rPh sb="0" eb="2">
      <t>ヘンキャク</t>
    </rPh>
    <rPh sb="2" eb="4">
      <t>ヨテイ</t>
    </rPh>
    <phoneticPr fontId="8"/>
  </si>
  <si>
    <t>Amazon</t>
    <phoneticPr fontId="8"/>
  </si>
  <si>
    <t>ニッセン（3set）</t>
    <phoneticPr fontId="8"/>
  </si>
  <si>
    <t>全国通販</t>
    <rPh sb="0" eb="4">
      <t>ゼンコクツウハン</t>
    </rPh>
    <phoneticPr fontId="8"/>
  </si>
  <si>
    <t>全国通販</t>
    <rPh sb="0" eb="4">
      <t>ゼンコクツウハン</t>
    </rPh>
    <phoneticPr fontId="8"/>
  </si>
  <si>
    <t>ネット</t>
    <phoneticPr fontId="8"/>
  </si>
  <si>
    <t>夢販ゼクー</t>
    <rPh sb="0" eb="1">
      <t>ユメ</t>
    </rPh>
    <rPh sb="1" eb="2">
      <t>ハン</t>
    </rPh>
    <phoneticPr fontId="8"/>
  </si>
  <si>
    <t>全国通販サンプル返却</t>
    <rPh sb="0" eb="4">
      <t>ゼンコクツウハン</t>
    </rPh>
    <rPh sb="8" eb="10">
      <t>ヘンキャク</t>
    </rPh>
    <phoneticPr fontId="2"/>
  </si>
  <si>
    <t>ネット</t>
    <phoneticPr fontId="8"/>
  </si>
  <si>
    <t>ネット</t>
    <phoneticPr fontId="8"/>
  </si>
  <si>
    <t>美・キュート　ソフトブラ　（旭繊維在庫）</t>
    <rPh sb="0" eb="1">
      <t>ビ</t>
    </rPh>
    <rPh sb="14" eb="15">
      <t>アサヒ</t>
    </rPh>
    <rPh sb="15" eb="17">
      <t>センイ</t>
    </rPh>
    <rPh sb="17" eb="19">
      <t>ザイコ</t>
    </rPh>
    <phoneticPr fontId="2"/>
  </si>
  <si>
    <t>Amazon</t>
    <phoneticPr fontId="8"/>
  </si>
  <si>
    <t>ｾｼｰﾙ事前確認用sample返却</t>
    <rPh sb="4" eb="6">
      <t>ジゼン</t>
    </rPh>
    <rPh sb="6" eb="9">
      <t>カクニンヨウ</t>
    </rPh>
    <rPh sb="15" eb="17">
      <t>ヘンキャク</t>
    </rPh>
    <phoneticPr fontId="8"/>
  </si>
  <si>
    <t>ネット</t>
    <phoneticPr fontId="8"/>
  </si>
  <si>
    <t>Amazon</t>
    <phoneticPr fontId="8"/>
  </si>
  <si>
    <t>ネット</t>
    <phoneticPr fontId="8"/>
  </si>
  <si>
    <t>日生協37号①</t>
    <phoneticPr fontId="8"/>
  </si>
  <si>
    <t>ネップラ同色2枚</t>
    <rPh sb="4" eb="6">
      <t>ドウショク</t>
    </rPh>
    <rPh sb="7" eb="8">
      <t>マイ</t>
    </rPh>
    <phoneticPr fontId="8"/>
  </si>
  <si>
    <t>ネップラ2色組</t>
    <rPh sb="5" eb="7">
      <t>ショクグミ</t>
    </rPh>
    <phoneticPr fontId="8"/>
  </si>
  <si>
    <t>ネップラ2色組</t>
    <rPh sb="5" eb="7">
      <t>ショクグミ</t>
    </rPh>
    <phoneticPr fontId="8"/>
  </si>
  <si>
    <t>ネップラ同色2枚</t>
    <rPh sb="4" eb="6">
      <t>ドウショク</t>
    </rPh>
    <rPh sb="7" eb="8">
      <t>マイ</t>
    </rPh>
    <phoneticPr fontId="8"/>
  </si>
  <si>
    <t>夢販旭</t>
    <rPh sb="0" eb="1">
      <t>ユメ</t>
    </rPh>
    <rPh sb="1" eb="2">
      <t>ハン</t>
    </rPh>
    <rPh sb="2" eb="3">
      <t>アサヒ</t>
    </rPh>
    <phoneticPr fontId="2"/>
  </si>
  <si>
    <t>全国通販2色組</t>
    <rPh sb="0" eb="4">
      <t>ゼンコクツウハン</t>
    </rPh>
    <rPh sb="5" eb="6">
      <t>イロ</t>
    </rPh>
    <rPh sb="6" eb="7">
      <t>グミ</t>
    </rPh>
    <phoneticPr fontId="8"/>
  </si>
  <si>
    <t>Amazon</t>
    <phoneticPr fontId="8"/>
  </si>
  <si>
    <t>全国通販2色組</t>
    <rPh sb="0" eb="4">
      <t>ゼンコクツウハン</t>
    </rPh>
    <rPh sb="5" eb="7">
      <t>ショクグミ</t>
    </rPh>
    <phoneticPr fontId="8"/>
  </si>
  <si>
    <t>ネット</t>
    <phoneticPr fontId="8"/>
  </si>
  <si>
    <t>コープＣＳネット（12月1回）①</t>
    <phoneticPr fontId="8"/>
  </si>
  <si>
    <t>日生協37号②</t>
    <phoneticPr fontId="8"/>
  </si>
  <si>
    <t>ファイン（大誠商事）</t>
    <rPh sb="5" eb="7">
      <t>タイセイ</t>
    </rPh>
    <rPh sb="7" eb="9">
      <t>ショウジ</t>
    </rPh>
    <phoneticPr fontId="8"/>
  </si>
  <si>
    <t>夢販　旭</t>
    <rPh sb="0" eb="1">
      <t>ユメ</t>
    </rPh>
    <rPh sb="1" eb="2">
      <t>ハン</t>
    </rPh>
    <rPh sb="3" eb="4">
      <t>アサヒ</t>
    </rPh>
    <phoneticPr fontId="8"/>
  </si>
  <si>
    <t>夢販 旭</t>
    <rPh sb="0" eb="1">
      <t>ユメ</t>
    </rPh>
    <rPh sb="1" eb="2">
      <t>ハン</t>
    </rPh>
    <rPh sb="3" eb="4">
      <t>アサヒ</t>
    </rPh>
    <phoneticPr fontId="2"/>
  </si>
  <si>
    <t>Amazon</t>
    <phoneticPr fontId="8"/>
  </si>
  <si>
    <t>日生協37号③</t>
    <phoneticPr fontId="8"/>
  </si>
  <si>
    <t>日生協37号④江別直送</t>
    <rPh sb="7" eb="9">
      <t>エベツ</t>
    </rPh>
    <rPh sb="9" eb="11">
      <t>チョクソウ</t>
    </rPh>
    <phoneticPr fontId="8"/>
  </si>
  <si>
    <t>ネット</t>
    <phoneticPr fontId="8"/>
  </si>
  <si>
    <t>Amazon</t>
    <phoneticPr fontId="8"/>
  </si>
  <si>
    <t>日生協37号④</t>
    <phoneticPr fontId="8"/>
  </si>
  <si>
    <t>コープＣＳネット（12月1回）②</t>
    <phoneticPr fontId="8"/>
  </si>
  <si>
    <t>ネット</t>
    <phoneticPr fontId="8"/>
  </si>
  <si>
    <t>Amazon</t>
    <phoneticPr fontId="8"/>
  </si>
  <si>
    <t>日生協37号④</t>
    <phoneticPr fontId="8"/>
  </si>
  <si>
    <t>日生協37号⑤</t>
    <phoneticPr fontId="8"/>
  </si>
  <si>
    <t>ベルーナ第4(15秋会議用）sample</t>
    <rPh sb="4" eb="5">
      <t>ダイ</t>
    </rPh>
    <rPh sb="9" eb="10">
      <t>アキ</t>
    </rPh>
    <rPh sb="10" eb="13">
      <t>カイギヨウ</t>
    </rPh>
    <phoneticPr fontId="8"/>
  </si>
  <si>
    <t>ネット</t>
    <phoneticPr fontId="8"/>
  </si>
  <si>
    <t>ベルーナ</t>
    <phoneticPr fontId="8"/>
  </si>
  <si>
    <t>Amazon</t>
    <phoneticPr fontId="8"/>
  </si>
  <si>
    <t>ネット</t>
    <phoneticPr fontId="8"/>
  </si>
  <si>
    <t>Amazon</t>
    <phoneticPr fontId="8"/>
  </si>
  <si>
    <t>全国通販2色組</t>
    <phoneticPr fontId="8"/>
  </si>
  <si>
    <t>全国通販2色組</t>
    <phoneticPr fontId="8"/>
  </si>
  <si>
    <t>トラスト＆カンパニー同色3P</t>
    <rPh sb="10" eb="12">
      <t>ドウショク</t>
    </rPh>
    <phoneticPr fontId="8"/>
  </si>
  <si>
    <t>全国通販2色組</t>
    <phoneticPr fontId="8"/>
  </si>
  <si>
    <t>全国通販2色組</t>
    <phoneticPr fontId="8"/>
  </si>
  <si>
    <t>トラスト＆カンパニー同色3P</t>
    <phoneticPr fontId="8"/>
  </si>
  <si>
    <t>Amazon</t>
    <phoneticPr fontId="8"/>
  </si>
  <si>
    <t>夢販</t>
    <rPh sb="0" eb="1">
      <t>ユメ</t>
    </rPh>
    <rPh sb="1" eb="2">
      <t>ハン</t>
    </rPh>
    <phoneticPr fontId="8"/>
  </si>
  <si>
    <t>夢販</t>
    <rPh sb="0" eb="1">
      <t>ユメ</t>
    </rPh>
    <rPh sb="1" eb="2">
      <t>ハン</t>
    </rPh>
    <phoneticPr fontId="2"/>
  </si>
  <si>
    <t>グリーンコープ42号（丸藤）</t>
    <phoneticPr fontId="8"/>
  </si>
  <si>
    <t>Amazon</t>
    <phoneticPr fontId="8"/>
  </si>
  <si>
    <t>ネット</t>
    <phoneticPr fontId="8"/>
  </si>
  <si>
    <t>Amazon</t>
    <phoneticPr fontId="8"/>
  </si>
  <si>
    <t>ネット</t>
    <phoneticPr fontId="8"/>
  </si>
  <si>
    <t>全国通販2色組</t>
    <phoneticPr fontId="8"/>
  </si>
  <si>
    <t>ファイン（大成商事）</t>
    <rPh sb="5" eb="9">
      <t>ダイセイショウジ</t>
    </rPh>
    <phoneticPr fontId="8"/>
  </si>
  <si>
    <t>ベルーナ</t>
    <phoneticPr fontId="8"/>
  </si>
  <si>
    <t>ネット</t>
    <phoneticPr fontId="8"/>
  </si>
  <si>
    <t>ネット</t>
    <phoneticPr fontId="8"/>
  </si>
  <si>
    <t>夢販</t>
    <rPh sb="0" eb="1">
      <t>ユメ</t>
    </rPh>
    <rPh sb="1" eb="2">
      <t>ハン</t>
    </rPh>
    <phoneticPr fontId="8"/>
  </si>
  <si>
    <t>Amazon</t>
    <phoneticPr fontId="8"/>
  </si>
  <si>
    <t>ネット</t>
    <phoneticPr fontId="8"/>
  </si>
  <si>
    <t>Amazon</t>
    <phoneticPr fontId="8"/>
  </si>
  <si>
    <t>ネット</t>
    <phoneticPr fontId="8"/>
  </si>
  <si>
    <t>ネット</t>
    <phoneticPr fontId="8"/>
  </si>
  <si>
    <t>Amazon</t>
    <phoneticPr fontId="8"/>
  </si>
  <si>
    <t>ネット</t>
    <phoneticPr fontId="8"/>
  </si>
  <si>
    <t>ネット</t>
    <phoneticPr fontId="8"/>
  </si>
  <si>
    <t>ネップラ同色2枚</t>
    <phoneticPr fontId="8"/>
  </si>
  <si>
    <t>コープCSネット直送</t>
    <rPh sb="8" eb="10">
      <t>チョクソウ</t>
    </rPh>
    <phoneticPr fontId="8"/>
  </si>
  <si>
    <t>ネット</t>
    <phoneticPr fontId="8"/>
  </si>
  <si>
    <t>Amazon</t>
    <phoneticPr fontId="8"/>
  </si>
  <si>
    <t>ネット</t>
    <phoneticPr fontId="8"/>
  </si>
  <si>
    <t>ネット</t>
  </si>
  <si>
    <t>ネット</t>
    <phoneticPr fontId="8"/>
  </si>
  <si>
    <t>Amazon</t>
    <phoneticPr fontId="8"/>
  </si>
  <si>
    <t>丸藤返品</t>
    <rPh sb="0" eb="2">
      <t>マルフジ</t>
    </rPh>
    <rPh sb="2" eb="4">
      <t>ヘンピン</t>
    </rPh>
    <phoneticPr fontId="2"/>
  </si>
  <si>
    <t>ネット</t>
    <phoneticPr fontId="8"/>
  </si>
  <si>
    <t>Amazon</t>
    <phoneticPr fontId="8"/>
  </si>
  <si>
    <t>夢販ゼクー持ち帰り</t>
    <rPh sb="0" eb="1">
      <t>ユメ</t>
    </rPh>
    <rPh sb="1" eb="2">
      <t>ハン</t>
    </rPh>
    <rPh sb="5" eb="6">
      <t>モ</t>
    </rPh>
    <rPh sb="7" eb="8">
      <t>カエ</t>
    </rPh>
    <phoneticPr fontId="8"/>
  </si>
  <si>
    <t>ゼクー持ち帰り分</t>
    <rPh sb="3" eb="4">
      <t>モ</t>
    </rPh>
    <rPh sb="5" eb="6">
      <t>カエ</t>
    </rPh>
    <rPh sb="7" eb="8">
      <t>ブン</t>
    </rPh>
    <phoneticPr fontId="2"/>
  </si>
  <si>
    <t>ファイン（生活くらぶクレーム交換品）</t>
    <rPh sb="5" eb="7">
      <t>セイカツ</t>
    </rPh>
    <rPh sb="14" eb="16">
      <t>コウカン</t>
    </rPh>
    <rPh sb="16" eb="17">
      <t>ヒン</t>
    </rPh>
    <phoneticPr fontId="8"/>
  </si>
  <si>
    <t>Amazon</t>
    <phoneticPr fontId="8"/>
  </si>
  <si>
    <t>日生協キャロット1号①</t>
    <rPh sb="0" eb="2">
      <t>ニッセイ</t>
    </rPh>
    <rPh sb="2" eb="3">
      <t>キョウ</t>
    </rPh>
    <rPh sb="9" eb="10">
      <t>ゴウ</t>
    </rPh>
    <phoneticPr fontId="8"/>
  </si>
  <si>
    <t>日生協キャロット1号②</t>
    <rPh sb="0" eb="2">
      <t>ニッセイ</t>
    </rPh>
    <rPh sb="2" eb="3">
      <t>キョウ</t>
    </rPh>
    <rPh sb="9" eb="10">
      <t>ゴウ</t>
    </rPh>
    <phoneticPr fontId="8"/>
  </si>
  <si>
    <t>ネット</t>
    <phoneticPr fontId="8"/>
  </si>
  <si>
    <t>Amazon</t>
    <phoneticPr fontId="8"/>
  </si>
  <si>
    <t>Amazon</t>
    <phoneticPr fontId="8"/>
  </si>
  <si>
    <t>Amazon</t>
    <phoneticPr fontId="8"/>
  </si>
  <si>
    <t>Amazon</t>
    <phoneticPr fontId="8"/>
  </si>
  <si>
    <t>日生協キャロット1号⑦</t>
    <phoneticPr fontId="8"/>
  </si>
  <si>
    <t>Amazon</t>
    <phoneticPr fontId="8"/>
  </si>
  <si>
    <t>Amazon</t>
    <phoneticPr fontId="8"/>
  </si>
  <si>
    <t>ベルーナ</t>
    <phoneticPr fontId="8"/>
  </si>
  <si>
    <t>ディノス返品</t>
    <rPh sb="4" eb="6">
      <t>ヘンピン</t>
    </rPh>
    <phoneticPr fontId="2"/>
  </si>
  <si>
    <t>ニッセン3P</t>
    <phoneticPr fontId="8"/>
  </si>
  <si>
    <t>丸藤（ﾊﾟﾙ10月sample）</t>
    <rPh sb="0" eb="2">
      <t>マルフジ</t>
    </rPh>
    <rPh sb="8" eb="9">
      <t>ガツ</t>
    </rPh>
    <phoneticPr fontId="8"/>
  </si>
  <si>
    <t>ネット</t>
    <phoneticPr fontId="8"/>
  </si>
  <si>
    <t>全国通販返品</t>
    <rPh sb="0" eb="4">
      <t>ゼンコクツウハン</t>
    </rPh>
    <rPh sb="4" eb="6">
      <t>ヘンピン</t>
    </rPh>
    <phoneticPr fontId="2"/>
  </si>
  <si>
    <t>Amazon</t>
    <phoneticPr fontId="8"/>
  </si>
  <si>
    <t>Amazon</t>
    <phoneticPr fontId="8"/>
  </si>
  <si>
    <t>くらし返品</t>
    <rPh sb="3" eb="5">
      <t>ヘンピン</t>
    </rPh>
    <phoneticPr fontId="8"/>
  </si>
  <si>
    <t>ネップラ2枚</t>
    <rPh sb="5" eb="6">
      <t>マイ</t>
    </rPh>
    <phoneticPr fontId="8"/>
  </si>
  <si>
    <t>Amazon</t>
    <phoneticPr fontId="8"/>
  </si>
  <si>
    <t>くらし直送</t>
    <rPh sb="3" eb="5">
      <t>チョクソウ</t>
    </rPh>
    <phoneticPr fontId="8"/>
  </si>
  <si>
    <t>Amazon</t>
    <phoneticPr fontId="8"/>
  </si>
  <si>
    <t>Amazon</t>
    <phoneticPr fontId="8"/>
  </si>
  <si>
    <t>Amazon</t>
    <phoneticPr fontId="8"/>
  </si>
  <si>
    <t>ネット</t>
    <phoneticPr fontId="8"/>
  </si>
  <si>
    <t>ネット</t>
    <phoneticPr fontId="8"/>
  </si>
  <si>
    <t>ネップラ2色</t>
    <rPh sb="5" eb="6">
      <t>ショク</t>
    </rPh>
    <phoneticPr fontId="8"/>
  </si>
  <si>
    <t>ネット</t>
    <phoneticPr fontId="8"/>
  </si>
  <si>
    <t>ネップラ2P</t>
    <phoneticPr fontId="8"/>
  </si>
  <si>
    <t>Amazon</t>
    <phoneticPr fontId="8"/>
  </si>
  <si>
    <t>Amazon</t>
    <phoneticPr fontId="8"/>
  </si>
  <si>
    <t>Amazon</t>
    <phoneticPr fontId="8"/>
  </si>
  <si>
    <t>ネット</t>
    <phoneticPr fontId="8"/>
  </si>
  <si>
    <t>ベルーナ第4(15秋会議用）sample返却</t>
    <rPh sb="4" eb="5">
      <t>ダイ</t>
    </rPh>
    <rPh sb="9" eb="10">
      <t>アキ</t>
    </rPh>
    <rPh sb="10" eb="13">
      <t>カイギヨウ</t>
    </rPh>
    <rPh sb="20" eb="22">
      <t>ヘンキャク</t>
    </rPh>
    <phoneticPr fontId="8"/>
  </si>
  <si>
    <t>Amazon</t>
    <phoneticPr fontId="8"/>
  </si>
  <si>
    <t>丸藤（ﾊﾟﾙ）点検用sample</t>
    <rPh sb="0" eb="2">
      <t>マルフジ</t>
    </rPh>
    <rPh sb="7" eb="9">
      <t>テンケン</t>
    </rPh>
    <rPh sb="9" eb="10">
      <t>ヨウ</t>
    </rPh>
    <phoneticPr fontId="8"/>
  </si>
  <si>
    <t>JALUXサンプル</t>
    <phoneticPr fontId="8"/>
  </si>
  <si>
    <t>Amazon</t>
    <phoneticPr fontId="8"/>
  </si>
  <si>
    <t>千趣会返品</t>
    <rPh sb="0" eb="3">
      <t>センシュカイ</t>
    </rPh>
    <rPh sb="3" eb="5">
      <t>ヘンピン</t>
    </rPh>
    <phoneticPr fontId="2"/>
  </si>
  <si>
    <t>ネット</t>
    <phoneticPr fontId="8"/>
  </si>
  <si>
    <t>Amazon</t>
    <phoneticPr fontId="8"/>
  </si>
  <si>
    <t>ネット</t>
    <phoneticPr fontId="8"/>
  </si>
  <si>
    <t>Amazon</t>
    <phoneticPr fontId="8"/>
  </si>
  <si>
    <t>JALUXサンプル返却</t>
    <rPh sb="9" eb="11">
      <t>ヘンキャク</t>
    </rPh>
    <phoneticPr fontId="8"/>
  </si>
  <si>
    <t>Amazon</t>
    <phoneticPr fontId="8"/>
  </si>
  <si>
    <t>調整</t>
    <rPh sb="0" eb="2">
      <t>チョウセイ</t>
    </rPh>
    <phoneticPr fontId="2"/>
  </si>
  <si>
    <t>Amazon</t>
    <phoneticPr fontId="8"/>
  </si>
  <si>
    <t>ネット</t>
    <phoneticPr fontId="8"/>
  </si>
  <si>
    <t>ネップラ3P</t>
    <phoneticPr fontId="8"/>
  </si>
  <si>
    <t>ネップラ3P</t>
    <phoneticPr fontId="8"/>
  </si>
  <si>
    <t>ネット</t>
    <phoneticPr fontId="8"/>
  </si>
  <si>
    <t>Amazon</t>
    <phoneticPr fontId="8"/>
  </si>
  <si>
    <t>丸藤サンプル</t>
    <rPh sb="0" eb="2">
      <t>マルフジ</t>
    </rPh>
    <phoneticPr fontId="8"/>
  </si>
  <si>
    <t>酒井持ち出しサンプル返却</t>
    <rPh sb="0" eb="2">
      <t>サカイ</t>
    </rPh>
    <rPh sb="2" eb="3">
      <t>モ</t>
    </rPh>
    <rPh sb="4" eb="5">
      <t>ダ</t>
    </rPh>
    <rPh sb="10" eb="12">
      <t>ヘンキャク</t>
    </rPh>
    <phoneticPr fontId="8"/>
  </si>
  <si>
    <t>酒井持ち出しサンプル</t>
    <rPh sb="0" eb="2">
      <t>サカイ</t>
    </rPh>
    <rPh sb="2" eb="3">
      <t>モ</t>
    </rPh>
    <rPh sb="4" eb="5">
      <t>ダ</t>
    </rPh>
    <phoneticPr fontId="8"/>
  </si>
  <si>
    <t>トラスト＆カンパニー3P</t>
    <phoneticPr fontId="8"/>
  </si>
  <si>
    <t>Amazon</t>
    <phoneticPr fontId="8"/>
  </si>
  <si>
    <t>日生協キャロット28号①</t>
    <rPh sb="0" eb="2">
      <t>ニッセイ</t>
    </rPh>
    <rPh sb="2" eb="3">
      <t>キョウ</t>
    </rPh>
    <rPh sb="10" eb="11">
      <t>ゴウ</t>
    </rPh>
    <phoneticPr fontId="8"/>
  </si>
  <si>
    <t>丸藤パル①</t>
    <rPh sb="0" eb="2">
      <t>マルフジ</t>
    </rPh>
    <phoneticPr fontId="8"/>
  </si>
  <si>
    <t>ネット</t>
    <phoneticPr fontId="8"/>
  </si>
  <si>
    <t>ネット</t>
    <phoneticPr fontId="8"/>
  </si>
  <si>
    <t>夢販</t>
    <rPh sb="0" eb="1">
      <t>ユメ</t>
    </rPh>
    <rPh sb="1" eb="2">
      <t>ハン</t>
    </rPh>
    <phoneticPr fontId="8"/>
  </si>
  <si>
    <t>Amazon</t>
    <phoneticPr fontId="8"/>
  </si>
  <si>
    <t>Amazon</t>
    <phoneticPr fontId="8"/>
  </si>
  <si>
    <t>ネット</t>
    <phoneticPr fontId="8"/>
  </si>
  <si>
    <t>ベルーナサンプル</t>
    <phoneticPr fontId="8"/>
  </si>
  <si>
    <t>丸藤パル②</t>
    <rPh sb="0" eb="2">
      <t>マルフジ</t>
    </rPh>
    <phoneticPr fontId="8"/>
  </si>
  <si>
    <t>日生協キャロット28号②</t>
    <rPh sb="0" eb="2">
      <t>ニッセイ</t>
    </rPh>
    <rPh sb="2" eb="3">
      <t>キョウ</t>
    </rPh>
    <rPh sb="10" eb="11">
      <t>ゴウ</t>
    </rPh>
    <phoneticPr fontId="8"/>
  </si>
  <si>
    <t>日生協キャロット28号③</t>
    <rPh sb="0" eb="2">
      <t>ニッセイ</t>
    </rPh>
    <rPh sb="2" eb="3">
      <t>キョウ</t>
    </rPh>
    <rPh sb="10" eb="11">
      <t>ゴウ</t>
    </rPh>
    <phoneticPr fontId="8"/>
  </si>
  <si>
    <t>丸藤パル③</t>
    <rPh sb="0" eb="2">
      <t>マルフジ</t>
    </rPh>
    <phoneticPr fontId="8"/>
  </si>
  <si>
    <t>日生協キャロット28号④直送</t>
    <rPh sb="0" eb="2">
      <t>ニッセイ</t>
    </rPh>
    <rPh sb="2" eb="3">
      <t>キョウ</t>
    </rPh>
    <rPh sb="10" eb="11">
      <t>ゴウ</t>
    </rPh>
    <rPh sb="12" eb="14">
      <t>チョクソウ</t>
    </rPh>
    <phoneticPr fontId="8"/>
  </si>
  <si>
    <t>amazon</t>
    <phoneticPr fontId="8"/>
  </si>
  <si>
    <t>日生協キャロット28号⑤</t>
    <rPh sb="0" eb="2">
      <t>ニッセイ</t>
    </rPh>
    <rPh sb="2" eb="3">
      <t>キョウ</t>
    </rPh>
    <rPh sb="10" eb="11">
      <t>ゴウ</t>
    </rPh>
    <phoneticPr fontId="8"/>
  </si>
  <si>
    <t>ネット</t>
    <phoneticPr fontId="8"/>
  </si>
  <si>
    <t>ネット</t>
    <phoneticPr fontId="8"/>
  </si>
  <si>
    <t>日生協キャロット28号⑥直送</t>
    <rPh sb="0" eb="2">
      <t>ニッセイ</t>
    </rPh>
    <rPh sb="2" eb="3">
      <t>キョウ</t>
    </rPh>
    <rPh sb="10" eb="11">
      <t>ゴウ</t>
    </rPh>
    <rPh sb="12" eb="14">
      <t>チョクソウ</t>
    </rPh>
    <phoneticPr fontId="8"/>
  </si>
  <si>
    <t>Amazon</t>
    <phoneticPr fontId="8"/>
  </si>
  <si>
    <t>ネット</t>
    <phoneticPr fontId="8"/>
  </si>
  <si>
    <t>ネット</t>
    <phoneticPr fontId="8"/>
  </si>
  <si>
    <t>日生協キャロット28号⑦直送</t>
    <rPh sb="0" eb="2">
      <t>ニッセイ</t>
    </rPh>
    <rPh sb="2" eb="3">
      <t>キョウ</t>
    </rPh>
    <rPh sb="10" eb="11">
      <t>ゴウ</t>
    </rPh>
    <rPh sb="12" eb="14">
      <t>チョクソウ</t>
    </rPh>
    <phoneticPr fontId="8"/>
  </si>
  <si>
    <t>日生協キャロット28号⑧直送</t>
    <rPh sb="0" eb="2">
      <t>ニッセイ</t>
    </rPh>
    <rPh sb="2" eb="3">
      <t>キョウ</t>
    </rPh>
    <rPh sb="10" eb="11">
      <t>ゴウ</t>
    </rPh>
    <rPh sb="12" eb="14">
      <t>チョクソウ</t>
    </rPh>
    <phoneticPr fontId="8"/>
  </si>
  <si>
    <t>サンリッチネームに変更</t>
    <rPh sb="9" eb="11">
      <t>ヘンコウ</t>
    </rPh>
    <phoneticPr fontId="8"/>
  </si>
  <si>
    <t>ネット</t>
    <phoneticPr fontId="8"/>
  </si>
  <si>
    <t>Amazon</t>
    <phoneticPr fontId="8"/>
  </si>
  <si>
    <t>セシール</t>
    <phoneticPr fontId="8"/>
  </si>
  <si>
    <t>ネットプライス2P</t>
    <phoneticPr fontId="8"/>
  </si>
  <si>
    <t>ネット</t>
    <phoneticPr fontId="8"/>
  </si>
  <si>
    <t>ネット</t>
    <phoneticPr fontId="8"/>
  </si>
  <si>
    <t>Amazon</t>
    <phoneticPr fontId="8"/>
  </si>
  <si>
    <t>セシール</t>
    <phoneticPr fontId="8"/>
  </si>
  <si>
    <t>ネット</t>
    <phoneticPr fontId="8"/>
  </si>
  <si>
    <t>Amazon</t>
    <phoneticPr fontId="8"/>
  </si>
  <si>
    <t>ベルーナ</t>
    <phoneticPr fontId="8"/>
  </si>
  <si>
    <t>くらし直送</t>
    <rPh sb="3" eb="5">
      <t>チョクソウ</t>
    </rPh>
    <phoneticPr fontId="8"/>
  </si>
  <si>
    <t>ネット</t>
    <phoneticPr fontId="8"/>
  </si>
  <si>
    <t>ネット</t>
    <phoneticPr fontId="8"/>
  </si>
  <si>
    <t>JOD4P</t>
    <phoneticPr fontId="8"/>
  </si>
  <si>
    <t>Amazon</t>
    <phoneticPr fontId="8"/>
  </si>
  <si>
    <t>Amazon</t>
    <phoneticPr fontId="8"/>
  </si>
  <si>
    <t>Amazon</t>
    <phoneticPr fontId="8"/>
  </si>
  <si>
    <t>ﾅﾁｭﾗﾙｶﾞｰﾃﾞﾝsample</t>
    <phoneticPr fontId="8"/>
  </si>
  <si>
    <t>ネット</t>
    <phoneticPr fontId="8"/>
  </si>
  <si>
    <t>Amazon</t>
    <phoneticPr fontId="8"/>
  </si>
  <si>
    <t>ネップラ2P</t>
    <phoneticPr fontId="8"/>
  </si>
  <si>
    <t>ネップラ2色</t>
    <rPh sb="5" eb="6">
      <t>ショク</t>
    </rPh>
    <phoneticPr fontId="8"/>
  </si>
  <si>
    <t>Amazon</t>
    <phoneticPr fontId="8"/>
  </si>
  <si>
    <t>Amazon</t>
    <phoneticPr fontId="8"/>
  </si>
  <si>
    <t>サンリッチネーム付替え</t>
    <rPh sb="8" eb="10">
      <t>ツケカ</t>
    </rPh>
    <phoneticPr fontId="8"/>
  </si>
  <si>
    <t>セシール</t>
    <phoneticPr fontId="8"/>
  </si>
  <si>
    <t>Amazon</t>
    <phoneticPr fontId="8"/>
  </si>
  <si>
    <t>Amazon</t>
    <phoneticPr fontId="8"/>
  </si>
  <si>
    <t>ネット</t>
    <phoneticPr fontId="8"/>
  </si>
  <si>
    <t>ネット</t>
    <phoneticPr fontId="8"/>
  </si>
  <si>
    <t>ネット</t>
    <phoneticPr fontId="8"/>
  </si>
  <si>
    <t>ネーム付替え分</t>
    <rPh sb="3" eb="5">
      <t>ツケカ</t>
    </rPh>
    <rPh sb="6" eb="7">
      <t>ブン</t>
    </rPh>
    <phoneticPr fontId="8"/>
  </si>
  <si>
    <t>ネーム付替え分</t>
    <rPh sb="3" eb="5">
      <t>ツケカ</t>
    </rPh>
    <rPh sb="6" eb="7">
      <t>ブン</t>
    </rPh>
    <phoneticPr fontId="2"/>
  </si>
  <si>
    <t>ネップラ</t>
    <phoneticPr fontId="8"/>
  </si>
  <si>
    <t>かりん</t>
    <phoneticPr fontId="8"/>
  </si>
  <si>
    <t>夢販</t>
    <rPh sb="0" eb="1">
      <t>ユメ</t>
    </rPh>
    <rPh sb="1" eb="2">
      <t>ハン</t>
    </rPh>
    <phoneticPr fontId="8"/>
  </si>
  <si>
    <t>ネップラ</t>
    <phoneticPr fontId="8"/>
  </si>
  <si>
    <t>日生協47号①</t>
    <rPh sb="0" eb="3">
      <t>ニッセイキョウ</t>
    </rPh>
    <rPh sb="5" eb="6">
      <t>ゴウ</t>
    </rPh>
    <phoneticPr fontId="8"/>
  </si>
  <si>
    <t>JOD</t>
    <phoneticPr fontId="8"/>
  </si>
  <si>
    <t>ネット</t>
    <phoneticPr fontId="8"/>
  </si>
  <si>
    <t>ネット</t>
    <phoneticPr fontId="8"/>
  </si>
  <si>
    <t>日生協47号②</t>
    <rPh sb="0" eb="3">
      <t>ニッセイキョウ</t>
    </rPh>
    <rPh sb="5" eb="6">
      <t>ゴウ</t>
    </rPh>
    <phoneticPr fontId="8"/>
  </si>
  <si>
    <t>日生協47号③</t>
    <rPh sb="0" eb="3">
      <t>ニッセイキョウ</t>
    </rPh>
    <rPh sb="5" eb="6">
      <t>ゴウ</t>
    </rPh>
    <phoneticPr fontId="8"/>
  </si>
  <si>
    <t>日生協47号④</t>
    <rPh sb="0" eb="3">
      <t>ニッセイキョウ</t>
    </rPh>
    <rPh sb="5" eb="6">
      <t>ゴウ</t>
    </rPh>
    <phoneticPr fontId="8"/>
  </si>
  <si>
    <t>日生協47号⑤</t>
    <phoneticPr fontId="8"/>
  </si>
  <si>
    <t>JOD4P</t>
    <phoneticPr fontId="8"/>
  </si>
  <si>
    <t>ネップラ3P</t>
    <phoneticPr fontId="8"/>
  </si>
  <si>
    <t>日生協47号⑥</t>
    <phoneticPr fontId="8"/>
  </si>
  <si>
    <t>Amazon</t>
    <phoneticPr fontId="8"/>
  </si>
  <si>
    <t>日生協47号⑦</t>
    <phoneticPr fontId="8"/>
  </si>
  <si>
    <t>ネップラ</t>
    <phoneticPr fontId="8"/>
  </si>
  <si>
    <t>Amazon</t>
    <phoneticPr fontId="8"/>
  </si>
  <si>
    <t>日生協47号直送</t>
    <rPh sb="0" eb="3">
      <t>ニッセイキョウ</t>
    </rPh>
    <rPh sb="5" eb="6">
      <t>ゴウ</t>
    </rPh>
    <rPh sb="6" eb="8">
      <t>チョクソウ</t>
    </rPh>
    <phoneticPr fontId="8"/>
  </si>
  <si>
    <t>素数オットー</t>
    <rPh sb="0" eb="2">
      <t>ソスウ</t>
    </rPh>
    <phoneticPr fontId="8"/>
  </si>
  <si>
    <t>ネット</t>
    <phoneticPr fontId="8"/>
  </si>
  <si>
    <t>ネット</t>
    <phoneticPr fontId="8"/>
  </si>
  <si>
    <t>Amazon</t>
    <phoneticPr fontId="8"/>
  </si>
  <si>
    <t>JR東日本サンプル</t>
    <rPh sb="2" eb="5">
      <t>ヒガシニホン</t>
    </rPh>
    <phoneticPr fontId="8"/>
  </si>
  <si>
    <t>Amazon</t>
    <phoneticPr fontId="8"/>
  </si>
  <si>
    <t>ネット返品</t>
    <rPh sb="3" eb="5">
      <t>ヘンピン</t>
    </rPh>
    <phoneticPr fontId="8"/>
  </si>
  <si>
    <t>追加6</t>
    <rPh sb="0" eb="2">
      <t>ツイカ</t>
    </rPh>
    <phoneticPr fontId="2"/>
  </si>
  <si>
    <t>ネット</t>
    <phoneticPr fontId="8"/>
  </si>
  <si>
    <t>ネップラ3P</t>
    <phoneticPr fontId="8"/>
  </si>
  <si>
    <t>ネップラ3P</t>
    <phoneticPr fontId="8"/>
  </si>
  <si>
    <t>調整分3/28</t>
    <rPh sb="0" eb="2">
      <t>チョウセイ</t>
    </rPh>
    <rPh sb="2" eb="3">
      <t>ブン</t>
    </rPh>
    <phoneticPr fontId="8"/>
  </si>
  <si>
    <t>セシール</t>
    <phoneticPr fontId="8"/>
  </si>
  <si>
    <t>Amazon</t>
    <phoneticPr fontId="8"/>
  </si>
  <si>
    <t>Amazon</t>
    <phoneticPr fontId="8"/>
  </si>
  <si>
    <t>エイボンサンプル</t>
    <phoneticPr fontId="8"/>
  </si>
  <si>
    <t>エイボンサンプル返却</t>
    <rPh sb="8" eb="10">
      <t>ヘンキャク</t>
    </rPh>
    <phoneticPr fontId="8"/>
  </si>
  <si>
    <t>ネット</t>
    <phoneticPr fontId="8"/>
  </si>
  <si>
    <t>かりん</t>
    <phoneticPr fontId="8"/>
  </si>
  <si>
    <t>ディノス16秋sample</t>
    <rPh sb="6" eb="7">
      <t>アキ</t>
    </rPh>
    <phoneticPr fontId="8"/>
  </si>
  <si>
    <t>ディノス検査用</t>
    <rPh sb="4" eb="6">
      <t>ケンサ</t>
    </rPh>
    <rPh sb="6" eb="7">
      <t>ヨウ</t>
    </rPh>
    <phoneticPr fontId="8"/>
  </si>
  <si>
    <t>Amazon</t>
    <phoneticPr fontId="8"/>
  </si>
  <si>
    <t>Amazon</t>
    <phoneticPr fontId="8"/>
  </si>
  <si>
    <t>ネット</t>
    <phoneticPr fontId="8"/>
  </si>
  <si>
    <t>ネップラ2P</t>
    <phoneticPr fontId="8"/>
  </si>
  <si>
    <t>電話注文</t>
    <rPh sb="0" eb="2">
      <t>デンワ</t>
    </rPh>
    <rPh sb="2" eb="4">
      <t>チュウモン</t>
    </rPh>
    <phoneticPr fontId="8"/>
  </si>
  <si>
    <t>かりん</t>
    <phoneticPr fontId="8"/>
  </si>
  <si>
    <t>ネット</t>
    <phoneticPr fontId="8"/>
  </si>
  <si>
    <t>Amazon</t>
    <phoneticPr fontId="8"/>
  </si>
  <si>
    <t>Amazon</t>
    <phoneticPr fontId="8"/>
  </si>
  <si>
    <t>ネット</t>
    <phoneticPr fontId="8"/>
  </si>
  <si>
    <t>JR東日本3P</t>
    <rPh sb="2" eb="5">
      <t>ヒガシニホン</t>
    </rPh>
    <phoneticPr fontId="8"/>
  </si>
  <si>
    <t>Metao</t>
    <phoneticPr fontId="8"/>
  </si>
  <si>
    <t>Metao</t>
    <phoneticPr fontId="8"/>
  </si>
  <si>
    <t>Amazon</t>
    <phoneticPr fontId="8"/>
  </si>
  <si>
    <t>ネット</t>
    <phoneticPr fontId="8"/>
  </si>
  <si>
    <t>Metao</t>
    <phoneticPr fontId="8"/>
  </si>
  <si>
    <t>Metao</t>
    <phoneticPr fontId="8"/>
  </si>
  <si>
    <t>Metao</t>
    <phoneticPr fontId="8"/>
  </si>
  <si>
    <t>Metao</t>
    <phoneticPr fontId="8"/>
  </si>
  <si>
    <t>Amazon</t>
    <phoneticPr fontId="8"/>
  </si>
  <si>
    <t>セシール</t>
    <phoneticPr fontId="8"/>
  </si>
  <si>
    <t>Metao</t>
    <phoneticPr fontId="8"/>
  </si>
  <si>
    <t>Metao</t>
    <phoneticPr fontId="8"/>
  </si>
  <si>
    <t>ネット</t>
    <phoneticPr fontId="8"/>
  </si>
  <si>
    <t>ネット</t>
    <phoneticPr fontId="8"/>
  </si>
  <si>
    <t>JR東日本返品</t>
    <rPh sb="2" eb="5">
      <t>ヒガシニホン</t>
    </rPh>
    <rPh sb="5" eb="7">
      <t>ヘンピン</t>
    </rPh>
    <phoneticPr fontId="8"/>
  </si>
  <si>
    <t>ディノス3P</t>
    <phoneticPr fontId="8"/>
  </si>
  <si>
    <t>くらし（きんき）サンプル</t>
    <phoneticPr fontId="8"/>
  </si>
  <si>
    <t>ネット交換</t>
    <rPh sb="3" eb="5">
      <t>コウカン</t>
    </rPh>
    <phoneticPr fontId="8"/>
  </si>
  <si>
    <t>素数オットー</t>
    <rPh sb="0" eb="2">
      <t>ソスウ</t>
    </rPh>
    <phoneticPr fontId="8"/>
  </si>
  <si>
    <t>夢販</t>
    <rPh sb="0" eb="1">
      <t>ユメ</t>
    </rPh>
    <rPh sb="1" eb="2">
      <t>ハン</t>
    </rPh>
    <phoneticPr fontId="8"/>
  </si>
  <si>
    <t>amazon</t>
    <phoneticPr fontId="8"/>
  </si>
  <si>
    <t>セシール</t>
    <phoneticPr fontId="8"/>
  </si>
  <si>
    <t>ネット</t>
    <phoneticPr fontId="8"/>
  </si>
  <si>
    <t>ネット</t>
    <phoneticPr fontId="8"/>
  </si>
  <si>
    <t>ネット</t>
    <phoneticPr fontId="8"/>
  </si>
  <si>
    <t>Metao</t>
    <phoneticPr fontId="8"/>
  </si>
  <si>
    <t>ネット</t>
    <phoneticPr fontId="8"/>
  </si>
  <si>
    <t>ネット</t>
    <phoneticPr fontId="8"/>
  </si>
  <si>
    <t>日生協須坂センター直送</t>
    <rPh sb="0" eb="3">
      <t>ニッセイキョウ</t>
    </rPh>
    <rPh sb="3" eb="5">
      <t>スサカ</t>
    </rPh>
    <rPh sb="9" eb="11">
      <t>チョクソウ</t>
    </rPh>
    <phoneticPr fontId="8"/>
  </si>
  <si>
    <t>Metao</t>
    <phoneticPr fontId="8"/>
  </si>
  <si>
    <t>JR東日本サンプル返却</t>
    <rPh sb="2" eb="5">
      <t>ヒガシニホン</t>
    </rPh>
    <rPh sb="9" eb="11">
      <t>ヘンキャク</t>
    </rPh>
    <phoneticPr fontId="2"/>
  </si>
  <si>
    <t>Metao</t>
    <phoneticPr fontId="8"/>
  </si>
  <si>
    <t>オットー返品</t>
    <rPh sb="4" eb="6">
      <t>ヘンピン</t>
    </rPh>
    <phoneticPr fontId="2"/>
  </si>
  <si>
    <t>オットー再納品</t>
    <rPh sb="4" eb="7">
      <t>サイノウヒン</t>
    </rPh>
    <phoneticPr fontId="8"/>
  </si>
  <si>
    <t>ネップラ2P</t>
    <phoneticPr fontId="8"/>
  </si>
  <si>
    <t>Metao</t>
    <phoneticPr fontId="8"/>
  </si>
  <si>
    <t>Metao</t>
    <phoneticPr fontId="8"/>
  </si>
  <si>
    <t>Metao</t>
    <phoneticPr fontId="8"/>
  </si>
  <si>
    <t>Amazon</t>
    <phoneticPr fontId="8"/>
  </si>
  <si>
    <t>素数オットー</t>
    <rPh sb="0" eb="2">
      <t>ソスウ</t>
    </rPh>
    <phoneticPr fontId="8"/>
  </si>
  <si>
    <t>Amazon</t>
    <phoneticPr fontId="8"/>
  </si>
  <si>
    <t>Metao</t>
    <phoneticPr fontId="8"/>
  </si>
  <si>
    <t>西夢</t>
    <rPh sb="0" eb="2">
      <t>ニシユメ</t>
    </rPh>
    <phoneticPr fontId="8"/>
  </si>
  <si>
    <t>セシール</t>
    <phoneticPr fontId="8"/>
  </si>
  <si>
    <t>セシール</t>
    <phoneticPr fontId="8"/>
  </si>
  <si>
    <t>Metao</t>
    <phoneticPr fontId="8"/>
  </si>
  <si>
    <t>Metao</t>
    <phoneticPr fontId="8"/>
  </si>
  <si>
    <t>西夢</t>
    <rPh sb="0" eb="1">
      <t>ニシ</t>
    </rPh>
    <rPh sb="1" eb="2">
      <t>ユメ</t>
    </rPh>
    <phoneticPr fontId="8"/>
  </si>
  <si>
    <t>Metao</t>
    <phoneticPr fontId="8"/>
  </si>
  <si>
    <t>Metao</t>
    <phoneticPr fontId="8"/>
  </si>
  <si>
    <t>Metao</t>
    <phoneticPr fontId="8"/>
  </si>
  <si>
    <t>追加5</t>
    <rPh sb="0" eb="2">
      <t>ツイカ</t>
    </rPh>
    <phoneticPr fontId="2"/>
  </si>
  <si>
    <t>ネット</t>
    <phoneticPr fontId="8"/>
  </si>
  <si>
    <t>Metao</t>
    <phoneticPr fontId="8"/>
  </si>
  <si>
    <t>Amazon</t>
    <phoneticPr fontId="8"/>
  </si>
  <si>
    <t>追加</t>
    <rPh sb="0" eb="2">
      <t>ツイカ</t>
    </rPh>
    <phoneticPr fontId="2"/>
  </si>
  <si>
    <t>夢販</t>
    <rPh sb="0" eb="2">
      <t>ユメハン</t>
    </rPh>
    <phoneticPr fontId="8"/>
  </si>
  <si>
    <t>ディノス3P</t>
    <phoneticPr fontId="8"/>
  </si>
  <si>
    <t>セシール返品</t>
    <rPh sb="4" eb="6">
      <t>ヘンピン</t>
    </rPh>
    <phoneticPr fontId="8"/>
  </si>
  <si>
    <t>Metao</t>
    <phoneticPr fontId="8"/>
  </si>
  <si>
    <t>夢販</t>
    <rPh sb="0" eb="2">
      <t>ユメハン</t>
    </rPh>
    <phoneticPr fontId="8"/>
  </si>
  <si>
    <t>コープきんき23号①</t>
    <rPh sb="8" eb="9">
      <t>ゴウ</t>
    </rPh>
    <phoneticPr fontId="8"/>
  </si>
  <si>
    <t>コープきんき23号②</t>
    <rPh sb="8" eb="9">
      <t>ゴウ</t>
    </rPh>
    <phoneticPr fontId="8"/>
  </si>
  <si>
    <t>コープきんき23号③</t>
    <rPh sb="8" eb="9">
      <t>ゴウ</t>
    </rPh>
    <phoneticPr fontId="8"/>
  </si>
  <si>
    <t>かりん</t>
    <phoneticPr fontId="8"/>
  </si>
  <si>
    <t>コープきんき23号④</t>
    <rPh sb="8" eb="9">
      <t>ゴウ</t>
    </rPh>
    <phoneticPr fontId="8"/>
  </si>
  <si>
    <t>コープきんき23号⑤</t>
    <rPh sb="8" eb="9">
      <t>ゴウ</t>
    </rPh>
    <phoneticPr fontId="8"/>
  </si>
  <si>
    <t>セシール</t>
    <phoneticPr fontId="8"/>
  </si>
  <si>
    <t>夢販</t>
    <rPh sb="0" eb="2">
      <t>ユメハン</t>
    </rPh>
    <phoneticPr fontId="8"/>
  </si>
  <si>
    <t>Metao</t>
    <phoneticPr fontId="8"/>
  </si>
  <si>
    <t>ネット</t>
    <phoneticPr fontId="8"/>
  </si>
  <si>
    <t>Metao</t>
    <phoneticPr fontId="8"/>
  </si>
  <si>
    <t>Metao</t>
    <phoneticPr fontId="8"/>
  </si>
  <si>
    <t>Metao</t>
    <phoneticPr fontId="8"/>
  </si>
  <si>
    <t>西夢</t>
    <rPh sb="0" eb="1">
      <t>ニシ</t>
    </rPh>
    <rPh sb="1" eb="2">
      <t>ユメ</t>
    </rPh>
    <phoneticPr fontId="8"/>
  </si>
  <si>
    <t>素数オットー</t>
    <rPh sb="0" eb="2">
      <t>ソスウ</t>
    </rPh>
    <phoneticPr fontId="8"/>
  </si>
  <si>
    <t>Metao</t>
    <phoneticPr fontId="8"/>
  </si>
  <si>
    <t>ネット</t>
    <phoneticPr fontId="8"/>
  </si>
  <si>
    <t>Metao</t>
    <phoneticPr fontId="8"/>
  </si>
  <si>
    <t>Metao</t>
    <phoneticPr fontId="8"/>
  </si>
  <si>
    <t>Metao</t>
    <phoneticPr fontId="8"/>
  </si>
  <si>
    <t>ネット返品</t>
    <rPh sb="3" eb="5">
      <t>ヘンピン</t>
    </rPh>
    <phoneticPr fontId="2"/>
  </si>
  <si>
    <t>かりん</t>
    <phoneticPr fontId="8"/>
  </si>
  <si>
    <t>Metao</t>
    <phoneticPr fontId="8"/>
  </si>
  <si>
    <t>Metao</t>
    <phoneticPr fontId="8"/>
  </si>
  <si>
    <t>ネップラ2P</t>
    <phoneticPr fontId="8"/>
  </si>
  <si>
    <t>Metao</t>
    <phoneticPr fontId="8"/>
  </si>
  <si>
    <t>Amazon</t>
    <phoneticPr fontId="8"/>
  </si>
  <si>
    <t>Metao</t>
    <phoneticPr fontId="8"/>
  </si>
  <si>
    <t>Amazon</t>
    <phoneticPr fontId="8"/>
  </si>
  <si>
    <t>JR東日本3P</t>
    <phoneticPr fontId="8"/>
  </si>
  <si>
    <t>夢販</t>
    <rPh sb="0" eb="2">
      <t>ユメハン</t>
    </rPh>
    <phoneticPr fontId="8"/>
  </si>
  <si>
    <t>セシール</t>
    <phoneticPr fontId="8"/>
  </si>
  <si>
    <t>ネット</t>
    <phoneticPr fontId="8"/>
  </si>
  <si>
    <t>丸藤（ｸﾞﾘｰﾝｺｰﾌﾟ）sample</t>
    <rPh sb="0" eb="2">
      <t>マルフジ</t>
    </rPh>
    <phoneticPr fontId="8"/>
  </si>
  <si>
    <t>ネット</t>
    <phoneticPr fontId="8"/>
  </si>
  <si>
    <t>Amazon</t>
    <phoneticPr fontId="8"/>
  </si>
  <si>
    <t>Metao</t>
    <phoneticPr fontId="8"/>
  </si>
  <si>
    <t>JR東日本3P</t>
    <phoneticPr fontId="8"/>
  </si>
  <si>
    <t>かりん</t>
    <phoneticPr fontId="8"/>
  </si>
  <si>
    <t>不良品</t>
    <rPh sb="0" eb="1">
      <t>フ</t>
    </rPh>
    <rPh sb="1" eb="3">
      <t>リョウヒン</t>
    </rPh>
    <phoneticPr fontId="8"/>
  </si>
  <si>
    <t>Metao</t>
    <phoneticPr fontId="8"/>
  </si>
  <si>
    <t>ネット</t>
    <phoneticPr fontId="8"/>
  </si>
  <si>
    <t>JR東日本返品</t>
    <rPh sb="5" eb="7">
      <t>ヘンピン</t>
    </rPh>
    <phoneticPr fontId="8"/>
  </si>
  <si>
    <t>素数オットー</t>
    <rPh sb="0" eb="2">
      <t>ソスウ</t>
    </rPh>
    <phoneticPr fontId="8"/>
  </si>
  <si>
    <t>Amazon</t>
    <phoneticPr fontId="8"/>
  </si>
  <si>
    <t>追加2</t>
    <rPh sb="0" eb="2">
      <t>ツイカ</t>
    </rPh>
    <phoneticPr fontId="2"/>
  </si>
  <si>
    <t>ディノス3P</t>
    <phoneticPr fontId="8"/>
  </si>
  <si>
    <t>Metao</t>
    <phoneticPr fontId="8"/>
  </si>
  <si>
    <t>セシール</t>
    <phoneticPr fontId="8"/>
  </si>
  <si>
    <t>Metao</t>
    <phoneticPr fontId="8"/>
  </si>
  <si>
    <t>JR東日本返品</t>
    <rPh sb="2" eb="3">
      <t>ヒガシ</t>
    </rPh>
    <rPh sb="3" eb="5">
      <t>ニホン</t>
    </rPh>
    <rPh sb="5" eb="7">
      <t>ヘンピン</t>
    </rPh>
    <phoneticPr fontId="2"/>
  </si>
  <si>
    <t>コープきんき35号①</t>
    <rPh sb="8" eb="9">
      <t>ゴウ</t>
    </rPh>
    <phoneticPr fontId="8"/>
  </si>
  <si>
    <t>ネット</t>
    <phoneticPr fontId="8"/>
  </si>
  <si>
    <t>西夢</t>
    <rPh sb="0" eb="1">
      <t>ニシ</t>
    </rPh>
    <rPh sb="1" eb="2">
      <t>ユメ</t>
    </rPh>
    <phoneticPr fontId="8"/>
  </si>
  <si>
    <t>Metao</t>
    <phoneticPr fontId="8"/>
  </si>
  <si>
    <t>Metao</t>
    <phoneticPr fontId="8"/>
  </si>
  <si>
    <t>コープきんき35号②</t>
    <rPh sb="8" eb="9">
      <t>ゴウ</t>
    </rPh>
    <phoneticPr fontId="8"/>
  </si>
  <si>
    <t>コープきんき35号③</t>
    <rPh sb="8" eb="9">
      <t>ゴウ</t>
    </rPh>
    <phoneticPr fontId="8"/>
  </si>
  <si>
    <t>Metao</t>
    <phoneticPr fontId="8"/>
  </si>
  <si>
    <t>コープきんき35号④</t>
    <rPh sb="8" eb="9">
      <t>ゴウ</t>
    </rPh>
    <phoneticPr fontId="8"/>
  </si>
  <si>
    <t>Metao</t>
    <phoneticPr fontId="8"/>
  </si>
  <si>
    <t>コープきんき35号⑤</t>
    <rPh sb="8" eb="9">
      <t>ゴウ</t>
    </rPh>
    <phoneticPr fontId="8"/>
  </si>
  <si>
    <t>コープきんき35号⑥</t>
    <rPh sb="8" eb="9">
      <t>ゴウ</t>
    </rPh>
    <phoneticPr fontId="8"/>
  </si>
  <si>
    <t>Metao</t>
    <phoneticPr fontId="8"/>
  </si>
  <si>
    <t>Metao</t>
    <phoneticPr fontId="8"/>
  </si>
  <si>
    <t>コープきんき直送</t>
    <rPh sb="6" eb="8">
      <t>チョクソウ</t>
    </rPh>
    <phoneticPr fontId="8"/>
  </si>
  <si>
    <t>ネット</t>
    <phoneticPr fontId="8"/>
  </si>
  <si>
    <t>Metao</t>
    <phoneticPr fontId="8"/>
  </si>
  <si>
    <t>丸藤ｸﾞﾘｰﾝｺｰﾌﾟ38号①</t>
    <rPh sb="0" eb="2">
      <t>マルフジ</t>
    </rPh>
    <rPh sb="13" eb="14">
      <t>ゴウ</t>
    </rPh>
    <phoneticPr fontId="8"/>
  </si>
  <si>
    <t>ＪＲ東日本返品</t>
    <rPh sb="2" eb="3">
      <t>ヒガシ</t>
    </rPh>
    <rPh sb="3" eb="5">
      <t>ニホン</t>
    </rPh>
    <rPh sb="5" eb="7">
      <t>ヘンピン</t>
    </rPh>
    <phoneticPr fontId="2"/>
  </si>
  <si>
    <t>ディノス</t>
    <phoneticPr fontId="8"/>
  </si>
  <si>
    <t>Amazon</t>
    <phoneticPr fontId="8"/>
  </si>
  <si>
    <t>Metao</t>
    <phoneticPr fontId="8"/>
  </si>
  <si>
    <t>Metao</t>
    <phoneticPr fontId="8"/>
  </si>
  <si>
    <t>ネット</t>
    <phoneticPr fontId="8"/>
  </si>
  <si>
    <t>ディノス返品</t>
    <rPh sb="4" eb="6">
      <t>ヘンピン</t>
    </rPh>
    <phoneticPr fontId="8"/>
  </si>
  <si>
    <t>Metao</t>
    <phoneticPr fontId="8"/>
  </si>
  <si>
    <t>丸藤ｸﾞﾘｰﾝｺｰﾌﾟ38号②</t>
    <rPh sb="0" eb="2">
      <t>マルフジ</t>
    </rPh>
    <rPh sb="13" eb="14">
      <t>ゴウ</t>
    </rPh>
    <phoneticPr fontId="8"/>
  </si>
  <si>
    <t>追加</t>
    <rPh sb="0" eb="2">
      <t>ツイカ</t>
    </rPh>
    <phoneticPr fontId="8"/>
  </si>
  <si>
    <t>Metao</t>
    <phoneticPr fontId="8"/>
  </si>
  <si>
    <t>Amazon返品</t>
    <rPh sb="6" eb="8">
      <t>ヘンピン</t>
    </rPh>
    <phoneticPr fontId="8"/>
  </si>
  <si>
    <t>丸藤ｸﾞﾘｰﾝｺｰﾌﾟ38号③</t>
    <rPh sb="0" eb="2">
      <t>マルフジ</t>
    </rPh>
    <rPh sb="13" eb="14">
      <t>ゴウ</t>
    </rPh>
    <phoneticPr fontId="8"/>
  </si>
  <si>
    <t>Metao</t>
    <phoneticPr fontId="8"/>
  </si>
  <si>
    <t>Metao</t>
    <phoneticPr fontId="8"/>
  </si>
  <si>
    <t>Metao</t>
    <phoneticPr fontId="8"/>
  </si>
  <si>
    <t>Amazon</t>
    <phoneticPr fontId="8"/>
  </si>
  <si>
    <t>Metao（誤配フォロー分）</t>
    <rPh sb="6" eb="8">
      <t>ゴハイ</t>
    </rPh>
    <rPh sb="12" eb="13">
      <t>ブン</t>
    </rPh>
    <phoneticPr fontId="8"/>
  </si>
  <si>
    <t>Metao</t>
    <phoneticPr fontId="8"/>
  </si>
  <si>
    <t>ネップラ2Ｐ</t>
    <phoneticPr fontId="8"/>
  </si>
  <si>
    <t>ワンズ</t>
    <phoneticPr fontId="8"/>
  </si>
  <si>
    <t>Amazon</t>
    <phoneticPr fontId="8"/>
  </si>
  <si>
    <t>ネット</t>
    <phoneticPr fontId="8"/>
  </si>
  <si>
    <t>Amazon</t>
    <phoneticPr fontId="8"/>
  </si>
  <si>
    <t>かりん</t>
    <phoneticPr fontId="8"/>
  </si>
  <si>
    <t>Metao</t>
    <phoneticPr fontId="8"/>
  </si>
  <si>
    <t>Metao</t>
    <phoneticPr fontId="8"/>
  </si>
  <si>
    <t>ネット</t>
    <phoneticPr fontId="8"/>
  </si>
  <si>
    <t>Metao</t>
  </si>
  <si>
    <t>夢販</t>
    <rPh sb="0" eb="2">
      <t>ユメハン</t>
    </rPh>
    <phoneticPr fontId="8"/>
  </si>
  <si>
    <t>追加７サンリッチ在庫分</t>
    <rPh sb="0" eb="2">
      <t>ツイカ</t>
    </rPh>
    <rPh sb="8" eb="10">
      <t>ザイコ</t>
    </rPh>
    <rPh sb="10" eb="11">
      <t>ブン</t>
    </rPh>
    <phoneticPr fontId="2"/>
  </si>
  <si>
    <t>Metao</t>
    <phoneticPr fontId="8"/>
  </si>
  <si>
    <t>Metao</t>
    <phoneticPr fontId="8"/>
  </si>
  <si>
    <t>ネット</t>
    <phoneticPr fontId="8"/>
  </si>
  <si>
    <t>ネット</t>
    <phoneticPr fontId="8"/>
  </si>
  <si>
    <t>Metao</t>
    <phoneticPr fontId="8"/>
  </si>
  <si>
    <t>ネット</t>
    <phoneticPr fontId="8"/>
  </si>
  <si>
    <t>Metao</t>
    <phoneticPr fontId="8"/>
  </si>
  <si>
    <t>JODサンプル</t>
    <phoneticPr fontId="8"/>
  </si>
  <si>
    <t>Metao</t>
    <phoneticPr fontId="8"/>
  </si>
  <si>
    <t>コープきんき50号2月4回特価①</t>
    <rPh sb="8" eb="9">
      <t>ゴウ</t>
    </rPh>
    <rPh sb="10" eb="11">
      <t>ガツ</t>
    </rPh>
    <rPh sb="12" eb="13">
      <t>カイ</t>
    </rPh>
    <rPh sb="13" eb="15">
      <t>トッカ</t>
    </rPh>
    <phoneticPr fontId="8"/>
  </si>
  <si>
    <t>Metao</t>
    <phoneticPr fontId="8"/>
  </si>
  <si>
    <t>オットー再納品分</t>
    <rPh sb="4" eb="7">
      <t>サイノウヒン</t>
    </rPh>
    <rPh sb="7" eb="8">
      <t>ブン</t>
    </rPh>
    <phoneticPr fontId="2"/>
  </si>
  <si>
    <t>オットー再納品</t>
    <rPh sb="4" eb="7">
      <t>サイノウヒン</t>
    </rPh>
    <phoneticPr fontId="2"/>
  </si>
  <si>
    <t>Amazon</t>
    <phoneticPr fontId="8"/>
  </si>
  <si>
    <t>Amazon</t>
    <phoneticPr fontId="8"/>
  </si>
  <si>
    <t>Metao</t>
    <phoneticPr fontId="8"/>
  </si>
  <si>
    <t>Metao</t>
    <phoneticPr fontId="8"/>
  </si>
  <si>
    <t>Metao直送</t>
    <rPh sb="5" eb="7">
      <t>チョクソウ</t>
    </rPh>
    <phoneticPr fontId="8"/>
  </si>
  <si>
    <t>コープきんき50号2月4回特価②</t>
    <rPh sb="8" eb="9">
      <t>ゴウ</t>
    </rPh>
    <rPh sb="10" eb="11">
      <t>ガツ</t>
    </rPh>
    <rPh sb="12" eb="13">
      <t>カイ</t>
    </rPh>
    <rPh sb="13" eb="15">
      <t>トッカ</t>
    </rPh>
    <phoneticPr fontId="8"/>
  </si>
  <si>
    <t>ニッセン先上げサンプル</t>
    <rPh sb="4" eb="5">
      <t>サキ</t>
    </rPh>
    <rPh sb="5" eb="6">
      <t>ア</t>
    </rPh>
    <phoneticPr fontId="8"/>
  </si>
  <si>
    <t>コープきんき50号2月4回特価③</t>
    <rPh sb="8" eb="9">
      <t>ゴウ</t>
    </rPh>
    <rPh sb="10" eb="11">
      <t>ガツ</t>
    </rPh>
    <rPh sb="12" eb="13">
      <t>カイ</t>
    </rPh>
    <rPh sb="13" eb="15">
      <t>トッカ</t>
    </rPh>
    <phoneticPr fontId="8"/>
  </si>
  <si>
    <t>夢販</t>
    <rPh sb="0" eb="2">
      <t>ユメハン</t>
    </rPh>
    <phoneticPr fontId="8"/>
  </si>
  <si>
    <t>コープきんき50号2月4回特価④</t>
    <rPh sb="8" eb="9">
      <t>ゴウ</t>
    </rPh>
    <rPh sb="10" eb="11">
      <t>ガツ</t>
    </rPh>
    <rPh sb="12" eb="13">
      <t>カイ</t>
    </rPh>
    <rPh sb="13" eb="15">
      <t>トッカ</t>
    </rPh>
    <phoneticPr fontId="8"/>
  </si>
  <si>
    <t>くらし企画</t>
    <rPh sb="3" eb="5">
      <t>キカク</t>
    </rPh>
    <phoneticPr fontId="2"/>
  </si>
  <si>
    <t>コープきんき50号2月4回特価⑤</t>
    <rPh sb="8" eb="9">
      <t>ゴウ</t>
    </rPh>
    <rPh sb="10" eb="11">
      <t>ガツ</t>
    </rPh>
    <rPh sb="12" eb="13">
      <t>カイ</t>
    </rPh>
    <rPh sb="13" eb="15">
      <t>トッカ</t>
    </rPh>
    <phoneticPr fontId="8"/>
  </si>
  <si>
    <t>Metao</t>
    <phoneticPr fontId="8"/>
  </si>
  <si>
    <t>Metao</t>
    <phoneticPr fontId="8"/>
  </si>
  <si>
    <t>ニッセン色合わせサンプル</t>
    <rPh sb="4" eb="5">
      <t>イロ</t>
    </rPh>
    <rPh sb="5" eb="6">
      <t>ア</t>
    </rPh>
    <phoneticPr fontId="8"/>
  </si>
  <si>
    <t>Metao</t>
    <phoneticPr fontId="8"/>
  </si>
  <si>
    <t>Metao</t>
    <phoneticPr fontId="8"/>
  </si>
  <si>
    <t>コープきんき直送</t>
    <rPh sb="6" eb="8">
      <t>チョクソウ</t>
    </rPh>
    <phoneticPr fontId="8"/>
  </si>
  <si>
    <t>オットー3月</t>
    <rPh sb="5" eb="6">
      <t>ガツ</t>
    </rPh>
    <phoneticPr fontId="8"/>
  </si>
  <si>
    <t>Metao</t>
    <phoneticPr fontId="8"/>
  </si>
  <si>
    <t>Metao</t>
    <phoneticPr fontId="8"/>
  </si>
  <si>
    <t>ネップラ2P</t>
    <phoneticPr fontId="8"/>
  </si>
  <si>
    <t>Metao</t>
    <phoneticPr fontId="8"/>
  </si>
  <si>
    <t>ネット</t>
    <phoneticPr fontId="8"/>
  </si>
  <si>
    <t>JOD2色組</t>
    <rPh sb="4" eb="5">
      <t>ショク</t>
    </rPh>
    <rPh sb="5" eb="6">
      <t>グミ</t>
    </rPh>
    <phoneticPr fontId="8"/>
  </si>
  <si>
    <t>Amazon</t>
    <phoneticPr fontId="8"/>
  </si>
  <si>
    <t>西夢</t>
    <rPh sb="0" eb="1">
      <t>ニシ</t>
    </rPh>
    <rPh sb="1" eb="2">
      <t>ユメ</t>
    </rPh>
    <phoneticPr fontId="8"/>
  </si>
  <si>
    <t>Metao</t>
    <phoneticPr fontId="8"/>
  </si>
  <si>
    <t>Metao</t>
    <phoneticPr fontId="8"/>
  </si>
  <si>
    <t>Metao</t>
    <phoneticPr fontId="8"/>
  </si>
  <si>
    <t>夢販</t>
    <rPh sb="0" eb="2">
      <t>ユメハン</t>
    </rPh>
    <phoneticPr fontId="8"/>
  </si>
  <si>
    <t>Metao</t>
    <phoneticPr fontId="8"/>
  </si>
  <si>
    <t>ネット</t>
    <phoneticPr fontId="8"/>
  </si>
  <si>
    <t>Metao</t>
    <phoneticPr fontId="8"/>
  </si>
  <si>
    <t>素数サンプル</t>
    <rPh sb="0" eb="2">
      <t>ソスウ</t>
    </rPh>
    <phoneticPr fontId="8"/>
  </si>
  <si>
    <t>Amazon</t>
    <phoneticPr fontId="8"/>
  </si>
  <si>
    <t>Metao</t>
    <phoneticPr fontId="8"/>
  </si>
  <si>
    <t>素数オットー</t>
    <rPh sb="0" eb="2">
      <t>ソスウ</t>
    </rPh>
    <phoneticPr fontId="8"/>
  </si>
  <si>
    <t>夢販</t>
    <rPh sb="0" eb="1">
      <t>ユメ</t>
    </rPh>
    <rPh sb="1" eb="2">
      <t>ハン</t>
    </rPh>
    <phoneticPr fontId="8"/>
  </si>
  <si>
    <t>マイジール提案sample</t>
    <rPh sb="5" eb="7">
      <t>テイアン</t>
    </rPh>
    <phoneticPr fontId="8"/>
  </si>
  <si>
    <t>ネット</t>
    <phoneticPr fontId="8"/>
  </si>
  <si>
    <t>meteo4月RED分①</t>
    <rPh sb="6" eb="7">
      <t>ガツ</t>
    </rPh>
    <rPh sb="10" eb="11">
      <t>ブン</t>
    </rPh>
    <phoneticPr fontId="8"/>
  </si>
  <si>
    <t>meteo4月RED分②</t>
    <rPh sb="6" eb="7">
      <t>ガツ</t>
    </rPh>
    <rPh sb="10" eb="11">
      <t>ブン</t>
    </rPh>
    <phoneticPr fontId="8"/>
  </si>
  <si>
    <t>JODサンプル返却</t>
    <rPh sb="7" eb="9">
      <t>ヘンキャク</t>
    </rPh>
    <phoneticPr fontId="8"/>
  </si>
  <si>
    <t>JOD</t>
    <phoneticPr fontId="8"/>
  </si>
  <si>
    <t>JOD</t>
    <phoneticPr fontId="8"/>
  </si>
  <si>
    <t>Amazon</t>
    <phoneticPr fontId="8"/>
  </si>
  <si>
    <t>ネット</t>
    <phoneticPr fontId="8"/>
  </si>
  <si>
    <t>ネット</t>
    <phoneticPr fontId="8"/>
  </si>
  <si>
    <t>ディノス</t>
    <phoneticPr fontId="8"/>
  </si>
  <si>
    <t>JOD</t>
    <phoneticPr fontId="8"/>
  </si>
  <si>
    <t>Metao</t>
    <phoneticPr fontId="8"/>
  </si>
  <si>
    <t>Metao</t>
    <phoneticPr fontId="8"/>
  </si>
  <si>
    <t>Amazon</t>
    <phoneticPr fontId="8"/>
  </si>
  <si>
    <t>コープきんき11号①</t>
    <rPh sb="8" eb="9">
      <t>ゴウ</t>
    </rPh>
    <phoneticPr fontId="8"/>
  </si>
  <si>
    <t>Metao</t>
    <phoneticPr fontId="8"/>
  </si>
  <si>
    <t>Metao</t>
    <phoneticPr fontId="8"/>
  </si>
  <si>
    <t>サンリッチ在庫</t>
    <rPh sb="5" eb="7">
      <t>ザイコ</t>
    </rPh>
    <phoneticPr fontId="2"/>
  </si>
  <si>
    <t>かりん</t>
    <phoneticPr fontId="8"/>
  </si>
  <si>
    <t>Metao</t>
    <phoneticPr fontId="8"/>
  </si>
  <si>
    <t>Metao</t>
    <phoneticPr fontId="8"/>
  </si>
  <si>
    <t>Metao</t>
    <phoneticPr fontId="8"/>
  </si>
  <si>
    <t>ニッセンサンプル返却</t>
    <rPh sb="8" eb="10">
      <t>ヘンキャク</t>
    </rPh>
    <phoneticPr fontId="2"/>
  </si>
  <si>
    <t>夢販</t>
    <rPh sb="0" eb="2">
      <t>ユメハン</t>
    </rPh>
    <phoneticPr fontId="8"/>
  </si>
  <si>
    <t>Metao</t>
    <phoneticPr fontId="8"/>
  </si>
  <si>
    <t>西夢</t>
    <rPh sb="0" eb="1">
      <t>ニシ</t>
    </rPh>
    <rPh sb="1" eb="2">
      <t>ユメ</t>
    </rPh>
    <phoneticPr fontId="8"/>
  </si>
  <si>
    <t>MetaoRED</t>
    <phoneticPr fontId="8"/>
  </si>
  <si>
    <t>コープきんき11号②</t>
    <rPh sb="8" eb="9">
      <t>ゴウ</t>
    </rPh>
    <phoneticPr fontId="8"/>
  </si>
  <si>
    <t>コープきんき11号③</t>
    <rPh sb="8" eb="9">
      <t>ゴウ</t>
    </rPh>
    <phoneticPr fontId="8"/>
  </si>
  <si>
    <t>コープきんき11号④</t>
    <rPh sb="8" eb="9">
      <t>ゴウ</t>
    </rPh>
    <phoneticPr fontId="8"/>
  </si>
  <si>
    <t>コープきんき11号⑤</t>
    <rPh sb="8" eb="9">
      <t>ゴウ</t>
    </rPh>
    <phoneticPr fontId="8"/>
  </si>
  <si>
    <t>Metao</t>
    <phoneticPr fontId="8"/>
  </si>
  <si>
    <t>Metao</t>
    <phoneticPr fontId="8"/>
  </si>
  <si>
    <t>ネット</t>
    <phoneticPr fontId="8"/>
  </si>
  <si>
    <t>夢販</t>
    <rPh sb="0" eb="2">
      <t>ユメハン</t>
    </rPh>
    <phoneticPr fontId="8"/>
  </si>
  <si>
    <t>ニッセン2ｐ①</t>
    <phoneticPr fontId="8"/>
  </si>
  <si>
    <t>ニッセン2ｐ②</t>
    <phoneticPr fontId="8"/>
  </si>
  <si>
    <t>ニッセン2ｐ③</t>
    <phoneticPr fontId="8"/>
  </si>
  <si>
    <t>ニッセン2P④</t>
    <phoneticPr fontId="8"/>
  </si>
  <si>
    <t>Metao</t>
    <phoneticPr fontId="8"/>
  </si>
  <si>
    <t>素数オットー</t>
    <rPh sb="0" eb="2">
      <t>ソスウ</t>
    </rPh>
    <phoneticPr fontId="8"/>
  </si>
  <si>
    <t>Metao</t>
    <phoneticPr fontId="8"/>
  </si>
  <si>
    <t>Metao</t>
    <phoneticPr fontId="8"/>
  </si>
  <si>
    <t>MetaoRED</t>
    <phoneticPr fontId="8"/>
  </si>
  <si>
    <t>Metao</t>
    <phoneticPr fontId="8"/>
  </si>
  <si>
    <t>在庫</t>
    <rPh sb="0" eb="2">
      <t>ザイコ</t>
    </rPh>
    <phoneticPr fontId="2"/>
  </si>
  <si>
    <t>Metao</t>
    <phoneticPr fontId="8"/>
  </si>
  <si>
    <t>ネット</t>
    <phoneticPr fontId="8"/>
  </si>
  <si>
    <t>MetaoRED</t>
    <phoneticPr fontId="8"/>
  </si>
  <si>
    <t>MetaoRED</t>
    <phoneticPr fontId="8"/>
  </si>
  <si>
    <t>Metao</t>
    <phoneticPr fontId="8"/>
  </si>
  <si>
    <t>ディノス３P</t>
    <phoneticPr fontId="8"/>
  </si>
  <si>
    <t>JOD2色</t>
    <rPh sb="4" eb="5">
      <t>イロ</t>
    </rPh>
    <phoneticPr fontId="8"/>
  </si>
  <si>
    <t>MetaoRED</t>
    <phoneticPr fontId="8"/>
  </si>
  <si>
    <t>MetaoRED</t>
    <phoneticPr fontId="8"/>
  </si>
  <si>
    <t>夢販</t>
    <rPh sb="0" eb="2">
      <t>ユメハン</t>
    </rPh>
    <phoneticPr fontId="8"/>
  </si>
  <si>
    <t>かりん</t>
    <phoneticPr fontId="8"/>
  </si>
  <si>
    <t>MetaoRED</t>
    <phoneticPr fontId="8"/>
  </si>
  <si>
    <t>ネット</t>
    <phoneticPr fontId="8"/>
  </si>
  <si>
    <t>キレイライン</t>
    <phoneticPr fontId="8"/>
  </si>
  <si>
    <t>ネット</t>
    <phoneticPr fontId="8"/>
  </si>
  <si>
    <t>ネット</t>
    <phoneticPr fontId="8"/>
  </si>
  <si>
    <t>キレイラインVIP</t>
    <phoneticPr fontId="8"/>
  </si>
  <si>
    <t>ネット</t>
    <phoneticPr fontId="8"/>
  </si>
  <si>
    <t>オットー再加工</t>
    <rPh sb="4" eb="7">
      <t>サイカコウ</t>
    </rPh>
    <phoneticPr fontId="8"/>
  </si>
  <si>
    <t>オットー再納品</t>
    <rPh sb="4" eb="7">
      <t>サイノウヒン</t>
    </rPh>
    <phoneticPr fontId="8"/>
  </si>
  <si>
    <t>Metao</t>
    <phoneticPr fontId="8"/>
  </si>
  <si>
    <t>キレイラインRED</t>
    <phoneticPr fontId="8"/>
  </si>
  <si>
    <t>キレイラインRED</t>
    <phoneticPr fontId="8"/>
  </si>
  <si>
    <t>キレイライン</t>
    <phoneticPr fontId="8"/>
  </si>
  <si>
    <t>キレイラインVIP</t>
    <phoneticPr fontId="8"/>
  </si>
  <si>
    <t>キレイラインRED</t>
    <phoneticPr fontId="8"/>
  </si>
  <si>
    <t>ネット</t>
    <phoneticPr fontId="8"/>
  </si>
  <si>
    <t>キレイラインVIP</t>
    <phoneticPr fontId="8"/>
  </si>
  <si>
    <t>ニッセン2P⑤</t>
    <phoneticPr fontId="8"/>
  </si>
  <si>
    <t>キレイライン</t>
    <phoneticPr fontId="8"/>
  </si>
  <si>
    <t>夢販</t>
    <rPh sb="0" eb="2">
      <t>ユメハン</t>
    </rPh>
    <phoneticPr fontId="8"/>
  </si>
  <si>
    <t>素数オットー</t>
    <rPh sb="0" eb="2">
      <t>ソスウ</t>
    </rPh>
    <phoneticPr fontId="8"/>
  </si>
  <si>
    <t>ネット返品</t>
    <rPh sb="3" eb="5">
      <t>ヘンピン</t>
    </rPh>
    <phoneticPr fontId="8"/>
  </si>
  <si>
    <t>キレイライン</t>
    <phoneticPr fontId="8"/>
  </si>
  <si>
    <t>キレイライン</t>
    <phoneticPr fontId="8"/>
  </si>
  <si>
    <t>ネット</t>
    <phoneticPr fontId="8"/>
  </si>
  <si>
    <t>キレイライン</t>
    <phoneticPr fontId="8"/>
  </si>
  <si>
    <t>キレイライン</t>
    <phoneticPr fontId="8"/>
  </si>
  <si>
    <t>キレイライン川越</t>
    <rPh sb="6" eb="8">
      <t>カワゴエ</t>
    </rPh>
    <phoneticPr fontId="8"/>
  </si>
  <si>
    <t>キレイライン川越</t>
    <rPh sb="6" eb="8">
      <t>カワゴエ</t>
    </rPh>
    <phoneticPr fontId="8"/>
  </si>
  <si>
    <t>キレイライン赤坂</t>
    <rPh sb="6" eb="7">
      <t>アカ</t>
    </rPh>
    <rPh sb="7" eb="8">
      <t>サカ</t>
    </rPh>
    <phoneticPr fontId="8"/>
  </si>
  <si>
    <t>キレイライン赤坂</t>
    <phoneticPr fontId="8"/>
  </si>
  <si>
    <t>キレイライン赤坂</t>
    <phoneticPr fontId="8"/>
  </si>
  <si>
    <t>西夢</t>
    <rPh sb="0" eb="1">
      <t>ニシ</t>
    </rPh>
    <rPh sb="1" eb="2">
      <t>ユメ</t>
    </rPh>
    <phoneticPr fontId="8"/>
  </si>
  <si>
    <t>キレイラインVIP</t>
    <phoneticPr fontId="8"/>
  </si>
  <si>
    <t>キレイラインVIP</t>
    <phoneticPr fontId="8"/>
  </si>
  <si>
    <t>キレイライン赤坂</t>
    <rPh sb="6" eb="8">
      <t>アカサカ</t>
    </rPh>
    <phoneticPr fontId="8"/>
  </si>
  <si>
    <t>キレイライン千葉</t>
    <rPh sb="6" eb="8">
      <t>チバ</t>
    </rPh>
    <phoneticPr fontId="8"/>
  </si>
  <si>
    <t>夢販</t>
    <rPh sb="0" eb="2">
      <t>ユメハン</t>
    </rPh>
    <phoneticPr fontId="8"/>
  </si>
  <si>
    <t>ネット</t>
    <phoneticPr fontId="8"/>
  </si>
  <si>
    <t>キレイライン赤坂</t>
    <phoneticPr fontId="8"/>
  </si>
  <si>
    <t>キレイライン赤坂</t>
    <phoneticPr fontId="8"/>
  </si>
  <si>
    <t>キレイライン赤坂</t>
    <phoneticPr fontId="8"/>
  </si>
  <si>
    <t>キレイライン赤坂</t>
    <phoneticPr fontId="8"/>
  </si>
  <si>
    <t>ネット</t>
    <phoneticPr fontId="8"/>
  </si>
  <si>
    <t>キレイライン赤坂</t>
    <phoneticPr fontId="8"/>
  </si>
  <si>
    <t>千趣会①</t>
    <rPh sb="0" eb="3">
      <t>センシュカイ</t>
    </rPh>
    <phoneticPr fontId="8"/>
  </si>
  <si>
    <t>千趣会②</t>
    <rPh sb="0" eb="3">
      <t>センシュカイ</t>
    </rPh>
    <phoneticPr fontId="8"/>
  </si>
  <si>
    <t>千趣会③</t>
    <rPh sb="0" eb="3">
      <t>センシュカイ</t>
    </rPh>
    <phoneticPr fontId="8"/>
  </si>
  <si>
    <t>キレイライン返品</t>
    <rPh sb="6" eb="8">
      <t>ヘンピン</t>
    </rPh>
    <phoneticPr fontId="2"/>
  </si>
  <si>
    <t>キレイライン川越</t>
    <phoneticPr fontId="8"/>
  </si>
  <si>
    <t>夢販</t>
    <rPh sb="0" eb="2">
      <t>ユメハン</t>
    </rPh>
    <phoneticPr fontId="8"/>
  </si>
  <si>
    <t>ネット</t>
    <phoneticPr fontId="8"/>
  </si>
  <si>
    <t>キレイライン赤坂(分納)</t>
    <rPh sb="9" eb="11">
      <t>ブンノウ</t>
    </rPh>
    <phoneticPr fontId="8"/>
  </si>
  <si>
    <t>キレイライン川越</t>
    <phoneticPr fontId="8"/>
  </si>
  <si>
    <t>キレイライン赤坂</t>
    <phoneticPr fontId="8"/>
  </si>
  <si>
    <t>コープきんき２月３回①</t>
    <rPh sb="7" eb="8">
      <t>ガツ</t>
    </rPh>
    <rPh sb="9" eb="10">
      <t>カイ</t>
    </rPh>
    <phoneticPr fontId="8"/>
  </si>
  <si>
    <t>コープCSネット２月３回①</t>
    <rPh sb="9" eb="10">
      <t>ガツ</t>
    </rPh>
    <rPh sb="11" eb="12">
      <t>カイ</t>
    </rPh>
    <phoneticPr fontId="8"/>
  </si>
  <si>
    <t>キレイライン川越</t>
    <phoneticPr fontId="8"/>
  </si>
  <si>
    <t>キレイライン赤坂</t>
    <phoneticPr fontId="8"/>
  </si>
  <si>
    <t>コープきんき２月３回②</t>
    <rPh sb="7" eb="8">
      <t>ガツ</t>
    </rPh>
    <rPh sb="9" eb="10">
      <t>カイ</t>
    </rPh>
    <phoneticPr fontId="8"/>
  </si>
  <si>
    <t>コープCSネット２月３回②</t>
    <rPh sb="9" eb="10">
      <t>ガツ</t>
    </rPh>
    <rPh sb="11" eb="12">
      <t>カイ</t>
    </rPh>
    <phoneticPr fontId="8"/>
  </si>
  <si>
    <t>コープきんき２月３回③</t>
    <rPh sb="7" eb="8">
      <t>ガツ</t>
    </rPh>
    <rPh sb="9" eb="10">
      <t>カイ</t>
    </rPh>
    <phoneticPr fontId="8"/>
  </si>
  <si>
    <t>コープきんき２月３回④</t>
    <rPh sb="7" eb="8">
      <t>ガツ</t>
    </rPh>
    <rPh sb="9" eb="10">
      <t>カイ</t>
    </rPh>
    <phoneticPr fontId="8"/>
  </si>
  <si>
    <t>コープCSネット２月３回③</t>
    <rPh sb="9" eb="10">
      <t>ガツ</t>
    </rPh>
    <rPh sb="11" eb="12">
      <t>カイ</t>
    </rPh>
    <phoneticPr fontId="8"/>
  </si>
  <si>
    <t>コープきんき２月３回⑤</t>
    <rPh sb="7" eb="8">
      <t>ガツ</t>
    </rPh>
    <rPh sb="9" eb="10">
      <t>カイ</t>
    </rPh>
    <phoneticPr fontId="8"/>
  </si>
  <si>
    <t>オットー再加工</t>
    <rPh sb="4" eb="7">
      <t>サイカコウ</t>
    </rPh>
    <phoneticPr fontId="8"/>
  </si>
  <si>
    <t>オットー再納品</t>
    <rPh sb="4" eb="5">
      <t>サイ</t>
    </rPh>
    <rPh sb="5" eb="7">
      <t>ノウヒン</t>
    </rPh>
    <phoneticPr fontId="8"/>
  </si>
  <si>
    <t>コープきんき２月３回⑥</t>
    <rPh sb="7" eb="8">
      <t>ガツ</t>
    </rPh>
    <rPh sb="9" eb="10">
      <t>カイ</t>
    </rPh>
    <phoneticPr fontId="8"/>
  </si>
  <si>
    <t>コープきんき２月４回⑦</t>
    <rPh sb="7" eb="8">
      <t>ガツ</t>
    </rPh>
    <rPh sb="9" eb="10">
      <t>カイ</t>
    </rPh>
    <phoneticPr fontId="8"/>
  </si>
  <si>
    <t>キレイライン赤坂</t>
    <phoneticPr fontId="8"/>
  </si>
  <si>
    <t>コープきんき２月４回⑧直送</t>
    <rPh sb="7" eb="8">
      <t>ガツ</t>
    </rPh>
    <rPh sb="9" eb="10">
      <t>カイ</t>
    </rPh>
    <rPh sb="11" eb="13">
      <t>チョクソウ</t>
    </rPh>
    <phoneticPr fontId="8"/>
  </si>
  <si>
    <t>キレイライン赤坂</t>
    <phoneticPr fontId="8"/>
  </si>
  <si>
    <t>追加</t>
    <rPh sb="0" eb="2">
      <t>ツイカ</t>
    </rPh>
    <phoneticPr fontId="8"/>
  </si>
  <si>
    <t>キレイライン赤坂</t>
    <phoneticPr fontId="8"/>
  </si>
  <si>
    <t>キレイラインRED</t>
    <phoneticPr fontId="8"/>
  </si>
  <si>
    <t>キレイライン赤坂</t>
    <phoneticPr fontId="8"/>
  </si>
  <si>
    <t>キレイライン赤坂</t>
    <phoneticPr fontId="8"/>
  </si>
  <si>
    <t>オットージャパン6月号</t>
    <rPh sb="9" eb="11">
      <t>ガツゴウ</t>
    </rPh>
    <phoneticPr fontId="8"/>
  </si>
  <si>
    <t>夢販</t>
    <rPh sb="0" eb="2">
      <t>ユメハン</t>
    </rPh>
    <phoneticPr fontId="8"/>
  </si>
  <si>
    <t>キレイラインVIP</t>
    <phoneticPr fontId="8"/>
  </si>
  <si>
    <t>キレイラインVIP</t>
    <phoneticPr fontId="8"/>
  </si>
  <si>
    <t>キレイライン赤坂</t>
    <phoneticPr fontId="8"/>
  </si>
  <si>
    <t>キレイラインRED</t>
    <phoneticPr fontId="8"/>
  </si>
  <si>
    <t>キレイライン赤坂</t>
    <phoneticPr fontId="8"/>
  </si>
  <si>
    <t>コープきんき４月４回①</t>
    <rPh sb="7" eb="8">
      <t>ガツ</t>
    </rPh>
    <rPh sb="9" eb="10">
      <t>カイ</t>
    </rPh>
    <phoneticPr fontId="8"/>
  </si>
  <si>
    <t>キレイラインRED</t>
    <phoneticPr fontId="8"/>
  </si>
  <si>
    <t>キレイライン赤坂</t>
    <phoneticPr fontId="8"/>
  </si>
  <si>
    <t>キレイライン赤坂</t>
    <phoneticPr fontId="8"/>
  </si>
  <si>
    <t>ネット</t>
    <phoneticPr fontId="8"/>
  </si>
  <si>
    <t>キレイラインRED</t>
    <phoneticPr fontId="8"/>
  </si>
  <si>
    <t>コープきんき４月４回②</t>
    <rPh sb="7" eb="8">
      <t>ガツ</t>
    </rPh>
    <rPh sb="9" eb="10">
      <t>カイ</t>
    </rPh>
    <phoneticPr fontId="8"/>
  </si>
  <si>
    <t>コープきんき４月４回③</t>
    <rPh sb="7" eb="8">
      <t>ガツ</t>
    </rPh>
    <rPh sb="9" eb="10">
      <t>カイ</t>
    </rPh>
    <phoneticPr fontId="8"/>
  </si>
  <si>
    <t>西夢</t>
    <rPh sb="0" eb="1">
      <t>ニシ</t>
    </rPh>
    <rPh sb="1" eb="2">
      <t>ユメ</t>
    </rPh>
    <phoneticPr fontId="8"/>
  </si>
  <si>
    <t>コープきんき４月４回④</t>
    <rPh sb="7" eb="8">
      <t>ガツ</t>
    </rPh>
    <rPh sb="9" eb="10">
      <t>カイ</t>
    </rPh>
    <phoneticPr fontId="8"/>
  </si>
  <si>
    <t>コープきんき４月４回⑤</t>
    <rPh sb="7" eb="8">
      <t>ガツ</t>
    </rPh>
    <rPh sb="9" eb="10">
      <t>カイ</t>
    </rPh>
    <phoneticPr fontId="8"/>
  </si>
  <si>
    <t>キレイライン赤坂</t>
    <phoneticPr fontId="8"/>
  </si>
  <si>
    <t>キレイライン赤坂</t>
    <phoneticPr fontId="8"/>
  </si>
  <si>
    <t>キレイライン赤坂</t>
    <phoneticPr fontId="8"/>
  </si>
  <si>
    <t>キレイラインRED</t>
    <phoneticPr fontId="8"/>
  </si>
  <si>
    <t>くらし直送</t>
    <rPh sb="3" eb="5">
      <t>チョクソウ</t>
    </rPh>
    <phoneticPr fontId="8"/>
  </si>
  <si>
    <t>夢販</t>
    <rPh sb="0" eb="2">
      <t>ユメハン</t>
    </rPh>
    <phoneticPr fontId="8"/>
  </si>
  <si>
    <t>キレイライン赤坂</t>
    <phoneticPr fontId="8"/>
  </si>
  <si>
    <t>キレイラインVIP①</t>
    <phoneticPr fontId="8"/>
  </si>
  <si>
    <t>キレイラインRED</t>
    <phoneticPr fontId="8"/>
  </si>
  <si>
    <t>キレイライン赤坂</t>
    <phoneticPr fontId="8"/>
  </si>
  <si>
    <t>キレイライン赤坂</t>
    <phoneticPr fontId="8"/>
  </si>
  <si>
    <t>キレイラインレッド</t>
    <phoneticPr fontId="8"/>
  </si>
  <si>
    <t>夢企覚販売㈲　オリジナルネーム</t>
    <phoneticPr fontId="8"/>
  </si>
  <si>
    <t>美・キュート　ソフトブラ　（サンリッチ在庫）</t>
    <rPh sb="0" eb="1">
      <t>ビ</t>
    </rPh>
    <rPh sb="19" eb="21">
      <t>ザイコ</t>
    </rPh>
    <phoneticPr fontId="2"/>
  </si>
  <si>
    <t>　キレイラインVIP</t>
    <phoneticPr fontId="8"/>
  </si>
  <si>
    <t>調整</t>
    <rPh sb="0" eb="2">
      <t>チョウセイ</t>
    </rPh>
    <phoneticPr fontId="8"/>
  </si>
  <si>
    <t>夢販</t>
    <rPh sb="0" eb="2">
      <t>ユメハン</t>
    </rPh>
    <phoneticPr fontId="8"/>
  </si>
  <si>
    <t>キレイライン赤坂</t>
    <phoneticPr fontId="8"/>
  </si>
  <si>
    <t>キレイライン赤坂</t>
    <phoneticPr fontId="8"/>
  </si>
  <si>
    <t>2018/8/17ship</t>
    <phoneticPr fontId="8"/>
  </si>
  <si>
    <t>ネット</t>
    <phoneticPr fontId="8"/>
  </si>
  <si>
    <t>ネット</t>
    <phoneticPr fontId="8"/>
  </si>
  <si>
    <t>ネット</t>
    <phoneticPr fontId="8"/>
  </si>
  <si>
    <t>ネット</t>
    <phoneticPr fontId="8"/>
  </si>
  <si>
    <t>キレイライン赤坂</t>
    <phoneticPr fontId="8"/>
  </si>
  <si>
    <t>西夢</t>
    <rPh sb="0" eb="1">
      <t>ニシ</t>
    </rPh>
    <rPh sb="1" eb="2">
      <t>ユメ</t>
    </rPh>
    <phoneticPr fontId="8"/>
  </si>
  <si>
    <t>ネット</t>
    <phoneticPr fontId="8"/>
  </si>
  <si>
    <t>ネット</t>
    <phoneticPr fontId="8"/>
  </si>
  <si>
    <t>キレイライン赤坂</t>
    <phoneticPr fontId="8"/>
  </si>
  <si>
    <t>キレイライン赤坂</t>
    <phoneticPr fontId="8"/>
  </si>
  <si>
    <t>ネット</t>
    <phoneticPr fontId="8"/>
  </si>
  <si>
    <t>ネット</t>
    <phoneticPr fontId="8"/>
  </si>
  <si>
    <t>キレイラインVIP</t>
    <phoneticPr fontId="8"/>
  </si>
  <si>
    <t>ネット</t>
    <phoneticPr fontId="8"/>
  </si>
  <si>
    <t>ネット</t>
    <phoneticPr fontId="8"/>
  </si>
  <si>
    <t>オットージャパン11月号</t>
    <rPh sb="10" eb="12">
      <t>ガツゴウ</t>
    </rPh>
    <phoneticPr fontId="8"/>
  </si>
  <si>
    <t>アテニア提案sample</t>
    <rPh sb="4" eb="6">
      <t>テイアン</t>
    </rPh>
    <phoneticPr fontId="8"/>
  </si>
  <si>
    <t>ネップラ2P</t>
    <phoneticPr fontId="8"/>
  </si>
  <si>
    <t>キレイライン赤坂</t>
    <phoneticPr fontId="8"/>
  </si>
  <si>
    <t>ニッセン2P</t>
    <phoneticPr fontId="8"/>
  </si>
  <si>
    <t>ネット</t>
    <phoneticPr fontId="8"/>
  </si>
  <si>
    <t>キレイラインVIP10/5</t>
    <phoneticPr fontId="8"/>
  </si>
  <si>
    <t>キレイライン赤坂</t>
    <phoneticPr fontId="8"/>
  </si>
  <si>
    <t>キレイライン赤坂</t>
    <phoneticPr fontId="8"/>
  </si>
  <si>
    <t>キレイライン赤坂</t>
    <phoneticPr fontId="8"/>
  </si>
  <si>
    <t>キレイライン赤坂</t>
    <phoneticPr fontId="8"/>
  </si>
  <si>
    <t>オットージャパン11月号①</t>
    <rPh sb="10" eb="12">
      <t>ガツゴウ</t>
    </rPh>
    <phoneticPr fontId="8"/>
  </si>
  <si>
    <t>ﾅﾁｭﾗﾙｶﾞｰﾃﾞﾝsample返却</t>
    <rPh sb="17" eb="19">
      <t>ヘンキャク</t>
    </rPh>
    <phoneticPr fontId="8"/>
  </si>
  <si>
    <t>キレイライン赤坂</t>
    <phoneticPr fontId="8"/>
  </si>
  <si>
    <t>キレイラインレッド</t>
    <phoneticPr fontId="8"/>
  </si>
  <si>
    <t>キレイライン赤坂</t>
    <phoneticPr fontId="8"/>
  </si>
  <si>
    <t>ネット</t>
    <phoneticPr fontId="8"/>
  </si>
  <si>
    <t>夢販</t>
    <rPh sb="0" eb="2">
      <t>ユメハン</t>
    </rPh>
    <phoneticPr fontId="8"/>
  </si>
  <si>
    <t>ネット</t>
    <phoneticPr fontId="8"/>
  </si>
  <si>
    <t>オットージャパン11月号②</t>
    <rPh sb="10" eb="12">
      <t>ガツゴウ</t>
    </rPh>
    <phoneticPr fontId="8"/>
  </si>
  <si>
    <t>キレイラインVIP 11/12</t>
    <phoneticPr fontId="8"/>
  </si>
  <si>
    <t>キレイライン赤坂</t>
    <phoneticPr fontId="8"/>
  </si>
  <si>
    <t>キレイライン赤坂</t>
    <phoneticPr fontId="8"/>
  </si>
  <si>
    <t>キレイラインレッド</t>
    <phoneticPr fontId="8"/>
  </si>
  <si>
    <t>キレイライン赤坂</t>
    <phoneticPr fontId="8"/>
  </si>
  <si>
    <t>くらしきんき２月１回</t>
    <rPh sb="7" eb="8">
      <t>ガツ</t>
    </rPh>
    <rPh sb="9" eb="10">
      <t>カイ</t>
    </rPh>
    <phoneticPr fontId="8"/>
  </si>
  <si>
    <t>1/17点検、1/30～2/9</t>
    <rPh sb="4" eb="6">
      <t>テンケン</t>
    </rPh>
    <phoneticPr fontId="8"/>
  </si>
  <si>
    <t>キレイライン赤坂</t>
    <phoneticPr fontId="8"/>
  </si>
  <si>
    <t>キレイライン一条初回</t>
    <phoneticPr fontId="8"/>
  </si>
  <si>
    <t>キレイラインＶＩＰ</t>
    <phoneticPr fontId="8"/>
  </si>
  <si>
    <t>計画数</t>
    <rPh sb="0" eb="2">
      <t>ケイカク</t>
    </rPh>
    <rPh sb="2" eb="3">
      <t>スウ</t>
    </rPh>
    <phoneticPr fontId="8"/>
  </si>
  <si>
    <t>オットージャパン２月号</t>
    <rPh sb="9" eb="10">
      <t>ガツ</t>
    </rPh>
    <rPh sb="10" eb="11">
      <t>ゴウ</t>
    </rPh>
    <phoneticPr fontId="8"/>
  </si>
  <si>
    <t>オットージャパン２月号①</t>
    <rPh sb="9" eb="10">
      <t>ガツ</t>
    </rPh>
    <rPh sb="10" eb="11">
      <t>ゴウ</t>
    </rPh>
    <phoneticPr fontId="8"/>
  </si>
  <si>
    <t>夢販</t>
    <rPh sb="0" eb="2">
      <t>ユメハン</t>
    </rPh>
    <phoneticPr fontId="8"/>
  </si>
  <si>
    <t>キレイラインレッド</t>
    <phoneticPr fontId="8"/>
  </si>
  <si>
    <t>キレイラインＴＭＡＬＬ</t>
    <phoneticPr fontId="8"/>
  </si>
  <si>
    <t>くらしきんき２月１回①</t>
    <rPh sb="7" eb="8">
      <t>ガツ</t>
    </rPh>
    <rPh sb="9" eb="10">
      <t>カイ</t>
    </rPh>
    <phoneticPr fontId="8"/>
  </si>
  <si>
    <t>くらしきんき２月１回②</t>
    <rPh sb="7" eb="8">
      <t>ガツ</t>
    </rPh>
    <rPh sb="9" eb="10">
      <t>カイ</t>
    </rPh>
    <phoneticPr fontId="8"/>
  </si>
  <si>
    <t>くらしきんき２月１回③</t>
    <rPh sb="7" eb="8">
      <t>ガツ</t>
    </rPh>
    <rPh sb="9" eb="10">
      <t>カイ</t>
    </rPh>
    <phoneticPr fontId="8"/>
  </si>
  <si>
    <t>くらしきんき２月１回④</t>
    <rPh sb="7" eb="8">
      <t>ガツ</t>
    </rPh>
    <rPh sb="9" eb="10">
      <t>カイ</t>
    </rPh>
    <phoneticPr fontId="8"/>
  </si>
  <si>
    <t>くらしきんき２月１回⑤</t>
    <rPh sb="7" eb="8">
      <t>ガツ</t>
    </rPh>
    <rPh sb="9" eb="10">
      <t>カイ</t>
    </rPh>
    <phoneticPr fontId="8"/>
  </si>
  <si>
    <t>くらしきんき２月１回⑥</t>
    <rPh sb="7" eb="8">
      <t>ガツ</t>
    </rPh>
    <rPh sb="9" eb="10">
      <t>カイ</t>
    </rPh>
    <phoneticPr fontId="8"/>
  </si>
  <si>
    <t>くらしきんき２月１回⑦</t>
    <rPh sb="7" eb="8">
      <t>ガツ</t>
    </rPh>
    <rPh sb="9" eb="10">
      <t>カイ</t>
    </rPh>
    <phoneticPr fontId="8"/>
  </si>
  <si>
    <t>オットージャパン２月号②</t>
    <rPh sb="9" eb="10">
      <t>ガツ</t>
    </rPh>
    <rPh sb="10" eb="11">
      <t>ゴウ</t>
    </rPh>
    <phoneticPr fontId="8"/>
  </si>
  <si>
    <t>くらしきんき２月１回⑧</t>
    <rPh sb="7" eb="8">
      <t>ガツ</t>
    </rPh>
    <rPh sb="9" eb="10">
      <t>カイ</t>
    </rPh>
    <phoneticPr fontId="8"/>
  </si>
  <si>
    <t>オットージャパン２月号③</t>
    <rPh sb="9" eb="10">
      <t>ガツ</t>
    </rPh>
    <rPh sb="10" eb="11">
      <t>ゴウ</t>
    </rPh>
    <phoneticPr fontId="8"/>
  </si>
  <si>
    <t>キレイライン赤坂</t>
    <phoneticPr fontId="8"/>
  </si>
  <si>
    <t>キレイライン赤坂</t>
    <phoneticPr fontId="8"/>
  </si>
  <si>
    <t>キレイラインRED</t>
    <phoneticPr fontId="8"/>
  </si>
  <si>
    <t>キレイライン赤坂</t>
    <phoneticPr fontId="8"/>
  </si>
  <si>
    <t>夢販</t>
    <rPh sb="0" eb="2">
      <t>ユメハン</t>
    </rPh>
    <phoneticPr fontId="8"/>
  </si>
  <si>
    <t>キレイライン赤坂</t>
    <phoneticPr fontId="8"/>
  </si>
  <si>
    <t>キレイライン赤坂追加</t>
    <rPh sb="8" eb="10">
      <t>ツイカ</t>
    </rPh>
    <phoneticPr fontId="8"/>
  </si>
  <si>
    <t>オットージャパンsample</t>
    <phoneticPr fontId="8"/>
  </si>
  <si>
    <t>キレイライン赤坂</t>
    <phoneticPr fontId="8"/>
  </si>
  <si>
    <t>西夢</t>
    <rPh sb="0" eb="1">
      <t>ニシ</t>
    </rPh>
    <rPh sb="1" eb="2">
      <t>ユメ</t>
    </rPh>
    <phoneticPr fontId="8"/>
  </si>
  <si>
    <t>オットージャパン8月</t>
    <rPh sb="9" eb="10">
      <t>ガツ</t>
    </rPh>
    <phoneticPr fontId="8"/>
  </si>
  <si>
    <t>キレイライン赤坂</t>
    <phoneticPr fontId="8"/>
  </si>
  <si>
    <t>キレイライン赤坂</t>
    <phoneticPr fontId="8"/>
  </si>
  <si>
    <t>キレイライン赤坂</t>
    <phoneticPr fontId="8"/>
  </si>
  <si>
    <t>KPORT移動</t>
    <rPh sb="5" eb="7">
      <t>イドウ</t>
    </rPh>
    <phoneticPr fontId="8"/>
  </si>
  <si>
    <t>KPORT</t>
    <phoneticPr fontId="8"/>
  </si>
  <si>
    <t>ネット</t>
    <phoneticPr fontId="8"/>
  </si>
  <si>
    <t>美・キュート　ソフトブラ　　　（夢販在庫）</t>
    <rPh sb="0" eb="1">
      <t>ビ</t>
    </rPh>
    <rPh sb="16" eb="17">
      <t>ユメ</t>
    </rPh>
    <rPh sb="17" eb="18">
      <t>ハン</t>
    </rPh>
    <rPh sb="18" eb="20">
      <t>ザイコ</t>
    </rPh>
    <phoneticPr fontId="2"/>
  </si>
  <si>
    <t>美・キュート　ソフトブラ　（K-PORT在庫）</t>
    <rPh sb="0" eb="1">
      <t>ビ</t>
    </rPh>
    <rPh sb="20" eb="22">
      <t>ザイコ</t>
    </rPh>
    <phoneticPr fontId="2"/>
  </si>
  <si>
    <t>サンリッチ</t>
    <phoneticPr fontId="2"/>
  </si>
  <si>
    <t>KPORT移動</t>
    <rPh sb="5" eb="7">
      <t>イドウ</t>
    </rPh>
    <phoneticPr fontId="8"/>
  </si>
  <si>
    <t>千趣会④</t>
    <rPh sb="0" eb="3">
      <t>センシュカイ</t>
    </rPh>
    <phoneticPr fontId="8"/>
  </si>
  <si>
    <t>千趣会⑤</t>
    <rPh sb="0" eb="3">
      <t>センシュカイ</t>
    </rPh>
    <phoneticPr fontId="8"/>
  </si>
  <si>
    <t>キレイライン赤坂</t>
    <rPh sb="6" eb="8">
      <t>アカサカ</t>
    </rPh>
    <phoneticPr fontId="8"/>
  </si>
  <si>
    <t>千趣会⑥</t>
    <rPh sb="0" eb="3">
      <t>センシュカイ</t>
    </rPh>
    <phoneticPr fontId="8"/>
  </si>
  <si>
    <t>オットー再納品</t>
    <rPh sb="4" eb="7">
      <t>サイノウヒン</t>
    </rPh>
    <phoneticPr fontId="8"/>
  </si>
  <si>
    <t>オットー</t>
    <phoneticPr fontId="8"/>
  </si>
  <si>
    <t>夢販</t>
    <rPh sb="0" eb="2">
      <t>ユメハン</t>
    </rPh>
    <phoneticPr fontId="8"/>
  </si>
  <si>
    <t>千趣会⑦</t>
    <rPh sb="0" eb="3">
      <t>センシュカイ</t>
    </rPh>
    <phoneticPr fontId="8"/>
  </si>
  <si>
    <t>夢販</t>
    <rPh sb="0" eb="2">
      <t>ユメハン</t>
    </rPh>
    <phoneticPr fontId="8"/>
  </si>
  <si>
    <t>ネット</t>
    <phoneticPr fontId="8"/>
  </si>
  <si>
    <t>ニッセン</t>
    <phoneticPr fontId="8"/>
  </si>
  <si>
    <t>千趣会⑧</t>
    <rPh sb="0" eb="3">
      <t>センシュカイ</t>
    </rPh>
    <phoneticPr fontId="8"/>
  </si>
  <si>
    <t>千趣会⑨</t>
    <rPh sb="0" eb="3">
      <t>センシュカイ</t>
    </rPh>
    <phoneticPr fontId="8"/>
  </si>
  <si>
    <t>千趣会⑩</t>
    <rPh sb="0" eb="3">
      <t>センシュカイ</t>
    </rPh>
    <phoneticPr fontId="8"/>
  </si>
  <si>
    <t>かりん</t>
    <phoneticPr fontId="8"/>
  </si>
  <si>
    <t>千趣会⑪</t>
    <rPh sb="0" eb="3">
      <t>センシュカイ</t>
    </rPh>
    <phoneticPr fontId="8"/>
  </si>
  <si>
    <t>マイジール小山さんサンプル</t>
    <rPh sb="5" eb="7">
      <t>コヤマ</t>
    </rPh>
    <phoneticPr fontId="8"/>
  </si>
  <si>
    <t>オットー返品</t>
    <rPh sb="4" eb="6">
      <t>ヘンピン</t>
    </rPh>
    <phoneticPr fontId="8"/>
  </si>
  <si>
    <t>オットー再納品</t>
    <rPh sb="4" eb="7">
      <t>サイノウヒン</t>
    </rPh>
    <phoneticPr fontId="8"/>
  </si>
  <si>
    <t>千趣会⑫</t>
    <rPh sb="0" eb="3">
      <t>センシュカイ</t>
    </rPh>
    <phoneticPr fontId="8"/>
  </si>
  <si>
    <t>ニッセン</t>
    <phoneticPr fontId="8"/>
  </si>
  <si>
    <t>夢販</t>
    <rPh sb="0" eb="2">
      <t>ユメハン</t>
    </rPh>
    <phoneticPr fontId="2"/>
  </si>
  <si>
    <t>ニッセン2P</t>
    <phoneticPr fontId="8"/>
  </si>
  <si>
    <t>素数（杉山さん）sample</t>
    <rPh sb="0" eb="2">
      <t>ソスウ</t>
    </rPh>
    <rPh sb="3" eb="5">
      <t>スギヤマ</t>
    </rPh>
    <phoneticPr fontId="8"/>
  </si>
  <si>
    <t xml:space="preserve">追加３ </t>
    <rPh sb="0" eb="2">
      <t>ツイカ</t>
    </rPh>
    <phoneticPr fontId="2"/>
  </si>
  <si>
    <t>かりん</t>
    <phoneticPr fontId="8"/>
  </si>
  <si>
    <t>夢販</t>
    <rPh sb="0" eb="2">
      <t>ユメハン</t>
    </rPh>
    <phoneticPr fontId="8"/>
  </si>
  <si>
    <t>千趣会⑬</t>
    <rPh sb="0" eb="3">
      <t>センシュカイ</t>
    </rPh>
    <phoneticPr fontId="8"/>
  </si>
  <si>
    <t>ニッセン2P</t>
    <phoneticPr fontId="8"/>
  </si>
  <si>
    <t>コープきんき3月1回</t>
    <rPh sb="7" eb="8">
      <t>ガツ</t>
    </rPh>
    <rPh sb="9" eb="10">
      <t>カイ</t>
    </rPh>
    <phoneticPr fontId="8"/>
  </si>
  <si>
    <t>点2/6、アバウト2/25、本発注2/26～3/7</t>
    <rPh sb="0" eb="1">
      <t>テン</t>
    </rPh>
    <rPh sb="14" eb="15">
      <t>ホン</t>
    </rPh>
    <rPh sb="15" eb="17">
      <t>ハッチュウ</t>
    </rPh>
    <phoneticPr fontId="8"/>
  </si>
  <si>
    <t>KPORT</t>
    <phoneticPr fontId="8"/>
  </si>
  <si>
    <t>KPORT</t>
    <phoneticPr fontId="8"/>
  </si>
  <si>
    <t>コープきんき3月1回①</t>
    <rPh sb="7" eb="8">
      <t>ガツ</t>
    </rPh>
    <rPh sb="9" eb="10">
      <t>カイ</t>
    </rPh>
    <phoneticPr fontId="8"/>
  </si>
  <si>
    <t>夢販</t>
    <rPh sb="0" eb="2">
      <t>ユメハン</t>
    </rPh>
    <phoneticPr fontId="8"/>
  </si>
  <si>
    <t>3/6までにモカ　L/100　OCS</t>
    <phoneticPr fontId="8"/>
  </si>
  <si>
    <t>残数は3/20着</t>
    <rPh sb="0" eb="2">
      <t>ザンスウ</t>
    </rPh>
    <rPh sb="7" eb="8">
      <t>チャク</t>
    </rPh>
    <phoneticPr fontId="8"/>
  </si>
  <si>
    <t>コープきんき3月1回②</t>
    <rPh sb="7" eb="8">
      <t>ガツ</t>
    </rPh>
    <rPh sb="9" eb="10">
      <t>カイ</t>
    </rPh>
    <phoneticPr fontId="8"/>
  </si>
  <si>
    <t>コープきんき3月1回③</t>
    <rPh sb="7" eb="8">
      <t>ガツ</t>
    </rPh>
    <rPh sb="9" eb="10">
      <t>カイ</t>
    </rPh>
    <phoneticPr fontId="8"/>
  </si>
  <si>
    <t>コープきんき3月1回④</t>
    <rPh sb="7" eb="8">
      <t>ガツ</t>
    </rPh>
    <rPh sb="9" eb="10">
      <t>カイ</t>
    </rPh>
    <phoneticPr fontId="8"/>
  </si>
  <si>
    <t>千趣会⑭</t>
    <rPh sb="0" eb="3">
      <t>センシュカイ</t>
    </rPh>
    <phoneticPr fontId="8"/>
  </si>
  <si>
    <t>KPORT</t>
    <phoneticPr fontId="8"/>
  </si>
  <si>
    <t>サンリッチ</t>
    <phoneticPr fontId="2"/>
  </si>
  <si>
    <t>オットージャパン9月</t>
    <rPh sb="9" eb="10">
      <t>ガツ</t>
    </rPh>
    <phoneticPr fontId="8"/>
  </si>
  <si>
    <t>※オットー在庫257(3/16現)</t>
    <rPh sb="5" eb="7">
      <t>ザイコ</t>
    </rPh>
    <rPh sb="15" eb="16">
      <t>ゲン</t>
    </rPh>
    <phoneticPr fontId="8"/>
  </si>
  <si>
    <t>オバタサンプル</t>
    <phoneticPr fontId="8"/>
  </si>
  <si>
    <t>在庫調整</t>
    <rPh sb="0" eb="2">
      <t>ザイコ</t>
    </rPh>
    <rPh sb="2" eb="4">
      <t>チョウセイ</t>
    </rPh>
    <phoneticPr fontId="8"/>
  </si>
  <si>
    <t>千趣会①</t>
    <rPh sb="0" eb="3">
      <t>センシュカイ</t>
    </rPh>
    <phoneticPr fontId="8"/>
  </si>
  <si>
    <t>KPORT</t>
    <phoneticPr fontId="8"/>
  </si>
  <si>
    <t>KPORT</t>
    <phoneticPr fontId="8"/>
  </si>
  <si>
    <t>千趣会②</t>
    <rPh sb="0" eb="3">
      <t>センシュカイ</t>
    </rPh>
    <phoneticPr fontId="8"/>
  </si>
  <si>
    <t>KPORT</t>
    <phoneticPr fontId="8"/>
  </si>
  <si>
    <t>サンリッチ</t>
    <phoneticPr fontId="2"/>
  </si>
  <si>
    <t>コープＣＳネット8月3回</t>
    <rPh sb="9" eb="10">
      <t>ガツ</t>
    </rPh>
    <rPh sb="11" eb="12">
      <t>カイ</t>
    </rPh>
    <phoneticPr fontId="8"/>
  </si>
  <si>
    <t>点7/31、アバウト8/11、本8/10～17</t>
    <rPh sb="0" eb="1">
      <t>テン</t>
    </rPh>
    <rPh sb="15" eb="16">
      <t>ホン</t>
    </rPh>
    <phoneticPr fontId="8"/>
  </si>
  <si>
    <t>夢販</t>
    <rPh sb="0" eb="2">
      <t>ユメハン</t>
    </rPh>
    <phoneticPr fontId="8"/>
  </si>
  <si>
    <t>西夢</t>
    <rPh sb="0" eb="2">
      <t>ニシユメ</t>
    </rPh>
    <phoneticPr fontId="8"/>
  </si>
  <si>
    <t>サンネット8-4ｗ（ベージュのみ）</t>
    <phoneticPr fontId="8"/>
  </si>
  <si>
    <t>8/21～26</t>
    <phoneticPr fontId="8"/>
  </si>
  <si>
    <t>KPORT</t>
    <phoneticPr fontId="8"/>
  </si>
  <si>
    <t>コープきんき9月1回</t>
    <rPh sb="7" eb="8">
      <t>ガツ</t>
    </rPh>
    <rPh sb="9" eb="10">
      <t>カイ</t>
    </rPh>
    <phoneticPr fontId="8"/>
  </si>
  <si>
    <t>点8/6、アバウト8/25、本8/26～9/5</t>
    <rPh sb="0" eb="1">
      <t>テン</t>
    </rPh>
    <rPh sb="14" eb="15">
      <t>ホン</t>
    </rPh>
    <phoneticPr fontId="8"/>
  </si>
  <si>
    <t>キレイライン赤坂</t>
    <rPh sb="6" eb="8">
      <t>アカサカ</t>
    </rPh>
    <phoneticPr fontId="8"/>
  </si>
  <si>
    <t>在庫確認</t>
    <rPh sb="0" eb="2">
      <t>ザイコ</t>
    </rPh>
    <rPh sb="2" eb="4">
      <t>カクニン</t>
    </rPh>
    <phoneticPr fontId="2"/>
  </si>
  <si>
    <t>夢販</t>
    <rPh sb="0" eb="2">
      <t>ユメハン</t>
    </rPh>
    <phoneticPr fontId="8"/>
  </si>
  <si>
    <t>コープきんき9月1回①</t>
    <rPh sb="7" eb="8">
      <t>ガツ</t>
    </rPh>
    <rPh sb="9" eb="10">
      <t>カイ</t>
    </rPh>
    <phoneticPr fontId="8"/>
  </si>
  <si>
    <t>コープきんき10-3w</t>
    <phoneticPr fontId="8"/>
  </si>
  <si>
    <t>2020/8/3数伝</t>
    <rPh sb="8" eb="9">
      <t>スウ</t>
    </rPh>
    <rPh sb="9" eb="10">
      <t>デン</t>
    </rPh>
    <phoneticPr fontId="8"/>
  </si>
  <si>
    <t>サンネット8-4ｗ（ベージュのみ）①</t>
    <phoneticPr fontId="8"/>
  </si>
  <si>
    <t>アバウト10/13、点9/24、本10/14～10/24</t>
    <rPh sb="10" eb="11">
      <t>テン</t>
    </rPh>
    <rPh sb="16" eb="17">
      <t>ホン</t>
    </rPh>
    <phoneticPr fontId="8"/>
  </si>
  <si>
    <t>サンネット8-4ｗ（ベージュのみ）②</t>
    <phoneticPr fontId="8"/>
  </si>
  <si>
    <t>サンネット8-4ｗ（ベージュのみ）③</t>
    <phoneticPr fontId="8"/>
  </si>
  <si>
    <t>コープきんき9月1回②</t>
    <rPh sb="7" eb="8">
      <t>ガツ</t>
    </rPh>
    <rPh sb="9" eb="10">
      <t>カイ</t>
    </rPh>
    <phoneticPr fontId="8"/>
  </si>
  <si>
    <t>コープきんき9月1回③</t>
    <rPh sb="7" eb="8">
      <t>ガツ</t>
    </rPh>
    <rPh sb="9" eb="10">
      <t>カイ</t>
    </rPh>
    <phoneticPr fontId="8"/>
  </si>
  <si>
    <t>電話注文</t>
    <rPh sb="0" eb="2">
      <t>デンワ</t>
    </rPh>
    <rPh sb="2" eb="4">
      <t>チュウモン</t>
    </rPh>
    <phoneticPr fontId="8"/>
  </si>
  <si>
    <t>夢販</t>
    <rPh sb="0" eb="2">
      <t>ユメハン</t>
    </rPh>
    <phoneticPr fontId="8"/>
  </si>
  <si>
    <t>オバタ返品</t>
    <rPh sb="3" eb="5">
      <t>ヘンピン</t>
    </rPh>
    <phoneticPr fontId="2"/>
  </si>
  <si>
    <t>西夢</t>
    <rPh sb="0" eb="1">
      <t>ニシ</t>
    </rPh>
    <rPh sb="1" eb="2">
      <t>ユメ</t>
    </rPh>
    <phoneticPr fontId="8"/>
  </si>
  <si>
    <t>コープきんき10-3w①</t>
    <phoneticPr fontId="8"/>
  </si>
  <si>
    <t>KPORT</t>
    <phoneticPr fontId="8"/>
  </si>
  <si>
    <t>コープきんき10-3w②</t>
    <phoneticPr fontId="8"/>
  </si>
  <si>
    <t>コープきんき10-3w③</t>
    <phoneticPr fontId="8"/>
  </si>
  <si>
    <t>コープきんき10-3w④（直送）</t>
    <rPh sb="13" eb="15">
      <t>チョクソウ</t>
    </rPh>
    <phoneticPr fontId="8"/>
  </si>
  <si>
    <t>千趣会⑮</t>
    <rPh sb="0" eb="3">
      <t>センシュカイ</t>
    </rPh>
    <phoneticPr fontId="8"/>
  </si>
  <si>
    <t>千趣会⑯</t>
    <rPh sb="0" eb="3">
      <t>センシュカイ</t>
    </rPh>
    <phoneticPr fontId="8"/>
  </si>
  <si>
    <t>千趣会⑰</t>
    <rPh sb="0" eb="3">
      <t>センシュカイ</t>
    </rPh>
    <phoneticPr fontId="8"/>
  </si>
  <si>
    <t>千趣会⑱</t>
    <rPh sb="0" eb="3">
      <t>センシュカイ</t>
    </rPh>
    <phoneticPr fontId="8"/>
  </si>
  <si>
    <t>千趣会⑲</t>
    <rPh sb="0" eb="3">
      <t>センシュカイ</t>
    </rPh>
    <phoneticPr fontId="8"/>
  </si>
  <si>
    <t>夢販</t>
    <rPh sb="0" eb="2">
      <t>ユメハン</t>
    </rPh>
    <phoneticPr fontId="8"/>
  </si>
  <si>
    <t>千趣会⑳</t>
    <rPh sb="0" eb="3">
      <t>センシュカイ</t>
    </rPh>
    <phoneticPr fontId="8"/>
  </si>
  <si>
    <t>千趣会㉑</t>
    <rPh sb="0" eb="3">
      <t>センシュカイ</t>
    </rPh>
    <phoneticPr fontId="8"/>
  </si>
  <si>
    <t>オバタサンプル返却</t>
    <rPh sb="7" eb="9">
      <t>ヘンキャク</t>
    </rPh>
    <phoneticPr fontId="8"/>
  </si>
  <si>
    <t>くらし返品</t>
    <rPh sb="3" eb="5">
      <t>ヘンピン</t>
    </rPh>
    <phoneticPr fontId="8"/>
  </si>
  <si>
    <t>ＫＰＯＲＴ</t>
    <phoneticPr fontId="8"/>
  </si>
  <si>
    <t>追加</t>
    <rPh sb="0" eb="2">
      <t>ツイカ</t>
    </rPh>
    <phoneticPr fontId="8"/>
  </si>
  <si>
    <t>再生</t>
    <rPh sb="0" eb="2">
      <t>サイセイ</t>
    </rPh>
    <phoneticPr fontId="8"/>
  </si>
  <si>
    <t>千趣会⑩</t>
    <phoneticPr fontId="8"/>
  </si>
  <si>
    <t>在庫調整</t>
    <rPh sb="0" eb="4">
      <t>ザイコチョウセイ</t>
    </rPh>
    <phoneticPr fontId="8"/>
  </si>
  <si>
    <t>コープさっぽろ7-3ｗ（オバタ）</t>
    <phoneticPr fontId="8"/>
  </si>
  <si>
    <t>7/9、13</t>
    <phoneticPr fontId="8"/>
  </si>
  <si>
    <t>ノースモール8月</t>
    <rPh sb="7" eb="8">
      <t>ガツ</t>
    </rPh>
    <phoneticPr fontId="8"/>
  </si>
  <si>
    <t>K-PORT</t>
    <phoneticPr fontId="8"/>
  </si>
  <si>
    <t>コープさっぽろ7-3ｗ（オバタ）①</t>
    <phoneticPr fontId="8"/>
  </si>
  <si>
    <t>ノースモール8月①</t>
    <rPh sb="7" eb="8">
      <t>ガツ</t>
    </rPh>
    <phoneticPr fontId="8"/>
  </si>
  <si>
    <t>コープさっぽろ7-3ｗ（オバタ）②</t>
    <phoneticPr fontId="8"/>
  </si>
  <si>
    <t>コープさっぽろ7-3ｗ（オバタ）③</t>
    <phoneticPr fontId="8"/>
  </si>
  <si>
    <t>K-PORT</t>
    <phoneticPr fontId="8"/>
  </si>
  <si>
    <t>在庫確認</t>
    <rPh sb="0" eb="4">
      <t>ザイコカクニン</t>
    </rPh>
    <phoneticPr fontId="8"/>
  </si>
  <si>
    <t>キレイライン</t>
    <phoneticPr fontId="8"/>
  </si>
  <si>
    <t>夢販</t>
    <rPh sb="0" eb="2">
      <t>ユメハン</t>
    </rPh>
    <phoneticPr fontId="8"/>
  </si>
  <si>
    <t>追加</t>
    <rPh sb="0" eb="2">
      <t>ツイカ</t>
    </rPh>
    <phoneticPr fontId="8"/>
  </si>
  <si>
    <t>ノースモール</t>
    <phoneticPr fontId="8"/>
  </si>
  <si>
    <t>入り繰り</t>
    <rPh sb="0" eb="1">
      <t>イ</t>
    </rPh>
    <rPh sb="2" eb="3">
      <t>グ</t>
    </rPh>
    <phoneticPr fontId="2"/>
  </si>
  <si>
    <t>ノースモール返品</t>
    <rPh sb="6" eb="8">
      <t>ヘンピン</t>
    </rPh>
    <phoneticPr fontId="2"/>
  </si>
  <si>
    <t>夢販</t>
    <rPh sb="0" eb="2">
      <t>ユメハン</t>
    </rPh>
    <phoneticPr fontId="8"/>
  </si>
  <si>
    <t>K-PORT</t>
    <phoneticPr fontId="8"/>
  </si>
  <si>
    <t>KPORT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</si>
</sst>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b/>
      <sz val="14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2"/>
      <charset val="128"/>
    </font>
    <font>
      <sz val="9"/>
      <name val="ＭＳ Ｐゴシック"/>
      <family val="2"/>
      <charset val="128"/>
    </font>
    <font>
      <b/>
      <sz val="11"/>
      <color rgb="FFFF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77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10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2" xfId="1" applyBorder="1"/>
    <xf numFmtId="0" fontId="1" fillId="0" borderId="23" xfId="1" applyBorder="1"/>
    <xf numFmtId="0" fontId="1" fillId="0" borderId="24" xfId="1" applyBorder="1"/>
    <xf numFmtId="0" fontId="1" fillId="0" borderId="25" xfId="1" applyBorder="1"/>
    <xf numFmtId="0" fontId="6" fillId="0" borderId="27" xfId="1" applyFont="1" applyBorder="1" applyAlignment="1">
      <alignment horizontal="center" vertical="center"/>
    </xf>
    <xf numFmtId="0" fontId="6" fillId="0" borderId="1" xfId="1" applyFont="1" applyBorder="1"/>
    <xf numFmtId="0" fontId="6" fillId="0" borderId="2" xfId="1" applyFont="1" applyBorder="1"/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6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0" fontId="6" fillId="0" borderId="3" xfId="1" applyFont="1" applyBorder="1"/>
    <xf numFmtId="56" fontId="7" fillId="0" borderId="27" xfId="1" applyNumberFormat="1" applyFont="1" applyBorder="1" applyAlignment="1">
      <alignment horizontal="center" vertical="center"/>
    </xf>
    <xf numFmtId="0" fontId="7" fillId="0" borderId="1" xfId="1" applyFont="1" applyBorder="1"/>
    <xf numFmtId="0" fontId="7" fillId="0" borderId="2" xfId="1" applyFont="1" applyBorder="1"/>
    <xf numFmtId="0" fontId="7" fillId="0" borderId="4" xfId="1" applyFont="1" applyBorder="1"/>
    <xf numFmtId="0" fontId="7" fillId="0" borderId="11" xfId="1" applyFont="1" applyBorder="1"/>
    <xf numFmtId="0" fontId="1" fillId="0" borderId="28" xfId="1" applyBorder="1"/>
    <xf numFmtId="0" fontId="1" fillId="0" borderId="29" xfId="1" applyBorder="1"/>
    <xf numFmtId="0" fontId="1" fillId="0" borderId="32" xfId="1" applyBorder="1"/>
    <xf numFmtId="0" fontId="7" fillId="0" borderId="27" xfId="1" applyFont="1" applyBorder="1" applyAlignment="1">
      <alignment horizontal="center" vertical="center"/>
    </xf>
    <xf numFmtId="0" fontId="1" fillId="0" borderId="33" xfId="1" applyBorder="1"/>
    <xf numFmtId="0" fontId="7" fillId="0" borderId="15" xfId="1" applyFont="1" applyBorder="1"/>
    <xf numFmtId="0" fontId="7" fillId="0" borderId="30" xfId="1" applyFont="1" applyBorder="1"/>
    <xf numFmtId="0" fontId="1" fillId="0" borderId="34" xfId="1" applyBorder="1"/>
    <xf numFmtId="0" fontId="1" fillId="0" borderId="27" xfId="1" applyBorder="1" applyAlignment="1">
      <alignment horizontal="center" vertical="center"/>
    </xf>
    <xf numFmtId="0" fontId="6" fillId="0" borderId="36" xfId="1" applyFont="1" applyBorder="1"/>
    <xf numFmtId="0" fontId="7" fillId="0" borderId="35" xfId="1" applyFont="1" applyBorder="1"/>
    <xf numFmtId="0" fontId="6" fillId="0" borderId="37" xfId="1" applyFont="1" applyBorder="1"/>
    <xf numFmtId="0" fontId="7" fillId="0" borderId="12" xfId="1" applyFont="1" applyBorder="1"/>
    <xf numFmtId="0" fontId="7" fillId="0" borderId="13" xfId="1" applyFont="1" applyBorder="1"/>
    <xf numFmtId="0" fontId="7" fillId="0" borderId="31" xfId="1" applyFont="1" applyBorder="1"/>
    <xf numFmtId="0" fontId="6" fillId="0" borderId="38" xfId="1" applyFont="1" applyBorder="1"/>
    <xf numFmtId="0" fontId="7" fillId="0" borderId="16" xfId="1" applyFont="1" applyBorder="1"/>
    <xf numFmtId="0" fontId="7" fillId="0" borderId="17" xfId="1" applyFont="1" applyBorder="1"/>
    <xf numFmtId="0" fontId="7" fillId="0" borderId="18" xfId="1" applyFont="1" applyBorder="1"/>
    <xf numFmtId="0" fontId="7" fillId="0" borderId="10" xfId="1" applyFont="1" applyBorder="1"/>
    <xf numFmtId="0" fontId="7" fillId="0" borderId="19" xfId="1" applyFont="1" applyBorder="1"/>
    <xf numFmtId="0" fontId="9" fillId="0" borderId="0" xfId="0" applyFont="1">
      <alignment vertical="center"/>
    </xf>
    <xf numFmtId="56" fontId="9" fillId="0" borderId="0" xfId="0" applyNumberFormat="1" applyFont="1">
      <alignment vertical="center"/>
    </xf>
    <xf numFmtId="0" fontId="1" fillId="0" borderId="12" xfId="1" applyBorder="1"/>
    <xf numFmtId="0" fontId="1" fillId="0" borderId="13" xfId="1" applyBorder="1"/>
    <xf numFmtId="0" fontId="1" fillId="0" borderId="31" xfId="1" applyBorder="1"/>
    <xf numFmtId="0" fontId="1" fillId="0" borderId="35" xfId="1" applyBorder="1"/>
    <xf numFmtId="0" fontId="1" fillId="0" borderId="11" xfId="1" applyBorder="1"/>
    <xf numFmtId="0" fontId="10" fillId="0" borderId="0" xfId="0" applyFont="1">
      <alignment vertical="center"/>
    </xf>
    <xf numFmtId="56" fontId="10" fillId="0" borderId="0" xfId="0" applyNumberFormat="1" applyFont="1">
      <alignment vertical="center"/>
    </xf>
    <xf numFmtId="56" fontId="1" fillId="0" borderId="27" xfId="1" applyNumberFormat="1" applyBorder="1" applyAlignment="1">
      <alignment horizontal="center" vertical="center"/>
    </xf>
    <xf numFmtId="0" fontId="1" fillId="0" borderId="1" xfId="1" applyBorder="1"/>
    <xf numFmtId="0" fontId="1" fillId="0" borderId="2" xfId="1" applyBorder="1"/>
    <xf numFmtId="0" fontId="1" fillId="0" borderId="4" xfId="1" applyBorder="1"/>
    <xf numFmtId="0" fontId="1" fillId="0" borderId="15" xfId="1" applyBorder="1"/>
    <xf numFmtId="56" fontId="0" fillId="0" borderId="0" xfId="0" applyNumberFormat="1">
      <alignment vertical="center"/>
    </xf>
    <xf numFmtId="0" fontId="11" fillId="0" borderId="6" xfId="1" applyFont="1" applyBorder="1"/>
    <xf numFmtId="0" fontId="11" fillId="0" borderId="7" xfId="1" applyFont="1" applyBorder="1"/>
    <xf numFmtId="0" fontId="11" fillId="0" borderId="8" xfId="1" applyFont="1" applyBorder="1"/>
    <xf numFmtId="0" fontId="11" fillId="0" borderId="10" xfId="1" applyFont="1" applyBorder="1"/>
    <xf numFmtId="0" fontId="11" fillId="0" borderId="9" xfId="1" applyFont="1" applyBorder="1"/>
    <xf numFmtId="56" fontId="12" fillId="0" borderId="0" xfId="0" applyNumberFormat="1" applyFont="1">
      <alignment vertical="center"/>
    </xf>
    <xf numFmtId="0" fontId="1" fillId="0" borderId="5" xfId="1" applyBorder="1"/>
    <xf numFmtId="0" fontId="6" fillId="0" borderId="11" xfId="1" applyFont="1" applyBorder="1"/>
    <xf numFmtId="0" fontId="7" fillId="0" borderId="10" xfId="1" applyFont="1" applyBorder="1" applyAlignment="1">
      <alignment horizontal="center" vertical="center" shrinkToFit="1"/>
    </xf>
    <xf numFmtId="0" fontId="7" fillId="0" borderId="20" xfId="1" applyFont="1" applyBorder="1"/>
    <xf numFmtId="0" fontId="7" fillId="0" borderId="21" xfId="1" applyFont="1" applyBorder="1"/>
    <xf numFmtId="0" fontId="7" fillId="0" borderId="22" xfId="1" applyFont="1" applyBorder="1"/>
    <xf numFmtId="0" fontId="7" fillId="0" borderId="23" xfId="1" applyFont="1" applyBorder="1"/>
    <xf numFmtId="0" fontId="7" fillId="0" borderId="24" xfId="1" applyFont="1" applyBorder="1"/>
    <xf numFmtId="0" fontId="14" fillId="0" borderId="10" xfId="1" applyFont="1" applyBorder="1" applyAlignment="1">
      <alignment horizontal="center" vertical="center"/>
    </xf>
    <xf numFmtId="0" fontId="1" fillId="0" borderId="39" xfId="1" applyBorder="1"/>
    <xf numFmtId="0" fontId="1" fillId="0" borderId="40" xfId="1" applyBorder="1"/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13" fillId="0" borderId="10" xfId="1" applyFont="1" applyBorder="1" applyAlignment="1">
      <alignment horizontal="center" vertical="center"/>
    </xf>
    <xf numFmtId="0" fontId="3" fillId="2" borderId="0" xfId="1" applyFont="1" applyFill="1"/>
    <xf numFmtId="0" fontId="1" fillId="2" borderId="0" xfId="1" applyFill="1"/>
    <xf numFmtId="0" fontId="7" fillId="0" borderId="3" xfId="1" applyFont="1" applyBorder="1"/>
    <xf numFmtId="0" fontId="16" fillId="0" borderId="9" xfId="1" applyFont="1" applyBorder="1"/>
    <xf numFmtId="0" fontId="7" fillId="0" borderId="10" xfId="1" applyFont="1" applyBorder="1" applyAlignment="1">
      <alignment horizontal="center" vertical="center"/>
    </xf>
    <xf numFmtId="56" fontId="17" fillId="0" borderId="0" xfId="0" applyNumberFormat="1" applyFont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8" fillId="0" borderId="0" xfId="0" applyFont="1">
      <alignment vertical="center"/>
    </xf>
    <xf numFmtId="0" fontId="19" fillId="0" borderId="0" xfId="1" applyFont="1"/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20" fillId="0" borderId="0" xfId="1" applyFont="1"/>
    <xf numFmtId="0" fontId="7" fillId="0" borderId="27" xfId="1" applyFont="1" applyBorder="1"/>
    <xf numFmtId="0" fontId="11" fillId="0" borderId="10" xfId="1" applyFont="1" applyBorder="1" applyAlignment="1">
      <alignment horizontal="center" vertical="center" shrinkToFit="1"/>
    </xf>
    <xf numFmtId="0" fontId="22" fillId="0" borderId="5" xfId="1" applyFont="1" applyBorder="1" applyAlignment="1">
      <alignment horizontal="center" vertical="center"/>
    </xf>
    <xf numFmtId="0" fontId="22" fillId="0" borderId="6" xfId="1" applyFont="1" applyBorder="1"/>
    <xf numFmtId="0" fontId="22" fillId="0" borderId="7" xfId="1" applyFont="1" applyBorder="1"/>
    <xf numFmtId="0" fontId="22" fillId="0" borderId="8" xfId="1" applyFont="1" applyBorder="1"/>
    <xf numFmtId="0" fontId="22" fillId="0" borderId="10" xfId="1" applyFont="1" applyBorder="1"/>
    <xf numFmtId="0" fontId="22" fillId="0" borderId="9" xfId="1" applyFont="1" applyBorder="1"/>
    <xf numFmtId="0" fontId="22" fillId="0" borderId="10" xfId="1" applyFont="1" applyBorder="1" applyAlignment="1">
      <alignment horizontal="center" vertical="center"/>
    </xf>
    <xf numFmtId="0" fontId="22" fillId="0" borderId="16" xfId="1" applyFont="1" applyBorder="1"/>
    <xf numFmtId="0" fontId="22" fillId="0" borderId="17" xfId="1" applyFont="1" applyBorder="1"/>
    <xf numFmtId="0" fontId="22" fillId="0" borderId="18" xfId="1" applyFont="1" applyBorder="1"/>
    <xf numFmtId="0" fontId="22" fillId="0" borderId="19" xfId="1" applyFont="1" applyBorder="1"/>
    <xf numFmtId="0" fontId="23" fillId="0" borderId="10" xfId="1" applyFont="1" applyBorder="1" applyAlignment="1">
      <alignment horizontal="center" vertical="center"/>
    </xf>
    <xf numFmtId="56" fontId="11" fillId="0" borderId="26" xfId="1" applyNumberFormat="1" applyFont="1" applyBorder="1" applyAlignment="1">
      <alignment horizontal="center" vertical="center"/>
    </xf>
    <xf numFmtId="0" fontId="17" fillId="0" borderId="0" xfId="0" applyFont="1">
      <alignment vertical="center"/>
    </xf>
    <xf numFmtId="0" fontId="1" fillId="0" borderId="36" xfId="1" applyBorder="1"/>
    <xf numFmtId="0" fontId="1" fillId="0" borderId="46" xfId="1" applyBorder="1"/>
    <xf numFmtId="0" fontId="1" fillId="0" borderId="47" xfId="1" applyBorder="1"/>
    <xf numFmtId="0" fontId="1" fillId="0" borderId="30" xfId="1" applyBorder="1"/>
    <xf numFmtId="0" fontId="1" fillId="0" borderId="37" xfId="1" applyBorder="1"/>
    <xf numFmtId="0" fontId="1" fillId="0" borderId="38" xfId="1" applyBorder="1"/>
    <xf numFmtId="56" fontId="18" fillId="0" borderId="0" xfId="0" applyNumberFormat="1" applyFont="1">
      <alignment vertical="center"/>
    </xf>
    <xf numFmtId="56" fontId="21" fillId="0" borderId="0" xfId="0" applyNumberFormat="1" applyFont="1">
      <alignment vertical="center"/>
    </xf>
    <xf numFmtId="56" fontId="1" fillId="0" borderId="48" xfId="1" applyNumberForma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44" xfId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1" fillId="0" borderId="48" xfId="1" applyBorder="1"/>
    <xf numFmtId="0" fontId="10" fillId="0" borderId="7" xfId="0" applyFont="1" applyBorder="1">
      <alignment vertical="center"/>
    </xf>
    <xf numFmtId="0" fontId="19" fillId="2" borderId="0" xfId="1" applyFont="1" applyFill="1"/>
    <xf numFmtId="0" fontId="3" fillId="3" borderId="0" xfId="1" applyFont="1" applyFill="1"/>
    <xf numFmtId="0" fontId="1" fillId="3" borderId="0" xfId="1" applyFill="1"/>
    <xf numFmtId="0" fontId="3" fillId="4" borderId="0" xfId="1" applyFont="1" applyFill="1"/>
    <xf numFmtId="0" fontId="1" fillId="4" borderId="0" xfId="1" applyFill="1"/>
    <xf numFmtId="0" fontId="19" fillId="4" borderId="0" xfId="1" applyFont="1" applyFill="1"/>
    <xf numFmtId="0" fontId="15" fillId="0" borderId="10" xfId="1" applyFont="1" applyBorder="1" applyAlignment="1">
      <alignment horizontal="center" vertical="center"/>
    </xf>
    <xf numFmtId="0" fontId="3" fillId="5" borderId="0" xfId="1" applyFont="1" applyFill="1"/>
    <xf numFmtId="0" fontId="1" fillId="5" borderId="0" xfId="1" applyFill="1"/>
    <xf numFmtId="0" fontId="3" fillId="6" borderId="0" xfId="1" applyFont="1" applyFill="1"/>
    <xf numFmtId="0" fontId="1" fillId="6" borderId="0" xfId="1" applyFill="1"/>
    <xf numFmtId="0" fontId="24" fillId="0" borderId="10" xfId="1" applyFont="1" applyBorder="1"/>
    <xf numFmtId="56" fontId="24" fillId="0" borderId="26" xfId="1" applyNumberFormat="1" applyFont="1" applyBorder="1" applyAlignment="1">
      <alignment horizontal="center" vertical="center"/>
    </xf>
    <xf numFmtId="0" fontId="24" fillId="0" borderId="6" xfId="1" applyFont="1" applyBorder="1"/>
    <xf numFmtId="0" fontId="24" fillId="0" borderId="7" xfId="1" applyFont="1" applyBorder="1"/>
    <xf numFmtId="0" fontId="24" fillId="0" borderId="8" xfId="1" applyFont="1" applyBorder="1"/>
    <xf numFmtId="0" fontId="24" fillId="0" borderId="9" xfId="1" applyFont="1" applyBorder="1"/>
    <xf numFmtId="56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7" fillId="7" borderId="13" xfId="1" applyFont="1" applyFill="1" applyBorder="1"/>
    <xf numFmtId="0" fontId="7" fillId="7" borderId="31" xfId="1" applyFont="1" applyFill="1" applyBorder="1"/>
    <xf numFmtId="0" fontId="6" fillId="7" borderId="2" xfId="1" applyFont="1" applyFill="1" applyBorder="1"/>
    <xf numFmtId="0" fontId="6" fillId="7" borderId="3" xfId="1" applyFont="1" applyFill="1" applyBorder="1"/>
    <xf numFmtId="0" fontId="7" fillId="7" borderId="12" xfId="1" applyFont="1" applyFill="1" applyBorder="1"/>
    <xf numFmtId="0" fontId="6" fillId="7" borderId="1" xfId="1" applyFont="1" applyFill="1" applyBorder="1"/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44" xfId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AI2234"/>
  <sheetViews>
    <sheetView tabSelected="1" topLeftCell="A2201" zoomScaleNormal="100" workbookViewId="0">
      <selection activeCell="K2210" sqref="K2210"/>
    </sheetView>
  </sheetViews>
  <sheetFormatPr defaultRowHeight="13.5" x14ac:dyDescent="0.15"/>
  <cols>
    <col min="1" max="1" width="21.75" customWidth="1"/>
    <col min="2" max="9" width="7.625" customWidth="1"/>
    <col min="11" max="11" width="9.25" bestFit="1" customWidth="1"/>
    <col min="12" max="12" width="23.5" customWidth="1"/>
    <col min="13" max="21" width="8.5" customWidth="1"/>
    <col min="22" max="22" width="12.25" customWidth="1"/>
    <col min="23" max="23" width="22.375" customWidth="1"/>
    <col min="33" max="33" width="9.25" bestFit="1" customWidth="1"/>
  </cols>
  <sheetData>
    <row r="1" spans="1:22" ht="19.5" thickBot="1" x14ac:dyDescent="0.25">
      <c r="A1" s="2" t="s">
        <v>21</v>
      </c>
      <c r="B1" s="1"/>
      <c r="C1" s="1"/>
      <c r="D1" s="1"/>
      <c r="E1" s="1"/>
      <c r="F1" s="1"/>
      <c r="G1" s="1"/>
      <c r="H1" s="1"/>
      <c r="I1" s="1"/>
      <c r="J1" s="1"/>
      <c r="L1" s="2" t="s">
        <v>22</v>
      </c>
      <c r="M1" s="1"/>
      <c r="N1" s="1"/>
      <c r="O1" s="1"/>
      <c r="P1" s="1"/>
      <c r="Q1" s="1"/>
      <c r="R1" s="1"/>
      <c r="S1" s="1"/>
      <c r="T1" s="1"/>
      <c r="U1" s="1"/>
    </row>
    <row r="2" spans="1:22" ht="14.25" thickBot="1" x14ac:dyDescent="0.2">
      <c r="A2" s="7" t="s">
        <v>0</v>
      </c>
      <c r="B2" s="168" t="s">
        <v>1</v>
      </c>
      <c r="C2" s="169"/>
      <c r="D2" s="169"/>
      <c r="E2" s="170"/>
      <c r="F2" s="168" t="s">
        <v>2</v>
      </c>
      <c r="G2" s="169"/>
      <c r="H2" s="169"/>
      <c r="I2" s="171"/>
      <c r="J2" s="172" t="s">
        <v>3</v>
      </c>
      <c r="L2" s="7" t="s">
        <v>0</v>
      </c>
      <c r="M2" s="168" t="s">
        <v>1</v>
      </c>
      <c r="N2" s="169"/>
      <c r="O2" s="169"/>
      <c r="P2" s="170"/>
      <c r="Q2" s="168" t="s">
        <v>2</v>
      </c>
      <c r="R2" s="169"/>
      <c r="S2" s="169"/>
      <c r="T2" s="171"/>
      <c r="U2" s="172" t="s">
        <v>3</v>
      </c>
    </row>
    <row r="3" spans="1:22" ht="14.25" thickBot="1" x14ac:dyDescent="0.2">
      <c r="A3" s="7" t="s">
        <v>4</v>
      </c>
      <c r="B3" s="3" t="s">
        <v>5</v>
      </c>
      <c r="C3" s="4" t="s">
        <v>6</v>
      </c>
      <c r="D3" s="5" t="s">
        <v>7</v>
      </c>
      <c r="E3" s="7" t="s">
        <v>8</v>
      </c>
      <c r="F3" s="3" t="s">
        <v>5</v>
      </c>
      <c r="G3" s="4" t="s">
        <v>6</v>
      </c>
      <c r="H3" s="5" t="s">
        <v>7</v>
      </c>
      <c r="I3" s="7" t="s">
        <v>8</v>
      </c>
      <c r="J3" s="173"/>
      <c r="L3" s="7" t="s">
        <v>4</v>
      </c>
      <c r="M3" s="3" t="s">
        <v>5</v>
      </c>
      <c r="N3" s="4" t="s">
        <v>6</v>
      </c>
      <c r="O3" s="5" t="s">
        <v>7</v>
      </c>
      <c r="P3" s="7" t="s">
        <v>8</v>
      </c>
      <c r="Q3" s="3" t="s">
        <v>5</v>
      </c>
      <c r="R3" s="4" t="s">
        <v>6</v>
      </c>
      <c r="S3" s="5" t="s">
        <v>7</v>
      </c>
      <c r="T3" s="7" t="s">
        <v>8</v>
      </c>
      <c r="U3" s="173"/>
    </row>
    <row r="4" spans="1:22" ht="14.25" thickBot="1" x14ac:dyDescent="0.2">
      <c r="A4" s="66" t="s">
        <v>19</v>
      </c>
      <c r="B4" s="67">
        <v>50</v>
      </c>
      <c r="C4" s="68">
        <v>50</v>
      </c>
      <c r="D4" s="69">
        <v>50</v>
      </c>
      <c r="E4" s="70">
        <f>SUM(B4:D4)</f>
        <v>150</v>
      </c>
      <c r="F4" s="67">
        <v>50</v>
      </c>
      <c r="G4" s="68">
        <v>50</v>
      </c>
      <c r="H4" s="69">
        <v>50</v>
      </c>
      <c r="I4" s="70">
        <f>SUM(F4:H4)</f>
        <v>150</v>
      </c>
      <c r="J4" s="70">
        <f>E4+I4</f>
        <v>300</v>
      </c>
      <c r="K4" s="65">
        <v>41746</v>
      </c>
      <c r="L4" s="31" t="s">
        <v>19</v>
      </c>
      <c r="M4" s="32">
        <v>145</v>
      </c>
      <c r="N4" s="33">
        <v>140</v>
      </c>
      <c r="O4" s="34">
        <v>80</v>
      </c>
      <c r="P4" s="41">
        <f>SUM(M4:O4)</f>
        <v>365</v>
      </c>
      <c r="Q4" s="32">
        <v>145</v>
      </c>
      <c r="R4" s="33">
        <v>140</v>
      </c>
      <c r="S4" s="34">
        <v>80</v>
      </c>
      <c r="T4" s="41">
        <f>SUM(Q4:S4)</f>
        <v>365</v>
      </c>
      <c r="U4" s="41">
        <f>P4+T4</f>
        <v>730</v>
      </c>
      <c r="V4" s="58">
        <v>41744</v>
      </c>
    </row>
    <row r="5" spans="1:22" x14ac:dyDescent="0.15">
      <c r="A5" s="28" t="s">
        <v>9</v>
      </c>
      <c r="B5" s="17">
        <v>95</v>
      </c>
      <c r="C5" s="18">
        <v>90</v>
      </c>
      <c r="D5" s="19">
        <v>30</v>
      </c>
      <c r="E5" s="20">
        <f t="shared" ref="E5:E12" si="0">SUM(B5:D5)</f>
        <v>215</v>
      </c>
      <c r="F5" s="21">
        <v>95</v>
      </c>
      <c r="G5" s="18">
        <v>90</v>
      </c>
      <c r="H5" s="19">
        <v>30</v>
      </c>
      <c r="I5" s="20">
        <f t="shared" ref="I5:I12" si="1">SUM(F5:H5)</f>
        <v>215</v>
      </c>
      <c r="J5" s="20">
        <f t="shared" ref="J5:J12" si="2">E5+I5</f>
        <v>430</v>
      </c>
      <c r="K5" s="71">
        <v>41748</v>
      </c>
      <c r="L5" s="26" t="s">
        <v>23</v>
      </c>
      <c r="M5" s="17"/>
      <c r="N5" s="18"/>
      <c r="O5" s="19">
        <v>50</v>
      </c>
      <c r="P5" s="20">
        <f t="shared" ref="P5:P12" si="3">SUM(M5:O5)</f>
        <v>50</v>
      </c>
      <c r="Q5" s="21"/>
      <c r="R5" s="18"/>
      <c r="S5" s="19"/>
      <c r="T5" s="20">
        <f t="shared" ref="T5:T12" si="4">SUM(Q5:S5)</f>
        <v>0</v>
      </c>
      <c r="U5" s="20">
        <f t="shared" ref="U5:U12" si="5">P5+T5</f>
        <v>50</v>
      </c>
      <c r="V5" s="65">
        <v>41801</v>
      </c>
    </row>
    <row r="6" spans="1:22" x14ac:dyDescent="0.15">
      <c r="A6" s="28" t="s">
        <v>10</v>
      </c>
      <c r="B6" s="8"/>
      <c r="C6" s="9"/>
      <c r="D6" s="10"/>
      <c r="E6" s="11">
        <f t="shared" si="0"/>
        <v>0</v>
      </c>
      <c r="F6" s="12"/>
      <c r="G6" s="9"/>
      <c r="H6" s="10"/>
      <c r="I6" s="11">
        <f t="shared" si="1"/>
        <v>0</v>
      </c>
      <c r="J6" s="11">
        <f t="shared" si="2"/>
        <v>0</v>
      </c>
      <c r="L6" s="28" t="s">
        <v>10</v>
      </c>
      <c r="M6" s="8"/>
      <c r="N6" s="9"/>
      <c r="O6" s="10"/>
      <c r="P6" s="11">
        <f t="shared" si="3"/>
        <v>0</v>
      </c>
      <c r="Q6" s="12"/>
      <c r="R6" s="9"/>
      <c r="S6" s="10"/>
      <c r="T6" s="11">
        <f t="shared" si="4"/>
        <v>0</v>
      </c>
      <c r="U6" s="11">
        <f t="shared" si="5"/>
        <v>0</v>
      </c>
      <c r="V6" s="64"/>
    </row>
    <row r="7" spans="1:22" x14ac:dyDescent="0.15">
      <c r="A7" s="28" t="s">
        <v>11</v>
      </c>
      <c r="B7" s="8"/>
      <c r="C7" s="9"/>
      <c r="D7" s="10"/>
      <c r="E7" s="11">
        <f t="shared" si="0"/>
        <v>0</v>
      </c>
      <c r="F7" s="12"/>
      <c r="G7" s="9"/>
      <c r="H7" s="10"/>
      <c r="I7" s="11">
        <f t="shared" si="1"/>
        <v>0</v>
      </c>
      <c r="J7" s="11">
        <f t="shared" si="2"/>
        <v>0</v>
      </c>
      <c r="L7" s="28" t="s">
        <v>11</v>
      </c>
      <c r="M7" s="8"/>
      <c r="N7" s="9"/>
      <c r="O7" s="10"/>
      <c r="P7" s="11">
        <f t="shared" si="3"/>
        <v>0</v>
      </c>
      <c r="Q7" s="12"/>
      <c r="R7" s="9"/>
      <c r="S7" s="10"/>
      <c r="T7" s="11">
        <f t="shared" si="4"/>
        <v>0</v>
      </c>
      <c r="U7" s="11">
        <f t="shared" si="5"/>
        <v>0</v>
      </c>
    </row>
    <row r="8" spans="1:22" x14ac:dyDescent="0.15">
      <c r="A8" s="28" t="s">
        <v>12</v>
      </c>
      <c r="B8" s="8"/>
      <c r="C8" s="9"/>
      <c r="D8" s="10"/>
      <c r="E8" s="11">
        <f t="shared" si="0"/>
        <v>0</v>
      </c>
      <c r="F8" s="12"/>
      <c r="G8" s="9"/>
      <c r="H8" s="10"/>
      <c r="I8" s="11">
        <f t="shared" si="1"/>
        <v>0</v>
      </c>
      <c r="J8" s="11">
        <f t="shared" si="2"/>
        <v>0</v>
      </c>
      <c r="L8" s="28" t="s">
        <v>12</v>
      </c>
      <c r="M8" s="8"/>
      <c r="N8" s="9"/>
      <c r="O8" s="10"/>
      <c r="P8" s="11">
        <f t="shared" si="3"/>
        <v>0</v>
      </c>
      <c r="Q8" s="12"/>
      <c r="R8" s="9"/>
      <c r="S8" s="10"/>
      <c r="T8" s="11">
        <f t="shared" si="4"/>
        <v>0</v>
      </c>
      <c r="U8" s="11">
        <f t="shared" si="5"/>
        <v>0</v>
      </c>
    </row>
    <row r="9" spans="1:22" x14ac:dyDescent="0.15">
      <c r="A9" s="28" t="s">
        <v>15</v>
      </c>
      <c r="B9" s="8"/>
      <c r="C9" s="9"/>
      <c r="D9" s="10"/>
      <c r="E9" s="11">
        <f t="shared" si="0"/>
        <v>0</v>
      </c>
      <c r="F9" s="12"/>
      <c r="G9" s="9"/>
      <c r="H9" s="10"/>
      <c r="I9" s="11">
        <f t="shared" si="1"/>
        <v>0</v>
      </c>
      <c r="J9" s="11">
        <f t="shared" si="2"/>
        <v>0</v>
      </c>
      <c r="L9" s="28" t="s">
        <v>15</v>
      </c>
      <c r="M9" s="8"/>
      <c r="N9" s="9"/>
      <c r="O9" s="10"/>
      <c r="P9" s="11">
        <f t="shared" si="3"/>
        <v>0</v>
      </c>
      <c r="Q9" s="12"/>
      <c r="R9" s="9"/>
      <c r="S9" s="10"/>
      <c r="T9" s="11">
        <f t="shared" si="4"/>
        <v>0</v>
      </c>
      <c r="U9" s="11">
        <f t="shared" si="5"/>
        <v>0</v>
      </c>
    </row>
    <row r="10" spans="1:22" x14ac:dyDescent="0.15">
      <c r="A10" s="28" t="s">
        <v>16</v>
      </c>
      <c r="B10" s="8"/>
      <c r="C10" s="9"/>
      <c r="D10" s="10"/>
      <c r="E10" s="11">
        <f t="shared" si="0"/>
        <v>0</v>
      </c>
      <c r="F10" s="12"/>
      <c r="G10" s="9"/>
      <c r="H10" s="10"/>
      <c r="I10" s="11">
        <f t="shared" si="1"/>
        <v>0</v>
      </c>
      <c r="J10" s="11">
        <f t="shared" si="2"/>
        <v>0</v>
      </c>
      <c r="L10" s="28" t="s">
        <v>16</v>
      </c>
      <c r="M10" s="8"/>
      <c r="N10" s="9"/>
      <c r="O10" s="10"/>
      <c r="P10" s="11">
        <f t="shared" si="3"/>
        <v>0</v>
      </c>
      <c r="Q10" s="12"/>
      <c r="R10" s="9"/>
      <c r="S10" s="10"/>
      <c r="T10" s="11">
        <f t="shared" si="4"/>
        <v>0</v>
      </c>
      <c r="U10" s="11">
        <f t="shared" si="5"/>
        <v>0</v>
      </c>
    </row>
    <row r="11" spans="1:22" x14ac:dyDescent="0.15">
      <c r="A11" s="28" t="s">
        <v>17</v>
      </c>
      <c r="B11" s="13"/>
      <c r="C11" s="14"/>
      <c r="D11" s="15"/>
      <c r="E11" s="11">
        <f t="shared" si="0"/>
        <v>0</v>
      </c>
      <c r="F11" s="16"/>
      <c r="G11" s="14"/>
      <c r="H11" s="15"/>
      <c r="I11" s="11">
        <f t="shared" si="1"/>
        <v>0</v>
      </c>
      <c r="J11" s="11">
        <f t="shared" si="2"/>
        <v>0</v>
      </c>
      <c r="L11" s="28" t="s">
        <v>17</v>
      </c>
      <c r="M11" s="13"/>
      <c r="N11" s="14"/>
      <c r="O11" s="15"/>
      <c r="P11" s="11">
        <f t="shared" si="3"/>
        <v>0</v>
      </c>
      <c r="Q11" s="16"/>
      <c r="R11" s="14"/>
      <c r="S11" s="15"/>
      <c r="T11" s="11">
        <f t="shared" si="4"/>
        <v>0</v>
      </c>
      <c r="U11" s="11">
        <f t="shared" si="5"/>
        <v>0</v>
      </c>
    </row>
    <row r="12" spans="1:22" ht="14.25" thickBot="1" x14ac:dyDescent="0.2">
      <c r="A12" s="28" t="s">
        <v>18</v>
      </c>
      <c r="B12" s="36"/>
      <c r="C12" s="37"/>
      <c r="D12" s="40"/>
      <c r="E12" s="22">
        <f t="shared" si="0"/>
        <v>0</v>
      </c>
      <c r="F12" s="38"/>
      <c r="G12" s="38"/>
      <c r="H12" s="43"/>
      <c r="I12" s="22">
        <f t="shared" si="1"/>
        <v>0</v>
      </c>
      <c r="J12" s="22">
        <f t="shared" si="2"/>
        <v>0</v>
      </c>
      <c r="L12" s="28" t="s">
        <v>18</v>
      </c>
      <c r="M12" s="36"/>
      <c r="N12" s="37"/>
      <c r="O12" s="40"/>
      <c r="P12" s="22">
        <f t="shared" si="3"/>
        <v>0</v>
      </c>
      <c r="Q12" s="38"/>
      <c r="R12" s="38"/>
      <c r="S12" s="43"/>
      <c r="T12" s="22">
        <f t="shared" si="4"/>
        <v>0</v>
      </c>
      <c r="U12" s="22">
        <f t="shared" si="5"/>
        <v>0</v>
      </c>
    </row>
    <row r="13" spans="1:22" ht="14.25" thickBot="1" x14ac:dyDescent="0.2">
      <c r="A13" s="39" t="s">
        <v>20</v>
      </c>
      <c r="B13" s="32">
        <f t="shared" ref="B13:J13" si="6">SUM(B4:B12)</f>
        <v>145</v>
      </c>
      <c r="C13" s="33">
        <f t="shared" si="6"/>
        <v>140</v>
      </c>
      <c r="D13" s="34">
        <f t="shared" si="6"/>
        <v>80</v>
      </c>
      <c r="E13" s="42">
        <f t="shared" si="6"/>
        <v>365</v>
      </c>
      <c r="F13" s="32">
        <f t="shared" si="6"/>
        <v>145</v>
      </c>
      <c r="G13" s="33">
        <f t="shared" si="6"/>
        <v>140</v>
      </c>
      <c r="H13" s="34">
        <f t="shared" si="6"/>
        <v>80</v>
      </c>
      <c r="I13" s="42">
        <f t="shared" si="6"/>
        <v>365</v>
      </c>
      <c r="J13" s="42">
        <f t="shared" si="6"/>
        <v>730</v>
      </c>
      <c r="L13" s="39" t="s">
        <v>20</v>
      </c>
      <c r="M13" s="32">
        <f t="shared" ref="M13:U13" si="7">SUM(M4:M12)</f>
        <v>145</v>
      </c>
      <c r="N13" s="33">
        <f t="shared" si="7"/>
        <v>140</v>
      </c>
      <c r="O13" s="34">
        <f t="shared" si="7"/>
        <v>130</v>
      </c>
      <c r="P13" s="42">
        <f t="shared" si="7"/>
        <v>415</v>
      </c>
      <c r="Q13" s="32">
        <f t="shared" si="7"/>
        <v>145</v>
      </c>
      <c r="R13" s="33">
        <f t="shared" si="7"/>
        <v>140</v>
      </c>
      <c r="S13" s="34">
        <f t="shared" si="7"/>
        <v>80</v>
      </c>
      <c r="T13" s="42">
        <f t="shared" si="7"/>
        <v>365</v>
      </c>
      <c r="U13" s="42">
        <f t="shared" si="7"/>
        <v>780</v>
      </c>
    </row>
    <row r="14" spans="1:22" x14ac:dyDescent="0.15">
      <c r="A14" s="26" t="s">
        <v>25</v>
      </c>
      <c r="B14" s="13">
        <v>1</v>
      </c>
      <c r="C14" s="14"/>
      <c r="D14" s="15"/>
      <c r="E14" s="11">
        <f>SUM(B14:D14)</f>
        <v>1</v>
      </c>
      <c r="F14" s="16"/>
      <c r="G14" s="14"/>
      <c r="H14" s="15"/>
      <c r="I14" s="11">
        <f>SUM(F14:H14)</f>
        <v>0</v>
      </c>
      <c r="J14" s="11">
        <f>E14+I14</f>
        <v>1</v>
      </c>
      <c r="K14" s="71">
        <v>41746</v>
      </c>
      <c r="L14" s="26" t="s">
        <v>23</v>
      </c>
      <c r="M14" s="13">
        <v>50</v>
      </c>
      <c r="N14" s="14">
        <v>50</v>
      </c>
      <c r="O14" s="15">
        <v>50</v>
      </c>
      <c r="P14" s="11">
        <f>SUM(M14:O14)</f>
        <v>150</v>
      </c>
      <c r="Q14" s="16">
        <v>50</v>
      </c>
      <c r="R14" s="14">
        <v>50</v>
      </c>
      <c r="S14" s="15">
        <v>50</v>
      </c>
      <c r="T14" s="11">
        <f>SUM(Q14:S14)</f>
        <v>150</v>
      </c>
      <c r="U14" s="11">
        <f>P14+T14</f>
        <v>300</v>
      </c>
      <c r="V14" s="65">
        <v>41746</v>
      </c>
    </row>
    <row r="15" spans="1:22" x14ac:dyDescent="0.15">
      <c r="A15" s="29" t="s">
        <v>26</v>
      </c>
      <c r="B15" s="8">
        <v>1</v>
      </c>
      <c r="C15" s="9"/>
      <c r="D15" s="10"/>
      <c r="E15" s="11">
        <f>SUM(B15:D15)</f>
        <v>1</v>
      </c>
      <c r="F15" s="12"/>
      <c r="G15" s="9"/>
      <c r="H15" s="10"/>
      <c r="I15" s="11">
        <f>SUM(F15:H15)</f>
        <v>0</v>
      </c>
      <c r="J15" s="11">
        <f>E15+I15</f>
        <v>1</v>
      </c>
      <c r="K15" s="71">
        <v>41753</v>
      </c>
      <c r="L15" s="26" t="s">
        <v>23</v>
      </c>
      <c r="M15" s="8">
        <v>95</v>
      </c>
      <c r="N15" s="9">
        <v>90</v>
      </c>
      <c r="O15" s="10">
        <v>30</v>
      </c>
      <c r="P15" s="11">
        <f>SUM(M15:O15)</f>
        <v>215</v>
      </c>
      <c r="Q15" s="12">
        <v>95</v>
      </c>
      <c r="R15" s="9">
        <v>90</v>
      </c>
      <c r="S15" s="10">
        <v>30</v>
      </c>
      <c r="T15" s="11">
        <f>SUM(Q15:S15)</f>
        <v>215</v>
      </c>
      <c r="U15" s="11">
        <f>P15+T15</f>
        <v>430</v>
      </c>
      <c r="V15" s="71">
        <v>41748</v>
      </c>
    </row>
    <row r="16" spans="1:22" x14ac:dyDescent="0.15">
      <c r="A16" s="27" t="s">
        <v>27</v>
      </c>
      <c r="B16" s="8">
        <v>8</v>
      </c>
      <c r="C16" s="9">
        <v>12</v>
      </c>
      <c r="D16" s="10">
        <v>1</v>
      </c>
      <c r="E16" s="11">
        <f t="shared" ref="E16:E39" si="8">SUM(B16:D16)</f>
        <v>21</v>
      </c>
      <c r="F16" s="12">
        <v>2</v>
      </c>
      <c r="G16" s="9">
        <v>4</v>
      </c>
      <c r="H16" s="10">
        <v>3</v>
      </c>
      <c r="I16" s="11">
        <f t="shared" ref="I16:I39" si="9">SUM(F16:H16)</f>
        <v>9</v>
      </c>
      <c r="J16" s="11">
        <f t="shared" ref="J16:J39" si="10">E16+I16</f>
        <v>30</v>
      </c>
      <c r="K16" s="65">
        <v>41755</v>
      </c>
      <c r="L16" s="26" t="s">
        <v>23</v>
      </c>
      <c r="M16" s="8"/>
      <c r="N16" s="9"/>
      <c r="O16" s="10">
        <v>50</v>
      </c>
      <c r="P16" s="11">
        <f t="shared" ref="P16:P39" si="11">SUM(M16:O16)</f>
        <v>50</v>
      </c>
      <c r="Q16" s="12"/>
      <c r="R16" s="9"/>
      <c r="S16" s="10"/>
      <c r="T16" s="11">
        <f t="shared" ref="T16:T39" si="12">SUM(Q16:S16)</f>
        <v>0</v>
      </c>
      <c r="U16" s="11">
        <f t="shared" ref="U16:U39" si="13">P16+T16</f>
        <v>50</v>
      </c>
      <c r="V16" s="65">
        <v>41801</v>
      </c>
    </row>
    <row r="17" spans="1:21" x14ac:dyDescent="0.15">
      <c r="A17" s="27" t="s">
        <v>27</v>
      </c>
      <c r="B17" s="8">
        <v>8</v>
      </c>
      <c r="C17" s="9">
        <v>5</v>
      </c>
      <c r="D17" s="10">
        <v>3</v>
      </c>
      <c r="E17" s="11">
        <f t="shared" si="8"/>
        <v>16</v>
      </c>
      <c r="F17" s="12"/>
      <c r="G17" s="9">
        <v>2</v>
      </c>
      <c r="H17" s="10">
        <v>1</v>
      </c>
      <c r="I17" s="11">
        <f t="shared" si="9"/>
        <v>3</v>
      </c>
      <c r="J17" s="11">
        <f t="shared" si="10"/>
        <v>19</v>
      </c>
      <c r="K17" s="65">
        <v>41759</v>
      </c>
      <c r="L17" s="29"/>
      <c r="M17" s="8"/>
      <c r="N17" s="9"/>
      <c r="O17" s="10"/>
      <c r="P17" s="11">
        <f t="shared" si="11"/>
        <v>0</v>
      </c>
      <c r="Q17" s="12"/>
      <c r="R17" s="9"/>
      <c r="S17" s="10"/>
      <c r="T17" s="11">
        <f t="shared" si="12"/>
        <v>0</v>
      </c>
      <c r="U17" s="11">
        <f t="shared" si="13"/>
        <v>0</v>
      </c>
    </row>
    <row r="18" spans="1:21" x14ac:dyDescent="0.15">
      <c r="A18" s="29" t="s">
        <v>29</v>
      </c>
      <c r="B18" s="8">
        <v>1</v>
      </c>
      <c r="C18" s="9"/>
      <c r="D18" s="10"/>
      <c r="E18" s="11">
        <f t="shared" si="8"/>
        <v>1</v>
      </c>
      <c r="F18" s="12"/>
      <c r="G18" s="9"/>
      <c r="H18" s="10"/>
      <c r="I18" s="11">
        <f t="shared" si="9"/>
        <v>0</v>
      </c>
      <c r="J18" s="11">
        <f t="shared" si="10"/>
        <v>1</v>
      </c>
      <c r="K18" s="71">
        <v>41757</v>
      </c>
      <c r="L18" s="29"/>
      <c r="M18" s="8"/>
      <c r="N18" s="9"/>
      <c r="O18" s="10"/>
      <c r="P18" s="11">
        <f t="shared" si="11"/>
        <v>0</v>
      </c>
      <c r="Q18" s="12"/>
      <c r="R18" s="9"/>
      <c r="S18" s="10"/>
      <c r="T18" s="11">
        <f t="shared" si="12"/>
        <v>0</v>
      </c>
      <c r="U18" s="11">
        <f t="shared" si="13"/>
        <v>0</v>
      </c>
    </row>
    <row r="19" spans="1:21" x14ac:dyDescent="0.15">
      <c r="A19" s="27" t="s">
        <v>28</v>
      </c>
      <c r="B19" s="8">
        <v>4</v>
      </c>
      <c r="C19" s="9">
        <v>4</v>
      </c>
      <c r="D19" s="10">
        <v>6</v>
      </c>
      <c r="E19" s="11">
        <f t="shared" si="8"/>
        <v>14</v>
      </c>
      <c r="F19" s="12">
        <v>4</v>
      </c>
      <c r="G19" s="9">
        <v>4</v>
      </c>
      <c r="H19" s="10">
        <v>4</v>
      </c>
      <c r="I19" s="11">
        <f t="shared" si="9"/>
        <v>12</v>
      </c>
      <c r="J19" s="11">
        <f t="shared" si="10"/>
        <v>26</v>
      </c>
      <c r="K19" s="65">
        <v>41760</v>
      </c>
      <c r="L19" s="27"/>
      <c r="M19" s="8"/>
      <c r="N19" s="9"/>
      <c r="O19" s="10"/>
      <c r="P19" s="11">
        <f t="shared" si="11"/>
        <v>0</v>
      </c>
      <c r="Q19" s="12"/>
      <c r="R19" s="9"/>
      <c r="S19" s="10"/>
      <c r="T19" s="11">
        <f t="shared" si="12"/>
        <v>0</v>
      </c>
      <c r="U19" s="11">
        <f t="shared" si="13"/>
        <v>0</v>
      </c>
    </row>
    <row r="20" spans="1:21" x14ac:dyDescent="0.15">
      <c r="A20" s="29" t="s">
        <v>30</v>
      </c>
      <c r="B20" s="8"/>
      <c r="C20" s="9"/>
      <c r="D20" s="10"/>
      <c r="E20" s="11">
        <f t="shared" si="8"/>
        <v>0</v>
      </c>
      <c r="F20" s="12"/>
      <c r="G20" s="9">
        <v>1</v>
      </c>
      <c r="H20" s="10"/>
      <c r="I20" s="11">
        <f t="shared" si="9"/>
        <v>1</v>
      </c>
      <c r="J20" s="11">
        <f t="shared" si="10"/>
        <v>1</v>
      </c>
      <c r="K20" s="71">
        <v>41759</v>
      </c>
      <c r="L20" s="29"/>
      <c r="M20" s="8"/>
      <c r="N20" s="9"/>
      <c r="O20" s="10"/>
      <c r="P20" s="11">
        <f t="shared" si="11"/>
        <v>0</v>
      </c>
      <c r="Q20" s="12"/>
      <c r="R20" s="9"/>
      <c r="S20" s="10"/>
      <c r="T20" s="11">
        <f t="shared" si="12"/>
        <v>0</v>
      </c>
      <c r="U20" s="11">
        <f t="shared" si="13"/>
        <v>0</v>
      </c>
    </row>
    <row r="21" spans="1:21" x14ac:dyDescent="0.15">
      <c r="A21" s="29" t="s">
        <v>31</v>
      </c>
      <c r="B21" s="8"/>
      <c r="C21" s="9"/>
      <c r="D21" s="10"/>
      <c r="E21" s="11">
        <f t="shared" si="8"/>
        <v>0</v>
      </c>
      <c r="F21" s="12">
        <v>1</v>
      </c>
      <c r="G21" s="9"/>
      <c r="H21" s="10"/>
      <c r="I21" s="11">
        <f t="shared" si="9"/>
        <v>1</v>
      </c>
      <c r="J21" s="11">
        <f t="shared" si="10"/>
        <v>1</v>
      </c>
      <c r="K21" s="71">
        <v>41766</v>
      </c>
      <c r="L21" s="29"/>
      <c r="M21" s="8"/>
      <c r="N21" s="9"/>
      <c r="O21" s="10"/>
      <c r="P21" s="11">
        <f t="shared" si="11"/>
        <v>0</v>
      </c>
      <c r="Q21" s="12"/>
      <c r="R21" s="9"/>
      <c r="S21" s="10"/>
      <c r="T21" s="11">
        <f t="shared" si="12"/>
        <v>0</v>
      </c>
      <c r="U21" s="11">
        <f t="shared" si="13"/>
        <v>0</v>
      </c>
    </row>
    <row r="22" spans="1:21" x14ac:dyDescent="0.15">
      <c r="A22" s="27" t="s">
        <v>32</v>
      </c>
      <c r="B22" s="8">
        <v>3</v>
      </c>
      <c r="C22" s="9">
        <v>3</v>
      </c>
      <c r="D22" s="10">
        <v>3</v>
      </c>
      <c r="E22" s="11">
        <f t="shared" si="8"/>
        <v>9</v>
      </c>
      <c r="F22" s="12">
        <v>3</v>
      </c>
      <c r="G22" s="9">
        <v>3</v>
      </c>
      <c r="H22" s="10">
        <v>3</v>
      </c>
      <c r="I22" s="11">
        <f t="shared" si="9"/>
        <v>9</v>
      </c>
      <c r="J22" s="11">
        <f t="shared" si="10"/>
        <v>18</v>
      </c>
      <c r="K22" s="71">
        <v>41754</v>
      </c>
      <c r="L22" s="27"/>
      <c r="M22" s="8"/>
      <c r="N22" s="9"/>
      <c r="O22" s="10"/>
      <c r="P22" s="11">
        <f t="shared" si="11"/>
        <v>0</v>
      </c>
      <c r="Q22" s="12"/>
      <c r="R22" s="9"/>
      <c r="S22" s="10"/>
      <c r="T22" s="11">
        <f t="shared" si="12"/>
        <v>0</v>
      </c>
      <c r="U22" s="11">
        <f t="shared" si="13"/>
        <v>0</v>
      </c>
    </row>
    <row r="23" spans="1:21" x14ac:dyDescent="0.15">
      <c r="A23" s="29" t="s">
        <v>33</v>
      </c>
      <c r="B23" s="13">
        <v>1</v>
      </c>
      <c r="C23" s="14"/>
      <c r="D23" s="15"/>
      <c r="E23" s="11">
        <f t="shared" si="8"/>
        <v>1</v>
      </c>
      <c r="F23" s="16"/>
      <c r="G23" s="14"/>
      <c r="H23" s="15"/>
      <c r="I23" s="11">
        <f t="shared" si="9"/>
        <v>0</v>
      </c>
      <c r="J23" s="11">
        <f t="shared" si="10"/>
        <v>1</v>
      </c>
      <c r="K23" s="71">
        <v>41771</v>
      </c>
      <c r="L23" s="29"/>
      <c r="M23" s="13"/>
      <c r="N23" s="14"/>
      <c r="O23" s="15"/>
      <c r="P23" s="11">
        <f t="shared" si="11"/>
        <v>0</v>
      </c>
      <c r="Q23" s="16"/>
      <c r="R23" s="14"/>
      <c r="S23" s="15"/>
      <c r="T23" s="11">
        <f t="shared" si="12"/>
        <v>0</v>
      </c>
      <c r="U23" s="11">
        <f t="shared" si="13"/>
        <v>0</v>
      </c>
    </row>
    <row r="24" spans="1:21" x14ac:dyDescent="0.15">
      <c r="A24" s="29" t="s">
        <v>34</v>
      </c>
      <c r="B24" s="8">
        <v>6</v>
      </c>
      <c r="C24" s="9">
        <v>18</v>
      </c>
      <c r="D24" s="10">
        <v>13</v>
      </c>
      <c r="E24" s="11">
        <f t="shared" si="8"/>
        <v>37</v>
      </c>
      <c r="F24" s="12"/>
      <c r="G24" s="9"/>
      <c r="H24" s="10"/>
      <c r="I24" s="11">
        <f t="shared" si="9"/>
        <v>0</v>
      </c>
      <c r="J24" s="11">
        <f t="shared" si="10"/>
        <v>37</v>
      </c>
      <c r="K24" s="65">
        <v>41772</v>
      </c>
      <c r="L24" s="29"/>
      <c r="M24" s="8"/>
      <c r="N24" s="9"/>
      <c r="O24" s="10"/>
      <c r="P24" s="11">
        <f t="shared" si="11"/>
        <v>0</v>
      </c>
      <c r="Q24" s="12"/>
      <c r="R24" s="9"/>
      <c r="S24" s="10"/>
      <c r="T24" s="11">
        <f t="shared" si="12"/>
        <v>0</v>
      </c>
      <c r="U24" s="11">
        <f t="shared" si="13"/>
        <v>0</v>
      </c>
    </row>
    <row r="25" spans="1:21" x14ac:dyDescent="0.15">
      <c r="A25" s="29" t="s">
        <v>35</v>
      </c>
      <c r="B25" s="8">
        <v>10</v>
      </c>
      <c r="C25" s="9">
        <v>10</v>
      </c>
      <c r="D25" s="10">
        <v>10</v>
      </c>
      <c r="E25" s="11">
        <f t="shared" si="8"/>
        <v>30</v>
      </c>
      <c r="F25" s="12">
        <v>10</v>
      </c>
      <c r="G25" s="9">
        <v>10</v>
      </c>
      <c r="H25" s="10">
        <v>10</v>
      </c>
      <c r="I25" s="11">
        <f t="shared" si="9"/>
        <v>30</v>
      </c>
      <c r="J25" s="11">
        <f t="shared" si="10"/>
        <v>60</v>
      </c>
      <c r="K25" s="65">
        <v>41778</v>
      </c>
      <c r="L25" s="29"/>
      <c r="M25" s="8"/>
      <c r="N25" s="9"/>
      <c r="O25" s="10"/>
      <c r="P25" s="11">
        <f t="shared" si="11"/>
        <v>0</v>
      </c>
      <c r="Q25" s="12"/>
      <c r="R25" s="9"/>
      <c r="S25" s="10"/>
      <c r="T25" s="11">
        <f t="shared" si="12"/>
        <v>0</v>
      </c>
      <c r="U25" s="11">
        <f t="shared" si="13"/>
        <v>0</v>
      </c>
    </row>
    <row r="26" spans="1:21" x14ac:dyDescent="0.15">
      <c r="A26" s="27" t="s">
        <v>36</v>
      </c>
      <c r="B26" s="8"/>
      <c r="C26" s="9">
        <v>3</v>
      </c>
      <c r="D26" s="10"/>
      <c r="E26" s="11">
        <f t="shared" si="8"/>
        <v>3</v>
      </c>
      <c r="F26" s="12"/>
      <c r="G26" s="9">
        <v>1</v>
      </c>
      <c r="H26" s="10"/>
      <c r="I26" s="11">
        <f t="shared" si="9"/>
        <v>1</v>
      </c>
      <c r="J26" s="11">
        <f t="shared" si="10"/>
        <v>4</v>
      </c>
      <c r="K26" s="71">
        <v>41774</v>
      </c>
      <c r="L26" s="27"/>
      <c r="M26" s="8"/>
      <c r="N26" s="9"/>
      <c r="O26" s="10"/>
      <c r="P26" s="11">
        <f t="shared" si="11"/>
        <v>0</v>
      </c>
      <c r="Q26" s="12"/>
      <c r="R26" s="9"/>
      <c r="S26" s="10"/>
      <c r="T26" s="11">
        <f t="shared" si="12"/>
        <v>0</v>
      </c>
      <c r="U26" s="11">
        <f t="shared" si="13"/>
        <v>0</v>
      </c>
    </row>
    <row r="27" spans="1:21" x14ac:dyDescent="0.15">
      <c r="A27" s="29" t="s">
        <v>37</v>
      </c>
      <c r="B27" s="8">
        <v>1</v>
      </c>
      <c r="C27" s="9">
        <v>2</v>
      </c>
      <c r="D27" s="10"/>
      <c r="E27" s="11">
        <f t="shared" si="8"/>
        <v>3</v>
      </c>
      <c r="F27" s="12">
        <v>1</v>
      </c>
      <c r="G27" s="9">
        <v>2</v>
      </c>
      <c r="H27" s="10"/>
      <c r="I27" s="11">
        <f t="shared" si="9"/>
        <v>3</v>
      </c>
      <c r="J27" s="11">
        <f t="shared" si="10"/>
        <v>6</v>
      </c>
      <c r="K27" s="71">
        <v>41780</v>
      </c>
      <c r="L27" s="29"/>
      <c r="M27" s="8"/>
      <c r="N27" s="9"/>
      <c r="O27" s="10"/>
      <c r="P27" s="11">
        <f t="shared" si="11"/>
        <v>0</v>
      </c>
      <c r="Q27" s="12"/>
      <c r="R27" s="9"/>
      <c r="S27" s="10"/>
      <c r="T27" s="11">
        <f t="shared" si="12"/>
        <v>0</v>
      </c>
      <c r="U27" s="11">
        <f t="shared" si="13"/>
        <v>0</v>
      </c>
    </row>
    <row r="28" spans="1:21" x14ac:dyDescent="0.15">
      <c r="A28" s="29" t="s">
        <v>40</v>
      </c>
      <c r="B28" s="8"/>
      <c r="C28" s="9">
        <v>6</v>
      </c>
      <c r="D28" s="10">
        <v>3</v>
      </c>
      <c r="E28" s="11">
        <f t="shared" si="8"/>
        <v>9</v>
      </c>
      <c r="F28" s="12">
        <v>5</v>
      </c>
      <c r="G28" s="9"/>
      <c r="H28" s="10"/>
      <c r="I28" s="11">
        <f t="shared" si="9"/>
        <v>5</v>
      </c>
      <c r="J28" s="11">
        <f t="shared" si="10"/>
        <v>14</v>
      </c>
      <c r="K28" s="65">
        <v>41785</v>
      </c>
      <c r="L28" s="29"/>
      <c r="M28" s="8"/>
      <c r="N28" s="9"/>
      <c r="O28" s="10"/>
      <c r="P28" s="11">
        <f t="shared" si="11"/>
        <v>0</v>
      </c>
      <c r="Q28" s="12"/>
      <c r="R28" s="9"/>
      <c r="S28" s="10"/>
      <c r="T28" s="11">
        <f t="shared" si="12"/>
        <v>0</v>
      </c>
      <c r="U28" s="11">
        <f t="shared" si="13"/>
        <v>0</v>
      </c>
    </row>
    <row r="29" spans="1:21" x14ac:dyDescent="0.15">
      <c r="A29" s="27" t="s">
        <v>42</v>
      </c>
      <c r="B29" s="8">
        <v>1</v>
      </c>
      <c r="C29" s="9"/>
      <c r="D29" s="10"/>
      <c r="E29" s="11">
        <f t="shared" si="8"/>
        <v>1</v>
      </c>
      <c r="F29" s="12"/>
      <c r="G29" s="9">
        <v>3</v>
      </c>
      <c r="H29" s="10"/>
      <c r="I29" s="11">
        <f t="shared" si="9"/>
        <v>3</v>
      </c>
      <c r="J29" s="11">
        <f t="shared" si="10"/>
        <v>4</v>
      </c>
      <c r="K29" s="65">
        <v>41786</v>
      </c>
      <c r="L29" s="27"/>
      <c r="M29" s="8"/>
      <c r="N29" s="9"/>
      <c r="O29" s="10"/>
      <c r="P29" s="11">
        <f t="shared" si="11"/>
        <v>0</v>
      </c>
      <c r="Q29" s="12"/>
      <c r="R29" s="9"/>
      <c r="S29" s="10"/>
      <c r="T29" s="11">
        <f t="shared" si="12"/>
        <v>0</v>
      </c>
      <c r="U29" s="11">
        <f t="shared" si="13"/>
        <v>0</v>
      </c>
    </row>
    <row r="30" spans="1:21" x14ac:dyDescent="0.15">
      <c r="A30" s="29" t="s">
        <v>27</v>
      </c>
      <c r="B30" s="8">
        <v>4</v>
      </c>
      <c r="C30" s="9">
        <v>4</v>
      </c>
      <c r="D30" s="10">
        <v>4</v>
      </c>
      <c r="E30" s="11">
        <f t="shared" si="8"/>
        <v>12</v>
      </c>
      <c r="F30" s="12">
        <v>1</v>
      </c>
      <c r="G30" s="9"/>
      <c r="H30" s="10"/>
      <c r="I30" s="11">
        <f t="shared" si="9"/>
        <v>1</v>
      </c>
      <c r="J30" s="11">
        <f t="shared" si="10"/>
        <v>13</v>
      </c>
      <c r="K30" s="65">
        <v>41787</v>
      </c>
      <c r="L30" s="29"/>
      <c r="M30" s="8"/>
      <c r="N30" s="9"/>
      <c r="O30" s="10"/>
      <c r="P30" s="11">
        <f t="shared" si="11"/>
        <v>0</v>
      </c>
      <c r="Q30" s="12"/>
      <c r="R30" s="9"/>
      <c r="S30" s="10"/>
      <c r="T30" s="11">
        <f t="shared" si="12"/>
        <v>0</v>
      </c>
      <c r="U30" s="11">
        <f t="shared" si="13"/>
        <v>0</v>
      </c>
    </row>
    <row r="31" spans="1:21" x14ac:dyDescent="0.15">
      <c r="A31" s="29" t="s">
        <v>27</v>
      </c>
      <c r="B31" s="8"/>
      <c r="C31" s="9"/>
      <c r="D31" s="10"/>
      <c r="E31" s="11">
        <f t="shared" si="8"/>
        <v>0</v>
      </c>
      <c r="F31" s="12"/>
      <c r="G31" s="9"/>
      <c r="H31" s="10">
        <v>1</v>
      </c>
      <c r="I31" s="11">
        <f t="shared" si="9"/>
        <v>1</v>
      </c>
      <c r="J31" s="11">
        <f t="shared" si="10"/>
        <v>1</v>
      </c>
      <c r="K31" s="65">
        <v>41787</v>
      </c>
      <c r="L31" s="27"/>
      <c r="M31" s="8"/>
      <c r="N31" s="9"/>
      <c r="O31" s="10"/>
      <c r="P31" s="11">
        <f t="shared" si="11"/>
        <v>0</v>
      </c>
      <c r="Q31" s="12"/>
      <c r="R31" s="9"/>
      <c r="S31" s="10"/>
      <c r="T31" s="11">
        <f t="shared" si="12"/>
        <v>0</v>
      </c>
      <c r="U31" s="11">
        <f t="shared" si="13"/>
        <v>0</v>
      </c>
    </row>
    <row r="32" spans="1:21" x14ac:dyDescent="0.15">
      <c r="A32" s="26" t="s">
        <v>43</v>
      </c>
      <c r="B32" s="8"/>
      <c r="C32" s="9"/>
      <c r="D32" s="10"/>
      <c r="E32" s="11">
        <f t="shared" si="8"/>
        <v>0</v>
      </c>
      <c r="F32" s="12">
        <v>1</v>
      </c>
      <c r="G32" s="9"/>
      <c r="H32" s="10"/>
      <c r="I32" s="11">
        <f t="shared" si="9"/>
        <v>1</v>
      </c>
      <c r="J32" s="11">
        <f t="shared" si="10"/>
        <v>1</v>
      </c>
      <c r="K32" s="65">
        <v>41787</v>
      </c>
      <c r="L32" s="26"/>
      <c r="M32" s="8"/>
      <c r="N32" s="9"/>
      <c r="O32" s="10"/>
      <c r="P32" s="11">
        <f t="shared" si="11"/>
        <v>0</v>
      </c>
      <c r="Q32" s="12"/>
      <c r="R32" s="9"/>
      <c r="S32" s="10"/>
      <c r="T32" s="11">
        <f t="shared" si="12"/>
        <v>0</v>
      </c>
      <c r="U32" s="11">
        <f t="shared" si="13"/>
        <v>0</v>
      </c>
    </row>
    <row r="33" spans="1:22" x14ac:dyDescent="0.15">
      <c r="A33" s="26" t="s">
        <v>44</v>
      </c>
      <c r="B33" s="8"/>
      <c r="C33" s="9"/>
      <c r="D33" s="10"/>
      <c r="E33" s="11">
        <f t="shared" si="8"/>
        <v>0</v>
      </c>
      <c r="F33" s="12"/>
      <c r="G33" s="9">
        <v>1</v>
      </c>
      <c r="H33" s="10"/>
      <c r="I33" s="11">
        <f t="shared" si="9"/>
        <v>1</v>
      </c>
      <c r="J33" s="11">
        <f t="shared" si="10"/>
        <v>1</v>
      </c>
      <c r="K33" s="71">
        <v>41787</v>
      </c>
      <c r="L33" s="26"/>
      <c r="M33" s="8"/>
      <c r="N33" s="9"/>
      <c r="O33" s="10"/>
      <c r="P33" s="11">
        <f t="shared" si="11"/>
        <v>0</v>
      </c>
      <c r="Q33" s="12"/>
      <c r="R33" s="9"/>
      <c r="S33" s="10"/>
      <c r="T33" s="11">
        <f t="shared" si="12"/>
        <v>0</v>
      </c>
      <c r="U33" s="11">
        <f t="shared" si="13"/>
        <v>0</v>
      </c>
      <c r="V33" s="65"/>
    </row>
    <row r="34" spans="1:22" x14ac:dyDescent="0.15">
      <c r="A34" s="26" t="s">
        <v>39</v>
      </c>
      <c r="B34" s="8">
        <v>1</v>
      </c>
      <c r="C34" s="9"/>
      <c r="D34" s="10"/>
      <c r="E34" s="11">
        <f t="shared" si="8"/>
        <v>1</v>
      </c>
      <c r="F34" s="12">
        <v>2</v>
      </c>
      <c r="G34" s="9"/>
      <c r="H34" s="10"/>
      <c r="I34" s="11">
        <f t="shared" si="9"/>
        <v>2</v>
      </c>
      <c r="J34" s="11">
        <f t="shared" si="10"/>
        <v>3</v>
      </c>
      <c r="K34" s="65">
        <v>41789</v>
      </c>
      <c r="L34" s="29"/>
      <c r="M34" s="8"/>
      <c r="N34" s="9"/>
      <c r="O34" s="10"/>
      <c r="P34" s="11">
        <f t="shared" si="11"/>
        <v>0</v>
      </c>
      <c r="Q34" s="12"/>
      <c r="R34" s="9"/>
      <c r="S34" s="10"/>
      <c r="T34" s="11">
        <f t="shared" si="12"/>
        <v>0</v>
      </c>
      <c r="U34" s="11">
        <f t="shared" si="13"/>
        <v>0</v>
      </c>
      <c r="V34" s="65"/>
    </row>
    <row r="35" spans="1:22" x14ac:dyDescent="0.15">
      <c r="A35" s="29" t="s">
        <v>48</v>
      </c>
      <c r="B35" s="13">
        <v>1</v>
      </c>
      <c r="C35" s="14"/>
      <c r="D35" s="15"/>
      <c r="E35" s="11">
        <f t="shared" si="8"/>
        <v>1</v>
      </c>
      <c r="F35" s="16"/>
      <c r="G35" s="14"/>
      <c r="H35" s="15"/>
      <c r="I35" s="11">
        <f t="shared" si="9"/>
        <v>0</v>
      </c>
      <c r="J35" s="11">
        <f t="shared" si="10"/>
        <v>1</v>
      </c>
      <c r="K35" s="71">
        <v>41792</v>
      </c>
      <c r="L35" s="29"/>
      <c r="M35" s="13"/>
      <c r="N35" s="14"/>
      <c r="O35" s="15"/>
      <c r="P35" s="11">
        <f t="shared" si="11"/>
        <v>0</v>
      </c>
      <c r="Q35" s="16"/>
      <c r="R35" s="14"/>
      <c r="S35" s="15"/>
      <c r="T35" s="11">
        <f t="shared" si="12"/>
        <v>0</v>
      </c>
      <c r="U35" s="11">
        <f t="shared" si="13"/>
        <v>0</v>
      </c>
      <c r="V35" s="65"/>
    </row>
    <row r="36" spans="1:22" x14ac:dyDescent="0.15">
      <c r="A36" s="29" t="s">
        <v>35</v>
      </c>
      <c r="B36" s="8"/>
      <c r="C36" s="9">
        <v>10</v>
      </c>
      <c r="D36" s="10"/>
      <c r="E36" s="11">
        <f t="shared" si="8"/>
        <v>10</v>
      </c>
      <c r="F36" s="12"/>
      <c r="G36" s="9"/>
      <c r="H36" s="10"/>
      <c r="I36" s="11">
        <f t="shared" si="9"/>
        <v>0</v>
      </c>
      <c r="J36" s="11">
        <f t="shared" si="10"/>
        <v>10</v>
      </c>
      <c r="K36" s="65">
        <v>41796</v>
      </c>
      <c r="L36" s="27"/>
      <c r="M36" s="8"/>
      <c r="N36" s="9"/>
      <c r="O36" s="10"/>
      <c r="P36" s="11">
        <f t="shared" si="11"/>
        <v>0</v>
      </c>
      <c r="Q36" s="12"/>
      <c r="R36" s="9"/>
      <c r="S36" s="10"/>
      <c r="T36" s="11">
        <f t="shared" si="12"/>
        <v>0</v>
      </c>
      <c r="U36" s="11">
        <f t="shared" si="13"/>
        <v>0</v>
      </c>
      <c r="V36" s="65"/>
    </row>
    <row r="37" spans="1:22" x14ac:dyDescent="0.15">
      <c r="A37" s="29" t="s">
        <v>45</v>
      </c>
      <c r="B37" s="8"/>
      <c r="C37" s="9"/>
      <c r="D37" s="10">
        <v>1</v>
      </c>
      <c r="E37" s="11">
        <f t="shared" si="8"/>
        <v>1</v>
      </c>
      <c r="F37" s="12"/>
      <c r="G37" s="9"/>
      <c r="H37" s="10">
        <v>1</v>
      </c>
      <c r="I37" s="11">
        <f t="shared" si="9"/>
        <v>1</v>
      </c>
      <c r="J37" s="11">
        <f t="shared" si="10"/>
        <v>2</v>
      </c>
      <c r="K37" s="71">
        <v>41794</v>
      </c>
      <c r="L37" s="26"/>
      <c r="M37" s="8"/>
      <c r="N37" s="9"/>
      <c r="O37" s="10"/>
      <c r="P37" s="11">
        <f>SUM(M37:O37)</f>
        <v>0</v>
      </c>
      <c r="Q37" s="12"/>
      <c r="R37" s="9"/>
      <c r="S37" s="10"/>
      <c r="T37" s="11">
        <f>SUM(Q37:S37)</f>
        <v>0</v>
      </c>
      <c r="U37" s="11">
        <f>P37+T37</f>
        <v>0</v>
      </c>
      <c r="V37" s="65"/>
    </row>
    <row r="38" spans="1:22" x14ac:dyDescent="0.15">
      <c r="A38" s="29" t="s">
        <v>47</v>
      </c>
      <c r="B38" s="8">
        <v>7</v>
      </c>
      <c r="C38" s="9">
        <v>7</v>
      </c>
      <c r="D38" s="10">
        <v>9</v>
      </c>
      <c r="E38" s="11">
        <f t="shared" si="8"/>
        <v>23</v>
      </c>
      <c r="F38" s="12">
        <v>7</v>
      </c>
      <c r="G38" s="9">
        <v>2</v>
      </c>
      <c r="H38" s="10">
        <v>3</v>
      </c>
      <c r="I38" s="11">
        <f t="shared" si="9"/>
        <v>12</v>
      </c>
      <c r="J38" s="11">
        <f t="shared" si="10"/>
        <v>35</v>
      </c>
      <c r="K38" s="65">
        <v>41800</v>
      </c>
      <c r="L38" s="29"/>
      <c r="M38" s="8"/>
      <c r="N38" s="9"/>
      <c r="O38" s="10"/>
      <c r="P38" s="11">
        <f t="shared" si="11"/>
        <v>0</v>
      </c>
      <c r="Q38" s="12"/>
      <c r="R38" s="9"/>
      <c r="S38" s="10"/>
      <c r="T38" s="11">
        <f t="shared" si="12"/>
        <v>0</v>
      </c>
      <c r="U38" s="11">
        <f t="shared" si="13"/>
        <v>0</v>
      </c>
      <c r="V38" s="65"/>
    </row>
    <row r="39" spans="1:22" ht="14.25" thickBot="1" x14ac:dyDescent="0.2">
      <c r="A39" s="6" t="s">
        <v>51</v>
      </c>
      <c r="B39" s="13"/>
      <c r="C39" s="14"/>
      <c r="D39" s="15"/>
      <c r="E39" s="11">
        <f t="shared" si="8"/>
        <v>0</v>
      </c>
      <c r="F39" s="16">
        <v>1</v>
      </c>
      <c r="G39" s="14"/>
      <c r="H39" s="15"/>
      <c r="I39" s="11">
        <f t="shared" si="9"/>
        <v>1</v>
      </c>
      <c r="J39" s="11">
        <f t="shared" si="10"/>
        <v>1</v>
      </c>
      <c r="K39" s="71">
        <v>41799</v>
      </c>
      <c r="L39" s="6"/>
      <c r="M39" s="13"/>
      <c r="N39" s="14"/>
      <c r="O39" s="15"/>
      <c r="P39" s="11">
        <f t="shared" si="11"/>
        <v>0</v>
      </c>
      <c r="Q39" s="16"/>
      <c r="R39" s="14"/>
      <c r="S39" s="15"/>
      <c r="T39" s="11">
        <f t="shared" si="12"/>
        <v>0</v>
      </c>
      <c r="U39" s="11">
        <f t="shared" si="13"/>
        <v>0</v>
      </c>
      <c r="V39" s="64"/>
    </row>
    <row r="40" spans="1:22" ht="14.25" thickBot="1" x14ac:dyDescent="0.2">
      <c r="A40" s="44" t="s">
        <v>13</v>
      </c>
      <c r="B40" s="59">
        <f t="shared" ref="B40:I40" si="14">SUM(B14:B39)</f>
        <v>58</v>
      </c>
      <c r="C40" s="60">
        <f t="shared" si="14"/>
        <v>84</v>
      </c>
      <c r="D40" s="61">
        <f t="shared" si="14"/>
        <v>53</v>
      </c>
      <c r="E40" s="62">
        <f t="shared" si="14"/>
        <v>195</v>
      </c>
      <c r="F40" s="59">
        <f t="shared" si="14"/>
        <v>38</v>
      </c>
      <c r="G40" s="60">
        <f t="shared" si="14"/>
        <v>33</v>
      </c>
      <c r="H40" s="61">
        <f t="shared" si="14"/>
        <v>26</v>
      </c>
      <c r="I40" s="62">
        <f t="shared" si="14"/>
        <v>97</v>
      </c>
      <c r="J40" s="63">
        <f>E40+I40</f>
        <v>292</v>
      </c>
      <c r="L40" s="44" t="s">
        <v>13</v>
      </c>
      <c r="M40" s="59">
        <f t="shared" ref="M40:T40" si="15">SUM(M14:M39)</f>
        <v>145</v>
      </c>
      <c r="N40" s="60">
        <f t="shared" si="15"/>
        <v>140</v>
      </c>
      <c r="O40" s="61">
        <f t="shared" si="15"/>
        <v>130</v>
      </c>
      <c r="P40" s="62">
        <f t="shared" si="15"/>
        <v>415</v>
      </c>
      <c r="Q40" s="59">
        <f t="shared" si="15"/>
        <v>145</v>
      </c>
      <c r="R40" s="60">
        <f t="shared" si="15"/>
        <v>140</v>
      </c>
      <c r="S40" s="61">
        <f t="shared" si="15"/>
        <v>80</v>
      </c>
      <c r="T40" s="62">
        <f t="shared" si="15"/>
        <v>365</v>
      </c>
      <c r="U40" s="63">
        <f>P40+T40</f>
        <v>780</v>
      </c>
    </row>
    <row r="41" spans="1:22" ht="14.25" thickBot="1" x14ac:dyDescent="0.2">
      <c r="A41" s="23" t="s">
        <v>14</v>
      </c>
      <c r="B41" s="24">
        <f t="shared" ref="B41:J41" si="16">B13-B40</f>
        <v>87</v>
      </c>
      <c r="C41" s="25">
        <f t="shared" si="16"/>
        <v>56</v>
      </c>
      <c r="D41" s="30">
        <f t="shared" si="16"/>
        <v>27</v>
      </c>
      <c r="E41" s="51">
        <f t="shared" si="16"/>
        <v>170</v>
      </c>
      <c r="F41" s="24">
        <f t="shared" si="16"/>
        <v>107</v>
      </c>
      <c r="G41" s="25">
        <f t="shared" si="16"/>
        <v>107</v>
      </c>
      <c r="H41" s="30">
        <f t="shared" si="16"/>
        <v>54</v>
      </c>
      <c r="I41" s="47">
        <f t="shared" si="16"/>
        <v>268</v>
      </c>
      <c r="J41" s="45">
        <f t="shared" si="16"/>
        <v>438</v>
      </c>
      <c r="L41" s="23" t="s">
        <v>14</v>
      </c>
      <c r="M41" s="24">
        <f t="shared" ref="M41:U41" si="17">M13-M40</f>
        <v>0</v>
      </c>
      <c r="N41" s="25">
        <f t="shared" si="17"/>
        <v>0</v>
      </c>
      <c r="O41" s="30">
        <f t="shared" si="17"/>
        <v>0</v>
      </c>
      <c r="P41" s="51">
        <f t="shared" si="17"/>
        <v>0</v>
      </c>
      <c r="Q41" s="24">
        <f t="shared" si="17"/>
        <v>0</v>
      </c>
      <c r="R41" s="25">
        <f t="shared" si="17"/>
        <v>0</v>
      </c>
      <c r="S41" s="30">
        <f t="shared" si="17"/>
        <v>0</v>
      </c>
      <c r="T41" s="47">
        <f t="shared" si="17"/>
        <v>0</v>
      </c>
      <c r="U41" s="45">
        <f t="shared" si="17"/>
        <v>0</v>
      </c>
    </row>
    <row r="44" spans="1:22" ht="19.5" thickBot="1" x14ac:dyDescent="0.25">
      <c r="A44" s="2" t="s">
        <v>21</v>
      </c>
      <c r="B44" s="1"/>
      <c r="C44" s="1"/>
      <c r="D44" s="1"/>
      <c r="E44" s="1"/>
      <c r="F44" s="1"/>
      <c r="G44" s="1"/>
      <c r="H44" s="1"/>
      <c r="I44" s="1"/>
      <c r="J44" s="1"/>
      <c r="L44" s="2" t="s">
        <v>22</v>
      </c>
      <c r="M44" s="1"/>
      <c r="N44" s="1"/>
      <c r="O44" s="1"/>
      <c r="P44" s="1"/>
      <c r="Q44" s="1"/>
      <c r="R44" s="1"/>
      <c r="S44" s="1"/>
      <c r="T44" s="1"/>
      <c r="U44" s="1"/>
    </row>
    <row r="45" spans="1:22" ht="14.25" thickBot="1" x14ac:dyDescent="0.2">
      <c r="A45" s="7" t="s">
        <v>0</v>
      </c>
      <c r="B45" s="168" t="s">
        <v>1</v>
      </c>
      <c r="C45" s="169"/>
      <c r="D45" s="169"/>
      <c r="E45" s="170"/>
      <c r="F45" s="168" t="s">
        <v>2</v>
      </c>
      <c r="G45" s="169"/>
      <c r="H45" s="169"/>
      <c r="I45" s="171"/>
      <c r="J45" s="172" t="s">
        <v>3</v>
      </c>
      <c r="L45" s="7" t="s">
        <v>0</v>
      </c>
      <c r="M45" s="168" t="s">
        <v>1</v>
      </c>
      <c r="N45" s="169"/>
      <c r="O45" s="169"/>
      <c r="P45" s="170"/>
      <c r="Q45" s="168" t="s">
        <v>2</v>
      </c>
      <c r="R45" s="169"/>
      <c r="S45" s="169"/>
      <c r="T45" s="171"/>
      <c r="U45" s="172" t="s">
        <v>3</v>
      </c>
    </row>
    <row r="46" spans="1:22" ht="14.25" thickBot="1" x14ac:dyDescent="0.2">
      <c r="A46" s="7" t="s">
        <v>4</v>
      </c>
      <c r="B46" s="3" t="s">
        <v>5</v>
      </c>
      <c r="C46" s="4" t="s">
        <v>6</v>
      </c>
      <c r="D46" s="5" t="s">
        <v>7</v>
      </c>
      <c r="E46" s="7" t="s">
        <v>8</v>
      </c>
      <c r="F46" s="3" t="s">
        <v>5</v>
      </c>
      <c r="G46" s="4" t="s">
        <v>6</v>
      </c>
      <c r="H46" s="5" t="s">
        <v>7</v>
      </c>
      <c r="I46" s="7" t="s">
        <v>8</v>
      </c>
      <c r="J46" s="173"/>
      <c r="L46" s="7" t="s">
        <v>4</v>
      </c>
      <c r="M46" s="3" t="s">
        <v>5</v>
      </c>
      <c r="N46" s="4" t="s">
        <v>6</v>
      </c>
      <c r="O46" s="5" t="s">
        <v>7</v>
      </c>
      <c r="P46" s="7" t="s">
        <v>8</v>
      </c>
      <c r="Q46" s="3" t="s">
        <v>5</v>
      </c>
      <c r="R46" s="4" t="s">
        <v>6</v>
      </c>
      <c r="S46" s="5" t="s">
        <v>7</v>
      </c>
      <c r="T46" s="7" t="s">
        <v>8</v>
      </c>
      <c r="U46" s="173"/>
    </row>
    <row r="47" spans="1:22" ht="14.25" thickBot="1" x14ac:dyDescent="0.2">
      <c r="A47" s="31" t="s">
        <v>14</v>
      </c>
      <c r="B47" s="32">
        <f>B41</f>
        <v>87</v>
      </c>
      <c r="C47" s="33">
        <f>C41</f>
        <v>56</v>
      </c>
      <c r="D47" s="34">
        <f>D41</f>
        <v>27</v>
      </c>
      <c r="E47" s="41">
        <f>SUM(B47:D47)</f>
        <v>170</v>
      </c>
      <c r="F47" s="32">
        <f>F41</f>
        <v>107</v>
      </c>
      <c r="G47" s="33">
        <f>G41</f>
        <v>107</v>
      </c>
      <c r="H47" s="34">
        <f>H41</f>
        <v>54</v>
      </c>
      <c r="I47" s="41">
        <f>SUM(F47:H47)</f>
        <v>268</v>
      </c>
      <c r="J47" s="41">
        <f>E47+I47</f>
        <v>438</v>
      </c>
      <c r="L47" s="31" t="s">
        <v>14</v>
      </c>
      <c r="M47" s="32">
        <f>M41</f>
        <v>0</v>
      </c>
      <c r="N47" s="33">
        <f>N41</f>
        <v>0</v>
      </c>
      <c r="O47" s="34">
        <f>O41</f>
        <v>0</v>
      </c>
      <c r="P47" s="41">
        <f>SUM(M47:O47)</f>
        <v>0</v>
      </c>
      <c r="Q47" s="32">
        <f>Q41</f>
        <v>0</v>
      </c>
      <c r="R47" s="33">
        <f>R41</f>
        <v>0</v>
      </c>
      <c r="S47" s="34">
        <f>S41</f>
        <v>0</v>
      </c>
      <c r="T47" s="41">
        <f>SUM(Q47:S47)</f>
        <v>0</v>
      </c>
      <c r="U47" s="41">
        <f>P47+T47</f>
        <v>0</v>
      </c>
    </row>
    <row r="48" spans="1:22" x14ac:dyDescent="0.15">
      <c r="A48" s="28" t="s">
        <v>9</v>
      </c>
      <c r="B48" s="17"/>
      <c r="C48" s="18"/>
      <c r="D48" s="19">
        <v>50</v>
      </c>
      <c r="E48" s="20">
        <f t="shared" ref="E48:E55" si="18">SUM(B48:D48)</f>
        <v>50</v>
      </c>
      <c r="F48" s="21"/>
      <c r="G48" s="18"/>
      <c r="H48" s="19"/>
      <c r="I48" s="20">
        <f t="shared" ref="I48:I55" si="19">SUM(F48:H48)</f>
        <v>0</v>
      </c>
      <c r="J48" s="20">
        <f t="shared" ref="J48:J55" si="20">E48+I48</f>
        <v>50</v>
      </c>
      <c r="K48" s="65">
        <v>41801</v>
      </c>
      <c r="L48" s="6" t="s">
        <v>68</v>
      </c>
      <c r="M48" s="17">
        <v>50</v>
      </c>
      <c r="N48" s="18">
        <v>50</v>
      </c>
      <c r="O48" s="19"/>
      <c r="P48" s="20">
        <f t="shared" ref="P48:P55" si="21">SUM(M48:O48)</f>
        <v>100</v>
      </c>
      <c r="Q48" s="21">
        <v>50</v>
      </c>
      <c r="R48" s="18">
        <v>50</v>
      </c>
      <c r="S48" s="19"/>
      <c r="T48" s="20">
        <f t="shared" ref="T48:T55" si="22">SUM(Q48:S48)</f>
        <v>100</v>
      </c>
      <c r="U48" s="20">
        <f t="shared" ref="U48:U55" si="23">P48+T48</f>
        <v>200</v>
      </c>
      <c r="V48" s="65">
        <v>41832</v>
      </c>
    </row>
    <row r="49" spans="1:22" x14ac:dyDescent="0.15">
      <c r="A49" s="28" t="s">
        <v>59</v>
      </c>
      <c r="B49" s="8">
        <v>3</v>
      </c>
      <c r="C49" s="9">
        <v>1</v>
      </c>
      <c r="D49" s="10">
        <v>2</v>
      </c>
      <c r="E49" s="11">
        <f t="shared" si="18"/>
        <v>6</v>
      </c>
      <c r="F49" s="12"/>
      <c r="G49" s="9"/>
      <c r="H49" s="10">
        <v>1</v>
      </c>
      <c r="I49" s="11">
        <f t="shared" si="19"/>
        <v>1</v>
      </c>
      <c r="J49" s="11">
        <f t="shared" si="20"/>
        <v>7</v>
      </c>
      <c r="K49" s="71">
        <v>41824</v>
      </c>
      <c r="L49" s="6" t="s">
        <v>69</v>
      </c>
      <c r="M49" s="8">
        <v>50</v>
      </c>
      <c r="N49" s="9">
        <v>100</v>
      </c>
      <c r="O49" s="10"/>
      <c r="P49" s="11">
        <f>SUM(M49:O49)</f>
        <v>150</v>
      </c>
      <c r="Q49" s="12">
        <v>50</v>
      </c>
      <c r="R49" s="9">
        <v>10</v>
      </c>
      <c r="S49" s="10"/>
      <c r="T49" s="11">
        <f>SUM(Q49:S49)</f>
        <v>60</v>
      </c>
      <c r="U49" s="11">
        <f>P49+T49</f>
        <v>210</v>
      </c>
      <c r="V49" s="65">
        <v>41844</v>
      </c>
    </row>
    <row r="50" spans="1:22" x14ac:dyDescent="0.15">
      <c r="A50" s="28" t="s">
        <v>60</v>
      </c>
      <c r="B50" s="8">
        <v>1</v>
      </c>
      <c r="C50" s="9"/>
      <c r="D50" s="10"/>
      <c r="E50" s="11">
        <f t="shared" si="18"/>
        <v>1</v>
      </c>
      <c r="F50" s="12"/>
      <c r="G50" s="9"/>
      <c r="H50" s="10"/>
      <c r="I50" s="11">
        <f t="shared" si="19"/>
        <v>0</v>
      </c>
      <c r="J50" s="11">
        <f t="shared" si="20"/>
        <v>1</v>
      </c>
      <c r="K50" s="71">
        <v>41827</v>
      </c>
      <c r="L50" s="6" t="s">
        <v>70</v>
      </c>
      <c r="M50" s="8">
        <v>50</v>
      </c>
      <c r="N50" s="9">
        <v>80</v>
      </c>
      <c r="O50" s="10"/>
      <c r="P50" s="11">
        <f>SUM(M50:O50)</f>
        <v>130</v>
      </c>
      <c r="Q50" s="12"/>
      <c r="R50" s="9">
        <v>50</v>
      </c>
      <c r="S50" s="10"/>
      <c r="T50" s="11">
        <f>SUM(Q50:S50)</f>
        <v>50</v>
      </c>
      <c r="U50" s="11">
        <f>P50+T50</f>
        <v>180</v>
      </c>
      <c r="V50" s="65">
        <v>41845</v>
      </c>
    </row>
    <row r="51" spans="1:22" x14ac:dyDescent="0.15">
      <c r="A51" s="28" t="s">
        <v>62</v>
      </c>
      <c r="B51" s="8">
        <v>1</v>
      </c>
      <c r="C51" s="9"/>
      <c r="D51" s="10"/>
      <c r="E51" s="11">
        <f t="shared" si="18"/>
        <v>1</v>
      </c>
      <c r="F51" s="12"/>
      <c r="G51" s="9"/>
      <c r="H51" s="10"/>
      <c r="I51" s="11">
        <f t="shared" si="19"/>
        <v>0</v>
      </c>
      <c r="J51" s="11">
        <f t="shared" si="20"/>
        <v>1</v>
      </c>
      <c r="K51" s="71">
        <v>41828</v>
      </c>
      <c r="L51" s="28" t="s">
        <v>12</v>
      </c>
      <c r="M51" s="8">
        <v>50</v>
      </c>
      <c r="N51" s="9">
        <v>100</v>
      </c>
      <c r="O51" s="10"/>
      <c r="P51" s="11">
        <f>SUM(M51:O51)</f>
        <v>150</v>
      </c>
      <c r="Q51" s="12">
        <v>50</v>
      </c>
      <c r="R51" s="12">
        <v>50</v>
      </c>
      <c r="S51" s="87"/>
      <c r="T51" s="11">
        <f>SUM(Q51:S51)</f>
        <v>100</v>
      </c>
      <c r="U51" s="11">
        <f>P51+T51</f>
        <v>250</v>
      </c>
      <c r="V51" s="65">
        <v>41853</v>
      </c>
    </row>
    <row r="52" spans="1:22" x14ac:dyDescent="0.15">
      <c r="A52" s="28" t="s">
        <v>59</v>
      </c>
      <c r="B52" s="8"/>
      <c r="C52" s="9">
        <v>2</v>
      </c>
      <c r="D52" s="10"/>
      <c r="E52" s="11">
        <f t="shared" si="18"/>
        <v>2</v>
      </c>
      <c r="F52" s="12"/>
      <c r="G52" s="9"/>
      <c r="H52" s="10"/>
      <c r="I52" s="11">
        <f t="shared" si="19"/>
        <v>0</v>
      </c>
      <c r="J52" s="11">
        <f t="shared" si="20"/>
        <v>2</v>
      </c>
      <c r="K52" s="71">
        <v>41838</v>
      </c>
      <c r="L52" s="28" t="s">
        <v>15</v>
      </c>
      <c r="M52" s="17"/>
      <c r="N52" s="18"/>
      <c r="O52" s="19">
        <v>50</v>
      </c>
      <c r="P52" s="78">
        <f t="shared" si="21"/>
        <v>50</v>
      </c>
      <c r="Q52" s="21"/>
      <c r="R52" s="18"/>
      <c r="S52" s="19">
        <v>50</v>
      </c>
      <c r="T52" s="78">
        <f t="shared" si="22"/>
        <v>50</v>
      </c>
      <c r="U52" s="78">
        <f t="shared" si="23"/>
        <v>100</v>
      </c>
      <c r="V52" s="71">
        <v>41862</v>
      </c>
    </row>
    <row r="53" spans="1:22" x14ac:dyDescent="0.15">
      <c r="A53" s="28" t="s">
        <v>16</v>
      </c>
      <c r="B53" s="8">
        <v>50</v>
      </c>
      <c r="C53" s="9">
        <v>100</v>
      </c>
      <c r="D53" s="10"/>
      <c r="E53" s="11">
        <f>SUM(B53:D53)</f>
        <v>150</v>
      </c>
      <c r="F53" s="12">
        <v>50</v>
      </c>
      <c r="G53" s="12">
        <v>50</v>
      </c>
      <c r="H53" s="87"/>
      <c r="I53" s="11">
        <f>SUM(F53:H53)</f>
        <v>100</v>
      </c>
      <c r="J53" s="11">
        <f>E53+I53</f>
        <v>250</v>
      </c>
      <c r="K53" s="65">
        <v>41853</v>
      </c>
      <c r="L53" s="28" t="s">
        <v>16</v>
      </c>
      <c r="M53" s="8"/>
      <c r="N53" s="9"/>
      <c r="O53" s="10"/>
      <c r="P53" s="11">
        <f t="shared" si="21"/>
        <v>0</v>
      </c>
      <c r="Q53" s="12"/>
      <c r="R53" s="9"/>
      <c r="S53" s="10"/>
      <c r="T53" s="11">
        <f t="shared" si="22"/>
        <v>0</v>
      </c>
      <c r="U53" s="11">
        <f t="shared" si="23"/>
        <v>0</v>
      </c>
      <c r="V53" s="65"/>
    </row>
    <row r="54" spans="1:22" x14ac:dyDescent="0.15">
      <c r="A54" s="28" t="s">
        <v>62</v>
      </c>
      <c r="B54" s="88"/>
      <c r="C54" s="89"/>
      <c r="D54" s="90"/>
      <c r="E54" s="78">
        <f t="shared" si="18"/>
        <v>0</v>
      </c>
      <c r="F54" s="91">
        <v>1</v>
      </c>
      <c r="G54" s="89"/>
      <c r="H54" s="90"/>
      <c r="I54" s="78">
        <f t="shared" si="19"/>
        <v>1</v>
      </c>
      <c r="J54" s="78">
        <f t="shared" si="20"/>
        <v>1</v>
      </c>
      <c r="K54" s="71">
        <v>41858</v>
      </c>
      <c r="L54" s="28" t="s">
        <v>17</v>
      </c>
      <c r="M54" s="8"/>
      <c r="N54" s="9"/>
      <c r="O54" s="10"/>
      <c r="P54" s="11">
        <f>SUM(M54:O54)</f>
        <v>0</v>
      </c>
      <c r="Q54" s="12"/>
      <c r="R54" s="9"/>
      <c r="S54" s="10"/>
      <c r="T54" s="11">
        <f>SUM(Q54:S54)</f>
        <v>0</v>
      </c>
      <c r="U54" s="11">
        <f>P54+T54</f>
        <v>0</v>
      </c>
      <c r="V54" s="65"/>
    </row>
    <row r="55" spans="1:22" ht="14.25" thickBot="1" x14ac:dyDescent="0.2">
      <c r="A55" s="28" t="s">
        <v>18</v>
      </c>
      <c r="B55" s="36"/>
      <c r="C55" s="37"/>
      <c r="D55" s="40">
        <v>50</v>
      </c>
      <c r="E55" s="22">
        <f t="shared" si="18"/>
        <v>50</v>
      </c>
      <c r="F55" s="38"/>
      <c r="G55" s="38"/>
      <c r="H55" s="43">
        <v>50</v>
      </c>
      <c r="I55" s="22">
        <f t="shared" si="19"/>
        <v>50</v>
      </c>
      <c r="J55" s="22">
        <f t="shared" si="20"/>
        <v>100</v>
      </c>
      <c r="K55" s="65">
        <v>41862</v>
      </c>
      <c r="L55" s="28" t="s">
        <v>18</v>
      </c>
      <c r="M55" s="36"/>
      <c r="N55" s="37"/>
      <c r="O55" s="40"/>
      <c r="P55" s="22">
        <f t="shared" si="21"/>
        <v>0</v>
      </c>
      <c r="Q55" s="38"/>
      <c r="R55" s="38"/>
      <c r="S55" s="43"/>
      <c r="T55" s="22">
        <f t="shared" si="22"/>
        <v>0</v>
      </c>
      <c r="U55" s="22">
        <f t="shared" si="23"/>
        <v>0</v>
      </c>
    </row>
    <row r="56" spans="1:22" ht="14.25" thickBot="1" x14ac:dyDescent="0.2">
      <c r="A56" s="39" t="s">
        <v>20</v>
      </c>
      <c r="B56" s="32">
        <f t="shared" ref="B56:J56" si="24">SUM(B47:B55)</f>
        <v>142</v>
      </c>
      <c r="C56" s="33">
        <f t="shared" si="24"/>
        <v>159</v>
      </c>
      <c r="D56" s="34">
        <f t="shared" si="24"/>
        <v>129</v>
      </c>
      <c r="E56" s="42">
        <f t="shared" si="24"/>
        <v>430</v>
      </c>
      <c r="F56" s="32">
        <f t="shared" si="24"/>
        <v>158</v>
      </c>
      <c r="G56" s="33">
        <f t="shared" si="24"/>
        <v>157</v>
      </c>
      <c r="H56" s="34">
        <f t="shared" si="24"/>
        <v>105</v>
      </c>
      <c r="I56" s="42">
        <f t="shared" si="24"/>
        <v>420</v>
      </c>
      <c r="J56" s="42">
        <f t="shared" si="24"/>
        <v>850</v>
      </c>
      <c r="L56" s="39" t="s">
        <v>20</v>
      </c>
      <c r="M56" s="32">
        <f t="shared" ref="M56:U56" si="25">SUM(M47:M55)</f>
        <v>200</v>
      </c>
      <c r="N56" s="33">
        <f t="shared" si="25"/>
        <v>330</v>
      </c>
      <c r="O56" s="34">
        <f t="shared" si="25"/>
        <v>50</v>
      </c>
      <c r="P56" s="42">
        <f t="shared" si="25"/>
        <v>580</v>
      </c>
      <c r="Q56" s="32">
        <f t="shared" si="25"/>
        <v>150</v>
      </c>
      <c r="R56" s="33">
        <f t="shared" si="25"/>
        <v>160</v>
      </c>
      <c r="S56" s="34">
        <f t="shared" si="25"/>
        <v>50</v>
      </c>
      <c r="T56" s="42">
        <f t="shared" si="25"/>
        <v>360</v>
      </c>
      <c r="U56" s="42">
        <f t="shared" si="25"/>
        <v>940</v>
      </c>
    </row>
    <row r="57" spans="1:22" x14ac:dyDescent="0.15">
      <c r="A57" s="26" t="s">
        <v>49</v>
      </c>
      <c r="B57" s="13">
        <v>20</v>
      </c>
      <c r="C57" s="14"/>
      <c r="D57" s="15">
        <v>20</v>
      </c>
      <c r="E57" s="11">
        <f>SUM(B57:D57)</f>
        <v>40</v>
      </c>
      <c r="F57" s="16"/>
      <c r="G57" s="14"/>
      <c r="H57" s="15">
        <v>10</v>
      </c>
      <c r="I57" s="11">
        <f>SUM(F57:H57)</f>
        <v>10</v>
      </c>
      <c r="J57" s="11">
        <f>E57+I57</f>
        <v>50</v>
      </c>
      <c r="K57" s="65">
        <v>41803</v>
      </c>
      <c r="L57" s="6" t="s">
        <v>68</v>
      </c>
      <c r="M57" s="13">
        <v>50</v>
      </c>
      <c r="N57" s="14">
        <v>50</v>
      </c>
      <c r="O57" s="15"/>
      <c r="P57" s="11">
        <f>SUM(M57:O57)</f>
        <v>100</v>
      </c>
      <c r="Q57" s="16">
        <v>50</v>
      </c>
      <c r="R57" s="14">
        <v>50</v>
      </c>
      <c r="S57" s="15"/>
      <c r="T57" s="11">
        <f>SUM(Q57:S57)</f>
        <v>100</v>
      </c>
      <c r="U57" s="20">
        <f>P57+T57</f>
        <v>200</v>
      </c>
      <c r="V57" s="65">
        <v>41832</v>
      </c>
    </row>
    <row r="58" spans="1:22" x14ac:dyDescent="0.15">
      <c r="A58" s="27" t="s">
        <v>50</v>
      </c>
      <c r="B58" s="8"/>
      <c r="C58" s="9"/>
      <c r="D58" s="10"/>
      <c r="E58" s="11">
        <f>SUM(B58:D58)</f>
        <v>0</v>
      </c>
      <c r="F58" s="12"/>
      <c r="G58" s="9"/>
      <c r="H58" s="10">
        <v>1</v>
      </c>
      <c r="I58" s="11">
        <f>SUM(F58:H58)</f>
        <v>1</v>
      </c>
      <c r="J58" s="11">
        <f>E58+I58</f>
        <v>1</v>
      </c>
      <c r="K58" s="65">
        <v>41802</v>
      </c>
      <c r="L58" s="6" t="s">
        <v>69</v>
      </c>
      <c r="M58" s="8">
        <v>50</v>
      </c>
      <c r="N58" s="9">
        <v>100</v>
      </c>
      <c r="O58" s="10"/>
      <c r="P58" s="11">
        <f>SUM(M58:O58)</f>
        <v>150</v>
      </c>
      <c r="Q58" s="12">
        <v>50</v>
      </c>
      <c r="R58" s="9">
        <v>10</v>
      </c>
      <c r="S58" s="10"/>
      <c r="T58" s="11">
        <f>SUM(Q58:S58)</f>
        <v>60</v>
      </c>
      <c r="U58" s="11">
        <f>P58+T58</f>
        <v>210</v>
      </c>
      <c r="V58" s="65">
        <v>41844</v>
      </c>
    </row>
    <row r="59" spans="1:22" x14ac:dyDescent="0.15">
      <c r="A59" s="27" t="s">
        <v>65</v>
      </c>
      <c r="B59" s="8">
        <v>2</v>
      </c>
      <c r="C59" s="9"/>
      <c r="D59" s="10"/>
      <c r="E59" s="11">
        <f t="shared" ref="E59:E82" si="26">SUM(B59:D59)</f>
        <v>2</v>
      </c>
      <c r="F59" s="12"/>
      <c r="G59" s="9"/>
      <c r="H59" s="10">
        <v>1</v>
      </c>
      <c r="I59" s="11">
        <f t="shared" ref="I59:I82" si="27">SUM(F59:H59)</f>
        <v>1</v>
      </c>
      <c r="J59" s="11">
        <f t="shared" ref="J59:J82" si="28">E59+I59</f>
        <v>3</v>
      </c>
      <c r="K59" s="71">
        <v>41806</v>
      </c>
      <c r="L59" s="6" t="s">
        <v>70</v>
      </c>
      <c r="M59" s="8">
        <v>50</v>
      </c>
      <c r="N59" s="9">
        <v>80</v>
      </c>
      <c r="O59" s="10"/>
      <c r="P59" s="11">
        <f t="shared" ref="P59:P76" si="29">SUM(M59:O59)</f>
        <v>130</v>
      </c>
      <c r="Q59" s="12"/>
      <c r="R59" s="9">
        <v>50</v>
      </c>
      <c r="S59" s="10"/>
      <c r="T59" s="11">
        <f t="shared" ref="T59:T76" si="30">SUM(Q59:S59)</f>
        <v>50</v>
      </c>
      <c r="U59" s="11">
        <f t="shared" ref="U59:U76" si="31">P59+T59</f>
        <v>180</v>
      </c>
      <c r="V59" s="65">
        <v>41845</v>
      </c>
    </row>
    <row r="60" spans="1:22" x14ac:dyDescent="0.15">
      <c r="A60" s="29" t="s">
        <v>58</v>
      </c>
      <c r="B60" s="8"/>
      <c r="C60" s="9"/>
      <c r="D60" s="10"/>
      <c r="E60" s="11">
        <f t="shared" si="26"/>
        <v>0</v>
      </c>
      <c r="F60" s="12"/>
      <c r="G60" s="9">
        <v>1</v>
      </c>
      <c r="H60" s="10"/>
      <c r="I60" s="11">
        <f t="shared" si="27"/>
        <v>1</v>
      </c>
      <c r="J60" s="11">
        <f t="shared" si="28"/>
        <v>1</v>
      </c>
      <c r="K60" s="71">
        <v>41809</v>
      </c>
      <c r="L60" s="27" t="s">
        <v>23</v>
      </c>
      <c r="M60" s="8">
        <v>50</v>
      </c>
      <c r="N60" s="9">
        <v>100</v>
      </c>
      <c r="O60" s="10"/>
      <c r="P60" s="11">
        <f t="shared" si="29"/>
        <v>150</v>
      </c>
      <c r="Q60" s="12">
        <v>50</v>
      </c>
      <c r="R60" s="12">
        <v>50</v>
      </c>
      <c r="S60" s="87"/>
      <c r="T60" s="11">
        <f t="shared" si="30"/>
        <v>100</v>
      </c>
      <c r="U60" s="11">
        <f t="shared" si="31"/>
        <v>250</v>
      </c>
      <c r="V60" s="65">
        <v>41853</v>
      </c>
    </row>
    <row r="61" spans="1:22" x14ac:dyDescent="0.15">
      <c r="A61" s="27" t="s">
        <v>52</v>
      </c>
      <c r="B61" s="8"/>
      <c r="C61" s="9"/>
      <c r="D61" s="10">
        <v>1</v>
      </c>
      <c r="E61" s="11">
        <f t="shared" si="26"/>
        <v>1</v>
      </c>
      <c r="F61" s="12"/>
      <c r="G61" s="9"/>
      <c r="H61" s="10"/>
      <c r="I61" s="11">
        <f t="shared" si="27"/>
        <v>0</v>
      </c>
      <c r="J61" s="11">
        <f t="shared" si="28"/>
        <v>1</v>
      </c>
      <c r="K61" s="65">
        <v>41811</v>
      </c>
      <c r="L61" s="27" t="s">
        <v>23</v>
      </c>
      <c r="M61" s="17"/>
      <c r="N61" s="18"/>
      <c r="O61" s="19">
        <v>50</v>
      </c>
      <c r="P61" s="78">
        <f t="shared" si="29"/>
        <v>50</v>
      </c>
      <c r="Q61" s="21"/>
      <c r="R61" s="18"/>
      <c r="S61" s="19">
        <v>50</v>
      </c>
      <c r="T61" s="78">
        <f t="shared" si="30"/>
        <v>50</v>
      </c>
      <c r="U61" s="78">
        <f t="shared" si="31"/>
        <v>100</v>
      </c>
      <c r="V61" s="71">
        <v>41862</v>
      </c>
    </row>
    <row r="62" spans="1:22" x14ac:dyDescent="0.15">
      <c r="A62" s="27" t="s">
        <v>54</v>
      </c>
      <c r="B62" s="8"/>
      <c r="C62" s="9"/>
      <c r="D62" s="10">
        <v>1</v>
      </c>
      <c r="E62" s="11">
        <f t="shared" si="26"/>
        <v>1</v>
      </c>
      <c r="F62" s="12"/>
      <c r="G62" s="9"/>
      <c r="H62" s="10"/>
      <c r="I62" s="11">
        <f t="shared" si="27"/>
        <v>0</v>
      </c>
      <c r="J62" s="11">
        <f t="shared" si="28"/>
        <v>1</v>
      </c>
      <c r="K62" s="65">
        <v>41813</v>
      </c>
      <c r="L62" s="27"/>
      <c r="M62" s="8"/>
      <c r="N62" s="9"/>
      <c r="O62" s="10"/>
      <c r="P62" s="11">
        <f t="shared" si="29"/>
        <v>0</v>
      </c>
      <c r="Q62" s="12"/>
      <c r="R62" s="9"/>
      <c r="S62" s="10"/>
      <c r="T62" s="11">
        <f t="shared" si="30"/>
        <v>0</v>
      </c>
      <c r="U62" s="11">
        <f t="shared" si="31"/>
        <v>0</v>
      </c>
    </row>
    <row r="63" spans="1:22" x14ac:dyDescent="0.15">
      <c r="A63" s="29" t="s">
        <v>56</v>
      </c>
      <c r="B63" s="8"/>
      <c r="C63" s="9"/>
      <c r="D63" s="10"/>
      <c r="E63" s="11">
        <f t="shared" si="26"/>
        <v>0</v>
      </c>
      <c r="F63" s="12">
        <v>10</v>
      </c>
      <c r="G63" s="9">
        <v>10</v>
      </c>
      <c r="H63" s="10"/>
      <c r="I63" s="11">
        <f t="shared" si="27"/>
        <v>20</v>
      </c>
      <c r="J63" s="11">
        <f t="shared" si="28"/>
        <v>20</v>
      </c>
      <c r="K63" s="65">
        <v>41820</v>
      </c>
      <c r="L63" s="29"/>
      <c r="M63" s="8"/>
      <c r="N63" s="9"/>
      <c r="O63" s="10"/>
      <c r="P63" s="11">
        <f t="shared" si="29"/>
        <v>0</v>
      </c>
      <c r="Q63" s="12"/>
      <c r="R63" s="9"/>
      <c r="S63" s="10"/>
      <c r="T63" s="11">
        <f t="shared" si="30"/>
        <v>0</v>
      </c>
      <c r="U63" s="11">
        <f t="shared" si="31"/>
        <v>0</v>
      </c>
    </row>
    <row r="64" spans="1:22" x14ac:dyDescent="0.15">
      <c r="A64" s="29" t="s">
        <v>57</v>
      </c>
      <c r="B64" s="8"/>
      <c r="C64" s="9"/>
      <c r="D64" s="10"/>
      <c r="E64" s="11">
        <f t="shared" si="26"/>
        <v>0</v>
      </c>
      <c r="F64" s="12"/>
      <c r="G64" s="9">
        <v>2</v>
      </c>
      <c r="H64" s="10"/>
      <c r="I64" s="11">
        <f t="shared" si="27"/>
        <v>2</v>
      </c>
      <c r="J64" s="11">
        <f t="shared" si="28"/>
        <v>2</v>
      </c>
      <c r="K64" s="71">
        <v>41818</v>
      </c>
      <c r="L64" s="29"/>
      <c r="M64" s="8"/>
      <c r="N64" s="9"/>
      <c r="O64" s="10"/>
      <c r="P64" s="11">
        <f t="shared" si="29"/>
        <v>0</v>
      </c>
      <c r="Q64" s="12"/>
      <c r="R64" s="9"/>
      <c r="S64" s="10"/>
      <c r="T64" s="11">
        <f t="shared" si="30"/>
        <v>0</v>
      </c>
      <c r="U64" s="11">
        <f t="shared" si="31"/>
        <v>0</v>
      </c>
    </row>
    <row r="65" spans="1:22" x14ac:dyDescent="0.15">
      <c r="A65" s="29" t="s">
        <v>35</v>
      </c>
      <c r="B65" s="13"/>
      <c r="C65" s="14">
        <v>10</v>
      </c>
      <c r="D65" s="15"/>
      <c r="E65" s="11">
        <f>SUM(B65:D65)</f>
        <v>10</v>
      </c>
      <c r="F65" s="16"/>
      <c r="G65" s="14"/>
      <c r="H65" s="15"/>
      <c r="I65" s="11">
        <f>SUM(F65:H65)</f>
        <v>0</v>
      </c>
      <c r="J65" s="11">
        <f>E65+I65</f>
        <v>10</v>
      </c>
      <c r="K65" s="65">
        <v>41824</v>
      </c>
      <c r="L65" s="27"/>
      <c r="M65" s="8"/>
      <c r="N65" s="9"/>
      <c r="O65" s="10"/>
      <c r="P65" s="11">
        <f t="shared" si="29"/>
        <v>0</v>
      </c>
      <c r="Q65" s="12"/>
      <c r="R65" s="9"/>
      <c r="S65" s="10"/>
      <c r="T65" s="11">
        <f t="shared" si="30"/>
        <v>0</v>
      </c>
      <c r="U65" s="11">
        <f t="shared" si="31"/>
        <v>0</v>
      </c>
    </row>
    <row r="66" spans="1:22" x14ac:dyDescent="0.15">
      <c r="A66" s="29" t="s">
        <v>66</v>
      </c>
      <c r="B66" s="13"/>
      <c r="C66" s="14"/>
      <c r="D66" s="15"/>
      <c r="E66" s="11">
        <f t="shared" si="26"/>
        <v>0</v>
      </c>
      <c r="F66" s="16"/>
      <c r="G66" s="14">
        <v>2</v>
      </c>
      <c r="H66" s="15"/>
      <c r="I66" s="11">
        <f t="shared" si="27"/>
        <v>2</v>
      </c>
      <c r="J66" s="11">
        <f t="shared" si="28"/>
        <v>2</v>
      </c>
      <c r="K66" s="65">
        <v>41829</v>
      </c>
      <c r="L66" s="29"/>
      <c r="M66" s="13"/>
      <c r="N66" s="14"/>
      <c r="O66" s="15"/>
      <c r="P66" s="11">
        <f t="shared" si="29"/>
        <v>0</v>
      </c>
      <c r="Q66" s="16"/>
      <c r="R66" s="14"/>
      <c r="S66" s="15"/>
      <c r="T66" s="11">
        <f t="shared" si="30"/>
        <v>0</v>
      </c>
      <c r="U66" s="11">
        <f t="shared" si="31"/>
        <v>0</v>
      </c>
    </row>
    <row r="67" spans="1:22" x14ac:dyDescent="0.15">
      <c r="A67" s="29" t="s">
        <v>64</v>
      </c>
      <c r="B67" s="8">
        <v>1</v>
      </c>
      <c r="C67" s="9"/>
      <c r="D67" s="10"/>
      <c r="E67" s="11">
        <f t="shared" si="26"/>
        <v>1</v>
      </c>
      <c r="F67" s="12">
        <v>1</v>
      </c>
      <c r="G67" s="9"/>
      <c r="H67" s="10"/>
      <c r="I67" s="11">
        <f t="shared" si="27"/>
        <v>1</v>
      </c>
      <c r="J67" s="11">
        <f t="shared" si="28"/>
        <v>2</v>
      </c>
      <c r="K67" s="71">
        <v>41835</v>
      </c>
      <c r="L67" s="29"/>
      <c r="M67" s="8"/>
      <c r="N67" s="9"/>
      <c r="O67" s="10"/>
      <c r="P67" s="11">
        <f t="shared" si="29"/>
        <v>0</v>
      </c>
      <c r="Q67" s="12"/>
      <c r="R67" s="9"/>
      <c r="S67" s="10"/>
      <c r="T67" s="11">
        <f t="shared" si="30"/>
        <v>0</v>
      </c>
      <c r="U67" s="11">
        <f t="shared" si="31"/>
        <v>0</v>
      </c>
    </row>
    <row r="68" spans="1:22" x14ac:dyDescent="0.15">
      <c r="A68" s="29" t="s">
        <v>74</v>
      </c>
      <c r="B68" s="8"/>
      <c r="C68" s="9"/>
      <c r="D68" s="10">
        <v>1</v>
      </c>
      <c r="E68" s="11">
        <f t="shared" si="26"/>
        <v>1</v>
      </c>
      <c r="F68" s="12"/>
      <c r="G68" s="9"/>
      <c r="H68" s="10">
        <v>1</v>
      </c>
      <c r="I68" s="11">
        <f t="shared" si="27"/>
        <v>1</v>
      </c>
      <c r="J68" s="11">
        <f t="shared" si="28"/>
        <v>2</v>
      </c>
      <c r="K68" s="71">
        <v>41836</v>
      </c>
      <c r="L68" s="29"/>
      <c r="M68" s="8"/>
      <c r="N68" s="9"/>
      <c r="O68" s="10"/>
      <c r="P68" s="11">
        <f t="shared" si="29"/>
        <v>0</v>
      </c>
      <c r="Q68" s="12"/>
      <c r="R68" s="9"/>
      <c r="S68" s="10"/>
      <c r="T68" s="11">
        <f t="shared" si="30"/>
        <v>0</v>
      </c>
      <c r="U68" s="11">
        <f t="shared" si="31"/>
        <v>0</v>
      </c>
    </row>
    <row r="69" spans="1:22" x14ac:dyDescent="0.15">
      <c r="A69" s="27" t="s">
        <v>75</v>
      </c>
      <c r="B69" s="8">
        <v>1</v>
      </c>
      <c r="C69" s="9">
        <v>2</v>
      </c>
      <c r="D69" s="10"/>
      <c r="E69" s="11">
        <f t="shared" si="26"/>
        <v>3</v>
      </c>
      <c r="F69" s="12"/>
      <c r="G69" s="9"/>
      <c r="H69" s="10"/>
      <c r="I69" s="11">
        <f t="shared" si="27"/>
        <v>0</v>
      </c>
      <c r="J69" s="11">
        <f t="shared" si="28"/>
        <v>3</v>
      </c>
      <c r="K69" s="71">
        <v>41837</v>
      </c>
      <c r="L69" s="27"/>
      <c r="M69" s="8"/>
      <c r="N69" s="9"/>
      <c r="O69" s="10"/>
      <c r="P69" s="11">
        <f t="shared" si="29"/>
        <v>0</v>
      </c>
      <c r="Q69" s="12"/>
      <c r="R69" s="9"/>
      <c r="S69" s="10"/>
      <c r="T69" s="11">
        <f t="shared" si="30"/>
        <v>0</v>
      </c>
      <c r="U69" s="11">
        <f t="shared" si="31"/>
        <v>0</v>
      </c>
    </row>
    <row r="70" spans="1:22" x14ac:dyDescent="0.15">
      <c r="A70" s="29" t="s">
        <v>71</v>
      </c>
      <c r="B70" s="8">
        <v>10</v>
      </c>
      <c r="C70" s="9">
        <v>30</v>
      </c>
      <c r="D70" s="10"/>
      <c r="E70" s="11">
        <f t="shared" si="26"/>
        <v>40</v>
      </c>
      <c r="F70" s="12">
        <v>20</v>
      </c>
      <c r="G70" s="9">
        <v>30</v>
      </c>
      <c r="H70" s="10"/>
      <c r="I70" s="11">
        <f t="shared" si="27"/>
        <v>50</v>
      </c>
      <c r="J70" s="11">
        <f t="shared" si="28"/>
        <v>90</v>
      </c>
      <c r="K70" s="65">
        <v>41846</v>
      </c>
      <c r="L70" s="29"/>
      <c r="M70" s="8"/>
      <c r="N70" s="9"/>
      <c r="O70" s="10"/>
      <c r="P70" s="11">
        <f t="shared" si="29"/>
        <v>0</v>
      </c>
      <c r="Q70" s="12"/>
      <c r="R70" s="9"/>
      <c r="S70" s="10"/>
      <c r="T70" s="11">
        <f t="shared" si="30"/>
        <v>0</v>
      </c>
      <c r="U70" s="11">
        <f t="shared" si="31"/>
        <v>0</v>
      </c>
    </row>
    <row r="71" spans="1:22" x14ac:dyDescent="0.15">
      <c r="A71" s="29" t="s">
        <v>72</v>
      </c>
      <c r="B71" s="8"/>
      <c r="C71" s="9"/>
      <c r="D71" s="10"/>
      <c r="E71" s="11">
        <f t="shared" si="26"/>
        <v>0</v>
      </c>
      <c r="F71" s="12"/>
      <c r="G71" s="9"/>
      <c r="H71" s="10">
        <v>2</v>
      </c>
      <c r="I71" s="11">
        <f t="shared" si="27"/>
        <v>2</v>
      </c>
      <c r="J71" s="11">
        <f t="shared" si="28"/>
        <v>2</v>
      </c>
      <c r="K71" s="71">
        <v>41845</v>
      </c>
      <c r="L71" s="29"/>
      <c r="M71" s="8"/>
      <c r="N71" s="9"/>
      <c r="O71" s="10"/>
      <c r="P71" s="11">
        <f t="shared" si="29"/>
        <v>0</v>
      </c>
      <c r="Q71" s="12"/>
      <c r="R71" s="9"/>
      <c r="S71" s="10"/>
      <c r="T71" s="11">
        <f t="shared" si="30"/>
        <v>0</v>
      </c>
      <c r="U71" s="11">
        <f t="shared" si="31"/>
        <v>0</v>
      </c>
    </row>
    <row r="72" spans="1:22" x14ac:dyDescent="0.15">
      <c r="A72" s="27" t="s">
        <v>73</v>
      </c>
      <c r="B72" s="8"/>
      <c r="C72" s="9"/>
      <c r="D72" s="10"/>
      <c r="E72" s="11">
        <f t="shared" si="26"/>
        <v>0</v>
      </c>
      <c r="F72" s="12">
        <v>1</v>
      </c>
      <c r="G72" s="9"/>
      <c r="H72" s="10"/>
      <c r="I72" s="11">
        <f t="shared" si="27"/>
        <v>1</v>
      </c>
      <c r="J72" s="11">
        <f t="shared" si="28"/>
        <v>1</v>
      </c>
      <c r="K72" s="71">
        <v>41846</v>
      </c>
      <c r="L72" s="27"/>
      <c r="M72" s="8"/>
      <c r="N72" s="9"/>
      <c r="O72" s="10"/>
      <c r="P72" s="11">
        <f t="shared" si="29"/>
        <v>0</v>
      </c>
      <c r="Q72" s="12"/>
      <c r="R72" s="9"/>
      <c r="S72" s="10"/>
      <c r="T72" s="11">
        <f t="shared" si="30"/>
        <v>0</v>
      </c>
      <c r="U72" s="11">
        <f t="shared" si="31"/>
        <v>0</v>
      </c>
    </row>
    <row r="73" spans="1:22" x14ac:dyDescent="0.15">
      <c r="A73" s="27" t="s">
        <v>67</v>
      </c>
      <c r="B73" s="8"/>
      <c r="C73" s="9"/>
      <c r="D73" s="10"/>
      <c r="E73" s="11">
        <f t="shared" si="26"/>
        <v>0</v>
      </c>
      <c r="F73" s="12"/>
      <c r="G73" s="9">
        <v>1</v>
      </c>
      <c r="H73" s="10"/>
      <c r="I73" s="11">
        <f t="shared" si="27"/>
        <v>1</v>
      </c>
      <c r="J73" s="11">
        <f t="shared" si="28"/>
        <v>1</v>
      </c>
      <c r="K73" s="71">
        <v>41851</v>
      </c>
      <c r="L73" s="29"/>
      <c r="M73" s="8"/>
      <c r="N73" s="9"/>
      <c r="O73" s="10"/>
      <c r="P73" s="11">
        <f t="shared" si="29"/>
        <v>0</v>
      </c>
      <c r="Q73" s="12"/>
      <c r="R73" s="9"/>
      <c r="S73" s="10"/>
      <c r="T73" s="11">
        <f t="shared" si="30"/>
        <v>0</v>
      </c>
      <c r="U73" s="11">
        <f t="shared" si="31"/>
        <v>0</v>
      </c>
    </row>
    <row r="74" spans="1:22" x14ac:dyDescent="0.15">
      <c r="A74" s="29" t="s">
        <v>61</v>
      </c>
      <c r="B74" s="8">
        <v>30</v>
      </c>
      <c r="C74" s="9">
        <v>30</v>
      </c>
      <c r="D74" s="10">
        <v>30</v>
      </c>
      <c r="E74" s="11">
        <f>SUM(B74:D74)</f>
        <v>90</v>
      </c>
      <c r="F74" s="12">
        <v>30</v>
      </c>
      <c r="G74" s="9">
        <v>30</v>
      </c>
      <c r="H74" s="10">
        <v>30</v>
      </c>
      <c r="I74" s="11">
        <f>SUM(F74:H74)</f>
        <v>90</v>
      </c>
      <c r="J74" s="11">
        <f>E74+I74</f>
        <v>180</v>
      </c>
      <c r="K74" s="65">
        <v>41856</v>
      </c>
      <c r="L74" s="27"/>
      <c r="M74" s="8"/>
      <c r="N74" s="9"/>
      <c r="O74" s="10"/>
      <c r="P74" s="11">
        <f t="shared" si="29"/>
        <v>0</v>
      </c>
      <c r="Q74" s="12"/>
      <c r="R74" s="9"/>
      <c r="S74" s="10"/>
      <c r="T74" s="11">
        <f t="shared" si="30"/>
        <v>0</v>
      </c>
      <c r="U74" s="11">
        <f t="shared" si="31"/>
        <v>0</v>
      </c>
    </row>
    <row r="75" spans="1:22" x14ac:dyDescent="0.15">
      <c r="A75" s="26" t="s">
        <v>76</v>
      </c>
      <c r="B75" s="8">
        <v>1</v>
      </c>
      <c r="C75" s="9"/>
      <c r="D75" s="10"/>
      <c r="E75" s="11">
        <f t="shared" si="26"/>
        <v>1</v>
      </c>
      <c r="F75" s="12"/>
      <c r="G75" s="9">
        <v>1</v>
      </c>
      <c r="H75" s="10"/>
      <c r="I75" s="11">
        <f t="shared" si="27"/>
        <v>1</v>
      </c>
      <c r="J75" s="11">
        <f t="shared" si="28"/>
        <v>2</v>
      </c>
      <c r="K75" s="71">
        <v>41856</v>
      </c>
      <c r="L75" s="26"/>
      <c r="M75" s="8"/>
      <c r="N75" s="9"/>
      <c r="O75" s="10"/>
      <c r="P75" s="11">
        <f t="shared" si="29"/>
        <v>0</v>
      </c>
      <c r="Q75" s="12"/>
      <c r="R75" s="9"/>
      <c r="S75" s="10"/>
      <c r="T75" s="11">
        <f t="shared" si="30"/>
        <v>0</v>
      </c>
      <c r="U75" s="11">
        <f t="shared" si="31"/>
        <v>0</v>
      </c>
    </row>
    <row r="76" spans="1:22" x14ac:dyDescent="0.15">
      <c r="A76" s="26" t="s">
        <v>77</v>
      </c>
      <c r="B76" s="8"/>
      <c r="C76" s="9"/>
      <c r="D76" s="10">
        <v>1</v>
      </c>
      <c r="E76" s="11">
        <f t="shared" si="26"/>
        <v>1</v>
      </c>
      <c r="F76" s="12"/>
      <c r="G76" s="9"/>
      <c r="H76" s="10">
        <v>2</v>
      </c>
      <c r="I76" s="11">
        <f t="shared" si="27"/>
        <v>2</v>
      </c>
      <c r="J76" s="11">
        <f t="shared" si="28"/>
        <v>3</v>
      </c>
      <c r="K76" s="71">
        <v>41856</v>
      </c>
      <c r="L76" s="26"/>
      <c r="M76" s="8"/>
      <c r="N76" s="9"/>
      <c r="O76" s="10"/>
      <c r="P76" s="11">
        <f t="shared" si="29"/>
        <v>0</v>
      </c>
      <c r="Q76" s="12"/>
      <c r="R76" s="9"/>
      <c r="S76" s="10"/>
      <c r="T76" s="11">
        <f t="shared" si="30"/>
        <v>0</v>
      </c>
      <c r="U76" s="11">
        <f t="shared" si="31"/>
        <v>0</v>
      </c>
    </row>
    <row r="77" spans="1:22" x14ac:dyDescent="0.15">
      <c r="A77" s="26" t="s">
        <v>81</v>
      </c>
      <c r="B77" s="8"/>
      <c r="C77" s="9"/>
      <c r="D77" s="10"/>
      <c r="E77" s="11">
        <f t="shared" si="26"/>
        <v>0</v>
      </c>
      <c r="F77" s="12"/>
      <c r="G77" s="9">
        <v>1</v>
      </c>
      <c r="H77" s="10"/>
      <c r="I77" s="11">
        <f t="shared" si="27"/>
        <v>1</v>
      </c>
      <c r="J77" s="11">
        <f t="shared" si="28"/>
        <v>1</v>
      </c>
      <c r="K77" s="71">
        <v>41857</v>
      </c>
      <c r="L77" s="29"/>
      <c r="M77" s="8"/>
      <c r="N77" s="9"/>
      <c r="O77" s="10"/>
      <c r="P77" s="11">
        <f t="shared" ref="P77:P82" si="32">SUM(M77:O77)</f>
        <v>0</v>
      </c>
      <c r="Q77" s="12"/>
      <c r="R77" s="9"/>
      <c r="S77" s="10"/>
      <c r="T77" s="11">
        <f t="shared" ref="T77:T82" si="33">SUM(Q77:S77)</f>
        <v>0</v>
      </c>
      <c r="U77" s="11">
        <f t="shared" ref="U77:U82" si="34">P77+T77</f>
        <v>0</v>
      </c>
      <c r="V77" s="64"/>
    </row>
    <row r="78" spans="1:22" x14ac:dyDescent="0.15">
      <c r="A78" s="29" t="s">
        <v>78</v>
      </c>
      <c r="B78" s="13">
        <v>-3</v>
      </c>
      <c r="C78" s="14">
        <v>-2</v>
      </c>
      <c r="D78" s="15">
        <v>-4</v>
      </c>
      <c r="E78" s="11">
        <f t="shared" si="26"/>
        <v>-9</v>
      </c>
      <c r="F78" s="16">
        <v>-2</v>
      </c>
      <c r="G78" s="14"/>
      <c r="H78" s="15"/>
      <c r="I78" s="11">
        <f t="shared" si="27"/>
        <v>-2</v>
      </c>
      <c r="J78" s="11">
        <f t="shared" si="28"/>
        <v>-11</v>
      </c>
      <c r="K78" s="71">
        <v>41858</v>
      </c>
      <c r="L78" s="29"/>
      <c r="M78" s="8"/>
      <c r="N78" s="9"/>
      <c r="O78" s="10"/>
      <c r="P78" s="11">
        <f t="shared" si="32"/>
        <v>0</v>
      </c>
      <c r="Q78" s="12"/>
      <c r="R78" s="9"/>
      <c r="S78" s="10"/>
      <c r="T78" s="11">
        <f t="shared" si="33"/>
        <v>0</v>
      </c>
      <c r="U78" s="11">
        <f t="shared" si="34"/>
        <v>0</v>
      </c>
      <c r="V78" s="65"/>
    </row>
    <row r="79" spans="1:22" x14ac:dyDescent="0.15">
      <c r="A79" s="27" t="s">
        <v>79</v>
      </c>
      <c r="B79" s="8">
        <v>1</v>
      </c>
      <c r="C79" s="9"/>
      <c r="D79" s="10"/>
      <c r="E79" s="11">
        <f t="shared" si="26"/>
        <v>1</v>
      </c>
      <c r="F79" s="12">
        <v>1</v>
      </c>
      <c r="G79" s="9">
        <v>1</v>
      </c>
      <c r="H79" s="10"/>
      <c r="I79" s="11">
        <f t="shared" si="27"/>
        <v>2</v>
      </c>
      <c r="J79" s="11">
        <f t="shared" si="28"/>
        <v>3</v>
      </c>
      <c r="K79" s="71">
        <v>41859</v>
      </c>
      <c r="L79" s="6"/>
      <c r="M79" s="13"/>
      <c r="N79" s="14"/>
      <c r="O79" s="15"/>
      <c r="P79" s="11">
        <f t="shared" si="32"/>
        <v>0</v>
      </c>
      <c r="Q79" s="16"/>
      <c r="R79" s="14"/>
      <c r="S79" s="15"/>
      <c r="T79" s="11">
        <f t="shared" si="33"/>
        <v>0</v>
      </c>
      <c r="U79" s="11">
        <f t="shared" si="34"/>
        <v>0</v>
      </c>
      <c r="V79" s="65"/>
    </row>
    <row r="80" spans="1:22" x14ac:dyDescent="0.15">
      <c r="A80" s="29" t="s">
        <v>80</v>
      </c>
      <c r="B80" s="8">
        <v>1</v>
      </c>
      <c r="C80" s="9"/>
      <c r="D80" s="10"/>
      <c r="E80" s="11">
        <f t="shared" si="26"/>
        <v>1</v>
      </c>
      <c r="F80" s="12"/>
      <c r="G80" s="9"/>
      <c r="H80" s="10"/>
      <c r="I80" s="11">
        <f t="shared" si="27"/>
        <v>0</v>
      </c>
      <c r="J80" s="11">
        <f t="shared" si="28"/>
        <v>1</v>
      </c>
      <c r="K80" s="71">
        <v>41862</v>
      </c>
      <c r="L80" s="29"/>
      <c r="M80" s="13"/>
      <c r="N80" s="14"/>
      <c r="O80" s="15"/>
      <c r="P80" s="11">
        <f t="shared" si="32"/>
        <v>0</v>
      </c>
      <c r="Q80" s="16"/>
      <c r="R80" s="14"/>
      <c r="S80" s="15"/>
      <c r="T80" s="11">
        <f t="shared" si="33"/>
        <v>0</v>
      </c>
      <c r="U80" s="78">
        <f t="shared" si="34"/>
        <v>0</v>
      </c>
      <c r="V80" s="65"/>
    </row>
    <row r="81" spans="1:22" x14ac:dyDescent="0.15">
      <c r="A81" s="29" t="s">
        <v>82</v>
      </c>
      <c r="B81" s="8"/>
      <c r="C81" s="9"/>
      <c r="D81" s="10"/>
      <c r="E81" s="11">
        <f t="shared" si="26"/>
        <v>0</v>
      </c>
      <c r="F81" s="12"/>
      <c r="G81" s="9">
        <v>1</v>
      </c>
      <c r="H81" s="10"/>
      <c r="I81" s="11">
        <f t="shared" si="27"/>
        <v>1</v>
      </c>
      <c r="J81" s="11">
        <f t="shared" si="28"/>
        <v>1</v>
      </c>
      <c r="K81" s="65">
        <v>41859</v>
      </c>
      <c r="L81" s="29"/>
      <c r="M81" s="8"/>
      <c r="N81" s="9"/>
      <c r="O81" s="10"/>
      <c r="P81" s="11">
        <f t="shared" si="32"/>
        <v>0</v>
      </c>
      <c r="Q81" s="12"/>
      <c r="R81" s="9"/>
      <c r="S81" s="10"/>
      <c r="T81" s="11">
        <f t="shared" si="33"/>
        <v>0</v>
      </c>
      <c r="U81" s="11">
        <f t="shared" si="34"/>
        <v>0</v>
      </c>
      <c r="V81" s="65"/>
    </row>
    <row r="82" spans="1:22" ht="14.25" thickBot="1" x14ac:dyDescent="0.2">
      <c r="A82" s="29"/>
      <c r="B82" s="13"/>
      <c r="C82" s="14"/>
      <c r="D82" s="15"/>
      <c r="E82" s="11">
        <f t="shared" si="26"/>
        <v>0</v>
      </c>
      <c r="F82" s="16"/>
      <c r="G82" s="14"/>
      <c r="H82" s="15"/>
      <c r="I82" s="11">
        <f t="shared" si="27"/>
        <v>0</v>
      </c>
      <c r="J82" s="11">
        <f t="shared" si="28"/>
        <v>0</v>
      </c>
      <c r="K82" s="65"/>
      <c r="L82" s="29"/>
      <c r="M82" s="8"/>
      <c r="N82" s="9"/>
      <c r="O82" s="10"/>
      <c r="P82" s="11">
        <f t="shared" si="32"/>
        <v>0</v>
      </c>
      <c r="Q82" s="12"/>
      <c r="R82" s="9"/>
      <c r="S82" s="10"/>
      <c r="T82" s="11">
        <f t="shared" si="33"/>
        <v>0</v>
      </c>
      <c r="U82" s="11">
        <f t="shared" si="34"/>
        <v>0</v>
      </c>
      <c r="V82" s="65"/>
    </row>
    <row r="83" spans="1:22" ht="14.25" thickBot="1" x14ac:dyDescent="0.2">
      <c r="A83" s="44" t="s">
        <v>13</v>
      </c>
      <c r="B83" s="48">
        <f t="shared" ref="B83:I83" si="35">SUM(B57:B82)</f>
        <v>64</v>
      </c>
      <c r="C83" s="49">
        <f t="shared" si="35"/>
        <v>70</v>
      </c>
      <c r="D83" s="50">
        <f t="shared" si="35"/>
        <v>50</v>
      </c>
      <c r="E83" s="46">
        <f t="shared" si="35"/>
        <v>184</v>
      </c>
      <c r="F83" s="48">
        <f t="shared" si="35"/>
        <v>61</v>
      </c>
      <c r="G83" s="49">
        <f t="shared" si="35"/>
        <v>80</v>
      </c>
      <c r="H83" s="50">
        <f t="shared" si="35"/>
        <v>47</v>
      </c>
      <c r="I83" s="46">
        <f t="shared" si="35"/>
        <v>188</v>
      </c>
      <c r="J83" s="35">
        <f>E83+I83</f>
        <v>372</v>
      </c>
      <c r="L83" s="44" t="s">
        <v>13</v>
      </c>
      <c r="M83" s="48">
        <f t="shared" ref="M83:T83" si="36">SUM(M57:M82)</f>
        <v>200</v>
      </c>
      <c r="N83" s="49">
        <f t="shared" si="36"/>
        <v>330</v>
      </c>
      <c r="O83" s="50">
        <f t="shared" si="36"/>
        <v>50</v>
      </c>
      <c r="P83" s="46">
        <f t="shared" si="36"/>
        <v>580</v>
      </c>
      <c r="Q83" s="48">
        <f t="shared" si="36"/>
        <v>150</v>
      </c>
      <c r="R83" s="49">
        <f t="shared" si="36"/>
        <v>160</v>
      </c>
      <c r="S83" s="50">
        <f t="shared" si="36"/>
        <v>50</v>
      </c>
      <c r="T83" s="46">
        <f t="shared" si="36"/>
        <v>360</v>
      </c>
      <c r="U83" s="35">
        <f>P83+T83</f>
        <v>940</v>
      </c>
    </row>
    <row r="84" spans="1:22" ht="14.25" thickBot="1" x14ac:dyDescent="0.2">
      <c r="A84" s="23" t="s">
        <v>14</v>
      </c>
      <c r="B84" s="24">
        <f t="shared" ref="B84:J84" si="37">B56-B83</f>
        <v>78</v>
      </c>
      <c r="C84" s="25">
        <f t="shared" si="37"/>
        <v>89</v>
      </c>
      <c r="D84" s="30">
        <f t="shared" si="37"/>
        <v>79</v>
      </c>
      <c r="E84" s="51">
        <f t="shared" si="37"/>
        <v>246</v>
      </c>
      <c r="F84" s="24">
        <f t="shared" si="37"/>
        <v>97</v>
      </c>
      <c r="G84" s="25">
        <f t="shared" si="37"/>
        <v>77</v>
      </c>
      <c r="H84" s="30">
        <f t="shared" si="37"/>
        <v>58</v>
      </c>
      <c r="I84" s="47">
        <f t="shared" si="37"/>
        <v>232</v>
      </c>
      <c r="J84" s="79">
        <f t="shared" si="37"/>
        <v>478</v>
      </c>
      <c r="L84" s="23" t="s">
        <v>14</v>
      </c>
      <c r="M84" s="24">
        <f t="shared" ref="M84:U84" si="38">M56-M83</f>
        <v>0</v>
      </c>
      <c r="N84" s="25">
        <f t="shared" si="38"/>
        <v>0</v>
      </c>
      <c r="O84" s="30">
        <f t="shared" si="38"/>
        <v>0</v>
      </c>
      <c r="P84" s="51">
        <f t="shared" si="38"/>
        <v>0</v>
      </c>
      <c r="Q84" s="24">
        <f t="shared" si="38"/>
        <v>0</v>
      </c>
      <c r="R84" s="25">
        <f t="shared" si="38"/>
        <v>0</v>
      </c>
      <c r="S84" s="30">
        <f t="shared" si="38"/>
        <v>0</v>
      </c>
      <c r="T84" s="47">
        <f t="shared" si="38"/>
        <v>0</v>
      </c>
      <c r="U84" s="79">
        <f t="shared" si="38"/>
        <v>0</v>
      </c>
    </row>
    <row r="87" spans="1:22" ht="19.5" thickBot="1" x14ac:dyDescent="0.25">
      <c r="A87" s="2" t="s">
        <v>21</v>
      </c>
      <c r="B87" s="1"/>
      <c r="C87" s="1"/>
      <c r="D87" s="1"/>
      <c r="E87" s="1"/>
      <c r="F87" s="1"/>
      <c r="G87" s="1"/>
      <c r="H87" s="1"/>
      <c r="I87" s="1"/>
      <c r="J87" s="1"/>
      <c r="L87" s="93" t="s">
        <v>90</v>
      </c>
      <c r="M87" s="94"/>
      <c r="N87" s="94"/>
      <c r="O87" s="94"/>
      <c r="P87" s="1"/>
      <c r="Q87" s="1"/>
      <c r="R87" s="1"/>
      <c r="S87" s="1"/>
      <c r="T87" s="1"/>
      <c r="U87" s="1"/>
    </row>
    <row r="88" spans="1:22" ht="14.25" thickBot="1" x14ac:dyDescent="0.2">
      <c r="A88" s="7" t="s">
        <v>0</v>
      </c>
      <c r="B88" s="168" t="s">
        <v>1</v>
      </c>
      <c r="C88" s="169"/>
      <c r="D88" s="169"/>
      <c r="E88" s="170"/>
      <c r="F88" s="168" t="s">
        <v>2</v>
      </c>
      <c r="G88" s="169"/>
      <c r="H88" s="169"/>
      <c r="I88" s="171"/>
      <c r="J88" s="172" t="s">
        <v>3</v>
      </c>
      <c r="L88" s="7" t="s">
        <v>0</v>
      </c>
      <c r="M88" s="168" t="s">
        <v>1</v>
      </c>
      <c r="N88" s="169"/>
      <c r="O88" s="169"/>
      <c r="P88" s="170"/>
      <c r="Q88" s="168" t="s">
        <v>2</v>
      </c>
      <c r="R88" s="169"/>
      <c r="S88" s="169"/>
      <c r="T88" s="171"/>
      <c r="U88" s="172" t="s">
        <v>3</v>
      </c>
    </row>
    <row r="89" spans="1:22" ht="14.25" thickBot="1" x14ac:dyDescent="0.2">
      <c r="A89" s="7" t="s">
        <v>4</v>
      </c>
      <c r="B89" s="3" t="s">
        <v>5</v>
      </c>
      <c r="C89" s="4" t="s">
        <v>6</v>
      </c>
      <c r="D89" s="5" t="s">
        <v>7</v>
      </c>
      <c r="E89" s="7" t="s">
        <v>8</v>
      </c>
      <c r="F89" s="3" t="s">
        <v>5</v>
      </c>
      <c r="G89" s="4" t="s">
        <v>6</v>
      </c>
      <c r="H89" s="5" t="s">
        <v>7</v>
      </c>
      <c r="I89" s="7" t="s">
        <v>8</v>
      </c>
      <c r="J89" s="173"/>
      <c r="L89" s="7" t="s">
        <v>4</v>
      </c>
      <c r="M89" s="3" t="s">
        <v>5</v>
      </c>
      <c r="N89" s="4" t="s">
        <v>6</v>
      </c>
      <c r="O89" s="5" t="s">
        <v>7</v>
      </c>
      <c r="P89" s="7" t="s">
        <v>8</v>
      </c>
      <c r="Q89" s="3" t="s">
        <v>5</v>
      </c>
      <c r="R89" s="4" t="s">
        <v>6</v>
      </c>
      <c r="S89" s="5" t="s">
        <v>7</v>
      </c>
      <c r="T89" s="7" t="s">
        <v>8</v>
      </c>
      <c r="U89" s="173"/>
    </row>
    <row r="90" spans="1:22" ht="14.25" thickBot="1" x14ac:dyDescent="0.2">
      <c r="A90" s="31" t="s">
        <v>14</v>
      </c>
      <c r="B90" s="32">
        <f>B84</f>
        <v>78</v>
      </c>
      <c r="C90" s="33">
        <f>C84</f>
        <v>89</v>
      </c>
      <c r="D90" s="34">
        <f>D84</f>
        <v>79</v>
      </c>
      <c r="E90" s="41">
        <f>SUM(B90:D90)</f>
        <v>246</v>
      </c>
      <c r="F90" s="32">
        <f>F84</f>
        <v>97</v>
      </c>
      <c r="G90" s="33">
        <f>G84</f>
        <v>77</v>
      </c>
      <c r="H90" s="34">
        <f>H84</f>
        <v>58</v>
      </c>
      <c r="I90" s="41">
        <f>SUM(F90:H90)</f>
        <v>232</v>
      </c>
      <c r="J90" s="41">
        <f>E90+I90</f>
        <v>478</v>
      </c>
      <c r="L90" s="31" t="s">
        <v>14</v>
      </c>
      <c r="M90" s="32">
        <f>M84</f>
        <v>0</v>
      </c>
      <c r="N90" s="33">
        <f>N84</f>
        <v>0</v>
      </c>
      <c r="O90" s="34">
        <f>O84</f>
        <v>0</v>
      </c>
      <c r="P90" s="35">
        <f>SUM(M90:O90)</f>
        <v>0</v>
      </c>
      <c r="Q90" s="32">
        <f>Q84</f>
        <v>0</v>
      </c>
      <c r="R90" s="33">
        <f>R84</f>
        <v>0</v>
      </c>
      <c r="S90" s="34">
        <f>S84</f>
        <v>0</v>
      </c>
      <c r="T90" s="35">
        <f>SUM(Q90:S90)</f>
        <v>0</v>
      </c>
      <c r="U90" s="41">
        <f>P90+T90</f>
        <v>0</v>
      </c>
    </row>
    <row r="91" spans="1:22" x14ac:dyDescent="0.15">
      <c r="A91" s="28" t="s">
        <v>59</v>
      </c>
      <c r="B91" s="17"/>
      <c r="C91" s="18"/>
      <c r="D91" s="19"/>
      <c r="E91" s="20">
        <f t="shared" ref="E91:E98" si="39">SUM(B91:D91)</f>
        <v>0</v>
      </c>
      <c r="F91" s="21">
        <v>1</v>
      </c>
      <c r="G91" s="18">
        <v>2</v>
      </c>
      <c r="H91" s="19"/>
      <c r="I91" s="20">
        <f t="shared" ref="I91:I98" si="40">SUM(F91:H91)</f>
        <v>3</v>
      </c>
      <c r="J91" s="20">
        <f t="shared" ref="J91:J98" si="41">E91+I91</f>
        <v>3</v>
      </c>
      <c r="K91" s="65">
        <v>41872</v>
      </c>
      <c r="L91" s="28" t="s">
        <v>9</v>
      </c>
      <c r="M91" s="17">
        <v>550</v>
      </c>
      <c r="N91" s="18">
        <v>600</v>
      </c>
      <c r="O91" s="19">
        <v>300</v>
      </c>
      <c r="P91" s="78">
        <f>SUM(M91:O91)</f>
        <v>1450</v>
      </c>
      <c r="Q91" s="21">
        <v>100</v>
      </c>
      <c r="R91" s="18">
        <v>200</v>
      </c>
      <c r="S91" s="19">
        <v>200</v>
      </c>
      <c r="T91" s="78">
        <f>SUM(Q91:S91)</f>
        <v>500</v>
      </c>
      <c r="U91" s="11">
        <f>P91+T91</f>
        <v>1950</v>
      </c>
      <c r="V91" s="65">
        <v>41883</v>
      </c>
    </row>
    <row r="92" spans="1:22" x14ac:dyDescent="0.15">
      <c r="A92" s="28" t="s">
        <v>10</v>
      </c>
      <c r="B92" s="8">
        <v>250</v>
      </c>
      <c r="C92" s="9">
        <v>300</v>
      </c>
      <c r="D92" s="10">
        <v>200</v>
      </c>
      <c r="E92" s="11">
        <f t="shared" si="39"/>
        <v>750</v>
      </c>
      <c r="F92" s="12">
        <v>50</v>
      </c>
      <c r="G92" s="9">
        <v>100</v>
      </c>
      <c r="H92" s="10">
        <v>100</v>
      </c>
      <c r="I92" s="11">
        <f t="shared" si="40"/>
        <v>250</v>
      </c>
      <c r="J92" s="11">
        <f t="shared" si="41"/>
        <v>1000</v>
      </c>
      <c r="K92" s="65">
        <v>41881</v>
      </c>
      <c r="L92" s="28" t="s">
        <v>10</v>
      </c>
      <c r="M92" s="8"/>
      <c r="N92" s="9"/>
      <c r="O92" s="10"/>
      <c r="P92" s="11">
        <f t="shared" ref="P92:P98" si="42">SUM(M92:O92)</f>
        <v>0</v>
      </c>
      <c r="Q92" s="12"/>
      <c r="R92" s="9"/>
      <c r="S92" s="10"/>
      <c r="T92" s="11">
        <f t="shared" ref="T92:T98" si="43">SUM(Q92:S92)</f>
        <v>0</v>
      </c>
      <c r="U92" s="11">
        <f t="shared" ref="U92:U98" si="44">P92+T92</f>
        <v>0</v>
      </c>
      <c r="V92" s="65"/>
    </row>
    <row r="93" spans="1:22" x14ac:dyDescent="0.15">
      <c r="A93" s="28" t="s">
        <v>59</v>
      </c>
      <c r="B93" s="8"/>
      <c r="C93" s="9">
        <v>2</v>
      </c>
      <c r="D93" s="10">
        <v>1</v>
      </c>
      <c r="E93" s="11">
        <f t="shared" si="39"/>
        <v>3</v>
      </c>
      <c r="F93" s="12"/>
      <c r="G93" s="9"/>
      <c r="H93" s="10"/>
      <c r="I93" s="11">
        <f t="shared" si="40"/>
        <v>0</v>
      </c>
      <c r="J93" s="11">
        <f t="shared" si="41"/>
        <v>3</v>
      </c>
      <c r="K93" s="71">
        <v>41880</v>
      </c>
      <c r="L93" s="28" t="s">
        <v>11</v>
      </c>
      <c r="M93" s="8"/>
      <c r="N93" s="9"/>
      <c r="O93" s="10"/>
      <c r="P93" s="11">
        <f t="shared" si="42"/>
        <v>0</v>
      </c>
      <c r="Q93" s="12"/>
      <c r="R93" s="9"/>
      <c r="S93" s="10"/>
      <c r="T93" s="11">
        <f t="shared" si="43"/>
        <v>0</v>
      </c>
      <c r="U93" s="11">
        <f t="shared" si="44"/>
        <v>0</v>
      </c>
      <c r="V93" s="65"/>
    </row>
    <row r="94" spans="1:22" x14ac:dyDescent="0.15">
      <c r="A94" s="28" t="s">
        <v>12</v>
      </c>
      <c r="B94" s="8">
        <v>50</v>
      </c>
      <c r="C94" s="9">
        <v>50</v>
      </c>
      <c r="D94" s="10">
        <v>50</v>
      </c>
      <c r="E94" s="11">
        <f t="shared" si="39"/>
        <v>150</v>
      </c>
      <c r="F94" s="12"/>
      <c r="G94" s="9"/>
      <c r="H94" s="10"/>
      <c r="I94" s="11">
        <f t="shared" si="40"/>
        <v>0</v>
      </c>
      <c r="J94" s="11">
        <f t="shared" si="41"/>
        <v>150</v>
      </c>
      <c r="K94" s="65">
        <v>41888</v>
      </c>
      <c r="L94" s="28" t="s">
        <v>12</v>
      </c>
      <c r="M94" s="8"/>
      <c r="N94" s="9"/>
      <c r="O94" s="10"/>
      <c r="P94" s="11">
        <f t="shared" si="42"/>
        <v>0</v>
      </c>
      <c r="Q94" s="12"/>
      <c r="R94" s="9"/>
      <c r="S94" s="10"/>
      <c r="T94" s="11">
        <f t="shared" si="43"/>
        <v>0</v>
      </c>
      <c r="U94" s="11">
        <f t="shared" si="44"/>
        <v>0</v>
      </c>
    </row>
    <row r="95" spans="1:22" x14ac:dyDescent="0.15">
      <c r="A95" s="28" t="s">
        <v>104</v>
      </c>
      <c r="B95" s="8">
        <v>5</v>
      </c>
      <c r="C95" s="9">
        <v>27</v>
      </c>
      <c r="D95" s="10"/>
      <c r="E95" s="11">
        <f t="shared" si="39"/>
        <v>32</v>
      </c>
      <c r="F95" s="12">
        <v>28</v>
      </c>
      <c r="G95" s="9">
        <v>51</v>
      </c>
      <c r="H95" s="10"/>
      <c r="I95" s="11">
        <f t="shared" si="40"/>
        <v>79</v>
      </c>
      <c r="J95" s="11">
        <f t="shared" si="41"/>
        <v>111</v>
      </c>
      <c r="K95" s="71">
        <v>41887</v>
      </c>
      <c r="L95" s="28" t="s">
        <v>15</v>
      </c>
      <c r="M95" s="8"/>
      <c r="N95" s="9"/>
      <c r="O95" s="10"/>
      <c r="P95" s="11">
        <f t="shared" si="42"/>
        <v>0</v>
      </c>
      <c r="Q95" s="12"/>
      <c r="R95" s="9"/>
      <c r="S95" s="10"/>
      <c r="T95" s="11">
        <f t="shared" si="43"/>
        <v>0</v>
      </c>
      <c r="U95" s="11">
        <f t="shared" si="44"/>
        <v>0</v>
      </c>
    </row>
    <row r="96" spans="1:22" x14ac:dyDescent="0.15">
      <c r="A96" s="28" t="s">
        <v>16</v>
      </c>
      <c r="B96" s="8"/>
      <c r="C96" s="9"/>
      <c r="D96" s="10"/>
      <c r="E96" s="11">
        <f t="shared" si="39"/>
        <v>0</v>
      </c>
      <c r="F96" s="12"/>
      <c r="G96" s="9"/>
      <c r="H96" s="10">
        <v>50</v>
      </c>
      <c r="I96" s="11">
        <f t="shared" si="40"/>
        <v>50</v>
      </c>
      <c r="J96" s="11">
        <f t="shared" si="41"/>
        <v>50</v>
      </c>
      <c r="K96" s="65">
        <v>41900</v>
      </c>
      <c r="L96" s="28" t="s">
        <v>16</v>
      </c>
      <c r="M96" s="8"/>
      <c r="N96" s="9"/>
      <c r="O96" s="10"/>
      <c r="P96" s="11">
        <f t="shared" si="42"/>
        <v>0</v>
      </c>
      <c r="Q96" s="12"/>
      <c r="R96" s="9"/>
      <c r="S96" s="10"/>
      <c r="T96" s="11">
        <f t="shared" si="43"/>
        <v>0</v>
      </c>
      <c r="U96" s="11">
        <f t="shared" si="44"/>
        <v>0</v>
      </c>
    </row>
    <row r="97" spans="1:22" x14ac:dyDescent="0.15">
      <c r="A97" s="28" t="s">
        <v>17</v>
      </c>
      <c r="B97" s="13"/>
      <c r="C97" s="14"/>
      <c r="D97" s="15"/>
      <c r="E97" s="11">
        <f t="shared" si="39"/>
        <v>0</v>
      </c>
      <c r="F97" s="16"/>
      <c r="G97" s="14"/>
      <c r="H97" s="15"/>
      <c r="I97" s="11">
        <f t="shared" si="40"/>
        <v>0</v>
      </c>
      <c r="J97" s="11">
        <f t="shared" si="41"/>
        <v>0</v>
      </c>
      <c r="K97" s="65"/>
      <c r="L97" s="28" t="s">
        <v>17</v>
      </c>
      <c r="M97" s="13"/>
      <c r="N97" s="14"/>
      <c r="O97" s="15"/>
      <c r="P97" s="11">
        <f t="shared" si="42"/>
        <v>0</v>
      </c>
      <c r="Q97" s="16"/>
      <c r="R97" s="14"/>
      <c r="S97" s="15"/>
      <c r="T97" s="11">
        <f t="shared" si="43"/>
        <v>0</v>
      </c>
      <c r="U97" s="11">
        <f t="shared" si="44"/>
        <v>0</v>
      </c>
    </row>
    <row r="98" spans="1:22" ht="14.25" thickBot="1" x14ac:dyDescent="0.2">
      <c r="A98" s="28" t="s">
        <v>18</v>
      </c>
      <c r="B98" s="36"/>
      <c r="C98" s="37"/>
      <c r="D98" s="40"/>
      <c r="E98" s="22">
        <f t="shared" si="39"/>
        <v>0</v>
      </c>
      <c r="F98" s="38"/>
      <c r="G98" s="38"/>
      <c r="H98" s="43"/>
      <c r="I98" s="22">
        <f t="shared" si="40"/>
        <v>0</v>
      </c>
      <c r="J98" s="22">
        <f t="shared" si="41"/>
        <v>0</v>
      </c>
      <c r="L98" s="28" t="s">
        <v>18</v>
      </c>
      <c r="M98" s="36"/>
      <c r="N98" s="37"/>
      <c r="O98" s="40"/>
      <c r="P98" s="22">
        <f t="shared" si="42"/>
        <v>0</v>
      </c>
      <c r="Q98" s="38"/>
      <c r="R98" s="38"/>
      <c r="S98" s="43"/>
      <c r="T98" s="22">
        <f t="shared" si="43"/>
        <v>0</v>
      </c>
      <c r="U98" s="22">
        <f t="shared" si="44"/>
        <v>0</v>
      </c>
    </row>
    <row r="99" spans="1:22" ht="14.25" thickBot="1" x14ac:dyDescent="0.2">
      <c r="A99" s="39" t="s">
        <v>20</v>
      </c>
      <c r="B99" s="32">
        <f t="shared" ref="B99:J99" si="45">SUM(B90:B98)</f>
        <v>383</v>
      </c>
      <c r="C99" s="33">
        <f t="shared" si="45"/>
        <v>468</v>
      </c>
      <c r="D99" s="34">
        <f t="shared" si="45"/>
        <v>330</v>
      </c>
      <c r="E99" s="42">
        <f t="shared" si="45"/>
        <v>1181</v>
      </c>
      <c r="F99" s="32">
        <f t="shared" si="45"/>
        <v>176</v>
      </c>
      <c r="G99" s="33">
        <f t="shared" si="45"/>
        <v>230</v>
      </c>
      <c r="H99" s="34">
        <f t="shared" si="45"/>
        <v>208</v>
      </c>
      <c r="I99" s="42">
        <f t="shared" si="45"/>
        <v>614</v>
      </c>
      <c r="J99" s="42">
        <f t="shared" si="45"/>
        <v>1795</v>
      </c>
      <c r="L99" s="39" t="s">
        <v>20</v>
      </c>
      <c r="M99" s="32">
        <f t="shared" ref="M99:U99" si="46">SUM(M90:M98)</f>
        <v>550</v>
      </c>
      <c r="N99" s="33">
        <f t="shared" si="46"/>
        <v>600</v>
      </c>
      <c r="O99" s="34">
        <f t="shared" si="46"/>
        <v>300</v>
      </c>
      <c r="P99" s="42">
        <f t="shared" si="46"/>
        <v>1450</v>
      </c>
      <c r="Q99" s="32">
        <f t="shared" si="46"/>
        <v>100</v>
      </c>
      <c r="R99" s="33">
        <f t="shared" si="46"/>
        <v>200</v>
      </c>
      <c r="S99" s="34">
        <f t="shared" si="46"/>
        <v>200</v>
      </c>
      <c r="T99" s="42">
        <f t="shared" si="46"/>
        <v>500</v>
      </c>
      <c r="U99" s="42">
        <f t="shared" si="46"/>
        <v>1950</v>
      </c>
    </row>
    <row r="100" spans="1:22" x14ac:dyDescent="0.15">
      <c r="A100" s="26" t="s">
        <v>84</v>
      </c>
      <c r="B100" s="13">
        <v>12</v>
      </c>
      <c r="C100" s="14">
        <v>10</v>
      </c>
      <c r="D100" s="15">
        <v>7</v>
      </c>
      <c r="E100" s="11">
        <f>SUM(B100:D100)</f>
        <v>29</v>
      </c>
      <c r="F100" s="16">
        <v>10</v>
      </c>
      <c r="G100" s="14">
        <v>4</v>
      </c>
      <c r="H100" s="15">
        <v>3</v>
      </c>
      <c r="I100" s="11">
        <f>SUM(F100:H100)</f>
        <v>17</v>
      </c>
      <c r="J100" s="11">
        <f>E100+I100</f>
        <v>46</v>
      </c>
      <c r="K100" s="65">
        <v>41863</v>
      </c>
      <c r="L100" s="6" t="s">
        <v>23</v>
      </c>
      <c r="M100" s="13">
        <v>250</v>
      </c>
      <c r="N100" s="14">
        <v>300</v>
      </c>
      <c r="O100" s="15">
        <v>200</v>
      </c>
      <c r="P100" s="11">
        <f>SUM(M100:O100)</f>
        <v>750</v>
      </c>
      <c r="Q100" s="16">
        <v>50</v>
      </c>
      <c r="R100" s="14">
        <v>100</v>
      </c>
      <c r="S100" s="15">
        <v>100</v>
      </c>
      <c r="T100" s="11">
        <f>SUM(Q100:S100)</f>
        <v>250</v>
      </c>
      <c r="U100" s="11">
        <f>P100+T100</f>
        <v>1000</v>
      </c>
      <c r="V100" s="65">
        <v>41881</v>
      </c>
    </row>
    <row r="101" spans="1:22" x14ac:dyDescent="0.15">
      <c r="A101" s="29" t="s">
        <v>61</v>
      </c>
      <c r="B101" s="13"/>
      <c r="C101" s="14">
        <v>36</v>
      </c>
      <c r="D101" s="15"/>
      <c r="E101" s="11">
        <f>SUM(B101:D101)</f>
        <v>36</v>
      </c>
      <c r="F101" s="16"/>
      <c r="G101" s="14"/>
      <c r="H101" s="15"/>
      <c r="I101" s="11">
        <f>SUM(F101:H101)</f>
        <v>0</v>
      </c>
      <c r="J101" s="11">
        <f>E101+I101</f>
        <v>36</v>
      </c>
      <c r="K101" s="65">
        <v>41872</v>
      </c>
      <c r="L101" s="6" t="s">
        <v>101</v>
      </c>
      <c r="M101" s="8">
        <v>55</v>
      </c>
      <c r="N101" s="9">
        <v>105</v>
      </c>
      <c r="O101" s="10">
        <v>8</v>
      </c>
      <c r="P101" s="11">
        <f>SUM(M101:O101)</f>
        <v>168</v>
      </c>
      <c r="Q101" s="12">
        <v>5</v>
      </c>
      <c r="R101" s="9">
        <v>5</v>
      </c>
      <c r="S101" s="10">
        <v>5</v>
      </c>
      <c r="T101" s="11">
        <f>SUM(Q101:S101)</f>
        <v>15</v>
      </c>
      <c r="U101" s="11">
        <f>P101+T101</f>
        <v>183</v>
      </c>
      <c r="V101" s="65">
        <v>41884</v>
      </c>
    </row>
    <row r="102" spans="1:22" x14ac:dyDescent="0.15">
      <c r="A102" s="6" t="s">
        <v>85</v>
      </c>
      <c r="B102" s="8">
        <v>1</v>
      </c>
      <c r="C102" s="9"/>
      <c r="D102" s="10"/>
      <c r="E102" s="11">
        <f t="shared" ref="E102:E125" si="47">SUM(B102:D102)</f>
        <v>1</v>
      </c>
      <c r="F102" s="12"/>
      <c r="G102" s="9"/>
      <c r="H102" s="10"/>
      <c r="I102" s="11">
        <f t="shared" ref="I102:I125" si="48">SUM(F102:H102)</f>
        <v>0</v>
      </c>
      <c r="J102" s="11">
        <f t="shared" ref="J102:J125" si="49">E102+I102</f>
        <v>1</v>
      </c>
      <c r="K102" s="71">
        <v>41870</v>
      </c>
      <c r="L102" s="27" t="s">
        <v>103</v>
      </c>
      <c r="M102" s="8">
        <v>50</v>
      </c>
      <c r="N102" s="9">
        <v>50</v>
      </c>
      <c r="O102" s="10">
        <v>50</v>
      </c>
      <c r="P102" s="11">
        <f t="shared" ref="P102:P125" si="50">SUM(M102:O102)</f>
        <v>150</v>
      </c>
      <c r="Q102" s="12"/>
      <c r="R102" s="9"/>
      <c r="S102" s="10"/>
      <c r="T102" s="11">
        <f t="shared" ref="T102:T125" si="51">SUM(Q102:S102)</f>
        <v>0</v>
      </c>
      <c r="U102" s="11">
        <f t="shared" ref="U102:U125" si="52">P102+T102</f>
        <v>150</v>
      </c>
      <c r="V102" s="65">
        <v>41888</v>
      </c>
    </row>
    <row r="103" spans="1:22" x14ac:dyDescent="0.15">
      <c r="A103" s="29" t="s">
        <v>86</v>
      </c>
      <c r="B103" s="8"/>
      <c r="C103" s="9">
        <v>10</v>
      </c>
      <c r="D103" s="10"/>
      <c r="E103" s="11">
        <f t="shared" si="47"/>
        <v>10</v>
      </c>
      <c r="F103" s="12"/>
      <c r="G103" s="9">
        <v>10</v>
      </c>
      <c r="H103" s="10"/>
      <c r="I103" s="11">
        <f t="shared" si="48"/>
        <v>10</v>
      </c>
      <c r="J103" s="11">
        <f t="shared" si="49"/>
        <v>20</v>
      </c>
      <c r="K103" s="65">
        <v>41876</v>
      </c>
      <c r="L103" s="27" t="s">
        <v>41</v>
      </c>
      <c r="M103" s="8"/>
      <c r="N103" s="9"/>
      <c r="O103" s="10"/>
      <c r="P103" s="11">
        <f t="shared" si="50"/>
        <v>0</v>
      </c>
      <c r="Q103" s="12"/>
      <c r="R103" s="9"/>
      <c r="S103" s="10">
        <v>50</v>
      </c>
      <c r="T103" s="11">
        <f t="shared" si="51"/>
        <v>50</v>
      </c>
      <c r="U103" s="11">
        <f t="shared" si="52"/>
        <v>50</v>
      </c>
      <c r="V103" s="65">
        <v>41900</v>
      </c>
    </row>
    <row r="104" spans="1:22" x14ac:dyDescent="0.15">
      <c r="A104" s="27"/>
      <c r="B104" s="8"/>
      <c r="C104" s="9"/>
      <c r="D104" s="10"/>
      <c r="E104" s="11">
        <f t="shared" si="47"/>
        <v>0</v>
      </c>
      <c r="F104" s="12"/>
      <c r="G104" s="9"/>
      <c r="H104" s="10"/>
      <c r="I104" s="11">
        <f t="shared" si="48"/>
        <v>0</v>
      </c>
      <c r="J104" s="11">
        <f t="shared" si="49"/>
        <v>0</v>
      </c>
      <c r="K104" s="65"/>
      <c r="L104" s="27" t="s">
        <v>41</v>
      </c>
      <c r="M104" s="8"/>
      <c r="N104" s="9"/>
      <c r="O104" s="10">
        <v>42</v>
      </c>
      <c r="P104" s="11">
        <f t="shared" si="50"/>
        <v>42</v>
      </c>
      <c r="Q104" s="12"/>
      <c r="R104" s="9"/>
      <c r="S104" s="10">
        <v>45</v>
      </c>
      <c r="T104" s="11">
        <f t="shared" si="51"/>
        <v>45</v>
      </c>
      <c r="U104" s="11">
        <f t="shared" si="52"/>
        <v>87</v>
      </c>
      <c r="V104" s="65">
        <v>41915</v>
      </c>
    </row>
    <row r="105" spans="1:22" x14ac:dyDescent="0.15">
      <c r="A105" s="27" t="s">
        <v>87</v>
      </c>
      <c r="B105" s="8">
        <v>15</v>
      </c>
      <c r="C105" s="9">
        <v>15</v>
      </c>
      <c r="D105" s="10">
        <v>15</v>
      </c>
      <c r="E105" s="11">
        <f t="shared" si="47"/>
        <v>45</v>
      </c>
      <c r="F105" s="12">
        <v>15</v>
      </c>
      <c r="G105" s="9">
        <v>15</v>
      </c>
      <c r="H105" s="10">
        <v>15</v>
      </c>
      <c r="I105" s="11">
        <f t="shared" si="48"/>
        <v>45</v>
      </c>
      <c r="J105" s="11">
        <f t="shared" si="49"/>
        <v>90</v>
      </c>
      <c r="K105" s="65">
        <v>41878</v>
      </c>
      <c r="L105" s="27"/>
      <c r="M105" s="8"/>
      <c r="N105" s="9"/>
      <c r="O105" s="10"/>
      <c r="P105" s="11">
        <f t="shared" si="50"/>
        <v>0</v>
      </c>
      <c r="Q105" s="12"/>
      <c r="R105" s="9"/>
      <c r="S105" s="10"/>
      <c r="T105" s="11">
        <f t="shared" si="51"/>
        <v>0</v>
      </c>
      <c r="U105" s="11">
        <f t="shared" si="52"/>
        <v>0</v>
      </c>
    </row>
    <row r="106" spans="1:22" x14ac:dyDescent="0.15">
      <c r="A106" s="27" t="s">
        <v>88</v>
      </c>
      <c r="B106" s="8">
        <v>105</v>
      </c>
      <c r="C106" s="9">
        <v>135</v>
      </c>
      <c r="D106" s="10">
        <v>165</v>
      </c>
      <c r="E106" s="11">
        <f>SUM(B106:D106)</f>
        <v>405</v>
      </c>
      <c r="F106" s="12">
        <v>15</v>
      </c>
      <c r="G106" s="9">
        <v>60</v>
      </c>
      <c r="H106" s="10">
        <v>60</v>
      </c>
      <c r="I106" s="11">
        <f>SUM(F106:H106)</f>
        <v>135</v>
      </c>
      <c r="J106" s="11">
        <f>E106+I106</f>
        <v>540</v>
      </c>
      <c r="K106" s="65">
        <v>41884</v>
      </c>
      <c r="L106" s="29"/>
      <c r="M106" s="8"/>
      <c r="N106" s="9"/>
      <c r="O106" s="10"/>
      <c r="P106" s="11">
        <f t="shared" si="50"/>
        <v>0</v>
      </c>
      <c r="Q106" s="12"/>
      <c r="R106" s="9"/>
      <c r="S106" s="10"/>
      <c r="T106" s="11">
        <f t="shared" si="51"/>
        <v>0</v>
      </c>
      <c r="U106" s="11">
        <f t="shared" si="52"/>
        <v>0</v>
      </c>
    </row>
    <row r="107" spans="1:22" x14ac:dyDescent="0.15">
      <c r="A107" s="29" t="s">
        <v>89</v>
      </c>
      <c r="B107" s="8">
        <v>1</v>
      </c>
      <c r="C107" s="9"/>
      <c r="D107" s="10"/>
      <c r="E107" s="11">
        <f t="shared" si="47"/>
        <v>1</v>
      </c>
      <c r="F107" s="12"/>
      <c r="G107" s="9"/>
      <c r="H107" s="10"/>
      <c r="I107" s="11">
        <f t="shared" si="48"/>
        <v>0</v>
      </c>
      <c r="J107" s="11">
        <f t="shared" si="49"/>
        <v>1</v>
      </c>
      <c r="K107" s="71">
        <v>41871</v>
      </c>
      <c r="L107" s="29"/>
      <c r="M107" s="8"/>
      <c r="N107" s="9"/>
      <c r="O107" s="10"/>
      <c r="P107" s="11">
        <f t="shared" si="50"/>
        <v>0</v>
      </c>
      <c r="Q107" s="12"/>
      <c r="R107" s="9"/>
      <c r="S107" s="10"/>
      <c r="T107" s="11">
        <f t="shared" si="51"/>
        <v>0</v>
      </c>
      <c r="U107" s="11">
        <f t="shared" si="52"/>
        <v>0</v>
      </c>
    </row>
    <row r="108" spans="1:22" x14ac:dyDescent="0.15">
      <c r="A108" s="29" t="s">
        <v>94</v>
      </c>
      <c r="B108" s="13">
        <v>40</v>
      </c>
      <c r="C108" s="14">
        <v>15</v>
      </c>
      <c r="D108" s="15"/>
      <c r="E108" s="11">
        <f t="shared" si="47"/>
        <v>55</v>
      </c>
      <c r="F108" s="16"/>
      <c r="G108" s="14"/>
      <c r="H108" s="15"/>
      <c r="I108" s="11">
        <f t="shared" si="48"/>
        <v>0</v>
      </c>
      <c r="J108" s="11">
        <f t="shared" si="49"/>
        <v>55</v>
      </c>
      <c r="K108" s="65">
        <v>41877</v>
      </c>
      <c r="L108" s="27"/>
      <c r="M108" s="8"/>
      <c r="N108" s="9"/>
      <c r="O108" s="10"/>
      <c r="P108" s="11">
        <f t="shared" si="50"/>
        <v>0</v>
      </c>
      <c r="Q108" s="12"/>
      <c r="R108" s="9"/>
      <c r="S108" s="10"/>
      <c r="T108" s="11">
        <f t="shared" si="51"/>
        <v>0</v>
      </c>
      <c r="U108" s="11">
        <f t="shared" si="52"/>
        <v>0</v>
      </c>
    </row>
    <row r="109" spans="1:22" x14ac:dyDescent="0.15">
      <c r="A109" s="29" t="s">
        <v>91</v>
      </c>
      <c r="B109" s="13"/>
      <c r="C109" s="14">
        <v>2</v>
      </c>
      <c r="D109" s="15"/>
      <c r="E109" s="11">
        <f t="shared" si="47"/>
        <v>2</v>
      </c>
      <c r="F109" s="16"/>
      <c r="G109" s="14"/>
      <c r="H109" s="15">
        <v>1</v>
      </c>
      <c r="I109" s="11">
        <f t="shared" si="48"/>
        <v>1</v>
      </c>
      <c r="J109" s="11">
        <f t="shared" si="49"/>
        <v>3</v>
      </c>
      <c r="K109" s="71">
        <v>41876</v>
      </c>
      <c r="L109" s="29"/>
      <c r="M109" s="13"/>
      <c r="N109" s="14"/>
      <c r="O109" s="15"/>
      <c r="P109" s="11">
        <f t="shared" si="50"/>
        <v>0</v>
      </c>
      <c r="Q109" s="16"/>
      <c r="R109" s="14"/>
      <c r="S109" s="15"/>
      <c r="T109" s="11">
        <f t="shared" si="51"/>
        <v>0</v>
      </c>
      <c r="U109" s="11">
        <f t="shared" si="52"/>
        <v>0</v>
      </c>
    </row>
    <row r="110" spans="1:22" x14ac:dyDescent="0.15">
      <c r="A110" s="29" t="s">
        <v>92</v>
      </c>
      <c r="B110" s="8"/>
      <c r="C110" s="9"/>
      <c r="D110" s="10"/>
      <c r="E110" s="11">
        <f t="shared" si="47"/>
        <v>0</v>
      </c>
      <c r="F110" s="12"/>
      <c r="G110" s="9"/>
      <c r="H110" s="10">
        <v>1</v>
      </c>
      <c r="I110" s="11">
        <f t="shared" si="48"/>
        <v>1</v>
      </c>
      <c r="J110" s="11">
        <f t="shared" si="49"/>
        <v>1</v>
      </c>
      <c r="K110" s="71">
        <v>41877</v>
      </c>
      <c r="L110" s="29"/>
      <c r="M110" s="8"/>
      <c r="N110" s="9"/>
      <c r="O110" s="10"/>
      <c r="P110" s="11">
        <f t="shared" si="50"/>
        <v>0</v>
      </c>
      <c r="Q110" s="12"/>
      <c r="R110" s="9"/>
      <c r="S110" s="10"/>
      <c r="T110" s="11">
        <f t="shared" si="51"/>
        <v>0</v>
      </c>
      <c r="U110" s="11">
        <f t="shared" si="52"/>
        <v>0</v>
      </c>
    </row>
    <row r="111" spans="1:22" x14ac:dyDescent="0.15">
      <c r="A111" s="29" t="s">
        <v>93</v>
      </c>
      <c r="B111" s="8"/>
      <c r="C111" s="9"/>
      <c r="D111" s="10"/>
      <c r="E111" s="11">
        <f t="shared" si="47"/>
        <v>0</v>
      </c>
      <c r="F111" s="12">
        <v>1</v>
      </c>
      <c r="G111" s="9"/>
      <c r="H111" s="10"/>
      <c r="I111" s="11">
        <f t="shared" si="48"/>
        <v>1</v>
      </c>
      <c r="J111" s="11">
        <f t="shared" si="49"/>
        <v>1</v>
      </c>
      <c r="K111" s="65">
        <v>41879</v>
      </c>
      <c r="L111" s="29"/>
      <c r="M111" s="8"/>
      <c r="N111" s="9"/>
      <c r="O111" s="10"/>
      <c r="P111" s="11">
        <f t="shared" si="50"/>
        <v>0</v>
      </c>
      <c r="Q111" s="12"/>
      <c r="R111" s="9"/>
      <c r="S111" s="10"/>
      <c r="T111" s="11">
        <f t="shared" si="51"/>
        <v>0</v>
      </c>
      <c r="U111" s="11">
        <f t="shared" si="52"/>
        <v>0</v>
      </c>
    </row>
    <row r="112" spans="1:22" x14ac:dyDescent="0.15">
      <c r="A112" s="29" t="s">
        <v>95</v>
      </c>
      <c r="B112" s="8">
        <v>60</v>
      </c>
      <c r="C112" s="9">
        <v>85</v>
      </c>
      <c r="D112" s="10"/>
      <c r="E112" s="11">
        <f>SUM(B112:D112)</f>
        <v>145</v>
      </c>
      <c r="F112" s="16"/>
      <c r="G112" s="14"/>
      <c r="H112" s="15"/>
      <c r="I112" s="11">
        <f>SUM(F112:H112)</f>
        <v>0</v>
      </c>
      <c r="J112" s="11">
        <f>E112+I112</f>
        <v>145</v>
      </c>
      <c r="K112" s="65">
        <v>41884</v>
      </c>
      <c r="L112" s="27"/>
      <c r="M112" s="8"/>
      <c r="N112" s="9"/>
      <c r="O112" s="10"/>
      <c r="P112" s="11">
        <f t="shared" si="50"/>
        <v>0</v>
      </c>
      <c r="Q112" s="12"/>
      <c r="R112" s="9"/>
      <c r="S112" s="10"/>
      <c r="T112" s="11">
        <f t="shared" si="51"/>
        <v>0</v>
      </c>
      <c r="U112" s="11">
        <f t="shared" si="52"/>
        <v>0</v>
      </c>
    </row>
    <row r="113" spans="1:22" x14ac:dyDescent="0.15">
      <c r="A113" s="29" t="s">
        <v>97</v>
      </c>
      <c r="B113" s="8"/>
      <c r="C113" s="9"/>
      <c r="D113" s="10"/>
      <c r="E113" s="11">
        <f t="shared" si="47"/>
        <v>0</v>
      </c>
      <c r="F113" s="12">
        <v>1</v>
      </c>
      <c r="G113" s="9"/>
      <c r="H113" s="10"/>
      <c r="I113" s="11">
        <f t="shared" si="48"/>
        <v>1</v>
      </c>
      <c r="J113" s="11">
        <f t="shared" si="49"/>
        <v>1</v>
      </c>
      <c r="K113" s="71">
        <v>41880</v>
      </c>
      <c r="L113" s="29"/>
      <c r="M113" s="8"/>
      <c r="N113" s="9"/>
      <c r="O113" s="10"/>
      <c r="P113" s="11">
        <f t="shared" si="50"/>
        <v>0</v>
      </c>
      <c r="Q113" s="12"/>
      <c r="R113" s="9"/>
      <c r="S113" s="10"/>
      <c r="T113" s="11">
        <f t="shared" si="51"/>
        <v>0</v>
      </c>
      <c r="U113" s="11">
        <f t="shared" si="52"/>
        <v>0</v>
      </c>
    </row>
    <row r="114" spans="1:22" x14ac:dyDescent="0.15">
      <c r="A114" s="29" t="s">
        <v>98</v>
      </c>
      <c r="B114" s="8"/>
      <c r="C114" s="9">
        <v>1</v>
      </c>
      <c r="D114" s="10"/>
      <c r="E114" s="11">
        <f t="shared" si="47"/>
        <v>1</v>
      </c>
      <c r="F114" s="12"/>
      <c r="G114" s="9"/>
      <c r="H114" s="10"/>
      <c r="I114" s="11">
        <f t="shared" si="48"/>
        <v>0</v>
      </c>
      <c r="J114" s="11">
        <f t="shared" si="49"/>
        <v>1</v>
      </c>
      <c r="K114" s="71">
        <v>41883</v>
      </c>
      <c r="L114" s="29"/>
      <c r="M114" s="8"/>
      <c r="N114" s="9"/>
      <c r="O114" s="10"/>
      <c r="P114" s="11">
        <f t="shared" si="50"/>
        <v>0</v>
      </c>
      <c r="Q114" s="12"/>
      <c r="R114" s="9"/>
      <c r="S114" s="10"/>
      <c r="T114" s="11">
        <f t="shared" si="51"/>
        <v>0</v>
      </c>
      <c r="U114" s="11">
        <f t="shared" si="52"/>
        <v>0</v>
      </c>
    </row>
    <row r="115" spans="1:22" x14ac:dyDescent="0.15">
      <c r="A115" s="27" t="s">
        <v>99</v>
      </c>
      <c r="B115" s="8">
        <v>1</v>
      </c>
      <c r="C115" s="9"/>
      <c r="D115" s="10"/>
      <c r="E115" s="11">
        <f t="shared" si="47"/>
        <v>1</v>
      </c>
      <c r="F115" s="12">
        <v>3</v>
      </c>
      <c r="G115" s="9"/>
      <c r="H115" s="10">
        <v>2</v>
      </c>
      <c r="I115" s="11">
        <f t="shared" si="48"/>
        <v>5</v>
      </c>
      <c r="J115" s="11">
        <f t="shared" si="49"/>
        <v>6</v>
      </c>
      <c r="K115" s="65">
        <v>41884</v>
      </c>
      <c r="L115" s="27"/>
      <c r="M115" s="8"/>
      <c r="N115" s="9"/>
      <c r="O115" s="10"/>
      <c r="P115" s="11">
        <f t="shared" si="50"/>
        <v>0</v>
      </c>
      <c r="Q115" s="12"/>
      <c r="R115" s="9"/>
      <c r="S115" s="10"/>
      <c r="T115" s="11">
        <f t="shared" si="51"/>
        <v>0</v>
      </c>
      <c r="U115" s="11">
        <f t="shared" si="52"/>
        <v>0</v>
      </c>
    </row>
    <row r="116" spans="1:22" x14ac:dyDescent="0.15">
      <c r="A116" s="29" t="s">
        <v>100</v>
      </c>
      <c r="B116" s="8">
        <v>75</v>
      </c>
      <c r="C116" s="9">
        <v>75</v>
      </c>
      <c r="D116" s="10">
        <v>90</v>
      </c>
      <c r="E116" s="11">
        <f t="shared" si="47"/>
        <v>240</v>
      </c>
      <c r="F116" s="12">
        <v>45</v>
      </c>
      <c r="G116" s="9">
        <v>45</v>
      </c>
      <c r="H116" s="10">
        <v>45</v>
      </c>
      <c r="I116" s="11">
        <f t="shared" si="48"/>
        <v>135</v>
      </c>
      <c r="J116" s="11">
        <f t="shared" si="49"/>
        <v>375</v>
      </c>
      <c r="K116" s="65">
        <v>41891</v>
      </c>
      <c r="L116" s="29"/>
      <c r="M116" s="8"/>
      <c r="N116" s="9"/>
      <c r="O116" s="10"/>
      <c r="P116" s="11">
        <f t="shared" si="50"/>
        <v>0</v>
      </c>
      <c r="Q116" s="12"/>
      <c r="R116" s="9"/>
      <c r="S116" s="10"/>
      <c r="T116" s="11">
        <f t="shared" si="51"/>
        <v>0</v>
      </c>
      <c r="U116" s="11">
        <f t="shared" si="52"/>
        <v>0</v>
      </c>
    </row>
    <row r="117" spans="1:22" x14ac:dyDescent="0.15">
      <c r="A117" s="27" t="s">
        <v>102</v>
      </c>
      <c r="B117" s="8">
        <v>1</v>
      </c>
      <c r="C117" s="9">
        <v>1</v>
      </c>
      <c r="D117" s="10"/>
      <c r="E117" s="11">
        <f t="shared" si="47"/>
        <v>2</v>
      </c>
      <c r="F117" s="12"/>
      <c r="G117" s="9"/>
      <c r="H117" s="10"/>
      <c r="I117" s="11">
        <f t="shared" si="48"/>
        <v>0</v>
      </c>
      <c r="J117" s="11">
        <f t="shared" si="49"/>
        <v>2</v>
      </c>
      <c r="K117" s="71">
        <v>41886</v>
      </c>
      <c r="L117" s="27"/>
      <c r="M117" s="8"/>
      <c r="N117" s="9"/>
      <c r="O117" s="10"/>
      <c r="P117" s="11">
        <f t="shared" si="50"/>
        <v>0</v>
      </c>
      <c r="Q117" s="12"/>
      <c r="R117" s="9"/>
      <c r="S117" s="10"/>
      <c r="T117" s="11">
        <f t="shared" si="51"/>
        <v>0</v>
      </c>
      <c r="U117" s="11">
        <f t="shared" si="52"/>
        <v>0</v>
      </c>
    </row>
    <row r="118" spans="1:22" x14ac:dyDescent="0.15">
      <c r="A118" s="27" t="s">
        <v>105</v>
      </c>
      <c r="B118" s="8">
        <v>-1</v>
      </c>
      <c r="C118" s="9">
        <v>-1</v>
      </c>
      <c r="D118" s="10"/>
      <c r="E118" s="11">
        <f t="shared" si="47"/>
        <v>-2</v>
      </c>
      <c r="F118" s="12"/>
      <c r="G118" s="9"/>
      <c r="H118" s="10"/>
      <c r="I118" s="11">
        <f t="shared" si="48"/>
        <v>0</v>
      </c>
      <c r="J118" s="11">
        <f t="shared" si="49"/>
        <v>-2</v>
      </c>
      <c r="K118" s="71">
        <v>41887</v>
      </c>
      <c r="L118" s="26"/>
      <c r="M118" s="8"/>
      <c r="N118" s="9"/>
      <c r="O118" s="10"/>
      <c r="P118" s="11">
        <f t="shared" si="50"/>
        <v>0</v>
      </c>
      <c r="Q118" s="12"/>
      <c r="R118" s="9"/>
      <c r="S118" s="10"/>
      <c r="T118" s="11">
        <f t="shared" si="51"/>
        <v>0</v>
      </c>
      <c r="U118" s="11">
        <f t="shared" si="52"/>
        <v>0</v>
      </c>
    </row>
    <row r="119" spans="1:22" x14ac:dyDescent="0.15">
      <c r="A119" s="26" t="s">
        <v>106</v>
      </c>
      <c r="B119" s="8"/>
      <c r="C119" s="9"/>
      <c r="D119" s="10"/>
      <c r="E119" s="11">
        <f t="shared" si="47"/>
        <v>0</v>
      </c>
      <c r="F119" s="12">
        <v>1</v>
      </c>
      <c r="G119" s="9"/>
      <c r="H119" s="10"/>
      <c r="I119" s="11">
        <f t="shared" si="48"/>
        <v>1</v>
      </c>
      <c r="J119" s="11">
        <f t="shared" si="49"/>
        <v>1</v>
      </c>
      <c r="K119" s="71">
        <v>41888</v>
      </c>
      <c r="L119" s="26"/>
      <c r="M119" s="8"/>
      <c r="N119" s="9"/>
      <c r="O119" s="10"/>
      <c r="P119" s="11">
        <f t="shared" si="50"/>
        <v>0</v>
      </c>
      <c r="Q119" s="12"/>
      <c r="R119" s="9"/>
      <c r="S119" s="10"/>
      <c r="T119" s="11">
        <f t="shared" si="51"/>
        <v>0</v>
      </c>
      <c r="U119" s="11">
        <f t="shared" si="52"/>
        <v>0</v>
      </c>
    </row>
    <row r="120" spans="1:22" x14ac:dyDescent="0.15">
      <c r="A120" s="86" t="s">
        <v>107</v>
      </c>
      <c r="B120" s="8">
        <v>15</v>
      </c>
      <c r="C120" s="9">
        <v>14</v>
      </c>
      <c r="D120" s="10">
        <v>10</v>
      </c>
      <c r="E120" s="11">
        <f t="shared" si="47"/>
        <v>39</v>
      </c>
      <c r="F120" s="12">
        <v>5</v>
      </c>
      <c r="G120" s="9">
        <v>8</v>
      </c>
      <c r="H120" s="10">
        <v>15</v>
      </c>
      <c r="I120" s="11">
        <f t="shared" si="48"/>
        <v>28</v>
      </c>
      <c r="J120" s="11">
        <f t="shared" si="49"/>
        <v>67</v>
      </c>
      <c r="K120" s="65">
        <v>41891</v>
      </c>
      <c r="L120" s="27"/>
      <c r="M120" s="8"/>
      <c r="N120" s="9"/>
      <c r="O120" s="10"/>
      <c r="P120" s="11">
        <f t="shared" si="50"/>
        <v>0</v>
      </c>
      <c r="Q120" s="12"/>
      <c r="R120" s="9"/>
      <c r="S120" s="10"/>
      <c r="T120" s="11">
        <f t="shared" si="51"/>
        <v>0</v>
      </c>
      <c r="U120" s="11">
        <f t="shared" si="52"/>
        <v>0</v>
      </c>
    </row>
    <row r="121" spans="1:22" x14ac:dyDescent="0.15">
      <c r="A121" s="29" t="s">
        <v>108</v>
      </c>
      <c r="B121" s="13">
        <v>1</v>
      </c>
      <c r="C121" s="14">
        <v>1</v>
      </c>
      <c r="D121" s="15">
        <v>1</v>
      </c>
      <c r="E121" s="11">
        <f t="shared" si="47"/>
        <v>3</v>
      </c>
      <c r="F121" s="16">
        <v>1</v>
      </c>
      <c r="G121" s="14">
        <v>1</v>
      </c>
      <c r="H121" s="15">
        <v>1</v>
      </c>
      <c r="I121" s="11">
        <f t="shared" si="48"/>
        <v>3</v>
      </c>
      <c r="J121" s="11">
        <f t="shared" si="49"/>
        <v>6</v>
      </c>
      <c r="K121" s="71">
        <v>41894</v>
      </c>
      <c r="L121" s="29"/>
      <c r="M121" s="8"/>
      <c r="N121" s="9"/>
      <c r="O121" s="10"/>
      <c r="P121" s="11">
        <f t="shared" si="50"/>
        <v>0</v>
      </c>
      <c r="Q121" s="12"/>
      <c r="R121" s="9"/>
      <c r="S121" s="10"/>
      <c r="T121" s="11">
        <f t="shared" si="51"/>
        <v>0</v>
      </c>
      <c r="U121" s="11">
        <f t="shared" si="52"/>
        <v>0</v>
      </c>
      <c r="V121" s="64"/>
    </row>
    <row r="122" spans="1:22" x14ac:dyDescent="0.15">
      <c r="A122" s="27" t="s">
        <v>109</v>
      </c>
      <c r="B122" s="8"/>
      <c r="C122" s="9">
        <v>1</v>
      </c>
      <c r="D122" s="10"/>
      <c r="E122" s="11">
        <f t="shared" si="47"/>
        <v>1</v>
      </c>
      <c r="F122" s="12"/>
      <c r="G122" s="9">
        <v>2</v>
      </c>
      <c r="H122" s="10"/>
      <c r="I122" s="11">
        <f t="shared" si="48"/>
        <v>2</v>
      </c>
      <c r="J122" s="11">
        <f t="shared" si="49"/>
        <v>3</v>
      </c>
      <c r="K122" s="65">
        <v>41899</v>
      </c>
      <c r="L122" s="6"/>
      <c r="M122" s="13"/>
      <c r="N122" s="14"/>
      <c r="O122" s="15"/>
      <c r="P122" s="11">
        <f t="shared" si="50"/>
        <v>0</v>
      </c>
      <c r="Q122" s="16"/>
      <c r="R122" s="14"/>
      <c r="S122" s="15"/>
      <c r="T122" s="11">
        <f t="shared" si="51"/>
        <v>0</v>
      </c>
      <c r="U122" s="11">
        <f t="shared" si="52"/>
        <v>0</v>
      </c>
      <c r="V122" s="65"/>
    </row>
    <row r="123" spans="1:22" x14ac:dyDescent="0.15">
      <c r="A123" s="27" t="s">
        <v>109</v>
      </c>
      <c r="B123" s="8"/>
      <c r="C123" s="9">
        <v>1</v>
      </c>
      <c r="D123" s="10"/>
      <c r="E123" s="11">
        <f t="shared" si="47"/>
        <v>1</v>
      </c>
      <c r="F123" s="12"/>
      <c r="G123" s="9"/>
      <c r="H123" s="10"/>
      <c r="I123" s="11">
        <f t="shared" si="48"/>
        <v>0</v>
      </c>
      <c r="J123" s="11">
        <f t="shared" si="49"/>
        <v>1</v>
      </c>
      <c r="K123" s="65">
        <v>41899</v>
      </c>
      <c r="L123" s="29"/>
      <c r="M123" s="13"/>
      <c r="N123" s="14"/>
      <c r="O123" s="15"/>
      <c r="P123" s="11">
        <f t="shared" si="50"/>
        <v>0</v>
      </c>
      <c r="Q123" s="16"/>
      <c r="R123" s="14"/>
      <c r="S123" s="15"/>
      <c r="T123" s="11">
        <f t="shared" si="51"/>
        <v>0</v>
      </c>
      <c r="U123" s="78">
        <f t="shared" si="52"/>
        <v>0</v>
      </c>
      <c r="V123" s="65"/>
    </row>
    <row r="124" spans="1:22" x14ac:dyDescent="0.15">
      <c r="A124" s="29" t="s">
        <v>53</v>
      </c>
      <c r="B124" s="8"/>
      <c r="C124" s="9"/>
      <c r="D124" s="10"/>
      <c r="E124" s="11">
        <f t="shared" si="47"/>
        <v>0</v>
      </c>
      <c r="F124" s="12"/>
      <c r="G124" s="9"/>
      <c r="H124" s="10"/>
      <c r="I124" s="11">
        <f t="shared" si="48"/>
        <v>0</v>
      </c>
      <c r="J124" s="11">
        <f t="shared" si="49"/>
        <v>0</v>
      </c>
      <c r="K124" s="65">
        <v>41904</v>
      </c>
      <c r="L124" s="29"/>
      <c r="M124" s="8"/>
      <c r="N124" s="9"/>
      <c r="O124" s="10"/>
      <c r="P124" s="11">
        <f t="shared" si="50"/>
        <v>0</v>
      </c>
      <c r="Q124" s="12"/>
      <c r="R124" s="9"/>
      <c r="S124" s="10"/>
      <c r="T124" s="11">
        <f t="shared" si="51"/>
        <v>0</v>
      </c>
      <c r="U124" s="11">
        <f t="shared" si="52"/>
        <v>0</v>
      </c>
      <c r="V124" s="65"/>
    </row>
    <row r="125" spans="1:22" ht="14.25" thickBot="1" x14ac:dyDescent="0.2">
      <c r="A125" s="29" t="s">
        <v>110</v>
      </c>
      <c r="B125" s="8"/>
      <c r="C125" s="9"/>
      <c r="D125" s="10"/>
      <c r="E125" s="11">
        <f t="shared" si="47"/>
        <v>0</v>
      </c>
      <c r="F125" s="16">
        <v>1</v>
      </c>
      <c r="G125" s="14"/>
      <c r="H125" s="15"/>
      <c r="I125" s="11">
        <f t="shared" si="48"/>
        <v>1</v>
      </c>
      <c r="J125" s="11">
        <f t="shared" si="49"/>
        <v>1</v>
      </c>
      <c r="K125" s="65">
        <v>41898</v>
      </c>
      <c r="L125" s="29"/>
      <c r="M125" s="8"/>
      <c r="N125" s="9"/>
      <c r="O125" s="10"/>
      <c r="P125" s="11">
        <f t="shared" si="50"/>
        <v>0</v>
      </c>
      <c r="Q125" s="12"/>
      <c r="R125" s="9"/>
      <c r="S125" s="10"/>
      <c r="T125" s="11">
        <f t="shared" si="51"/>
        <v>0</v>
      </c>
      <c r="U125" s="11">
        <f t="shared" si="52"/>
        <v>0</v>
      </c>
      <c r="V125" s="65"/>
    </row>
    <row r="126" spans="1:22" ht="14.25" thickBot="1" x14ac:dyDescent="0.2">
      <c r="A126" s="44" t="s">
        <v>13</v>
      </c>
      <c r="B126" s="48">
        <f t="shared" ref="B126:I126" si="53">SUM(B100:B125)</f>
        <v>326</v>
      </c>
      <c r="C126" s="49">
        <f t="shared" si="53"/>
        <v>401</v>
      </c>
      <c r="D126" s="50">
        <f t="shared" si="53"/>
        <v>288</v>
      </c>
      <c r="E126" s="46">
        <f t="shared" si="53"/>
        <v>1015</v>
      </c>
      <c r="F126" s="48">
        <f t="shared" si="53"/>
        <v>98</v>
      </c>
      <c r="G126" s="49">
        <f t="shared" si="53"/>
        <v>145</v>
      </c>
      <c r="H126" s="50">
        <f t="shared" si="53"/>
        <v>143</v>
      </c>
      <c r="I126" s="46">
        <f t="shared" si="53"/>
        <v>386</v>
      </c>
      <c r="J126" s="35">
        <f>E126+I126</f>
        <v>1401</v>
      </c>
      <c r="L126" s="44" t="s">
        <v>13</v>
      </c>
      <c r="M126" s="48">
        <f t="shared" ref="M126:T126" si="54">SUM(M100:M125)</f>
        <v>355</v>
      </c>
      <c r="N126" s="49">
        <f t="shared" si="54"/>
        <v>455</v>
      </c>
      <c r="O126" s="50">
        <f t="shared" si="54"/>
        <v>300</v>
      </c>
      <c r="P126" s="46">
        <f t="shared" si="54"/>
        <v>1110</v>
      </c>
      <c r="Q126" s="48">
        <f t="shared" si="54"/>
        <v>55</v>
      </c>
      <c r="R126" s="49">
        <f t="shared" si="54"/>
        <v>105</v>
      </c>
      <c r="S126" s="50">
        <f t="shared" si="54"/>
        <v>200</v>
      </c>
      <c r="T126" s="46">
        <f t="shared" si="54"/>
        <v>360</v>
      </c>
      <c r="U126" s="35">
        <f>P126+T126</f>
        <v>1470</v>
      </c>
    </row>
    <row r="127" spans="1:22" ht="14.25" thickBot="1" x14ac:dyDescent="0.2">
      <c r="A127" s="23" t="s">
        <v>14</v>
      </c>
      <c r="B127" s="24">
        <f t="shared" ref="B127:J127" si="55">B99-B126</f>
        <v>57</v>
      </c>
      <c r="C127" s="25">
        <f t="shared" si="55"/>
        <v>67</v>
      </c>
      <c r="D127" s="30">
        <f t="shared" si="55"/>
        <v>42</v>
      </c>
      <c r="E127" s="51">
        <f t="shared" si="55"/>
        <v>166</v>
      </c>
      <c r="F127" s="24">
        <f t="shared" si="55"/>
        <v>78</v>
      </c>
      <c r="G127" s="25">
        <f t="shared" si="55"/>
        <v>85</v>
      </c>
      <c r="H127" s="30">
        <f t="shared" si="55"/>
        <v>65</v>
      </c>
      <c r="I127" s="47">
        <f t="shared" si="55"/>
        <v>228</v>
      </c>
      <c r="J127" s="79">
        <f t="shared" si="55"/>
        <v>394</v>
      </c>
      <c r="L127" s="23" t="s">
        <v>14</v>
      </c>
      <c r="M127" s="24">
        <f t="shared" ref="M127:U127" si="56">M99-M126</f>
        <v>195</v>
      </c>
      <c r="N127" s="25">
        <f t="shared" si="56"/>
        <v>145</v>
      </c>
      <c r="O127" s="30">
        <f t="shared" si="56"/>
        <v>0</v>
      </c>
      <c r="P127" s="51">
        <f t="shared" si="56"/>
        <v>340</v>
      </c>
      <c r="Q127" s="24">
        <f t="shared" si="56"/>
        <v>45</v>
      </c>
      <c r="R127" s="25">
        <f t="shared" si="56"/>
        <v>95</v>
      </c>
      <c r="S127" s="30">
        <f t="shared" si="56"/>
        <v>0</v>
      </c>
      <c r="T127" s="47">
        <f t="shared" si="56"/>
        <v>140</v>
      </c>
      <c r="U127" s="79">
        <f t="shared" si="56"/>
        <v>480</v>
      </c>
    </row>
    <row r="130" spans="1:22" ht="19.5" thickBot="1" x14ac:dyDescent="0.25">
      <c r="A130" s="2" t="s">
        <v>21</v>
      </c>
      <c r="B130" s="1"/>
      <c r="C130" s="1"/>
      <c r="D130" s="1"/>
      <c r="E130" s="1"/>
      <c r="F130" s="1"/>
      <c r="G130" s="1"/>
      <c r="H130" s="1"/>
      <c r="I130" s="1"/>
      <c r="J130" s="1"/>
      <c r="L130" s="93" t="s">
        <v>90</v>
      </c>
      <c r="M130" s="94"/>
      <c r="N130" s="94"/>
      <c r="O130" s="94"/>
      <c r="P130" s="1"/>
      <c r="Q130" s="1"/>
      <c r="R130" s="1"/>
      <c r="S130" s="1"/>
      <c r="T130" s="1"/>
      <c r="U130" s="1"/>
    </row>
    <row r="131" spans="1:22" ht="14.25" thickBot="1" x14ac:dyDescent="0.2">
      <c r="A131" s="7" t="s">
        <v>0</v>
      </c>
      <c r="B131" s="168" t="s">
        <v>1</v>
      </c>
      <c r="C131" s="169"/>
      <c r="D131" s="169"/>
      <c r="E131" s="170"/>
      <c r="F131" s="168" t="s">
        <v>2</v>
      </c>
      <c r="G131" s="169"/>
      <c r="H131" s="169"/>
      <c r="I131" s="171"/>
      <c r="J131" s="172" t="s">
        <v>3</v>
      </c>
      <c r="L131" s="7" t="s">
        <v>0</v>
      </c>
      <c r="M131" s="168" t="s">
        <v>1</v>
      </c>
      <c r="N131" s="169"/>
      <c r="O131" s="169"/>
      <c r="P131" s="170"/>
      <c r="Q131" s="168" t="s">
        <v>2</v>
      </c>
      <c r="R131" s="169"/>
      <c r="S131" s="169"/>
      <c r="T131" s="171"/>
      <c r="U131" s="172" t="s">
        <v>3</v>
      </c>
    </row>
    <row r="132" spans="1:22" ht="14.25" thickBot="1" x14ac:dyDescent="0.2">
      <c r="A132" s="7" t="s">
        <v>4</v>
      </c>
      <c r="B132" s="3" t="s">
        <v>5</v>
      </c>
      <c r="C132" s="4" t="s">
        <v>6</v>
      </c>
      <c r="D132" s="5" t="s">
        <v>7</v>
      </c>
      <c r="E132" s="7" t="s">
        <v>8</v>
      </c>
      <c r="F132" s="3" t="s">
        <v>5</v>
      </c>
      <c r="G132" s="4" t="s">
        <v>6</v>
      </c>
      <c r="H132" s="5" t="s">
        <v>7</v>
      </c>
      <c r="I132" s="7" t="s">
        <v>8</v>
      </c>
      <c r="J132" s="173"/>
      <c r="L132" s="7" t="s">
        <v>4</v>
      </c>
      <c r="M132" s="3" t="s">
        <v>5</v>
      </c>
      <c r="N132" s="4" t="s">
        <v>6</v>
      </c>
      <c r="O132" s="5" t="s">
        <v>7</v>
      </c>
      <c r="P132" s="7" t="s">
        <v>8</v>
      </c>
      <c r="Q132" s="3" t="s">
        <v>5</v>
      </c>
      <c r="R132" s="4" t="s">
        <v>6</v>
      </c>
      <c r="S132" s="5" t="s">
        <v>7</v>
      </c>
      <c r="T132" s="7" t="s">
        <v>8</v>
      </c>
      <c r="U132" s="173"/>
    </row>
    <row r="133" spans="1:22" ht="14.25" thickBot="1" x14ac:dyDescent="0.2">
      <c r="A133" s="31" t="s">
        <v>14</v>
      </c>
      <c r="B133" s="32">
        <f>B127</f>
        <v>57</v>
      </c>
      <c r="C133" s="33">
        <f>C127</f>
        <v>67</v>
      </c>
      <c r="D133" s="34">
        <f>D127</f>
        <v>42</v>
      </c>
      <c r="E133" s="41">
        <f>SUM(B133:D133)</f>
        <v>166</v>
      </c>
      <c r="F133" s="32">
        <f>F127</f>
        <v>78</v>
      </c>
      <c r="G133" s="33">
        <f>G127</f>
        <v>85</v>
      </c>
      <c r="H133" s="34">
        <f>H127</f>
        <v>65</v>
      </c>
      <c r="I133" s="41">
        <f>SUM(F133:H133)</f>
        <v>228</v>
      </c>
      <c r="J133" s="41">
        <f>E133+I133</f>
        <v>394</v>
      </c>
      <c r="L133" s="31" t="s">
        <v>14</v>
      </c>
      <c r="M133" s="32">
        <f>M127</f>
        <v>195</v>
      </c>
      <c r="N133" s="33">
        <f>N127</f>
        <v>145</v>
      </c>
      <c r="O133" s="34">
        <f>O127</f>
        <v>0</v>
      </c>
      <c r="P133" s="41">
        <f>SUM(M133:O133)</f>
        <v>340</v>
      </c>
      <c r="Q133" s="32">
        <f>Q127</f>
        <v>45</v>
      </c>
      <c r="R133" s="33">
        <f>R127</f>
        <v>95</v>
      </c>
      <c r="S133" s="34">
        <f>S127</f>
        <v>0</v>
      </c>
      <c r="T133" s="41">
        <f>SUM(Q133:S133)</f>
        <v>140</v>
      </c>
      <c r="U133" s="41">
        <f>P133+T133</f>
        <v>480</v>
      </c>
    </row>
    <row r="134" spans="1:22" x14ac:dyDescent="0.15">
      <c r="A134" s="28" t="s">
        <v>83</v>
      </c>
      <c r="B134" s="17">
        <v>3</v>
      </c>
      <c r="C134" s="18"/>
      <c r="D134" s="19"/>
      <c r="E134" s="20">
        <f t="shared" ref="E134:E141" si="57">SUM(B134:D134)</f>
        <v>3</v>
      </c>
      <c r="F134" s="21"/>
      <c r="G134" s="18"/>
      <c r="H134" s="19"/>
      <c r="I134" s="20">
        <f t="shared" ref="I134:I141" si="58">SUM(F134:H134)</f>
        <v>0</v>
      </c>
      <c r="J134" s="20">
        <f t="shared" ref="J134:J141" si="59">E134+I134</f>
        <v>3</v>
      </c>
      <c r="K134" s="71">
        <v>41899</v>
      </c>
      <c r="L134" s="28" t="s">
        <v>9</v>
      </c>
      <c r="M134" s="17"/>
      <c r="N134" s="18"/>
      <c r="O134" s="19"/>
      <c r="P134" s="20">
        <f t="shared" ref="P134:P141" si="60">SUM(M134:O134)</f>
        <v>0</v>
      </c>
      <c r="Q134" s="21"/>
      <c r="R134" s="18"/>
      <c r="S134" s="19"/>
      <c r="T134" s="20">
        <f t="shared" ref="T134:T141" si="61">SUM(Q134:S134)</f>
        <v>0</v>
      </c>
      <c r="U134" s="20">
        <f t="shared" ref="U134:U141" si="62">P134+T134</f>
        <v>0</v>
      </c>
    </row>
    <row r="135" spans="1:22" x14ac:dyDescent="0.15">
      <c r="A135" s="28" t="s">
        <v>59</v>
      </c>
      <c r="B135" s="8"/>
      <c r="C135" s="9"/>
      <c r="D135" s="10"/>
      <c r="E135" s="11">
        <f t="shared" si="57"/>
        <v>0</v>
      </c>
      <c r="F135" s="12"/>
      <c r="G135" s="9">
        <v>1</v>
      </c>
      <c r="H135" s="10"/>
      <c r="I135" s="11">
        <f t="shared" si="58"/>
        <v>1</v>
      </c>
      <c r="J135" s="11">
        <f t="shared" si="59"/>
        <v>1</v>
      </c>
      <c r="K135" s="65">
        <v>41908</v>
      </c>
      <c r="L135" s="28" t="s">
        <v>10</v>
      </c>
      <c r="M135" s="8"/>
      <c r="N135" s="9"/>
      <c r="O135" s="10"/>
      <c r="P135" s="11">
        <f t="shared" si="60"/>
        <v>0</v>
      </c>
      <c r="Q135" s="12"/>
      <c r="R135" s="9"/>
      <c r="S135" s="10"/>
      <c r="T135" s="11">
        <f t="shared" si="61"/>
        <v>0</v>
      </c>
      <c r="U135" s="11">
        <f t="shared" si="62"/>
        <v>0</v>
      </c>
      <c r="V135" s="65"/>
    </row>
    <row r="136" spans="1:22" x14ac:dyDescent="0.15">
      <c r="A136" s="28" t="s">
        <v>62</v>
      </c>
      <c r="B136" s="8">
        <v>3</v>
      </c>
      <c r="C136" s="9">
        <v>1</v>
      </c>
      <c r="D136" s="10">
        <v>1</v>
      </c>
      <c r="E136" s="11">
        <f t="shared" si="57"/>
        <v>5</v>
      </c>
      <c r="F136" s="12">
        <v>4</v>
      </c>
      <c r="G136" s="9"/>
      <c r="H136" s="10">
        <v>10</v>
      </c>
      <c r="I136" s="11">
        <f t="shared" si="58"/>
        <v>14</v>
      </c>
      <c r="J136" s="11">
        <f t="shared" si="59"/>
        <v>19</v>
      </c>
      <c r="K136" s="65">
        <v>41912</v>
      </c>
      <c r="L136" s="28" t="s">
        <v>11</v>
      </c>
      <c r="M136" s="8"/>
      <c r="N136" s="9"/>
      <c r="O136" s="10"/>
      <c r="P136" s="11">
        <f t="shared" si="60"/>
        <v>0</v>
      </c>
      <c r="Q136" s="12"/>
      <c r="R136" s="9"/>
      <c r="S136" s="10"/>
      <c r="T136" s="11">
        <f t="shared" si="61"/>
        <v>0</v>
      </c>
      <c r="U136" s="11">
        <f t="shared" si="62"/>
        <v>0</v>
      </c>
    </row>
    <row r="137" spans="1:22" x14ac:dyDescent="0.15">
      <c r="A137" s="29" t="s">
        <v>138</v>
      </c>
      <c r="B137" s="8"/>
      <c r="C137" s="9"/>
      <c r="D137" s="10"/>
      <c r="E137" s="11">
        <f t="shared" si="57"/>
        <v>0</v>
      </c>
      <c r="F137" s="12">
        <v>1</v>
      </c>
      <c r="G137" s="9"/>
      <c r="H137" s="10"/>
      <c r="I137" s="11">
        <f t="shared" si="58"/>
        <v>1</v>
      </c>
      <c r="J137" s="11">
        <f t="shared" si="59"/>
        <v>1</v>
      </c>
      <c r="K137" s="71">
        <v>41939</v>
      </c>
      <c r="L137" s="28" t="s">
        <v>12</v>
      </c>
      <c r="M137" s="8"/>
      <c r="N137" s="9"/>
      <c r="O137" s="10"/>
      <c r="P137" s="11">
        <f t="shared" si="60"/>
        <v>0</v>
      </c>
      <c r="Q137" s="12"/>
      <c r="R137" s="9"/>
      <c r="S137" s="10"/>
      <c r="T137" s="11">
        <f t="shared" si="61"/>
        <v>0</v>
      </c>
      <c r="U137" s="11">
        <f t="shared" si="62"/>
        <v>0</v>
      </c>
    </row>
    <row r="138" spans="1:22" x14ac:dyDescent="0.15">
      <c r="A138" s="28" t="s">
        <v>15</v>
      </c>
      <c r="B138" s="8"/>
      <c r="C138" s="9"/>
      <c r="D138" s="10"/>
      <c r="E138" s="11">
        <f t="shared" si="57"/>
        <v>0</v>
      </c>
      <c r="F138" s="12"/>
      <c r="G138" s="9"/>
      <c r="H138" s="10"/>
      <c r="I138" s="11">
        <f t="shared" si="58"/>
        <v>0</v>
      </c>
      <c r="J138" s="11">
        <f t="shared" si="59"/>
        <v>0</v>
      </c>
      <c r="L138" s="28" t="s">
        <v>15</v>
      </c>
      <c r="M138" s="8"/>
      <c r="N138" s="9"/>
      <c r="O138" s="10"/>
      <c r="P138" s="11">
        <f t="shared" si="60"/>
        <v>0</v>
      </c>
      <c r="Q138" s="12"/>
      <c r="R138" s="9"/>
      <c r="S138" s="10"/>
      <c r="T138" s="11">
        <f t="shared" si="61"/>
        <v>0</v>
      </c>
      <c r="U138" s="11">
        <f t="shared" si="62"/>
        <v>0</v>
      </c>
    </row>
    <row r="139" spans="1:22" x14ac:dyDescent="0.15">
      <c r="A139" s="28" t="s">
        <v>16</v>
      </c>
      <c r="B139" s="8"/>
      <c r="C139" s="9"/>
      <c r="D139" s="10"/>
      <c r="E139" s="11">
        <f t="shared" si="57"/>
        <v>0</v>
      </c>
      <c r="F139" s="12"/>
      <c r="G139" s="9"/>
      <c r="H139" s="10"/>
      <c r="I139" s="11">
        <f t="shared" si="58"/>
        <v>0</v>
      </c>
      <c r="J139" s="11">
        <f t="shared" si="59"/>
        <v>0</v>
      </c>
      <c r="L139" s="28" t="s">
        <v>16</v>
      </c>
      <c r="M139" s="8"/>
      <c r="N139" s="9"/>
      <c r="O139" s="10"/>
      <c r="P139" s="11">
        <f t="shared" si="60"/>
        <v>0</v>
      </c>
      <c r="Q139" s="12"/>
      <c r="R139" s="9"/>
      <c r="S139" s="10"/>
      <c r="T139" s="11">
        <f t="shared" si="61"/>
        <v>0</v>
      </c>
      <c r="U139" s="11">
        <f t="shared" si="62"/>
        <v>0</v>
      </c>
    </row>
    <row r="140" spans="1:22" x14ac:dyDescent="0.15">
      <c r="A140" s="28" t="s">
        <v>17</v>
      </c>
      <c r="B140" s="13"/>
      <c r="C140" s="14"/>
      <c r="D140" s="15"/>
      <c r="E140" s="11">
        <f t="shared" si="57"/>
        <v>0</v>
      </c>
      <c r="F140" s="16"/>
      <c r="G140" s="14"/>
      <c r="H140" s="15"/>
      <c r="I140" s="11">
        <f t="shared" si="58"/>
        <v>0</v>
      </c>
      <c r="J140" s="11">
        <f t="shared" si="59"/>
        <v>0</v>
      </c>
      <c r="L140" s="28" t="s">
        <v>17</v>
      </c>
      <c r="M140" s="13"/>
      <c r="N140" s="14"/>
      <c r="O140" s="15"/>
      <c r="P140" s="11">
        <f t="shared" si="60"/>
        <v>0</v>
      </c>
      <c r="Q140" s="16"/>
      <c r="R140" s="14"/>
      <c r="S140" s="15"/>
      <c r="T140" s="11">
        <f t="shared" si="61"/>
        <v>0</v>
      </c>
      <c r="U140" s="11">
        <f t="shared" si="62"/>
        <v>0</v>
      </c>
    </row>
    <row r="141" spans="1:22" ht="14.25" thickBot="1" x14ac:dyDescent="0.2">
      <c r="A141" s="28" t="s">
        <v>18</v>
      </c>
      <c r="B141" s="36"/>
      <c r="C141" s="37"/>
      <c r="D141" s="40"/>
      <c r="E141" s="22">
        <f t="shared" si="57"/>
        <v>0</v>
      </c>
      <c r="F141" s="38"/>
      <c r="G141" s="38"/>
      <c r="H141" s="43"/>
      <c r="I141" s="22">
        <f t="shared" si="58"/>
        <v>0</v>
      </c>
      <c r="J141" s="22">
        <f t="shared" si="59"/>
        <v>0</v>
      </c>
      <c r="L141" s="28" t="s">
        <v>18</v>
      </c>
      <c r="M141" s="36"/>
      <c r="N141" s="37"/>
      <c r="O141" s="40"/>
      <c r="P141" s="22">
        <f t="shared" si="60"/>
        <v>0</v>
      </c>
      <c r="Q141" s="38"/>
      <c r="R141" s="38"/>
      <c r="S141" s="43"/>
      <c r="T141" s="22">
        <f t="shared" si="61"/>
        <v>0</v>
      </c>
      <c r="U141" s="22">
        <f t="shared" si="62"/>
        <v>0</v>
      </c>
    </row>
    <row r="142" spans="1:22" ht="14.25" thickBot="1" x14ac:dyDescent="0.2">
      <c r="A142" s="39" t="s">
        <v>20</v>
      </c>
      <c r="B142" s="32">
        <f t="shared" ref="B142:J142" si="63">SUM(B133:B141)</f>
        <v>63</v>
      </c>
      <c r="C142" s="33">
        <f t="shared" si="63"/>
        <v>68</v>
      </c>
      <c r="D142" s="34">
        <f t="shared" si="63"/>
        <v>43</v>
      </c>
      <c r="E142" s="42">
        <f t="shared" si="63"/>
        <v>174</v>
      </c>
      <c r="F142" s="32">
        <f t="shared" si="63"/>
        <v>83</v>
      </c>
      <c r="G142" s="33">
        <f t="shared" si="63"/>
        <v>86</v>
      </c>
      <c r="H142" s="34">
        <f t="shared" si="63"/>
        <v>75</v>
      </c>
      <c r="I142" s="42">
        <f t="shared" si="63"/>
        <v>244</v>
      </c>
      <c r="J142" s="42">
        <f t="shared" si="63"/>
        <v>418</v>
      </c>
      <c r="L142" s="39" t="s">
        <v>20</v>
      </c>
      <c r="M142" s="32">
        <f t="shared" ref="M142:U142" si="64">SUM(M133:M141)</f>
        <v>195</v>
      </c>
      <c r="N142" s="33">
        <f t="shared" si="64"/>
        <v>145</v>
      </c>
      <c r="O142" s="34">
        <f t="shared" si="64"/>
        <v>0</v>
      </c>
      <c r="P142" s="42">
        <f t="shared" si="64"/>
        <v>340</v>
      </c>
      <c r="Q142" s="32">
        <f t="shared" si="64"/>
        <v>45</v>
      </c>
      <c r="R142" s="33">
        <f t="shared" si="64"/>
        <v>95</v>
      </c>
      <c r="S142" s="34">
        <f t="shared" si="64"/>
        <v>0</v>
      </c>
      <c r="T142" s="42">
        <f t="shared" si="64"/>
        <v>140</v>
      </c>
      <c r="U142" s="42">
        <f t="shared" si="64"/>
        <v>480</v>
      </c>
    </row>
    <row r="143" spans="1:22" x14ac:dyDescent="0.15">
      <c r="A143" s="26" t="s">
        <v>111</v>
      </c>
      <c r="B143" s="13"/>
      <c r="C143" s="14">
        <v>10</v>
      </c>
      <c r="D143" s="15"/>
      <c r="E143" s="11">
        <f>SUM(B143:D143)</f>
        <v>10</v>
      </c>
      <c r="F143" s="16"/>
      <c r="G143" s="14"/>
      <c r="H143" s="15"/>
      <c r="I143" s="11">
        <f>SUM(F143:H143)</f>
        <v>0</v>
      </c>
      <c r="J143" s="11">
        <f>E143+I143</f>
        <v>10</v>
      </c>
      <c r="K143" s="65">
        <v>41906</v>
      </c>
      <c r="L143" s="28" t="s">
        <v>132</v>
      </c>
      <c r="M143" s="8">
        <v>50</v>
      </c>
      <c r="N143" s="9">
        <v>50</v>
      </c>
      <c r="O143" s="10"/>
      <c r="P143" s="11">
        <f>SUM(M143:O143)</f>
        <v>100</v>
      </c>
      <c r="Q143" s="12"/>
      <c r="R143" s="9"/>
      <c r="S143" s="10"/>
      <c r="T143" s="11">
        <f>SUM(Q143:S143)</f>
        <v>0</v>
      </c>
      <c r="U143" s="11">
        <f>P143+T143</f>
        <v>100</v>
      </c>
      <c r="V143" s="65">
        <v>41922</v>
      </c>
    </row>
    <row r="144" spans="1:22" x14ac:dyDescent="0.15">
      <c r="A144" s="29" t="s">
        <v>112</v>
      </c>
      <c r="B144" s="13"/>
      <c r="C144" s="14"/>
      <c r="D144" s="15"/>
      <c r="E144" s="11">
        <f t="shared" ref="E144:E168" si="65">SUM(B144:D144)</f>
        <v>0</v>
      </c>
      <c r="F144" s="16">
        <v>1</v>
      </c>
      <c r="G144" s="14"/>
      <c r="H144" s="15"/>
      <c r="I144" s="11">
        <f t="shared" ref="I144:I168" si="66">SUM(F144:H144)</f>
        <v>1</v>
      </c>
      <c r="J144" s="11">
        <f t="shared" ref="J144:J168" si="67">E144+I144</f>
        <v>1</v>
      </c>
      <c r="K144" s="71">
        <v>41900</v>
      </c>
      <c r="L144" s="27" t="s">
        <v>132</v>
      </c>
      <c r="M144" s="8"/>
      <c r="N144" s="9"/>
      <c r="O144" s="10"/>
      <c r="P144" s="11">
        <f>SUM(M144:O144)</f>
        <v>0</v>
      </c>
      <c r="Q144" s="12">
        <v>45</v>
      </c>
      <c r="R144" s="9"/>
      <c r="S144" s="10"/>
      <c r="T144" s="11">
        <f>SUM(Q144:S144)</f>
        <v>45</v>
      </c>
      <c r="U144" s="11">
        <f>P144+T144</f>
        <v>45</v>
      </c>
      <c r="V144" s="65">
        <v>41932</v>
      </c>
    </row>
    <row r="145" spans="1:22" x14ac:dyDescent="0.15">
      <c r="A145" s="6" t="s">
        <v>113</v>
      </c>
      <c r="B145" s="8">
        <v>1</v>
      </c>
      <c r="C145" s="9">
        <v>1</v>
      </c>
      <c r="D145" s="10">
        <v>2</v>
      </c>
      <c r="E145" s="11">
        <f t="shared" si="65"/>
        <v>4</v>
      </c>
      <c r="F145" s="12">
        <v>2</v>
      </c>
      <c r="G145" s="9"/>
      <c r="H145" s="10"/>
      <c r="I145" s="11">
        <f t="shared" si="66"/>
        <v>2</v>
      </c>
      <c r="J145" s="11">
        <f t="shared" si="67"/>
        <v>6</v>
      </c>
      <c r="K145" s="71">
        <v>41899</v>
      </c>
      <c r="L145" s="27" t="s">
        <v>132</v>
      </c>
      <c r="M145" s="8"/>
      <c r="N145" s="9"/>
      <c r="O145" s="10"/>
      <c r="P145" s="11">
        <f t="shared" ref="P145:P164" si="68">SUM(M145:O145)</f>
        <v>0</v>
      </c>
      <c r="Q145" s="12"/>
      <c r="R145" s="9">
        <v>50</v>
      </c>
      <c r="S145" s="10"/>
      <c r="T145" s="11">
        <f t="shared" ref="T145:T164" si="69">SUM(Q145:S145)</f>
        <v>50</v>
      </c>
      <c r="U145" s="11">
        <f t="shared" ref="U145:U164" si="70">P145+T145</f>
        <v>50</v>
      </c>
      <c r="V145" s="65">
        <v>41950</v>
      </c>
    </row>
    <row r="146" spans="1:22" x14ac:dyDescent="0.15">
      <c r="A146" s="29" t="s">
        <v>114</v>
      </c>
      <c r="B146" s="8">
        <v>2</v>
      </c>
      <c r="C146" s="9"/>
      <c r="D146" s="10"/>
      <c r="E146" s="11">
        <f t="shared" si="65"/>
        <v>2</v>
      </c>
      <c r="F146" s="12"/>
      <c r="G146" s="9"/>
      <c r="H146" s="10">
        <v>2</v>
      </c>
      <c r="I146" s="11">
        <f t="shared" si="66"/>
        <v>2</v>
      </c>
      <c r="J146" s="11">
        <f t="shared" si="67"/>
        <v>4</v>
      </c>
      <c r="K146" s="71">
        <v>41904</v>
      </c>
      <c r="L146" s="27" t="s">
        <v>132</v>
      </c>
      <c r="M146" s="8"/>
      <c r="N146" s="9">
        <v>50</v>
      </c>
      <c r="O146" s="10"/>
      <c r="P146" s="11">
        <f t="shared" si="68"/>
        <v>50</v>
      </c>
      <c r="Q146" s="12"/>
      <c r="R146" s="9">
        <v>45</v>
      </c>
      <c r="S146" s="10"/>
      <c r="T146" s="11">
        <f t="shared" si="69"/>
        <v>45</v>
      </c>
      <c r="U146" s="11">
        <f t="shared" si="70"/>
        <v>95</v>
      </c>
      <c r="V146" s="65">
        <v>41964</v>
      </c>
    </row>
    <row r="147" spans="1:22" x14ac:dyDescent="0.15">
      <c r="A147" s="29" t="s">
        <v>115</v>
      </c>
      <c r="B147" s="8"/>
      <c r="C147" s="9"/>
      <c r="D147" s="10"/>
      <c r="E147" s="11">
        <f t="shared" si="65"/>
        <v>0</v>
      </c>
      <c r="F147" s="12">
        <v>1</v>
      </c>
      <c r="G147" s="9"/>
      <c r="H147" s="10"/>
      <c r="I147" s="11">
        <f t="shared" si="66"/>
        <v>1</v>
      </c>
      <c r="J147" s="11">
        <f t="shared" si="67"/>
        <v>1</v>
      </c>
      <c r="K147" s="71">
        <v>41906</v>
      </c>
      <c r="L147" s="27" t="s">
        <v>132</v>
      </c>
      <c r="M147" s="8">
        <v>45</v>
      </c>
      <c r="N147" s="9">
        <v>45</v>
      </c>
      <c r="O147" s="10"/>
      <c r="P147" s="11">
        <f t="shared" si="68"/>
        <v>90</v>
      </c>
      <c r="Q147" s="12"/>
      <c r="R147" s="9"/>
      <c r="S147" s="10"/>
      <c r="T147" s="11">
        <f t="shared" si="69"/>
        <v>0</v>
      </c>
      <c r="U147" s="11">
        <f t="shared" si="70"/>
        <v>90</v>
      </c>
      <c r="V147" s="65">
        <v>41976</v>
      </c>
    </row>
    <row r="148" spans="1:22" x14ac:dyDescent="0.15">
      <c r="A148" s="27" t="s">
        <v>116</v>
      </c>
      <c r="B148" s="8"/>
      <c r="C148" s="9">
        <v>1</v>
      </c>
      <c r="D148" s="10">
        <v>1</v>
      </c>
      <c r="E148" s="11">
        <f t="shared" si="65"/>
        <v>2</v>
      </c>
      <c r="F148" s="12"/>
      <c r="G148" s="9">
        <v>1</v>
      </c>
      <c r="H148" s="10"/>
      <c r="I148" s="11">
        <f t="shared" si="66"/>
        <v>1</v>
      </c>
      <c r="J148" s="11">
        <f t="shared" si="67"/>
        <v>3</v>
      </c>
      <c r="K148" s="71">
        <v>41911</v>
      </c>
      <c r="L148" s="27" t="s">
        <v>132</v>
      </c>
      <c r="M148" s="8">
        <v>50</v>
      </c>
      <c r="N148" s="9"/>
      <c r="O148" s="10"/>
      <c r="P148" s="11">
        <f t="shared" si="68"/>
        <v>50</v>
      </c>
      <c r="Q148" s="12"/>
      <c r="R148" s="9"/>
      <c r="S148" s="10"/>
      <c r="T148" s="11">
        <f t="shared" si="69"/>
        <v>0</v>
      </c>
      <c r="U148" s="11">
        <f t="shared" si="70"/>
        <v>50</v>
      </c>
      <c r="V148" s="65">
        <v>42012</v>
      </c>
    </row>
    <row r="149" spans="1:22" x14ac:dyDescent="0.15">
      <c r="A149" s="27" t="s">
        <v>32</v>
      </c>
      <c r="B149" s="8"/>
      <c r="C149" s="9"/>
      <c r="D149" s="10"/>
      <c r="E149" s="11">
        <f t="shared" si="65"/>
        <v>0</v>
      </c>
      <c r="F149" s="12"/>
      <c r="G149" s="9">
        <v>1</v>
      </c>
      <c r="H149" s="10"/>
      <c r="I149" s="11">
        <f t="shared" si="66"/>
        <v>1</v>
      </c>
      <c r="J149" s="11">
        <f t="shared" si="67"/>
        <v>1</v>
      </c>
      <c r="K149" s="71">
        <v>41911</v>
      </c>
      <c r="L149" s="27" t="s">
        <v>213</v>
      </c>
      <c r="M149" s="8">
        <v>50</v>
      </c>
      <c r="N149" s="9"/>
      <c r="O149" s="10"/>
      <c r="P149" s="11">
        <f t="shared" si="68"/>
        <v>50</v>
      </c>
      <c r="Q149" s="12"/>
      <c r="R149" s="9"/>
      <c r="S149" s="10"/>
      <c r="T149" s="11">
        <f t="shared" si="69"/>
        <v>0</v>
      </c>
      <c r="U149" s="11">
        <f t="shared" si="70"/>
        <v>50</v>
      </c>
      <c r="V149" s="65">
        <v>42056</v>
      </c>
    </row>
    <row r="150" spans="1:22" x14ac:dyDescent="0.15">
      <c r="A150" s="29" t="s">
        <v>119</v>
      </c>
      <c r="B150" s="8"/>
      <c r="C150" s="9"/>
      <c r="D150" s="10">
        <v>2</v>
      </c>
      <c r="E150" s="11">
        <f t="shared" si="65"/>
        <v>2</v>
      </c>
      <c r="F150" s="12"/>
      <c r="G150" s="9"/>
      <c r="H150" s="10"/>
      <c r="I150" s="11">
        <f t="shared" si="66"/>
        <v>0</v>
      </c>
      <c r="J150" s="11">
        <f t="shared" si="67"/>
        <v>2</v>
      </c>
      <c r="K150" s="65">
        <v>41913</v>
      </c>
      <c r="L150" s="29"/>
      <c r="M150" s="8"/>
      <c r="N150" s="9"/>
      <c r="O150" s="10"/>
      <c r="P150" s="11">
        <f t="shared" si="68"/>
        <v>0</v>
      </c>
      <c r="Q150" s="12"/>
      <c r="R150" s="9"/>
      <c r="S150" s="10"/>
      <c r="T150" s="11">
        <f t="shared" si="69"/>
        <v>0</v>
      </c>
      <c r="U150" s="11">
        <f t="shared" si="70"/>
        <v>0</v>
      </c>
    </row>
    <row r="151" spans="1:22" x14ac:dyDescent="0.15">
      <c r="A151" s="29" t="s">
        <v>120</v>
      </c>
      <c r="B151" s="13">
        <v>1</v>
      </c>
      <c r="C151" s="14"/>
      <c r="D151" s="15"/>
      <c r="E151" s="11">
        <f t="shared" si="65"/>
        <v>1</v>
      </c>
      <c r="F151" s="16"/>
      <c r="G151" s="14"/>
      <c r="H151" s="15"/>
      <c r="I151" s="11">
        <f t="shared" si="66"/>
        <v>0</v>
      </c>
      <c r="J151" s="11">
        <f t="shared" si="67"/>
        <v>1</v>
      </c>
      <c r="K151" s="65">
        <v>41915</v>
      </c>
      <c r="L151" s="27"/>
      <c r="M151" s="8"/>
      <c r="N151" s="9"/>
      <c r="O151" s="10"/>
      <c r="P151" s="11">
        <f t="shared" si="68"/>
        <v>0</v>
      </c>
      <c r="Q151" s="12"/>
      <c r="R151" s="9"/>
      <c r="S151" s="10"/>
      <c r="T151" s="11">
        <f t="shared" si="69"/>
        <v>0</v>
      </c>
      <c r="U151" s="11">
        <f t="shared" si="70"/>
        <v>0</v>
      </c>
    </row>
    <row r="152" spans="1:22" x14ac:dyDescent="0.15">
      <c r="A152" s="29" t="s">
        <v>215</v>
      </c>
      <c r="B152" s="13">
        <v>1</v>
      </c>
      <c r="C152" s="14"/>
      <c r="D152" s="15"/>
      <c r="E152" s="11">
        <f t="shared" si="65"/>
        <v>1</v>
      </c>
      <c r="F152" s="16"/>
      <c r="G152" s="14"/>
      <c r="H152" s="15"/>
      <c r="I152" s="11">
        <f t="shared" si="66"/>
        <v>0</v>
      </c>
      <c r="J152" s="11">
        <f t="shared" si="67"/>
        <v>1</v>
      </c>
      <c r="K152" s="65">
        <v>42059</v>
      </c>
      <c r="L152" s="29"/>
      <c r="M152" s="13"/>
      <c r="N152" s="14"/>
      <c r="O152" s="15"/>
      <c r="P152" s="11">
        <f t="shared" si="68"/>
        <v>0</v>
      </c>
      <c r="Q152" s="16"/>
      <c r="R152" s="14"/>
      <c r="S152" s="15"/>
      <c r="T152" s="11">
        <f t="shared" si="69"/>
        <v>0</v>
      </c>
      <c r="U152" s="11">
        <f t="shared" si="70"/>
        <v>0</v>
      </c>
    </row>
    <row r="153" spans="1:22" x14ac:dyDescent="0.15">
      <c r="A153" s="29" t="s">
        <v>216</v>
      </c>
      <c r="B153" s="8"/>
      <c r="C153" s="9"/>
      <c r="D153" s="10"/>
      <c r="E153" s="11">
        <f t="shared" si="65"/>
        <v>0</v>
      </c>
      <c r="F153" s="12"/>
      <c r="G153" s="9"/>
      <c r="H153" s="10">
        <v>3</v>
      </c>
      <c r="I153" s="11">
        <f t="shared" si="66"/>
        <v>3</v>
      </c>
      <c r="J153" s="11">
        <f t="shared" si="67"/>
        <v>3</v>
      </c>
      <c r="K153" s="71">
        <v>42061</v>
      </c>
      <c r="L153" s="29"/>
      <c r="M153" s="8"/>
      <c r="N153" s="9"/>
      <c r="O153" s="10"/>
      <c r="P153" s="11">
        <f t="shared" si="68"/>
        <v>0</v>
      </c>
      <c r="Q153" s="12"/>
      <c r="R153" s="9"/>
      <c r="S153" s="10"/>
      <c r="T153" s="11">
        <f t="shared" si="69"/>
        <v>0</v>
      </c>
      <c r="U153" s="11">
        <f t="shared" si="70"/>
        <v>0</v>
      </c>
    </row>
    <row r="154" spans="1:22" x14ac:dyDescent="0.15">
      <c r="A154" s="29"/>
      <c r="B154" s="8"/>
      <c r="C154" s="9"/>
      <c r="D154" s="10"/>
      <c r="E154" s="11">
        <f t="shared" si="65"/>
        <v>0</v>
      </c>
      <c r="F154" s="12"/>
      <c r="G154" s="9"/>
      <c r="H154" s="10"/>
      <c r="I154" s="11">
        <f t="shared" si="66"/>
        <v>0</v>
      </c>
      <c r="J154" s="11">
        <f t="shared" si="67"/>
        <v>0</v>
      </c>
      <c r="L154" s="29"/>
      <c r="M154" s="8"/>
      <c r="N154" s="9"/>
      <c r="O154" s="10"/>
      <c r="P154" s="11">
        <f t="shared" si="68"/>
        <v>0</v>
      </c>
      <c r="Q154" s="12"/>
      <c r="R154" s="9"/>
      <c r="S154" s="10"/>
      <c r="T154" s="11">
        <f t="shared" si="69"/>
        <v>0</v>
      </c>
      <c r="U154" s="11">
        <f t="shared" si="70"/>
        <v>0</v>
      </c>
    </row>
    <row r="155" spans="1:22" x14ac:dyDescent="0.15">
      <c r="A155" s="27"/>
      <c r="B155" s="8"/>
      <c r="C155" s="9"/>
      <c r="D155" s="10"/>
      <c r="E155" s="11">
        <f t="shared" si="65"/>
        <v>0</v>
      </c>
      <c r="F155" s="12"/>
      <c r="G155" s="9"/>
      <c r="H155" s="10"/>
      <c r="I155" s="11">
        <f t="shared" si="66"/>
        <v>0</v>
      </c>
      <c r="J155" s="11">
        <f t="shared" si="67"/>
        <v>0</v>
      </c>
      <c r="L155" s="27"/>
      <c r="M155" s="8"/>
      <c r="N155" s="9"/>
      <c r="O155" s="10"/>
      <c r="P155" s="11">
        <f t="shared" si="68"/>
        <v>0</v>
      </c>
      <c r="Q155" s="12"/>
      <c r="R155" s="9"/>
      <c r="S155" s="10"/>
      <c r="T155" s="11">
        <f t="shared" si="69"/>
        <v>0</v>
      </c>
      <c r="U155" s="11">
        <f t="shared" si="70"/>
        <v>0</v>
      </c>
    </row>
    <row r="156" spans="1:22" x14ac:dyDescent="0.15">
      <c r="A156" s="29"/>
      <c r="B156" s="8"/>
      <c r="C156" s="9"/>
      <c r="D156" s="10"/>
      <c r="E156" s="11">
        <f t="shared" si="65"/>
        <v>0</v>
      </c>
      <c r="F156" s="12"/>
      <c r="G156" s="9"/>
      <c r="H156" s="10"/>
      <c r="I156" s="11">
        <f t="shared" si="66"/>
        <v>0</v>
      </c>
      <c r="J156" s="11">
        <f t="shared" si="67"/>
        <v>0</v>
      </c>
      <c r="L156" s="29"/>
      <c r="M156" s="8"/>
      <c r="N156" s="9"/>
      <c r="O156" s="10"/>
      <c r="P156" s="11">
        <f t="shared" si="68"/>
        <v>0</v>
      </c>
      <c r="Q156" s="12"/>
      <c r="R156" s="9"/>
      <c r="S156" s="10"/>
      <c r="T156" s="11">
        <f t="shared" si="69"/>
        <v>0</v>
      </c>
      <c r="U156" s="11">
        <f t="shared" si="70"/>
        <v>0</v>
      </c>
    </row>
    <row r="157" spans="1:22" x14ac:dyDescent="0.15">
      <c r="A157" s="29"/>
      <c r="B157" s="8"/>
      <c r="C157" s="9"/>
      <c r="D157" s="10"/>
      <c r="E157" s="11">
        <f t="shared" si="65"/>
        <v>0</v>
      </c>
      <c r="F157" s="12"/>
      <c r="G157" s="9"/>
      <c r="H157" s="10"/>
      <c r="I157" s="11">
        <f t="shared" si="66"/>
        <v>0</v>
      </c>
      <c r="J157" s="11">
        <f t="shared" si="67"/>
        <v>0</v>
      </c>
      <c r="L157" s="29"/>
      <c r="M157" s="8"/>
      <c r="N157" s="9"/>
      <c r="O157" s="10"/>
      <c r="P157" s="11">
        <f t="shared" si="68"/>
        <v>0</v>
      </c>
      <c r="Q157" s="12"/>
      <c r="R157" s="9"/>
      <c r="S157" s="10"/>
      <c r="T157" s="11">
        <f t="shared" si="69"/>
        <v>0</v>
      </c>
      <c r="U157" s="11">
        <f t="shared" si="70"/>
        <v>0</v>
      </c>
    </row>
    <row r="158" spans="1:22" x14ac:dyDescent="0.15">
      <c r="A158" s="27"/>
      <c r="B158" s="8"/>
      <c r="C158" s="9"/>
      <c r="D158" s="10"/>
      <c r="E158" s="11">
        <f t="shared" si="65"/>
        <v>0</v>
      </c>
      <c r="F158" s="12"/>
      <c r="G158" s="9"/>
      <c r="H158" s="10"/>
      <c r="I158" s="11">
        <f t="shared" si="66"/>
        <v>0</v>
      </c>
      <c r="J158" s="11">
        <f t="shared" si="67"/>
        <v>0</v>
      </c>
      <c r="L158" s="27"/>
      <c r="M158" s="8"/>
      <c r="N158" s="9"/>
      <c r="O158" s="10"/>
      <c r="P158" s="11">
        <f t="shared" si="68"/>
        <v>0</v>
      </c>
      <c r="Q158" s="12"/>
      <c r="R158" s="9"/>
      <c r="S158" s="10"/>
      <c r="T158" s="11">
        <f t="shared" si="69"/>
        <v>0</v>
      </c>
      <c r="U158" s="11">
        <f t="shared" si="70"/>
        <v>0</v>
      </c>
    </row>
    <row r="159" spans="1:22" x14ac:dyDescent="0.15">
      <c r="A159" s="29"/>
      <c r="B159" s="8"/>
      <c r="C159" s="9"/>
      <c r="D159" s="10"/>
      <c r="E159" s="11">
        <f t="shared" si="65"/>
        <v>0</v>
      </c>
      <c r="F159" s="12"/>
      <c r="G159" s="9"/>
      <c r="H159" s="10"/>
      <c r="I159" s="11">
        <f t="shared" si="66"/>
        <v>0</v>
      </c>
      <c r="J159" s="11">
        <f t="shared" si="67"/>
        <v>0</v>
      </c>
      <c r="L159" s="29"/>
      <c r="M159" s="8"/>
      <c r="N159" s="9"/>
      <c r="O159" s="10"/>
      <c r="P159" s="11">
        <f t="shared" si="68"/>
        <v>0</v>
      </c>
      <c r="Q159" s="12"/>
      <c r="R159" s="9"/>
      <c r="S159" s="10"/>
      <c r="T159" s="11">
        <f t="shared" si="69"/>
        <v>0</v>
      </c>
      <c r="U159" s="11">
        <f t="shared" si="70"/>
        <v>0</v>
      </c>
    </row>
    <row r="160" spans="1:22" x14ac:dyDescent="0.15">
      <c r="A160" s="27"/>
      <c r="B160" s="8"/>
      <c r="C160" s="9"/>
      <c r="D160" s="10"/>
      <c r="E160" s="11">
        <f t="shared" si="65"/>
        <v>0</v>
      </c>
      <c r="F160" s="12"/>
      <c r="G160" s="9"/>
      <c r="H160" s="10"/>
      <c r="I160" s="11">
        <f t="shared" si="66"/>
        <v>0</v>
      </c>
      <c r="J160" s="11">
        <f t="shared" si="67"/>
        <v>0</v>
      </c>
      <c r="L160" s="27"/>
      <c r="M160" s="8"/>
      <c r="N160" s="9"/>
      <c r="O160" s="10"/>
      <c r="P160" s="11">
        <f t="shared" si="68"/>
        <v>0</v>
      </c>
      <c r="Q160" s="12"/>
      <c r="R160" s="9"/>
      <c r="S160" s="10"/>
      <c r="T160" s="11">
        <f t="shared" si="69"/>
        <v>0</v>
      </c>
      <c r="U160" s="11">
        <f t="shared" si="70"/>
        <v>0</v>
      </c>
    </row>
    <row r="161" spans="1:22" x14ac:dyDescent="0.15">
      <c r="A161" s="26"/>
      <c r="B161" s="8"/>
      <c r="C161" s="9"/>
      <c r="D161" s="10"/>
      <c r="E161" s="11">
        <f t="shared" si="65"/>
        <v>0</v>
      </c>
      <c r="F161" s="12"/>
      <c r="G161" s="9"/>
      <c r="H161" s="10"/>
      <c r="I161" s="11">
        <f t="shared" si="66"/>
        <v>0</v>
      </c>
      <c r="J161" s="11">
        <f t="shared" si="67"/>
        <v>0</v>
      </c>
      <c r="L161" s="26"/>
      <c r="M161" s="8"/>
      <c r="N161" s="9"/>
      <c r="O161" s="10"/>
      <c r="P161" s="11">
        <f t="shared" si="68"/>
        <v>0</v>
      </c>
      <c r="Q161" s="12"/>
      <c r="R161" s="9"/>
      <c r="S161" s="10"/>
      <c r="T161" s="11">
        <f t="shared" si="69"/>
        <v>0</v>
      </c>
      <c r="U161" s="11">
        <f t="shared" si="70"/>
        <v>0</v>
      </c>
    </row>
    <row r="162" spans="1:22" x14ac:dyDescent="0.15">
      <c r="A162" s="26"/>
      <c r="B162" s="8"/>
      <c r="C162" s="9"/>
      <c r="D162" s="10"/>
      <c r="E162" s="11">
        <f t="shared" si="65"/>
        <v>0</v>
      </c>
      <c r="F162" s="12"/>
      <c r="G162" s="9"/>
      <c r="H162" s="10"/>
      <c r="I162" s="11">
        <f t="shared" si="66"/>
        <v>0</v>
      </c>
      <c r="J162" s="11">
        <f t="shared" si="67"/>
        <v>0</v>
      </c>
      <c r="L162" s="26"/>
      <c r="M162" s="8"/>
      <c r="N162" s="9"/>
      <c r="O162" s="10"/>
      <c r="P162" s="11">
        <f t="shared" si="68"/>
        <v>0</v>
      </c>
      <c r="Q162" s="12"/>
      <c r="R162" s="9"/>
      <c r="S162" s="10"/>
      <c r="T162" s="11">
        <f t="shared" si="69"/>
        <v>0</v>
      </c>
      <c r="U162" s="11">
        <f t="shared" si="70"/>
        <v>0</v>
      </c>
    </row>
    <row r="163" spans="1:22" x14ac:dyDescent="0.15">
      <c r="A163" s="27"/>
      <c r="B163" s="8"/>
      <c r="C163" s="9"/>
      <c r="D163" s="10"/>
      <c r="E163" s="11">
        <f t="shared" si="65"/>
        <v>0</v>
      </c>
      <c r="F163" s="12"/>
      <c r="G163" s="9"/>
      <c r="H163" s="10"/>
      <c r="I163" s="11">
        <f t="shared" si="66"/>
        <v>0</v>
      </c>
      <c r="J163" s="11">
        <f t="shared" si="67"/>
        <v>0</v>
      </c>
      <c r="L163" s="27"/>
      <c r="M163" s="8"/>
      <c r="N163" s="9"/>
      <c r="O163" s="10"/>
      <c r="P163" s="11">
        <f t="shared" si="68"/>
        <v>0</v>
      </c>
      <c r="Q163" s="12"/>
      <c r="R163" s="9"/>
      <c r="S163" s="10"/>
      <c r="T163" s="11">
        <f t="shared" si="69"/>
        <v>0</v>
      </c>
      <c r="U163" s="11">
        <f t="shared" si="70"/>
        <v>0</v>
      </c>
    </row>
    <row r="164" spans="1:22" x14ac:dyDescent="0.15">
      <c r="A164" s="29"/>
      <c r="B164" s="13"/>
      <c r="C164" s="14"/>
      <c r="D164" s="15"/>
      <c r="E164" s="11">
        <f t="shared" si="65"/>
        <v>0</v>
      </c>
      <c r="F164" s="16"/>
      <c r="G164" s="14"/>
      <c r="H164" s="15"/>
      <c r="I164" s="11">
        <f t="shared" si="66"/>
        <v>0</v>
      </c>
      <c r="J164" s="11">
        <f t="shared" si="67"/>
        <v>0</v>
      </c>
      <c r="L164" s="29"/>
      <c r="M164" s="13"/>
      <c r="N164" s="14"/>
      <c r="O164" s="15"/>
      <c r="P164" s="11">
        <f t="shared" si="68"/>
        <v>0</v>
      </c>
      <c r="Q164" s="16"/>
      <c r="R164" s="14"/>
      <c r="S164" s="15"/>
      <c r="T164" s="11">
        <f t="shared" si="69"/>
        <v>0</v>
      </c>
      <c r="U164" s="11">
        <f t="shared" si="70"/>
        <v>0</v>
      </c>
      <c r="V164" s="65"/>
    </row>
    <row r="165" spans="1:22" x14ac:dyDescent="0.15">
      <c r="A165" s="27"/>
      <c r="B165" s="8"/>
      <c r="C165" s="9"/>
      <c r="D165" s="10"/>
      <c r="E165" s="11">
        <f t="shared" si="65"/>
        <v>0</v>
      </c>
      <c r="F165" s="12"/>
      <c r="G165" s="9"/>
      <c r="H165" s="10"/>
      <c r="I165" s="11">
        <f t="shared" si="66"/>
        <v>0</v>
      </c>
      <c r="J165" s="11">
        <f t="shared" si="67"/>
        <v>0</v>
      </c>
      <c r="L165" s="29"/>
      <c r="M165" s="8"/>
      <c r="N165" s="9"/>
      <c r="O165" s="10"/>
      <c r="P165" s="11">
        <f>SUM(M165:O165)</f>
        <v>0</v>
      </c>
      <c r="Q165" s="12"/>
      <c r="R165" s="9"/>
      <c r="S165" s="10"/>
      <c r="T165" s="11">
        <f>SUM(Q165:S165)</f>
        <v>0</v>
      </c>
      <c r="U165" s="11">
        <f>P165+T165</f>
        <v>0</v>
      </c>
      <c r="V165" s="65"/>
    </row>
    <row r="166" spans="1:22" x14ac:dyDescent="0.15">
      <c r="A166" s="29"/>
      <c r="B166" s="8"/>
      <c r="C166" s="9"/>
      <c r="D166" s="10"/>
      <c r="E166" s="11">
        <f t="shared" si="65"/>
        <v>0</v>
      </c>
      <c r="F166" s="12"/>
      <c r="G166" s="9"/>
      <c r="H166" s="10"/>
      <c r="I166" s="11">
        <f t="shared" si="66"/>
        <v>0</v>
      </c>
      <c r="J166" s="11">
        <f t="shared" si="67"/>
        <v>0</v>
      </c>
      <c r="L166" s="29"/>
      <c r="M166" s="8"/>
      <c r="N166" s="9"/>
      <c r="O166" s="10"/>
      <c r="P166" s="11">
        <f>SUM(M166:O166)</f>
        <v>0</v>
      </c>
      <c r="Q166" s="12"/>
      <c r="R166" s="9"/>
      <c r="S166" s="10"/>
      <c r="T166" s="11">
        <f>SUM(Q166:S166)</f>
        <v>0</v>
      </c>
      <c r="U166" s="11">
        <f>P166+T166</f>
        <v>0</v>
      </c>
      <c r="V166" s="65"/>
    </row>
    <row r="167" spans="1:22" x14ac:dyDescent="0.15">
      <c r="A167" s="29"/>
      <c r="B167" s="8"/>
      <c r="C167" s="9"/>
      <c r="D167" s="10"/>
      <c r="E167" s="11">
        <f t="shared" si="65"/>
        <v>0</v>
      </c>
      <c r="F167" s="12"/>
      <c r="G167" s="9"/>
      <c r="H167" s="10"/>
      <c r="I167" s="11">
        <f t="shared" si="66"/>
        <v>0</v>
      </c>
      <c r="J167" s="11">
        <f t="shared" si="67"/>
        <v>0</v>
      </c>
      <c r="L167" s="29"/>
      <c r="M167" s="13"/>
      <c r="N167" s="14"/>
      <c r="O167" s="15"/>
      <c r="P167" s="11">
        <f>SUM(M167:O167)</f>
        <v>0</v>
      </c>
      <c r="Q167" s="16"/>
      <c r="R167" s="14"/>
      <c r="S167" s="15"/>
      <c r="T167" s="11">
        <f>SUM(Q167:S167)</f>
        <v>0</v>
      </c>
      <c r="U167" s="11">
        <f>P167+T167</f>
        <v>0</v>
      </c>
      <c r="V167" s="65"/>
    </row>
    <row r="168" spans="1:22" ht="14.25" thickBot="1" x14ac:dyDescent="0.2">
      <c r="A168" s="29"/>
      <c r="B168" s="8"/>
      <c r="C168" s="9"/>
      <c r="D168" s="10"/>
      <c r="E168" s="11">
        <f t="shared" si="65"/>
        <v>0</v>
      </c>
      <c r="F168" s="16"/>
      <c r="G168" s="14"/>
      <c r="H168" s="15"/>
      <c r="I168" s="11">
        <f t="shared" si="66"/>
        <v>0</v>
      </c>
      <c r="J168" s="11">
        <f t="shared" si="67"/>
        <v>0</v>
      </c>
      <c r="K168" s="64"/>
      <c r="L168" s="29"/>
      <c r="M168" s="8"/>
      <c r="N168" s="9"/>
      <c r="O168" s="10"/>
      <c r="P168" s="11">
        <f>SUM(M168:O168)</f>
        <v>0</v>
      </c>
      <c r="Q168" s="12"/>
      <c r="R168" s="9"/>
      <c r="S168" s="10"/>
      <c r="T168" s="11">
        <f>SUM(Q168:S168)</f>
        <v>0</v>
      </c>
      <c r="U168" s="11">
        <f>P168+T168</f>
        <v>0</v>
      </c>
      <c r="V168" s="65"/>
    </row>
    <row r="169" spans="1:22" ht="14.25" thickBot="1" x14ac:dyDescent="0.2">
      <c r="A169" s="44" t="s">
        <v>13</v>
      </c>
      <c r="B169" s="48">
        <f t="shared" ref="B169:I169" si="71">SUM(B143:B168)</f>
        <v>5</v>
      </c>
      <c r="C169" s="49">
        <f t="shared" si="71"/>
        <v>12</v>
      </c>
      <c r="D169" s="50">
        <f t="shared" si="71"/>
        <v>5</v>
      </c>
      <c r="E169" s="46">
        <f t="shared" si="71"/>
        <v>22</v>
      </c>
      <c r="F169" s="48">
        <f t="shared" si="71"/>
        <v>4</v>
      </c>
      <c r="G169" s="49">
        <f t="shared" si="71"/>
        <v>2</v>
      </c>
      <c r="H169" s="50">
        <f t="shared" si="71"/>
        <v>5</v>
      </c>
      <c r="I169" s="46">
        <f t="shared" si="71"/>
        <v>11</v>
      </c>
      <c r="J169" s="35">
        <f>E169+I169</f>
        <v>33</v>
      </c>
      <c r="L169" s="44" t="s">
        <v>13</v>
      </c>
      <c r="M169" s="48">
        <f t="shared" ref="M169:T169" si="72">SUM(M143:M168)</f>
        <v>195</v>
      </c>
      <c r="N169" s="49">
        <f t="shared" si="72"/>
        <v>145</v>
      </c>
      <c r="O169" s="50">
        <f t="shared" si="72"/>
        <v>0</v>
      </c>
      <c r="P169" s="46">
        <f t="shared" si="72"/>
        <v>340</v>
      </c>
      <c r="Q169" s="48">
        <f t="shared" si="72"/>
        <v>45</v>
      </c>
      <c r="R169" s="49">
        <f t="shared" si="72"/>
        <v>95</v>
      </c>
      <c r="S169" s="50">
        <f t="shared" si="72"/>
        <v>0</v>
      </c>
      <c r="T169" s="46">
        <f t="shared" si="72"/>
        <v>140</v>
      </c>
      <c r="U169" s="35">
        <f>P169+T169</f>
        <v>480</v>
      </c>
    </row>
    <row r="170" spans="1:22" ht="14.25" thickBot="1" x14ac:dyDescent="0.2">
      <c r="A170" s="23" t="s">
        <v>14</v>
      </c>
      <c r="B170" s="24">
        <f t="shared" ref="B170:J170" si="73">B142-B169</f>
        <v>58</v>
      </c>
      <c r="C170" s="25">
        <f t="shared" si="73"/>
        <v>56</v>
      </c>
      <c r="D170" s="30">
        <f t="shared" si="73"/>
        <v>38</v>
      </c>
      <c r="E170" s="51">
        <f t="shared" si="73"/>
        <v>152</v>
      </c>
      <c r="F170" s="24">
        <f t="shared" si="73"/>
        <v>79</v>
      </c>
      <c r="G170" s="25">
        <f t="shared" si="73"/>
        <v>84</v>
      </c>
      <c r="H170" s="30">
        <f t="shared" si="73"/>
        <v>70</v>
      </c>
      <c r="I170" s="47">
        <f t="shared" si="73"/>
        <v>233</v>
      </c>
      <c r="J170" s="79">
        <f t="shared" si="73"/>
        <v>385</v>
      </c>
      <c r="L170" s="23" t="s">
        <v>14</v>
      </c>
      <c r="M170" s="24">
        <f t="shared" ref="M170:U170" si="74">M142-M169</f>
        <v>0</v>
      </c>
      <c r="N170" s="25">
        <f t="shared" si="74"/>
        <v>0</v>
      </c>
      <c r="O170" s="30">
        <f t="shared" si="74"/>
        <v>0</v>
      </c>
      <c r="P170" s="51">
        <f t="shared" si="74"/>
        <v>0</v>
      </c>
      <c r="Q170" s="24">
        <f t="shared" si="74"/>
        <v>0</v>
      </c>
      <c r="R170" s="25">
        <f t="shared" si="74"/>
        <v>0</v>
      </c>
      <c r="S170" s="30">
        <f t="shared" si="74"/>
        <v>0</v>
      </c>
      <c r="T170" s="47">
        <f t="shared" si="74"/>
        <v>0</v>
      </c>
      <c r="U170" s="79">
        <f t="shared" si="74"/>
        <v>0</v>
      </c>
    </row>
    <row r="173" spans="1:22" ht="19.5" thickBot="1" x14ac:dyDescent="0.25">
      <c r="A173" s="2" t="s">
        <v>21</v>
      </c>
      <c r="B173" s="1"/>
      <c r="C173" s="1"/>
      <c r="D173" s="1"/>
      <c r="E173" s="1"/>
      <c r="F173" s="1"/>
      <c r="G173" s="1"/>
      <c r="H173" s="1"/>
      <c r="I173" s="1"/>
      <c r="J173" s="1"/>
      <c r="L173" s="93" t="s">
        <v>136</v>
      </c>
      <c r="M173" s="94"/>
      <c r="N173" s="94"/>
      <c r="O173" s="94"/>
      <c r="P173" s="1"/>
      <c r="Q173" s="1"/>
      <c r="R173" s="1"/>
      <c r="S173" s="1"/>
      <c r="T173" s="1"/>
      <c r="U173" s="1"/>
    </row>
    <row r="174" spans="1:22" ht="14.25" thickBot="1" x14ac:dyDescent="0.2">
      <c r="A174" s="7" t="s">
        <v>0</v>
      </c>
      <c r="B174" s="168" t="s">
        <v>1</v>
      </c>
      <c r="C174" s="169"/>
      <c r="D174" s="169"/>
      <c r="E174" s="170"/>
      <c r="F174" s="168" t="s">
        <v>2</v>
      </c>
      <c r="G174" s="169"/>
      <c r="H174" s="169"/>
      <c r="I174" s="171"/>
      <c r="J174" s="172" t="s">
        <v>3</v>
      </c>
      <c r="L174" s="7" t="s">
        <v>0</v>
      </c>
      <c r="M174" s="168" t="s">
        <v>1</v>
      </c>
      <c r="N174" s="169"/>
      <c r="O174" s="169"/>
      <c r="P174" s="170"/>
      <c r="Q174" s="168" t="s">
        <v>2</v>
      </c>
      <c r="R174" s="169"/>
      <c r="S174" s="169"/>
      <c r="T174" s="171"/>
      <c r="U174" s="172" t="s">
        <v>3</v>
      </c>
    </row>
    <row r="175" spans="1:22" ht="14.25" thickBot="1" x14ac:dyDescent="0.2">
      <c r="A175" s="7" t="s">
        <v>4</v>
      </c>
      <c r="B175" s="3" t="s">
        <v>5</v>
      </c>
      <c r="C175" s="4" t="s">
        <v>6</v>
      </c>
      <c r="D175" s="5" t="s">
        <v>7</v>
      </c>
      <c r="E175" s="7" t="s">
        <v>8</v>
      </c>
      <c r="F175" s="3" t="s">
        <v>5</v>
      </c>
      <c r="G175" s="4" t="s">
        <v>6</v>
      </c>
      <c r="H175" s="5" t="s">
        <v>7</v>
      </c>
      <c r="I175" s="7" t="s">
        <v>8</v>
      </c>
      <c r="J175" s="173"/>
      <c r="L175" s="7" t="s">
        <v>4</v>
      </c>
      <c r="M175" s="3" t="s">
        <v>5</v>
      </c>
      <c r="N175" s="4" t="s">
        <v>6</v>
      </c>
      <c r="O175" s="5" t="s">
        <v>7</v>
      </c>
      <c r="P175" s="7" t="s">
        <v>8</v>
      </c>
      <c r="Q175" s="3" t="s">
        <v>5</v>
      </c>
      <c r="R175" s="4" t="s">
        <v>6</v>
      </c>
      <c r="S175" s="5" t="s">
        <v>7</v>
      </c>
      <c r="T175" s="7" t="s">
        <v>8</v>
      </c>
      <c r="U175" s="173"/>
    </row>
    <row r="176" spans="1:22" ht="14.25" thickBot="1" x14ac:dyDescent="0.2">
      <c r="A176" s="31" t="s">
        <v>14</v>
      </c>
      <c r="B176" s="32">
        <f>B170</f>
        <v>58</v>
      </c>
      <c r="C176" s="33">
        <f>C170</f>
        <v>56</v>
      </c>
      <c r="D176" s="34">
        <f>D170</f>
        <v>38</v>
      </c>
      <c r="E176" s="35">
        <f>SUM(B176:D176)</f>
        <v>152</v>
      </c>
      <c r="F176" s="32">
        <f>F170</f>
        <v>79</v>
      </c>
      <c r="G176" s="33">
        <f>G170</f>
        <v>84</v>
      </c>
      <c r="H176" s="34">
        <f>H170</f>
        <v>70</v>
      </c>
      <c r="I176" s="41">
        <f>SUM(F176:H176)</f>
        <v>233</v>
      </c>
      <c r="J176" s="41">
        <f>E176+I176</f>
        <v>385</v>
      </c>
      <c r="L176" s="31" t="s">
        <v>14</v>
      </c>
      <c r="M176" s="32">
        <f>M170</f>
        <v>0</v>
      </c>
      <c r="N176" s="33">
        <f>N170</f>
        <v>0</v>
      </c>
      <c r="O176" s="34">
        <f>O170</f>
        <v>0</v>
      </c>
      <c r="P176" s="41">
        <f>SUM(M176:O176)</f>
        <v>0</v>
      </c>
      <c r="Q176" s="32">
        <f>Q170</f>
        <v>0</v>
      </c>
      <c r="R176" s="33">
        <f>R170</f>
        <v>0</v>
      </c>
      <c r="S176" s="34">
        <f>S170</f>
        <v>0</v>
      </c>
      <c r="T176" s="41">
        <f>SUM(Q176:S176)</f>
        <v>0</v>
      </c>
      <c r="U176" s="41">
        <f>P176+T176</f>
        <v>0</v>
      </c>
    </row>
    <row r="177" spans="1:22" x14ac:dyDescent="0.15">
      <c r="A177" s="28" t="s">
        <v>9</v>
      </c>
      <c r="B177" s="8"/>
      <c r="C177" s="9"/>
      <c r="D177" s="10">
        <v>42</v>
      </c>
      <c r="E177" s="78">
        <f>SUM(B177:D177)</f>
        <v>42</v>
      </c>
      <c r="F177" s="12"/>
      <c r="G177" s="9"/>
      <c r="H177" s="10">
        <v>45</v>
      </c>
      <c r="I177" s="11">
        <f>SUM(F177:H177)</f>
        <v>45</v>
      </c>
      <c r="J177" s="11">
        <f>E177+I177</f>
        <v>87</v>
      </c>
      <c r="K177" s="65">
        <v>41915</v>
      </c>
      <c r="L177" s="28" t="s">
        <v>9</v>
      </c>
      <c r="M177" s="81"/>
      <c r="N177" s="82"/>
      <c r="O177" s="83"/>
      <c r="P177" s="84">
        <f t="shared" ref="P177:P184" si="75">SUM(M177:O177)</f>
        <v>0</v>
      </c>
      <c r="Q177" s="85"/>
      <c r="R177" s="82"/>
      <c r="S177" s="83"/>
      <c r="T177" s="84">
        <f t="shared" ref="T177:T184" si="76">SUM(Q177:S177)</f>
        <v>0</v>
      </c>
      <c r="U177" s="84">
        <f t="shared" ref="U177:U184" si="77">P177+T177</f>
        <v>0</v>
      </c>
    </row>
    <row r="178" spans="1:22" x14ac:dyDescent="0.15">
      <c r="A178" s="28" t="s">
        <v>132</v>
      </c>
      <c r="B178" s="8">
        <v>50</v>
      </c>
      <c r="C178" s="9">
        <v>50</v>
      </c>
      <c r="D178" s="10"/>
      <c r="E178" s="11">
        <f t="shared" ref="E178:E184" si="78">SUM(B178:D178)</f>
        <v>100</v>
      </c>
      <c r="F178" s="12"/>
      <c r="G178" s="9"/>
      <c r="H178" s="10"/>
      <c r="I178" s="11">
        <f t="shared" ref="I178:I184" si="79">SUM(F178:H178)</f>
        <v>0</v>
      </c>
      <c r="J178" s="11">
        <f t="shared" ref="J178:J184" si="80">E178+I178</f>
        <v>100</v>
      </c>
      <c r="K178" s="65">
        <v>41922</v>
      </c>
      <c r="L178" s="28" t="s">
        <v>10</v>
      </c>
      <c r="M178" s="8">
        <v>300</v>
      </c>
      <c r="N178" s="9">
        <v>300</v>
      </c>
      <c r="O178" s="10">
        <v>200</v>
      </c>
      <c r="P178" s="11">
        <f t="shared" si="75"/>
        <v>800</v>
      </c>
      <c r="Q178" s="12">
        <v>600</v>
      </c>
      <c r="R178" s="9">
        <v>600</v>
      </c>
      <c r="S178" s="10">
        <v>400</v>
      </c>
      <c r="T178" s="11">
        <f t="shared" si="76"/>
        <v>1600</v>
      </c>
      <c r="U178" s="11">
        <f t="shared" si="77"/>
        <v>2400</v>
      </c>
      <c r="V178" s="65">
        <v>41913</v>
      </c>
    </row>
    <row r="179" spans="1:22" x14ac:dyDescent="0.15">
      <c r="A179" s="28" t="s">
        <v>46</v>
      </c>
      <c r="B179" s="8">
        <v>2</v>
      </c>
      <c r="C179" s="9"/>
      <c r="D179" s="10"/>
      <c r="E179" s="11">
        <f t="shared" si="78"/>
        <v>2</v>
      </c>
      <c r="F179" s="12"/>
      <c r="G179" s="9"/>
      <c r="H179" s="10"/>
      <c r="I179" s="11">
        <f t="shared" si="79"/>
        <v>0</v>
      </c>
      <c r="J179" s="11">
        <f t="shared" si="80"/>
        <v>2</v>
      </c>
      <c r="K179" s="71">
        <v>41921</v>
      </c>
      <c r="L179" s="28" t="s">
        <v>11</v>
      </c>
      <c r="M179" s="8"/>
      <c r="N179" s="9"/>
      <c r="O179" s="10"/>
      <c r="P179" s="11">
        <f t="shared" si="75"/>
        <v>0</v>
      </c>
      <c r="Q179" s="12"/>
      <c r="R179" s="9"/>
      <c r="S179" s="10"/>
      <c r="T179" s="11">
        <f t="shared" si="76"/>
        <v>0</v>
      </c>
      <c r="U179" s="11">
        <f t="shared" si="77"/>
        <v>0</v>
      </c>
      <c r="V179" s="65"/>
    </row>
    <row r="180" spans="1:22" x14ac:dyDescent="0.15">
      <c r="A180" s="27" t="s">
        <v>132</v>
      </c>
      <c r="B180" s="8"/>
      <c r="C180" s="9"/>
      <c r="D180" s="10"/>
      <c r="E180" s="11">
        <f>SUM(B180:D180)</f>
        <v>0</v>
      </c>
      <c r="F180" s="12">
        <v>45</v>
      </c>
      <c r="G180" s="9"/>
      <c r="H180" s="10"/>
      <c r="I180" s="11">
        <f>SUM(F180:H180)</f>
        <v>45</v>
      </c>
      <c r="J180" s="11">
        <f>E180+I180</f>
        <v>45</v>
      </c>
      <c r="K180" s="65">
        <v>41932</v>
      </c>
      <c r="L180" s="28" t="s">
        <v>12</v>
      </c>
      <c r="M180" s="8"/>
      <c r="N180" s="9"/>
      <c r="O180" s="10"/>
      <c r="P180" s="11">
        <f t="shared" si="75"/>
        <v>0</v>
      </c>
      <c r="Q180" s="12"/>
      <c r="R180" s="9"/>
      <c r="S180" s="10"/>
      <c r="T180" s="11">
        <f t="shared" si="76"/>
        <v>0</v>
      </c>
      <c r="U180" s="11">
        <f t="shared" si="77"/>
        <v>0</v>
      </c>
    </row>
    <row r="181" spans="1:22" x14ac:dyDescent="0.15">
      <c r="A181" s="28" t="s">
        <v>133</v>
      </c>
      <c r="B181" s="8"/>
      <c r="C181" s="9"/>
      <c r="D181" s="10"/>
      <c r="E181" s="11">
        <f t="shared" si="78"/>
        <v>0</v>
      </c>
      <c r="F181" s="12">
        <v>1</v>
      </c>
      <c r="G181" s="9"/>
      <c r="H181" s="10"/>
      <c r="I181" s="11">
        <f t="shared" si="79"/>
        <v>1</v>
      </c>
      <c r="J181" s="11">
        <f t="shared" si="80"/>
        <v>1</v>
      </c>
      <c r="K181" s="71">
        <v>41930</v>
      </c>
      <c r="L181" s="28" t="s">
        <v>15</v>
      </c>
      <c r="M181" s="8"/>
      <c r="N181" s="9"/>
      <c r="O181" s="10"/>
      <c r="P181" s="11">
        <f t="shared" si="75"/>
        <v>0</v>
      </c>
      <c r="Q181" s="12"/>
      <c r="R181" s="9"/>
      <c r="S181" s="10"/>
      <c r="T181" s="11">
        <f t="shared" si="76"/>
        <v>0</v>
      </c>
      <c r="U181" s="11">
        <f t="shared" si="77"/>
        <v>0</v>
      </c>
    </row>
    <row r="182" spans="1:22" x14ac:dyDescent="0.15">
      <c r="A182" s="28" t="s">
        <v>83</v>
      </c>
      <c r="B182" s="8">
        <v>3</v>
      </c>
      <c r="C182" s="9"/>
      <c r="D182" s="10"/>
      <c r="E182" s="11">
        <f t="shared" si="78"/>
        <v>3</v>
      </c>
      <c r="F182" s="12"/>
      <c r="G182" s="9"/>
      <c r="H182" s="10"/>
      <c r="I182" s="11">
        <f t="shared" si="79"/>
        <v>0</v>
      </c>
      <c r="J182" s="11">
        <f t="shared" si="80"/>
        <v>3</v>
      </c>
      <c r="K182" s="71">
        <v>41933</v>
      </c>
      <c r="L182" s="28" t="s">
        <v>16</v>
      </c>
      <c r="M182" s="8"/>
      <c r="N182" s="9"/>
      <c r="O182" s="10"/>
      <c r="P182" s="11">
        <f t="shared" si="75"/>
        <v>0</v>
      </c>
      <c r="Q182" s="12"/>
      <c r="R182" s="9"/>
      <c r="S182" s="10"/>
      <c r="T182" s="11">
        <f t="shared" si="76"/>
        <v>0</v>
      </c>
      <c r="U182" s="11">
        <f t="shared" si="77"/>
        <v>0</v>
      </c>
    </row>
    <row r="183" spans="1:22" x14ac:dyDescent="0.15">
      <c r="A183" s="28" t="s">
        <v>104</v>
      </c>
      <c r="B183" s="13">
        <v>7</v>
      </c>
      <c r="C183" s="14">
        <v>7</v>
      </c>
      <c r="D183" s="15"/>
      <c r="E183" s="11">
        <f t="shared" si="78"/>
        <v>14</v>
      </c>
      <c r="F183" s="16">
        <v>6</v>
      </c>
      <c r="G183" s="14">
        <v>4</v>
      </c>
      <c r="H183" s="15"/>
      <c r="I183" s="11">
        <f t="shared" si="79"/>
        <v>10</v>
      </c>
      <c r="J183" s="11">
        <f t="shared" si="80"/>
        <v>24</v>
      </c>
      <c r="K183" s="71">
        <v>41948</v>
      </c>
      <c r="L183" s="28" t="s">
        <v>17</v>
      </c>
      <c r="M183" s="8">
        <v>200</v>
      </c>
      <c r="N183" s="9">
        <v>200</v>
      </c>
      <c r="O183" s="10">
        <v>200</v>
      </c>
      <c r="P183" s="11">
        <f t="shared" si="75"/>
        <v>600</v>
      </c>
      <c r="Q183" s="12">
        <v>200</v>
      </c>
      <c r="R183" s="9">
        <v>200</v>
      </c>
      <c r="S183" s="10">
        <v>200</v>
      </c>
      <c r="T183" s="11">
        <f t="shared" si="76"/>
        <v>600</v>
      </c>
      <c r="U183" s="11">
        <f t="shared" si="77"/>
        <v>1200</v>
      </c>
      <c r="V183" s="65">
        <v>41944</v>
      </c>
    </row>
    <row r="184" spans="1:22" ht="14.25" thickBot="1" x14ac:dyDescent="0.2">
      <c r="A184" s="27" t="s">
        <v>132</v>
      </c>
      <c r="B184" s="36"/>
      <c r="C184" s="37"/>
      <c r="D184" s="40"/>
      <c r="E184" s="22">
        <f t="shared" si="78"/>
        <v>0</v>
      </c>
      <c r="F184" s="38"/>
      <c r="G184" s="38">
        <v>50</v>
      </c>
      <c r="H184" s="43"/>
      <c r="I184" s="22">
        <f t="shared" si="79"/>
        <v>50</v>
      </c>
      <c r="J184" s="22">
        <f t="shared" si="80"/>
        <v>50</v>
      </c>
      <c r="K184" s="65">
        <v>41950</v>
      </c>
      <c r="L184" s="28" t="s">
        <v>18</v>
      </c>
      <c r="M184" s="36"/>
      <c r="N184" s="37"/>
      <c r="O184" s="40"/>
      <c r="P184" s="22">
        <f t="shared" si="75"/>
        <v>0</v>
      </c>
      <c r="Q184" s="38"/>
      <c r="R184" s="38"/>
      <c r="S184" s="43"/>
      <c r="T184" s="22">
        <f t="shared" si="76"/>
        <v>0</v>
      </c>
      <c r="U184" s="22">
        <f t="shared" si="77"/>
        <v>0</v>
      </c>
    </row>
    <row r="185" spans="1:22" ht="14.25" thickBot="1" x14ac:dyDescent="0.2">
      <c r="A185" s="39" t="s">
        <v>20</v>
      </c>
      <c r="B185" s="32">
        <f t="shared" ref="B185:J185" si="81">SUM(B176:B184)</f>
        <v>120</v>
      </c>
      <c r="C185" s="33">
        <f t="shared" si="81"/>
        <v>113</v>
      </c>
      <c r="D185" s="34">
        <f t="shared" si="81"/>
        <v>80</v>
      </c>
      <c r="E185" s="42">
        <f t="shared" si="81"/>
        <v>313</v>
      </c>
      <c r="F185" s="32">
        <f t="shared" si="81"/>
        <v>131</v>
      </c>
      <c r="G185" s="33">
        <f t="shared" si="81"/>
        <v>138</v>
      </c>
      <c r="H185" s="34">
        <f t="shared" si="81"/>
        <v>115</v>
      </c>
      <c r="I185" s="42">
        <f t="shared" si="81"/>
        <v>384</v>
      </c>
      <c r="J185" s="42">
        <f t="shared" si="81"/>
        <v>697</v>
      </c>
      <c r="L185" s="39" t="s">
        <v>20</v>
      </c>
      <c r="M185" s="32">
        <f t="shared" ref="M185:U185" si="82">SUM(M176:M184)</f>
        <v>500</v>
      </c>
      <c r="N185" s="33">
        <f t="shared" si="82"/>
        <v>500</v>
      </c>
      <c r="O185" s="34">
        <f t="shared" si="82"/>
        <v>400</v>
      </c>
      <c r="P185" s="42">
        <f t="shared" si="82"/>
        <v>1400</v>
      </c>
      <c r="Q185" s="32">
        <f t="shared" si="82"/>
        <v>800</v>
      </c>
      <c r="R185" s="33">
        <f t="shared" si="82"/>
        <v>800</v>
      </c>
      <c r="S185" s="34">
        <f t="shared" si="82"/>
        <v>600</v>
      </c>
      <c r="T185" s="42">
        <f t="shared" si="82"/>
        <v>2200</v>
      </c>
      <c r="U185" s="42">
        <f t="shared" si="82"/>
        <v>3600</v>
      </c>
    </row>
    <row r="186" spans="1:22" x14ac:dyDescent="0.15">
      <c r="A186" s="26" t="s">
        <v>117</v>
      </c>
      <c r="B186" s="13">
        <v>30</v>
      </c>
      <c r="C186" s="14">
        <v>30</v>
      </c>
      <c r="D186" s="15">
        <v>30</v>
      </c>
      <c r="E186" s="11">
        <f>SUM(B186:D186)</f>
        <v>90</v>
      </c>
      <c r="F186" s="16">
        <v>30</v>
      </c>
      <c r="G186" s="14">
        <v>30</v>
      </c>
      <c r="H186" s="15">
        <v>30</v>
      </c>
      <c r="I186" s="11">
        <f>SUM(F186:H186)</f>
        <v>90</v>
      </c>
      <c r="J186" s="11">
        <f>E186+I186</f>
        <v>180</v>
      </c>
      <c r="K186" s="65">
        <v>41922</v>
      </c>
      <c r="L186" s="29" t="s">
        <v>142</v>
      </c>
      <c r="M186" s="8">
        <v>10</v>
      </c>
      <c r="N186" s="9">
        <v>10</v>
      </c>
      <c r="O186" s="10">
        <v>10</v>
      </c>
      <c r="P186" s="11">
        <f>SUM(M186:O186)</f>
        <v>30</v>
      </c>
      <c r="Q186" s="12">
        <v>50</v>
      </c>
      <c r="R186" s="9">
        <v>50</v>
      </c>
      <c r="S186" s="10">
        <v>50</v>
      </c>
      <c r="T186" s="11">
        <f>SUM(Q186:S186)</f>
        <v>150</v>
      </c>
      <c r="U186" s="11">
        <f>P186+T186</f>
        <v>180</v>
      </c>
      <c r="V186" s="65">
        <v>41953</v>
      </c>
    </row>
    <row r="187" spans="1:22" x14ac:dyDescent="0.15">
      <c r="A187" s="29" t="s">
        <v>118</v>
      </c>
      <c r="B187" s="13"/>
      <c r="C187" s="14"/>
      <c r="D187" s="15"/>
      <c r="E187" s="11">
        <f t="shared" ref="E187:E211" si="83">SUM(B187:D187)</f>
        <v>0</v>
      </c>
      <c r="F187" s="16">
        <v>6</v>
      </c>
      <c r="G187" s="14"/>
      <c r="H187" s="15">
        <v>6</v>
      </c>
      <c r="I187" s="11">
        <f t="shared" ref="I187:I211" si="84">SUM(F187:H187)</f>
        <v>12</v>
      </c>
      <c r="J187" s="11">
        <f t="shared" ref="J187:J211" si="85">E187+I187</f>
        <v>12</v>
      </c>
      <c r="K187" s="65">
        <v>41919</v>
      </c>
      <c r="L187" s="29"/>
      <c r="M187" s="8"/>
      <c r="N187" s="9"/>
      <c r="O187" s="10"/>
      <c r="P187" s="11">
        <f>SUM(M187:O187)</f>
        <v>0</v>
      </c>
      <c r="Q187" s="12"/>
      <c r="R187" s="9"/>
      <c r="S187" s="10"/>
      <c r="T187" s="11">
        <f>SUM(Q187:S187)</f>
        <v>0</v>
      </c>
      <c r="U187" s="11">
        <f>P187+T187</f>
        <v>0</v>
      </c>
      <c r="V187" s="65"/>
    </row>
    <row r="188" spans="1:22" x14ac:dyDescent="0.15">
      <c r="A188" s="6" t="s">
        <v>121</v>
      </c>
      <c r="B188" s="8"/>
      <c r="C188" s="9"/>
      <c r="D188" s="10"/>
      <c r="E188" s="11">
        <f t="shared" si="83"/>
        <v>0</v>
      </c>
      <c r="F188" s="12">
        <v>1</v>
      </c>
      <c r="G188" s="9"/>
      <c r="H188" s="10"/>
      <c r="I188" s="11">
        <f t="shared" si="84"/>
        <v>1</v>
      </c>
      <c r="J188" s="11">
        <f t="shared" si="85"/>
        <v>1</v>
      </c>
      <c r="K188" s="71">
        <v>41915</v>
      </c>
      <c r="L188" s="27"/>
      <c r="M188" s="8"/>
      <c r="N188" s="9"/>
      <c r="O188" s="10"/>
      <c r="P188" s="11">
        <f t="shared" ref="P188:P209" si="86">SUM(M188:O188)</f>
        <v>0</v>
      </c>
      <c r="Q188" s="12"/>
      <c r="R188" s="9"/>
      <c r="S188" s="10"/>
      <c r="T188" s="11">
        <f t="shared" ref="T188:T209" si="87">SUM(Q188:S188)</f>
        <v>0</v>
      </c>
      <c r="U188" s="11">
        <f t="shared" ref="U188:U209" si="88">P188+T188</f>
        <v>0</v>
      </c>
    </row>
    <row r="189" spans="1:22" x14ac:dyDescent="0.15">
      <c r="A189" s="29" t="s">
        <v>122</v>
      </c>
      <c r="B189" s="8"/>
      <c r="C189" s="9"/>
      <c r="D189" s="10"/>
      <c r="E189" s="11">
        <f t="shared" si="83"/>
        <v>0</v>
      </c>
      <c r="F189" s="12"/>
      <c r="G189" s="9">
        <v>1</v>
      </c>
      <c r="H189" s="10">
        <v>1</v>
      </c>
      <c r="I189" s="11">
        <f t="shared" si="84"/>
        <v>2</v>
      </c>
      <c r="J189" s="11">
        <f t="shared" si="85"/>
        <v>2</v>
      </c>
      <c r="K189" s="71">
        <v>41918</v>
      </c>
      <c r="L189" s="29"/>
      <c r="M189" s="8"/>
      <c r="N189" s="9"/>
      <c r="O189" s="10"/>
      <c r="P189" s="11">
        <f t="shared" si="86"/>
        <v>0</v>
      </c>
      <c r="Q189" s="12"/>
      <c r="R189" s="9"/>
      <c r="S189" s="10"/>
      <c r="T189" s="11">
        <f t="shared" si="87"/>
        <v>0</v>
      </c>
      <c r="U189" s="11">
        <f t="shared" si="88"/>
        <v>0</v>
      </c>
    </row>
    <row r="190" spans="1:22" x14ac:dyDescent="0.15">
      <c r="A190" s="27" t="s">
        <v>123</v>
      </c>
      <c r="B190" s="8"/>
      <c r="C190" s="9">
        <v>10</v>
      </c>
      <c r="D190" s="10"/>
      <c r="E190" s="11">
        <f t="shared" si="83"/>
        <v>10</v>
      </c>
      <c r="F190" s="12"/>
      <c r="G190" s="9"/>
      <c r="H190" s="10"/>
      <c r="I190" s="11">
        <f t="shared" si="84"/>
        <v>0</v>
      </c>
      <c r="J190" s="11">
        <f t="shared" si="85"/>
        <v>10</v>
      </c>
      <c r="K190" s="65">
        <v>41928</v>
      </c>
      <c r="L190" s="29"/>
      <c r="M190" s="8"/>
      <c r="N190" s="9"/>
      <c r="O190" s="10"/>
      <c r="P190" s="11">
        <f t="shared" si="86"/>
        <v>0</v>
      </c>
      <c r="Q190" s="12"/>
      <c r="R190" s="9"/>
      <c r="S190" s="10"/>
      <c r="T190" s="11">
        <f t="shared" si="87"/>
        <v>0</v>
      </c>
      <c r="U190" s="11">
        <f t="shared" si="88"/>
        <v>0</v>
      </c>
    </row>
    <row r="191" spans="1:22" x14ac:dyDescent="0.15">
      <c r="A191" s="27" t="s">
        <v>125</v>
      </c>
      <c r="B191" s="8">
        <v>1</v>
      </c>
      <c r="C191" s="9"/>
      <c r="D191" s="10"/>
      <c r="E191" s="11">
        <f t="shared" si="83"/>
        <v>1</v>
      </c>
      <c r="F191" s="12"/>
      <c r="G191" s="9"/>
      <c r="H191" s="10"/>
      <c r="I191" s="11">
        <f t="shared" si="84"/>
        <v>0</v>
      </c>
      <c r="J191" s="11">
        <f t="shared" si="85"/>
        <v>1</v>
      </c>
      <c r="K191" s="64" t="s">
        <v>126</v>
      </c>
      <c r="L191" s="27"/>
      <c r="M191" s="8"/>
      <c r="N191" s="9"/>
      <c r="O191" s="10"/>
      <c r="P191" s="11">
        <f t="shared" si="86"/>
        <v>0</v>
      </c>
      <c r="Q191" s="12"/>
      <c r="R191" s="9"/>
      <c r="S191" s="10"/>
      <c r="T191" s="11">
        <f t="shared" si="87"/>
        <v>0</v>
      </c>
      <c r="U191" s="11">
        <f t="shared" si="88"/>
        <v>0</v>
      </c>
    </row>
    <row r="192" spans="1:22" x14ac:dyDescent="0.15">
      <c r="A192" s="27" t="s">
        <v>127</v>
      </c>
      <c r="B192" s="8">
        <v>2</v>
      </c>
      <c r="C192" s="9">
        <v>1</v>
      </c>
      <c r="D192" s="10"/>
      <c r="E192" s="11">
        <f t="shared" si="83"/>
        <v>3</v>
      </c>
      <c r="F192" s="12">
        <v>3</v>
      </c>
      <c r="G192" s="9">
        <v>2</v>
      </c>
      <c r="H192" s="10"/>
      <c r="I192" s="11">
        <f t="shared" si="84"/>
        <v>5</v>
      </c>
      <c r="J192" s="11">
        <f t="shared" si="85"/>
        <v>8</v>
      </c>
      <c r="K192" s="71">
        <v>41927</v>
      </c>
      <c r="L192" s="29"/>
      <c r="M192" s="8"/>
      <c r="N192" s="9"/>
      <c r="O192" s="10"/>
      <c r="P192" s="11">
        <f t="shared" si="86"/>
        <v>0</v>
      </c>
      <c r="Q192" s="12"/>
      <c r="R192" s="9"/>
      <c r="S192" s="10"/>
      <c r="T192" s="11">
        <f t="shared" si="87"/>
        <v>0</v>
      </c>
      <c r="U192" s="11">
        <f t="shared" si="88"/>
        <v>0</v>
      </c>
    </row>
    <row r="193" spans="1:22" x14ac:dyDescent="0.15">
      <c r="A193" s="29" t="s">
        <v>128</v>
      </c>
      <c r="B193" s="8"/>
      <c r="C193" s="9"/>
      <c r="D193" s="10"/>
      <c r="E193" s="11">
        <f t="shared" si="83"/>
        <v>0</v>
      </c>
      <c r="F193" s="12">
        <v>9</v>
      </c>
      <c r="G193" s="9"/>
      <c r="H193" s="10"/>
      <c r="I193" s="11">
        <f t="shared" si="84"/>
        <v>9</v>
      </c>
      <c r="J193" s="11">
        <f t="shared" si="85"/>
        <v>9</v>
      </c>
      <c r="K193" s="65">
        <v>41934</v>
      </c>
      <c r="L193" s="29"/>
      <c r="M193" s="8"/>
      <c r="N193" s="9"/>
      <c r="O193" s="10"/>
      <c r="P193" s="11">
        <f t="shared" si="86"/>
        <v>0</v>
      </c>
      <c r="Q193" s="12"/>
      <c r="R193" s="9"/>
      <c r="S193" s="10"/>
      <c r="T193" s="11">
        <f t="shared" si="87"/>
        <v>0</v>
      </c>
      <c r="U193" s="11">
        <f t="shared" si="88"/>
        <v>0</v>
      </c>
    </row>
    <row r="194" spans="1:22" x14ac:dyDescent="0.15">
      <c r="A194" s="29" t="s">
        <v>130</v>
      </c>
      <c r="B194" s="13">
        <v>10</v>
      </c>
      <c r="C194" s="14">
        <v>10</v>
      </c>
      <c r="D194" s="15">
        <v>10</v>
      </c>
      <c r="E194" s="11">
        <f t="shared" si="83"/>
        <v>30</v>
      </c>
      <c r="F194" s="16">
        <v>10</v>
      </c>
      <c r="G194" s="14">
        <v>10</v>
      </c>
      <c r="H194" s="15">
        <v>10</v>
      </c>
      <c r="I194" s="11">
        <f t="shared" si="84"/>
        <v>30</v>
      </c>
      <c r="J194" s="11">
        <f t="shared" si="85"/>
        <v>60</v>
      </c>
      <c r="K194" s="65">
        <v>41933</v>
      </c>
      <c r="L194" s="27"/>
      <c r="M194" s="8"/>
      <c r="N194" s="9"/>
      <c r="O194" s="10"/>
      <c r="P194" s="11">
        <f t="shared" si="86"/>
        <v>0</v>
      </c>
      <c r="Q194" s="12"/>
      <c r="R194" s="9"/>
      <c r="S194" s="10"/>
      <c r="T194" s="11">
        <f t="shared" si="87"/>
        <v>0</v>
      </c>
      <c r="U194" s="11">
        <f t="shared" si="88"/>
        <v>0</v>
      </c>
    </row>
    <row r="195" spans="1:22" x14ac:dyDescent="0.15">
      <c r="A195" s="29" t="s">
        <v>131</v>
      </c>
      <c r="B195" s="13">
        <v>1</v>
      </c>
      <c r="C195" s="14"/>
      <c r="D195" s="15"/>
      <c r="E195" s="11">
        <f t="shared" si="83"/>
        <v>1</v>
      </c>
      <c r="F195" s="16"/>
      <c r="G195" s="14"/>
      <c r="H195" s="15"/>
      <c r="I195" s="11">
        <f t="shared" si="84"/>
        <v>0</v>
      </c>
      <c r="J195" s="11">
        <f t="shared" si="85"/>
        <v>1</v>
      </c>
      <c r="K195" s="71">
        <v>41927</v>
      </c>
      <c r="L195" s="29"/>
      <c r="M195" s="13"/>
      <c r="N195" s="14"/>
      <c r="O195" s="15"/>
      <c r="P195" s="11">
        <f t="shared" si="86"/>
        <v>0</v>
      </c>
      <c r="Q195" s="16"/>
      <c r="R195" s="14"/>
      <c r="S195" s="15"/>
      <c r="T195" s="11">
        <f t="shared" si="87"/>
        <v>0</v>
      </c>
      <c r="U195" s="11">
        <f t="shared" si="88"/>
        <v>0</v>
      </c>
    </row>
    <row r="196" spans="1:22" x14ac:dyDescent="0.15">
      <c r="A196" s="29" t="s">
        <v>134</v>
      </c>
      <c r="B196" s="8">
        <v>1</v>
      </c>
      <c r="C196" s="9"/>
      <c r="D196" s="10"/>
      <c r="E196" s="11">
        <f t="shared" si="83"/>
        <v>1</v>
      </c>
      <c r="F196" s="12">
        <v>1</v>
      </c>
      <c r="G196" s="9"/>
      <c r="H196" s="10"/>
      <c r="I196" s="11">
        <f t="shared" si="84"/>
        <v>1</v>
      </c>
      <c r="J196" s="11">
        <f t="shared" si="85"/>
        <v>2</v>
      </c>
      <c r="K196" s="71">
        <v>41929</v>
      </c>
      <c r="L196" s="29"/>
      <c r="M196" s="8"/>
      <c r="N196" s="9"/>
      <c r="O196" s="10"/>
      <c r="P196" s="11">
        <f t="shared" si="86"/>
        <v>0</v>
      </c>
      <c r="Q196" s="12"/>
      <c r="R196" s="9"/>
      <c r="S196" s="10"/>
      <c r="T196" s="11">
        <f t="shared" si="87"/>
        <v>0</v>
      </c>
      <c r="U196" s="11">
        <f t="shared" si="88"/>
        <v>0</v>
      </c>
    </row>
    <row r="197" spans="1:22" x14ac:dyDescent="0.15">
      <c r="A197" s="29" t="s">
        <v>67</v>
      </c>
      <c r="B197" s="8"/>
      <c r="C197" s="9">
        <v>1</v>
      </c>
      <c r="D197" s="10"/>
      <c r="E197" s="11">
        <f t="shared" si="83"/>
        <v>1</v>
      </c>
      <c r="F197" s="12"/>
      <c r="G197" s="9"/>
      <c r="H197" s="10"/>
      <c r="I197" s="11">
        <f t="shared" si="84"/>
        <v>0</v>
      </c>
      <c r="J197" s="11">
        <f t="shared" si="85"/>
        <v>1</v>
      </c>
      <c r="K197" s="71">
        <v>41932</v>
      </c>
      <c r="L197" s="29"/>
      <c r="M197" s="8"/>
      <c r="N197" s="9"/>
      <c r="O197" s="10"/>
      <c r="P197" s="11">
        <f t="shared" si="86"/>
        <v>0</v>
      </c>
      <c r="Q197" s="12"/>
      <c r="R197" s="9"/>
      <c r="S197" s="10"/>
      <c r="T197" s="11">
        <f t="shared" si="87"/>
        <v>0</v>
      </c>
      <c r="U197" s="11">
        <f t="shared" si="88"/>
        <v>0</v>
      </c>
    </row>
    <row r="198" spans="1:22" x14ac:dyDescent="0.15">
      <c r="A198" s="29" t="s">
        <v>67</v>
      </c>
      <c r="B198" s="8"/>
      <c r="C198" s="9">
        <v>3</v>
      </c>
      <c r="D198" s="10"/>
      <c r="E198" s="11">
        <f t="shared" si="83"/>
        <v>3</v>
      </c>
      <c r="F198" s="12"/>
      <c r="G198" s="9">
        <v>3</v>
      </c>
      <c r="H198" s="10">
        <v>3</v>
      </c>
      <c r="I198" s="11">
        <f t="shared" si="84"/>
        <v>6</v>
      </c>
      <c r="J198" s="11">
        <f t="shared" si="85"/>
        <v>9</v>
      </c>
      <c r="K198" s="71">
        <v>41933</v>
      </c>
      <c r="L198" s="27"/>
      <c r="M198" s="8"/>
      <c r="N198" s="9"/>
      <c r="O198" s="10"/>
      <c r="P198" s="11">
        <f t="shared" si="86"/>
        <v>0</v>
      </c>
      <c r="Q198" s="12"/>
      <c r="R198" s="9"/>
      <c r="S198" s="10"/>
      <c r="T198" s="11">
        <f t="shared" si="87"/>
        <v>0</v>
      </c>
      <c r="U198" s="11">
        <f t="shared" si="88"/>
        <v>0</v>
      </c>
    </row>
    <row r="199" spans="1:22" x14ac:dyDescent="0.15">
      <c r="A199" s="29" t="s">
        <v>135</v>
      </c>
      <c r="B199" s="8"/>
      <c r="C199" s="9">
        <v>1</v>
      </c>
      <c r="D199" s="10"/>
      <c r="E199" s="11">
        <f t="shared" si="83"/>
        <v>1</v>
      </c>
      <c r="F199" s="12"/>
      <c r="G199" s="9"/>
      <c r="H199" s="10">
        <v>1</v>
      </c>
      <c r="I199" s="11">
        <f t="shared" si="84"/>
        <v>1</v>
      </c>
      <c r="J199" s="11">
        <f t="shared" si="85"/>
        <v>2</v>
      </c>
      <c r="K199" s="71">
        <v>41933</v>
      </c>
      <c r="L199" s="29"/>
      <c r="M199" s="8"/>
      <c r="N199" s="9"/>
      <c r="O199" s="10"/>
      <c r="P199" s="11">
        <f t="shared" si="86"/>
        <v>0</v>
      </c>
      <c r="Q199" s="12"/>
      <c r="R199" s="9"/>
      <c r="S199" s="10"/>
      <c r="T199" s="11">
        <f t="shared" si="87"/>
        <v>0</v>
      </c>
      <c r="U199" s="11">
        <f t="shared" si="88"/>
        <v>0</v>
      </c>
    </row>
    <row r="200" spans="1:22" x14ac:dyDescent="0.15">
      <c r="A200" s="29" t="s">
        <v>67</v>
      </c>
      <c r="B200" s="8"/>
      <c r="C200" s="9"/>
      <c r="D200" s="10"/>
      <c r="E200" s="11">
        <f t="shared" si="83"/>
        <v>0</v>
      </c>
      <c r="F200" s="12">
        <v>1</v>
      </c>
      <c r="G200" s="9"/>
      <c r="H200" s="10"/>
      <c r="I200" s="11">
        <f t="shared" si="84"/>
        <v>1</v>
      </c>
      <c r="J200" s="11">
        <f t="shared" si="85"/>
        <v>1</v>
      </c>
      <c r="K200" s="71">
        <v>41937</v>
      </c>
      <c r="L200" s="29"/>
      <c r="M200" s="8"/>
      <c r="N200" s="9"/>
      <c r="O200" s="10"/>
      <c r="P200" s="11">
        <f t="shared" si="86"/>
        <v>0</v>
      </c>
      <c r="Q200" s="12"/>
      <c r="R200" s="9"/>
      <c r="S200" s="10"/>
      <c r="T200" s="11">
        <f t="shared" si="87"/>
        <v>0</v>
      </c>
      <c r="U200" s="11">
        <f t="shared" si="88"/>
        <v>0</v>
      </c>
    </row>
    <row r="201" spans="1:22" x14ac:dyDescent="0.15">
      <c r="A201" s="27" t="s">
        <v>137</v>
      </c>
      <c r="B201" s="8"/>
      <c r="C201" s="9">
        <v>1</v>
      </c>
      <c r="D201" s="10"/>
      <c r="E201" s="11">
        <f t="shared" si="83"/>
        <v>1</v>
      </c>
      <c r="F201" s="12"/>
      <c r="G201" s="9">
        <v>3</v>
      </c>
      <c r="H201" s="10"/>
      <c r="I201" s="11">
        <f t="shared" si="84"/>
        <v>3</v>
      </c>
      <c r="J201" s="11">
        <f t="shared" si="85"/>
        <v>4</v>
      </c>
      <c r="K201" s="71">
        <v>41939</v>
      </c>
      <c r="L201" s="27"/>
      <c r="M201" s="8"/>
      <c r="N201" s="9"/>
      <c r="O201" s="10"/>
      <c r="P201" s="11">
        <f t="shared" si="86"/>
        <v>0</v>
      </c>
      <c r="Q201" s="12"/>
      <c r="R201" s="9"/>
      <c r="S201" s="10"/>
      <c r="T201" s="11">
        <f t="shared" si="87"/>
        <v>0</v>
      </c>
      <c r="U201" s="11">
        <f t="shared" si="88"/>
        <v>0</v>
      </c>
    </row>
    <row r="202" spans="1:22" ht="14.25" x14ac:dyDescent="0.15">
      <c r="A202" s="29" t="s">
        <v>35</v>
      </c>
      <c r="B202" s="8">
        <v>10</v>
      </c>
      <c r="C202" s="9"/>
      <c r="D202" s="10"/>
      <c r="E202" s="11">
        <f t="shared" si="83"/>
        <v>10</v>
      </c>
      <c r="F202" s="96">
        <v>10</v>
      </c>
      <c r="G202" s="9">
        <v>10</v>
      </c>
      <c r="H202" s="10"/>
      <c r="I202" s="11">
        <f t="shared" si="84"/>
        <v>20</v>
      </c>
      <c r="J202" s="11">
        <f t="shared" si="85"/>
        <v>30</v>
      </c>
      <c r="K202" s="65">
        <v>41949</v>
      </c>
      <c r="L202" s="29"/>
      <c r="M202" s="8"/>
      <c r="N202" s="9"/>
      <c r="O202" s="10"/>
      <c r="P202" s="11">
        <f t="shared" si="86"/>
        <v>0</v>
      </c>
      <c r="Q202" s="12"/>
      <c r="R202" s="9"/>
      <c r="S202" s="10"/>
      <c r="T202" s="11">
        <f t="shared" si="87"/>
        <v>0</v>
      </c>
      <c r="U202" s="11">
        <f t="shared" si="88"/>
        <v>0</v>
      </c>
    </row>
    <row r="203" spans="1:22" x14ac:dyDescent="0.15">
      <c r="A203" s="27" t="s">
        <v>139</v>
      </c>
      <c r="B203" s="8"/>
      <c r="C203" s="9">
        <v>1</v>
      </c>
      <c r="D203" s="10"/>
      <c r="E203" s="11">
        <f t="shared" si="83"/>
        <v>1</v>
      </c>
      <c r="F203" s="12"/>
      <c r="G203" s="9"/>
      <c r="H203" s="10"/>
      <c r="I203" s="11">
        <f t="shared" si="84"/>
        <v>0</v>
      </c>
      <c r="J203" s="11">
        <f t="shared" si="85"/>
        <v>1</v>
      </c>
      <c r="K203" s="71">
        <v>41939</v>
      </c>
      <c r="L203" s="27"/>
      <c r="M203" s="8"/>
      <c r="N203" s="9"/>
      <c r="O203" s="10"/>
      <c r="P203" s="11">
        <f t="shared" si="86"/>
        <v>0</v>
      </c>
      <c r="Q203" s="12"/>
      <c r="R203" s="9"/>
      <c r="S203" s="10"/>
      <c r="T203" s="11">
        <f t="shared" si="87"/>
        <v>0</v>
      </c>
      <c r="U203" s="11">
        <f t="shared" si="88"/>
        <v>0</v>
      </c>
    </row>
    <row r="204" spans="1:22" x14ac:dyDescent="0.15">
      <c r="A204" s="27" t="s">
        <v>141</v>
      </c>
      <c r="B204" s="8"/>
      <c r="C204" s="9">
        <v>1</v>
      </c>
      <c r="D204" s="10"/>
      <c r="E204" s="11">
        <f t="shared" si="83"/>
        <v>1</v>
      </c>
      <c r="F204" s="12"/>
      <c r="G204" s="9"/>
      <c r="H204" s="10"/>
      <c r="I204" s="11">
        <f t="shared" si="84"/>
        <v>0</v>
      </c>
      <c r="J204" s="11">
        <f t="shared" si="85"/>
        <v>1</v>
      </c>
      <c r="K204" s="71">
        <v>41940</v>
      </c>
      <c r="L204" s="26"/>
      <c r="M204" s="8"/>
      <c r="N204" s="9"/>
      <c r="O204" s="10"/>
      <c r="P204" s="11">
        <f t="shared" si="86"/>
        <v>0</v>
      </c>
      <c r="Q204" s="12"/>
      <c r="R204" s="9"/>
      <c r="S204" s="10"/>
      <c r="T204" s="11">
        <f t="shared" si="87"/>
        <v>0</v>
      </c>
      <c r="U204" s="11">
        <f t="shared" si="88"/>
        <v>0</v>
      </c>
    </row>
    <row r="205" spans="1:22" x14ac:dyDescent="0.15">
      <c r="A205" s="26" t="s">
        <v>140</v>
      </c>
      <c r="B205" s="8"/>
      <c r="C205" s="9">
        <v>1</v>
      </c>
      <c r="D205" s="10"/>
      <c r="E205" s="11">
        <f t="shared" si="83"/>
        <v>1</v>
      </c>
      <c r="F205" s="12"/>
      <c r="G205" s="9"/>
      <c r="H205" s="10">
        <v>3</v>
      </c>
      <c r="I205" s="11">
        <f t="shared" si="84"/>
        <v>3</v>
      </c>
      <c r="J205" s="11">
        <f t="shared" si="85"/>
        <v>4</v>
      </c>
      <c r="K205" s="71">
        <v>41944</v>
      </c>
      <c r="L205" s="26"/>
      <c r="M205" s="8"/>
      <c r="N205" s="9"/>
      <c r="O205" s="10"/>
      <c r="P205" s="11">
        <f t="shared" si="86"/>
        <v>0</v>
      </c>
      <c r="Q205" s="12"/>
      <c r="R205" s="9"/>
      <c r="S205" s="10"/>
      <c r="T205" s="11">
        <f t="shared" si="87"/>
        <v>0</v>
      </c>
      <c r="U205" s="11">
        <f t="shared" si="88"/>
        <v>0</v>
      </c>
    </row>
    <row r="206" spans="1:22" x14ac:dyDescent="0.15">
      <c r="A206" s="29" t="s">
        <v>129</v>
      </c>
      <c r="B206" s="8"/>
      <c r="C206" s="9">
        <v>5</v>
      </c>
      <c r="D206" s="10"/>
      <c r="E206" s="11">
        <f t="shared" si="83"/>
        <v>5</v>
      </c>
      <c r="F206" s="12"/>
      <c r="G206" s="9">
        <v>5</v>
      </c>
      <c r="H206" s="10"/>
      <c r="I206" s="11">
        <f t="shared" si="84"/>
        <v>5</v>
      </c>
      <c r="J206" s="11">
        <f t="shared" si="85"/>
        <v>10</v>
      </c>
      <c r="K206" s="65">
        <v>41949</v>
      </c>
      <c r="L206" s="27"/>
      <c r="M206" s="8"/>
      <c r="N206" s="9"/>
      <c r="O206" s="10"/>
      <c r="P206" s="11">
        <f t="shared" si="86"/>
        <v>0</v>
      </c>
      <c r="Q206" s="12"/>
      <c r="R206" s="9"/>
      <c r="S206" s="10"/>
      <c r="T206" s="11">
        <f t="shared" si="87"/>
        <v>0</v>
      </c>
      <c r="U206" s="11">
        <f t="shared" si="88"/>
        <v>0</v>
      </c>
    </row>
    <row r="207" spans="1:22" x14ac:dyDescent="0.15">
      <c r="A207" s="29" t="s">
        <v>35</v>
      </c>
      <c r="B207" s="13"/>
      <c r="C207" s="14"/>
      <c r="D207" s="15"/>
      <c r="E207" s="11">
        <f t="shared" si="83"/>
        <v>0</v>
      </c>
      <c r="F207" s="16"/>
      <c r="G207" s="14"/>
      <c r="H207" s="15">
        <v>10</v>
      </c>
      <c r="I207" s="11">
        <f t="shared" si="84"/>
        <v>10</v>
      </c>
      <c r="J207" s="11">
        <f t="shared" si="85"/>
        <v>10</v>
      </c>
      <c r="K207" s="65">
        <v>41953</v>
      </c>
      <c r="L207" s="6"/>
      <c r="M207" s="13"/>
      <c r="N207" s="14"/>
      <c r="O207" s="15"/>
      <c r="P207" s="11">
        <f t="shared" si="86"/>
        <v>0</v>
      </c>
      <c r="Q207" s="16"/>
      <c r="R207" s="14"/>
      <c r="S207" s="15"/>
      <c r="T207" s="11">
        <f t="shared" si="87"/>
        <v>0</v>
      </c>
      <c r="U207" s="11">
        <f t="shared" si="88"/>
        <v>0</v>
      </c>
      <c r="V207" s="64"/>
    </row>
    <row r="208" spans="1:22" x14ac:dyDescent="0.15">
      <c r="A208" s="27" t="s">
        <v>124</v>
      </c>
      <c r="B208" s="8">
        <v>3</v>
      </c>
      <c r="C208" s="9">
        <v>2</v>
      </c>
      <c r="D208" s="10">
        <v>2</v>
      </c>
      <c r="E208" s="11">
        <f t="shared" si="83"/>
        <v>7</v>
      </c>
      <c r="F208" s="12">
        <v>3</v>
      </c>
      <c r="G208" s="9">
        <v>2</v>
      </c>
      <c r="H208" s="10">
        <v>2</v>
      </c>
      <c r="I208" s="11">
        <f t="shared" si="84"/>
        <v>7</v>
      </c>
      <c r="J208" s="11">
        <f t="shared" si="85"/>
        <v>14</v>
      </c>
      <c r="K208" s="65">
        <v>41960</v>
      </c>
      <c r="L208" s="29"/>
      <c r="M208" s="13"/>
      <c r="N208" s="14"/>
      <c r="O208" s="15"/>
      <c r="P208" s="11">
        <f t="shared" si="86"/>
        <v>0</v>
      </c>
      <c r="Q208" s="16"/>
      <c r="R208" s="14"/>
      <c r="S208" s="15"/>
      <c r="T208" s="11">
        <f t="shared" si="87"/>
        <v>0</v>
      </c>
      <c r="U208" s="11">
        <f t="shared" si="88"/>
        <v>0</v>
      </c>
      <c r="V208" s="64"/>
    </row>
    <row r="209" spans="1:22" x14ac:dyDescent="0.15">
      <c r="A209" s="29" t="s">
        <v>32</v>
      </c>
      <c r="B209" s="8">
        <v>1</v>
      </c>
      <c r="C209" s="9">
        <v>1</v>
      </c>
      <c r="D209" s="10"/>
      <c r="E209" s="11">
        <f t="shared" si="83"/>
        <v>2</v>
      </c>
      <c r="F209" s="12">
        <v>2</v>
      </c>
      <c r="G209" s="9">
        <v>2</v>
      </c>
      <c r="H209" s="10">
        <v>2</v>
      </c>
      <c r="I209" s="11">
        <f t="shared" si="84"/>
        <v>6</v>
      </c>
      <c r="J209" s="11">
        <f t="shared" si="85"/>
        <v>8</v>
      </c>
      <c r="K209" s="65">
        <v>41954</v>
      </c>
      <c r="L209" s="29"/>
      <c r="M209" s="8"/>
      <c r="N209" s="9"/>
      <c r="O209" s="10"/>
      <c r="P209" s="11">
        <f t="shared" si="86"/>
        <v>0</v>
      </c>
      <c r="Q209" s="12"/>
      <c r="R209" s="9"/>
      <c r="S209" s="10"/>
      <c r="T209" s="11">
        <f t="shared" si="87"/>
        <v>0</v>
      </c>
      <c r="U209" s="11">
        <f t="shared" si="88"/>
        <v>0</v>
      </c>
      <c r="V209" s="65"/>
    </row>
    <row r="210" spans="1:22" x14ac:dyDescent="0.15">
      <c r="A210" s="29" t="s">
        <v>145</v>
      </c>
      <c r="B210" s="8">
        <v>1</v>
      </c>
      <c r="C210" s="9">
        <v>2</v>
      </c>
      <c r="D210" s="10"/>
      <c r="E210" s="11">
        <f t="shared" si="83"/>
        <v>3</v>
      </c>
      <c r="F210" s="12">
        <v>1</v>
      </c>
      <c r="G210" s="9">
        <v>2</v>
      </c>
      <c r="H210" s="10"/>
      <c r="I210" s="11">
        <f t="shared" si="84"/>
        <v>3</v>
      </c>
      <c r="J210" s="11">
        <f t="shared" si="85"/>
        <v>6</v>
      </c>
      <c r="K210" s="65">
        <v>41956</v>
      </c>
      <c r="L210" s="6"/>
      <c r="M210" s="13"/>
      <c r="N210" s="14"/>
      <c r="O210" s="15"/>
      <c r="P210" s="11">
        <f>SUM(M210:O210)</f>
        <v>0</v>
      </c>
      <c r="Q210" s="16"/>
      <c r="R210" s="14"/>
      <c r="S210" s="15"/>
      <c r="T210" s="11">
        <f>SUM(Q210:S210)</f>
        <v>0</v>
      </c>
      <c r="U210" s="11">
        <f>P210+T210</f>
        <v>0</v>
      </c>
      <c r="V210" s="64"/>
    </row>
    <row r="211" spans="1:22" ht="14.25" thickBot="1" x14ac:dyDescent="0.2">
      <c r="A211" s="29" t="s">
        <v>146</v>
      </c>
      <c r="B211" s="8"/>
      <c r="C211" s="9">
        <v>2</v>
      </c>
      <c r="D211" s="10"/>
      <c r="E211" s="11">
        <f t="shared" si="83"/>
        <v>2</v>
      </c>
      <c r="F211" s="16"/>
      <c r="G211" s="14">
        <v>4</v>
      </c>
      <c r="H211" s="15"/>
      <c r="I211" s="11">
        <f t="shared" si="84"/>
        <v>4</v>
      </c>
      <c r="J211" s="11">
        <f t="shared" si="85"/>
        <v>6</v>
      </c>
      <c r="K211" s="65">
        <v>41956</v>
      </c>
      <c r="L211" s="6"/>
      <c r="M211" s="13"/>
      <c r="N211" s="14"/>
      <c r="O211" s="15"/>
      <c r="P211" s="11">
        <f>SUM(M211:O211)</f>
        <v>0</v>
      </c>
      <c r="Q211" s="16"/>
      <c r="R211" s="14"/>
      <c r="S211" s="15"/>
      <c r="T211" s="11">
        <f>SUM(Q211:S211)</f>
        <v>0</v>
      </c>
      <c r="U211" s="11">
        <f>P211+T211</f>
        <v>0</v>
      </c>
      <c r="V211" s="64"/>
    </row>
    <row r="212" spans="1:22" ht="14.25" thickBot="1" x14ac:dyDescent="0.2">
      <c r="A212" s="44" t="s">
        <v>13</v>
      </c>
      <c r="B212" s="48">
        <f t="shared" ref="B212:I212" si="89">SUM(B186:B211)</f>
        <v>60</v>
      </c>
      <c r="C212" s="49">
        <f t="shared" si="89"/>
        <v>72</v>
      </c>
      <c r="D212" s="50">
        <f t="shared" si="89"/>
        <v>42</v>
      </c>
      <c r="E212" s="46">
        <f t="shared" si="89"/>
        <v>174</v>
      </c>
      <c r="F212" s="48">
        <f t="shared" si="89"/>
        <v>77</v>
      </c>
      <c r="G212" s="49">
        <f t="shared" si="89"/>
        <v>74</v>
      </c>
      <c r="H212" s="50">
        <f t="shared" si="89"/>
        <v>68</v>
      </c>
      <c r="I212" s="46">
        <f t="shared" si="89"/>
        <v>219</v>
      </c>
      <c r="J212" s="35">
        <f>E212+I212</f>
        <v>393</v>
      </c>
      <c r="L212" s="44" t="s">
        <v>13</v>
      </c>
      <c r="M212" s="48">
        <f t="shared" ref="M212:T212" si="90">SUM(M186:M211)</f>
        <v>10</v>
      </c>
      <c r="N212" s="49">
        <f t="shared" si="90"/>
        <v>10</v>
      </c>
      <c r="O212" s="50">
        <f t="shared" si="90"/>
        <v>10</v>
      </c>
      <c r="P212" s="46">
        <f t="shared" si="90"/>
        <v>30</v>
      </c>
      <c r="Q212" s="48">
        <f t="shared" si="90"/>
        <v>50</v>
      </c>
      <c r="R212" s="49">
        <f t="shared" si="90"/>
        <v>50</v>
      </c>
      <c r="S212" s="50">
        <f t="shared" si="90"/>
        <v>50</v>
      </c>
      <c r="T212" s="46">
        <f t="shared" si="90"/>
        <v>150</v>
      </c>
      <c r="U212" s="35">
        <f>P212+T212</f>
        <v>180</v>
      </c>
    </row>
    <row r="213" spans="1:22" ht="14.25" thickBot="1" x14ac:dyDescent="0.2">
      <c r="A213" s="23" t="s">
        <v>14</v>
      </c>
      <c r="B213" s="24">
        <f t="shared" ref="B213:J213" si="91">B185-B212</f>
        <v>60</v>
      </c>
      <c r="C213" s="25">
        <f t="shared" si="91"/>
        <v>41</v>
      </c>
      <c r="D213" s="30">
        <f t="shared" si="91"/>
        <v>38</v>
      </c>
      <c r="E213" s="51">
        <f t="shared" si="91"/>
        <v>139</v>
      </c>
      <c r="F213" s="24">
        <f t="shared" si="91"/>
        <v>54</v>
      </c>
      <c r="G213" s="25">
        <f t="shared" si="91"/>
        <v>64</v>
      </c>
      <c r="H213" s="30">
        <f t="shared" si="91"/>
        <v>47</v>
      </c>
      <c r="I213" s="47">
        <f t="shared" si="91"/>
        <v>165</v>
      </c>
      <c r="J213" s="79">
        <f t="shared" si="91"/>
        <v>304</v>
      </c>
      <c r="L213" s="23" t="s">
        <v>14</v>
      </c>
      <c r="M213" s="24">
        <f t="shared" ref="M213:U213" si="92">M185-M212</f>
        <v>490</v>
      </c>
      <c r="N213" s="25">
        <f t="shared" si="92"/>
        <v>490</v>
      </c>
      <c r="O213" s="30">
        <f t="shared" si="92"/>
        <v>390</v>
      </c>
      <c r="P213" s="51">
        <f t="shared" si="92"/>
        <v>1370</v>
      </c>
      <c r="Q213" s="24">
        <f t="shared" si="92"/>
        <v>750</v>
      </c>
      <c r="R213" s="25">
        <f t="shared" si="92"/>
        <v>750</v>
      </c>
      <c r="S213" s="30">
        <f t="shared" si="92"/>
        <v>550</v>
      </c>
      <c r="T213" s="47">
        <f t="shared" si="92"/>
        <v>2050</v>
      </c>
      <c r="U213" s="79">
        <f t="shared" si="92"/>
        <v>3420</v>
      </c>
    </row>
    <row r="216" spans="1:22" ht="19.5" thickBot="1" x14ac:dyDescent="0.25">
      <c r="A216" s="2" t="s">
        <v>21</v>
      </c>
      <c r="B216" s="1"/>
      <c r="C216" s="1"/>
      <c r="D216" s="1"/>
      <c r="E216" s="1"/>
      <c r="F216" s="1"/>
      <c r="G216" s="1"/>
      <c r="H216" s="1"/>
      <c r="I216" s="1"/>
      <c r="J216" s="1"/>
      <c r="L216" s="93" t="s">
        <v>136</v>
      </c>
      <c r="M216" s="94"/>
      <c r="N216" s="94"/>
      <c r="O216" s="94"/>
      <c r="P216" s="1"/>
      <c r="Q216" s="1"/>
      <c r="R216" s="1"/>
      <c r="S216" s="1"/>
      <c r="T216" s="1"/>
      <c r="U216" s="1"/>
    </row>
    <row r="217" spans="1:22" ht="14.25" thickBot="1" x14ac:dyDescent="0.2">
      <c r="A217" s="7" t="s">
        <v>0</v>
      </c>
      <c r="B217" s="168" t="s">
        <v>1</v>
      </c>
      <c r="C217" s="169"/>
      <c r="D217" s="169"/>
      <c r="E217" s="170"/>
      <c r="F217" s="168" t="s">
        <v>2</v>
      </c>
      <c r="G217" s="169"/>
      <c r="H217" s="169"/>
      <c r="I217" s="171"/>
      <c r="J217" s="172" t="s">
        <v>3</v>
      </c>
      <c r="L217" s="7" t="s">
        <v>0</v>
      </c>
      <c r="M217" s="168" t="s">
        <v>1</v>
      </c>
      <c r="N217" s="169"/>
      <c r="O217" s="169"/>
      <c r="P217" s="170"/>
      <c r="Q217" s="168" t="s">
        <v>2</v>
      </c>
      <c r="R217" s="169"/>
      <c r="S217" s="169"/>
      <c r="T217" s="171"/>
      <c r="U217" s="172" t="s">
        <v>3</v>
      </c>
    </row>
    <row r="218" spans="1:22" ht="14.25" thickBot="1" x14ac:dyDescent="0.2">
      <c r="A218" s="7" t="s">
        <v>4</v>
      </c>
      <c r="B218" s="3" t="s">
        <v>5</v>
      </c>
      <c r="C218" s="4" t="s">
        <v>6</v>
      </c>
      <c r="D218" s="5" t="s">
        <v>7</v>
      </c>
      <c r="E218" s="7" t="s">
        <v>8</v>
      </c>
      <c r="F218" s="3" t="s">
        <v>5</v>
      </c>
      <c r="G218" s="4" t="s">
        <v>6</v>
      </c>
      <c r="H218" s="5" t="s">
        <v>7</v>
      </c>
      <c r="I218" s="7" t="s">
        <v>8</v>
      </c>
      <c r="J218" s="173"/>
      <c r="L218" s="7" t="s">
        <v>4</v>
      </c>
      <c r="M218" s="3" t="s">
        <v>5</v>
      </c>
      <c r="N218" s="4" t="s">
        <v>6</v>
      </c>
      <c r="O218" s="5" t="s">
        <v>7</v>
      </c>
      <c r="P218" s="7" t="s">
        <v>8</v>
      </c>
      <c r="Q218" s="3" t="s">
        <v>5</v>
      </c>
      <c r="R218" s="4" t="s">
        <v>6</v>
      </c>
      <c r="S218" s="5" t="s">
        <v>7</v>
      </c>
      <c r="T218" s="7" t="s">
        <v>8</v>
      </c>
      <c r="U218" s="173"/>
    </row>
    <row r="219" spans="1:22" ht="14.25" thickBot="1" x14ac:dyDescent="0.2">
      <c r="A219" s="31" t="s">
        <v>14</v>
      </c>
      <c r="B219" s="32">
        <f>B213</f>
        <v>60</v>
      </c>
      <c r="C219" s="33">
        <f>C213</f>
        <v>41</v>
      </c>
      <c r="D219" s="34">
        <f>D213</f>
        <v>38</v>
      </c>
      <c r="E219" s="41">
        <f>SUM(B219:D219)</f>
        <v>139</v>
      </c>
      <c r="F219" s="32">
        <f>F213</f>
        <v>54</v>
      </c>
      <c r="G219" s="33">
        <f>G213</f>
        <v>64</v>
      </c>
      <c r="H219" s="34">
        <f>H213</f>
        <v>47</v>
      </c>
      <c r="I219" s="41">
        <f>SUM(F219:H219)</f>
        <v>165</v>
      </c>
      <c r="J219" s="41">
        <f>E219+I219</f>
        <v>304</v>
      </c>
      <c r="L219" s="31" t="s">
        <v>14</v>
      </c>
      <c r="M219" s="32">
        <f>M213</f>
        <v>490</v>
      </c>
      <c r="N219" s="33">
        <f>N213</f>
        <v>490</v>
      </c>
      <c r="O219" s="34">
        <f>O213</f>
        <v>390</v>
      </c>
      <c r="P219" s="35">
        <f>SUM(M219:O219)</f>
        <v>1370</v>
      </c>
      <c r="Q219" s="32">
        <f>Q213</f>
        <v>750</v>
      </c>
      <c r="R219" s="33">
        <f>R213</f>
        <v>750</v>
      </c>
      <c r="S219" s="34">
        <f>S213</f>
        <v>550</v>
      </c>
      <c r="T219" s="35">
        <f>SUM(Q219:S219)</f>
        <v>2050</v>
      </c>
      <c r="U219" s="35">
        <f>P219+T219</f>
        <v>3420</v>
      </c>
    </row>
    <row r="220" spans="1:22" x14ac:dyDescent="0.15">
      <c r="A220" s="28" t="s">
        <v>59</v>
      </c>
      <c r="B220" s="17">
        <v>1</v>
      </c>
      <c r="C220" s="18"/>
      <c r="D220" s="19"/>
      <c r="E220" s="20">
        <f t="shared" ref="E220:E227" si="93">SUM(B220:D220)</f>
        <v>1</v>
      </c>
      <c r="F220" s="21">
        <v>2</v>
      </c>
      <c r="G220" s="18"/>
      <c r="H220" s="19"/>
      <c r="I220" s="20">
        <f t="shared" ref="I220:I227" si="94">SUM(F220:H220)</f>
        <v>2</v>
      </c>
      <c r="J220" s="20">
        <f t="shared" ref="J220:J227" si="95">E220+I220</f>
        <v>3</v>
      </c>
      <c r="K220" s="71">
        <v>41957</v>
      </c>
      <c r="L220" s="28" t="s">
        <v>9</v>
      </c>
      <c r="M220" s="17"/>
      <c r="N220" s="18"/>
      <c r="O220" s="19"/>
      <c r="P220" s="78">
        <f>SUM(M220:O220)</f>
        <v>0</v>
      </c>
      <c r="Q220" s="21"/>
      <c r="R220" s="18"/>
      <c r="S220" s="19"/>
      <c r="T220" s="78">
        <f>SUM(Q220:S220)</f>
        <v>0</v>
      </c>
      <c r="U220" s="78">
        <f>P220+T220</f>
        <v>0</v>
      </c>
      <c r="V220" s="65"/>
    </row>
    <row r="221" spans="1:22" x14ac:dyDescent="0.15">
      <c r="A221" s="28" t="s">
        <v>46</v>
      </c>
      <c r="B221" s="8">
        <v>3</v>
      </c>
      <c r="C221" s="9"/>
      <c r="D221" s="10"/>
      <c r="E221" s="11">
        <f t="shared" si="93"/>
        <v>3</v>
      </c>
      <c r="F221" s="12"/>
      <c r="G221" s="9"/>
      <c r="H221" s="10"/>
      <c r="I221" s="11">
        <f t="shared" si="94"/>
        <v>0</v>
      </c>
      <c r="J221" s="11">
        <f t="shared" si="95"/>
        <v>3</v>
      </c>
      <c r="K221" s="71">
        <v>41958</v>
      </c>
      <c r="L221" s="28" t="s">
        <v>10</v>
      </c>
      <c r="M221" s="8"/>
      <c r="N221" s="9"/>
      <c r="O221" s="10"/>
      <c r="P221" s="11">
        <f t="shared" ref="P221:P227" si="96">SUM(M221:O221)</f>
        <v>0</v>
      </c>
      <c r="Q221" s="12"/>
      <c r="R221" s="9"/>
      <c r="S221" s="10"/>
      <c r="T221" s="11">
        <f t="shared" ref="T221:T227" si="97">SUM(Q221:S221)</f>
        <v>0</v>
      </c>
      <c r="U221" s="11">
        <f t="shared" ref="U221:U227" si="98">P221+T221</f>
        <v>0</v>
      </c>
      <c r="V221" s="65"/>
    </row>
    <row r="222" spans="1:22" x14ac:dyDescent="0.15">
      <c r="A222" s="28" t="s">
        <v>83</v>
      </c>
      <c r="B222" s="8">
        <v>3</v>
      </c>
      <c r="C222" s="9"/>
      <c r="D222" s="10">
        <v>4</v>
      </c>
      <c r="E222" s="11">
        <f t="shared" si="93"/>
        <v>7</v>
      </c>
      <c r="F222" s="12">
        <v>6</v>
      </c>
      <c r="G222" s="9"/>
      <c r="H222" s="10">
        <v>3</v>
      </c>
      <c r="I222" s="11">
        <f t="shared" si="94"/>
        <v>9</v>
      </c>
      <c r="J222" s="11">
        <f t="shared" si="95"/>
        <v>16</v>
      </c>
      <c r="K222" s="71">
        <v>41960</v>
      </c>
      <c r="L222" s="28" t="s">
        <v>11</v>
      </c>
      <c r="M222" s="8"/>
      <c r="N222" s="9"/>
      <c r="O222" s="10"/>
      <c r="P222" s="11">
        <f t="shared" si="96"/>
        <v>0</v>
      </c>
      <c r="Q222" s="12"/>
      <c r="R222" s="9"/>
      <c r="S222" s="10"/>
      <c r="T222" s="11">
        <f t="shared" si="97"/>
        <v>0</v>
      </c>
      <c r="U222" s="11">
        <f t="shared" si="98"/>
        <v>0</v>
      </c>
    </row>
    <row r="223" spans="1:22" x14ac:dyDescent="0.15">
      <c r="A223" s="28" t="s">
        <v>156</v>
      </c>
      <c r="B223" s="8"/>
      <c r="C223" s="9"/>
      <c r="D223" s="10">
        <v>50</v>
      </c>
      <c r="E223" s="11">
        <f t="shared" si="93"/>
        <v>50</v>
      </c>
      <c r="F223" s="12"/>
      <c r="G223" s="9"/>
      <c r="H223" s="10">
        <v>50</v>
      </c>
      <c r="I223" s="11">
        <f t="shared" si="94"/>
        <v>50</v>
      </c>
      <c r="J223" s="11">
        <f t="shared" si="95"/>
        <v>100</v>
      </c>
      <c r="K223" s="65">
        <v>41964</v>
      </c>
      <c r="L223" s="28" t="s">
        <v>12</v>
      </c>
      <c r="M223" s="8"/>
      <c r="N223" s="9"/>
      <c r="O223" s="10"/>
      <c r="P223" s="11">
        <f t="shared" si="96"/>
        <v>0</v>
      </c>
      <c r="Q223" s="12"/>
      <c r="R223" s="9"/>
      <c r="S223" s="10"/>
      <c r="T223" s="11">
        <f t="shared" si="97"/>
        <v>0</v>
      </c>
      <c r="U223" s="11">
        <f t="shared" si="98"/>
        <v>0</v>
      </c>
    </row>
    <row r="224" spans="1:22" x14ac:dyDescent="0.15">
      <c r="A224" s="27" t="s">
        <v>132</v>
      </c>
      <c r="B224" s="8"/>
      <c r="C224" s="9">
        <v>50</v>
      </c>
      <c r="D224" s="10"/>
      <c r="E224" s="11">
        <f t="shared" si="93"/>
        <v>50</v>
      </c>
      <c r="F224" s="12"/>
      <c r="G224" s="9">
        <v>45</v>
      </c>
      <c r="H224" s="10"/>
      <c r="I224" s="11">
        <f t="shared" si="94"/>
        <v>45</v>
      </c>
      <c r="J224" s="11">
        <f t="shared" si="95"/>
        <v>95</v>
      </c>
      <c r="K224" s="65">
        <v>41964</v>
      </c>
      <c r="L224" s="28" t="s">
        <v>15</v>
      </c>
      <c r="M224" s="8"/>
      <c r="N224" s="9"/>
      <c r="O224" s="10"/>
      <c r="P224" s="11">
        <f t="shared" si="96"/>
        <v>0</v>
      </c>
      <c r="Q224" s="12"/>
      <c r="R224" s="9"/>
      <c r="S224" s="10"/>
      <c r="T224" s="11">
        <f t="shared" si="97"/>
        <v>0</v>
      </c>
      <c r="U224" s="11">
        <f t="shared" si="98"/>
        <v>0</v>
      </c>
    </row>
    <row r="225" spans="1:22" x14ac:dyDescent="0.15">
      <c r="A225" s="27" t="s">
        <v>132</v>
      </c>
      <c r="B225" s="8">
        <v>45</v>
      </c>
      <c r="C225" s="9">
        <v>45</v>
      </c>
      <c r="D225" s="10"/>
      <c r="E225" s="11">
        <f t="shared" si="93"/>
        <v>90</v>
      </c>
      <c r="F225" s="12"/>
      <c r="G225" s="9"/>
      <c r="H225" s="10"/>
      <c r="I225" s="11">
        <f t="shared" si="94"/>
        <v>0</v>
      </c>
      <c r="J225" s="11">
        <f t="shared" si="95"/>
        <v>90</v>
      </c>
      <c r="K225" s="65">
        <v>41977</v>
      </c>
      <c r="L225" s="28" t="s">
        <v>16</v>
      </c>
      <c r="M225" s="8"/>
      <c r="N225" s="9"/>
      <c r="O225" s="10"/>
      <c r="P225" s="11">
        <f t="shared" si="96"/>
        <v>0</v>
      </c>
      <c r="Q225" s="12"/>
      <c r="R225" s="9"/>
      <c r="S225" s="10"/>
      <c r="T225" s="11">
        <f t="shared" si="97"/>
        <v>0</v>
      </c>
      <c r="U225" s="11">
        <f t="shared" si="98"/>
        <v>0</v>
      </c>
    </row>
    <row r="226" spans="1:22" x14ac:dyDescent="0.15">
      <c r="A226" s="28" t="s">
        <v>147</v>
      </c>
      <c r="B226" s="13"/>
      <c r="C226" s="14"/>
      <c r="D226" s="15">
        <v>50</v>
      </c>
      <c r="E226" s="11">
        <f t="shared" si="93"/>
        <v>50</v>
      </c>
      <c r="F226" s="16">
        <v>50</v>
      </c>
      <c r="G226" s="14"/>
      <c r="H226" s="15">
        <v>50</v>
      </c>
      <c r="I226" s="11">
        <f t="shared" si="94"/>
        <v>100</v>
      </c>
      <c r="J226" s="11">
        <f t="shared" si="95"/>
        <v>150</v>
      </c>
      <c r="K226" s="65">
        <v>41978</v>
      </c>
      <c r="L226" s="28" t="s">
        <v>17</v>
      </c>
      <c r="M226" s="13"/>
      <c r="N226" s="14"/>
      <c r="O226" s="15"/>
      <c r="P226" s="11">
        <f t="shared" si="96"/>
        <v>0</v>
      </c>
      <c r="Q226" s="16"/>
      <c r="R226" s="14"/>
      <c r="S226" s="15"/>
      <c r="T226" s="11">
        <f t="shared" si="97"/>
        <v>0</v>
      </c>
      <c r="U226" s="11">
        <f t="shared" si="98"/>
        <v>0</v>
      </c>
    </row>
    <row r="227" spans="1:22" ht="14.25" thickBot="1" x14ac:dyDescent="0.2">
      <c r="A227" s="28" t="s">
        <v>46</v>
      </c>
      <c r="B227" s="36"/>
      <c r="C227" s="37"/>
      <c r="D227" s="40">
        <v>1</v>
      </c>
      <c r="E227" s="22">
        <f t="shared" si="93"/>
        <v>1</v>
      </c>
      <c r="F227" s="38"/>
      <c r="G227" s="38"/>
      <c r="H227" s="43"/>
      <c r="I227" s="22">
        <f t="shared" si="94"/>
        <v>0</v>
      </c>
      <c r="J227" s="22">
        <f t="shared" si="95"/>
        <v>1</v>
      </c>
      <c r="K227" s="71">
        <v>41984</v>
      </c>
      <c r="L227" s="28" t="s">
        <v>18</v>
      </c>
      <c r="M227" s="36"/>
      <c r="N227" s="37"/>
      <c r="O227" s="40"/>
      <c r="P227" s="22">
        <f t="shared" si="96"/>
        <v>0</v>
      </c>
      <c r="Q227" s="38"/>
      <c r="R227" s="38"/>
      <c r="S227" s="43"/>
      <c r="T227" s="22">
        <f t="shared" si="97"/>
        <v>0</v>
      </c>
      <c r="U227" s="22">
        <f t="shared" si="98"/>
        <v>0</v>
      </c>
    </row>
    <row r="228" spans="1:22" ht="14.25" thickBot="1" x14ac:dyDescent="0.2">
      <c r="A228" s="39" t="s">
        <v>20</v>
      </c>
      <c r="B228" s="32">
        <f t="shared" ref="B228:J228" si="99">SUM(B219:B227)</f>
        <v>112</v>
      </c>
      <c r="C228" s="33">
        <f t="shared" si="99"/>
        <v>136</v>
      </c>
      <c r="D228" s="34">
        <f t="shared" si="99"/>
        <v>143</v>
      </c>
      <c r="E228" s="42">
        <f t="shared" si="99"/>
        <v>391</v>
      </c>
      <c r="F228" s="32">
        <f t="shared" si="99"/>
        <v>112</v>
      </c>
      <c r="G228" s="33">
        <f t="shared" si="99"/>
        <v>109</v>
      </c>
      <c r="H228" s="34">
        <f t="shared" si="99"/>
        <v>150</v>
      </c>
      <c r="I228" s="42">
        <f t="shared" si="99"/>
        <v>371</v>
      </c>
      <c r="J228" s="42">
        <f t="shared" si="99"/>
        <v>762</v>
      </c>
      <c r="L228" s="39" t="s">
        <v>20</v>
      </c>
      <c r="M228" s="32">
        <f t="shared" ref="M228:U228" si="100">SUM(M219:M227)</f>
        <v>490</v>
      </c>
      <c r="N228" s="33">
        <f t="shared" si="100"/>
        <v>490</v>
      </c>
      <c r="O228" s="34">
        <f t="shared" si="100"/>
        <v>390</v>
      </c>
      <c r="P228" s="42">
        <f t="shared" si="100"/>
        <v>1370</v>
      </c>
      <c r="Q228" s="32">
        <f t="shared" si="100"/>
        <v>750</v>
      </c>
      <c r="R228" s="33">
        <f t="shared" si="100"/>
        <v>750</v>
      </c>
      <c r="S228" s="34">
        <f t="shared" si="100"/>
        <v>550</v>
      </c>
      <c r="T228" s="42">
        <f t="shared" si="100"/>
        <v>2050</v>
      </c>
      <c r="U228" s="42">
        <f t="shared" si="100"/>
        <v>3420</v>
      </c>
    </row>
    <row r="229" spans="1:22" x14ac:dyDescent="0.15">
      <c r="A229" s="26" t="s">
        <v>149</v>
      </c>
      <c r="B229" s="13">
        <v>1</v>
      </c>
      <c r="C229" s="14"/>
      <c r="D229" s="15"/>
      <c r="E229" s="11">
        <f>SUM(B229:D229)</f>
        <v>1</v>
      </c>
      <c r="F229" s="16">
        <v>1</v>
      </c>
      <c r="G229" s="14"/>
      <c r="H229" s="15"/>
      <c r="I229" s="11">
        <f>SUM(F229:H229)</f>
        <v>1</v>
      </c>
      <c r="J229" s="11">
        <f>E229+I229</f>
        <v>2</v>
      </c>
      <c r="K229" s="71">
        <v>41958</v>
      </c>
      <c r="L229" s="6" t="s">
        <v>152</v>
      </c>
      <c r="M229" s="13">
        <v>50</v>
      </c>
      <c r="N229" s="14">
        <v>50</v>
      </c>
      <c r="O229" s="15">
        <v>50</v>
      </c>
      <c r="P229" s="11">
        <f>SUM(M229:O229)</f>
        <v>150</v>
      </c>
      <c r="Q229" s="16">
        <v>50</v>
      </c>
      <c r="R229" s="14">
        <v>50</v>
      </c>
      <c r="S229" s="15">
        <v>50</v>
      </c>
      <c r="T229" s="11">
        <f>SUM(Q229:S229)</f>
        <v>150</v>
      </c>
      <c r="U229" s="11">
        <f>P229+T229</f>
        <v>300</v>
      </c>
      <c r="V229" s="65">
        <v>41963</v>
      </c>
    </row>
    <row r="230" spans="1:22" x14ac:dyDescent="0.15">
      <c r="A230" s="29" t="s">
        <v>150</v>
      </c>
      <c r="B230" s="13"/>
      <c r="C230" s="14"/>
      <c r="D230" s="15">
        <v>3</v>
      </c>
      <c r="E230" s="11">
        <f t="shared" ref="E230:E254" si="101">SUM(B230:D230)</f>
        <v>3</v>
      </c>
      <c r="F230" s="16"/>
      <c r="G230" s="14"/>
      <c r="H230" s="15">
        <v>3</v>
      </c>
      <c r="I230" s="11">
        <f t="shared" ref="I230:I254" si="102">SUM(F230:H230)</f>
        <v>3</v>
      </c>
      <c r="J230" s="11">
        <f t="shared" ref="J230:J254" si="103">E230+I230</f>
        <v>6</v>
      </c>
      <c r="K230" s="65">
        <v>41963</v>
      </c>
      <c r="L230" s="29" t="s">
        <v>153</v>
      </c>
      <c r="M230" s="8"/>
      <c r="N230" s="9"/>
      <c r="O230" s="10"/>
      <c r="P230" s="11">
        <f>SUM(M230:O230)</f>
        <v>0</v>
      </c>
      <c r="Q230" s="12">
        <v>100</v>
      </c>
      <c r="R230" s="9">
        <v>100</v>
      </c>
      <c r="S230" s="10">
        <v>100</v>
      </c>
      <c r="T230" s="11">
        <f>SUM(Q230:S230)</f>
        <v>300</v>
      </c>
      <c r="U230" s="11">
        <f>P230+T230</f>
        <v>300</v>
      </c>
      <c r="V230" s="65">
        <v>41963</v>
      </c>
    </row>
    <row r="231" spans="1:22" x14ac:dyDescent="0.15">
      <c r="A231" s="6" t="s">
        <v>151</v>
      </c>
      <c r="B231" s="8"/>
      <c r="C231" s="9"/>
      <c r="D231" s="10"/>
      <c r="E231" s="11">
        <f t="shared" si="101"/>
        <v>0</v>
      </c>
      <c r="F231" s="12">
        <v>2</v>
      </c>
      <c r="G231" s="9"/>
      <c r="H231" s="10"/>
      <c r="I231" s="11">
        <f t="shared" si="102"/>
        <v>2</v>
      </c>
      <c r="J231" s="11">
        <f t="shared" si="103"/>
        <v>2</v>
      </c>
      <c r="K231" s="71">
        <v>41960</v>
      </c>
      <c r="L231" s="27" t="s">
        <v>155</v>
      </c>
      <c r="M231" s="8"/>
      <c r="N231" s="9"/>
      <c r="O231" s="10">
        <v>50</v>
      </c>
      <c r="P231" s="11">
        <f t="shared" ref="P231:P254" si="104">SUM(M231:O231)</f>
        <v>50</v>
      </c>
      <c r="Q231" s="12"/>
      <c r="R231" s="9"/>
      <c r="S231" s="10">
        <v>50</v>
      </c>
      <c r="T231" s="11">
        <f t="shared" ref="T231:T254" si="105">SUM(Q231:S231)</f>
        <v>50</v>
      </c>
      <c r="U231" s="11">
        <f t="shared" ref="U231:U254" si="106">P231+T231</f>
        <v>100</v>
      </c>
      <c r="V231" s="65">
        <v>41964</v>
      </c>
    </row>
    <row r="232" spans="1:22" x14ac:dyDescent="0.15">
      <c r="A232" s="29" t="s">
        <v>144</v>
      </c>
      <c r="B232" s="8">
        <v>1</v>
      </c>
      <c r="C232" s="9">
        <v>2</v>
      </c>
      <c r="D232" s="10"/>
      <c r="E232" s="11">
        <f t="shared" si="101"/>
        <v>3</v>
      </c>
      <c r="F232" s="12">
        <v>1</v>
      </c>
      <c r="G232" s="9">
        <v>2</v>
      </c>
      <c r="H232" s="10"/>
      <c r="I232" s="11">
        <f t="shared" si="102"/>
        <v>3</v>
      </c>
      <c r="J232" s="11">
        <f t="shared" si="103"/>
        <v>6</v>
      </c>
      <c r="K232" s="65">
        <v>41963</v>
      </c>
      <c r="L232" s="29" t="s">
        <v>158</v>
      </c>
      <c r="M232" s="8"/>
      <c r="N232" s="9"/>
      <c r="O232" s="10"/>
      <c r="P232" s="11">
        <f t="shared" si="104"/>
        <v>0</v>
      </c>
      <c r="Q232" s="12">
        <v>100</v>
      </c>
      <c r="R232" s="9">
        <v>160</v>
      </c>
      <c r="S232" s="10">
        <v>140</v>
      </c>
      <c r="T232" s="11">
        <f t="shared" si="105"/>
        <v>400</v>
      </c>
      <c r="U232" s="11">
        <f t="shared" si="106"/>
        <v>400</v>
      </c>
      <c r="V232" s="65">
        <v>41965</v>
      </c>
    </row>
    <row r="233" spans="1:22" x14ac:dyDescent="0.15">
      <c r="A233" s="29" t="s">
        <v>143</v>
      </c>
      <c r="B233" s="8"/>
      <c r="C233" s="9"/>
      <c r="D233" s="10"/>
      <c r="E233" s="11">
        <f t="shared" si="101"/>
        <v>0</v>
      </c>
      <c r="F233" s="12"/>
      <c r="G233" s="9">
        <v>2</v>
      </c>
      <c r="H233" s="10"/>
      <c r="I233" s="11">
        <f t="shared" si="102"/>
        <v>2</v>
      </c>
      <c r="J233" s="11">
        <f t="shared" si="103"/>
        <v>2</v>
      </c>
      <c r="K233" s="65">
        <v>41963</v>
      </c>
      <c r="L233" s="29" t="s">
        <v>166</v>
      </c>
      <c r="M233" s="8">
        <v>260</v>
      </c>
      <c r="N233" s="9">
        <v>310</v>
      </c>
      <c r="O233" s="10">
        <v>150</v>
      </c>
      <c r="P233" s="11">
        <f t="shared" si="104"/>
        <v>720</v>
      </c>
      <c r="Q233" s="12">
        <v>220</v>
      </c>
      <c r="R233" s="9">
        <v>170</v>
      </c>
      <c r="S233" s="10">
        <v>27</v>
      </c>
      <c r="T233" s="11">
        <f t="shared" si="105"/>
        <v>417</v>
      </c>
      <c r="U233" s="11">
        <f t="shared" si="106"/>
        <v>1137</v>
      </c>
      <c r="V233" s="65">
        <v>41971</v>
      </c>
    </row>
    <row r="234" spans="1:22" x14ac:dyDescent="0.15">
      <c r="A234" s="27" t="s">
        <v>154</v>
      </c>
      <c r="B234" s="8"/>
      <c r="C234" s="9"/>
      <c r="D234" s="10"/>
      <c r="E234" s="11">
        <f t="shared" si="101"/>
        <v>0</v>
      </c>
      <c r="F234" s="12">
        <v>12</v>
      </c>
      <c r="G234" s="9">
        <v>7</v>
      </c>
      <c r="H234" s="10"/>
      <c r="I234" s="11">
        <f t="shared" si="102"/>
        <v>19</v>
      </c>
      <c r="J234" s="11">
        <f t="shared" si="103"/>
        <v>19</v>
      </c>
      <c r="K234" s="65">
        <v>41963</v>
      </c>
      <c r="L234" s="28" t="s">
        <v>147</v>
      </c>
      <c r="M234" s="13"/>
      <c r="N234" s="14"/>
      <c r="O234" s="15">
        <v>50</v>
      </c>
      <c r="P234" s="11">
        <f t="shared" si="104"/>
        <v>50</v>
      </c>
      <c r="Q234" s="16">
        <v>50</v>
      </c>
      <c r="R234" s="14"/>
      <c r="S234" s="15">
        <v>50</v>
      </c>
      <c r="T234" s="11">
        <f t="shared" si="105"/>
        <v>100</v>
      </c>
      <c r="U234" s="11">
        <f t="shared" si="106"/>
        <v>150</v>
      </c>
      <c r="V234" s="65">
        <v>41977</v>
      </c>
    </row>
    <row r="235" spans="1:22" x14ac:dyDescent="0.15">
      <c r="A235" s="29" t="s">
        <v>150</v>
      </c>
      <c r="B235" s="8"/>
      <c r="C235" s="9"/>
      <c r="D235" s="10">
        <v>10</v>
      </c>
      <c r="E235" s="11">
        <f t="shared" si="101"/>
        <v>10</v>
      </c>
      <c r="F235" s="12"/>
      <c r="G235" s="9"/>
      <c r="H235" s="10">
        <v>10</v>
      </c>
      <c r="I235" s="11">
        <f t="shared" si="102"/>
        <v>10</v>
      </c>
      <c r="J235" s="11">
        <f t="shared" si="103"/>
        <v>20</v>
      </c>
      <c r="K235" s="65">
        <v>41969</v>
      </c>
      <c r="L235" s="29" t="s">
        <v>167</v>
      </c>
      <c r="M235" s="8"/>
      <c r="N235" s="9"/>
      <c r="O235" s="10"/>
      <c r="P235" s="11">
        <f t="shared" si="104"/>
        <v>0</v>
      </c>
      <c r="Q235" s="12"/>
      <c r="R235" s="9">
        <v>10</v>
      </c>
      <c r="S235" s="10"/>
      <c r="T235" s="11">
        <f t="shared" si="105"/>
        <v>10</v>
      </c>
      <c r="U235" s="11">
        <f t="shared" si="106"/>
        <v>10</v>
      </c>
      <c r="V235" s="65">
        <v>41979</v>
      </c>
    </row>
    <row r="236" spans="1:22" x14ac:dyDescent="0.15">
      <c r="A236" s="29" t="s">
        <v>35</v>
      </c>
      <c r="B236" s="13"/>
      <c r="C236" s="14"/>
      <c r="D236" s="15">
        <v>20</v>
      </c>
      <c r="E236" s="11">
        <f t="shared" si="101"/>
        <v>20</v>
      </c>
      <c r="F236" s="16"/>
      <c r="G236" s="14"/>
      <c r="H236" s="15">
        <v>10</v>
      </c>
      <c r="I236" s="11">
        <f t="shared" si="102"/>
        <v>10</v>
      </c>
      <c r="J236" s="11">
        <f t="shared" si="103"/>
        <v>30</v>
      </c>
      <c r="K236" s="65">
        <v>41968</v>
      </c>
      <c r="L236" s="29"/>
      <c r="M236" s="8"/>
      <c r="N236" s="9"/>
      <c r="O236" s="10"/>
      <c r="P236" s="11">
        <f t="shared" si="104"/>
        <v>0</v>
      </c>
      <c r="Q236" s="12"/>
      <c r="R236" s="9"/>
      <c r="S236" s="10"/>
      <c r="T236" s="11">
        <f t="shared" si="105"/>
        <v>0</v>
      </c>
      <c r="U236" s="11">
        <f t="shared" si="106"/>
        <v>0</v>
      </c>
      <c r="V236" s="64"/>
    </row>
    <row r="237" spans="1:22" x14ac:dyDescent="0.15">
      <c r="A237" s="29" t="s">
        <v>157</v>
      </c>
      <c r="B237" s="13"/>
      <c r="C237" s="14"/>
      <c r="D237" s="15">
        <v>2</v>
      </c>
      <c r="E237" s="11">
        <f t="shared" si="101"/>
        <v>2</v>
      </c>
      <c r="F237" s="16"/>
      <c r="G237" s="14"/>
      <c r="H237" s="15">
        <v>2</v>
      </c>
      <c r="I237" s="11">
        <f t="shared" si="102"/>
        <v>2</v>
      </c>
      <c r="J237" s="11">
        <f t="shared" si="103"/>
        <v>4</v>
      </c>
      <c r="K237" s="71">
        <v>41964</v>
      </c>
      <c r="L237" s="27"/>
      <c r="M237" s="8"/>
      <c r="N237" s="9"/>
      <c r="O237" s="10"/>
      <c r="P237" s="11">
        <f t="shared" si="104"/>
        <v>0</v>
      </c>
      <c r="Q237" s="12"/>
      <c r="R237" s="9"/>
      <c r="S237" s="10"/>
      <c r="T237" s="11">
        <f t="shared" si="105"/>
        <v>0</v>
      </c>
      <c r="U237" s="11">
        <f t="shared" si="106"/>
        <v>0</v>
      </c>
    </row>
    <row r="238" spans="1:22" x14ac:dyDescent="0.15">
      <c r="A238" s="29" t="s">
        <v>159</v>
      </c>
      <c r="B238" s="13"/>
      <c r="C238" s="14"/>
      <c r="D238" s="15"/>
      <c r="E238" s="11">
        <f t="shared" si="101"/>
        <v>0</v>
      </c>
      <c r="F238" s="16"/>
      <c r="G238" s="14">
        <v>24</v>
      </c>
      <c r="H238" s="15"/>
      <c r="I238" s="11">
        <f t="shared" si="102"/>
        <v>24</v>
      </c>
      <c r="J238" s="11">
        <f t="shared" si="103"/>
        <v>24</v>
      </c>
      <c r="K238" s="65">
        <v>41971</v>
      </c>
      <c r="L238" s="29"/>
      <c r="M238" s="13"/>
      <c r="N238" s="14"/>
      <c r="O238" s="15"/>
      <c r="P238" s="11">
        <f t="shared" si="104"/>
        <v>0</v>
      </c>
      <c r="Q238" s="16"/>
      <c r="R238" s="14"/>
      <c r="S238" s="15"/>
      <c r="T238" s="11">
        <f t="shared" si="105"/>
        <v>0</v>
      </c>
      <c r="U238" s="11">
        <f t="shared" si="106"/>
        <v>0</v>
      </c>
    </row>
    <row r="239" spans="1:22" x14ac:dyDescent="0.15">
      <c r="A239" s="29" t="s">
        <v>160</v>
      </c>
      <c r="B239" s="8"/>
      <c r="C239" s="9"/>
      <c r="D239" s="10"/>
      <c r="E239" s="11">
        <f t="shared" si="101"/>
        <v>0</v>
      </c>
      <c r="F239" s="12">
        <v>2</v>
      </c>
      <c r="G239" s="9"/>
      <c r="H239" s="10"/>
      <c r="I239" s="11">
        <f t="shared" si="102"/>
        <v>2</v>
      </c>
      <c r="J239" s="11">
        <f t="shared" si="103"/>
        <v>2</v>
      </c>
      <c r="K239" s="65">
        <v>41968</v>
      </c>
      <c r="L239" s="29"/>
      <c r="M239" s="8"/>
      <c r="N239" s="9"/>
      <c r="O239" s="10"/>
      <c r="P239" s="11">
        <f t="shared" si="104"/>
        <v>0</v>
      </c>
      <c r="Q239" s="12"/>
      <c r="R239" s="9"/>
      <c r="S239" s="10"/>
      <c r="T239" s="11">
        <f t="shared" si="105"/>
        <v>0</v>
      </c>
      <c r="U239" s="11">
        <f t="shared" si="106"/>
        <v>0</v>
      </c>
    </row>
    <row r="240" spans="1:22" x14ac:dyDescent="0.15">
      <c r="A240" s="29" t="s">
        <v>35</v>
      </c>
      <c r="B240" s="8"/>
      <c r="C240" s="9">
        <v>20</v>
      </c>
      <c r="D240" s="10"/>
      <c r="E240" s="11">
        <f t="shared" si="101"/>
        <v>20</v>
      </c>
      <c r="F240" s="12"/>
      <c r="G240" s="9"/>
      <c r="H240" s="10"/>
      <c r="I240" s="11">
        <f t="shared" si="102"/>
        <v>0</v>
      </c>
      <c r="J240" s="11">
        <f t="shared" si="103"/>
        <v>20</v>
      </c>
      <c r="K240" s="65">
        <v>41976</v>
      </c>
      <c r="L240" s="29"/>
      <c r="M240" s="8"/>
      <c r="N240" s="9"/>
      <c r="O240" s="10"/>
      <c r="P240" s="11">
        <f t="shared" si="104"/>
        <v>0</v>
      </c>
      <c r="Q240" s="12"/>
      <c r="R240" s="9"/>
      <c r="S240" s="10"/>
      <c r="T240" s="11">
        <f t="shared" si="105"/>
        <v>0</v>
      </c>
      <c r="U240" s="11">
        <f t="shared" si="106"/>
        <v>0</v>
      </c>
    </row>
    <row r="241" spans="1:22" x14ac:dyDescent="0.15">
      <c r="A241" s="29" t="s">
        <v>150</v>
      </c>
      <c r="B241" s="8">
        <v>2</v>
      </c>
      <c r="C241" s="9"/>
      <c r="D241" s="10"/>
      <c r="E241" s="11">
        <f t="shared" si="101"/>
        <v>2</v>
      </c>
      <c r="F241" s="12">
        <v>2</v>
      </c>
      <c r="G241" s="9"/>
      <c r="H241" s="10"/>
      <c r="I241" s="11">
        <f t="shared" si="102"/>
        <v>2</v>
      </c>
      <c r="J241" s="11">
        <f t="shared" si="103"/>
        <v>4</v>
      </c>
      <c r="K241" s="65">
        <v>41971</v>
      </c>
      <c r="L241" s="27"/>
      <c r="M241" s="8"/>
      <c r="N241" s="9"/>
      <c r="O241" s="10"/>
      <c r="P241" s="11">
        <f t="shared" si="104"/>
        <v>0</v>
      </c>
      <c r="Q241" s="12"/>
      <c r="R241" s="9"/>
      <c r="S241" s="10"/>
      <c r="T241" s="11">
        <f t="shared" si="105"/>
        <v>0</v>
      </c>
      <c r="U241" s="11">
        <f t="shared" si="106"/>
        <v>0</v>
      </c>
    </row>
    <row r="242" spans="1:22" x14ac:dyDescent="0.15">
      <c r="A242" s="29" t="s">
        <v>161</v>
      </c>
      <c r="B242" s="8"/>
      <c r="C242" s="9">
        <v>1</v>
      </c>
      <c r="D242" s="10"/>
      <c r="E242" s="11">
        <f t="shared" si="101"/>
        <v>1</v>
      </c>
      <c r="F242" s="12">
        <v>2</v>
      </c>
      <c r="G242" s="9"/>
      <c r="H242" s="10"/>
      <c r="I242" s="11">
        <f t="shared" si="102"/>
        <v>2</v>
      </c>
      <c r="J242" s="11">
        <f t="shared" si="103"/>
        <v>3</v>
      </c>
      <c r="K242" s="71">
        <v>41970</v>
      </c>
      <c r="L242" s="29"/>
      <c r="M242" s="8"/>
      <c r="N242" s="9"/>
      <c r="O242" s="10"/>
      <c r="P242" s="11">
        <f t="shared" si="104"/>
        <v>0</v>
      </c>
      <c r="Q242" s="12"/>
      <c r="R242" s="9"/>
      <c r="S242" s="10"/>
      <c r="T242" s="11">
        <f t="shared" si="105"/>
        <v>0</v>
      </c>
      <c r="U242" s="11">
        <f t="shared" si="106"/>
        <v>0</v>
      </c>
    </row>
    <row r="243" spans="1:22" x14ac:dyDescent="0.15">
      <c r="A243" s="29" t="s">
        <v>162</v>
      </c>
      <c r="B243" s="8"/>
      <c r="C243" s="9"/>
      <c r="D243" s="10"/>
      <c r="E243" s="11">
        <f t="shared" si="101"/>
        <v>0</v>
      </c>
      <c r="F243" s="12"/>
      <c r="G243" s="9"/>
      <c r="H243" s="10">
        <v>53</v>
      </c>
      <c r="I243" s="11">
        <f t="shared" si="102"/>
        <v>53</v>
      </c>
      <c r="J243" s="11">
        <f t="shared" si="103"/>
        <v>53</v>
      </c>
      <c r="K243" s="65">
        <v>41971</v>
      </c>
      <c r="L243" s="29"/>
      <c r="M243" s="8"/>
      <c r="N243" s="9"/>
      <c r="O243" s="10"/>
      <c r="P243" s="11">
        <f t="shared" si="104"/>
        <v>0</v>
      </c>
      <c r="Q243" s="12"/>
      <c r="R243" s="9"/>
      <c r="S243" s="10"/>
      <c r="T243" s="11">
        <f t="shared" si="105"/>
        <v>0</v>
      </c>
      <c r="U243" s="11">
        <f t="shared" si="106"/>
        <v>0</v>
      </c>
    </row>
    <row r="244" spans="1:22" x14ac:dyDescent="0.15">
      <c r="A244" s="27" t="s">
        <v>150</v>
      </c>
      <c r="B244" s="8">
        <v>1</v>
      </c>
      <c r="C244" s="9"/>
      <c r="D244" s="10"/>
      <c r="E244" s="11">
        <f t="shared" si="101"/>
        <v>1</v>
      </c>
      <c r="F244" s="12">
        <v>1</v>
      </c>
      <c r="G244" s="9"/>
      <c r="H244" s="10"/>
      <c r="I244" s="11">
        <f t="shared" si="102"/>
        <v>1</v>
      </c>
      <c r="J244" s="11">
        <f t="shared" si="103"/>
        <v>2</v>
      </c>
      <c r="K244" s="65">
        <v>41975</v>
      </c>
      <c r="L244" s="27"/>
      <c r="M244" s="8"/>
      <c r="N244" s="9"/>
      <c r="O244" s="10"/>
      <c r="P244" s="11">
        <f t="shared" si="104"/>
        <v>0</v>
      </c>
      <c r="Q244" s="12"/>
      <c r="R244" s="9"/>
      <c r="S244" s="10"/>
      <c r="T244" s="11">
        <f t="shared" si="105"/>
        <v>0</v>
      </c>
      <c r="U244" s="11">
        <f t="shared" si="106"/>
        <v>0</v>
      </c>
    </row>
    <row r="245" spans="1:22" x14ac:dyDescent="0.15">
      <c r="A245" s="29" t="s">
        <v>170</v>
      </c>
      <c r="B245" s="8"/>
      <c r="C245" s="9"/>
      <c r="D245" s="10"/>
      <c r="E245" s="11">
        <f t="shared" si="101"/>
        <v>0</v>
      </c>
      <c r="F245" s="12">
        <v>2</v>
      </c>
      <c r="G245" s="9"/>
      <c r="H245" s="10">
        <v>3</v>
      </c>
      <c r="I245" s="11">
        <f t="shared" si="102"/>
        <v>5</v>
      </c>
      <c r="J245" s="11">
        <f t="shared" si="103"/>
        <v>5</v>
      </c>
      <c r="K245" s="65">
        <v>41978</v>
      </c>
      <c r="L245" s="29"/>
      <c r="M245" s="8"/>
      <c r="N245" s="9"/>
      <c r="O245" s="10"/>
      <c r="P245" s="11">
        <f t="shared" si="104"/>
        <v>0</v>
      </c>
      <c r="Q245" s="12"/>
      <c r="R245" s="9"/>
      <c r="S245" s="10"/>
      <c r="T245" s="11">
        <f t="shared" si="105"/>
        <v>0</v>
      </c>
      <c r="U245" s="11">
        <f t="shared" si="106"/>
        <v>0</v>
      </c>
    </row>
    <row r="246" spans="1:22" x14ac:dyDescent="0.15">
      <c r="A246" s="6" t="s">
        <v>163</v>
      </c>
      <c r="B246" s="8">
        <v>13</v>
      </c>
      <c r="C246" s="9">
        <v>19</v>
      </c>
      <c r="D246" s="10">
        <v>21</v>
      </c>
      <c r="E246" s="11">
        <f t="shared" si="101"/>
        <v>53</v>
      </c>
      <c r="F246" s="12"/>
      <c r="G246" s="9"/>
      <c r="H246" s="10"/>
      <c r="I246" s="11">
        <f t="shared" si="102"/>
        <v>0</v>
      </c>
      <c r="J246" s="11">
        <f t="shared" si="103"/>
        <v>53</v>
      </c>
      <c r="K246" s="65">
        <v>41976</v>
      </c>
      <c r="L246" s="27"/>
      <c r="M246" s="8"/>
      <c r="N246" s="9"/>
      <c r="O246" s="10"/>
      <c r="P246" s="11">
        <f t="shared" si="104"/>
        <v>0</v>
      </c>
      <c r="Q246" s="12"/>
      <c r="R246" s="9"/>
      <c r="S246" s="10"/>
      <c r="T246" s="11">
        <f t="shared" si="105"/>
        <v>0</v>
      </c>
      <c r="U246" s="11">
        <f t="shared" si="106"/>
        <v>0</v>
      </c>
    </row>
    <row r="247" spans="1:22" x14ac:dyDescent="0.15">
      <c r="A247" s="26" t="s">
        <v>164</v>
      </c>
      <c r="B247" s="8"/>
      <c r="C247" s="9"/>
      <c r="D247" s="10"/>
      <c r="E247" s="11">
        <f t="shared" si="101"/>
        <v>0</v>
      </c>
      <c r="F247" s="12"/>
      <c r="G247" s="9"/>
      <c r="H247" s="10">
        <v>2</v>
      </c>
      <c r="I247" s="11">
        <f t="shared" si="102"/>
        <v>2</v>
      </c>
      <c r="J247" s="11">
        <f t="shared" si="103"/>
        <v>2</v>
      </c>
      <c r="K247" s="71">
        <v>41974</v>
      </c>
      <c r="L247" s="29"/>
      <c r="M247" s="13"/>
      <c r="N247" s="14"/>
      <c r="O247" s="15"/>
      <c r="P247" s="11">
        <f t="shared" si="104"/>
        <v>0</v>
      </c>
      <c r="Q247" s="16"/>
      <c r="R247" s="14"/>
      <c r="S247" s="15"/>
      <c r="T247" s="11">
        <f t="shared" si="105"/>
        <v>0</v>
      </c>
      <c r="U247" s="11">
        <f t="shared" si="106"/>
        <v>0</v>
      </c>
      <c r="V247" s="65"/>
    </row>
    <row r="248" spans="1:22" x14ac:dyDescent="0.15">
      <c r="A248" s="26" t="s">
        <v>165</v>
      </c>
      <c r="B248" s="8">
        <v>2</v>
      </c>
      <c r="C248" s="9">
        <v>2</v>
      </c>
      <c r="D248" s="10"/>
      <c r="E248" s="11">
        <f t="shared" si="101"/>
        <v>4</v>
      </c>
      <c r="F248" s="12">
        <v>1</v>
      </c>
      <c r="G248" s="9">
        <v>2</v>
      </c>
      <c r="H248" s="10">
        <v>1</v>
      </c>
      <c r="I248" s="11">
        <f t="shared" si="102"/>
        <v>4</v>
      </c>
      <c r="J248" s="11">
        <f t="shared" si="103"/>
        <v>8</v>
      </c>
      <c r="K248" s="65">
        <v>41976</v>
      </c>
      <c r="L248" s="29"/>
      <c r="M248" s="8"/>
      <c r="N248" s="9"/>
      <c r="O248" s="10"/>
      <c r="P248" s="11">
        <f t="shared" si="104"/>
        <v>0</v>
      </c>
      <c r="Q248" s="12"/>
      <c r="R248" s="9"/>
      <c r="S248" s="10"/>
      <c r="T248" s="11">
        <f t="shared" si="105"/>
        <v>0</v>
      </c>
      <c r="U248" s="11">
        <f t="shared" si="106"/>
        <v>0</v>
      </c>
      <c r="V248" s="65"/>
    </row>
    <row r="249" spans="1:22" x14ac:dyDescent="0.15">
      <c r="A249" s="27" t="s">
        <v>35</v>
      </c>
      <c r="B249" s="8">
        <v>10</v>
      </c>
      <c r="C249" s="9">
        <v>20</v>
      </c>
      <c r="D249" s="10">
        <v>20</v>
      </c>
      <c r="E249" s="11">
        <f t="shared" si="101"/>
        <v>50</v>
      </c>
      <c r="F249" s="12"/>
      <c r="G249" s="9"/>
      <c r="H249" s="10"/>
      <c r="I249" s="11">
        <f t="shared" si="102"/>
        <v>0</v>
      </c>
      <c r="J249" s="11">
        <f t="shared" si="103"/>
        <v>50</v>
      </c>
      <c r="K249" s="65">
        <v>41981</v>
      </c>
      <c r="L249" s="6"/>
      <c r="M249" s="13"/>
      <c r="N249" s="14"/>
      <c r="O249" s="15"/>
      <c r="P249" s="11">
        <f t="shared" si="104"/>
        <v>0</v>
      </c>
      <c r="Q249" s="16"/>
      <c r="R249" s="14"/>
      <c r="S249" s="15"/>
      <c r="T249" s="11">
        <f t="shared" si="105"/>
        <v>0</v>
      </c>
      <c r="U249" s="11">
        <f t="shared" si="106"/>
        <v>0</v>
      </c>
      <c r="V249" s="64"/>
    </row>
    <row r="250" spans="1:22" x14ac:dyDescent="0.15">
      <c r="A250" s="29" t="s">
        <v>168</v>
      </c>
      <c r="B250" s="13">
        <v>1</v>
      </c>
      <c r="C250" s="14"/>
      <c r="D250" s="15"/>
      <c r="E250" s="11">
        <f t="shared" si="101"/>
        <v>1</v>
      </c>
      <c r="F250" s="16"/>
      <c r="G250" s="14"/>
      <c r="H250" s="15"/>
      <c r="I250" s="11">
        <f t="shared" si="102"/>
        <v>0</v>
      </c>
      <c r="J250" s="11">
        <f t="shared" si="103"/>
        <v>1</v>
      </c>
      <c r="K250" s="71">
        <v>41977</v>
      </c>
      <c r="L250" s="6"/>
      <c r="M250" s="13"/>
      <c r="N250" s="14"/>
      <c r="O250" s="15"/>
      <c r="P250" s="11">
        <f t="shared" si="104"/>
        <v>0</v>
      </c>
      <c r="Q250" s="16"/>
      <c r="R250" s="14"/>
      <c r="S250" s="15"/>
      <c r="T250" s="11">
        <f t="shared" si="105"/>
        <v>0</v>
      </c>
      <c r="U250" s="11">
        <f t="shared" si="106"/>
        <v>0</v>
      </c>
      <c r="V250" s="65"/>
    </row>
    <row r="251" spans="1:22" x14ac:dyDescent="0.15">
      <c r="A251" s="27" t="s">
        <v>169</v>
      </c>
      <c r="B251" s="8"/>
      <c r="C251" s="9"/>
      <c r="D251" s="10"/>
      <c r="E251" s="11">
        <f t="shared" si="101"/>
        <v>0</v>
      </c>
      <c r="F251" s="12"/>
      <c r="G251" s="9"/>
      <c r="H251" s="10">
        <v>1</v>
      </c>
      <c r="I251" s="11">
        <f t="shared" si="102"/>
        <v>1</v>
      </c>
      <c r="J251" s="11">
        <f t="shared" si="103"/>
        <v>1</v>
      </c>
      <c r="K251" s="71">
        <v>41977</v>
      </c>
      <c r="L251" s="27"/>
      <c r="M251" s="13"/>
      <c r="N251" s="14"/>
      <c r="O251" s="15"/>
      <c r="P251" s="11">
        <f t="shared" si="104"/>
        <v>0</v>
      </c>
      <c r="Q251" s="16"/>
      <c r="R251" s="14"/>
      <c r="S251" s="15"/>
      <c r="T251" s="11">
        <f t="shared" si="105"/>
        <v>0</v>
      </c>
      <c r="U251" s="11">
        <f t="shared" si="106"/>
        <v>0</v>
      </c>
      <c r="V251" s="64"/>
    </row>
    <row r="252" spans="1:22" x14ac:dyDescent="0.15">
      <c r="A252" s="29" t="s">
        <v>124</v>
      </c>
      <c r="B252" s="8"/>
      <c r="C252" s="9">
        <v>3</v>
      </c>
      <c r="D252" s="10">
        <v>1</v>
      </c>
      <c r="E252" s="11">
        <f t="shared" si="101"/>
        <v>4</v>
      </c>
      <c r="F252" s="12">
        <v>2</v>
      </c>
      <c r="G252" s="9"/>
      <c r="H252" s="10">
        <v>2</v>
      </c>
      <c r="I252" s="11">
        <f t="shared" si="102"/>
        <v>4</v>
      </c>
      <c r="J252" s="11">
        <f t="shared" si="103"/>
        <v>8</v>
      </c>
      <c r="K252" s="65">
        <v>41985</v>
      </c>
      <c r="L252" s="29"/>
      <c r="M252" s="13"/>
      <c r="N252" s="14"/>
      <c r="O252" s="15"/>
      <c r="P252" s="11">
        <f t="shared" si="104"/>
        <v>0</v>
      </c>
      <c r="Q252" s="16"/>
      <c r="R252" s="14"/>
      <c r="S252" s="15"/>
      <c r="T252" s="11">
        <f t="shared" si="105"/>
        <v>0</v>
      </c>
      <c r="U252" s="11">
        <f t="shared" si="106"/>
        <v>0</v>
      </c>
      <c r="V252" s="64"/>
    </row>
    <row r="253" spans="1:22" x14ac:dyDescent="0.15">
      <c r="A253" s="29" t="s">
        <v>171</v>
      </c>
      <c r="B253" s="8"/>
      <c r="C253" s="9">
        <v>1</v>
      </c>
      <c r="D253" s="10">
        <v>1</v>
      </c>
      <c r="E253" s="11">
        <f t="shared" si="101"/>
        <v>2</v>
      </c>
      <c r="F253" s="12"/>
      <c r="G253" s="9">
        <v>2</v>
      </c>
      <c r="H253" s="10">
        <v>1</v>
      </c>
      <c r="I253" s="11">
        <f t="shared" si="102"/>
        <v>3</v>
      </c>
      <c r="J253" s="11">
        <f t="shared" si="103"/>
        <v>5</v>
      </c>
      <c r="K253" s="71">
        <v>41982</v>
      </c>
      <c r="L253" s="29"/>
      <c r="M253" s="8"/>
      <c r="N253" s="9"/>
      <c r="O253" s="10"/>
      <c r="P253" s="11">
        <f t="shared" si="104"/>
        <v>0</v>
      </c>
      <c r="Q253" s="12"/>
      <c r="R253" s="9"/>
      <c r="S253" s="10"/>
      <c r="T253" s="11">
        <f t="shared" si="105"/>
        <v>0</v>
      </c>
      <c r="U253" s="11">
        <f t="shared" si="106"/>
        <v>0</v>
      </c>
      <c r="V253" s="65"/>
    </row>
    <row r="254" spans="1:22" ht="14.25" thickBot="1" x14ac:dyDescent="0.2">
      <c r="A254" s="29" t="s">
        <v>172</v>
      </c>
      <c r="B254" s="8"/>
      <c r="C254" s="9"/>
      <c r="D254" s="10"/>
      <c r="E254" s="11">
        <f t="shared" si="101"/>
        <v>0</v>
      </c>
      <c r="F254" s="16"/>
      <c r="G254" s="14">
        <v>1</v>
      </c>
      <c r="H254" s="15"/>
      <c r="I254" s="11">
        <f t="shared" si="102"/>
        <v>1</v>
      </c>
      <c r="J254" s="11">
        <f t="shared" si="103"/>
        <v>1</v>
      </c>
      <c r="K254" s="71">
        <v>41983</v>
      </c>
      <c r="L254" s="29"/>
      <c r="M254" s="8"/>
      <c r="N254" s="9"/>
      <c r="O254" s="10"/>
      <c r="P254" s="11">
        <f t="shared" si="104"/>
        <v>0</v>
      </c>
      <c r="Q254" s="12"/>
      <c r="R254" s="9"/>
      <c r="S254" s="10"/>
      <c r="T254" s="11">
        <f t="shared" si="105"/>
        <v>0</v>
      </c>
      <c r="U254" s="11">
        <f t="shared" si="106"/>
        <v>0</v>
      </c>
      <c r="V254" s="65"/>
    </row>
    <row r="255" spans="1:22" ht="14.25" thickBot="1" x14ac:dyDescent="0.2">
      <c r="A255" s="44" t="s">
        <v>13</v>
      </c>
      <c r="B255" s="48">
        <f t="shared" ref="B255:I255" si="107">SUM(B229:B254)</f>
        <v>31</v>
      </c>
      <c r="C255" s="49">
        <f t="shared" si="107"/>
        <v>68</v>
      </c>
      <c r="D255" s="50">
        <f t="shared" si="107"/>
        <v>78</v>
      </c>
      <c r="E255" s="46">
        <f t="shared" si="107"/>
        <v>177</v>
      </c>
      <c r="F255" s="48">
        <f t="shared" si="107"/>
        <v>28</v>
      </c>
      <c r="G255" s="49">
        <f t="shared" si="107"/>
        <v>40</v>
      </c>
      <c r="H255" s="50">
        <f t="shared" si="107"/>
        <v>88</v>
      </c>
      <c r="I255" s="46">
        <f t="shared" si="107"/>
        <v>156</v>
      </c>
      <c r="J255" s="35">
        <f>E255+I255</f>
        <v>333</v>
      </c>
      <c r="L255" s="44" t="s">
        <v>13</v>
      </c>
      <c r="M255" s="48">
        <f t="shared" ref="M255:T255" si="108">SUM(M229:M254)</f>
        <v>310</v>
      </c>
      <c r="N255" s="49">
        <f t="shared" si="108"/>
        <v>360</v>
      </c>
      <c r="O255" s="50">
        <f t="shared" si="108"/>
        <v>300</v>
      </c>
      <c r="P255" s="46">
        <f t="shared" si="108"/>
        <v>970</v>
      </c>
      <c r="Q255" s="48">
        <f t="shared" si="108"/>
        <v>520</v>
      </c>
      <c r="R255" s="49">
        <f t="shared" si="108"/>
        <v>490</v>
      </c>
      <c r="S255" s="50">
        <f t="shared" si="108"/>
        <v>417</v>
      </c>
      <c r="T255" s="46">
        <f t="shared" si="108"/>
        <v>1427</v>
      </c>
      <c r="U255" s="35">
        <f>P255+T255</f>
        <v>2397</v>
      </c>
    </row>
    <row r="256" spans="1:22" ht="14.25" thickBot="1" x14ac:dyDescent="0.2">
      <c r="A256" s="23" t="s">
        <v>14</v>
      </c>
      <c r="B256" s="24">
        <f t="shared" ref="B256:J256" si="109">B228-B255</f>
        <v>81</v>
      </c>
      <c r="C256" s="25">
        <f t="shared" si="109"/>
        <v>68</v>
      </c>
      <c r="D256" s="30">
        <f t="shared" si="109"/>
        <v>65</v>
      </c>
      <c r="E256" s="51">
        <f t="shared" si="109"/>
        <v>214</v>
      </c>
      <c r="F256" s="24">
        <f t="shared" si="109"/>
        <v>84</v>
      </c>
      <c r="G256" s="25">
        <f t="shared" si="109"/>
        <v>69</v>
      </c>
      <c r="H256" s="30">
        <f t="shared" si="109"/>
        <v>62</v>
      </c>
      <c r="I256" s="47">
        <f t="shared" si="109"/>
        <v>215</v>
      </c>
      <c r="J256" s="79">
        <f t="shared" si="109"/>
        <v>429</v>
      </c>
      <c r="L256" s="23" t="s">
        <v>14</v>
      </c>
      <c r="M256" s="24">
        <f t="shared" ref="M256:U256" si="110">M228-M255</f>
        <v>180</v>
      </c>
      <c r="N256" s="25">
        <f t="shared" si="110"/>
        <v>130</v>
      </c>
      <c r="O256" s="30">
        <f t="shared" si="110"/>
        <v>90</v>
      </c>
      <c r="P256" s="51">
        <f t="shared" si="110"/>
        <v>400</v>
      </c>
      <c r="Q256" s="24">
        <f t="shared" si="110"/>
        <v>230</v>
      </c>
      <c r="R256" s="25">
        <f t="shared" si="110"/>
        <v>260</v>
      </c>
      <c r="S256" s="30">
        <f t="shared" si="110"/>
        <v>133</v>
      </c>
      <c r="T256" s="47">
        <f t="shared" si="110"/>
        <v>623</v>
      </c>
      <c r="U256" s="79">
        <f t="shared" si="110"/>
        <v>1023</v>
      </c>
    </row>
    <row r="257" spans="1:22" x14ac:dyDescent="0.15">
      <c r="R257" s="71"/>
    </row>
    <row r="259" spans="1:22" ht="19.5" thickBot="1" x14ac:dyDescent="0.25">
      <c r="A259" s="2" t="s">
        <v>21</v>
      </c>
      <c r="B259" s="1"/>
      <c r="C259" s="1"/>
      <c r="D259" s="1"/>
      <c r="E259" s="1"/>
      <c r="F259" s="1"/>
      <c r="G259" s="1"/>
      <c r="H259" s="1"/>
      <c r="I259" s="1"/>
      <c r="J259" s="1"/>
      <c r="L259" s="93" t="s">
        <v>136</v>
      </c>
      <c r="M259" s="94"/>
      <c r="N259" s="94"/>
      <c r="O259" s="94"/>
      <c r="P259" s="1"/>
      <c r="Q259" s="1"/>
      <c r="R259" s="1"/>
      <c r="S259" s="1"/>
      <c r="T259" s="1"/>
      <c r="U259" s="1"/>
    </row>
    <row r="260" spans="1:22" ht="14.25" thickBot="1" x14ac:dyDescent="0.2">
      <c r="A260" s="7" t="s">
        <v>0</v>
      </c>
      <c r="B260" s="168" t="s">
        <v>1</v>
      </c>
      <c r="C260" s="169"/>
      <c r="D260" s="169"/>
      <c r="E260" s="170"/>
      <c r="F260" s="168" t="s">
        <v>2</v>
      </c>
      <c r="G260" s="169"/>
      <c r="H260" s="169"/>
      <c r="I260" s="171"/>
      <c r="J260" s="172" t="s">
        <v>3</v>
      </c>
      <c r="L260" s="7" t="s">
        <v>0</v>
      </c>
      <c r="M260" s="168" t="s">
        <v>1</v>
      </c>
      <c r="N260" s="169"/>
      <c r="O260" s="169"/>
      <c r="P260" s="170"/>
      <c r="Q260" s="168" t="s">
        <v>2</v>
      </c>
      <c r="R260" s="169"/>
      <c r="S260" s="169"/>
      <c r="T260" s="171"/>
      <c r="U260" s="172" t="s">
        <v>3</v>
      </c>
    </row>
    <row r="261" spans="1:22" ht="14.25" thickBot="1" x14ac:dyDescent="0.2">
      <c r="A261" s="7" t="s">
        <v>4</v>
      </c>
      <c r="B261" s="3" t="s">
        <v>5</v>
      </c>
      <c r="C261" s="4" t="s">
        <v>6</v>
      </c>
      <c r="D261" s="5" t="s">
        <v>7</v>
      </c>
      <c r="E261" s="7" t="s">
        <v>8</v>
      </c>
      <c r="F261" s="3" t="s">
        <v>5</v>
      </c>
      <c r="G261" s="4" t="s">
        <v>6</v>
      </c>
      <c r="H261" s="5" t="s">
        <v>7</v>
      </c>
      <c r="I261" s="7" t="s">
        <v>8</v>
      </c>
      <c r="J261" s="173"/>
      <c r="L261" s="7" t="s">
        <v>4</v>
      </c>
      <c r="M261" s="3" t="s">
        <v>5</v>
      </c>
      <c r="N261" s="4" t="s">
        <v>6</v>
      </c>
      <c r="O261" s="5" t="s">
        <v>7</v>
      </c>
      <c r="P261" s="7" t="s">
        <v>8</v>
      </c>
      <c r="Q261" s="3" t="s">
        <v>5</v>
      </c>
      <c r="R261" s="4" t="s">
        <v>6</v>
      </c>
      <c r="S261" s="5" t="s">
        <v>7</v>
      </c>
      <c r="T261" s="7" t="s">
        <v>8</v>
      </c>
      <c r="U261" s="173"/>
    </row>
    <row r="262" spans="1:22" ht="14.25" thickBot="1" x14ac:dyDescent="0.2">
      <c r="A262" s="31" t="s">
        <v>14</v>
      </c>
      <c r="B262" s="32">
        <f>B256</f>
        <v>81</v>
      </c>
      <c r="C262" s="33">
        <f>C256</f>
        <v>68</v>
      </c>
      <c r="D262" s="34">
        <f>D256</f>
        <v>65</v>
      </c>
      <c r="E262" s="41">
        <f>SUM(B262:D262)</f>
        <v>214</v>
      </c>
      <c r="F262" s="32">
        <f>F256</f>
        <v>84</v>
      </c>
      <c r="G262" s="33">
        <f>G256</f>
        <v>69</v>
      </c>
      <c r="H262" s="34">
        <f>H256</f>
        <v>62</v>
      </c>
      <c r="I262" s="41">
        <f>SUM(F262:H262)</f>
        <v>215</v>
      </c>
      <c r="J262" s="41">
        <f>E262+I262</f>
        <v>429</v>
      </c>
      <c r="L262" s="31" t="s">
        <v>14</v>
      </c>
      <c r="M262" s="32">
        <f>M256</f>
        <v>180</v>
      </c>
      <c r="N262" s="33">
        <f>N256</f>
        <v>130</v>
      </c>
      <c r="O262" s="34">
        <f>O256</f>
        <v>90</v>
      </c>
      <c r="P262" s="41">
        <f>SUM(M262:O262)</f>
        <v>400</v>
      </c>
      <c r="Q262" s="32">
        <f>Q256</f>
        <v>230</v>
      </c>
      <c r="R262" s="33">
        <f>R256</f>
        <v>260</v>
      </c>
      <c r="S262" s="34">
        <f>S256</f>
        <v>133</v>
      </c>
      <c r="T262" s="41">
        <f>SUM(Q262:S262)</f>
        <v>623</v>
      </c>
      <c r="U262" s="41">
        <f>P262+T262</f>
        <v>1023</v>
      </c>
    </row>
    <row r="263" spans="1:22" x14ac:dyDescent="0.15">
      <c r="A263" s="28" t="s">
        <v>59</v>
      </c>
      <c r="B263" s="17">
        <v>1</v>
      </c>
      <c r="C263" s="18"/>
      <c r="D263" s="19">
        <v>3</v>
      </c>
      <c r="E263" s="20">
        <f t="shared" ref="E263:E270" si="111">SUM(B263:D263)</f>
        <v>4</v>
      </c>
      <c r="F263" s="21">
        <v>4</v>
      </c>
      <c r="G263" s="18">
        <v>1</v>
      </c>
      <c r="H263" s="19"/>
      <c r="I263" s="20">
        <f t="shared" ref="I263:I270" si="112">SUM(F263:H263)</f>
        <v>5</v>
      </c>
      <c r="J263" s="20">
        <f t="shared" ref="J263:J270" si="113">E263+I263</f>
        <v>9</v>
      </c>
      <c r="K263" s="71">
        <v>41985</v>
      </c>
      <c r="L263" s="28" t="s">
        <v>9</v>
      </c>
      <c r="M263" s="17"/>
      <c r="N263" s="18"/>
      <c r="O263" s="19"/>
      <c r="P263" s="20">
        <f t="shared" ref="P263:P270" si="114">SUM(M263:O263)</f>
        <v>0</v>
      </c>
      <c r="Q263" s="21"/>
      <c r="R263" s="18"/>
      <c r="S263" s="19"/>
      <c r="T263" s="20">
        <f t="shared" ref="T263:T270" si="115">SUM(Q263:S263)</f>
        <v>0</v>
      </c>
      <c r="U263" s="20">
        <f t="shared" ref="U263:U270" si="116">P263+T263</f>
        <v>0</v>
      </c>
    </row>
    <row r="264" spans="1:22" x14ac:dyDescent="0.15">
      <c r="A264" s="28" t="s">
        <v>10</v>
      </c>
      <c r="B264" s="8"/>
      <c r="C264" s="9"/>
      <c r="D264" s="10"/>
      <c r="E264" s="11">
        <f t="shared" si="111"/>
        <v>0</v>
      </c>
      <c r="F264" s="12"/>
      <c r="G264" s="9"/>
      <c r="H264" s="10"/>
      <c r="I264" s="11">
        <f t="shared" si="112"/>
        <v>0</v>
      </c>
      <c r="J264" s="11">
        <f t="shared" si="113"/>
        <v>0</v>
      </c>
      <c r="L264" s="28" t="s">
        <v>10</v>
      </c>
      <c r="M264" s="8">
        <v>100</v>
      </c>
      <c r="N264" s="9">
        <v>100</v>
      </c>
      <c r="O264" s="10">
        <v>100</v>
      </c>
      <c r="P264" s="11">
        <f t="shared" si="114"/>
        <v>300</v>
      </c>
      <c r="Q264" s="12">
        <v>100</v>
      </c>
      <c r="R264" s="9">
        <v>100</v>
      </c>
      <c r="S264" s="10">
        <v>100</v>
      </c>
      <c r="T264" s="11">
        <f t="shared" si="115"/>
        <v>300</v>
      </c>
      <c r="U264" s="11">
        <f t="shared" si="116"/>
        <v>600</v>
      </c>
      <c r="V264" s="65">
        <v>41976</v>
      </c>
    </row>
    <row r="265" spans="1:22" x14ac:dyDescent="0.15">
      <c r="A265" s="28" t="s">
        <v>181</v>
      </c>
      <c r="B265" s="8"/>
      <c r="C265" s="9"/>
      <c r="D265" s="10">
        <v>50</v>
      </c>
      <c r="E265" s="11">
        <f t="shared" si="111"/>
        <v>50</v>
      </c>
      <c r="F265" s="12"/>
      <c r="G265" s="9"/>
      <c r="H265" s="10"/>
      <c r="I265" s="11">
        <f t="shared" si="112"/>
        <v>0</v>
      </c>
      <c r="J265" s="11">
        <f t="shared" si="113"/>
        <v>50</v>
      </c>
      <c r="K265" s="65">
        <v>41998</v>
      </c>
      <c r="L265" s="28" t="s">
        <v>11</v>
      </c>
      <c r="M265" s="8"/>
      <c r="N265" s="9"/>
      <c r="O265" s="10"/>
      <c r="P265" s="11">
        <f t="shared" si="114"/>
        <v>0</v>
      </c>
      <c r="Q265" s="12"/>
      <c r="R265" s="9"/>
      <c r="S265" s="10"/>
      <c r="T265" s="11">
        <f t="shared" si="115"/>
        <v>0</v>
      </c>
      <c r="U265" s="11">
        <f t="shared" si="116"/>
        <v>0</v>
      </c>
    </row>
    <row r="266" spans="1:22" x14ac:dyDescent="0.15">
      <c r="A266" s="28" t="s">
        <v>62</v>
      </c>
      <c r="B266" s="8"/>
      <c r="C266" s="9"/>
      <c r="D266" s="10"/>
      <c r="E266" s="11">
        <f t="shared" si="111"/>
        <v>0</v>
      </c>
      <c r="F266" s="12"/>
      <c r="G266" s="9">
        <v>1</v>
      </c>
      <c r="H266" s="10"/>
      <c r="I266" s="11">
        <f t="shared" si="112"/>
        <v>1</v>
      </c>
      <c r="J266" s="11">
        <f t="shared" si="113"/>
        <v>1</v>
      </c>
      <c r="K266" s="71">
        <v>41999</v>
      </c>
      <c r="L266" s="28" t="s">
        <v>12</v>
      </c>
      <c r="M266" s="8"/>
      <c r="N266" s="9"/>
      <c r="O266" s="10"/>
      <c r="P266" s="11">
        <f t="shared" si="114"/>
        <v>0</v>
      </c>
      <c r="Q266" s="12"/>
      <c r="R266" s="9"/>
      <c r="S266" s="10"/>
      <c r="T266" s="11">
        <f t="shared" si="115"/>
        <v>0</v>
      </c>
      <c r="U266" s="11">
        <f t="shared" si="116"/>
        <v>0</v>
      </c>
    </row>
    <row r="267" spans="1:22" x14ac:dyDescent="0.15">
      <c r="A267" s="28" t="s">
        <v>23</v>
      </c>
      <c r="B267" s="8"/>
      <c r="C267" s="9">
        <v>50</v>
      </c>
      <c r="D267" s="10"/>
      <c r="E267" s="11">
        <f t="shared" si="111"/>
        <v>50</v>
      </c>
      <c r="F267" s="12"/>
      <c r="G267" s="9"/>
      <c r="H267" s="10"/>
      <c r="I267" s="11">
        <f t="shared" si="112"/>
        <v>0</v>
      </c>
      <c r="J267" s="11">
        <f t="shared" si="113"/>
        <v>50</v>
      </c>
      <c r="K267" s="65">
        <v>41644</v>
      </c>
      <c r="L267" s="28" t="s">
        <v>15</v>
      </c>
      <c r="M267" s="8"/>
      <c r="N267" s="9"/>
      <c r="O267" s="10"/>
      <c r="P267" s="11">
        <f t="shared" si="114"/>
        <v>0</v>
      </c>
      <c r="Q267" s="12"/>
      <c r="R267" s="9"/>
      <c r="S267" s="10"/>
      <c r="T267" s="11">
        <f t="shared" si="115"/>
        <v>0</v>
      </c>
      <c r="U267" s="11">
        <f t="shared" si="116"/>
        <v>0</v>
      </c>
    </row>
    <row r="268" spans="1:22" x14ac:dyDescent="0.15">
      <c r="A268" s="27" t="s">
        <v>132</v>
      </c>
      <c r="B268" s="8">
        <v>50</v>
      </c>
      <c r="C268" s="9"/>
      <c r="D268" s="10"/>
      <c r="E268" s="11">
        <f t="shared" si="111"/>
        <v>50</v>
      </c>
      <c r="F268" s="12"/>
      <c r="G268" s="9"/>
      <c r="H268" s="10"/>
      <c r="I268" s="11">
        <f t="shared" si="112"/>
        <v>0</v>
      </c>
      <c r="J268" s="11">
        <f t="shared" si="113"/>
        <v>50</v>
      </c>
      <c r="K268" s="65">
        <v>42012</v>
      </c>
      <c r="L268" s="28" t="s">
        <v>16</v>
      </c>
      <c r="M268" s="8"/>
      <c r="N268" s="9"/>
      <c r="O268" s="10"/>
      <c r="P268" s="11">
        <f t="shared" si="114"/>
        <v>0</v>
      </c>
      <c r="Q268" s="12"/>
      <c r="R268" s="9"/>
      <c r="S268" s="10"/>
      <c r="T268" s="11">
        <f t="shared" si="115"/>
        <v>0</v>
      </c>
      <c r="U268" s="11">
        <f t="shared" si="116"/>
        <v>0</v>
      </c>
    </row>
    <row r="269" spans="1:22" x14ac:dyDescent="0.15">
      <c r="A269" s="28" t="s">
        <v>17</v>
      </c>
      <c r="B269" s="13"/>
      <c r="C269" s="14"/>
      <c r="D269" s="15"/>
      <c r="E269" s="11">
        <f t="shared" si="111"/>
        <v>0</v>
      </c>
      <c r="F269" s="16"/>
      <c r="G269" s="14"/>
      <c r="H269" s="15"/>
      <c r="I269" s="11">
        <f t="shared" si="112"/>
        <v>0</v>
      </c>
      <c r="J269" s="11">
        <f t="shared" si="113"/>
        <v>0</v>
      </c>
      <c r="L269" s="28" t="s">
        <v>17</v>
      </c>
      <c r="M269" s="13"/>
      <c r="N269" s="14"/>
      <c r="O269" s="15"/>
      <c r="P269" s="11">
        <f t="shared" si="114"/>
        <v>0</v>
      </c>
      <c r="Q269" s="16"/>
      <c r="R269" s="14"/>
      <c r="S269" s="15"/>
      <c r="T269" s="11">
        <f t="shared" si="115"/>
        <v>0</v>
      </c>
      <c r="U269" s="11">
        <f t="shared" si="116"/>
        <v>0</v>
      </c>
    </row>
    <row r="270" spans="1:22" ht="14.25" thickBot="1" x14ac:dyDescent="0.2">
      <c r="A270" s="28" t="s">
        <v>18</v>
      </c>
      <c r="B270" s="36"/>
      <c r="C270" s="37"/>
      <c r="D270" s="40"/>
      <c r="E270" s="22">
        <f t="shared" si="111"/>
        <v>0</v>
      </c>
      <c r="F270" s="38"/>
      <c r="G270" s="38"/>
      <c r="H270" s="43"/>
      <c r="I270" s="22">
        <f t="shared" si="112"/>
        <v>0</v>
      </c>
      <c r="J270" s="22">
        <f t="shared" si="113"/>
        <v>0</v>
      </c>
      <c r="L270" s="28" t="s">
        <v>18</v>
      </c>
      <c r="M270" s="36"/>
      <c r="N270" s="37"/>
      <c r="O270" s="40"/>
      <c r="P270" s="22">
        <f t="shared" si="114"/>
        <v>0</v>
      </c>
      <c r="Q270" s="38"/>
      <c r="R270" s="38"/>
      <c r="S270" s="43"/>
      <c r="T270" s="22">
        <f t="shared" si="115"/>
        <v>0</v>
      </c>
      <c r="U270" s="22">
        <f t="shared" si="116"/>
        <v>0</v>
      </c>
    </row>
    <row r="271" spans="1:22" ht="14.25" thickBot="1" x14ac:dyDescent="0.2">
      <c r="A271" s="39" t="s">
        <v>20</v>
      </c>
      <c r="B271" s="32">
        <f t="shared" ref="B271:J271" si="117">SUM(B262:B270)</f>
        <v>132</v>
      </c>
      <c r="C271" s="33">
        <f t="shared" si="117"/>
        <v>118</v>
      </c>
      <c r="D271" s="34">
        <f t="shared" si="117"/>
        <v>118</v>
      </c>
      <c r="E271" s="42">
        <f t="shared" si="117"/>
        <v>368</v>
      </c>
      <c r="F271" s="32">
        <f t="shared" si="117"/>
        <v>88</v>
      </c>
      <c r="G271" s="33">
        <f t="shared" si="117"/>
        <v>71</v>
      </c>
      <c r="H271" s="34">
        <f t="shared" si="117"/>
        <v>62</v>
      </c>
      <c r="I271" s="42">
        <f t="shared" si="117"/>
        <v>221</v>
      </c>
      <c r="J271" s="42">
        <f t="shared" si="117"/>
        <v>589</v>
      </c>
      <c r="L271" s="39" t="s">
        <v>20</v>
      </c>
      <c r="M271" s="32">
        <f t="shared" ref="M271:U271" si="118">SUM(M262:M270)</f>
        <v>280</v>
      </c>
      <c r="N271" s="33">
        <f t="shared" si="118"/>
        <v>230</v>
      </c>
      <c r="O271" s="34">
        <f t="shared" si="118"/>
        <v>190</v>
      </c>
      <c r="P271" s="42">
        <f t="shared" si="118"/>
        <v>700</v>
      </c>
      <c r="Q271" s="32">
        <f t="shared" si="118"/>
        <v>330</v>
      </c>
      <c r="R271" s="33">
        <f t="shared" si="118"/>
        <v>360</v>
      </c>
      <c r="S271" s="34">
        <f t="shared" si="118"/>
        <v>233</v>
      </c>
      <c r="T271" s="42">
        <f t="shared" si="118"/>
        <v>923</v>
      </c>
      <c r="U271" s="42">
        <f t="shared" si="118"/>
        <v>1623</v>
      </c>
    </row>
    <row r="272" spans="1:22" x14ac:dyDescent="0.15">
      <c r="A272" s="26" t="s">
        <v>174</v>
      </c>
      <c r="B272" s="13"/>
      <c r="C272" s="14">
        <v>1</v>
      </c>
      <c r="D272" s="15"/>
      <c r="E272" s="11">
        <f>SUM(B272:D272)</f>
        <v>1</v>
      </c>
      <c r="F272" s="16"/>
      <c r="G272" s="14">
        <v>1</v>
      </c>
      <c r="H272" s="15"/>
      <c r="I272" s="11">
        <f>SUM(F272:H272)</f>
        <v>1</v>
      </c>
      <c r="J272" s="11">
        <f>E272+I272</f>
        <v>2</v>
      </c>
      <c r="K272" s="65">
        <v>41989</v>
      </c>
      <c r="L272" s="28" t="s">
        <v>181</v>
      </c>
      <c r="M272" s="13"/>
      <c r="N272" s="14"/>
      <c r="O272" s="15">
        <v>50</v>
      </c>
      <c r="P272" s="11">
        <f>SUM(M272:O272)</f>
        <v>50</v>
      </c>
      <c r="Q272" s="16"/>
      <c r="R272" s="14"/>
      <c r="S272" s="15"/>
      <c r="T272" s="11">
        <f>SUM(Q272:S272)</f>
        <v>0</v>
      </c>
      <c r="U272" s="11">
        <f>P272+T272</f>
        <v>50</v>
      </c>
      <c r="V272" s="65">
        <v>41998</v>
      </c>
    </row>
    <row r="273" spans="1:22" x14ac:dyDescent="0.15">
      <c r="A273" s="29" t="s">
        <v>124</v>
      </c>
      <c r="B273" s="13">
        <v>2</v>
      </c>
      <c r="C273" s="14">
        <v>2</v>
      </c>
      <c r="D273" s="15">
        <v>3</v>
      </c>
      <c r="E273" s="11">
        <f t="shared" ref="E273:E297" si="119">SUM(B273:D273)</f>
        <v>7</v>
      </c>
      <c r="F273" s="16"/>
      <c r="G273" s="14">
        <v>2</v>
      </c>
      <c r="H273" s="15">
        <v>4</v>
      </c>
      <c r="I273" s="11">
        <f t="shared" ref="I273:I297" si="120">SUM(F273:H273)</f>
        <v>6</v>
      </c>
      <c r="J273" s="11">
        <f t="shared" ref="J273:J297" si="121">E273+I273</f>
        <v>13</v>
      </c>
      <c r="K273" s="65">
        <v>41990</v>
      </c>
      <c r="L273" s="28" t="s">
        <v>23</v>
      </c>
      <c r="M273" s="8"/>
      <c r="N273" s="9">
        <v>50</v>
      </c>
      <c r="O273" s="10"/>
      <c r="P273" s="11">
        <f>SUM(M273:O273)</f>
        <v>50</v>
      </c>
      <c r="Q273" s="12"/>
      <c r="R273" s="9"/>
      <c r="S273" s="10"/>
      <c r="T273" s="11">
        <f>SUM(Q273:S273)</f>
        <v>0</v>
      </c>
      <c r="U273" s="11">
        <f>P273+T273</f>
        <v>50</v>
      </c>
      <c r="V273" s="65">
        <v>41644</v>
      </c>
    </row>
    <row r="274" spans="1:22" x14ac:dyDescent="0.15">
      <c r="A274" s="6" t="s">
        <v>173</v>
      </c>
      <c r="B274" s="8"/>
      <c r="C274" s="9">
        <v>1</v>
      </c>
      <c r="D274" s="10"/>
      <c r="E274" s="11">
        <f t="shared" si="119"/>
        <v>1</v>
      </c>
      <c r="F274" s="12"/>
      <c r="G274" s="9">
        <v>3</v>
      </c>
      <c r="H274" s="10"/>
      <c r="I274" s="11">
        <f t="shared" si="120"/>
        <v>3</v>
      </c>
      <c r="J274" s="11">
        <f t="shared" si="121"/>
        <v>4</v>
      </c>
      <c r="K274" s="71">
        <v>41985</v>
      </c>
      <c r="L274" s="27"/>
      <c r="M274" s="8"/>
      <c r="N274" s="9"/>
      <c r="O274" s="10"/>
      <c r="P274" s="11">
        <f t="shared" ref="P274:P294" si="122">SUM(M274:O274)</f>
        <v>0</v>
      </c>
      <c r="Q274" s="12"/>
      <c r="R274" s="9"/>
      <c r="S274" s="10"/>
      <c r="T274" s="11">
        <f t="shared" ref="T274:T294" si="123">SUM(Q274:S274)</f>
        <v>0</v>
      </c>
      <c r="U274" s="11">
        <f t="shared" ref="U274:U294" si="124">P274+T274</f>
        <v>0</v>
      </c>
    </row>
    <row r="275" spans="1:22" x14ac:dyDescent="0.15">
      <c r="A275" s="29" t="s">
        <v>175</v>
      </c>
      <c r="B275" s="8">
        <v>1</v>
      </c>
      <c r="C275" s="9"/>
      <c r="D275" s="10"/>
      <c r="E275" s="11">
        <f t="shared" si="119"/>
        <v>1</v>
      </c>
      <c r="F275" s="12">
        <v>1</v>
      </c>
      <c r="G275" s="9"/>
      <c r="H275" s="10"/>
      <c r="I275" s="11">
        <f t="shared" si="120"/>
        <v>1</v>
      </c>
      <c r="J275" s="11">
        <f t="shared" si="121"/>
        <v>2</v>
      </c>
      <c r="K275" s="65">
        <v>41989</v>
      </c>
      <c r="L275" s="29"/>
      <c r="M275" s="8"/>
      <c r="N275" s="9"/>
      <c r="O275" s="10"/>
      <c r="P275" s="11">
        <f t="shared" si="122"/>
        <v>0</v>
      </c>
      <c r="Q275" s="12"/>
      <c r="R275" s="9"/>
      <c r="S275" s="10"/>
      <c r="T275" s="11">
        <f t="shared" si="123"/>
        <v>0</v>
      </c>
      <c r="U275" s="11">
        <f t="shared" si="124"/>
        <v>0</v>
      </c>
    </row>
    <row r="276" spans="1:22" x14ac:dyDescent="0.15">
      <c r="A276" s="29" t="s">
        <v>177</v>
      </c>
      <c r="B276" s="8">
        <v>2</v>
      </c>
      <c r="C276" s="9"/>
      <c r="D276" s="10"/>
      <c r="E276" s="11">
        <f t="shared" si="119"/>
        <v>2</v>
      </c>
      <c r="F276" s="12">
        <v>2</v>
      </c>
      <c r="G276" s="9"/>
      <c r="H276" s="10"/>
      <c r="I276" s="11">
        <f t="shared" si="120"/>
        <v>2</v>
      </c>
      <c r="J276" s="11">
        <f t="shared" si="121"/>
        <v>4</v>
      </c>
      <c r="K276" s="65">
        <v>41992</v>
      </c>
      <c r="L276" s="29"/>
      <c r="M276" s="8"/>
      <c r="N276" s="9"/>
      <c r="O276" s="10"/>
      <c r="P276" s="11">
        <f t="shared" si="122"/>
        <v>0</v>
      </c>
      <c r="Q276" s="12"/>
      <c r="R276" s="9"/>
      <c r="S276" s="10"/>
      <c r="T276" s="11">
        <f t="shared" si="123"/>
        <v>0</v>
      </c>
      <c r="U276" s="11">
        <f t="shared" si="124"/>
        <v>0</v>
      </c>
    </row>
    <row r="277" spans="1:22" x14ac:dyDescent="0.15">
      <c r="A277" s="86" t="s">
        <v>176</v>
      </c>
      <c r="B277" s="8">
        <v>3</v>
      </c>
      <c r="C277" s="9"/>
      <c r="D277" s="10"/>
      <c r="E277" s="11">
        <f t="shared" si="119"/>
        <v>3</v>
      </c>
      <c r="F277" s="12"/>
      <c r="G277" s="9"/>
      <c r="H277" s="10"/>
      <c r="I277" s="11">
        <f t="shared" si="120"/>
        <v>0</v>
      </c>
      <c r="J277" s="11">
        <f t="shared" si="121"/>
        <v>3</v>
      </c>
      <c r="K277" s="65">
        <v>41991</v>
      </c>
      <c r="L277" s="27"/>
      <c r="M277" s="8"/>
      <c r="N277" s="9"/>
      <c r="O277" s="10"/>
      <c r="P277" s="11">
        <f t="shared" si="122"/>
        <v>0</v>
      </c>
      <c r="Q277" s="12"/>
      <c r="R277" s="9"/>
      <c r="S277" s="10"/>
      <c r="T277" s="11">
        <f t="shared" si="123"/>
        <v>0</v>
      </c>
      <c r="U277" s="11">
        <f t="shared" si="124"/>
        <v>0</v>
      </c>
    </row>
    <row r="278" spans="1:22" x14ac:dyDescent="0.15">
      <c r="A278" s="27" t="s">
        <v>124</v>
      </c>
      <c r="B278" s="8"/>
      <c r="C278" s="9">
        <v>4</v>
      </c>
      <c r="D278" s="10"/>
      <c r="E278" s="11">
        <f t="shared" si="119"/>
        <v>4</v>
      </c>
      <c r="F278" s="12">
        <v>5</v>
      </c>
      <c r="G278" s="9"/>
      <c r="H278" s="10">
        <v>3</v>
      </c>
      <c r="I278" s="11">
        <f t="shared" si="120"/>
        <v>8</v>
      </c>
      <c r="J278" s="11">
        <f t="shared" si="121"/>
        <v>12</v>
      </c>
      <c r="K278" s="65">
        <v>41993</v>
      </c>
      <c r="L278" s="29"/>
      <c r="M278" s="8"/>
      <c r="N278" s="9"/>
      <c r="O278" s="10"/>
      <c r="P278" s="11">
        <f t="shared" si="122"/>
        <v>0</v>
      </c>
      <c r="Q278" s="12"/>
      <c r="R278" s="9"/>
      <c r="S278" s="10"/>
      <c r="T278" s="11">
        <f t="shared" si="123"/>
        <v>0</v>
      </c>
      <c r="U278" s="11">
        <f t="shared" si="124"/>
        <v>0</v>
      </c>
    </row>
    <row r="279" spans="1:22" x14ac:dyDescent="0.15">
      <c r="A279" s="29" t="s">
        <v>35</v>
      </c>
      <c r="B279" s="8"/>
      <c r="C279" s="9">
        <v>10</v>
      </c>
      <c r="D279" s="10">
        <v>10</v>
      </c>
      <c r="E279" s="11">
        <f t="shared" si="119"/>
        <v>20</v>
      </c>
      <c r="F279" s="12"/>
      <c r="G279" s="9"/>
      <c r="H279" s="10"/>
      <c r="I279" s="11">
        <f t="shared" si="120"/>
        <v>0</v>
      </c>
      <c r="J279" s="11">
        <f t="shared" si="121"/>
        <v>20</v>
      </c>
      <c r="K279" s="65">
        <v>41995</v>
      </c>
      <c r="L279" s="29"/>
      <c r="M279" s="8"/>
      <c r="N279" s="9"/>
      <c r="O279" s="10"/>
      <c r="P279" s="11">
        <f t="shared" si="122"/>
        <v>0</v>
      </c>
      <c r="Q279" s="12"/>
      <c r="R279" s="9"/>
      <c r="S279" s="10"/>
      <c r="T279" s="11">
        <f t="shared" si="123"/>
        <v>0</v>
      </c>
      <c r="U279" s="11">
        <f t="shared" si="124"/>
        <v>0</v>
      </c>
    </row>
    <row r="280" spans="1:22" x14ac:dyDescent="0.15">
      <c r="A280" s="29" t="s">
        <v>178</v>
      </c>
      <c r="B280" s="13"/>
      <c r="C280" s="14">
        <v>1</v>
      </c>
      <c r="D280" s="15"/>
      <c r="E280" s="11">
        <f t="shared" si="119"/>
        <v>1</v>
      </c>
      <c r="F280" s="16"/>
      <c r="G280" s="14">
        <v>1</v>
      </c>
      <c r="H280" s="15"/>
      <c r="I280" s="11">
        <f t="shared" si="120"/>
        <v>1</v>
      </c>
      <c r="J280" s="11">
        <f t="shared" si="121"/>
        <v>2</v>
      </c>
      <c r="K280" s="65">
        <v>41992</v>
      </c>
      <c r="L280" s="27"/>
      <c r="M280" s="8"/>
      <c r="N280" s="9"/>
      <c r="O280" s="10"/>
      <c r="P280" s="11">
        <f t="shared" si="122"/>
        <v>0</v>
      </c>
      <c r="Q280" s="12"/>
      <c r="R280" s="9"/>
      <c r="S280" s="10"/>
      <c r="T280" s="11">
        <f t="shared" si="123"/>
        <v>0</v>
      </c>
      <c r="U280" s="11">
        <f t="shared" si="124"/>
        <v>0</v>
      </c>
    </row>
    <row r="281" spans="1:22" x14ac:dyDescent="0.15">
      <c r="A281" s="29" t="s">
        <v>179</v>
      </c>
      <c r="B281" s="13"/>
      <c r="C281" s="14">
        <v>6</v>
      </c>
      <c r="D281" s="15">
        <v>6</v>
      </c>
      <c r="E281" s="11">
        <f t="shared" si="119"/>
        <v>12</v>
      </c>
      <c r="F281" s="16"/>
      <c r="G281" s="14"/>
      <c r="H281" s="15"/>
      <c r="I281" s="11">
        <f t="shared" si="120"/>
        <v>0</v>
      </c>
      <c r="J281" s="11">
        <f t="shared" si="121"/>
        <v>12</v>
      </c>
      <c r="K281" s="65">
        <v>41995</v>
      </c>
      <c r="L281" s="29"/>
      <c r="M281" s="13"/>
      <c r="N281" s="14"/>
      <c r="O281" s="15"/>
      <c r="P281" s="11">
        <f t="shared" si="122"/>
        <v>0</v>
      </c>
      <c r="Q281" s="16"/>
      <c r="R281" s="14"/>
      <c r="S281" s="15"/>
      <c r="T281" s="11">
        <f t="shared" si="123"/>
        <v>0</v>
      </c>
      <c r="U281" s="11">
        <f t="shared" si="124"/>
        <v>0</v>
      </c>
    </row>
    <row r="282" spans="1:22" x14ac:dyDescent="0.15">
      <c r="A282" s="29" t="s">
        <v>180</v>
      </c>
      <c r="B282" s="8"/>
      <c r="C282" s="9"/>
      <c r="D282" s="10">
        <v>2</v>
      </c>
      <c r="E282" s="11">
        <f t="shared" si="119"/>
        <v>2</v>
      </c>
      <c r="F282" s="12">
        <v>1</v>
      </c>
      <c r="G282" s="9">
        <v>1</v>
      </c>
      <c r="H282" s="10">
        <v>3</v>
      </c>
      <c r="I282" s="11">
        <f t="shared" si="120"/>
        <v>5</v>
      </c>
      <c r="J282" s="11">
        <f t="shared" si="121"/>
        <v>7</v>
      </c>
      <c r="K282" s="71">
        <v>41994</v>
      </c>
      <c r="L282" s="29"/>
      <c r="M282" s="8"/>
      <c r="N282" s="9"/>
      <c r="O282" s="10"/>
      <c r="P282" s="11">
        <f t="shared" si="122"/>
        <v>0</v>
      </c>
      <c r="Q282" s="12"/>
      <c r="R282" s="9"/>
      <c r="S282" s="10"/>
      <c r="T282" s="11">
        <f t="shared" si="123"/>
        <v>0</v>
      </c>
      <c r="U282" s="11">
        <f t="shared" si="124"/>
        <v>0</v>
      </c>
    </row>
    <row r="283" spans="1:22" x14ac:dyDescent="0.15">
      <c r="A283" s="29" t="s">
        <v>124</v>
      </c>
      <c r="B283" s="8"/>
      <c r="C283" s="9"/>
      <c r="D283" s="10"/>
      <c r="E283" s="11">
        <f t="shared" si="119"/>
        <v>0</v>
      </c>
      <c r="F283" s="12"/>
      <c r="G283" s="9">
        <v>2</v>
      </c>
      <c r="H283" s="10"/>
      <c r="I283" s="11">
        <f t="shared" si="120"/>
        <v>2</v>
      </c>
      <c r="J283" s="11">
        <f t="shared" si="121"/>
        <v>2</v>
      </c>
      <c r="K283" s="65">
        <v>41999</v>
      </c>
      <c r="L283" s="29"/>
      <c r="M283" s="8"/>
      <c r="N283" s="9"/>
      <c r="O283" s="10"/>
      <c r="P283" s="11">
        <f t="shared" si="122"/>
        <v>0</v>
      </c>
      <c r="Q283" s="12"/>
      <c r="R283" s="9"/>
      <c r="S283" s="10"/>
      <c r="T283" s="11">
        <f t="shared" si="123"/>
        <v>0</v>
      </c>
      <c r="U283" s="11">
        <f t="shared" si="124"/>
        <v>0</v>
      </c>
    </row>
    <row r="284" spans="1:22" x14ac:dyDescent="0.15">
      <c r="A284" s="27" t="s">
        <v>183</v>
      </c>
      <c r="B284" s="8">
        <v>10</v>
      </c>
      <c r="C284" s="9">
        <v>10</v>
      </c>
      <c r="D284" s="10">
        <v>10</v>
      </c>
      <c r="E284" s="11">
        <f t="shared" si="119"/>
        <v>30</v>
      </c>
      <c r="F284" s="12">
        <v>10</v>
      </c>
      <c r="G284" s="9">
        <v>10</v>
      </c>
      <c r="H284" s="10">
        <v>10</v>
      </c>
      <c r="I284" s="11">
        <f t="shared" si="120"/>
        <v>30</v>
      </c>
      <c r="J284" s="11">
        <f t="shared" si="121"/>
        <v>60</v>
      </c>
      <c r="K284" s="65">
        <v>41997</v>
      </c>
      <c r="L284" s="27"/>
      <c r="M284" s="8"/>
      <c r="N284" s="9"/>
      <c r="O284" s="10"/>
      <c r="P284" s="11">
        <f t="shared" si="122"/>
        <v>0</v>
      </c>
      <c r="Q284" s="12"/>
      <c r="R284" s="9"/>
      <c r="S284" s="10"/>
      <c r="T284" s="11">
        <f t="shared" si="123"/>
        <v>0</v>
      </c>
      <c r="U284" s="11">
        <f t="shared" si="124"/>
        <v>0</v>
      </c>
    </row>
    <row r="285" spans="1:22" x14ac:dyDescent="0.15">
      <c r="A285" s="29" t="s">
        <v>124</v>
      </c>
      <c r="B285" s="8"/>
      <c r="C285" s="9"/>
      <c r="D285" s="10">
        <v>2</v>
      </c>
      <c r="E285" s="11">
        <f t="shared" si="119"/>
        <v>2</v>
      </c>
      <c r="F285" s="12"/>
      <c r="G285" s="9"/>
      <c r="H285" s="10"/>
      <c r="I285" s="11">
        <f t="shared" si="120"/>
        <v>0</v>
      </c>
      <c r="J285" s="11">
        <f t="shared" si="121"/>
        <v>2</v>
      </c>
      <c r="K285" s="65">
        <v>41999</v>
      </c>
      <c r="L285" s="29"/>
      <c r="M285" s="8"/>
      <c r="N285" s="9"/>
      <c r="O285" s="10"/>
      <c r="P285" s="11">
        <f t="shared" si="122"/>
        <v>0</v>
      </c>
      <c r="Q285" s="12"/>
      <c r="R285" s="9"/>
      <c r="S285" s="10"/>
      <c r="T285" s="11">
        <f t="shared" si="123"/>
        <v>0</v>
      </c>
      <c r="U285" s="11">
        <f t="shared" si="124"/>
        <v>0</v>
      </c>
    </row>
    <row r="286" spans="1:22" x14ac:dyDescent="0.15">
      <c r="A286" s="29" t="s">
        <v>174</v>
      </c>
      <c r="B286" s="8"/>
      <c r="C286" s="9">
        <v>1</v>
      </c>
      <c r="D286" s="10"/>
      <c r="E286" s="11">
        <f t="shared" si="119"/>
        <v>1</v>
      </c>
      <c r="F286" s="12"/>
      <c r="G286" s="9">
        <v>1</v>
      </c>
      <c r="H286" s="10"/>
      <c r="I286" s="11">
        <f t="shared" si="120"/>
        <v>1</v>
      </c>
      <c r="J286" s="11">
        <f t="shared" si="121"/>
        <v>2</v>
      </c>
      <c r="K286" s="65">
        <v>41999</v>
      </c>
      <c r="L286" s="29"/>
      <c r="M286" s="8"/>
      <c r="N286" s="9"/>
      <c r="O286" s="10"/>
      <c r="P286" s="11">
        <f t="shared" si="122"/>
        <v>0</v>
      </c>
      <c r="Q286" s="12"/>
      <c r="R286" s="9"/>
      <c r="S286" s="10"/>
      <c r="T286" s="11">
        <f t="shared" si="123"/>
        <v>0</v>
      </c>
      <c r="U286" s="11">
        <f t="shared" si="124"/>
        <v>0</v>
      </c>
    </row>
    <row r="287" spans="1:22" x14ac:dyDescent="0.15">
      <c r="A287" s="29" t="s">
        <v>188</v>
      </c>
      <c r="B287" s="8">
        <v>1</v>
      </c>
      <c r="C287" s="9"/>
      <c r="D287" s="10"/>
      <c r="E287" s="11">
        <f t="shared" si="119"/>
        <v>1</v>
      </c>
      <c r="F287" s="12">
        <v>1</v>
      </c>
      <c r="G287" s="9"/>
      <c r="H287" s="10"/>
      <c r="I287" s="11">
        <f t="shared" si="120"/>
        <v>1</v>
      </c>
      <c r="J287" s="11">
        <f t="shared" si="121"/>
        <v>2</v>
      </c>
      <c r="K287" s="65">
        <v>41646</v>
      </c>
      <c r="L287" s="27"/>
      <c r="M287" s="8"/>
      <c r="N287" s="9"/>
      <c r="O287" s="10"/>
      <c r="P287" s="11">
        <f t="shared" si="122"/>
        <v>0</v>
      </c>
      <c r="Q287" s="12"/>
      <c r="R287" s="9"/>
      <c r="S287" s="10"/>
      <c r="T287" s="11">
        <f t="shared" si="123"/>
        <v>0</v>
      </c>
      <c r="U287" s="11">
        <f t="shared" si="124"/>
        <v>0</v>
      </c>
    </row>
    <row r="288" spans="1:22" x14ac:dyDescent="0.15">
      <c r="A288" s="29" t="s">
        <v>184</v>
      </c>
      <c r="B288" s="8"/>
      <c r="C288" s="9">
        <v>1</v>
      </c>
      <c r="D288" s="10"/>
      <c r="E288" s="11">
        <f t="shared" si="119"/>
        <v>1</v>
      </c>
      <c r="F288" s="12">
        <v>3</v>
      </c>
      <c r="G288" s="9">
        <v>1</v>
      </c>
      <c r="H288" s="10"/>
      <c r="I288" s="11">
        <f t="shared" si="120"/>
        <v>4</v>
      </c>
      <c r="J288" s="11">
        <f t="shared" si="121"/>
        <v>5</v>
      </c>
      <c r="K288" s="71">
        <v>42000</v>
      </c>
      <c r="L288" s="29"/>
      <c r="M288" s="8"/>
      <c r="N288" s="9"/>
      <c r="O288" s="10"/>
      <c r="P288" s="11">
        <f t="shared" si="122"/>
        <v>0</v>
      </c>
      <c r="Q288" s="12"/>
      <c r="R288" s="9"/>
      <c r="S288" s="10"/>
      <c r="T288" s="11">
        <f t="shared" si="123"/>
        <v>0</v>
      </c>
      <c r="U288" s="11">
        <f t="shared" si="124"/>
        <v>0</v>
      </c>
    </row>
    <row r="289" spans="1:22" x14ac:dyDescent="0.15">
      <c r="A289" s="27" t="s">
        <v>185</v>
      </c>
      <c r="B289" s="8"/>
      <c r="C289" s="9">
        <v>1</v>
      </c>
      <c r="D289" s="10"/>
      <c r="E289" s="11">
        <f t="shared" si="119"/>
        <v>1</v>
      </c>
      <c r="F289" s="12"/>
      <c r="G289" s="9"/>
      <c r="H289" s="10"/>
      <c r="I289" s="11">
        <f t="shared" si="120"/>
        <v>0</v>
      </c>
      <c r="J289" s="11">
        <f t="shared" si="121"/>
        <v>1</v>
      </c>
      <c r="K289" s="71">
        <v>42003</v>
      </c>
      <c r="L289" s="27"/>
      <c r="M289" s="8"/>
      <c r="N289" s="9"/>
      <c r="O289" s="10"/>
      <c r="P289" s="11">
        <f t="shared" si="122"/>
        <v>0</v>
      </c>
      <c r="Q289" s="12"/>
      <c r="R289" s="9"/>
      <c r="S289" s="10"/>
      <c r="T289" s="11">
        <f t="shared" si="123"/>
        <v>0</v>
      </c>
      <c r="U289" s="11">
        <f t="shared" si="124"/>
        <v>0</v>
      </c>
    </row>
    <row r="290" spans="1:22" x14ac:dyDescent="0.15">
      <c r="A290" s="26" t="s">
        <v>186</v>
      </c>
      <c r="B290" s="8">
        <v>1</v>
      </c>
      <c r="C290" s="9">
        <v>3</v>
      </c>
      <c r="D290" s="10">
        <v>1</v>
      </c>
      <c r="E290" s="11">
        <f t="shared" si="119"/>
        <v>5</v>
      </c>
      <c r="F290" s="12">
        <v>3</v>
      </c>
      <c r="G290" s="9">
        <v>2</v>
      </c>
      <c r="H290" s="10">
        <v>2</v>
      </c>
      <c r="I290" s="11">
        <f t="shared" si="120"/>
        <v>7</v>
      </c>
      <c r="J290" s="11">
        <f t="shared" si="121"/>
        <v>12</v>
      </c>
      <c r="K290" s="71">
        <v>42010</v>
      </c>
      <c r="L290" s="26"/>
      <c r="M290" s="8"/>
      <c r="N290" s="9"/>
      <c r="O290" s="10"/>
      <c r="P290" s="11">
        <f t="shared" si="122"/>
        <v>0</v>
      </c>
      <c r="Q290" s="12"/>
      <c r="R290" s="9"/>
      <c r="S290" s="10"/>
      <c r="T290" s="11">
        <f t="shared" si="123"/>
        <v>0</v>
      </c>
      <c r="U290" s="11">
        <f t="shared" si="124"/>
        <v>0</v>
      </c>
    </row>
    <row r="291" spans="1:22" x14ac:dyDescent="0.15">
      <c r="A291" s="29" t="s">
        <v>174</v>
      </c>
      <c r="B291" s="8">
        <v>1</v>
      </c>
      <c r="C291" s="9"/>
      <c r="D291" s="10"/>
      <c r="E291" s="11">
        <f t="shared" si="119"/>
        <v>1</v>
      </c>
      <c r="F291" s="12">
        <v>1</v>
      </c>
      <c r="G291" s="9"/>
      <c r="H291" s="10"/>
      <c r="I291" s="11">
        <f t="shared" si="120"/>
        <v>1</v>
      </c>
      <c r="J291" s="11">
        <f t="shared" si="121"/>
        <v>2</v>
      </c>
      <c r="K291" s="65">
        <v>42011</v>
      </c>
      <c r="L291" s="26"/>
      <c r="M291" s="8"/>
      <c r="N291" s="9"/>
      <c r="O291" s="10"/>
      <c r="P291" s="11">
        <f t="shared" si="122"/>
        <v>0</v>
      </c>
      <c r="Q291" s="12"/>
      <c r="R291" s="9"/>
      <c r="S291" s="10"/>
      <c r="T291" s="11">
        <f t="shared" si="123"/>
        <v>0</v>
      </c>
      <c r="U291" s="11">
        <f t="shared" si="124"/>
        <v>0</v>
      </c>
    </row>
    <row r="292" spans="1:22" x14ac:dyDescent="0.15">
      <c r="A292" s="27" t="s">
        <v>187</v>
      </c>
      <c r="B292" s="8"/>
      <c r="C292" s="9"/>
      <c r="D292" s="10"/>
      <c r="E292" s="11">
        <f t="shared" si="119"/>
        <v>0</v>
      </c>
      <c r="F292" s="12">
        <v>5</v>
      </c>
      <c r="G292" s="9"/>
      <c r="H292" s="10"/>
      <c r="I292" s="11">
        <f t="shared" si="120"/>
        <v>5</v>
      </c>
      <c r="J292" s="11">
        <f t="shared" si="121"/>
        <v>5</v>
      </c>
      <c r="K292" s="71">
        <v>42009</v>
      </c>
      <c r="L292" s="27"/>
      <c r="M292" s="8"/>
      <c r="N292" s="9"/>
      <c r="O292" s="10"/>
      <c r="P292" s="11">
        <f t="shared" si="122"/>
        <v>0</v>
      </c>
      <c r="Q292" s="12"/>
      <c r="R292" s="9"/>
      <c r="S292" s="10"/>
      <c r="T292" s="11">
        <f t="shared" si="123"/>
        <v>0</v>
      </c>
      <c r="U292" s="11">
        <f t="shared" si="124"/>
        <v>0</v>
      </c>
    </row>
    <row r="293" spans="1:22" x14ac:dyDescent="0.15">
      <c r="A293" s="29" t="s">
        <v>189</v>
      </c>
      <c r="B293" s="13">
        <v>15</v>
      </c>
      <c r="C293" s="14">
        <v>19</v>
      </c>
      <c r="D293" s="15"/>
      <c r="E293" s="11">
        <f t="shared" si="119"/>
        <v>34</v>
      </c>
      <c r="F293" s="16">
        <v>13</v>
      </c>
      <c r="G293" s="14">
        <v>8</v>
      </c>
      <c r="H293" s="15"/>
      <c r="I293" s="11">
        <f t="shared" si="120"/>
        <v>21</v>
      </c>
      <c r="J293" s="11">
        <f t="shared" si="121"/>
        <v>55</v>
      </c>
      <c r="K293" s="65">
        <v>42012</v>
      </c>
      <c r="L293" s="6"/>
      <c r="M293" s="13"/>
      <c r="N293" s="14"/>
      <c r="O293" s="15"/>
      <c r="P293" s="11">
        <f t="shared" si="122"/>
        <v>0</v>
      </c>
      <c r="Q293" s="16"/>
      <c r="R293" s="14"/>
      <c r="S293" s="15"/>
      <c r="T293" s="11">
        <f t="shared" si="123"/>
        <v>0</v>
      </c>
      <c r="U293" s="11">
        <f t="shared" si="124"/>
        <v>0</v>
      </c>
      <c r="V293" s="64"/>
    </row>
    <row r="294" spans="1:22" x14ac:dyDescent="0.15">
      <c r="A294" s="27" t="s">
        <v>190</v>
      </c>
      <c r="B294" s="8">
        <v>2</v>
      </c>
      <c r="C294" s="9">
        <v>4</v>
      </c>
      <c r="D294" s="10">
        <v>2</v>
      </c>
      <c r="E294" s="11">
        <f t="shared" si="119"/>
        <v>8</v>
      </c>
      <c r="F294" s="12"/>
      <c r="G294" s="9">
        <v>2</v>
      </c>
      <c r="H294" s="10"/>
      <c r="I294" s="11">
        <f t="shared" si="120"/>
        <v>2</v>
      </c>
      <c r="J294" s="11">
        <f t="shared" si="121"/>
        <v>10</v>
      </c>
      <c r="K294" s="65">
        <v>42016</v>
      </c>
      <c r="L294" s="29"/>
      <c r="M294" s="8"/>
      <c r="N294" s="9"/>
      <c r="O294" s="10"/>
      <c r="P294" s="11">
        <f t="shared" si="122"/>
        <v>0</v>
      </c>
      <c r="Q294" s="12"/>
      <c r="R294" s="9"/>
      <c r="S294" s="10"/>
      <c r="T294" s="11">
        <f t="shared" si="123"/>
        <v>0</v>
      </c>
      <c r="U294" s="11">
        <f t="shared" si="124"/>
        <v>0</v>
      </c>
      <c r="V294" s="65"/>
    </row>
    <row r="295" spans="1:22" x14ac:dyDescent="0.15">
      <c r="A295" s="29" t="s">
        <v>174</v>
      </c>
      <c r="B295" s="8">
        <v>1</v>
      </c>
      <c r="C295" s="9"/>
      <c r="D295" s="10"/>
      <c r="E295" s="11">
        <f t="shared" si="119"/>
        <v>1</v>
      </c>
      <c r="F295" s="12">
        <v>1</v>
      </c>
      <c r="G295" s="9"/>
      <c r="H295" s="10"/>
      <c r="I295" s="11">
        <f t="shared" si="120"/>
        <v>1</v>
      </c>
      <c r="J295" s="11">
        <f t="shared" si="121"/>
        <v>2</v>
      </c>
      <c r="K295" s="65">
        <v>42017</v>
      </c>
      <c r="L295" s="6"/>
      <c r="M295" s="13"/>
      <c r="N295" s="14"/>
      <c r="O295" s="15"/>
      <c r="P295" s="11">
        <f>SUM(M295:O295)</f>
        <v>0</v>
      </c>
      <c r="Q295" s="16"/>
      <c r="R295" s="14"/>
      <c r="S295" s="15"/>
      <c r="T295" s="11">
        <f>SUM(Q295:S295)</f>
        <v>0</v>
      </c>
      <c r="U295" s="11">
        <f>P295+T295</f>
        <v>0</v>
      </c>
      <c r="V295" s="64"/>
    </row>
    <row r="296" spans="1:22" x14ac:dyDescent="0.15">
      <c r="A296" s="29" t="s">
        <v>183</v>
      </c>
      <c r="B296" s="8"/>
      <c r="C296" s="9">
        <v>10</v>
      </c>
      <c r="D296" s="10"/>
      <c r="E296" s="11">
        <f t="shared" si="119"/>
        <v>10</v>
      </c>
      <c r="F296" s="12"/>
      <c r="G296" s="9"/>
      <c r="H296" s="10"/>
      <c r="I296" s="11">
        <f t="shared" si="120"/>
        <v>0</v>
      </c>
      <c r="J296" s="11">
        <f t="shared" si="121"/>
        <v>10</v>
      </c>
      <c r="K296" s="65">
        <v>42016</v>
      </c>
      <c r="L296" s="29"/>
      <c r="M296" s="8"/>
      <c r="N296" s="9"/>
      <c r="O296" s="10"/>
      <c r="P296" s="11">
        <f>SUM(M296:O296)</f>
        <v>0</v>
      </c>
      <c r="Q296" s="12"/>
      <c r="R296" s="9"/>
      <c r="S296" s="10"/>
      <c r="T296" s="11">
        <f>SUM(Q296:S296)</f>
        <v>0</v>
      </c>
      <c r="U296" s="11">
        <f>P296+T296</f>
        <v>0</v>
      </c>
      <c r="V296" s="65"/>
    </row>
    <row r="297" spans="1:22" ht="14.25" thickBot="1" x14ac:dyDescent="0.2">
      <c r="A297" s="29" t="s">
        <v>191</v>
      </c>
      <c r="B297" s="8"/>
      <c r="C297" s="9">
        <v>1</v>
      </c>
      <c r="D297" s="10"/>
      <c r="E297" s="11">
        <f t="shared" si="119"/>
        <v>1</v>
      </c>
      <c r="F297" s="16"/>
      <c r="G297" s="14"/>
      <c r="H297" s="15"/>
      <c r="I297" s="11">
        <f t="shared" si="120"/>
        <v>0</v>
      </c>
      <c r="J297" s="11">
        <f t="shared" si="121"/>
        <v>1</v>
      </c>
      <c r="K297" s="71">
        <v>42014</v>
      </c>
      <c r="L297" s="29"/>
      <c r="M297" s="8"/>
      <c r="N297" s="9"/>
      <c r="O297" s="10"/>
      <c r="P297" s="11">
        <f>SUM(M297:O297)</f>
        <v>0</v>
      </c>
      <c r="Q297" s="12"/>
      <c r="R297" s="9"/>
      <c r="S297" s="10"/>
      <c r="T297" s="11">
        <f>SUM(Q297:S297)</f>
        <v>0</v>
      </c>
      <c r="U297" s="11">
        <f>P297+T297</f>
        <v>0</v>
      </c>
      <c r="V297" s="64"/>
    </row>
    <row r="298" spans="1:22" ht="14.25" thickBot="1" x14ac:dyDescent="0.2">
      <c r="A298" s="44" t="s">
        <v>13</v>
      </c>
      <c r="B298" s="48">
        <f t="shared" ref="B298:I298" si="125">SUM(B272:B297)</f>
        <v>39</v>
      </c>
      <c r="C298" s="49">
        <f t="shared" si="125"/>
        <v>75</v>
      </c>
      <c r="D298" s="50">
        <f t="shared" si="125"/>
        <v>36</v>
      </c>
      <c r="E298" s="46">
        <f t="shared" si="125"/>
        <v>150</v>
      </c>
      <c r="F298" s="48">
        <f t="shared" si="125"/>
        <v>46</v>
      </c>
      <c r="G298" s="49">
        <f t="shared" si="125"/>
        <v>34</v>
      </c>
      <c r="H298" s="50">
        <f t="shared" si="125"/>
        <v>22</v>
      </c>
      <c r="I298" s="46">
        <f t="shared" si="125"/>
        <v>102</v>
      </c>
      <c r="J298" s="35">
        <f>E298+I298</f>
        <v>252</v>
      </c>
      <c r="L298" s="44" t="s">
        <v>13</v>
      </c>
      <c r="M298" s="48">
        <f t="shared" ref="M298:T298" si="126">SUM(M272:M297)</f>
        <v>0</v>
      </c>
      <c r="N298" s="49">
        <f t="shared" si="126"/>
        <v>50</v>
      </c>
      <c r="O298" s="50">
        <f t="shared" si="126"/>
        <v>50</v>
      </c>
      <c r="P298" s="46">
        <f t="shared" si="126"/>
        <v>100</v>
      </c>
      <c r="Q298" s="48">
        <f t="shared" si="126"/>
        <v>0</v>
      </c>
      <c r="R298" s="49">
        <f t="shared" si="126"/>
        <v>0</v>
      </c>
      <c r="S298" s="50">
        <f t="shared" si="126"/>
        <v>0</v>
      </c>
      <c r="T298" s="46">
        <f t="shared" si="126"/>
        <v>0</v>
      </c>
      <c r="U298" s="35">
        <f>P298+T298</f>
        <v>100</v>
      </c>
    </row>
    <row r="299" spans="1:22" ht="14.25" thickBot="1" x14ac:dyDescent="0.2">
      <c r="A299" s="23" t="s">
        <v>14</v>
      </c>
      <c r="B299" s="24">
        <f t="shared" ref="B299:J299" si="127">B271-B298</f>
        <v>93</v>
      </c>
      <c r="C299" s="25">
        <f t="shared" si="127"/>
        <v>43</v>
      </c>
      <c r="D299" s="30">
        <f t="shared" si="127"/>
        <v>82</v>
      </c>
      <c r="E299" s="51">
        <f t="shared" si="127"/>
        <v>218</v>
      </c>
      <c r="F299" s="24">
        <f t="shared" si="127"/>
        <v>42</v>
      </c>
      <c r="G299" s="25">
        <f t="shared" si="127"/>
        <v>37</v>
      </c>
      <c r="H299" s="30">
        <f t="shared" si="127"/>
        <v>40</v>
      </c>
      <c r="I299" s="47">
        <f t="shared" si="127"/>
        <v>119</v>
      </c>
      <c r="J299" s="79">
        <f t="shared" si="127"/>
        <v>337</v>
      </c>
      <c r="L299" s="23" t="s">
        <v>14</v>
      </c>
      <c r="M299" s="24">
        <f t="shared" ref="M299:U299" si="128">M271-M298</f>
        <v>280</v>
      </c>
      <c r="N299" s="25">
        <f t="shared" si="128"/>
        <v>180</v>
      </c>
      <c r="O299" s="30">
        <f t="shared" si="128"/>
        <v>140</v>
      </c>
      <c r="P299" s="51">
        <f t="shared" si="128"/>
        <v>600</v>
      </c>
      <c r="Q299" s="24">
        <f t="shared" si="128"/>
        <v>330</v>
      </c>
      <c r="R299" s="25">
        <f t="shared" si="128"/>
        <v>360</v>
      </c>
      <c r="S299" s="30">
        <f t="shared" si="128"/>
        <v>233</v>
      </c>
      <c r="T299" s="47">
        <f t="shared" si="128"/>
        <v>923</v>
      </c>
      <c r="U299" s="79">
        <f t="shared" si="128"/>
        <v>1523</v>
      </c>
    </row>
    <row r="302" spans="1:22" ht="19.5" thickBot="1" x14ac:dyDescent="0.25">
      <c r="A302" s="2" t="s">
        <v>21</v>
      </c>
      <c r="B302" s="1"/>
      <c r="C302" s="1"/>
      <c r="D302" s="1"/>
      <c r="E302" s="1"/>
      <c r="F302" s="1"/>
      <c r="G302" s="1"/>
      <c r="H302" s="1"/>
      <c r="I302" s="1"/>
      <c r="J302" s="1"/>
      <c r="L302" s="93" t="s">
        <v>136</v>
      </c>
      <c r="M302" s="94"/>
      <c r="N302" s="94"/>
      <c r="O302" s="94"/>
      <c r="P302" s="1"/>
      <c r="Q302" s="1"/>
      <c r="R302" s="1"/>
      <c r="S302" s="1"/>
      <c r="T302" s="1"/>
      <c r="U302" s="1"/>
    </row>
    <row r="303" spans="1:22" ht="14.25" thickBot="1" x14ac:dyDescent="0.2">
      <c r="A303" s="7" t="s">
        <v>0</v>
      </c>
      <c r="B303" s="168" t="s">
        <v>1</v>
      </c>
      <c r="C303" s="169"/>
      <c r="D303" s="169"/>
      <c r="E303" s="170"/>
      <c r="F303" s="168" t="s">
        <v>2</v>
      </c>
      <c r="G303" s="169"/>
      <c r="H303" s="169"/>
      <c r="I303" s="171"/>
      <c r="J303" s="172" t="s">
        <v>3</v>
      </c>
      <c r="L303" s="7" t="s">
        <v>0</v>
      </c>
      <c r="M303" s="168" t="s">
        <v>1</v>
      </c>
      <c r="N303" s="169"/>
      <c r="O303" s="169"/>
      <c r="P303" s="170"/>
      <c r="Q303" s="168" t="s">
        <v>2</v>
      </c>
      <c r="R303" s="169"/>
      <c r="S303" s="169"/>
      <c r="T303" s="171"/>
      <c r="U303" s="172" t="s">
        <v>3</v>
      </c>
    </row>
    <row r="304" spans="1:22" ht="14.25" thickBot="1" x14ac:dyDescent="0.2">
      <c r="A304" s="7" t="s">
        <v>4</v>
      </c>
      <c r="B304" s="3" t="s">
        <v>5</v>
      </c>
      <c r="C304" s="4" t="s">
        <v>6</v>
      </c>
      <c r="D304" s="5" t="s">
        <v>7</v>
      </c>
      <c r="E304" s="7" t="s">
        <v>8</v>
      </c>
      <c r="F304" s="3" t="s">
        <v>5</v>
      </c>
      <c r="G304" s="4" t="s">
        <v>6</v>
      </c>
      <c r="H304" s="5" t="s">
        <v>7</v>
      </c>
      <c r="I304" s="7" t="s">
        <v>8</v>
      </c>
      <c r="J304" s="173"/>
      <c r="L304" s="7" t="s">
        <v>4</v>
      </c>
      <c r="M304" s="3" t="s">
        <v>5</v>
      </c>
      <c r="N304" s="4" t="s">
        <v>6</v>
      </c>
      <c r="O304" s="5" t="s">
        <v>7</v>
      </c>
      <c r="P304" s="7" t="s">
        <v>8</v>
      </c>
      <c r="Q304" s="3" t="s">
        <v>5</v>
      </c>
      <c r="R304" s="4" t="s">
        <v>6</v>
      </c>
      <c r="S304" s="5" t="s">
        <v>7</v>
      </c>
      <c r="T304" s="7" t="s">
        <v>8</v>
      </c>
      <c r="U304" s="173"/>
    </row>
    <row r="305" spans="1:22" ht="14.25" thickBot="1" x14ac:dyDescent="0.2">
      <c r="A305" s="31" t="s">
        <v>14</v>
      </c>
      <c r="B305" s="32">
        <f>B299</f>
        <v>93</v>
      </c>
      <c r="C305" s="33">
        <f>C299</f>
        <v>43</v>
      </c>
      <c r="D305" s="34">
        <f>D299</f>
        <v>82</v>
      </c>
      <c r="E305" s="41">
        <f>SUM(B305:D305)</f>
        <v>218</v>
      </c>
      <c r="F305" s="32">
        <f>F299</f>
        <v>42</v>
      </c>
      <c r="G305" s="33">
        <f>G299</f>
        <v>37</v>
      </c>
      <c r="H305" s="34">
        <f>H299</f>
        <v>40</v>
      </c>
      <c r="I305" s="41">
        <f>SUM(F305:H305)</f>
        <v>119</v>
      </c>
      <c r="J305" s="41">
        <f>E305+I305</f>
        <v>337</v>
      </c>
      <c r="L305" s="31" t="s">
        <v>14</v>
      </c>
      <c r="M305" s="32">
        <f>M299</f>
        <v>280</v>
      </c>
      <c r="N305" s="33">
        <f>N299</f>
        <v>180</v>
      </c>
      <c r="O305" s="34">
        <f>O299</f>
        <v>140</v>
      </c>
      <c r="P305" s="41">
        <f>SUM(M305:O305)</f>
        <v>600</v>
      </c>
      <c r="Q305" s="32">
        <f>Q299</f>
        <v>330</v>
      </c>
      <c r="R305" s="33">
        <f>R299</f>
        <v>360</v>
      </c>
      <c r="S305" s="34">
        <f>S299</f>
        <v>233</v>
      </c>
      <c r="T305" s="41">
        <f>SUM(Q305:S305)</f>
        <v>923</v>
      </c>
      <c r="U305" s="41">
        <f>P305+T305</f>
        <v>1523</v>
      </c>
    </row>
    <row r="306" spans="1:22" x14ac:dyDescent="0.15">
      <c r="A306" s="28" t="s">
        <v>9</v>
      </c>
      <c r="B306" s="13"/>
      <c r="C306" s="14">
        <v>50</v>
      </c>
      <c r="D306" s="15"/>
      <c r="E306" s="11">
        <f>SUM(B306:D306)</f>
        <v>50</v>
      </c>
      <c r="F306" s="16">
        <v>50</v>
      </c>
      <c r="G306" s="14">
        <v>50</v>
      </c>
      <c r="H306" s="15"/>
      <c r="I306" s="11">
        <f>SUM(F306:H306)</f>
        <v>100</v>
      </c>
      <c r="J306" s="11">
        <f>E306+I306</f>
        <v>150</v>
      </c>
      <c r="K306" s="65">
        <v>42021</v>
      </c>
      <c r="L306" s="28" t="s">
        <v>9</v>
      </c>
      <c r="M306" s="17"/>
      <c r="N306" s="18"/>
      <c r="O306" s="19"/>
      <c r="P306" s="20">
        <f t="shared" ref="P306:P313" si="129">SUM(M306:O306)</f>
        <v>0</v>
      </c>
      <c r="Q306" s="21"/>
      <c r="R306" s="18"/>
      <c r="S306" s="19"/>
      <c r="T306" s="20">
        <f t="shared" ref="T306:T313" si="130">SUM(Q306:S306)</f>
        <v>0</v>
      </c>
      <c r="U306" s="20">
        <f t="shared" ref="U306:U313" si="131">P306+T306</f>
        <v>0</v>
      </c>
    </row>
    <row r="307" spans="1:22" x14ac:dyDescent="0.15">
      <c r="A307" s="28" t="s">
        <v>59</v>
      </c>
      <c r="B307" s="8"/>
      <c r="C307" s="9">
        <v>6</v>
      </c>
      <c r="D307" s="10">
        <v>4</v>
      </c>
      <c r="E307" s="11">
        <f t="shared" ref="E307:E313" si="132">SUM(B307:D307)</f>
        <v>10</v>
      </c>
      <c r="F307" s="12">
        <v>1</v>
      </c>
      <c r="G307" s="9"/>
      <c r="H307" s="10">
        <v>12</v>
      </c>
      <c r="I307" s="11">
        <f t="shared" ref="I307:I313" si="133">SUM(F307:H307)</f>
        <v>13</v>
      </c>
      <c r="J307" s="11">
        <f t="shared" ref="J307:J313" si="134">E307+I307</f>
        <v>23</v>
      </c>
      <c r="K307" s="71">
        <v>42023</v>
      </c>
      <c r="L307" s="28" t="s">
        <v>10</v>
      </c>
      <c r="M307" s="8"/>
      <c r="N307" s="9"/>
      <c r="O307" s="10"/>
      <c r="P307" s="11">
        <f t="shared" si="129"/>
        <v>0</v>
      </c>
      <c r="Q307" s="12"/>
      <c r="R307" s="9"/>
      <c r="S307" s="10"/>
      <c r="T307" s="11">
        <f t="shared" si="130"/>
        <v>0</v>
      </c>
      <c r="U307" s="11">
        <f t="shared" si="131"/>
        <v>0</v>
      </c>
      <c r="V307" s="65"/>
    </row>
    <row r="308" spans="1:22" x14ac:dyDescent="0.15">
      <c r="A308" s="28" t="s">
        <v>104</v>
      </c>
      <c r="B308" s="8"/>
      <c r="C308" s="9"/>
      <c r="D308" s="10"/>
      <c r="E308" s="11">
        <f t="shared" si="132"/>
        <v>0</v>
      </c>
      <c r="F308" s="12">
        <v>4</v>
      </c>
      <c r="G308" s="9"/>
      <c r="H308" s="10">
        <v>2</v>
      </c>
      <c r="I308" s="11">
        <f t="shared" si="133"/>
        <v>6</v>
      </c>
      <c r="J308" s="11">
        <f t="shared" si="134"/>
        <v>6</v>
      </c>
      <c r="K308" s="71">
        <v>42025</v>
      </c>
      <c r="L308" s="28" t="s">
        <v>11</v>
      </c>
      <c r="M308" s="8"/>
      <c r="N308" s="9"/>
      <c r="O308" s="10"/>
      <c r="P308" s="11">
        <f t="shared" si="129"/>
        <v>0</v>
      </c>
      <c r="Q308" s="12"/>
      <c r="R308" s="9"/>
      <c r="S308" s="10"/>
      <c r="T308" s="11">
        <f t="shared" si="130"/>
        <v>0</v>
      </c>
      <c r="U308" s="11">
        <f t="shared" si="131"/>
        <v>0</v>
      </c>
      <c r="V308" s="64"/>
    </row>
    <row r="309" spans="1:22" x14ac:dyDescent="0.15">
      <c r="A309" s="28" t="s">
        <v>46</v>
      </c>
      <c r="B309" s="8"/>
      <c r="C309" s="9"/>
      <c r="D309" s="10"/>
      <c r="E309" s="11">
        <f t="shared" si="132"/>
        <v>0</v>
      </c>
      <c r="F309" s="12"/>
      <c r="G309" s="9">
        <v>1</v>
      </c>
      <c r="H309" s="10">
        <v>5</v>
      </c>
      <c r="I309" s="11">
        <f t="shared" si="133"/>
        <v>6</v>
      </c>
      <c r="J309" s="11">
        <f t="shared" si="134"/>
        <v>6</v>
      </c>
      <c r="K309" s="71">
        <v>42027</v>
      </c>
      <c r="L309" s="28" t="s">
        <v>12</v>
      </c>
      <c r="M309" s="8"/>
      <c r="N309" s="9"/>
      <c r="O309" s="10"/>
      <c r="P309" s="11">
        <f t="shared" si="129"/>
        <v>0</v>
      </c>
      <c r="Q309" s="12"/>
      <c r="R309" s="9"/>
      <c r="S309" s="10"/>
      <c r="T309" s="11">
        <f t="shared" si="130"/>
        <v>0</v>
      </c>
      <c r="U309" s="11">
        <f t="shared" si="131"/>
        <v>0</v>
      </c>
    </row>
    <row r="310" spans="1:22" x14ac:dyDescent="0.15">
      <c r="A310" s="28" t="s">
        <v>104</v>
      </c>
      <c r="B310" s="8"/>
      <c r="C310" s="9"/>
      <c r="D310" s="10"/>
      <c r="E310" s="11">
        <f t="shared" si="132"/>
        <v>0</v>
      </c>
      <c r="F310" s="12">
        <v>29</v>
      </c>
      <c r="G310" s="9">
        <v>26</v>
      </c>
      <c r="H310" s="10">
        <v>36</v>
      </c>
      <c r="I310" s="11">
        <f t="shared" si="133"/>
        <v>91</v>
      </c>
      <c r="J310" s="11">
        <f t="shared" si="134"/>
        <v>91</v>
      </c>
      <c r="K310" s="71">
        <v>42038</v>
      </c>
      <c r="L310" s="28" t="s">
        <v>15</v>
      </c>
      <c r="M310" s="8"/>
      <c r="N310" s="9"/>
      <c r="O310" s="10"/>
      <c r="P310" s="11">
        <f t="shared" si="129"/>
        <v>0</v>
      </c>
      <c r="Q310" s="12"/>
      <c r="R310" s="9"/>
      <c r="S310" s="10"/>
      <c r="T310" s="11">
        <f t="shared" si="130"/>
        <v>0</v>
      </c>
      <c r="U310" s="11">
        <f t="shared" si="131"/>
        <v>0</v>
      </c>
    </row>
    <row r="311" spans="1:22" x14ac:dyDescent="0.15">
      <c r="A311" s="28" t="s">
        <v>210</v>
      </c>
      <c r="B311" s="8"/>
      <c r="C311" s="9"/>
      <c r="D311" s="10"/>
      <c r="E311" s="11">
        <f t="shared" si="132"/>
        <v>0</v>
      </c>
      <c r="F311" s="12"/>
      <c r="G311" s="9">
        <v>5</v>
      </c>
      <c r="H311" s="10">
        <v>5</v>
      </c>
      <c r="I311" s="11">
        <f t="shared" si="133"/>
        <v>10</v>
      </c>
      <c r="J311" s="11">
        <f t="shared" si="134"/>
        <v>10</v>
      </c>
      <c r="K311" s="71">
        <v>42051</v>
      </c>
      <c r="L311" s="28" t="s">
        <v>16</v>
      </c>
      <c r="M311" s="8"/>
      <c r="N311" s="9"/>
      <c r="O311" s="10"/>
      <c r="P311" s="11">
        <f t="shared" si="129"/>
        <v>0</v>
      </c>
      <c r="Q311" s="12"/>
      <c r="R311" s="9"/>
      <c r="S311" s="10"/>
      <c r="T311" s="11">
        <f t="shared" si="130"/>
        <v>0</v>
      </c>
      <c r="U311" s="11">
        <f t="shared" si="131"/>
        <v>0</v>
      </c>
    </row>
    <row r="312" spans="1:22" x14ac:dyDescent="0.15">
      <c r="A312" s="28" t="s">
        <v>46</v>
      </c>
      <c r="B312" s="13"/>
      <c r="C312" s="14"/>
      <c r="D312" s="15">
        <v>1</v>
      </c>
      <c r="E312" s="11">
        <f t="shared" si="132"/>
        <v>1</v>
      </c>
      <c r="F312" s="16"/>
      <c r="G312" s="14"/>
      <c r="H312" s="15"/>
      <c r="I312" s="11">
        <f t="shared" si="133"/>
        <v>0</v>
      </c>
      <c r="J312" s="11">
        <f t="shared" si="134"/>
        <v>1</v>
      </c>
      <c r="K312" s="71">
        <v>42052</v>
      </c>
      <c r="L312" s="28" t="s">
        <v>17</v>
      </c>
      <c r="M312" s="13"/>
      <c r="N312" s="14"/>
      <c r="O312" s="15"/>
      <c r="P312" s="11">
        <f t="shared" si="129"/>
        <v>0</v>
      </c>
      <c r="Q312" s="16"/>
      <c r="R312" s="14"/>
      <c r="S312" s="15"/>
      <c r="T312" s="11">
        <f t="shared" si="130"/>
        <v>0</v>
      </c>
      <c r="U312" s="11">
        <f t="shared" si="131"/>
        <v>0</v>
      </c>
    </row>
    <row r="313" spans="1:22" ht="14.25" thickBot="1" x14ac:dyDescent="0.2">
      <c r="A313" s="28" t="s">
        <v>104</v>
      </c>
      <c r="B313" s="36">
        <v>12</v>
      </c>
      <c r="C313" s="37">
        <v>8</v>
      </c>
      <c r="D313" s="40">
        <v>13</v>
      </c>
      <c r="E313" s="22">
        <f t="shared" si="132"/>
        <v>33</v>
      </c>
      <c r="F313" s="38">
        <v>15</v>
      </c>
      <c r="G313" s="38">
        <v>15</v>
      </c>
      <c r="H313" s="43">
        <v>14</v>
      </c>
      <c r="I313" s="22">
        <f t="shared" si="133"/>
        <v>44</v>
      </c>
      <c r="J313" s="22">
        <f t="shared" si="134"/>
        <v>77</v>
      </c>
      <c r="K313" s="71">
        <v>42054</v>
      </c>
      <c r="L313" s="28" t="s">
        <v>18</v>
      </c>
      <c r="M313" s="36"/>
      <c r="N313" s="37"/>
      <c r="O313" s="40"/>
      <c r="P313" s="22">
        <f t="shared" si="129"/>
        <v>0</v>
      </c>
      <c r="Q313" s="38"/>
      <c r="R313" s="38"/>
      <c r="S313" s="43"/>
      <c r="T313" s="22">
        <f t="shared" si="130"/>
        <v>0</v>
      </c>
      <c r="U313" s="22">
        <f t="shared" si="131"/>
        <v>0</v>
      </c>
    </row>
    <row r="314" spans="1:22" ht="14.25" thickBot="1" x14ac:dyDescent="0.2">
      <c r="A314" s="39" t="s">
        <v>20</v>
      </c>
      <c r="B314" s="32">
        <f t="shared" ref="B314:J314" si="135">SUM(B305:B313)</f>
        <v>105</v>
      </c>
      <c r="C314" s="33">
        <f t="shared" si="135"/>
        <v>107</v>
      </c>
      <c r="D314" s="34">
        <f t="shared" si="135"/>
        <v>100</v>
      </c>
      <c r="E314" s="42">
        <f t="shared" si="135"/>
        <v>312</v>
      </c>
      <c r="F314" s="32">
        <f t="shared" si="135"/>
        <v>141</v>
      </c>
      <c r="G314" s="33">
        <f t="shared" si="135"/>
        <v>134</v>
      </c>
      <c r="H314" s="34">
        <f t="shared" si="135"/>
        <v>114</v>
      </c>
      <c r="I314" s="42">
        <f t="shared" si="135"/>
        <v>389</v>
      </c>
      <c r="J314" s="42">
        <f t="shared" si="135"/>
        <v>701</v>
      </c>
      <c r="L314" s="39" t="s">
        <v>20</v>
      </c>
      <c r="M314" s="32">
        <f t="shared" ref="M314:U314" si="136">SUM(M305:M313)</f>
        <v>280</v>
      </c>
      <c r="N314" s="33">
        <f t="shared" si="136"/>
        <v>180</v>
      </c>
      <c r="O314" s="34">
        <f t="shared" si="136"/>
        <v>140</v>
      </c>
      <c r="P314" s="42">
        <f t="shared" si="136"/>
        <v>600</v>
      </c>
      <c r="Q314" s="32">
        <f t="shared" si="136"/>
        <v>330</v>
      </c>
      <c r="R314" s="33">
        <f t="shared" si="136"/>
        <v>360</v>
      </c>
      <c r="S314" s="34">
        <f t="shared" si="136"/>
        <v>233</v>
      </c>
      <c r="T314" s="42">
        <f t="shared" si="136"/>
        <v>923</v>
      </c>
      <c r="U314" s="42">
        <f t="shared" si="136"/>
        <v>1523</v>
      </c>
    </row>
    <row r="315" spans="1:22" x14ac:dyDescent="0.15">
      <c r="A315" s="26" t="s">
        <v>183</v>
      </c>
      <c r="B315" s="13">
        <v>17</v>
      </c>
      <c r="C315" s="14">
        <v>1</v>
      </c>
      <c r="D315" s="15">
        <v>4</v>
      </c>
      <c r="E315" s="11">
        <f>SUM(B315:D315)</f>
        <v>22</v>
      </c>
      <c r="F315" s="16">
        <v>5</v>
      </c>
      <c r="G315" s="14"/>
      <c r="H315" s="15"/>
      <c r="I315" s="11">
        <f>SUM(F315:H315)</f>
        <v>5</v>
      </c>
      <c r="J315" s="11">
        <f>E315+I315</f>
        <v>27</v>
      </c>
      <c r="K315" s="65">
        <v>42019</v>
      </c>
      <c r="L315" s="6" t="s">
        <v>193</v>
      </c>
      <c r="M315" s="13"/>
      <c r="N315" s="14">
        <v>50</v>
      </c>
      <c r="O315" s="15"/>
      <c r="P315" s="11">
        <f>SUM(M315:O315)</f>
        <v>50</v>
      </c>
      <c r="Q315" s="16">
        <v>50</v>
      </c>
      <c r="R315" s="14">
        <v>50</v>
      </c>
      <c r="S315" s="15"/>
      <c r="T315" s="11">
        <f>SUM(Q315:S315)</f>
        <v>100</v>
      </c>
      <c r="U315" s="11">
        <f>P315+T315</f>
        <v>150</v>
      </c>
      <c r="V315" s="65">
        <v>42021</v>
      </c>
    </row>
    <row r="316" spans="1:22" x14ac:dyDescent="0.15">
      <c r="A316" s="29" t="s">
        <v>124</v>
      </c>
      <c r="B316" s="13"/>
      <c r="C316" s="14"/>
      <c r="D316" s="15">
        <v>3</v>
      </c>
      <c r="E316" s="11">
        <f t="shared" ref="E316:E340" si="137">SUM(B316:D316)</f>
        <v>3</v>
      </c>
      <c r="F316" s="16"/>
      <c r="G316" s="14"/>
      <c r="H316" s="15">
        <v>2</v>
      </c>
      <c r="I316" s="11">
        <f t="shared" ref="I316:I340" si="138">SUM(F316:H316)</f>
        <v>2</v>
      </c>
      <c r="J316" s="11">
        <f t="shared" ref="J316:J340" si="139">E316+I316</f>
        <v>5</v>
      </c>
      <c r="K316" s="65">
        <v>42025</v>
      </c>
      <c r="L316" s="27"/>
      <c r="M316" s="8"/>
      <c r="N316" s="9"/>
      <c r="O316" s="10"/>
      <c r="P316" s="11">
        <f>SUM(M316:O316)</f>
        <v>0</v>
      </c>
      <c r="Q316" s="12"/>
      <c r="R316" s="9"/>
      <c r="S316" s="10"/>
      <c r="T316" s="11">
        <f>SUM(Q316:S316)</f>
        <v>0</v>
      </c>
      <c r="U316" s="11">
        <f>P316+T316</f>
        <v>0</v>
      </c>
    </row>
    <row r="317" spans="1:22" x14ac:dyDescent="0.15">
      <c r="A317" s="27" t="s">
        <v>148</v>
      </c>
      <c r="B317" s="8">
        <v>1</v>
      </c>
      <c r="C317" s="9"/>
      <c r="D317" s="10"/>
      <c r="E317" s="11">
        <f t="shared" si="137"/>
        <v>1</v>
      </c>
      <c r="F317" s="12">
        <v>1</v>
      </c>
      <c r="G317" s="9"/>
      <c r="H317" s="10"/>
      <c r="I317" s="11">
        <f t="shared" si="138"/>
        <v>1</v>
      </c>
      <c r="J317" s="11">
        <f t="shared" si="139"/>
        <v>2</v>
      </c>
      <c r="K317" s="65">
        <v>42024</v>
      </c>
      <c r="L317" s="27"/>
      <c r="M317" s="8"/>
      <c r="N317" s="9"/>
      <c r="O317" s="10"/>
      <c r="P317" s="11">
        <f t="shared" ref="P317:P338" si="140">SUM(M317:O317)</f>
        <v>0</v>
      </c>
      <c r="Q317" s="12"/>
      <c r="R317" s="9"/>
      <c r="S317" s="10"/>
      <c r="T317" s="11">
        <f t="shared" ref="T317:T338" si="141">SUM(Q317:S317)</f>
        <v>0</v>
      </c>
      <c r="U317" s="11">
        <f t="shared" ref="U317:U338" si="142">P317+T317</f>
        <v>0</v>
      </c>
    </row>
    <row r="318" spans="1:22" x14ac:dyDescent="0.15">
      <c r="A318" s="29" t="s">
        <v>192</v>
      </c>
      <c r="B318" s="8"/>
      <c r="C318" s="9"/>
      <c r="D318" s="10"/>
      <c r="E318" s="11">
        <f t="shared" si="137"/>
        <v>0</v>
      </c>
      <c r="F318" s="12"/>
      <c r="G318" s="9">
        <v>1</v>
      </c>
      <c r="H318" s="10">
        <v>1</v>
      </c>
      <c r="I318" s="11">
        <f t="shared" si="138"/>
        <v>2</v>
      </c>
      <c r="J318" s="11">
        <f t="shared" si="139"/>
        <v>2</v>
      </c>
      <c r="K318" s="71">
        <v>42018</v>
      </c>
      <c r="L318" s="29"/>
      <c r="M318" s="8"/>
      <c r="N318" s="9"/>
      <c r="O318" s="10"/>
      <c r="P318" s="11">
        <f t="shared" si="140"/>
        <v>0</v>
      </c>
      <c r="Q318" s="12"/>
      <c r="R318" s="9"/>
      <c r="S318" s="10"/>
      <c r="T318" s="11">
        <f t="shared" si="141"/>
        <v>0</v>
      </c>
      <c r="U318" s="11">
        <f t="shared" si="142"/>
        <v>0</v>
      </c>
    </row>
    <row r="319" spans="1:22" x14ac:dyDescent="0.15">
      <c r="A319" s="27" t="s">
        <v>194</v>
      </c>
      <c r="B319" s="8">
        <v>1</v>
      </c>
      <c r="C319" s="9">
        <v>1</v>
      </c>
      <c r="D319" s="10">
        <v>2</v>
      </c>
      <c r="E319" s="11">
        <f t="shared" si="137"/>
        <v>4</v>
      </c>
      <c r="F319" s="12">
        <v>5</v>
      </c>
      <c r="G319" s="9">
        <v>3</v>
      </c>
      <c r="H319" s="10">
        <v>3</v>
      </c>
      <c r="I319" s="11">
        <f t="shared" si="138"/>
        <v>11</v>
      </c>
      <c r="J319" s="11">
        <f t="shared" si="139"/>
        <v>15</v>
      </c>
      <c r="K319" s="71">
        <v>42020</v>
      </c>
      <c r="L319" s="29"/>
      <c r="M319" s="8"/>
      <c r="N319" s="9"/>
      <c r="O319" s="10"/>
      <c r="P319" s="11">
        <f t="shared" si="140"/>
        <v>0</v>
      </c>
      <c r="Q319" s="12"/>
      <c r="R319" s="9"/>
      <c r="S319" s="10"/>
      <c r="T319" s="11">
        <f t="shared" si="141"/>
        <v>0</v>
      </c>
      <c r="U319" s="11">
        <f t="shared" si="142"/>
        <v>0</v>
      </c>
    </row>
    <row r="320" spans="1:22" x14ac:dyDescent="0.15">
      <c r="A320" s="27" t="s">
        <v>195</v>
      </c>
      <c r="B320" s="8"/>
      <c r="C320" s="9"/>
      <c r="D320" s="10"/>
      <c r="E320" s="11">
        <f t="shared" si="137"/>
        <v>0</v>
      </c>
      <c r="F320" s="12">
        <v>1</v>
      </c>
      <c r="G320" s="9"/>
      <c r="H320" s="10"/>
      <c r="I320" s="11">
        <f t="shared" si="138"/>
        <v>1</v>
      </c>
      <c r="J320" s="11">
        <f t="shared" si="139"/>
        <v>1</v>
      </c>
      <c r="K320" s="65">
        <v>42021</v>
      </c>
      <c r="L320" s="27"/>
      <c r="M320" s="8"/>
      <c r="N320" s="9"/>
      <c r="O320" s="10"/>
      <c r="P320" s="11">
        <f t="shared" si="140"/>
        <v>0</v>
      </c>
      <c r="Q320" s="12"/>
      <c r="R320" s="9"/>
      <c r="S320" s="10"/>
      <c r="T320" s="11">
        <f t="shared" si="141"/>
        <v>0</v>
      </c>
      <c r="U320" s="11">
        <f t="shared" si="142"/>
        <v>0</v>
      </c>
    </row>
    <row r="321" spans="1:21" x14ac:dyDescent="0.15">
      <c r="A321" s="27" t="s">
        <v>148</v>
      </c>
      <c r="B321" s="8">
        <v>2</v>
      </c>
      <c r="C321" s="9"/>
      <c r="D321" s="10"/>
      <c r="E321" s="11">
        <f t="shared" si="137"/>
        <v>2</v>
      </c>
      <c r="F321" s="12">
        <v>2</v>
      </c>
      <c r="G321" s="9"/>
      <c r="H321" s="10"/>
      <c r="I321" s="11">
        <f t="shared" si="138"/>
        <v>2</v>
      </c>
      <c r="J321" s="11">
        <f t="shared" si="139"/>
        <v>4</v>
      </c>
      <c r="K321" s="65">
        <v>42027</v>
      </c>
      <c r="L321" s="29"/>
      <c r="M321" s="8"/>
      <c r="N321" s="9"/>
      <c r="O321" s="10"/>
      <c r="P321" s="11">
        <f t="shared" si="140"/>
        <v>0</v>
      </c>
      <c r="Q321" s="12"/>
      <c r="R321" s="9"/>
      <c r="S321" s="10"/>
      <c r="T321" s="11">
        <f t="shared" si="141"/>
        <v>0</v>
      </c>
      <c r="U321" s="11">
        <f t="shared" si="142"/>
        <v>0</v>
      </c>
    </row>
    <row r="322" spans="1:21" x14ac:dyDescent="0.15">
      <c r="A322" s="29" t="s">
        <v>124</v>
      </c>
      <c r="B322" s="8"/>
      <c r="C322" s="9">
        <v>5</v>
      </c>
      <c r="D322" s="10">
        <v>4</v>
      </c>
      <c r="E322" s="11">
        <f t="shared" si="137"/>
        <v>9</v>
      </c>
      <c r="F322" s="12"/>
      <c r="G322" s="9">
        <v>3</v>
      </c>
      <c r="H322" s="10">
        <v>4</v>
      </c>
      <c r="I322" s="11">
        <f t="shared" si="138"/>
        <v>7</v>
      </c>
      <c r="J322" s="11">
        <f t="shared" si="139"/>
        <v>16</v>
      </c>
      <c r="K322" s="65">
        <v>42039</v>
      </c>
      <c r="L322" s="29"/>
      <c r="M322" s="8"/>
      <c r="N322" s="9"/>
      <c r="O322" s="10"/>
      <c r="P322" s="11">
        <f t="shared" si="140"/>
        <v>0</v>
      </c>
      <c r="Q322" s="12"/>
      <c r="R322" s="9"/>
      <c r="S322" s="10"/>
      <c r="T322" s="11">
        <f t="shared" si="141"/>
        <v>0</v>
      </c>
      <c r="U322" s="11">
        <f t="shared" si="142"/>
        <v>0</v>
      </c>
    </row>
    <row r="323" spans="1:21" x14ac:dyDescent="0.15">
      <c r="A323" s="29" t="s">
        <v>196</v>
      </c>
      <c r="B323" s="13">
        <v>4</v>
      </c>
      <c r="C323" s="14"/>
      <c r="D323" s="15">
        <v>4</v>
      </c>
      <c r="E323" s="11">
        <f t="shared" si="137"/>
        <v>8</v>
      </c>
      <c r="F323" s="16">
        <v>4</v>
      </c>
      <c r="G323" s="14">
        <v>5</v>
      </c>
      <c r="H323" s="15">
        <v>2</v>
      </c>
      <c r="I323" s="11">
        <f t="shared" si="138"/>
        <v>11</v>
      </c>
      <c r="J323" s="11">
        <f t="shared" si="139"/>
        <v>19</v>
      </c>
      <c r="K323" s="71">
        <v>42028</v>
      </c>
      <c r="L323" s="27"/>
      <c r="M323" s="8"/>
      <c r="N323" s="9"/>
      <c r="O323" s="10"/>
      <c r="P323" s="11">
        <f t="shared" si="140"/>
        <v>0</v>
      </c>
      <c r="Q323" s="12"/>
      <c r="R323" s="9"/>
      <c r="S323" s="10"/>
      <c r="T323" s="11">
        <f t="shared" si="141"/>
        <v>0</v>
      </c>
      <c r="U323" s="11">
        <f t="shared" si="142"/>
        <v>0</v>
      </c>
    </row>
    <row r="324" spans="1:21" x14ac:dyDescent="0.15">
      <c r="A324" s="29" t="s">
        <v>197</v>
      </c>
      <c r="B324" s="13"/>
      <c r="C324" s="14"/>
      <c r="D324" s="15"/>
      <c r="E324" s="11">
        <f t="shared" si="137"/>
        <v>0</v>
      </c>
      <c r="F324" s="16">
        <v>2</v>
      </c>
      <c r="G324" s="14"/>
      <c r="H324" s="15"/>
      <c r="I324" s="11">
        <f t="shared" si="138"/>
        <v>2</v>
      </c>
      <c r="J324" s="11">
        <f t="shared" si="139"/>
        <v>2</v>
      </c>
      <c r="K324" s="71">
        <v>42028</v>
      </c>
      <c r="L324" s="29"/>
      <c r="M324" s="13"/>
      <c r="N324" s="14"/>
      <c r="O324" s="15"/>
      <c r="P324" s="11">
        <f t="shared" si="140"/>
        <v>0</v>
      </c>
      <c r="Q324" s="16"/>
      <c r="R324" s="14"/>
      <c r="S324" s="15"/>
      <c r="T324" s="11">
        <f t="shared" si="141"/>
        <v>0</v>
      </c>
      <c r="U324" s="11">
        <f t="shared" si="142"/>
        <v>0</v>
      </c>
    </row>
    <row r="325" spans="1:21" x14ac:dyDescent="0.15">
      <c r="A325" s="29" t="s">
        <v>143</v>
      </c>
      <c r="B325" s="8"/>
      <c r="C325" s="9"/>
      <c r="D325" s="10">
        <v>2</v>
      </c>
      <c r="E325" s="11">
        <f t="shared" si="137"/>
        <v>2</v>
      </c>
      <c r="F325" s="12">
        <v>2</v>
      </c>
      <c r="G325" s="9"/>
      <c r="H325" s="10"/>
      <c r="I325" s="11">
        <f t="shared" si="138"/>
        <v>2</v>
      </c>
      <c r="J325" s="11">
        <f t="shared" si="139"/>
        <v>4</v>
      </c>
      <c r="K325" s="65">
        <v>42033</v>
      </c>
      <c r="L325" s="29"/>
      <c r="M325" s="8"/>
      <c r="N325" s="9"/>
      <c r="O325" s="10"/>
      <c r="P325" s="11">
        <f t="shared" si="140"/>
        <v>0</v>
      </c>
      <c r="Q325" s="12"/>
      <c r="R325" s="9"/>
      <c r="S325" s="10"/>
      <c r="T325" s="11">
        <f t="shared" si="141"/>
        <v>0</v>
      </c>
      <c r="U325" s="11">
        <f t="shared" si="142"/>
        <v>0</v>
      </c>
    </row>
    <row r="326" spans="1:21" x14ac:dyDescent="0.15">
      <c r="A326" s="29" t="s">
        <v>144</v>
      </c>
      <c r="B326" s="8">
        <v>1</v>
      </c>
      <c r="C326" s="9">
        <v>1</v>
      </c>
      <c r="D326" s="10"/>
      <c r="E326" s="11">
        <f t="shared" si="137"/>
        <v>2</v>
      </c>
      <c r="F326" s="12">
        <v>1</v>
      </c>
      <c r="G326" s="9">
        <v>1</v>
      </c>
      <c r="H326" s="10"/>
      <c r="I326" s="11">
        <f t="shared" si="138"/>
        <v>2</v>
      </c>
      <c r="J326" s="11">
        <f t="shared" si="139"/>
        <v>4</v>
      </c>
      <c r="K326" s="65">
        <v>42033</v>
      </c>
      <c r="L326" s="29"/>
      <c r="M326" s="8"/>
      <c r="N326" s="9"/>
      <c r="O326" s="10"/>
      <c r="P326" s="11">
        <f t="shared" si="140"/>
        <v>0</v>
      </c>
      <c r="Q326" s="12"/>
      <c r="R326" s="9"/>
      <c r="S326" s="10"/>
      <c r="T326" s="11">
        <f t="shared" si="141"/>
        <v>0</v>
      </c>
      <c r="U326" s="11">
        <f t="shared" si="142"/>
        <v>0</v>
      </c>
    </row>
    <row r="327" spans="1:21" x14ac:dyDescent="0.15">
      <c r="A327" s="27" t="s">
        <v>198</v>
      </c>
      <c r="B327" s="8"/>
      <c r="C327" s="9"/>
      <c r="D327" s="10"/>
      <c r="E327" s="11">
        <f t="shared" si="137"/>
        <v>0</v>
      </c>
      <c r="F327" s="12"/>
      <c r="G327" s="9">
        <v>1</v>
      </c>
      <c r="H327" s="10"/>
      <c r="I327" s="11">
        <f t="shared" si="138"/>
        <v>1</v>
      </c>
      <c r="J327" s="11">
        <f t="shared" si="139"/>
        <v>1</v>
      </c>
      <c r="K327" s="71">
        <v>42031</v>
      </c>
      <c r="L327" s="27"/>
      <c r="M327" s="8"/>
      <c r="N327" s="9"/>
      <c r="O327" s="10"/>
      <c r="P327" s="11">
        <f t="shared" si="140"/>
        <v>0</v>
      </c>
      <c r="Q327" s="12"/>
      <c r="R327" s="9"/>
      <c r="S327" s="10"/>
      <c r="T327" s="11">
        <f t="shared" si="141"/>
        <v>0</v>
      </c>
      <c r="U327" s="11">
        <f t="shared" si="142"/>
        <v>0</v>
      </c>
    </row>
    <row r="328" spans="1:21" x14ac:dyDescent="0.15">
      <c r="A328" s="29" t="s">
        <v>199</v>
      </c>
      <c r="B328" s="8">
        <v>2</v>
      </c>
      <c r="C328" s="9">
        <v>3</v>
      </c>
      <c r="D328" s="10"/>
      <c r="E328" s="11">
        <f t="shared" si="137"/>
        <v>5</v>
      </c>
      <c r="F328" s="12">
        <v>5</v>
      </c>
      <c r="G328" s="9">
        <v>5</v>
      </c>
      <c r="H328" s="10"/>
      <c r="I328" s="11">
        <f t="shared" si="138"/>
        <v>10</v>
      </c>
      <c r="J328" s="11">
        <f t="shared" si="139"/>
        <v>15</v>
      </c>
      <c r="K328" s="71">
        <v>42033</v>
      </c>
      <c r="L328" s="29"/>
      <c r="M328" s="8"/>
      <c r="N328" s="9"/>
      <c r="O328" s="10"/>
      <c r="P328" s="11">
        <f t="shared" si="140"/>
        <v>0</v>
      </c>
      <c r="Q328" s="12"/>
      <c r="R328" s="9"/>
      <c r="S328" s="10"/>
      <c r="T328" s="11">
        <f t="shared" si="141"/>
        <v>0</v>
      </c>
      <c r="U328" s="11">
        <f t="shared" si="142"/>
        <v>0</v>
      </c>
    </row>
    <row r="329" spans="1:21" x14ac:dyDescent="0.15">
      <c r="A329" s="29" t="s">
        <v>200</v>
      </c>
      <c r="B329" s="8"/>
      <c r="C329" s="9"/>
      <c r="D329" s="10"/>
      <c r="E329" s="11">
        <f t="shared" si="137"/>
        <v>0</v>
      </c>
      <c r="F329" s="12">
        <v>1</v>
      </c>
      <c r="G329" s="9"/>
      <c r="H329" s="10"/>
      <c r="I329" s="11">
        <f t="shared" si="138"/>
        <v>1</v>
      </c>
      <c r="J329" s="11">
        <f t="shared" si="139"/>
        <v>1</v>
      </c>
      <c r="K329" s="71">
        <v>42033</v>
      </c>
      <c r="L329" s="29"/>
      <c r="M329" s="8"/>
      <c r="N329" s="9"/>
      <c r="O329" s="10"/>
      <c r="P329" s="11">
        <f t="shared" si="140"/>
        <v>0</v>
      </c>
      <c r="Q329" s="12"/>
      <c r="R329" s="9"/>
      <c r="S329" s="10"/>
      <c r="T329" s="11">
        <f t="shared" si="141"/>
        <v>0</v>
      </c>
      <c r="U329" s="11">
        <f t="shared" si="142"/>
        <v>0</v>
      </c>
    </row>
    <row r="330" spans="1:21" x14ac:dyDescent="0.15">
      <c r="A330" s="27" t="s">
        <v>201</v>
      </c>
      <c r="B330" s="8"/>
      <c r="C330" s="9"/>
      <c r="D330" s="10"/>
      <c r="E330" s="11">
        <f t="shared" si="137"/>
        <v>0</v>
      </c>
      <c r="F330" s="12">
        <v>1</v>
      </c>
      <c r="G330" s="9"/>
      <c r="H330" s="10"/>
      <c r="I330" s="11">
        <f t="shared" si="138"/>
        <v>1</v>
      </c>
      <c r="J330" s="11">
        <f t="shared" si="139"/>
        <v>1</v>
      </c>
      <c r="K330" s="71">
        <v>42035</v>
      </c>
      <c r="L330" s="27"/>
      <c r="M330" s="8"/>
      <c r="N330" s="9"/>
      <c r="O330" s="10"/>
      <c r="P330" s="11">
        <f t="shared" si="140"/>
        <v>0</v>
      </c>
      <c r="Q330" s="12"/>
      <c r="R330" s="9"/>
      <c r="S330" s="10"/>
      <c r="T330" s="11">
        <f t="shared" si="141"/>
        <v>0</v>
      </c>
      <c r="U330" s="11">
        <f t="shared" si="142"/>
        <v>0</v>
      </c>
    </row>
    <row r="331" spans="1:21" x14ac:dyDescent="0.15">
      <c r="A331" s="29" t="s">
        <v>124</v>
      </c>
      <c r="B331" s="8"/>
      <c r="C331" s="9">
        <v>8</v>
      </c>
      <c r="D331" s="10">
        <v>8</v>
      </c>
      <c r="E331" s="11">
        <f t="shared" si="137"/>
        <v>16</v>
      </c>
      <c r="F331" s="12">
        <v>4</v>
      </c>
      <c r="G331" s="9">
        <v>2</v>
      </c>
      <c r="H331" s="10">
        <v>6</v>
      </c>
      <c r="I331" s="11">
        <f t="shared" si="138"/>
        <v>12</v>
      </c>
      <c r="J331" s="11">
        <f t="shared" si="139"/>
        <v>28</v>
      </c>
      <c r="K331" s="65">
        <v>42044</v>
      </c>
      <c r="L331" s="29"/>
      <c r="M331" s="8"/>
      <c r="N331" s="9"/>
      <c r="O331" s="10"/>
      <c r="P331" s="11">
        <f t="shared" si="140"/>
        <v>0</v>
      </c>
      <c r="Q331" s="12"/>
      <c r="R331" s="9"/>
      <c r="S331" s="10"/>
      <c r="T331" s="11">
        <f t="shared" si="141"/>
        <v>0</v>
      </c>
      <c r="U331" s="11">
        <f t="shared" si="142"/>
        <v>0</v>
      </c>
    </row>
    <row r="332" spans="1:21" x14ac:dyDescent="0.15">
      <c r="A332" s="86" t="s">
        <v>202</v>
      </c>
      <c r="B332" s="8">
        <v>2</v>
      </c>
      <c r="C332" s="9"/>
      <c r="D332" s="10">
        <v>2</v>
      </c>
      <c r="E332" s="11">
        <f t="shared" si="137"/>
        <v>4</v>
      </c>
      <c r="F332" s="12">
        <v>2</v>
      </c>
      <c r="G332" s="9"/>
      <c r="H332" s="10">
        <v>2</v>
      </c>
      <c r="I332" s="11">
        <f t="shared" si="138"/>
        <v>4</v>
      </c>
      <c r="J332" s="11">
        <f t="shared" si="139"/>
        <v>8</v>
      </c>
      <c r="K332" s="65">
        <v>42040</v>
      </c>
      <c r="L332" s="27"/>
      <c r="M332" s="8"/>
      <c r="N332" s="9"/>
      <c r="O332" s="10"/>
      <c r="P332" s="11">
        <f t="shared" si="140"/>
        <v>0</v>
      </c>
      <c r="Q332" s="12"/>
      <c r="R332" s="9"/>
      <c r="S332" s="10"/>
      <c r="T332" s="11">
        <f t="shared" si="141"/>
        <v>0</v>
      </c>
      <c r="U332" s="11">
        <f t="shared" si="142"/>
        <v>0</v>
      </c>
    </row>
    <row r="333" spans="1:21" x14ac:dyDescent="0.15">
      <c r="A333" s="6" t="s">
        <v>203</v>
      </c>
      <c r="B333" s="8"/>
      <c r="C333" s="9"/>
      <c r="D333" s="10"/>
      <c r="E333" s="11">
        <f t="shared" si="137"/>
        <v>0</v>
      </c>
      <c r="F333" s="12"/>
      <c r="G333" s="9">
        <v>1</v>
      </c>
      <c r="H333" s="10"/>
      <c r="I333" s="11">
        <f t="shared" si="138"/>
        <v>1</v>
      </c>
      <c r="J333" s="11">
        <f t="shared" si="139"/>
        <v>1</v>
      </c>
      <c r="K333" s="65">
        <v>42046</v>
      </c>
      <c r="L333" s="26"/>
      <c r="M333" s="8"/>
      <c r="N333" s="9"/>
      <c r="O333" s="10"/>
      <c r="P333" s="11">
        <f t="shared" si="140"/>
        <v>0</v>
      </c>
      <c r="Q333" s="12"/>
      <c r="R333" s="9"/>
      <c r="S333" s="10"/>
      <c r="T333" s="11">
        <f t="shared" si="141"/>
        <v>0</v>
      </c>
      <c r="U333" s="11">
        <f t="shared" si="142"/>
        <v>0</v>
      </c>
    </row>
    <row r="334" spans="1:21" x14ac:dyDescent="0.15">
      <c r="A334" s="26" t="s">
        <v>204</v>
      </c>
      <c r="B334" s="8"/>
      <c r="C334" s="9"/>
      <c r="D334" s="10"/>
      <c r="E334" s="11">
        <f t="shared" si="137"/>
        <v>0</v>
      </c>
      <c r="F334" s="12"/>
      <c r="G334" s="9">
        <v>2</v>
      </c>
      <c r="H334" s="10"/>
      <c r="I334" s="11">
        <f t="shared" si="138"/>
        <v>2</v>
      </c>
      <c r="J334" s="11">
        <f t="shared" si="139"/>
        <v>2</v>
      </c>
      <c r="K334" s="71">
        <v>42040</v>
      </c>
      <c r="L334" s="26"/>
      <c r="M334" s="8"/>
      <c r="N334" s="9"/>
      <c r="O334" s="10"/>
      <c r="P334" s="11">
        <f t="shared" si="140"/>
        <v>0</v>
      </c>
      <c r="Q334" s="12"/>
      <c r="R334" s="9"/>
      <c r="S334" s="10"/>
      <c r="T334" s="11">
        <f t="shared" si="141"/>
        <v>0</v>
      </c>
      <c r="U334" s="11">
        <f t="shared" si="142"/>
        <v>0</v>
      </c>
    </row>
    <row r="335" spans="1:21" x14ac:dyDescent="0.15">
      <c r="A335" s="27" t="s">
        <v>205</v>
      </c>
      <c r="B335" s="8"/>
      <c r="C335" s="9"/>
      <c r="D335" s="10"/>
      <c r="E335" s="11">
        <f t="shared" si="137"/>
        <v>0</v>
      </c>
      <c r="F335" s="12">
        <v>3</v>
      </c>
      <c r="G335" s="9">
        <v>2</v>
      </c>
      <c r="H335" s="10">
        <v>1</v>
      </c>
      <c r="I335" s="11">
        <f t="shared" si="138"/>
        <v>6</v>
      </c>
      <c r="J335" s="11">
        <f t="shared" si="139"/>
        <v>6</v>
      </c>
      <c r="K335" s="71">
        <v>42042</v>
      </c>
      <c r="L335" s="27"/>
      <c r="M335" s="8"/>
      <c r="N335" s="9"/>
      <c r="O335" s="10"/>
      <c r="P335" s="11">
        <f t="shared" si="140"/>
        <v>0</v>
      </c>
      <c r="Q335" s="12"/>
      <c r="R335" s="9"/>
      <c r="S335" s="10"/>
      <c r="T335" s="11">
        <f t="shared" si="141"/>
        <v>0</v>
      </c>
      <c r="U335" s="11">
        <f t="shared" si="142"/>
        <v>0</v>
      </c>
    </row>
    <row r="336" spans="1:21" x14ac:dyDescent="0.15">
      <c r="A336" s="29" t="s">
        <v>206</v>
      </c>
      <c r="B336" s="13"/>
      <c r="C336" s="14"/>
      <c r="D336" s="15"/>
      <c r="E336" s="11">
        <f t="shared" si="137"/>
        <v>0</v>
      </c>
      <c r="F336" s="16">
        <v>2</v>
      </c>
      <c r="G336" s="14"/>
      <c r="H336" s="15"/>
      <c r="I336" s="11">
        <f t="shared" si="138"/>
        <v>2</v>
      </c>
      <c r="J336" s="11">
        <f t="shared" si="139"/>
        <v>2</v>
      </c>
      <c r="K336" s="71">
        <v>42042</v>
      </c>
      <c r="L336" s="29"/>
      <c r="M336" s="13"/>
      <c r="N336" s="14"/>
      <c r="O336" s="15"/>
      <c r="P336" s="11">
        <f t="shared" si="140"/>
        <v>0</v>
      </c>
      <c r="Q336" s="16"/>
      <c r="R336" s="14"/>
      <c r="S336" s="15"/>
      <c r="T336" s="11">
        <f t="shared" si="141"/>
        <v>0</v>
      </c>
      <c r="U336" s="11">
        <f t="shared" si="142"/>
        <v>0</v>
      </c>
    </row>
    <row r="337" spans="1:22" x14ac:dyDescent="0.15">
      <c r="A337" s="29" t="s">
        <v>208</v>
      </c>
      <c r="B337" s="8"/>
      <c r="C337" s="9"/>
      <c r="D337" s="10"/>
      <c r="E337" s="11">
        <f t="shared" si="137"/>
        <v>0</v>
      </c>
      <c r="F337" s="12"/>
      <c r="G337" s="9">
        <v>1</v>
      </c>
      <c r="H337" s="10"/>
      <c r="I337" s="11">
        <f t="shared" si="138"/>
        <v>1</v>
      </c>
      <c r="J337" s="11">
        <f t="shared" si="139"/>
        <v>1</v>
      </c>
      <c r="K337" s="71">
        <v>42044</v>
      </c>
      <c r="L337" s="6"/>
      <c r="M337" s="13"/>
      <c r="N337" s="14"/>
      <c r="O337" s="15"/>
      <c r="P337" s="11">
        <f t="shared" si="140"/>
        <v>0</v>
      </c>
      <c r="Q337" s="16"/>
      <c r="R337" s="14"/>
      <c r="S337" s="15"/>
      <c r="T337" s="11">
        <f t="shared" si="141"/>
        <v>0</v>
      </c>
      <c r="U337" s="11">
        <f t="shared" si="142"/>
        <v>0</v>
      </c>
      <c r="V337" s="64"/>
    </row>
    <row r="338" spans="1:22" x14ac:dyDescent="0.15">
      <c r="A338" s="29" t="s">
        <v>207</v>
      </c>
      <c r="B338" s="8"/>
      <c r="C338" s="9"/>
      <c r="D338" s="10"/>
      <c r="E338" s="11">
        <f t="shared" si="137"/>
        <v>0</v>
      </c>
      <c r="F338" s="12"/>
      <c r="G338" s="9">
        <v>1</v>
      </c>
      <c r="H338" s="10"/>
      <c r="I338" s="11">
        <f t="shared" si="138"/>
        <v>1</v>
      </c>
      <c r="J338" s="11">
        <f t="shared" si="139"/>
        <v>1</v>
      </c>
      <c r="K338" s="71">
        <v>42045</v>
      </c>
      <c r="L338" s="6"/>
      <c r="M338" s="13"/>
      <c r="N338" s="14"/>
      <c r="O338" s="15"/>
      <c r="P338" s="11">
        <f t="shared" si="140"/>
        <v>0</v>
      </c>
      <c r="Q338" s="16"/>
      <c r="R338" s="14"/>
      <c r="S338" s="15"/>
      <c r="T338" s="11">
        <f t="shared" si="141"/>
        <v>0</v>
      </c>
      <c r="U338" s="11">
        <f t="shared" si="142"/>
        <v>0</v>
      </c>
      <c r="V338" s="65"/>
    </row>
    <row r="339" spans="1:22" x14ac:dyDescent="0.15">
      <c r="A339" s="29" t="s">
        <v>207</v>
      </c>
      <c r="B339" s="8"/>
      <c r="C339" s="9"/>
      <c r="D339" s="10"/>
      <c r="E339" s="11">
        <f t="shared" si="137"/>
        <v>0</v>
      </c>
      <c r="F339" s="12"/>
      <c r="G339" s="9">
        <v>3</v>
      </c>
      <c r="H339" s="10"/>
      <c r="I339" s="11">
        <f t="shared" si="138"/>
        <v>3</v>
      </c>
      <c r="J339" s="11">
        <f t="shared" si="139"/>
        <v>3</v>
      </c>
      <c r="K339" s="71">
        <v>42047</v>
      </c>
      <c r="L339" s="6"/>
      <c r="M339" s="13"/>
      <c r="N339" s="14"/>
      <c r="O339" s="15"/>
      <c r="P339" s="11">
        <f>SUM(M339:O339)</f>
        <v>0</v>
      </c>
      <c r="Q339" s="16"/>
      <c r="R339" s="14"/>
      <c r="S339" s="15"/>
      <c r="T339" s="11">
        <f>SUM(Q339:S339)</f>
        <v>0</v>
      </c>
      <c r="U339" s="11">
        <f>P339+T339</f>
        <v>0</v>
      </c>
      <c r="V339" s="64"/>
    </row>
    <row r="340" spans="1:22" ht="14.25" thickBot="1" x14ac:dyDescent="0.2">
      <c r="A340" s="29" t="s">
        <v>209</v>
      </c>
      <c r="B340" s="8">
        <v>1</v>
      </c>
      <c r="C340" s="9">
        <v>1</v>
      </c>
      <c r="D340" s="10"/>
      <c r="E340" s="11">
        <f t="shared" si="137"/>
        <v>2</v>
      </c>
      <c r="F340" s="16">
        <v>5</v>
      </c>
      <c r="G340" s="14">
        <v>5</v>
      </c>
      <c r="H340" s="15">
        <v>3</v>
      </c>
      <c r="I340" s="11">
        <f t="shared" si="138"/>
        <v>13</v>
      </c>
      <c r="J340" s="11">
        <f t="shared" si="139"/>
        <v>15</v>
      </c>
      <c r="K340" s="71">
        <v>42048</v>
      </c>
      <c r="L340" s="6"/>
      <c r="M340" s="13"/>
      <c r="N340" s="14"/>
      <c r="O340" s="15"/>
      <c r="P340" s="11">
        <f>SUM(M340:O340)</f>
        <v>0</v>
      </c>
      <c r="Q340" s="16"/>
      <c r="R340" s="14"/>
      <c r="S340" s="15"/>
      <c r="T340" s="11">
        <f>SUM(Q340:S340)</f>
        <v>0</v>
      </c>
      <c r="U340" s="11">
        <f>P340+T340</f>
        <v>0</v>
      </c>
      <c r="V340" s="65"/>
    </row>
    <row r="341" spans="1:22" ht="14.25" thickBot="1" x14ac:dyDescent="0.2">
      <c r="A341" s="44" t="s">
        <v>13</v>
      </c>
      <c r="B341" s="48">
        <f t="shared" ref="B341:I341" si="143">SUM(B315:B340)</f>
        <v>31</v>
      </c>
      <c r="C341" s="49">
        <f t="shared" si="143"/>
        <v>20</v>
      </c>
      <c r="D341" s="50">
        <f t="shared" si="143"/>
        <v>29</v>
      </c>
      <c r="E341" s="46">
        <f t="shared" si="143"/>
        <v>80</v>
      </c>
      <c r="F341" s="48">
        <f t="shared" si="143"/>
        <v>46</v>
      </c>
      <c r="G341" s="49">
        <f t="shared" si="143"/>
        <v>36</v>
      </c>
      <c r="H341" s="50">
        <f t="shared" si="143"/>
        <v>24</v>
      </c>
      <c r="I341" s="46">
        <f t="shared" si="143"/>
        <v>106</v>
      </c>
      <c r="J341" s="35">
        <f>E341+I341</f>
        <v>186</v>
      </c>
      <c r="L341" s="44" t="s">
        <v>13</v>
      </c>
      <c r="M341" s="48">
        <f t="shared" ref="M341:T341" si="144">SUM(M315:M340)</f>
        <v>0</v>
      </c>
      <c r="N341" s="49">
        <f t="shared" si="144"/>
        <v>50</v>
      </c>
      <c r="O341" s="50">
        <f t="shared" si="144"/>
        <v>0</v>
      </c>
      <c r="P341" s="46">
        <f t="shared" si="144"/>
        <v>50</v>
      </c>
      <c r="Q341" s="48">
        <f t="shared" si="144"/>
        <v>50</v>
      </c>
      <c r="R341" s="49">
        <f t="shared" si="144"/>
        <v>50</v>
      </c>
      <c r="S341" s="50">
        <f t="shared" si="144"/>
        <v>0</v>
      </c>
      <c r="T341" s="46">
        <f t="shared" si="144"/>
        <v>100</v>
      </c>
      <c r="U341" s="35">
        <f>P341+T341</f>
        <v>150</v>
      </c>
    </row>
    <row r="342" spans="1:22" ht="14.25" thickBot="1" x14ac:dyDescent="0.2">
      <c r="A342" s="23" t="s">
        <v>14</v>
      </c>
      <c r="B342" s="24">
        <f t="shared" ref="B342:J342" si="145">B314-B341</f>
        <v>74</v>
      </c>
      <c r="C342" s="25">
        <f t="shared" si="145"/>
        <v>87</v>
      </c>
      <c r="D342" s="30">
        <f t="shared" si="145"/>
        <v>71</v>
      </c>
      <c r="E342" s="51">
        <f t="shared" si="145"/>
        <v>232</v>
      </c>
      <c r="F342" s="24">
        <f t="shared" si="145"/>
        <v>95</v>
      </c>
      <c r="G342" s="25">
        <f t="shared" si="145"/>
        <v>98</v>
      </c>
      <c r="H342" s="30">
        <f t="shared" si="145"/>
        <v>90</v>
      </c>
      <c r="I342" s="47">
        <f t="shared" si="145"/>
        <v>283</v>
      </c>
      <c r="J342" s="79">
        <f t="shared" si="145"/>
        <v>515</v>
      </c>
      <c r="L342" s="23" t="s">
        <v>14</v>
      </c>
      <c r="M342" s="24">
        <f t="shared" ref="M342:U342" si="146">M314-M341</f>
        <v>280</v>
      </c>
      <c r="N342" s="25">
        <f t="shared" si="146"/>
        <v>130</v>
      </c>
      <c r="O342" s="30">
        <f t="shared" si="146"/>
        <v>140</v>
      </c>
      <c r="P342" s="51">
        <f t="shared" si="146"/>
        <v>550</v>
      </c>
      <c r="Q342" s="24">
        <f t="shared" si="146"/>
        <v>280</v>
      </c>
      <c r="R342" s="25">
        <f t="shared" si="146"/>
        <v>310</v>
      </c>
      <c r="S342" s="30">
        <f t="shared" si="146"/>
        <v>233</v>
      </c>
      <c r="T342" s="47">
        <f t="shared" si="146"/>
        <v>823</v>
      </c>
      <c r="U342" s="79">
        <f t="shared" si="146"/>
        <v>1373</v>
      </c>
    </row>
    <row r="345" spans="1:22" ht="19.5" thickBot="1" x14ac:dyDescent="0.25">
      <c r="A345" s="2" t="s">
        <v>21</v>
      </c>
      <c r="B345" s="1"/>
      <c r="C345" s="1"/>
      <c r="D345" s="1"/>
      <c r="E345" s="1"/>
      <c r="F345" s="1"/>
      <c r="G345" s="1"/>
      <c r="H345" s="1"/>
      <c r="I345" s="1"/>
      <c r="J345" s="1"/>
      <c r="L345" s="93" t="s">
        <v>136</v>
      </c>
      <c r="M345" s="94"/>
      <c r="N345" s="94"/>
      <c r="O345" s="94"/>
      <c r="P345" s="1"/>
      <c r="Q345" s="1"/>
      <c r="R345" s="1"/>
      <c r="S345" s="1"/>
      <c r="T345" s="1"/>
      <c r="U345" s="1"/>
    </row>
    <row r="346" spans="1:22" ht="14.25" thickBot="1" x14ac:dyDescent="0.2">
      <c r="A346" s="7" t="s">
        <v>0</v>
      </c>
      <c r="B346" s="168" t="s">
        <v>1</v>
      </c>
      <c r="C346" s="169"/>
      <c r="D346" s="169"/>
      <c r="E346" s="170"/>
      <c r="F346" s="168" t="s">
        <v>2</v>
      </c>
      <c r="G346" s="169"/>
      <c r="H346" s="169"/>
      <c r="I346" s="171"/>
      <c r="J346" s="172" t="s">
        <v>3</v>
      </c>
      <c r="L346" s="7" t="s">
        <v>0</v>
      </c>
      <c r="M346" s="168" t="s">
        <v>1</v>
      </c>
      <c r="N346" s="169"/>
      <c r="O346" s="169"/>
      <c r="P346" s="170"/>
      <c r="Q346" s="168" t="s">
        <v>2</v>
      </c>
      <c r="R346" s="169"/>
      <c r="S346" s="169"/>
      <c r="T346" s="171"/>
      <c r="U346" s="172" t="s">
        <v>3</v>
      </c>
    </row>
    <row r="347" spans="1:22" ht="14.25" thickBot="1" x14ac:dyDescent="0.2">
      <c r="A347" s="7" t="s">
        <v>4</v>
      </c>
      <c r="B347" s="3" t="s">
        <v>5</v>
      </c>
      <c r="C347" s="4" t="s">
        <v>6</v>
      </c>
      <c r="D347" s="5" t="s">
        <v>7</v>
      </c>
      <c r="E347" s="7" t="s">
        <v>8</v>
      </c>
      <c r="F347" s="3" t="s">
        <v>5</v>
      </c>
      <c r="G347" s="4" t="s">
        <v>6</v>
      </c>
      <c r="H347" s="5" t="s">
        <v>7</v>
      </c>
      <c r="I347" s="7" t="s">
        <v>8</v>
      </c>
      <c r="J347" s="173"/>
      <c r="L347" s="7" t="s">
        <v>4</v>
      </c>
      <c r="M347" s="3" t="s">
        <v>5</v>
      </c>
      <c r="N347" s="4" t="s">
        <v>6</v>
      </c>
      <c r="O347" s="5" t="s">
        <v>7</v>
      </c>
      <c r="P347" s="7" t="s">
        <v>8</v>
      </c>
      <c r="Q347" s="3" t="s">
        <v>5</v>
      </c>
      <c r="R347" s="4" t="s">
        <v>6</v>
      </c>
      <c r="S347" s="5" t="s">
        <v>7</v>
      </c>
      <c r="T347" s="7" t="s">
        <v>8</v>
      </c>
      <c r="U347" s="173"/>
    </row>
    <row r="348" spans="1:22" ht="14.25" thickBot="1" x14ac:dyDescent="0.2">
      <c r="A348" s="31" t="s">
        <v>14</v>
      </c>
      <c r="B348" s="32">
        <f>B342</f>
        <v>74</v>
      </c>
      <c r="C348" s="33">
        <f>C342</f>
        <v>87</v>
      </c>
      <c r="D348" s="34">
        <f>D342</f>
        <v>71</v>
      </c>
      <c r="E348" s="41">
        <f>SUM(B348:D348)</f>
        <v>232</v>
      </c>
      <c r="F348" s="32">
        <f>F342</f>
        <v>95</v>
      </c>
      <c r="G348" s="33">
        <f>G342</f>
        <v>98</v>
      </c>
      <c r="H348" s="34">
        <f>H342</f>
        <v>90</v>
      </c>
      <c r="I348" s="41">
        <f>SUM(F348:H348)</f>
        <v>283</v>
      </c>
      <c r="J348" s="41">
        <f>E348+I348</f>
        <v>515</v>
      </c>
      <c r="L348" s="31" t="s">
        <v>14</v>
      </c>
      <c r="M348" s="32">
        <f>M342</f>
        <v>280</v>
      </c>
      <c r="N348" s="33">
        <f>N342</f>
        <v>130</v>
      </c>
      <c r="O348" s="34">
        <f>O342</f>
        <v>140</v>
      </c>
      <c r="P348" s="41">
        <f>SUM(M348:O348)</f>
        <v>550</v>
      </c>
      <c r="Q348" s="32">
        <f>Q342</f>
        <v>280</v>
      </c>
      <c r="R348" s="33">
        <f>R342</f>
        <v>310</v>
      </c>
      <c r="S348" s="34">
        <f>S342</f>
        <v>233</v>
      </c>
      <c r="T348" s="41">
        <f>SUM(Q348:S348)</f>
        <v>823</v>
      </c>
      <c r="U348" s="41">
        <f>P348+T348</f>
        <v>1373</v>
      </c>
    </row>
    <row r="349" spans="1:22" x14ac:dyDescent="0.15">
      <c r="A349" s="28" t="s">
        <v>214</v>
      </c>
      <c r="B349" s="17">
        <v>50</v>
      </c>
      <c r="C349" s="18"/>
      <c r="D349" s="19"/>
      <c r="E349" s="20">
        <f t="shared" ref="E349:E356" si="147">SUM(B349:D349)</f>
        <v>50</v>
      </c>
      <c r="F349" s="21"/>
      <c r="G349" s="18"/>
      <c r="H349" s="19"/>
      <c r="I349" s="20">
        <f t="shared" ref="I349:I356" si="148">SUM(F349:H349)</f>
        <v>0</v>
      </c>
      <c r="J349" s="20">
        <f t="shared" ref="J349:J356" si="149">E349+I349</f>
        <v>50</v>
      </c>
      <c r="K349" s="65">
        <v>42056</v>
      </c>
      <c r="L349" s="28" t="s">
        <v>9</v>
      </c>
      <c r="M349" s="17"/>
      <c r="N349" s="18"/>
      <c r="O349" s="19"/>
      <c r="P349" s="20">
        <f t="shared" ref="P349:P356" si="150">SUM(M349:O349)</f>
        <v>0</v>
      </c>
      <c r="Q349" s="21"/>
      <c r="R349" s="18"/>
      <c r="S349" s="19"/>
      <c r="T349" s="20">
        <f t="shared" ref="T349:T356" si="151">SUM(Q349:S349)</f>
        <v>0</v>
      </c>
      <c r="U349" s="20">
        <f t="shared" ref="U349:U356" si="152">P349+T349</f>
        <v>0</v>
      </c>
    </row>
    <row r="350" spans="1:22" x14ac:dyDescent="0.15">
      <c r="A350" s="28" t="s">
        <v>10</v>
      </c>
      <c r="B350" s="8"/>
      <c r="C350" s="9"/>
      <c r="D350" s="10">
        <v>100</v>
      </c>
      <c r="E350" s="11">
        <f t="shared" si="147"/>
        <v>100</v>
      </c>
      <c r="F350" s="12"/>
      <c r="G350" s="9"/>
      <c r="H350" s="10"/>
      <c r="I350" s="11">
        <f t="shared" si="148"/>
        <v>0</v>
      </c>
      <c r="J350" s="11">
        <f t="shared" si="149"/>
        <v>100</v>
      </c>
      <c r="K350" s="65">
        <v>42083</v>
      </c>
      <c r="L350" s="28" t="s">
        <v>10</v>
      </c>
      <c r="M350" s="8">
        <v>150</v>
      </c>
      <c r="N350" s="9">
        <v>400</v>
      </c>
      <c r="O350" s="10"/>
      <c r="P350" s="11">
        <f t="shared" si="150"/>
        <v>550</v>
      </c>
      <c r="Q350" s="12">
        <v>200</v>
      </c>
      <c r="R350" s="9">
        <v>250</v>
      </c>
      <c r="S350" s="10">
        <v>200</v>
      </c>
      <c r="T350" s="11">
        <f t="shared" si="151"/>
        <v>650</v>
      </c>
      <c r="U350" s="11">
        <f t="shared" si="152"/>
        <v>1200</v>
      </c>
      <c r="V350" s="65">
        <v>42064</v>
      </c>
    </row>
    <row r="351" spans="1:22" x14ac:dyDescent="0.15">
      <c r="A351" s="28" t="s">
        <v>59</v>
      </c>
      <c r="B351" s="8"/>
      <c r="C351" s="9">
        <v>2</v>
      </c>
      <c r="D351" s="10"/>
      <c r="E351" s="11">
        <f t="shared" si="147"/>
        <v>2</v>
      </c>
      <c r="F351" s="12">
        <v>1</v>
      </c>
      <c r="G351" s="9">
        <v>1</v>
      </c>
      <c r="H351" s="10">
        <v>2</v>
      </c>
      <c r="I351" s="11">
        <f t="shared" si="148"/>
        <v>4</v>
      </c>
      <c r="J351" s="11">
        <f t="shared" si="149"/>
        <v>6</v>
      </c>
      <c r="K351" s="71">
        <v>42083</v>
      </c>
      <c r="L351" s="28" t="s">
        <v>11</v>
      </c>
      <c r="M351" s="8"/>
      <c r="N351" s="9"/>
      <c r="O351" s="10">
        <v>100</v>
      </c>
      <c r="P351" s="11">
        <f t="shared" si="150"/>
        <v>100</v>
      </c>
      <c r="Q351" s="12"/>
      <c r="R351" s="9"/>
      <c r="S351" s="10"/>
      <c r="T351" s="11">
        <f t="shared" si="151"/>
        <v>0</v>
      </c>
      <c r="U351" s="11">
        <f t="shared" si="152"/>
        <v>100</v>
      </c>
      <c r="V351" s="65">
        <v>42079</v>
      </c>
    </row>
    <row r="352" spans="1:22" x14ac:dyDescent="0.15">
      <c r="A352" s="28" t="s">
        <v>104</v>
      </c>
      <c r="B352" s="8">
        <v>1</v>
      </c>
      <c r="C352" s="9">
        <v>2</v>
      </c>
      <c r="D352" s="10">
        <v>3</v>
      </c>
      <c r="E352" s="11">
        <f t="shared" si="147"/>
        <v>6</v>
      </c>
      <c r="F352" s="12">
        <v>9</v>
      </c>
      <c r="G352" s="9"/>
      <c r="H352" s="10"/>
      <c r="I352" s="11">
        <f t="shared" si="148"/>
        <v>9</v>
      </c>
      <c r="J352" s="11">
        <f t="shared" si="149"/>
        <v>15</v>
      </c>
      <c r="K352" s="71">
        <v>42087</v>
      </c>
      <c r="L352" s="28" t="s">
        <v>12</v>
      </c>
      <c r="M352" s="8"/>
      <c r="N352" s="9"/>
      <c r="O352" s="10"/>
      <c r="P352" s="11">
        <f t="shared" si="150"/>
        <v>0</v>
      </c>
      <c r="Q352" s="12"/>
      <c r="R352" s="9"/>
      <c r="S352" s="10"/>
      <c r="T352" s="11">
        <f t="shared" si="151"/>
        <v>0</v>
      </c>
      <c r="U352" s="11">
        <f t="shared" si="152"/>
        <v>0</v>
      </c>
      <c r="V352" s="65"/>
    </row>
    <row r="353" spans="1:23" x14ac:dyDescent="0.15">
      <c r="A353" s="28" t="s">
        <v>15</v>
      </c>
      <c r="B353" s="8">
        <v>2</v>
      </c>
      <c r="C353" s="9">
        <v>1</v>
      </c>
      <c r="D353" s="10"/>
      <c r="E353" s="11">
        <f t="shared" si="147"/>
        <v>3</v>
      </c>
      <c r="F353" s="12">
        <v>1</v>
      </c>
      <c r="G353" s="9">
        <v>1</v>
      </c>
      <c r="H353" s="10"/>
      <c r="I353" s="11">
        <f t="shared" si="148"/>
        <v>2</v>
      </c>
      <c r="J353" s="11">
        <f t="shared" si="149"/>
        <v>5</v>
      </c>
      <c r="K353" s="71">
        <v>42090</v>
      </c>
      <c r="L353" s="28" t="s">
        <v>15</v>
      </c>
      <c r="M353" s="8"/>
      <c r="N353" s="9"/>
      <c r="O353" s="10"/>
      <c r="P353" s="11">
        <f t="shared" si="150"/>
        <v>0</v>
      </c>
      <c r="Q353" s="12"/>
      <c r="R353" s="9"/>
      <c r="S353" s="10"/>
      <c r="T353" s="11">
        <f t="shared" si="151"/>
        <v>0</v>
      </c>
      <c r="U353" s="11">
        <f t="shared" si="152"/>
        <v>0</v>
      </c>
      <c r="V353" s="65"/>
    </row>
    <row r="354" spans="1:23" x14ac:dyDescent="0.15">
      <c r="A354" s="28" t="s">
        <v>210</v>
      </c>
      <c r="B354" s="8">
        <v>2</v>
      </c>
      <c r="C354" s="9"/>
      <c r="D354" s="10"/>
      <c r="E354" s="11">
        <f t="shared" si="147"/>
        <v>2</v>
      </c>
      <c r="F354" s="12"/>
      <c r="G354" s="9"/>
      <c r="H354" s="10"/>
      <c r="I354" s="11">
        <f t="shared" si="148"/>
        <v>0</v>
      </c>
      <c r="J354" s="11">
        <f t="shared" si="149"/>
        <v>2</v>
      </c>
      <c r="K354" s="71">
        <v>42110</v>
      </c>
      <c r="L354" s="28" t="s">
        <v>16</v>
      </c>
      <c r="M354" s="8"/>
      <c r="N354" s="9"/>
      <c r="O354" s="10"/>
      <c r="P354" s="11">
        <f t="shared" si="150"/>
        <v>0</v>
      </c>
      <c r="Q354" s="12"/>
      <c r="R354" s="9"/>
      <c r="S354" s="10"/>
      <c r="T354" s="11">
        <f t="shared" si="151"/>
        <v>0</v>
      </c>
      <c r="U354" s="11">
        <f t="shared" si="152"/>
        <v>0</v>
      </c>
    </row>
    <row r="355" spans="1:23" x14ac:dyDescent="0.15">
      <c r="A355" s="28" t="s">
        <v>232</v>
      </c>
      <c r="B355" s="13">
        <v>1</v>
      </c>
      <c r="C355" s="14"/>
      <c r="D355" s="15">
        <v>4</v>
      </c>
      <c r="E355" s="11">
        <f t="shared" si="147"/>
        <v>5</v>
      </c>
      <c r="F355" s="16">
        <v>1</v>
      </c>
      <c r="G355" s="14"/>
      <c r="H355" s="15"/>
      <c r="I355" s="11">
        <f t="shared" si="148"/>
        <v>1</v>
      </c>
      <c r="J355" s="11">
        <f t="shared" si="149"/>
        <v>6</v>
      </c>
      <c r="K355" s="71">
        <v>42112</v>
      </c>
      <c r="L355" s="28" t="s">
        <v>17</v>
      </c>
      <c r="M355" s="13"/>
      <c r="N355" s="14"/>
      <c r="O355" s="15"/>
      <c r="P355" s="11">
        <f t="shared" si="150"/>
        <v>0</v>
      </c>
      <c r="Q355" s="16"/>
      <c r="R355" s="14"/>
      <c r="S355" s="15"/>
      <c r="T355" s="11">
        <f t="shared" si="151"/>
        <v>0</v>
      </c>
      <c r="U355" s="11">
        <f t="shared" si="152"/>
        <v>0</v>
      </c>
    </row>
    <row r="356" spans="1:23" ht="14.25" thickBot="1" x14ac:dyDescent="0.2">
      <c r="A356" s="28" t="s">
        <v>59</v>
      </c>
      <c r="B356" s="36"/>
      <c r="C356" s="37">
        <v>1</v>
      </c>
      <c r="D356" s="40"/>
      <c r="E356" s="22">
        <f t="shared" si="147"/>
        <v>1</v>
      </c>
      <c r="F356" s="38">
        <v>5</v>
      </c>
      <c r="G356" s="38">
        <v>5</v>
      </c>
      <c r="H356" s="43"/>
      <c r="I356" s="22">
        <f t="shared" si="148"/>
        <v>10</v>
      </c>
      <c r="J356" s="22">
        <f t="shared" si="149"/>
        <v>11</v>
      </c>
      <c r="K356" s="71">
        <v>42112</v>
      </c>
      <c r="L356" s="28" t="s">
        <v>18</v>
      </c>
      <c r="M356" s="36"/>
      <c r="N356" s="37"/>
      <c r="O356" s="40">
        <v>150</v>
      </c>
      <c r="P356" s="22">
        <f t="shared" si="150"/>
        <v>150</v>
      </c>
      <c r="Q356" s="38"/>
      <c r="R356" s="38"/>
      <c r="S356" s="43"/>
      <c r="T356" s="22">
        <f t="shared" si="151"/>
        <v>0</v>
      </c>
      <c r="U356" s="22">
        <f t="shared" si="152"/>
        <v>150</v>
      </c>
      <c r="V356" s="65">
        <v>42125</v>
      </c>
      <c r="W356" s="64"/>
    </row>
    <row r="357" spans="1:23" ht="14.25" thickBot="1" x14ac:dyDescent="0.2">
      <c r="A357" s="39" t="s">
        <v>20</v>
      </c>
      <c r="B357" s="32">
        <f t="shared" ref="B357:J357" si="153">SUM(B348:B356)</f>
        <v>130</v>
      </c>
      <c r="C357" s="33">
        <f t="shared" si="153"/>
        <v>93</v>
      </c>
      <c r="D357" s="34">
        <f t="shared" si="153"/>
        <v>178</v>
      </c>
      <c r="E357" s="42">
        <f t="shared" si="153"/>
        <v>401</v>
      </c>
      <c r="F357" s="32">
        <f t="shared" si="153"/>
        <v>112</v>
      </c>
      <c r="G357" s="33">
        <f t="shared" si="153"/>
        <v>105</v>
      </c>
      <c r="H357" s="34">
        <f t="shared" si="153"/>
        <v>92</v>
      </c>
      <c r="I357" s="42">
        <f t="shared" si="153"/>
        <v>309</v>
      </c>
      <c r="J357" s="42">
        <f t="shared" si="153"/>
        <v>710</v>
      </c>
      <c r="L357" s="39" t="s">
        <v>20</v>
      </c>
      <c r="M357" s="32">
        <f t="shared" ref="M357:U357" si="154">SUM(M348:M356)</f>
        <v>430</v>
      </c>
      <c r="N357" s="33">
        <f t="shared" si="154"/>
        <v>530</v>
      </c>
      <c r="O357" s="34">
        <f t="shared" si="154"/>
        <v>390</v>
      </c>
      <c r="P357" s="42">
        <f t="shared" si="154"/>
        <v>1350</v>
      </c>
      <c r="Q357" s="32">
        <f t="shared" si="154"/>
        <v>480</v>
      </c>
      <c r="R357" s="33">
        <f t="shared" si="154"/>
        <v>560</v>
      </c>
      <c r="S357" s="34">
        <f t="shared" si="154"/>
        <v>433</v>
      </c>
      <c r="T357" s="42">
        <f t="shared" si="154"/>
        <v>1473</v>
      </c>
      <c r="U357" s="42">
        <f t="shared" si="154"/>
        <v>2823</v>
      </c>
    </row>
    <row r="358" spans="1:23" x14ac:dyDescent="0.15">
      <c r="A358" s="26" t="s">
        <v>211</v>
      </c>
      <c r="B358" s="13"/>
      <c r="C358" s="14"/>
      <c r="D358" s="15"/>
      <c r="E358" s="11">
        <f>SUM(B358:D358)</f>
        <v>0</v>
      </c>
      <c r="F358" s="16"/>
      <c r="G358" s="14"/>
      <c r="H358" s="15">
        <v>1</v>
      </c>
      <c r="I358" s="11">
        <f>SUM(F358:H358)</f>
        <v>1</v>
      </c>
      <c r="J358" s="11">
        <f>E358+I358</f>
        <v>1</v>
      </c>
      <c r="K358" s="71">
        <v>42051</v>
      </c>
      <c r="L358" s="6" t="s">
        <v>217</v>
      </c>
      <c r="M358" s="13"/>
      <c r="N358" s="14"/>
      <c r="O358" s="15"/>
      <c r="P358" s="11">
        <f>SUM(M358:O358)</f>
        <v>0</v>
      </c>
      <c r="Q358" s="16"/>
      <c r="R358" s="14">
        <v>50</v>
      </c>
      <c r="S358" s="15"/>
      <c r="T358" s="11">
        <f>SUM(Q358:S358)</f>
        <v>50</v>
      </c>
      <c r="U358" s="11">
        <f>P358+T358</f>
        <v>50</v>
      </c>
      <c r="V358" s="65">
        <v>42066</v>
      </c>
    </row>
    <row r="359" spans="1:23" x14ac:dyDescent="0.15">
      <c r="A359" s="29" t="s">
        <v>212</v>
      </c>
      <c r="B359" s="13">
        <v>3</v>
      </c>
      <c r="C359" s="14"/>
      <c r="D359" s="15"/>
      <c r="E359" s="11">
        <f t="shared" ref="E359:E383" si="155">SUM(B359:D359)</f>
        <v>3</v>
      </c>
      <c r="F359" s="16">
        <v>2</v>
      </c>
      <c r="G359" s="14"/>
      <c r="H359" s="15">
        <v>1</v>
      </c>
      <c r="I359" s="11">
        <f t="shared" ref="I359:I383" si="156">SUM(F359:H359)</f>
        <v>3</v>
      </c>
      <c r="J359" s="11">
        <f t="shared" ref="J359:J383" si="157">E359+I359</f>
        <v>6</v>
      </c>
      <c r="K359" s="71">
        <v>42054</v>
      </c>
      <c r="L359" s="6" t="s">
        <v>218</v>
      </c>
      <c r="M359" s="8"/>
      <c r="N359" s="9"/>
      <c r="O359" s="10">
        <v>30</v>
      </c>
      <c r="P359" s="11">
        <f>SUM(M359:O359)</f>
        <v>30</v>
      </c>
      <c r="Q359" s="12"/>
      <c r="R359" s="9"/>
      <c r="S359" s="10"/>
      <c r="T359" s="11">
        <f>SUM(Q359:S359)</f>
        <v>0</v>
      </c>
      <c r="U359" s="11">
        <f>P359+T359</f>
        <v>30</v>
      </c>
      <c r="V359" s="65">
        <v>42083</v>
      </c>
    </row>
    <row r="360" spans="1:23" x14ac:dyDescent="0.15">
      <c r="A360" s="27" t="s">
        <v>220</v>
      </c>
      <c r="B360" s="8"/>
      <c r="C360" s="9"/>
      <c r="D360" s="10">
        <v>3</v>
      </c>
      <c r="E360" s="11">
        <f t="shared" si="155"/>
        <v>3</v>
      </c>
      <c r="F360" s="12"/>
      <c r="G360" s="9"/>
      <c r="H360" s="10"/>
      <c r="I360" s="11">
        <f t="shared" si="156"/>
        <v>0</v>
      </c>
      <c r="J360" s="11">
        <f t="shared" si="157"/>
        <v>3</v>
      </c>
      <c r="K360" s="65">
        <v>42066</v>
      </c>
      <c r="L360" s="6" t="s">
        <v>23</v>
      </c>
      <c r="M360" s="8"/>
      <c r="N360" s="9"/>
      <c r="O360" s="10">
        <v>100</v>
      </c>
      <c r="P360" s="11">
        <f t="shared" ref="P360:P383" si="158">SUM(M360:O360)</f>
        <v>100</v>
      </c>
      <c r="Q360" s="12"/>
      <c r="R360" s="9"/>
      <c r="S360" s="10"/>
      <c r="T360" s="11">
        <f t="shared" ref="T360:T383" si="159">SUM(Q360:S360)</f>
        <v>0</v>
      </c>
      <c r="U360" s="11">
        <f t="shared" ref="U360:U383" si="160">P360+T360</f>
        <v>100</v>
      </c>
      <c r="V360" s="65">
        <v>42083</v>
      </c>
    </row>
    <row r="361" spans="1:23" x14ac:dyDescent="0.15">
      <c r="A361" s="29" t="s">
        <v>219</v>
      </c>
      <c r="B361" s="8"/>
      <c r="C361" s="9"/>
      <c r="D361" s="10"/>
      <c r="E361" s="11">
        <f t="shared" si="155"/>
        <v>0</v>
      </c>
      <c r="F361" s="12"/>
      <c r="G361" s="9">
        <v>1</v>
      </c>
      <c r="H361" s="10"/>
      <c r="I361" s="11">
        <f t="shared" si="156"/>
        <v>1</v>
      </c>
      <c r="J361" s="11">
        <f t="shared" si="157"/>
        <v>1</v>
      </c>
      <c r="K361" s="71">
        <v>42067</v>
      </c>
      <c r="L361" s="29"/>
      <c r="M361" s="8"/>
      <c r="N361" s="9"/>
      <c r="O361" s="10"/>
      <c r="P361" s="11">
        <f t="shared" si="158"/>
        <v>0</v>
      </c>
      <c r="Q361" s="12"/>
      <c r="R361" s="9"/>
      <c r="S361" s="10"/>
      <c r="T361" s="11">
        <f t="shared" si="159"/>
        <v>0</v>
      </c>
      <c r="U361" s="11">
        <f t="shared" si="160"/>
        <v>0</v>
      </c>
    </row>
    <row r="362" spans="1:23" x14ac:dyDescent="0.15">
      <c r="A362" s="27" t="s">
        <v>221</v>
      </c>
      <c r="B362" s="8"/>
      <c r="C362" s="9"/>
      <c r="D362" s="10"/>
      <c r="E362" s="11">
        <f t="shared" si="155"/>
        <v>0</v>
      </c>
      <c r="F362" s="12">
        <v>2</v>
      </c>
      <c r="G362" s="9"/>
      <c r="H362" s="10">
        <v>2</v>
      </c>
      <c r="I362" s="11">
        <f t="shared" si="156"/>
        <v>4</v>
      </c>
      <c r="J362" s="11">
        <f t="shared" si="157"/>
        <v>4</v>
      </c>
      <c r="K362" s="71">
        <v>42072</v>
      </c>
      <c r="L362" s="29"/>
      <c r="M362" s="8"/>
      <c r="N362" s="9"/>
      <c r="O362" s="10"/>
      <c r="P362" s="11">
        <f t="shared" si="158"/>
        <v>0</v>
      </c>
      <c r="Q362" s="12"/>
      <c r="R362" s="9"/>
      <c r="S362" s="10"/>
      <c r="T362" s="11">
        <f t="shared" si="159"/>
        <v>0</v>
      </c>
      <c r="U362" s="11">
        <f t="shared" si="160"/>
        <v>0</v>
      </c>
    </row>
    <row r="363" spans="1:23" x14ac:dyDescent="0.15">
      <c r="A363" s="27" t="s">
        <v>222</v>
      </c>
      <c r="B363" s="8">
        <v>1</v>
      </c>
      <c r="C363" s="9"/>
      <c r="D363" s="10"/>
      <c r="E363" s="11">
        <f t="shared" si="155"/>
        <v>1</v>
      </c>
      <c r="F363" s="12"/>
      <c r="G363" s="9"/>
      <c r="H363" s="10"/>
      <c r="I363" s="11">
        <f t="shared" si="156"/>
        <v>0</v>
      </c>
      <c r="J363" s="11">
        <f t="shared" si="157"/>
        <v>1</v>
      </c>
      <c r="K363" s="71">
        <v>42079</v>
      </c>
      <c r="L363" s="27"/>
      <c r="M363" s="8"/>
      <c r="N363" s="9"/>
      <c r="O363" s="10"/>
      <c r="P363" s="11">
        <f t="shared" si="158"/>
        <v>0</v>
      </c>
      <c r="Q363" s="12"/>
      <c r="R363" s="9"/>
      <c r="S363" s="10"/>
      <c r="T363" s="11">
        <f t="shared" si="159"/>
        <v>0</v>
      </c>
      <c r="U363" s="11">
        <f t="shared" si="160"/>
        <v>0</v>
      </c>
    </row>
    <row r="364" spans="1:23" x14ac:dyDescent="0.15">
      <c r="A364" s="27" t="s">
        <v>124</v>
      </c>
      <c r="B364" s="8">
        <v>2</v>
      </c>
      <c r="C364" s="9"/>
      <c r="D364" s="10"/>
      <c r="E364" s="11">
        <f t="shared" si="155"/>
        <v>2</v>
      </c>
      <c r="F364" s="12"/>
      <c r="G364" s="9"/>
      <c r="H364" s="10"/>
      <c r="I364" s="11">
        <f t="shared" si="156"/>
        <v>0</v>
      </c>
      <c r="J364" s="11">
        <f t="shared" si="157"/>
        <v>2</v>
      </c>
      <c r="K364" s="65">
        <v>42087</v>
      </c>
      <c r="L364" s="29"/>
      <c r="M364" s="8"/>
      <c r="N364" s="9"/>
      <c r="O364" s="10"/>
      <c r="P364" s="11">
        <f t="shared" si="158"/>
        <v>0</v>
      </c>
      <c r="Q364" s="12"/>
      <c r="R364" s="9"/>
      <c r="S364" s="10"/>
      <c r="T364" s="11">
        <f t="shared" si="159"/>
        <v>0</v>
      </c>
      <c r="U364" s="11">
        <f t="shared" si="160"/>
        <v>0</v>
      </c>
    </row>
    <row r="365" spans="1:23" x14ac:dyDescent="0.15">
      <c r="A365" s="29" t="s">
        <v>223</v>
      </c>
      <c r="B365" s="8"/>
      <c r="C365" s="9"/>
      <c r="D365" s="10">
        <v>1</v>
      </c>
      <c r="E365" s="11">
        <f t="shared" si="155"/>
        <v>1</v>
      </c>
      <c r="F365" s="12">
        <v>1</v>
      </c>
      <c r="G365" s="9"/>
      <c r="H365" s="10">
        <v>1</v>
      </c>
      <c r="I365" s="11">
        <f t="shared" si="156"/>
        <v>2</v>
      </c>
      <c r="J365" s="11">
        <f t="shared" si="157"/>
        <v>3</v>
      </c>
      <c r="K365" s="71">
        <v>42083</v>
      </c>
      <c r="L365" s="29"/>
      <c r="M365" s="8"/>
      <c r="N365" s="9"/>
      <c r="O365" s="10"/>
      <c r="P365" s="11">
        <f t="shared" si="158"/>
        <v>0</v>
      </c>
      <c r="Q365" s="12"/>
      <c r="R365" s="9"/>
      <c r="S365" s="10"/>
      <c r="T365" s="11">
        <f t="shared" si="159"/>
        <v>0</v>
      </c>
      <c r="U365" s="11">
        <f t="shared" si="160"/>
        <v>0</v>
      </c>
    </row>
    <row r="366" spans="1:23" x14ac:dyDescent="0.15">
      <c r="A366" s="27" t="s">
        <v>124</v>
      </c>
      <c r="B366" s="13"/>
      <c r="C366" s="14"/>
      <c r="D366" s="15"/>
      <c r="E366" s="11">
        <f t="shared" si="155"/>
        <v>0</v>
      </c>
      <c r="F366" s="16">
        <v>4</v>
      </c>
      <c r="G366" s="14">
        <v>1</v>
      </c>
      <c r="H366" s="15"/>
      <c r="I366" s="11">
        <f t="shared" si="156"/>
        <v>5</v>
      </c>
      <c r="J366" s="11">
        <f t="shared" si="157"/>
        <v>5</v>
      </c>
      <c r="K366" s="65">
        <v>42090</v>
      </c>
      <c r="L366" s="27"/>
      <c r="M366" s="8"/>
      <c r="N366" s="9"/>
      <c r="O366" s="10"/>
      <c r="P366" s="11">
        <f t="shared" si="158"/>
        <v>0</v>
      </c>
      <c r="Q366" s="12"/>
      <c r="R366" s="9"/>
      <c r="S366" s="10"/>
      <c r="T366" s="11">
        <f t="shared" si="159"/>
        <v>0</v>
      </c>
      <c r="U366" s="11">
        <f t="shared" si="160"/>
        <v>0</v>
      </c>
    </row>
    <row r="367" spans="1:23" x14ac:dyDescent="0.15">
      <c r="A367" s="29" t="s">
        <v>224</v>
      </c>
      <c r="B367" s="13"/>
      <c r="C367" s="14">
        <v>25</v>
      </c>
      <c r="D367" s="15">
        <v>12</v>
      </c>
      <c r="E367" s="11">
        <f t="shared" si="155"/>
        <v>37</v>
      </c>
      <c r="F367" s="16"/>
      <c r="G367" s="14"/>
      <c r="H367" s="15">
        <v>5</v>
      </c>
      <c r="I367" s="11">
        <f t="shared" si="156"/>
        <v>5</v>
      </c>
      <c r="J367" s="11">
        <f t="shared" si="157"/>
        <v>42</v>
      </c>
      <c r="K367" s="65">
        <v>42089</v>
      </c>
      <c r="L367" s="29"/>
      <c r="M367" s="13"/>
      <c r="N367" s="14"/>
      <c r="O367" s="15"/>
      <c r="P367" s="11">
        <f t="shared" si="158"/>
        <v>0</v>
      </c>
      <c r="Q367" s="16"/>
      <c r="R367" s="14"/>
      <c r="S367" s="15"/>
      <c r="T367" s="11">
        <f t="shared" si="159"/>
        <v>0</v>
      </c>
      <c r="U367" s="11">
        <f t="shared" si="160"/>
        <v>0</v>
      </c>
    </row>
    <row r="368" spans="1:23" x14ac:dyDescent="0.15">
      <c r="A368" s="29" t="s">
        <v>225</v>
      </c>
      <c r="B368" s="8">
        <v>1</v>
      </c>
      <c r="C368" s="9">
        <v>2</v>
      </c>
      <c r="D368" s="10">
        <v>2</v>
      </c>
      <c r="E368" s="11">
        <f t="shared" si="155"/>
        <v>5</v>
      </c>
      <c r="F368" s="12">
        <v>4</v>
      </c>
      <c r="G368" s="9"/>
      <c r="H368" s="10"/>
      <c r="I368" s="11">
        <f t="shared" si="156"/>
        <v>4</v>
      </c>
      <c r="J368" s="11">
        <f t="shared" si="157"/>
        <v>9</v>
      </c>
      <c r="K368" s="71">
        <v>42091</v>
      </c>
      <c r="L368" s="29"/>
      <c r="M368" s="8"/>
      <c r="N368" s="9"/>
      <c r="O368" s="10"/>
      <c r="P368" s="11">
        <f t="shared" si="158"/>
        <v>0</v>
      </c>
      <c r="Q368" s="12"/>
      <c r="R368" s="9"/>
      <c r="S368" s="10"/>
      <c r="T368" s="11">
        <f t="shared" si="159"/>
        <v>0</v>
      </c>
      <c r="U368" s="11">
        <f t="shared" si="160"/>
        <v>0</v>
      </c>
    </row>
    <row r="369" spans="1:22" x14ac:dyDescent="0.15">
      <c r="A369" s="29" t="s">
        <v>226</v>
      </c>
      <c r="B369" s="8">
        <v>1</v>
      </c>
      <c r="C369" s="9"/>
      <c r="D369" s="10"/>
      <c r="E369" s="11">
        <f t="shared" si="155"/>
        <v>1</v>
      </c>
      <c r="F369" s="12">
        <v>1</v>
      </c>
      <c r="G369" s="9"/>
      <c r="H369" s="10"/>
      <c r="I369" s="11">
        <f t="shared" si="156"/>
        <v>1</v>
      </c>
      <c r="J369" s="11">
        <f t="shared" si="157"/>
        <v>2</v>
      </c>
      <c r="K369" s="71">
        <v>42101</v>
      </c>
      <c r="L369" s="29"/>
      <c r="M369" s="8"/>
      <c r="N369" s="9"/>
      <c r="O369" s="10"/>
      <c r="P369" s="11">
        <f t="shared" si="158"/>
        <v>0</v>
      </c>
      <c r="Q369" s="12"/>
      <c r="R369" s="9"/>
      <c r="S369" s="10"/>
      <c r="T369" s="11">
        <f t="shared" si="159"/>
        <v>0</v>
      </c>
      <c r="U369" s="11">
        <f t="shared" si="160"/>
        <v>0</v>
      </c>
    </row>
    <row r="370" spans="1:22" x14ac:dyDescent="0.15">
      <c r="A370" s="27" t="s">
        <v>227</v>
      </c>
      <c r="B370" s="8">
        <v>2</v>
      </c>
      <c r="C370" s="9"/>
      <c r="D370" s="10"/>
      <c r="E370" s="11">
        <f t="shared" si="155"/>
        <v>2</v>
      </c>
      <c r="F370" s="12"/>
      <c r="G370" s="9"/>
      <c r="H370" s="10"/>
      <c r="I370" s="11">
        <f t="shared" si="156"/>
        <v>0</v>
      </c>
      <c r="J370" s="11">
        <f t="shared" si="157"/>
        <v>2</v>
      </c>
      <c r="K370" s="65">
        <v>42107</v>
      </c>
      <c r="L370" s="27"/>
      <c r="M370" s="8"/>
      <c r="N370" s="9"/>
      <c r="O370" s="10"/>
      <c r="P370" s="11">
        <f t="shared" si="158"/>
        <v>0</v>
      </c>
      <c r="Q370" s="12"/>
      <c r="R370" s="9"/>
      <c r="S370" s="10"/>
      <c r="T370" s="11">
        <f t="shared" si="159"/>
        <v>0</v>
      </c>
      <c r="U370" s="11">
        <f t="shared" si="160"/>
        <v>0</v>
      </c>
    </row>
    <row r="371" spans="1:22" x14ac:dyDescent="0.15">
      <c r="A371" s="27" t="s">
        <v>124</v>
      </c>
      <c r="B371" s="8"/>
      <c r="C371" s="9"/>
      <c r="D371" s="10"/>
      <c r="E371" s="11">
        <f t="shared" si="155"/>
        <v>0</v>
      </c>
      <c r="F371" s="12">
        <v>3</v>
      </c>
      <c r="G371" s="9"/>
      <c r="H371" s="10"/>
      <c r="I371" s="11">
        <f t="shared" si="156"/>
        <v>3</v>
      </c>
      <c r="J371" s="11">
        <f t="shared" si="157"/>
        <v>3</v>
      </c>
      <c r="K371" s="65">
        <v>42112</v>
      </c>
      <c r="L371" s="29"/>
      <c r="M371" s="8"/>
      <c r="N371" s="9"/>
      <c r="O371" s="10"/>
      <c r="P371" s="11">
        <f t="shared" si="158"/>
        <v>0</v>
      </c>
      <c r="Q371" s="12"/>
      <c r="R371" s="9"/>
      <c r="S371" s="10"/>
      <c r="T371" s="11">
        <f t="shared" si="159"/>
        <v>0</v>
      </c>
      <c r="U371" s="11">
        <f t="shared" si="160"/>
        <v>0</v>
      </c>
    </row>
    <row r="372" spans="1:22" x14ac:dyDescent="0.15">
      <c r="A372" s="27" t="s">
        <v>124</v>
      </c>
      <c r="B372" s="8">
        <v>1</v>
      </c>
      <c r="C372" s="9">
        <v>4</v>
      </c>
      <c r="D372" s="10"/>
      <c r="E372" s="11">
        <f t="shared" si="155"/>
        <v>5</v>
      </c>
      <c r="F372" s="12"/>
      <c r="G372" s="9">
        <v>1</v>
      </c>
      <c r="H372" s="10">
        <v>2</v>
      </c>
      <c r="I372" s="11">
        <f t="shared" si="156"/>
        <v>3</v>
      </c>
      <c r="J372" s="11">
        <f t="shared" si="157"/>
        <v>8</v>
      </c>
      <c r="K372" s="65">
        <v>42114</v>
      </c>
      <c r="L372" s="29"/>
      <c r="M372" s="8"/>
      <c r="N372" s="9"/>
      <c r="O372" s="10"/>
      <c r="P372" s="11">
        <f t="shared" si="158"/>
        <v>0</v>
      </c>
      <c r="Q372" s="12"/>
      <c r="R372" s="9"/>
      <c r="S372" s="10"/>
      <c r="T372" s="11">
        <f t="shared" si="159"/>
        <v>0</v>
      </c>
      <c r="U372" s="11">
        <f t="shared" si="160"/>
        <v>0</v>
      </c>
    </row>
    <row r="373" spans="1:22" x14ac:dyDescent="0.15">
      <c r="A373" s="27" t="s">
        <v>229</v>
      </c>
      <c r="B373" s="8">
        <v>30</v>
      </c>
      <c r="C373" s="9">
        <v>12</v>
      </c>
      <c r="D373" s="10"/>
      <c r="E373" s="11">
        <f t="shared" si="155"/>
        <v>42</v>
      </c>
      <c r="F373" s="12">
        <v>21</v>
      </c>
      <c r="G373" s="9">
        <v>60</v>
      </c>
      <c r="H373" s="10"/>
      <c r="I373" s="11">
        <f t="shared" si="156"/>
        <v>81</v>
      </c>
      <c r="J373" s="11">
        <f t="shared" si="157"/>
        <v>123</v>
      </c>
      <c r="K373" s="65">
        <v>42114</v>
      </c>
      <c r="L373" s="27"/>
      <c r="M373" s="8"/>
      <c r="N373" s="9"/>
      <c r="O373" s="10"/>
      <c r="P373" s="11">
        <f t="shared" si="158"/>
        <v>0</v>
      </c>
      <c r="Q373" s="12"/>
      <c r="R373" s="9"/>
      <c r="S373" s="10"/>
      <c r="T373" s="11">
        <f t="shared" si="159"/>
        <v>0</v>
      </c>
      <c r="U373" s="11">
        <f t="shared" si="160"/>
        <v>0</v>
      </c>
    </row>
    <row r="374" spans="1:22" x14ac:dyDescent="0.15">
      <c r="A374" s="29" t="s">
        <v>233</v>
      </c>
      <c r="B374" s="8"/>
      <c r="C374" s="9"/>
      <c r="D374" s="10"/>
      <c r="E374" s="11">
        <f t="shared" si="155"/>
        <v>0</v>
      </c>
      <c r="F374" s="12"/>
      <c r="G374" s="9">
        <v>3</v>
      </c>
      <c r="H374" s="10"/>
      <c r="I374" s="11">
        <f t="shared" si="156"/>
        <v>3</v>
      </c>
      <c r="J374" s="11">
        <f t="shared" si="157"/>
        <v>3</v>
      </c>
      <c r="K374" s="71">
        <v>42110</v>
      </c>
      <c r="L374" s="29"/>
      <c r="M374" s="8"/>
      <c r="N374" s="9"/>
      <c r="O374" s="10"/>
      <c r="P374" s="11">
        <f t="shared" si="158"/>
        <v>0</v>
      </c>
      <c r="Q374" s="12"/>
      <c r="R374" s="9"/>
      <c r="S374" s="10"/>
      <c r="T374" s="11">
        <f t="shared" si="159"/>
        <v>0</v>
      </c>
      <c r="U374" s="11">
        <f t="shared" si="160"/>
        <v>0</v>
      </c>
    </row>
    <row r="375" spans="1:22" x14ac:dyDescent="0.15">
      <c r="A375" s="27" t="s">
        <v>124</v>
      </c>
      <c r="B375" s="8"/>
      <c r="C375" s="9"/>
      <c r="D375" s="10"/>
      <c r="E375" s="11">
        <f t="shared" si="155"/>
        <v>0</v>
      </c>
      <c r="F375" s="12">
        <v>10</v>
      </c>
      <c r="G375" s="9"/>
      <c r="H375" s="10"/>
      <c r="I375" s="11">
        <f t="shared" si="156"/>
        <v>10</v>
      </c>
      <c r="J375" s="11">
        <f t="shared" si="157"/>
        <v>10</v>
      </c>
      <c r="K375" s="65">
        <v>42116</v>
      </c>
      <c r="L375" s="27"/>
      <c r="M375" s="8"/>
      <c r="N375" s="9"/>
      <c r="O375" s="10"/>
      <c r="P375" s="11">
        <f t="shared" si="158"/>
        <v>0</v>
      </c>
      <c r="Q375" s="12"/>
      <c r="R375" s="9"/>
      <c r="S375" s="10"/>
      <c r="T375" s="11">
        <f t="shared" si="159"/>
        <v>0</v>
      </c>
      <c r="U375" s="11">
        <f t="shared" si="160"/>
        <v>0</v>
      </c>
    </row>
    <row r="376" spans="1:22" x14ac:dyDescent="0.15">
      <c r="A376" s="26" t="s">
        <v>230</v>
      </c>
      <c r="B376" s="8"/>
      <c r="C376" s="9"/>
      <c r="D376" s="10">
        <v>1</v>
      </c>
      <c r="E376" s="11">
        <f t="shared" si="155"/>
        <v>1</v>
      </c>
      <c r="F376" s="12"/>
      <c r="G376" s="9"/>
      <c r="H376" s="10"/>
      <c r="I376" s="11">
        <f t="shared" si="156"/>
        <v>0</v>
      </c>
      <c r="J376" s="11">
        <f t="shared" si="157"/>
        <v>1</v>
      </c>
      <c r="K376" s="71">
        <v>42114</v>
      </c>
      <c r="L376" s="26"/>
      <c r="M376" s="8"/>
      <c r="N376" s="9"/>
      <c r="O376" s="10"/>
      <c r="P376" s="11">
        <f t="shared" si="158"/>
        <v>0</v>
      </c>
      <c r="Q376" s="12"/>
      <c r="R376" s="9"/>
      <c r="S376" s="10"/>
      <c r="T376" s="11">
        <f t="shared" si="159"/>
        <v>0</v>
      </c>
      <c r="U376" s="11">
        <f t="shared" si="160"/>
        <v>0</v>
      </c>
    </row>
    <row r="377" spans="1:22" x14ac:dyDescent="0.15">
      <c r="A377" s="26" t="s">
        <v>231</v>
      </c>
      <c r="B377" s="8"/>
      <c r="C377" s="9"/>
      <c r="D377" s="10"/>
      <c r="E377" s="11">
        <f t="shared" si="155"/>
        <v>0</v>
      </c>
      <c r="F377" s="12"/>
      <c r="G377" s="9"/>
      <c r="H377" s="10">
        <v>1</v>
      </c>
      <c r="I377" s="11">
        <f t="shared" si="156"/>
        <v>1</v>
      </c>
      <c r="J377" s="11">
        <f t="shared" si="157"/>
        <v>1</v>
      </c>
      <c r="K377" s="71">
        <v>42111</v>
      </c>
      <c r="L377" s="26"/>
      <c r="M377" s="8"/>
      <c r="N377" s="9"/>
      <c r="O377" s="10"/>
      <c r="P377" s="11">
        <f t="shared" si="158"/>
        <v>0</v>
      </c>
      <c r="Q377" s="12"/>
      <c r="R377" s="9"/>
      <c r="S377" s="10"/>
      <c r="T377" s="11">
        <f t="shared" si="159"/>
        <v>0</v>
      </c>
      <c r="U377" s="11">
        <f t="shared" si="160"/>
        <v>0</v>
      </c>
    </row>
    <row r="378" spans="1:22" x14ac:dyDescent="0.15">
      <c r="A378" s="27" t="s">
        <v>234</v>
      </c>
      <c r="B378" s="8">
        <v>1</v>
      </c>
      <c r="C378" s="9"/>
      <c r="D378" s="10"/>
      <c r="E378" s="11">
        <f t="shared" si="155"/>
        <v>1</v>
      </c>
      <c r="F378" s="12">
        <v>4</v>
      </c>
      <c r="G378" s="9"/>
      <c r="H378" s="10">
        <v>1</v>
      </c>
      <c r="I378" s="11">
        <f t="shared" si="156"/>
        <v>5</v>
      </c>
      <c r="J378" s="11">
        <f t="shared" si="157"/>
        <v>6</v>
      </c>
      <c r="K378" s="71">
        <v>42114</v>
      </c>
      <c r="L378" s="27"/>
      <c r="M378" s="8"/>
      <c r="N378" s="9"/>
      <c r="O378" s="10"/>
      <c r="P378" s="11">
        <f t="shared" si="158"/>
        <v>0</v>
      </c>
      <c r="Q378" s="12"/>
      <c r="R378" s="9"/>
      <c r="S378" s="10"/>
      <c r="T378" s="11">
        <f t="shared" si="159"/>
        <v>0</v>
      </c>
      <c r="U378" s="11">
        <f t="shared" si="160"/>
        <v>0</v>
      </c>
    </row>
    <row r="379" spans="1:22" x14ac:dyDescent="0.15">
      <c r="A379" s="29" t="s">
        <v>124</v>
      </c>
      <c r="B379" s="13">
        <v>4</v>
      </c>
      <c r="C379" s="14"/>
      <c r="D379" s="15"/>
      <c r="E379" s="11">
        <f t="shared" si="155"/>
        <v>4</v>
      </c>
      <c r="F379" s="16"/>
      <c r="G379" s="14"/>
      <c r="H379" s="15"/>
      <c r="I379" s="11">
        <f t="shared" si="156"/>
        <v>0</v>
      </c>
      <c r="J379" s="11">
        <f t="shared" si="157"/>
        <v>4</v>
      </c>
      <c r="K379" s="65">
        <v>42118</v>
      </c>
      <c r="L379" s="29"/>
      <c r="M379" s="13"/>
      <c r="N379" s="14"/>
      <c r="O379" s="15"/>
      <c r="P379" s="11">
        <f t="shared" si="158"/>
        <v>0</v>
      </c>
      <c r="Q379" s="16"/>
      <c r="R379" s="14"/>
      <c r="S379" s="15"/>
      <c r="T379" s="11">
        <f t="shared" si="159"/>
        <v>0</v>
      </c>
      <c r="U379" s="11">
        <f t="shared" si="160"/>
        <v>0</v>
      </c>
    </row>
    <row r="380" spans="1:22" x14ac:dyDescent="0.15">
      <c r="A380" s="27" t="s">
        <v>229</v>
      </c>
      <c r="B380" s="8"/>
      <c r="C380" s="9">
        <v>15</v>
      </c>
      <c r="D380" s="10"/>
      <c r="E380" s="11">
        <f t="shared" si="155"/>
        <v>15</v>
      </c>
      <c r="F380" s="12"/>
      <c r="G380" s="9"/>
      <c r="H380" s="10"/>
      <c r="I380" s="11">
        <f t="shared" si="156"/>
        <v>0</v>
      </c>
      <c r="J380" s="11">
        <f t="shared" si="157"/>
        <v>15</v>
      </c>
      <c r="K380" s="65">
        <v>42121</v>
      </c>
      <c r="L380" s="6"/>
      <c r="M380" s="13"/>
      <c r="N380" s="14"/>
      <c r="O380" s="15"/>
      <c r="P380" s="11">
        <f t="shared" si="158"/>
        <v>0</v>
      </c>
      <c r="Q380" s="16"/>
      <c r="R380" s="14"/>
      <c r="S380" s="15"/>
      <c r="T380" s="11">
        <f t="shared" si="159"/>
        <v>0</v>
      </c>
      <c r="U380" s="11">
        <f t="shared" si="160"/>
        <v>0</v>
      </c>
      <c r="V380" s="64"/>
    </row>
    <row r="381" spans="1:22" x14ac:dyDescent="0.15">
      <c r="A381" s="29" t="s">
        <v>235</v>
      </c>
      <c r="B381" s="8">
        <v>-4</v>
      </c>
      <c r="C381" s="9"/>
      <c r="D381" s="10"/>
      <c r="E381" s="11">
        <f t="shared" si="155"/>
        <v>-4</v>
      </c>
      <c r="F381" s="12">
        <v>-34</v>
      </c>
      <c r="G381" s="9">
        <v>-18</v>
      </c>
      <c r="H381" s="10"/>
      <c r="I381" s="11">
        <f t="shared" si="156"/>
        <v>-52</v>
      </c>
      <c r="J381" s="11">
        <f t="shared" si="157"/>
        <v>-56</v>
      </c>
      <c r="K381" s="71">
        <v>42116</v>
      </c>
      <c r="L381" s="6"/>
      <c r="M381" s="13"/>
      <c r="N381" s="14"/>
      <c r="O381" s="15"/>
      <c r="P381" s="11">
        <f t="shared" si="158"/>
        <v>0</v>
      </c>
      <c r="Q381" s="16"/>
      <c r="R381" s="14"/>
      <c r="S381" s="15"/>
      <c r="T381" s="11">
        <f t="shared" si="159"/>
        <v>0</v>
      </c>
      <c r="U381" s="11">
        <f t="shared" si="160"/>
        <v>0</v>
      </c>
      <c r="V381" s="64"/>
    </row>
    <row r="382" spans="1:22" x14ac:dyDescent="0.15">
      <c r="A382" s="29" t="s">
        <v>124</v>
      </c>
      <c r="B382" s="8"/>
      <c r="C382" s="9"/>
      <c r="D382" s="10"/>
      <c r="E382" s="11">
        <f t="shared" si="155"/>
        <v>0</v>
      </c>
      <c r="F382" s="12"/>
      <c r="G382" s="9">
        <v>2</v>
      </c>
      <c r="H382" s="10"/>
      <c r="I382" s="11">
        <f t="shared" si="156"/>
        <v>2</v>
      </c>
      <c r="J382" s="11">
        <f t="shared" si="157"/>
        <v>2</v>
      </c>
      <c r="K382" s="65">
        <v>42122</v>
      </c>
      <c r="L382" s="27"/>
      <c r="M382" s="13"/>
      <c r="N382" s="14"/>
      <c r="O382" s="15"/>
      <c r="P382" s="11">
        <f t="shared" si="158"/>
        <v>0</v>
      </c>
      <c r="Q382" s="16"/>
      <c r="R382" s="14"/>
      <c r="S382" s="15"/>
      <c r="T382" s="11">
        <f t="shared" si="159"/>
        <v>0</v>
      </c>
      <c r="U382" s="11">
        <f t="shared" si="160"/>
        <v>0</v>
      </c>
      <c r="V382" s="64"/>
    </row>
    <row r="383" spans="1:22" ht="14.25" thickBot="1" x14ac:dyDescent="0.2">
      <c r="A383" s="29" t="s">
        <v>239</v>
      </c>
      <c r="B383" s="8">
        <v>5</v>
      </c>
      <c r="C383" s="9">
        <v>4</v>
      </c>
      <c r="D383" s="10"/>
      <c r="E383" s="11">
        <f t="shared" si="155"/>
        <v>9</v>
      </c>
      <c r="F383" s="16">
        <v>5</v>
      </c>
      <c r="G383" s="14">
        <v>2</v>
      </c>
      <c r="H383" s="15"/>
      <c r="I383" s="11">
        <f t="shared" si="156"/>
        <v>7</v>
      </c>
      <c r="J383" s="11">
        <f t="shared" si="157"/>
        <v>16</v>
      </c>
      <c r="K383" s="71">
        <v>42118</v>
      </c>
      <c r="L383" s="27"/>
      <c r="M383" s="13"/>
      <c r="N383" s="14"/>
      <c r="O383" s="15"/>
      <c r="P383" s="11">
        <f t="shared" si="158"/>
        <v>0</v>
      </c>
      <c r="Q383" s="16"/>
      <c r="R383" s="14"/>
      <c r="S383" s="15"/>
      <c r="T383" s="11">
        <f t="shared" si="159"/>
        <v>0</v>
      </c>
      <c r="U383" s="11">
        <f t="shared" si="160"/>
        <v>0</v>
      </c>
      <c r="V383" s="64"/>
    </row>
    <row r="384" spans="1:22" ht="14.25" thickBot="1" x14ac:dyDescent="0.2">
      <c r="A384" s="44" t="s">
        <v>13</v>
      </c>
      <c r="B384" s="48">
        <f t="shared" ref="B384:I384" si="161">SUM(B358:B383)</f>
        <v>47</v>
      </c>
      <c r="C384" s="49">
        <f t="shared" si="161"/>
        <v>62</v>
      </c>
      <c r="D384" s="50">
        <f t="shared" si="161"/>
        <v>19</v>
      </c>
      <c r="E384" s="46">
        <f t="shared" si="161"/>
        <v>128</v>
      </c>
      <c r="F384" s="48">
        <f t="shared" si="161"/>
        <v>23</v>
      </c>
      <c r="G384" s="49">
        <f t="shared" si="161"/>
        <v>52</v>
      </c>
      <c r="H384" s="50">
        <f t="shared" si="161"/>
        <v>14</v>
      </c>
      <c r="I384" s="46">
        <f t="shared" si="161"/>
        <v>89</v>
      </c>
      <c r="J384" s="35">
        <f>E384+I384</f>
        <v>217</v>
      </c>
      <c r="L384" s="44" t="s">
        <v>13</v>
      </c>
      <c r="M384" s="48">
        <f t="shared" ref="M384:T384" si="162">SUM(M358:M383)</f>
        <v>0</v>
      </c>
      <c r="N384" s="49">
        <f t="shared" si="162"/>
        <v>0</v>
      </c>
      <c r="O384" s="50">
        <f t="shared" si="162"/>
        <v>130</v>
      </c>
      <c r="P384" s="46">
        <f t="shared" si="162"/>
        <v>130</v>
      </c>
      <c r="Q384" s="48">
        <f t="shared" si="162"/>
        <v>0</v>
      </c>
      <c r="R384" s="49">
        <f t="shared" si="162"/>
        <v>50</v>
      </c>
      <c r="S384" s="50">
        <f t="shared" si="162"/>
        <v>0</v>
      </c>
      <c r="T384" s="46">
        <f t="shared" si="162"/>
        <v>50</v>
      </c>
      <c r="U384" s="35">
        <f>P384+T384</f>
        <v>180</v>
      </c>
    </row>
    <row r="385" spans="1:22" ht="14.25" thickBot="1" x14ac:dyDescent="0.2">
      <c r="A385" s="23" t="s">
        <v>14</v>
      </c>
      <c r="B385" s="24">
        <f t="shared" ref="B385:J385" si="163">B357-B384</f>
        <v>83</v>
      </c>
      <c r="C385" s="25">
        <f t="shared" si="163"/>
        <v>31</v>
      </c>
      <c r="D385" s="30">
        <f t="shared" si="163"/>
        <v>159</v>
      </c>
      <c r="E385" s="51">
        <f t="shared" si="163"/>
        <v>273</v>
      </c>
      <c r="F385" s="24">
        <f t="shared" si="163"/>
        <v>89</v>
      </c>
      <c r="G385" s="25">
        <f t="shared" si="163"/>
        <v>53</v>
      </c>
      <c r="H385" s="30">
        <f t="shared" si="163"/>
        <v>78</v>
      </c>
      <c r="I385" s="47">
        <f t="shared" si="163"/>
        <v>220</v>
      </c>
      <c r="J385" s="79">
        <f t="shared" si="163"/>
        <v>493</v>
      </c>
      <c r="L385" s="23" t="s">
        <v>14</v>
      </c>
      <c r="M385" s="24">
        <f t="shared" ref="M385:U385" si="164">M357-M384</f>
        <v>430</v>
      </c>
      <c r="N385" s="25">
        <f t="shared" si="164"/>
        <v>530</v>
      </c>
      <c r="O385" s="30">
        <f t="shared" si="164"/>
        <v>260</v>
      </c>
      <c r="P385" s="51">
        <f t="shared" si="164"/>
        <v>1220</v>
      </c>
      <c r="Q385" s="24">
        <f t="shared" si="164"/>
        <v>480</v>
      </c>
      <c r="R385" s="25">
        <f t="shared" si="164"/>
        <v>510</v>
      </c>
      <c r="S385" s="30">
        <f t="shared" si="164"/>
        <v>433</v>
      </c>
      <c r="T385" s="47">
        <f t="shared" si="164"/>
        <v>1423</v>
      </c>
      <c r="U385" s="79">
        <f t="shared" si="164"/>
        <v>2643</v>
      </c>
    </row>
    <row r="388" spans="1:22" ht="19.5" thickBot="1" x14ac:dyDescent="0.25">
      <c r="A388" s="2" t="s">
        <v>21</v>
      </c>
      <c r="B388" s="1"/>
      <c r="C388" s="1"/>
      <c r="D388" s="1"/>
      <c r="E388" s="1"/>
      <c r="F388" s="1"/>
      <c r="G388" s="1"/>
      <c r="H388" s="1"/>
      <c r="I388" s="1"/>
      <c r="J388" s="1"/>
      <c r="L388" s="93" t="s">
        <v>136</v>
      </c>
      <c r="M388" s="94"/>
      <c r="N388" s="94"/>
      <c r="O388" s="94"/>
      <c r="P388" s="1"/>
      <c r="Q388" s="1"/>
      <c r="R388" s="1"/>
      <c r="S388" s="1"/>
      <c r="T388" s="1"/>
      <c r="U388" s="1"/>
    </row>
    <row r="389" spans="1:22" ht="14.25" thickBot="1" x14ac:dyDescent="0.2">
      <c r="A389" s="7" t="s">
        <v>0</v>
      </c>
      <c r="B389" s="168" t="s">
        <v>1</v>
      </c>
      <c r="C389" s="169"/>
      <c r="D389" s="169"/>
      <c r="E389" s="170"/>
      <c r="F389" s="168" t="s">
        <v>2</v>
      </c>
      <c r="G389" s="169"/>
      <c r="H389" s="169"/>
      <c r="I389" s="171"/>
      <c r="J389" s="172" t="s">
        <v>3</v>
      </c>
      <c r="L389" s="7" t="s">
        <v>0</v>
      </c>
      <c r="M389" s="168" t="s">
        <v>1</v>
      </c>
      <c r="N389" s="169"/>
      <c r="O389" s="169"/>
      <c r="P389" s="170"/>
      <c r="Q389" s="168" t="s">
        <v>2</v>
      </c>
      <c r="R389" s="169"/>
      <c r="S389" s="169"/>
      <c r="T389" s="171"/>
      <c r="U389" s="172" t="s">
        <v>3</v>
      </c>
    </row>
    <row r="390" spans="1:22" ht="14.25" thickBot="1" x14ac:dyDescent="0.2">
      <c r="A390" s="7" t="s">
        <v>4</v>
      </c>
      <c r="B390" s="3" t="s">
        <v>5</v>
      </c>
      <c r="C390" s="4" t="s">
        <v>6</v>
      </c>
      <c r="D390" s="5" t="s">
        <v>7</v>
      </c>
      <c r="E390" s="7" t="s">
        <v>8</v>
      </c>
      <c r="F390" s="3" t="s">
        <v>5</v>
      </c>
      <c r="G390" s="4" t="s">
        <v>6</v>
      </c>
      <c r="H390" s="5" t="s">
        <v>7</v>
      </c>
      <c r="I390" s="7" t="s">
        <v>8</v>
      </c>
      <c r="J390" s="173"/>
      <c r="L390" s="7" t="s">
        <v>4</v>
      </c>
      <c r="M390" s="3" t="s">
        <v>5</v>
      </c>
      <c r="N390" s="4" t="s">
        <v>6</v>
      </c>
      <c r="O390" s="5" t="s">
        <v>7</v>
      </c>
      <c r="P390" s="7" t="s">
        <v>8</v>
      </c>
      <c r="Q390" s="3" t="s">
        <v>5</v>
      </c>
      <c r="R390" s="4" t="s">
        <v>6</v>
      </c>
      <c r="S390" s="5" t="s">
        <v>7</v>
      </c>
      <c r="T390" s="7" t="s">
        <v>8</v>
      </c>
      <c r="U390" s="173"/>
    </row>
    <row r="391" spans="1:22" ht="14.25" thickBot="1" x14ac:dyDescent="0.2">
      <c r="A391" s="31" t="s">
        <v>14</v>
      </c>
      <c r="B391" s="32">
        <f>B385</f>
        <v>83</v>
      </c>
      <c r="C391" s="33">
        <f>C385</f>
        <v>31</v>
      </c>
      <c r="D391" s="34">
        <f>D385</f>
        <v>159</v>
      </c>
      <c r="E391" s="41">
        <f>SUM(B391:D391)</f>
        <v>273</v>
      </c>
      <c r="F391" s="32">
        <f>F385</f>
        <v>89</v>
      </c>
      <c r="G391" s="33">
        <f>G385</f>
        <v>53</v>
      </c>
      <c r="H391" s="34">
        <f>H385</f>
        <v>78</v>
      </c>
      <c r="I391" s="41">
        <f>SUM(F391:H391)</f>
        <v>220</v>
      </c>
      <c r="J391" s="41">
        <f>E391+I391</f>
        <v>493</v>
      </c>
      <c r="L391" s="31" t="s">
        <v>14</v>
      </c>
      <c r="M391" s="32">
        <f>M385</f>
        <v>430</v>
      </c>
      <c r="N391" s="33">
        <f>N385</f>
        <v>530</v>
      </c>
      <c r="O391" s="34">
        <f>O385</f>
        <v>260</v>
      </c>
      <c r="P391" s="35">
        <f>SUM(M391:O391)</f>
        <v>1220</v>
      </c>
      <c r="Q391" s="32">
        <f>Q385</f>
        <v>480</v>
      </c>
      <c r="R391" s="33">
        <f>R385</f>
        <v>510</v>
      </c>
      <c r="S391" s="34">
        <f>S385</f>
        <v>433</v>
      </c>
      <c r="T391" s="35">
        <f>SUM(Q391:S391)</f>
        <v>1423</v>
      </c>
      <c r="U391" s="35">
        <f>P391+T391</f>
        <v>2643</v>
      </c>
    </row>
    <row r="392" spans="1:22" x14ac:dyDescent="0.15">
      <c r="A392" s="28" t="s">
        <v>59</v>
      </c>
      <c r="B392" s="17"/>
      <c r="C392" s="18"/>
      <c r="D392" s="19"/>
      <c r="E392" s="20">
        <f t="shared" ref="E392:E399" si="165">SUM(B392:D392)</f>
        <v>0</v>
      </c>
      <c r="F392" s="21"/>
      <c r="G392" s="18">
        <v>3</v>
      </c>
      <c r="H392" s="19"/>
      <c r="I392" s="20">
        <f t="shared" ref="I392:I399" si="166">SUM(F392:H392)</f>
        <v>3</v>
      </c>
      <c r="J392" s="20">
        <f t="shared" ref="J392:J399" si="167">E392+I392</f>
        <v>3</v>
      </c>
      <c r="K392" s="71">
        <v>42145</v>
      </c>
      <c r="L392" s="28" t="s">
        <v>9</v>
      </c>
      <c r="M392" s="8"/>
      <c r="N392" s="9"/>
      <c r="O392" s="10"/>
      <c r="P392" s="78">
        <f>SUM(M392:O392)</f>
        <v>0</v>
      </c>
      <c r="Q392" s="12"/>
      <c r="R392" s="9"/>
      <c r="S392" s="10"/>
      <c r="T392" s="78">
        <f>SUM(Q392:S392)</f>
        <v>0</v>
      </c>
      <c r="U392" s="78">
        <f>P392+T392</f>
        <v>0</v>
      </c>
      <c r="V392" s="65"/>
    </row>
    <row r="393" spans="1:22" x14ac:dyDescent="0.15">
      <c r="A393" s="28" t="s">
        <v>46</v>
      </c>
      <c r="B393" s="8">
        <v>1</v>
      </c>
      <c r="C393" s="9"/>
      <c r="D393" s="10"/>
      <c r="E393" s="11">
        <f t="shared" si="165"/>
        <v>1</v>
      </c>
      <c r="F393" s="12"/>
      <c r="G393" s="9"/>
      <c r="H393" s="10"/>
      <c r="I393" s="11">
        <f t="shared" si="166"/>
        <v>0</v>
      </c>
      <c r="J393" s="11">
        <f t="shared" si="167"/>
        <v>1</v>
      </c>
      <c r="K393" s="71">
        <v>42152</v>
      </c>
      <c r="L393" s="28" t="s">
        <v>10</v>
      </c>
      <c r="M393" s="8"/>
      <c r="N393" s="9"/>
      <c r="O393" s="10"/>
      <c r="P393" s="11">
        <f t="shared" ref="P393:P399" si="168">SUM(M393:O393)</f>
        <v>0</v>
      </c>
      <c r="Q393" s="12"/>
      <c r="R393" s="9"/>
      <c r="S393" s="10"/>
      <c r="T393" s="11">
        <f t="shared" ref="T393:T399" si="169">SUM(Q393:S393)</f>
        <v>0</v>
      </c>
      <c r="U393" s="11">
        <f t="shared" ref="U393:U399" si="170">P393+T393</f>
        <v>0</v>
      </c>
      <c r="V393" s="64"/>
    </row>
    <row r="394" spans="1:22" x14ac:dyDescent="0.15">
      <c r="A394" s="28" t="s">
        <v>104</v>
      </c>
      <c r="B394" s="8">
        <v>3</v>
      </c>
      <c r="C394" s="9">
        <v>1</v>
      </c>
      <c r="D394" s="10">
        <v>1</v>
      </c>
      <c r="E394" s="11">
        <f t="shared" si="165"/>
        <v>5</v>
      </c>
      <c r="F394" s="12">
        <v>4</v>
      </c>
      <c r="G394" s="9">
        <v>1</v>
      </c>
      <c r="H394" s="10">
        <v>1</v>
      </c>
      <c r="I394" s="11">
        <f t="shared" si="166"/>
        <v>6</v>
      </c>
      <c r="J394" s="11">
        <f t="shared" si="167"/>
        <v>11</v>
      </c>
      <c r="K394" s="71">
        <v>42161</v>
      </c>
      <c r="L394" s="28" t="s">
        <v>11</v>
      </c>
      <c r="M394" s="8"/>
      <c r="N394" s="9"/>
      <c r="O394" s="10"/>
      <c r="P394" s="11">
        <f t="shared" si="168"/>
        <v>0</v>
      </c>
      <c r="Q394" s="12"/>
      <c r="R394" s="9"/>
      <c r="S394" s="10"/>
      <c r="T394" s="11">
        <f t="shared" si="169"/>
        <v>0</v>
      </c>
      <c r="U394" s="11">
        <f t="shared" si="170"/>
        <v>0</v>
      </c>
    </row>
    <row r="395" spans="1:22" x14ac:dyDescent="0.15">
      <c r="A395" s="28" t="s">
        <v>12</v>
      </c>
      <c r="B395" s="8"/>
      <c r="C395" s="9">
        <v>50</v>
      </c>
      <c r="D395" s="10"/>
      <c r="E395" s="11">
        <f t="shared" si="165"/>
        <v>50</v>
      </c>
      <c r="F395" s="12"/>
      <c r="G395" s="9"/>
      <c r="H395" s="10"/>
      <c r="I395" s="11">
        <f t="shared" si="166"/>
        <v>0</v>
      </c>
      <c r="J395" s="11">
        <f t="shared" si="167"/>
        <v>50</v>
      </c>
      <c r="K395" s="65">
        <v>42171</v>
      </c>
      <c r="L395" s="28" t="s">
        <v>12</v>
      </c>
      <c r="M395" s="8"/>
      <c r="N395" s="9"/>
      <c r="O395" s="10"/>
      <c r="P395" s="11">
        <f t="shared" si="168"/>
        <v>0</v>
      </c>
      <c r="Q395" s="12"/>
      <c r="R395" s="9"/>
      <c r="S395" s="10"/>
      <c r="T395" s="11">
        <f t="shared" si="169"/>
        <v>0</v>
      </c>
      <c r="U395" s="11">
        <f t="shared" si="170"/>
        <v>0</v>
      </c>
    </row>
    <row r="396" spans="1:22" x14ac:dyDescent="0.15">
      <c r="A396" s="29" t="s">
        <v>251</v>
      </c>
      <c r="B396" s="8">
        <v>1</v>
      </c>
      <c r="C396" s="9"/>
      <c r="D396" s="10"/>
      <c r="E396" s="11">
        <f t="shared" si="165"/>
        <v>1</v>
      </c>
      <c r="F396" s="12"/>
      <c r="G396" s="9"/>
      <c r="H396" s="10"/>
      <c r="I396" s="11">
        <f t="shared" si="166"/>
        <v>0</v>
      </c>
      <c r="J396" s="11">
        <f t="shared" si="167"/>
        <v>1</v>
      </c>
      <c r="K396" s="71">
        <v>42173</v>
      </c>
      <c r="L396" s="28" t="s">
        <v>15</v>
      </c>
      <c r="M396" s="8"/>
      <c r="N396" s="9"/>
      <c r="O396" s="10"/>
      <c r="P396" s="11">
        <f t="shared" si="168"/>
        <v>0</v>
      </c>
      <c r="Q396" s="12"/>
      <c r="R396" s="9"/>
      <c r="S396" s="10"/>
      <c r="T396" s="11">
        <f t="shared" si="169"/>
        <v>0</v>
      </c>
      <c r="U396" s="11">
        <f t="shared" si="170"/>
        <v>0</v>
      </c>
    </row>
    <row r="397" spans="1:22" x14ac:dyDescent="0.15">
      <c r="A397" s="28" t="s">
        <v>16</v>
      </c>
      <c r="B397" s="8"/>
      <c r="C397" s="9"/>
      <c r="D397" s="10"/>
      <c r="E397" s="11">
        <f t="shared" si="165"/>
        <v>0</v>
      </c>
      <c r="F397" s="12"/>
      <c r="G397" s="9"/>
      <c r="H397" s="10"/>
      <c r="I397" s="11">
        <f t="shared" si="166"/>
        <v>0</v>
      </c>
      <c r="J397" s="11">
        <f t="shared" si="167"/>
        <v>0</v>
      </c>
      <c r="L397" s="28" t="s">
        <v>16</v>
      </c>
      <c r="M397" s="8"/>
      <c r="N397" s="9"/>
      <c r="O397" s="10"/>
      <c r="P397" s="11">
        <f t="shared" si="168"/>
        <v>0</v>
      </c>
      <c r="Q397" s="12"/>
      <c r="R397" s="9"/>
      <c r="S397" s="10"/>
      <c r="T397" s="11">
        <f t="shared" si="169"/>
        <v>0</v>
      </c>
      <c r="U397" s="11">
        <f t="shared" si="170"/>
        <v>0</v>
      </c>
    </row>
    <row r="398" spans="1:22" x14ac:dyDescent="0.15">
      <c r="A398" s="28" t="s">
        <v>17</v>
      </c>
      <c r="B398" s="13"/>
      <c r="C398" s="14"/>
      <c r="D398" s="15"/>
      <c r="E398" s="11">
        <f t="shared" si="165"/>
        <v>0</v>
      </c>
      <c r="F398" s="16"/>
      <c r="G398" s="14"/>
      <c r="H398" s="15"/>
      <c r="I398" s="11">
        <f t="shared" si="166"/>
        <v>0</v>
      </c>
      <c r="J398" s="11">
        <f t="shared" si="167"/>
        <v>0</v>
      </c>
      <c r="L398" s="28" t="s">
        <v>17</v>
      </c>
      <c r="M398" s="13"/>
      <c r="N398" s="14"/>
      <c r="O398" s="15"/>
      <c r="P398" s="11">
        <f t="shared" si="168"/>
        <v>0</v>
      </c>
      <c r="Q398" s="16"/>
      <c r="R398" s="14"/>
      <c r="S398" s="15"/>
      <c r="T398" s="11">
        <f t="shared" si="169"/>
        <v>0</v>
      </c>
      <c r="U398" s="11">
        <f t="shared" si="170"/>
        <v>0</v>
      </c>
    </row>
    <row r="399" spans="1:22" ht="14.25" thickBot="1" x14ac:dyDescent="0.2">
      <c r="A399" s="28" t="s">
        <v>18</v>
      </c>
      <c r="B399" s="36"/>
      <c r="C399" s="37"/>
      <c r="D399" s="40"/>
      <c r="E399" s="22">
        <f t="shared" si="165"/>
        <v>0</v>
      </c>
      <c r="F399" s="38"/>
      <c r="G399" s="38"/>
      <c r="H399" s="43"/>
      <c r="I399" s="22">
        <f t="shared" si="166"/>
        <v>0</v>
      </c>
      <c r="J399" s="22">
        <f t="shared" si="167"/>
        <v>0</v>
      </c>
      <c r="L399" s="28" t="s">
        <v>18</v>
      </c>
      <c r="M399" s="36"/>
      <c r="N399" s="37"/>
      <c r="O399" s="40"/>
      <c r="P399" s="22">
        <f t="shared" si="168"/>
        <v>0</v>
      </c>
      <c r="Q399" s="38"/>
      <c r="R399" s="38"/>
      <c r="S399" s="43"/>
      <c r="T399" s="22">
        <f t="shared" si="169"/>
        <v>0</v>
      </c>
      <c r="U399" s="22">
        <f t="shared" si="170"/>
        <v>0</v>
      </c>
    </row>
    <row r="400" spans="1:22" ht="14.25" thickBot="1" x14ac:dyDescent="0.2">
      <c r="A400" s="39" t="s">
        <v>20</v>
      </c>
      <c r="B400" s="32">
        <f t="shared" ref="B400:J400" si="171">SUM(B391:B399)</f>
        <v>88</v>
      </c>
      <c r="C400" s="33">
        <f t="shared" si="171"/>
        <v>82</v>
      </c>
      <c r="D400" s="34">
        <f t="shared" si="171"/>
        <v>160</v>
      </c>
      <c r="E400" s="42">
        <f t="shared" si="171"/>
        <v>330</v>
      </c>
      <c r="F400" s="32">
        <f t="shared" si="171"/>
        <v>93</v>
      </c>
      <c r="G400" s="33">
        <f t="shared" si="171"/>
        <v>57</v>
      </c>
      <c r="H400" s="34">
        <f t="shared" si="171"/>
        <v>79</v>
      </c>
      <c r="I400" s="42">
        <f t="shared" si="171"/>
        <v>229</v>
      </c>
      <c r="J400" s="42">
        <f t="shared" si="171"/>
        <v>559</v>
      </c>
      <c r="L400" s="39" t="s">
        <v>20</v>
      </c>
      <c r="M400" s="32">
        <f t="shared" ref="M400:U400" si="172">SUM(M391:M399)</f>
        <v>430</v>
      </c>
      <c r="N400" s="33">
        <f t="shared" si="172"/>
        <v>530</v>
      </c>
      <c r="O400" s="34">
        <f t="shared" si="172"/>
        <v>260</v>
      </c>
      <c r="P400" s="42">
        <f t="shared" si="172"/>
        <v>1220</v>
      </c>
      <c r="Q400" s="32">
        <f t="shared" si="172"/>
        <v>480</v>
      </c>
      <c r="R400" s="33">
        <f t="shared" si="172"/>
        <v>510</v>
      </c>
      <c r="S400" s="34">
        <f t="shared" si="172"/>
        <v>433</v>
      </c>
      <c r="T400" s="42">
        <f t="shared" si="172"/>
        <v>1423</v>
      </c>
      <c r="U400" s="42">
        <f t="shared" si="172"/>
        <v>2643</v>
      </c>
    </row>
    <row r="401" spans="1:22" x14ac:dyDescent="0.15">
      <c r="A401" s="26" t="s">
        <v>129</v>
      </c>
      <c r="B401" s="13"/>
      <c r="C401" s="14"/>
      <c r="D401" s="15">
        <v>1</v>
      </c>
      <c r="E401" s="11">
        <f>SUM(B401:D401)</f>
        <v>1</v>
      </c>
      <c r="F401" s="16"/>
      <c r="G401" s="14"/>
      <c r="H401" s="15">
        <v>1</v>
      </c>
      <c r="I401" s="11">
        <f>SUM(F401:H401)</f>
        <v>1</v>
      </c>
      <c r="J401" s="11">
        <f>E401+I401</f>
        <v>2</v>
      </c>
      <c r="K401" s="65">
        <v>42124</v>
      </c>
      <c r="L401" s="27" t="s">
        <v>23</v>
      </c>
      <c r="M401" s="13"/>
      <c r="N401" s="14">
        <v>50</v>
      </c>
      <c r="O401" s="15"/>
      <c r="P401" s="11">
        <f>SUM(M401:O401)</f>
        <v>50</v>
      </c>
      <c r="Q401" s="16"/>
      <c r="R401" s="14"/>
      <c r="S401" s="15"/>
      <c r="T401" s="11">
        <f>SUM(Q401:S401)</f>
        <v>0</v>
      </c>
      <c r="U401" s="11">
        <f>P401+T401</f>
        <v>50</v>
      </c>
      <c r="V401" s="65">
        <v>42171</v>
      </c>
    </row>
    <row r="402" spans="1:22" x14ac:dyDescent="0.15">
      <c r="A402" s="29" t="s">
        <v>124</v>
      </c>
      <c r="B402" s="13"/>
      <c r="C402" s="14"/>
      <c r="D402" s="15"/>
      <c r="E402" s="11">
        <f t="shared" ref="E402:E426" si="173">SUM(B402:D402)</f>
        <v>0</v>
      </c>
      <c r="F402" s="16">
        <v>8</v>
      </c>
      <c r="G402" s="14"/>
      <c r="H402" s="15"/>
      <c r="I402" s="11">
        <f t="shared" ref="I402:I426" si="174">SUM(F402:H402)</f>
        <v>8</v>
      </c>
      <c r="J402" s="11">
        <f t="shared" ref="J402:J426" si="175">E402+I402</f>
        <v>8</v>
      </c>
      <c r="K402" s="65">
        <v>42128</v>
      </c>
      <c r="L402" s="27"/>
      <c r="M402" s="8"/>
      <c r="N402" s="9"/>
      <c r="O402" s="10"/>
      <c r="P402" s="11">
        <f>SUM(M402:O402)</f>
        <v>0</v>
      </c>
      <c r="Q402" s="12"/>
      <c r="R402" s="9"/>
      <c r="S402" s="10"/>
      <c r="T402" s="11">
        <f>SUM(Q402:S402)</f>
        <v>0</v>
      </c>
      <c r="U402" s="11">
        <f>P402+T402</f>
        <v>0</v>
      </c>
    </row>
    <row r="403" spans="1:22" x14ac:dyDescent="0.15">
      <c r="A403" s="27" t="s">
        <v>236</v>
      </c>
      <c r="B403" s="8"/>
      <c r="C403" s="9">
        <v>2</v>
      </c>
      <c r="D403" s="10">
        <v>2</v>
      </c>
      <c r="E403" s="11">
        <f t="shared" si="173"/>
        <v>4</v>
      </c>
      <c r="F403" s="12"/>
      <c r="G403" s="9"/>
      <c r="H403" s="10">
        <v>2</v>
      </c>
      <c r="I403" s="11">
        <f t="shared" si="174"/>
        <v>2</v>
      </c>
      <c r="J403" s="11">
        <f t="shared" si="175"/>
        <v>6</v>
      </c>
      <c r="K403" s="65">
        <v>42125</v>
      </c>
      <c r="L403" s="27"/>
      <c r="M403" s="8"/>
      <c r="N403" s="9"/>
      <c r="O403" s="10"/>
      <c r="P403" s="11">
        <f t="shared" ref="P403:P426" si="176">SUM(M403:O403)</f>
        <v>0</v>
      </c>
      <c r="Q403" s="12"/>
      <c r="R403" s="9"/>
      <c r="S403" s="10"/>
      <c r="T403" s="11">
        <f t="shared" ref="T403:T426" si="177">SUM(Q403:S403)</f>
        <v>0</v>
      </c>
      <c r="U403" s="11">
        <f t="shared" ref="U403:U426" si="178">P403+T403</f>
        <v>0</v>
      </c>
    </row>
    <row r="404" spans="1:22" x14ac:dyDescent="0.15">
      <c r="A404" s="29" t="s">
        <v>237</v>
      </c>
      <c r="B404" s="8">
        <v>1</v>
      </c>
      <c r="C404" s="9"/>
      <c r="D404" s="10">
        <v>1</v>
      </c>
      <c r="E404" s="11">
        <f t="shared" si="173"/>
        <v>2</v>
      </c>
      <c r="F404" s="12"/>
      <c r="G404" s="9"/>
      <c r="H404" s="10"/>
      <c r="I404" s="11">
        <f t="shared" si="174"/>
        <v>0</v>
      </c>
      <c r="J404" s="11">
        <f t="shared" si="175"/>
        <v>2</v>
      </c>
      <c r="K404" s="71">
        <v>42126</v>
      </c>
      <c r="L404" s="29"/>
      <c r="M404" s="8"/>
      <c r="N404" s="9"/>
      <c r="O404" s="10"/>
      <c r="P404" s="11">
        <f t="shared" si="176"/>
        <v>0</v>
      </c>
      <c r="Q404" s="12"/>
      <c r="R404" s="9"/>
      <c r="S404" s="10"/>
      <c r="T404" s="11">
        <f t="shared" si="177"/>
        <v>0</v>
      </c>
      <c r="U404" s="11">
        <f t="shared" si="178"/>
        <v>0</v>
      </c>
    </row>
    <row r="405" spans="1:22" x14ac:dyDescent="0.15">
      <c r="A405" s="27" t="s">
        <v>238</v>
      </c>
      <c r="B405" s="8"/>
      <c r="C405" s="9">
        <v>1</v>
      </c>
      <c r="D405" s="10"/>
      <c r="E405" s="11">
        <f t="shared" si="173"/>
        <v>1</v>
      </c>
      <c r="F405" s="12"/>
      <c r="G405" s="9"/>
      <c r="H405" s="10"/>
      <c r="I405" s="11">
        <f t="shared" si="174"/>
        <v>0</v>
      </c>
      <c r="J405" s="11">
        <f t="shared" si="175"/>
        <v>1</v>
      </c>
      <c r="K405" s="65">
        <v>42137</v>
      </c>
      <c r="L405" s="29"/>
      <c r="M405" s="8"/>
      <c r="N405" s="9"/>
      <c r="O405" s="10"/>
      <c r="P405" s="11">
        <f t="shared" si="176"/>
        <v>0</v>
      </c>
      <c r="Q405" s="12"/>
      <c r="R405" s="9"/>
      <c r="S405" s="10"/>
      <c r="T405" s="11">
        <f t="shared" si="177"/>
        <v>0</v>
      </c>
      <c r="U405" s="11">
        <f t="shared" si="178"/>
        <v>0</v>
      </c>
    </row>
    <row r="406" spans="1:22" x14ac:dyDescent="0.15">
      <c r="A406" s="29" t="s">
        <v>124</v>
      </c>
      <c r="B406" s="8"/>
      <c r="C406" s="9"/>
      <c r="D406" s="10"/>
      <c r="E406" s="11">
        <f t="shared" si="173"/>
        <v>0</v>
      </c>
      <c r="F406" s="12"/>
      <c r="G406" s="9">
        <v>3</v>
      </c>
      <c r="H406" s="10"/>
      <c r="I406" s="11">
        <f t="shared" si="174"/>
        <v>3</v>
      </c>
      <c r="J406" s="11">
        <f t="shared" si="175"/>
        <v>3</v>
      </c>
      <c r="K406" s="65">
        <v>42147</v>
      </c>
      <c r="L406" s="27"/>
      <c r="M406" s="8"/>
      <c r="N406" s="9"/>
      <c r="O406" s="10"/>
      <c r="P406" s="11">
        <f t="shared" si="176"/>
        <v>0</v>
      </c>
      <c r="Q406" s="12"/>
      <c r="R406" s="9"/>
      <c r="S406" s="10"/>
      <c r="T406" s="11">
        <f t="shared" si="177"/>
        <v>0</v>
      </c>
      <c r="U406" s="11">
        <f t="shared" si="178"/>
        <v>0</v>
      </c>
    </row>
    <row r="407" spans="1:22" x14ac:dyDescent="0.15">
      <c r="A407" s="27" t="s">
        <v>240</v>
      </c>
      <c r="B407" s="8">
        <v>1</v>
      </c>
      <c r="C407" s="9"/>
      <c r="D407" s="10">
        <v>2</v>
      </c>
      <c r="E407" s="11">
        <f t="shared" si="173"/>
        <v>3</v>
      </c>
      <c r="F407" s="12">
        <v>1</v>
      </c>
      <c r="G407" s="9"/>
      <c r="H407" s="10">
        <v>2</v>
      </c>
      <c r="I407" s="11">
        <f t="shared" si="174"/>
        <v>3</v>
      </c>
      <c r="J407" s="11">
        <f t="shared" si="175"/>
        <v>6</v>
      </c>
      <c r="K407" s="71">
        <v>42142</v>
      </c>
      <c r="L407" s="29"/>
      <c r="M407" s="8"/>
      <c r="N407" s="9"/>
      <c r="O407" s="10"/>
      <c r="P407" s="11">
        <f t="shared" si="176"/>
        <v>0</v>
      </c>
      <c r="Q407" s="12"/>
      <c r="R407" s="9"/>
      <c r="S407" s="10"/>
      <c r="T407" s="11">
        <f t="shared" si="177"/>
        <v>0</v>
      </c>
      <c r="U407" s="11">
        <f t="shared" si="178"/>
        <v>0</v>
      </c>
    </row>
    <row r="408" spans="1:22" x14ac:dyDescent="0.15">
      <c r="A408" s="29" t="s">
        <v>242</v>
      </c>
      <c r="B408" s="8">
        <v>1</v>
      </c>
      <c r="C408" s="9"/>
      <c r="D408" s="10"/>
      <c r="E408" s="11">
        <f t="shared" si="173"/>
        <v>1</v>
      </c>
      <c r="F408" s="12">
        <v>1</v>
      </c>
      <c r="G408" s="9"/>
      <c r="H408" s="10"/>
      <c r="I408" s="11">
        <f t="shared" si="174"/>
        <v>1</v>
      </c>
      <c r="J408" s="11">
        <f t="shared" si="175"/>
        <v>2</v>
      </c>
      <c r="K408" s="71">
        <v>42143</v>
      </c>
      <c r="L408" s="29"/>
      <c r="M408" s="8"/>
      <c r="N408" s="9"/>
      <c r="O408" s="10"/>
      <c r="P408" s="11">
        <f t="shared" si="176"/>
        <v>0</v>
      </c>
      <c r="Q408" s="12"/>
      <c r="R408" s="9"/>
      <c r="S408" s="10"/>
      <c r="T408" s="11">
        <f t="shared" si="177"/>
        <v>0</v>
      </c>
      <c r="U408" s="11">
        <f t="shared" si="178"/>
        <v>0</v>
      </c>
    </row>
    <row r="409" spans="1:22" x14ac:dyDescent="0.15">
      <c r="A409" s="29" t="s">
        <v>241</v>
      </c>
      <c r="B409" s="13">
        <v>3</v>
      </c>
      <c r="C409" s="14">
        <v>1</v>
      </c>
      <c r="D409" s="15"/>
      <c r="E409" s="11">
        <f t="shared" si="173"/>
        <v>4</v>
      </c>
      <c r="F409" s="16">
        <v>3</v>
      </c>
      <c r="G409" s="14">
        <v>5</v>
      </c>
      <c r="H409" s="15"/>
      <c r="I409" s="11">
        <f t="shared" si="174"/>
        <v>8</v>
      </c>
      <c r="J409" s="11">
        <f t="shared" si="175"/>
        <v>12</v>
      </c>
      <c r="K409" s="71">
        <v>42146</v>
      </c>
      <c r="L409" s="27"/>
      <c r="M409" s="8"/>
      <c r="N409" s="9"/>
      <c r="O409" s="10"/>
      <c r="P409" s="11">
        <f t="shared" si="176"/>
        <v>0</v>
      </c>
      <c r="Q409" s="12"/>
      <c r="R409" s="9"/>
      <c r="S409" s="10"/>
      <c r="T409" s="11">
        <f t="shared" si="177"/>
        <v>0</v>
      </c>
      <c r="U409" s="11">
        <f t="shared" si="178"/>
        <v>0</v>
      </c>
    </row>
    <row r="410" spans="1:22" x14ac:dyDescent="0.15">
      <c r="A410" s="29" t="s">
        <v>243</v>
      </c>
      <c r="B410" s="13"/>
      <c r="C410" s="14"/>
      <c r="D410" s="15"/>
      <c r="E410" s="11">
        <f t="shared" si="173"/>
        <v>0</v>
      </c>
      <c r="F410" s="16"/>
      <c r="G410" s="14">
        <v>2</v>
      </c>
      <c r="H410" s="15"/>
      <c r="I410" s="11">
        <f t="shared" si="174"/>
        <v>2</v>
      </c>
      <c r="J410" s="11">
        <f t="shared" si="175"/>
        <v>2</v>
      </c>
      <c r="K410" s="71">
        <v>42146</v>
      </c>
      <c r="L410" s="29"/>
      <c r="M410" s="13"/>
      <c r="N410" s="14"/>
      <c r="O410" s="15"/>
      <c r="P410" s="11">
        <f t="shared" si="176"/>
        <v>0</v>
      </c>
      <c r="Q410" s="16"/>
      <c r="R410" s="14"/>
      <c r="S410" s="15"/>
      <c r="T410" s="11">
        <f t="shared" si="177"/>
        <v>0</v>
      </c>
      <c r="U410" s="11">
        <f t="shared" si="178"/>
        <v>0</v>
      </c>
    </row>
    <row r="411" spans="1:22" x14ac:dyDescent="0.15">
      <c r="A411" s="29" t="s">
        <v>229</v>
      </c>
      <c r="B411" s="8">
        <v>18</v>
      </c>
      <c r="C411" s="9"/>
      <c r="D411" s="10"/>
      <c r="E411" s="11">
        <f t="shared" si="173"/>
        <v>18</v>
      </c>
      <c r="F411" s="12">
        <v>15</v>
      </c>
      <c r="G411" s="9"/>
      <c r="H411" s="10"/>
      <c r="I411" s="11">
        <f t="shared" si="174"/>
        <v>15</v>
      </c>
      <c r="J411" s="11">
        <f t="shared" si="175"/>
        <v>33</v>
      </c>
      <c r="K411" s="65">
        <v>42157</v>
      </c>
      <c r="L411" s="29"/>
      <c r="M411" s="8"/>
      <c r="N411" s="9"/>
      <c r="O411" s="10"/>
      <c r="P411" s="11">
        <f t="shared" si="176"/>
        <v>0</v>
      </c>
      <c r="Q411" s="12"/>
      <c r="R411" s="9"/>
      <c r="S411" s="10"/>
      <c r="T411" s="11">
        <f t="shared" si="177"/>
        <v>0</v>
      </c>
      <c r="U411" s="11">
        <f t="shared" si="178"/>
        <v>0</v>
      </c>
    </row>
    <row r="412" spans="1:22" x14ac:dyDescent="0.15">
      <c r="A412" s="29" t="s">
        <v>247</v>
      </c>
      <c r="B412" s="8"/>
      <c r="C412" s="9">
        <v>5</v>
      </c>
      <c r="D412" s="10"/>
      <c r="E412" s="11">
        <f t="shared" si="173"/>
        <v>5</v>
      </c>
      <c r="F412" s="12">
        <v>1</v>
      </c>
      <c r="G412" s="9">
        <v>1</v>
      </c>
      <c r="H412" s="10">
        <v>1</v>
      </c>
      <c r="I412" s="11">
        <f t="shared" si="174"/>
        <v>3</v>
      </c>
      <c r="J412" s="11">
        <f t="shared" si="175"/>
        <v>8</v>
      </c>
      <c r="K412" s="71">
        <v>42151</v>
      </c>
      <c r="L412" s="29"/>
      <c r="M412" s="8"/>
      <c r="N412" s="9"/>
      <c r="O412" s="10"/>
      <c r="P412" s="11">
        <f t="shared" si="176"/>
        <v>0</v>
      </c>
      <c r="Q412" s="12"/>
      <c r="R412" s="9"/>
      <c r="S412" s="10"/>
      <c r="T412" s="11">
        <f t="shared" si="177"/>
        <v>0</v>
      </c>
      <c r="U412" s="11">
        <f t="shared" si="178"/>
        <v>0</v>
      </c>
    </row>
    <row r="413" spans="1:22" x14ac:dyDescent="0.15">
      <c r="A413" s="27" t="s">
        <v>245</v>
      </c>
      <c r="B413" s="8"/>
      <c r="C413" s="9">
        <v>1</v>
      </c>
      <c r="D413" s="10"/>
      <c r="E413" s="11">
        <f t="shared" si="173"/>
        <v>1</v>
      </c>
      <c r="F413" s="12"/>
      <c r="G413" s="9"/>
      <c r="H413" s="10"/>
      <c r="I413" s="11">
        <f t="shared" si="174"/>
        <v>0</v>
      </c>
      <c r="J413" s="11">
        <f t="shared" si="175"/>
        <v>1</v>
      </c>
      <c r="K413" s="71">
        <v>42151</v>
      </c>
      <c r="L413" s="27"/>
      <c r="M413" s="8"/>
      <c r="N413" s="9"/>
      <c r="O413" s="10"/>
      <c r="P413" s="11">
        <f t="shared" si="176"/>
        <v>0</v>
      </c>
      <c r="Q413" s="12"/>
      <c r="R413" s="9"/>
      <c r="S413" s="10"/>
      <c r="T413" s="11">
        <f t="shared" si="177"/>
        <v>0</v>
      </c>
      <c r="U413" s="11">
        <f t="shared" si="178"/>
        <v>0</v>
      </c>
    </row>
    <row r="414" spans="1:22" x14ac:dyDescent="0.15">
      <c r="A414" s="27" t="s">
        <v>250</v>
      </c>
      <c r="B414" s="8"/>
      <c r="C414" s="9">
        <v>1</v>
      </c>
      <c r="D414" s="10"/>
      <c r="E414" s="11">
        <f t="shared" si="173"/>
        <v>1</v>
      </c>
      <c r="F414" s="12"/>
      <c r="G414" s="9"/>
      <c r="H414" s="10"/>
      <c r="I414" s="11">
        <f t="shared" si="174"/>
        <v>0</v>
      </c>
      <c r="J414" s="11">
        <f t="shared" si="175"/>
        <v>1</v>
      </c>
      <c r="K414" s="71">
        <v>42153</v>
      </c>
      <c r="L414" s="29"/>
      <c r="M414" s="8"/>
      <c r="N414" s="9"/>
      <c r="O414" s="10"/>
      <c r="P414" s="11">
        <f t="shared" si="176"/>
        <v>0</v>
      </c>
      <c r="Q414" s="12"/>
      <c r="R414" s="9"/>
      <c r="S414" s="10"/>
      <c r="T414" s="11">
        <f t="shared" si="177"/>
        <v>0</v>
      </c>
      <c r="U414" s="11">
        <f t="shared" si="178"/>
        <v>0</v>
      </c>
    </row>
    <row r="415" spans="1:22" x14ac:dyDescent="0.15">
      <c r="A415" s="29" t="s">
        <v>124</v>
      </c>
      <c r="B415" s="8"/>
      <c r="C415" s="9">
        <v>5</v>
      </c>
      <c r="D415" s="10"/>
      <c r="E415" s="11">
        <f t="shared" si="173"/>
        <v>5</v>
      </c>
      <c r="F415" s="12"/>
      <c r="G415" s="9"/>
      <c r="H415" s="10"/>
      <c r="I415" s="11">
        <f t="shared" si="174"/>
        <v>0</v>
      </c>
      <c r="J415" s="11">
        <f t="shared" si="175"/>
        <v>5</v>
      </c>
      <c r="K415" s="65">
        <v>42160</v>
      </c>
      <c r="L415" s="29"/>
      <c r="M415" s="8"/>
      <c r="N415" s="9"/>
      <c r="O415" s="10"/>
      <c r="P415" s="11">
        <f t="shared" si="176"/>
        <v>0</v>
      </c>
      <c r="Q415" s="12"/>
      <c r="R415" s="9"/>
      <c r="S415" s="10"/>
      <c r="T415" s="11">
        <f t="shared" si="177"/>
        <v>0</v>
      </c>
      <c r="U415" s="11">
        <f t="shared" si="178"/>
        <v>0</v>
      </c>
    </row>
    <row r="416" spans="1:22" x14ac:dyDescent="0.15">
      <c r="A416" s="27" t="s">
        <v>148</v>
      </c>
      <c r="B416" s="8"/>
      <c r="C416" s="9"/>
      <c r="D416" s="10">
        <v>1</v>
      </c>
      <c r="E416" s="11">
        <f t="shared" si="173"/>
        <v>1</v>
      </c>
      <c r="F416" s="12"/>
      <c r="G416" s="9"/>
      <c r="H416" s="10">
        <v>1</v>
      </c>
      <c r="I416" s="11">
        <f t="shared" si="174"/>
        <v>1</v>
      </c>
      <c r="J416" s="11">
        <f t="shared" si="175"/>
        <v>2</v>
      </c>
      <c r="K416" s="65">
        <v>42163</v>
      </c>
      <c r="L416" s="27"/>
      <c r="M416" s="8"/>
      <c r="N416" s="9"/>
      <c r="O416" s="10"/>
      <c r="P416" s="11">
        <f t="shared" si="176"/>
        <v>0</v>
      </c>
      <c r="Q416" s="12"/>
      <c r="R416" s="9"/>
      <c r="S416" s="10"/>
      <c r="T416" s="11">
        <f t="shared" si="177"/>
        <v>0</v>
      </c>
      <c r="U416" s="11">
        <f t="shared" si="178"/>
        <v>0</v>
      </c>
    </row>
    <row r="417" spans="1:22" x14ac:dyDescent="0.15">
      <c r="A417" s="29" t="s">
        <v>124</v>
      </c>
      <c r="B417" s="8"/>
      <c r="C417" s="9"/>
      <c r="D417" s="10"/>
      <c r="E417" s="11">
        <f t="shared" si="173"/>
        <v>0</v>
      </c>
      <c r="F417" s="12"/>
      <c r="G417" s="9">
        <v>5</v>
      </c>
      <c r="H417" s="10"/>
      <c r="I417" s="11">
        <f t="shared" si="174"/>
        <v>5</v>
      </c>
      <c r="J417" s="11">
        <f t="shared" si="175"/>
        <v>5</v>
      </c>
      <c r="K417" s="65">
        <v>42163</v>
      </c>
      <c r="L417" s="29"/>
      <c r="M417" s="8"/>
      <c r="N417" s="9"/>
      <c r="O417" s="10"/>
      <c r="P417" s="11">
        <f t="shared" si="176"/>
        <v>0</v>
      </c>
      <c r="Q417" s="12"/>
      <c r="R417" s="9"/>
      <c r="S417" s="10"/>
      <c r="T417" s="11">
        <f t="shared" si="177"/>
        <v>0</v>
      </c>
      <c r="U417" s="11">
        <f t="shared" si="178"/>
        <v>0</v>
      </c>
    </row>
    <row r="418" spans="1:22" x14ac:dyDescent="0.15">
      <c r="A418" s="27" t="s">
        <v>248</v>
      </c>
      <c r="B418" s="8"/>
      <c r="C418" s="9"/>
      <c r="D418" s="10"/>
      <c r="E418" s="11">
        <f t="shared" si="173"/>
        <v>0</v>
      </c>
      <c r="F418" s="12">
        <v>5</v>
      </c>
      <c r="G418" s="9"/>
      <c r="H418" s="10"/>
      <c r="I418" s="11">
        <f t="shared" si="174"/>
        <v>5</v>
      </c>
      <c r="J418" s="11">
        <f t="shared" si="175"/>
        <v>5</v>
      </c>
      <c r="K418" s="71">
        <v>42158</v>
      </c>
      <c r="L418" s="27"/>
      <c r="M418" s="8"/>
      <c r="N418" s="9"/>
      <c r="O418" s="10"/>
      <c r="P418" s="11">
        <f t="shared" si="176"/>
        <v>0</v>
      </c>
      <c r="Q418" s="12"/>
      <c r="R418" s="9"/>
      <c r="S418" s="10"/>
      <c r="T418" s="11">
        <f t="shared" si="177"/>
        <v>0</v>
      </c>
      <c r="U418" s="11">
        <f t="shared" si="178"/>
        <v>0</v>
      </c>
    </row>
    <row r="419" spans="1:22" x14ac:dyDescent="0.15">
      <c r="A419" s="26" t="s">
        <v>143</v>
      </c>
      <c r="B419" s="8">
        <v>2</v>
      </c>
      <c r="C419" s="9">
        <v>4</v>
      </c>
      <c r="D419" s="10"/>
      <c r="E419" s="11">
        <f t="shared" si="173"/>
        <v>6</v>
      </c>
      <c r="F419" s="12"/>
      <c r="G419" s="9">
        <v>2</v>
      </c>
      <c r="H419" s="10">
        <v>4</v>
      </c>
      <c r="I419" s="11">
        <f t="shared" si="174"/>
        <v>6</v>
      </c>
      <c r="J419" s="11">
        <f t="shared" si="175"/>
        <v>12</v>
      </c>
      <c r="K419" s="65">
        <v>42166</v>
      </c>
      <c r="L419" s="26"/>
      <c r="M419" s="8"/>
      <c r="N419" s="9"/>
      <c r="O419" s="10"/>
      <c r="P419" s="11">
        <f t="shared" si="176"/>
        <v>0</v>
      </c>
      <c r="Q419" s="12"/>
      <c r="R419" s="9"/>
      <c r="S419" s="10"/>
      <c r="T419" s="11">
        <f t="shared" si="177"/>
        <v>0</v>
      </c>
      <c r="U419" s="11">
        <f t="shared" si="178"/>
        <v>0</v>
      </c>
    </row>
    <row r="420" spans="1:22" x14ac:dyDescent="0.15">
      <c r="A420" s="26" t="s">
        <v>244</v>
      </c>
      <c r="B420" s="8">
        <v>1</v>
      </c>
      <c r="C420" s="9">
        <v>1</v>
      </c>
      <c r="D420" s="10">
        <v>1</v>
      </c>
      <c r="E420" s="11">
        <f t="shared" si="173"/>
        <v>3</v>
      </c>
      <c r="F420" s="12">
        <v>1</v>
      </c>
      <c r="G420" s="9">
        <v>1</v>
      </c>
      <c r="H420" s="10">
        <v>1</v>
      </c>
      <c r="I420" s="11">
        <f t="shared" si="174"/>
        <v>3</v>
      </c>
      <c r="J420" s="11">
        <f t="shared" si="175"/>
        <v>6</v>
      </c>
      <c r="K420" s="65">
        <v>42166</v>
      </c>
      <c r="L420" s="26"/>
      <c r="M420" s="8"/>
      <c r="N420" s="9"/>
      <c r="O420" s="10"/>
      <c r="P420" s="11">
        <f t="shared" si="176"/>
        <v>0</v>
      </c>
      <c r="Q420" s="12"/>
      <c r="R420" s="9"/>
      <c r="S420" s="10"/>
      <c r="T420" s="11">
        <f t="shared" si="177"/>
        <v>0</v>
      </c>
      <c r="U420" s="11">
        <f t="shared" si="178"/>
        <v>0</v>
      </c>
    </row>
    <row r="421" spans="1:22" x14ac:dyDescent="0.15">
      <c r="A421" s="27" t="s">
        <v>249</v>
      </c>
      <c r="B421" s="8">
        <v>2</v>
      </c>
      <c r="C421" s="9">
        <v>2</v>
      </c>
      <c r="D421" s="10"/>
      <c r="E421" s="11">
        <f t="shared" si="173"/>
        <v>4</v>
      </c>
      <c r="F421" s="12"/>
      <c r="G421" s="9">
        <v>2</v>
      </c>
      <c r="H421" s="10"/>
      <c r="I421" s="11">
        <f t="shared" si="174"/>
        <v>2</v>
      </c>
      <c r="J421" s="11">
        <f t="shared" si="175"/>
        <v>6</v>
      </c>
      <c r="K421" s="71">
        <v>42167</v>
      </c>
      <c r="L421" s="27"/>
      <c r="M421" s="8"/>
      <c r="N421" s="9"/>
      <c r="O421" s="10"/>
      <c r="P421" s="11">
        <f t="shared" si="176"/>
        <v>0</v>
      </c>
      <c r="Q421" s="12"/>
      <c r="R421" s="9"/>
      <c r="S421" s="10"/>
      <c r="T421" s="11">
        <f t="shared" si="177"/>
        <v>0</v>
      </c>
      <c r="U421" s="11">
        <f t="shared" si="178"/>
        <v>0</v>
      </c>
    </row>
    <row r="422" spans="1:22" x14ac:dyDescent="0.15">
      <c r="A422" s="26" t="s">
        <v>143</v>
      </c>
      <c r="B422" s="13">
        <v>2</v>
      </c>
      <c r="C422" s="14"/>
      <c r="D422" s="15"/>
      <c r="E422" s="11">
        <f t="shared" si="173"/>
        <v>2</v>
      </c>
      <c r="F422" s="16">
        <v>4</v>
      </c>
      <c r="G422" s="14"/>
      <c r="H422" s="15"/>
      <c r="I422" s="11">
        <f t="shared" si="174"/>
        <v>4</v>
      </c>
      <c r="J422" s="11">
        <f t="shared" si="175"/>
        <v>6</v>
      </c>
      <c r="K422" s="65">
        <v>42173</v>
      </c>
      <c r="L422" s="29"/>
      <c r="M422" s="13"/>
      <c r="N422" s="14"/>
      <c r="O422" s="15"/>
      <c r="P422" s="11">
        <f t="shared" si="176"/>
        <v>0</v>
      </c>
      <c r="Q422" s="16"/>
      <c r="R422" s="14"/>
      <c r="S422" s="15"/>
      <c r="T422" s="11">
        <f t="shared" si="177"/>
        <v>0</v>
      </c>
      <c r="U422" s="11">
        <f t="shared" si="178"/>
        <v>0</v>
      </c>
    </row>
    <row r="423" spans="1:22" x14ac:dyDescent="0.15">
      <c r="A423" s="27" t="s">
        <v>252</v>
      </c>
      <c r="B423" s="8">
        <v>3</v>
      </c>
      <c r="C423" s="9"/>
      <c r="D423" s="10"/>
      <c r="E423" s="11">
        <f t="shared" si="173"/>
        <v>3</v>
      </c>
      <c r="F423" s="12">
        <v>1</v>
      </c>
      <c r="G423" s="9"/>
      <c r="H423" s="10">
        <v>2</v>
      </c>
      <c r="I423" s="11">
        <f t="shared" si="174"/>
        <v>3</v>
      </c>
      <c r="J423" s="11">
        <f t="shared" si="175"/>
        <v>6</v>
      </c>
      <c r="K423" s="71">
        <v>42175</v>
      </c>
      <c r="L423" s="6"/>
      <c r="M423" s="13"/>
      <c r="N423" s="14"/>
      <c r="O423" s="15"/>
      <c r="P423" s="11">
        <f t="shared" si="176"/>
        <v>0</v>
      </c>
      <c r="Q423" s="16"/>
      <c r="R423" s="14"/>
      <c r="S423" s="15"/>
      <c r="T423" s="11">
        <f t="shared" si="177"/>
        <v>0</v>
      </c>
      <c r="U423" s="11">
        <f t="shared" si="178"/>
        <v>0</v>
      </c>
    </row>
    <row r="424" spans="1:22" x14ac:dyDescent="0.15">
      <c r="A424" s="29" t="s">
        <v>253</v>
      </c>
      <c r="B424" s="8">
        <v>1</v>
      </c>
      <c r="C424" s="9"/>
      <c r="D424" s="10">
        <v>1</v>
      </c>
      <c r="E424" s="11">
        <f t="shared" si="173"/>
        <v>2</v>
      </c>
      <c r="F424" s="12"/>
      <c r="G424" s="9">
        <v>1</v>
      </c>
      <c r="H424" s="10"/>
      <c r="I424" s="11">
        <f t="shared" si="174"/>
        <v>1</v>
      </c>
      <c r="J424" s="11">
        <f t="shared" si="175"/>
        <v>3</v>
      </c>
      <c r="K424" s="71">
        <v>42182</v>
      </c>
      <c r="L424" s="6"/>
      <c r="M424" s="13"/>
      <c r="N424" s="14"/>
      <c r="O424" s="15"/>
      <c r="P424" s="11">
        <f t="shared" si="176"/>
        <v>0</v>
      </c>
      <c r="Q424" s="16"/>
      <c r="R424" s="14"/>
      <c r="S424" s="15"/>
      <c r="T424" s="11">
        <f t="shared" si="177"/>
        <v>0</v>
      </c>
      <c r="U424" s="11">
        <f t="shared" si="178"/>
        <v>0</v>
      </c>
    </row>
    <row r="425" spans="1:22" x14ac:dyDescent="0.15">
      <c r="A425" s="29" t="s">
        <v>254</v>
      </c>
      <c r="B425" s="8"/>
      <c r="C425" s="9"/>
      <c r="D425" s="10"/>
      <c r="E425" s="11">
        <f t="shared" si="173"/>
        <v>0</v>
      </c>
      <c r="F425" s="12"/>
      <c r="G425" s="9">
        <v>1</v>
      </c>
      <c r="H425" s="10"/>
      <c r="I425" s="11">
        <f t="shared" si="174"/>
        <v>1</v>
      </c>
      <c r="J425" s="11">
        <f t="shared" si="175"/>
        <v>1</v>
      </c>
      <c r="K425" s="71">
        <v>42184</v>
      </c>
      <c r="L425" s="27"/>
      <c r="M425" s="13"/>
      <c r="N425" s="14"/>
      <c r="O425" s="15"/>
      <c r="P425" s="11">
        <f t="shared" si="176"/>
        <v>0</v>
      </c>
      <c r="Q425" s="16"/>
      <c r="R425" s="14"/>
      <c r="S425" s="15"/>
      <c r="T425" s="11">
        <f t="shared" si="177"/>
        <v>0</v>
      </c>
      <c r="U425" s="11">
        <f t="shared" si="178"/>
        <v>0</v>
      </c>
      <c r="V425" s="64"/>
    </row>
    <row r="426" spans="1:22" ht="14.25" thickBot="1" x14ac:dyDescent="0.2">
      <c r="A426" s="29" t="s">
        <v>255</v>
      </c>
      <c r="B426" s="8"/>
      <c r="C426" s="9"/>
      <c r="D426" s="10"/>
      <c r="E426" s="11">
        <f t="shared" si="173"/>
        <v>0</v>
      </c>
      <c r="F426" s="16">
        <v>5</v>
      </c>
      <c r="G426" s="14"/>
      <c r="H426" s="15"/>
      <c r="I426" s="11">
        <f t="shared" si="174"/>
        <v>5</v>
      </c>
      <c r="J426" s="11">
        <f t="shared" si="175"/>
        <v>5</v>
      </c>
      <c r="K426" s="71">
        <v>42185</v>
      </c>
      <c r="L426" s="27"/>
      <c r="M426" s="13"/>
      <c r="N426" s="14"/>
      <c r="O426" s="15"/>
      <c r="P426" s="11">
        <f t="shared" si="176"/>
        <v>0</v>
      </c>
      <c r="Q426" s="16"/>
      <c r="R426" s="14"/>
      <c r="S426" s="15"/>
      <c r="T426" s="11">
        <f t="shared" si="177"/>
        <v>0</v>
      </c>
      <c r="U426" s="11">
        <f t="shared" si="178"/>
        <v>0</v>
      </c>
      <c r="V426" s="64"/>
    </row>
    <row r="427" spans="1:22" ht="14.25" thickBot="1" x14ac:dyDescent="0.2">
      <c r="A427" s="44" t="s">
        <v>13</v>
      </c>
      <c r="B427" s="48">
        <f t="shared" ref="B427:I427" si="179">SUM(B401:B426)</f>
        <v>35</v>
      </c>
      <c r="C427" s="49">
        <f t="shared" si="179"/>
        <v>23</v>
      </c>
      <c r="D427" s="50">
        <f t="shared" si="179"/>
        <v>9</v>
      </c>
      <c r="E427" s="46">
        <f t="shared" si="179"/>
        <v>67</v>
      </c>
      <c r="F427" s="48">
        <f t="shared" si="179"/>
        <v>45</v>
      </c>
      <c r="G427" s="49">
        <f t="shared" si="179"/>
        <v>23</v>
      </c>
      <c r="H427" s="50">
        <f t="shared" si="179"/>
        <v>14</v>
      </c>
      <c r="I427" s="46">
        <f t="shared" si="179"/>
        <v>82</v>
      </c>
      <c r="J427" s="35">
        <f>E427+I427</f>
        <v>149</v>
      </c>
      <c r="L427" s="44" t="s">
        <v>13</v>
      </c>
      <c r="M427" s="48">
        <f t="shared" ref="M427:T427" si="180">SUM(M401:M426)</f>
        <v>0</v>
      </c>
      <c r="N427" s="49">
        <f t="shared" si="180"/>
        <v>50</v>
      </c>
      <c r="O427" s="50">
        <f t="shared" si="180"/>
        <v>0</v>
      </c>
      <c r="P427" s="46">
        <f t="shared" si="180"/>
        <v>50</v>
      </c>
      <c r="Q427" s="48">
        <f t="shared" si="180"/>
        <v>0</v>
      </c>
      <c r="R427" s="49">
        <f t="shared" si="180"/>
        <v>0</v>
      </c>
      <c r="S427" s="50">
        <f t="shared" si="180"/>
        <v>0</v>
      </c>
      <c r="T427" s="46">
        <f t="shared" si="180"/>
        <v>0</v>
      </c>
      <c r="U427" s="35">
        <f>P427+T427</f>
        <v>50</v>
      </c>
    </row>
    <row r="428" spans="1:22" ht="14.25" thickBot="1" x14ac:dyDescent="0.2">
      <c r="A428" s="23" t="s">
        <v>14</v>
      </c>
      <c r="B428" s="24">
        <f t="shared" ref="B428:J428" si="181">B400-B427</f>
        <v>53</v>
      </c>
      <c r="C428" s="25">
        <f t="shared" si="181"/>
        <v>59</v>
      </c>
      <c r="D428" s="30">
        <f t="shared" si="181"/>
        <v>151</v>
      </c>
      <c r="E428" s="51">
        <f t="shared" si="181"/>
        <v>263</v>
      </c>
      <c r="F428" s="24">
        <f t="shared" si="181"/>
        <v>48</v>
      </c>
      <c r="G428" s="25">
        <f t="shared" si="181"/>
        <v>34</v>
      </c>
      <c r="H428" s="30">
        <f t="shared" si="181"/>
        <v>65</v>
      </c>
      <c r="I428" s="47">
        <f t="shared" si="181"/>
        <v>147</v>
      </c>
      <c r="J428" s="79">
        <f t="shared" si="181"/>
        <v>410</v>
      </c>
      <c r="L428" s="23" t="s">
        <v>14</v>
      </c>
      <c r="M428" s="24">
        <f t="shared" ref="M428:U428" si="182">M400-M427</f>
        <v>430</v>
      </c>
      <c r="N428" s="25">
        <f t="shared" si="182"/>
        <v>480</v>
      </c>
      <c r="O428" s="30">
        <f t="shared" si="182"/>
        <v>260</v>
      </c>
      <c r="P428" s="51">
        <f t="shared" si="182"/>
        <v>1170</v>
      </c>
      <c r="Q428" s="24">
        <f t="shared" si="182"/>
        <v>480</v>
      </c>
      <c r="R428" s="25">
        <f t="shared" si="182"/>
        <v>510</v>
      </c>
      <c r="S428" s="30">
        <f t="shared" si="182"/>
        <v>433</v>
      </c>
      <c r="T428" s="47">
        <f t="shared" si="182"/>
        <v>1423</v>
      </c>
      <c r="U428" s="79">
        <f t="shared" si="182"/>
        <v>2593</v>
      </c>
    </row>
    <row r="431" spans="1:22" ht="19.5" thickBot="1" x14ac:dyDescent="0.25">
      <c r="A431" s="2" t="s">
        <v>21</v>
      </c>
      <c r="B431" s="1"/>
      <c r="C431" s="1"/>
      <c r="D431" s="1"/>
      <c r="E431" s="1"/>
      <c r="F431" s="1"/>
      <c r="G431" s="1"/>
      <c r="H431" s="1"/>
      <c r="I431" s="1"/>
      <c r="J431" s="1"/>
      <c r="L431" s="93" t="s">
        <v>136</v>
      </c>
      <c r="M431" s="94"/>
      <c r="N431" s="94"/>
      <c r="O431" s="94"/>
      <c r="P431" s="1"/>
      <c r="Q431" s="1"/>
      <c r="R431" s="1"/>
      <c r="S431" s="1"/>
      <c r="T431" s="1"/>
      <c r="U431" s="1"/>
    </row>
    <row r="432" spans="1:22" ht="14.25" thickBot="1" x14ac:dyDescent="0.2">
      <c r="A432" s="7" t="s">
        <v>0</v>
      </c>
      <c r="B432" s="168" t="s">
        <v>1</v>
      </c>
      <c r="C432" s="169"/>
      <c r="D432" s="169"/>
      <c r="E432" s="170"/>
      <c r="F432" s="168" t="s">
        <v>2</v>
      </c>
      <c r="G432" s="169"/>
      <c r="H432" s="169"/>
      <c r="I432" s="171"/>
      <c r="J432" s="172" t="s">
        <v>3</v>
      </c>
      <c r="L432" s="7" t="s">
        <v>0</v>
      </c>
      <c r="M432" s="168" t="s">
        <v>1</v>
      </c>
      <c r="N432" s="169"/>
      <c r="O432" s="169"/>
      <c r="P432" s="170"/>
      <c r="Q432" s="168" t="s">
        <v>2</v>
      </c>
      <c r="R432" s="169"/>
      <c r="S432" s="169"/>
      <c r="T432" s="171"/>
      <c r="U432" s="172" t="s">
        <v>3</v>
      </c>
    </row>
    <row r="433" spans="1:22" ht="14.25" thickBot="1" x14ac:dyDescent="0.2">
      <c r="A433" s="7" t="s">
        <v>4</v>
      </c>
      <c r="B433" s="3" t="s">
        <v>5</v>
      </c>
      <c r="C433" s="4" t="s">
        <v>6</v>
      </c>
      <c r="D433" s="5" t="s">
        <v>7</v>
      </c>
      <c r="E433" s="7" t="s">
        <v>8</v>
      </c>
      <c r="F433" s="3" t="s">
        <v>5</v>
      </c>
      <c r="G433" s="4" t="s">
        <v>6</v>
      </c>
      <c r="H433" s="5" t="s">
        <v>7</v>
      </c>
      <c r="I433" s="7" t="s">
        <v>8</v>
      </c>
      <c r="J433" s="173"/>
      <c r="L433" s="7" t="s">
        <v>4</v>
      </c>
      <c r="M433" s="3" t="s">
        <v>5</v>
      </c>
      <c r="N433" s="4" t="s">
        <v>6</v>
      </c>
      <c r="O433" s="5" t="s">
        <v>7</v>
      </c>
      <c r="P433" s="7" t="s">
        <v>8</v>
      </c>
      <c r="Q433" s="3" t="s">
        <v>5</v>
      </c>
      <c r="R433" s="4" t="s">
        <v>6</v>
      </c>
      <c r="S433" s="5" t="s">
        <v>7</v>
      </c>
      <c r="T433" s="7" t="s">
        <v>8</v>
      </c>
      <c r="U433" s="173"/>
    </row>
    <row r="434" spans="1:22" ht="14.25" thickBot="1" x14ac:dyDescent="0.2">
      <c r="A434" s="31" t="s">
        <v>14</v>
      </c>
      <c r="B434" s="32">
        <f>B428</f>
        <v>53</v>
      </c>
      <c r="C434" s="33">
        <f>C428</f>
        <v>59</v>
      </c>
      <c r="D434" s="34">
        <f>D428</f>
        <v>151</v>
      </c>
      <c r="E434" s="41">
        <f>SUM(B434:D434)</f>
        <v>263</v>
      </c>
      <c r="F434" s="32">
        <f>F428</f>
        <v>48</v>
      </c>
      <c r="G434" s="33">
        <f>G428</f>
        <v>34</v>
      </c>
      <c r="H434" s="34">
        <f>H428</f>
        <v>65</v>
      </c>
      <c r="I434" s="41">
        <f>SUM(F434:H434)</f>
        <v>147</v>
      </c>
      <c r="J434" s="41">
        <f>E434+I434</f>
        <v>410</v>
      </c>
      <c r="L434" s="31" t="s">
        <v>14</v>
      </c>
      <c r="M434" s="32">
        <f>M428</f>
        <v>430</v>
      </c>
      <c r="N434" s="33">
        <f>N428</f>
        <v>480</v>
      </c>
      <c r="O434" s="34">
        <f>O428</f>
        <v>260</v>
      </c>
      <c r="P434" s="35">
        <f>SUM(M434:O434)</f>
        <v>1170</v>
      </c>
      <c r="Q434" s="32">
        <f>Q428</f>
        <v>480</v>
      </c>
      <c r="R434" s="33">
        <f>R428</f>
        <v>510</v>
      </c>
      <c r="S434" s="34">
        <f>S428</f>
        <v>433</v>
      </c>
      <c r="T434" s="35">
        <f>SUM(Q434:S434)</f>
        <v>1423</v>
      </c>
      <c r="U434" s="35">
        <f>P434+T434</f>
        <v>2593</v>
      </c>
    </row>
    <row r="435" spans="1:22" x14ac:dyDescent="0.15">
      <c r="A435" s="29" t="s">
        <v>261</v>
      </c>
      <c r="B435" s="17"/>
      <c r="C435" s="18"/>
      <c r="D435" s="19"/>
      <c r="E435" s="20">
        <f t="shared" ref="E435:E442" si="183">SUM(B435:D435)</f>
        <v>0</v>
      </c>
      <c r="F435" s="21"/>
      <c r="G435" s="18">
        <v>1</v>
      </c>
      <c r="H435" s="19"/>
      <c r="I435" s="20">
        <f t="shared" ref="I435:I442" si="184">SUM(F435:H435)</f>
        <v>1</v>
      </c>
      <c r="J435" s="20">
        <f t="shared" ref="J435:J442" si="185">E435+I435</f>
        <v>1</v>
      </c>
      <c r="K435" s="71">
        <v>42200</v>
      </c>
      <c r="L435" s="28" t="s">
        <v>9</v>
      </c>
      <c r="M435" s="8"/>
      <c r="N435" s="9"/>
      <c r="O435" s="10"/>
      <c r="P435" s="78">
        <f t="shared" ref="P435:P442" si="186">SUM(M435:O435)</f>
        <v>0</v>
      </c>
      <c r="Q435" s="12"/>
      <c r="R435" s="9"/>
      <c r="S435" s="10"/>
      <c r="T435" s="78">
        <f t="shared" ref="T435:T442" si="187">SUM(Q435:S435)</f>
        <v>0</v>
      </c>
      <c r="U435" s="78">
        <f t="shared" ref="U435:U442" si="188">P435+T435</f>
        <v>0</v>
      </c>
      <c r="V435" s="65"/>
    </row>
    <row r="436" spans="1:22" x14ac:dyDescent="0.15">
      <c r="A436" s="28" t="s">
        <v>104</v>
      </c>
      <c r="B436" s="8">
        <v>1</v>
      </c>
      <c r="C436" s="9"/>
      <c r="D436" s="10">
        <v>1</v>
      </c>
      <c r="E436" s="11">
        <f t="shared" si="183"/>
        <v>2</v>
      </c>
      <c r="F436" s="12"/>
      <c r="G436" s="9"/>
      <c r="H436" s="10">
        <v>1</v>
      </c>
      <c r="I436" s="11">
        <f t="shared" si="184"/>
        <v>1</v>
      </c>
      <c r="J436" s="11">
        <f t="shared" si="185"/>
        <v>3</v>
      </c>
      <c r="K436" s="71">
        <v>42220</v>
      </c>
      <c r="L436" s="28" t="s">
        <v>10</v>
      </c>
      <c r="M436" s="8"/>
      <c r="N436" s="9"/>
      <c r="O436" s="10"/>
      <c r="P436" s="11">
        <f t="shared" si="186"/>
        <v>0</v>
      </c>
      <c r="Q436" s="12"/>
      <c r="R436" s="9"/>
      <c r="S436" s="10"/>
      <c r="T436" s="11">
        <f t="shared" si="187"/>
        <v>0</v>
      </c>
      <c r="U436" s="11">
        <f t="shared" si="188"/>
        <v>0</v>
      </c>
      <c r="V436" s="64"/>
    </row>
    <row r="437" spans="1:22" x14ac:dyDescent="0.15">
      <c r="A437" s="27" t="s">
        <v>271</v>
      </c>
      <c r="B437" s="8"/>
      <c r="C437" s="9"/>
      <c r="D437" s="10">
        <v>1</v>
      </c>
      <c r="E437" s="11">
        <f t="shared" si="183"/>
        <v>1</v>
      </c>
      <c r="F437" s="12"/>
      <c r="G437" s="9"/>
      <c r="H437" s="10"/>
      <c r="I437" s="11">
        <f t="shared" si="184"/>
        <v>0</v>
      </c>
      <c r="J437" s="11">
        <f t="shared" si="185"/>
        <v>1</v>
      </c>
      <c r="K437" s="71">
        <v>42245</v>
      </c>
      <c r="L437" s="28" t="s">
        <v>11</v>
      </c>
      <c r="M437" s="8"/>
      <c r="N437" s="9"/>
      <c r="O437" s="10"/>
      <c r="P437" s="11">
        <f t="shared" si="186"/>
        <v>0</v>
      </c>
      <c r="Q437" s="12"/>
      <c r="R437" s="9"/>
      <c r="S437" s="10"/>
      <c r="T437" s="11">
        <f t="shared" si="187"/>
        <v>0</v>
      </c>
      <c r="U437" s="11">
        <f t="shared" si="188"/>
        <v>0</v>
      </c>
    </row>
    <row r="438" spans="1:22" x14ac:dyDescent="0.15">
      <c r="A438" s="28" t="s">
        <v>263</v>
      </c>
      <c r="B438" s="8">
        <v>1</v>
      </c>
      <c r="C438" s="9"/>
      <c r="D438" s="10"/>
      <c r="E438" s="11">
        <f t="shared" si="183"/>
        <v>1</v>
      </c>
      <c r="F438" s="12"/>
      <c r="G438" s="9"/>
      <c r="H438" s="10">
        <v>-3</v>
      </c>
      <c r="I438" s="11">
        <f t="shared" si="184"/>
        <v>-3</v>
      </c>
      <c r="J438" s="11">
        <f t="shared" si="185"/>
        <v>-2</v>
      </c>
      <c r="K438" s="65">
        <v>42245</v>
      </c>
      <c r="L438" s="28" t="s">
        <v>12</v>
      </c>
      <c r="M438" s="8"/>
      <c r="N438" s="9"/>
      <c r="O438" s="10"/>
      <c r="P438" s="11">
        <f t="shared" si="186"/>
        <v>0</v>
      </c>
      <c r="Q438" s="12"/>
      <c r="R438" s="9"/>
      <c r="S438" s="10"/>
      <c r="T438" s="11">
        <f t="shared" si="187"/>
        <v>0</v>
      </c>
      <c r="U438" s="11">
        <f t="shared" si="188"/>
        <v>0</v>
      </c>
    </row>
    <row r="439" spans="1:22" x14ac:dyDescent="0.15">
      <c r="A439" s="27" t="s">
        <v>279</v>
      </c>
      <c r="B439" s="8">
        <v>50</v>
      </c>
      <c r="C439" s="9">
        <v>50</v>
      </c>
      <c r="D439" s="10">
        <v>0</v>
      </c>
      <c r="E439" s="11">
        <f t="shared" si="183"/>
        <v>100</v>
      </c>
      <c r="F439" s="12">
        <v>50</v>
      </c>
      <c r="G439" s="9">
        <v>50</v>
      </c>
      <c r="H439" s="10">
        <v>50</v>
      </c>
      <c r="I439" s="11">
        <f t="shared" si="184"/>
        <v>150</v>
      </c>
      <c r="J439" s="11">
        <f t="shared" si="185"/>
        <v>250</v>
      </c>
      <c r="K439" s="65">
        <v>42259</v>
      </c>
      <c r="L439" s="28" t="s">
        <v>15</v>
      </c>
      <c r="M439" s="8"/>
      <c r="N439" s="9"/>
      <c r="O439" s="10"/>
      <c r="P439" s="11">
        <f t="shared" si="186"/>
        <v>0</v>
      </c>
      <c r="Q439" s="12"/>
      <c r="R439" s="9"/>
      <c r="S439" s="10"/>
      <c r="T439" s="11">
        <f t="shared" si="187"/>
        <v>0</v>
      </c>
      <c r="U439" s="11">
        <f t="shared" si="188"/>
        <v>0</v>
      </c>
    </row>
    <row r="440" spans="1:22" x14ac:dyDescent="0.15">
      <c r="A440" s="28" t="s">
        <v>16</v>
      </c>
      <c r="B440" s="8"/>
      <c r="C440" s="9"/>
      <c r="D440" s="10"/>
      <c r="E440" s="11">
        <f t="shared" si="183"/>
        <v>0</v>
      </c>
      <c r="F440" s="12"/>
      <c r="G440" s="9"/>
      <c r="H440" s="10"/>
      <c r="I440" s="11">
        <f t="shared" si="184"/>
        <v>0</v>
      </c>
      <c r="J440" s="11">
        <f t="shared" si="185"/>
        <v>0</v>
      </c>
      <c r="L440" s="28" t="s">
        <v>16</v>
      </c>
      <c r="M440" s="8"/>
      <c r="N440" s="9"/>
      <c r="O440" s="10"/>
      <c r="P440" s="11">
        <f t="shared" si="186"/>
        <v>0</v>
      </c>
      <c r="Q440" s="12"/>
      <c r="R440" s="9"/>
      <c r="S440" s="10"/>
      <c r="T440" s="11">
        <f t="shared" si="187"/>
        <v>0</v>
      </c>
      <c r="U440" s="11">
        <f t="shared" si="188"/>
        <v>0</v>
      </c>
    </row>
    <row r="441" spans="1:22" x14ac:dyDescent="0.15">
      <c r="A441" s="28" t="s">
        <v>17</v>
      </c>
      <c r="B441" s="13"/>
      <c r="C441" s="14"/>
      <c r="D441" s="15"/>
      <c r="E441" s="11">
        <f t="shared" si="183"/>
        <v>0</v>
      </c>
      <c r="F441" s="16"/>
      <c r="G441" s="14"/>
      <c r="H441" s="15"/>
      <c r="I441" s="11">
        <f t="shared" si="184"/>
        <v>0</v>
      </c>
      <c r="J441" s="11">
        <f t="shared" si="185"/>
        <v>0</v>
      </c>
      <c r="L441" s="28" t="s">
        <v>17</v>
      </c>
      <c r="M441" s="13"/>
      <c r="N441" s="14"/>
      <c r="O441" s="15"/>
      <c r="P441" s="11">
        <f t="shared" si="186"/>
        <v>0</v>
      </c>
      <c r="Q441" s="16"/>
      <c r="R441" s="14"/>
      <c r="S441" s="15"/>
      <c r="T441" s="11">
        <f t="shared" si="187"/>
        <v>0</v>
      </c>
      <c r="U441" s="11">
        <f t="shared" si="188"/>
        <v>0</v>
      </c>
    </row>
    <row r="442" spans="1:22" ht="14.25" thickBot="1" x14ac:dyDescent="0.2">
      <c r="A442" s="28" t="s">
        <v>18</v>
      </c>
      <c r="B442" s="36"/>
      <c r="C442" s="37"/>
      <c r="D442" s="40"/>
      <c r="E442" s="22">
        <f t="shared" si="183"/>
        <v>0</v>
      </c>
      <c r="F442" s="38"/>
      <c r="G442" s="38"/>
      <c r="H442" s="43"/>
      <c r="I442" s="22">
        <f t="shared" si="184"/>
        <v>0</v>
      </c>
      <c r="J442" s="22">
        <f t="shared" si="185"/>
        <v>0</v>
      </c>
      <c r="L442" s="28" t="s">
        <v>18</v>
      </c>
      <c r="M442" s="36"/>
      <c r="N442" s="37"/>
      <c r="O442" s="40"/>
      <c r="P442" s="22">
        <f t="shared" si="186"/>
        <v>0</v>
      </c>
      <c r="Q442" s="38"/>
      <c r="R442" s="38"/>
      <c r="S442" s="43"/>
      <c r="T442" s="22">
        <f t="shared" si="187"/>
        <v>0</v>
      </c>
      <c r="U442" s="22">
        <f t="shared" si="188"/>
        <v>0</v>
      </c>
    </row>
    <row r="443" spans="1:22" ht="14.25" thickBot="1" x14ac:dyDescent="0.2">
      <c r="A443" s="39" t="s">
        <v>20</v>
      </c>
      <c r="B443" s="32">
        <f t="shared" ref="B443:J443" si="189">SUM(B434:B442)</f>
        <v>105</v>
      </c>
      <c r="C443" s="33">
        <f t="shared" si="189"/>
        <v>109</v>
      </c>
      <c r="D443" s="34">
        <f t="shared" si="189"/>
        <v>153</v>
      </c>
      <c r="E443" s="42">
        <f t="shared" si="189"/>
        <v>367</v>
      </c>
      <c r="F443" s="32">
        <f t="shared" si="189"/>
        <v>98</v>
      </c>
      <c r="G443" s="33">
        <f t="shared" si="189"/>
        <v>85</v>
      </c>
      <c r="H443" s="34">
        <f t="shared" si="189"/>
        <v>113</v>
      </c>
      <c r="I443" s="42">
        <f t="shared" si="189"/>
        <v>296</v>
      </c>
      <c r="J443" s="42">
        <f t="shared" si="189"/>
        <v>663</v>
      </c>
      <c r="L443" s="39" t="s">
        <v>20</v>
      </c>
      <c r="M443" s="32">
        <f t="shared" ref="M443:U443" si="190">SUM(M434:M442)</f>
        <v>430</v>
      </c>
      <c r="N443" s="33">
        <f t="shared" si="190"/>
        <v>480</v>
      </c>
      <c r="O443" s="34">
        <f t="shared" si="190"/>
        <v>260</v>
      </c>
      <c r="P443" s="42">
        <f t="shared" si="190"/>
        <v>1170</v>
      </c>
      <c r="Q443" s="32">
        <f t="shared" si="190"/>
        <v>480</v>
      </c>
      <c r="R443" s="33">
        <f t="shared" si="190"/>
        <v>510</v>
      </c>
      <c r="S443" s="34">
        <f t="shared" si="190"/>
        <v>433</v>
      </c>
      <c r="T443" s="42">
        <f t="shared" si="190"/>
        <v>1423</v>
      </c>
      <c r="U443" s="42">
        <f t="shared" si="190"/>
        <v>2593</v>
      </c>
    </row>
    <row r="444" spans="1:22" x14ac:dyDescent="0.15">
      <c r="A444" s="26" t="s">
        <v>257</v>
      </c>
      <c r="B444" s="13"/>
      <c r="C444" s="14"/>
      <c r="D444" s="15"/>
      <c r="E444" s="11">
        <f>SUM(B444:D444)</f>
        <v>0</v>
      </c>
      <c r="F444" s="16">
        <v>1</v>
      </c>
      <c r="G444" s="14"/>
      <c r="H444" s="15"/>
      <c r="I444" s="11">
        <f>SUM(F444:H444)</f>
        <v>1</v>
      </c>
      <c r="J444" s="11">
        <f>E444+I444</f>
        <v>1</v>
      </c>
      <c r="K444" s="65">
        <v>42184</v>
      </c>
      <c r="L444" s="27" t="s">
        <v>275</v>
      </c>
      <c r="M444" s="13">
        <v>50</v>
      </c>
      <c r="N444" s="14">
        <v>50</v>
      </c>
      <c r="O444" s="15">
        <v>50</v>
      </c>
      <c r="P444" s="11">
        <f>SUM(M444:O444)</f>
        <v>150</v>
      </c>
      <c r="Q444" s="16">
        <v>50</v>
      </c>
      <c r="R444" s="14">
        <v>50</v>
      </c>
      <c r="S444" s="15">
        <v>50</v>
      </c>
      <c r="T444" s="11">
        <f>SUM(Q444:S444)</f>
        <v>150</v>
      </c>
      <c r="U444" s="11">
        <f>P444+T444</f>
        <v>300</v>
      </c>
      <c r="V444" s="65">
        <v>42255</v>
      </c>
    </row>
    <row r="445" spans="1:22" x14ac:dyDescent="0.15">
      <c r="A445" s="29" t="s">
        <v>124</v>
      </c>
      <c r="B445" s="13">
        <v>1</v>
      </c>
      <c r="C445" s="14"/>
      <c r="D445" s="15"/>
      <c r="E445" s="11">
        <f t="shared" ref="E445:E469" si="191">SUM(B445:D445)</f>
        <v>1</v>
      </c>
      <c r="F445" s="16"/>
      <c r="G445" s="14"/>
      <c r="H445" s="15"/>
      <c r="I445" s="11">
        <f t="shared" ref="I445:I469" si="192">SUM(F445:H445)</f>
        <v>0</v>
      </c>
      <c r="J445" s="11">
        <f t="shared" ref="J445:J469" si="193">E445+I445</f>
        <v>1</v>
      </c>
      <c r="K445" s="65">
        <v>42196</v>
      </c>
      <c r="L445" s="27" t="s">
        <v>276</v>
      </c>
      <c r="M445" s="8">
        <v>30</v>
      </c>
      <c r="N445" s="9">
        <v>35</v>
      </c>
      <c r="O445" s="10">
        <v>20</v>
      </c>
      <c r="P445" s="11">
        <f>SUM(M445:O445)</f>
        <v>85</v>
      </c>
      <c r="Q445" s="12">
        <v>5</v>
      </c>
      <c r="R445" s="9">
        <v>10</v>
      </c>
      <c r="S445" s="10">
        <v>10</v>
      </c>
      <c r="T445" s="11">
        <f>SUM(Q445:S445)</f>
        <v>25</v>
      </c>
      <c r="U445" s="11">
        <f>P445+T445</f>
        <v>110</v>
      </c>
      <c r="V445" s="65">
        <v>42257</v>
      </c>
    </row>
    <row r="446" spans="1:22" x14ac:dyDescent="0.15">
      <c r="A446" s="27" t="s">
        <v>259</v>
      </c>
      <c r="B446" s="8"/>
      <c r="C446" s="9">
        <v>1</v>
      </c>
      <c r="D446" s="10"/>
      <c r="E446" s="11">
        <f t="shared" si="191"/>
        <v>1</v>
      </c>
      <c r="F446" s="12"/>
      <c r="G446" s="9"/>
      <c r="H446" s="10"/>
      <c r="I446" s="11">
        <f t="shared" si="192"/>
        <v>0</v>
      </c>
      <c r="J446" s="11">
        <f t="shared" si="193"/>
        <v>1</v>
      </c>
      <c r="K446" s="65">
        <v>42191</v>
      </c>
      <c r="L446" s="27" t="s">
        <v>279</v>
      </c>
      <c r="M446" s="8">
        <v>50</v>
      </c>
      <c r="N446" s="9">
        <v>50</v>
      </c>
      <c r="O446" s="10">
        <v>0</v>
      </c>
      <c r="P446" s="11">
        <f t="shared" ref="P446:P469" si="194">SUM(M446:O446)</f>
        <v>100</v>
      </c>
      <c r="Q446" s="12">
        <v>50</v>
      </c>
      <c r="R446" s="9">
        <v>50</v>
      </c>
      <c r="S446" s="10">
        <v>50</v>
      </c>
      <c r="T446" s="11">
        <f t="shared" ref="T446:T469" si="195">SUM(Q446:S446)</f>
        <v>150</v>
      </c>
      <c r="U446" s="11">
        <f t="shared" ref="U446:U469" si="196">P446+T446</f>
        <v>250</v>
      </c>
      <c r="V446" s="65">
        <v>42259</v>
      </c>
    </row>
    <row r="447" spans="1:22" x14ac:dyDescent="0.15">
      <c r="A447" s="29" t="s">
        <v>258</v>
      </c>
      <c r="B447" s="8"/>
      <c r="C447" s="9">
        <v>2</v>
      </c>
      <c r="D447" s="10"/>
      <c r="E447" s="11">
        <f t="shared" si="191"/>
        <v>2</v>
      </c>
      <c r="F447" s="12"/>
      <c r="G447" s="9"/>
      <c r="H447" s="10"/>
      <c r="I447" s="11">
        <f t="shared" si="192"/>
        <v>0</v>
      </c>
      <c r="J447" s="11">
        <f t="shared" si="193"/>
        <v>2</v>
      </c>
      <c r="K447" s="71">
        <v>42192</v>
      </c>
      <c r="L447" s="27" t="s">
        <v>284</v>
      </c>
      <c r="M447" s="8">
        <v>30</v>
      </c>
      <c r="N447" s="9">
        <v>41</v>
      </c>
      <c r="O447" s="10">
        <v>36</v>
      </c>
      <c r="P447" s="11">
        <f t="shared" si="194"/>
        <v>107</v>
      </c>
      <c r="Q447" s="12">
        <v>18</v>
      </c>
      <c r="R447" s="9">
        <v>19</v>
      </c>
      <c r="S447" s="10">
        <v>12</v>
      </c>
      <c r="T447" s="11">
        <f t="shared" si="195"/>
        <v>49</v>
      </c>
      <c r="U447" s="11">
        <f t="shared" si="196"/>
        <v>156</v>
      </c>
      <c r="V447" s="65">
        <v>42262</v>
      </c>
    </row>
    <row r="448" spans="1:22" x14ac:dyDescent="0.15">
      <c r="A448" s="27" t="s">
        <v>277</v>
      </c>
      <c r="B448" s="8"/>
      <c r="C448" s="9">
        <v>2</v>
      </c>
      <c r="D448" s="10"/>
      <c r="E448" s="11">
        <f t="shared" si="191"/>
        <v>2</v>
      </c>
      <c r="F448" s="12"/>
      <c r="G448" s="9"/>
      <c r="H448" s="10"/>
      <c r="I448" s="11">
        <f t="shared" si="192"/>
        <v>0</v>
      </c>
      <c r="J448" s="11">
        <f t="shared" si="193"/>
        <v>2</v>
      </c>
      <c r="K448" s="65">
        <v>42198</v>
      </c>
      <c r="L448" s="27" t="s">
        <v>285</v>
      </c>
      <c r="M448" s="8">
        <v>100</v>
      </c>
      <c r="N448" s="9">
        <v>50</v>
      </c>
      <c r="O448" s="10">
        <v>50</v>
      </c>
      <c r="P448" s="11">
        <f t="shared" si="194"/>
        <v>200</v>
      </c>
      <c r="Q448" s="12">
        <v>100</v>
      </c>
      <c r="R448" s="9"/>
      <c r="S448" s="10"/>
      <c r="T448" s="11">
        <f t="shared" si="195"/>
        <v>100</v>
      </c>
      <c r="U448" s="11">
        <f t="shared" si="196"/>
        <v>300</v>
      </c>
      <c r="V448" s="65">
        <v>42265</v>
      </c>
    </row>
    <row r="449" spans="1:23" x14ac:dyDescent="0.15">
      <c r="A449" s="29" t="s">
        <v>260</v>
      </c>
      <c r="B449" s="8"/>
      <c r="C449" s="9"/>
      <c r="D449" s="10">
        <v>2</v>
      </c>
      <c r="E449" s="11">
        <f t="shared" si="191"/>
        <v>2</v>
      </c>
      <c r="F449" s="12"/>
      <c r="G449" s="9">
        <v>1</v>
      </c>
      <c r="H449" s="10"/>
      <c r="I449" s="11">
        <f t="shared" si="192"/>
        <v>1</v>
      </c>
      <c r="J449" s="11">
        <f t="shared" si="193"/>
        <v>3</v>
      </c>
      <c r="K449" s="65">
        <v>42199</v>
      </c>
      <c r="L449" s="27" t="s">
        <v>286</v>
      </c>
      <c r="M449" s="8">
        <v>55</v>
      </c>
      <c r="N449" s="9">
        <v>110</v>
      </c>
      <c r="O449" s="10">
        <v>100</v>
      </c>
      <c r="P449" s="11">
        <f t="shared" si="194"/>
        <v>265</v>
      </c>
      <c r="Q449" s="12"/>
      <c r="R449" s="9">
        <v>80</v>
      </c>
      <c r="S449" s="10">
        <v>30</v>
      </c>
      <c r="T449" s="11">
        <f t="shared" si="195"/>
        <v>110</v>
      </c>
      <c r="U449" s="11">
        <f t="shared" si="196"/>
        <v>375</v>
      </c>
      <c r="V449" s="65">
        <v>42265</v>
      </c>
    </row>
    <row r="450" spans="1:23" x14ac:dyDescent="0.15">
      <c r="A450" s="29" t="s">
        <v>32</v>
      </c>
      <c r="B450" s="8"/>
      <c r="C450" s="9"/>
      <c r="D450" s="10"/>
      <c r="E450" s="11">
        <f t="shared" si="191"/>
        <v>0</v>
      </c>
      <c r="F450" s="12">
        <v>3</v>
      </c>
      <c r="G450" s="9"/>
      <c r="H450" s="10"/>
      <c r="I450" s="11">
        <f t="shared" si="192"/>
        <v>3</v>
      </c>
      <c r="J450" s="11">
        <f t="shared" si="193"/>
        <v>3</v>
      </c>
      <c r="K450" s="71">
        <v>42202</v>
      </c>
      <c r="L450" s="27" t="s">
        <v>23</v>
      </c>
      <c r="M450" s="8"/>
      <c r="N450" s="9">
        <v>50</v>
      </c>
      <c r="O450" s="10"/>
      <c r="P450" s="11">
        <f t="shared" si="194"/>
        <v>50</v>
      </c>
      <c r="Q450" s="12"/>
      <c r="R450" s="9">
        <v>50</v>
      </c>
      <c r="S450" s="10"/>
      <c r="T450" s="11">
        <f t="shared" si="195"/>
        <v>50</v>
      </c>
      <c r="U450" s="11">
        <f t="shared" si="196"/>
        <v>100</v>
      </c>
      <c r="V450" s="65">
        <v>42266</v>
      </c>
    </row>
    <row r="451" spans="1:23" x14ac:dyDescent="0.15">
      <c r="A451" s="29" t="s">
        <v>32</v>
      </c>
      <c r="B451" s="8"/>
      <c r="C451" s="9"/>
      <c r="D451" s="10"/>
      <c r="E451" s="11">
        <f t="shared" si="191"/>
        <v>0</v>
      </c>
      <c r="F451" s="12"/>
      <c r="G451" s="9"/>
      <c r="H451" s="10">
        <v>1</v>
      </c>
      <c r="I451" s="11">
        <f t="shared" si="192"/>
        <v>1</v>
      </c>
      <c r="J451" s="11">
        <f t="shared" si="193"/>
        <v>1</v>
      </c>
      <c r="K451" s="71">
        <v>42209</v>
      </c>
      <c r="L451" s="27" t="s">
        <v>290</v>
      </c>
      <c r="M451" s="8">
        <v>20</v>
      </c>
      <c r="N451" s="9">
        <v>30</v>
      </c>
      <c r="O451" s="10"/>
      <c r="P451" s="11">
        <f t="shared" si="194"/>
        <v>50</v>
      </c>
      <c r="Q451" s="12">
        <v>10</v>
      </c>
      <c r="R451" s="9">
        <v>10</v>
      </c>
      <c r="S451" s="10">
        <v>10</v>
      </c>
      <c r="T451" s="11">
        <f t="shared" si="195"/>
        <v>30</v>
      </c>
      <c r="U451" s="11">
        <f t="shared" si="196"/>
        <v>80</v>
      </c>
      <c r="V451" s="65">
        <v>42266</v>
      </c>
      <c r="W451" s="64"/>
    </row>
    <row r="452" spans="1:23" x14ac:dyDescent="0.15">
      <c r="A452" s="29" t="s">
        <v>262</v>
      </c>
      <c r="B452" s="13"/>
      <c r="C452" s="14"/>
      <c r="D452" s="15"/>
      <c r="E452" s="11">
        <f t="shared" si="191"/>
        <v>0</v>
      </c>
      <c r="F452" s="16">
        <v>2</v>
      </c>
      <c r="G452" s="14"/>
      <c r="H452" s="15"/>
      <c r="I452" s="11">
        <f t="shared" si="192"/>
        <v>2</v>
      </c>
      <c r="J452" s="11">
        <f t="shared" si="193"/>
        <v>2</v>
      </c>
      <c r="K452" s="71">
        <v>42222</v>
      </c>
      <c r="L452" s="29"/>
      <c r="M452" s="8"/>
      <c r="N452" s="9"/>
      <c r="O452" s="10"/>
      <c r="P452" s="11">
        <f t="shared" si="194"/>
        <v>0</v>
      </c>
      <c r="Q452" s="12"/>
      <c r="R452" s="9"/>
      <c r="S452" s="10"/>
      <c r="T452" s="11">
        <f t="shared" si="195"/>
        <v>0</v>
      </c>
      <c r="U452" s="11">
        <f t="shared" si="196"/>
        <v>0</v>
      </c>
    </row>
    <row r="453" spans="1:23" x14ac:dyDescent="0.15">
      <c r="A453" s="29" t="s">
        <v>264</v>
      </c>
      <c r="B453" s="13"/>
      <c r="C453" s="14"/>
      <c r="D453" s="15">
        <v>2</v>
      </c>
      <c r="E453" s="11">
        <f t="shared" si="191"/>
        <v>2</v>
      </c>
      <c r="F453" s="16"/>
      <c r="G453" s="14"/>
      <c r="H453" s="15"/>
      <c r="I453" s="11">
        <f t="shared" si="192"/>
        <v>0</v>
      </c>
      <c r="J453" s="11">
        <f t="shared" si="193"/>
        <v>2</v>
      </c>
      <c r="K453" s="71">
        <v>42224</v>
      </c>
      <c r="L453" s="29"/>
      <c r="M453" s="13"/>
      <c r="N453" s="14"/>
      <c r="O453" s="15"/>
      <c r="P453" s="11">
        <f t="shared" si="194"/>
        <v>0</v>
      </c>
      <c r="Q453" s="16"/>
      <c r="R453" s="14"/>
      <c r="S453" s="15"/>
      <c r="T453" s="11">
        <f t="shared" si="195"/>
        <v>0</v>
      </c>
      <c r="U453" s="11">
        <f t="shared" si="196"/>
        <v>0</v>
      </c>
    </row>
    <row r="454" spans="1:23" x14ac:dyDescent="0.15">
      <c r="A454" s="29" t="s">
        <v>124</v>
      </c>
      <c r="B454" s="8">
        <v>2</v>
      </c>
      <c r="C454" s="9"/>
      <c r="D454" s="10"/>
      <c r="E454" s="11">
        <f t="shared" si="191"/>
        <v>2</v>
      </c>
      <c r="F454" s="12"/>
      <c r="G454" s="9"/>
      <c r="H454" s="10"/>
      <c r="I454" s="11">
        <f t="shared" si="192"/>
        <v>0</v>
      </c>
      <c r="J454" s="11">
        <f t="shared" si="193"/>
        <v>2</v>
      </c>
      <c r="K454" s="65">
        <v>42237</v>
      </c>
      <c r="L454" s="29"/>
      <c r="M454" s="8"/>
      <c r="N454" s="9"/>
      <c r="O454" s="10"/>
      <c r="P454" s="11">
        <f t="shared" si="194"/>
        <v>0</v>
      </c>
      <c r="Q454" s="12"/>
      <c r="R454" s="9"/>
      <c r="S454" s="10"/>
      <c r="T454" s="11">
        <f t="shared" si="195"/>
        <v>0</v>
      </c>
      <c r="U454" s="11">
        <f t="shared" si="196"/>
        <v>0</v>
      </c>
    </row>
    <row r="455" spans="1:23" x14ac:dyDescent="0.15">
      <c r="A455" s="29" t="s">
        <v>274</v>
      </c>
      <c r="B455" s="8">
        <v>1</v>
      </c>
      <c r="C455" s="9">
        <v>3</v>
      </c>
      <c r="D455" s="10"/>
      <c r="E455" s="11">
        <f t="shared" si="191"/>
        <v>4</v>
      </c>
      <c r="F455" s="12">
        <v>1</v>
      </c>
      <c r="G455" s="9">
        <v>2</v>
      </c>
      <c r="H455" s="10"/>
      <c r="I455" s="11">
        <f t="shared" si="192"/>
        <v>3</v>
      </c>
      <c r="J455" s="11">
        <f t="shared" si="193"/>
        <v>7</v>
      </c>
      <c r="K455" s="71">
        <v>42234</v>
      </c>
      <c r="L455" s="29"/>
      <c r="M455" s="8"/>
      <c r="N455" s="9"/>
      <c r="O455" s="10"/>
      <c r="P455" s="11">
        <f t="shared" si="194"/>
        <v>0</v>
      </c>
      <c r="Q455" s="12"/>
      <c r="R455" s="9"/>
      <c r="S455" s="10"/>
      <c r="T455" s="11">
        <f t="shared" si="195"/>
        <v>0</v>
      </c>
      <c r="U455" s="11">
        <f t="shared" si="196"/>
        <v>0</v>
      </c>
    </row>
    <row r="456" spans="1:23" x14ac:dyDescent="0.15">
      <c r="A456" s="27" t="s">
        <v>265</v>
      </c>
      <c r="B456" s="8"/>
      <c r="C456" s="9">
        <v>1</v>
      </c>
      <c r="D456" s="10"/>
      <c r="E456" s="11">
        <f t="shared" si="191"/>
        <v>1</v>
      </c>
      <c r="F456" s="12"/>
      <c r="G456" s="9"/>
      <c r="H456" s="10"/>
      <c r="I456" s="11">
        <f t="shared" si="192"/>
        <v>0</v>
      </c>
      <c r="J456" s="11">
        <f t="shared" si="193"/>
        <v>1</v>
      </c>
      <c r="K456" s="71">
        <v>42233</v>
      </c>
      <c r="L456" s="27"/>
      <c r="M456" s="8"/>
      <c r="N456" s="9"/>
      <c r="O456" s="10"/>
      <c r="P456" s="11">
        <f t="shared" si="194"/>
        <v>0</v>
      </c>
      <c r="Q456" s="12"/>
      <c r="R456" s="9"/>
      <c r="S456" s="10"/>
      <c r="T456" s="11">
        <f t="shared" si="195"/>
        <v>0</v>
      </c>
      <c r="U456" s="11">
        <f t="shared" si="196"/>
        <v>0</v>
      </c>
    </row>
    <row r="457" spans="1:23" x14ac:dyDescent="0.15">
      <c r="A457" s="27" t="s">
        <v>267</v>
      </c>
      <c r="B457" s="8"/>
      <c r="C457" s="9">
        <v>9</v>
      </c>
      <c r="D457" s="10">
        <v>6</v>
      </c>
      <c r="E457" s="11">
        <f t="shared" si="191"/>
        <v>15</v>
      </c>
      <c r="F457" s="12">
        <v>3</v>
      </c>
      <c r="G457" s="9">
        <v>3</v>
      </c>
      <c r="H457" s="10">
        <v>3</v>
      </c>
      <c r="I457" s="11">
        <f t="shared" si="192"/>
        <v>9</v>
      </c>
      <c r="J457" s="11">
        <f t="shared" si="193"/>
        <v>24</v>
      </c>
      <c r="K457" s="65">
        <v>42237</v>
      </c>
      <c r="L457" s="29"/>
      <c r="M457" s="8"/>
      <c r="N457" s="9"/>
      <c r="O457" s="10"/>
      <c r="P457" s="11">
        <f t="shared" si="194"/>
        <v>0</v>
      </c>
      <c r="Q457" s="12"/>
      <c r="R457" s="9"/>
      <c r="S457" s="10"/>
      <c r="T457" s="11">
        <f t="shared" si="195"/>
        <v>0</v>
      </c>
      <c r="U457" s="11">
        <f t="shared" si="196"/>
        <v>0</v>
      </c>
    </row>
    <row r="458" spans="1:23" x14ac:dyDescent="0.15">
      <c r="A458" s="29" t="s">
        <v>268</v>
      </c>
      <c r="B458" s="8"/>
      <c r="C458" s="9">
        <v>2</v>
      </c>
      <c r="D458" s="10"/>
      <c r="E458" s="11">
        <f t="shared" si="191"/>
        <v>2</v>
      </c>
      <c r="F458" s="12"/>
      <c r="G458" s="9"/>
      <c r="H458" s="10"/>
      <c r="I458" s="11">
        <f t="shared" si="192"/>
        <v>0</v>
      </c>
      <c r="J458" s="11">
        <f t="shared" si="193"/>
        <v>2</v>
      </c>
      <c r="K458" s="71">
        <v>42235</v>
      </c>
      <c r="L458" s="29"/>
      <c r="M458" s="8"/>
      <c r="N458" s="9"/>
      <c r="O458" s="10"/>
      <c r="P458" s="11">
        <f t="shared" si="194"/>
        <v>0</v>
      </c>
      <c r="Q458" s="12"/>
      <c r="R458" s="9"/>
      <c r="S458" s="10"/>
      <c r="T458" s="11">
        <f t="shared" si="195"/>
        <v>0</v>
      </c>
      <c r="U458" s="11">
        <f t="shared" si="196"/>
        <v>0</v>
      </c>
    </row>
    <row r="459" spans="1:23" x14ac:dyDescent="0.15">
      <c r="A459" s="29" t="s">
        <v>67</v>
      </c>
      <c r="B459" s="8">
        <v>1</v>
      </c>
      <c r="C459" s="9"/>
      <c r="D459" s="10"/>
      <c r="E459" s="11">
        <f t="shared" si="191"/>
        <v>1</v>
      </c>
      <c r="F459" s="12">
        <v>1</v>
      </c>
      <c r="G459" s="9"/>
      <c r="H459" s="10"/>
      <c r="I459" s="11">
        <f t="shared" si="192"/>
        <v>1</v>
      </c>
      <c r="J459" s="11">
        <f t="shared" si="193"/>
        <v>2</v>
      </c>
      <c r="K459" s="71">
        <v>42236</v>
      </c>
      <c r="L459" s="27"/>
      <c r="M459" s="8"/>
      <c r="N459" s="9"/>
      <c r="O459" s="10"/>
      <c r="P459" s="11">
        <f t="shared" si="194"/>
        <v>0</v>
      </c>
      <c r="Q459" s="12"/>
      <c r="R459" s="9"/>
      <c r="S459" s="10"/>
      <c r="T459" s="11">
        <f t="shared" si="195"/>
        <v>0</v>
      </c>
      <c r="U459" s="11">
        <f t="shared" si="196"/>
        <v>0</v>
      </c>
    </row>
    <row r="460" spans="1:23" x14ac:dyDescent="0.15">
      <c r="A460" s="29" t="s">
        <v>67</v>
      </c>
      <c r="B460" s="8"/>
      <c r="C460" s="9">
        <v>1</v>
      </c>
      <c r="D460" s="10"/>
      <c r="E460" s="11">
        <f t="shared" si="191"/>
        <v>1</v>
      </c>
      <c r="F460" s="12"/>
      <c r="G460" s="9"/>
      <c r="H460" s="10"/>
      <c r="I460" s="11">
        <f t="shared" si="192"/>
        <v>0</v>
      </c>
      <c r="J460" s="11">
        <f t="shared" si="193"/>
        <v>1</v>
      </c>
      <c r="K460" s="71">
        <v>42237</v>
      </c>
      <c r="L460" s="29"/>
      <c r="M460" s="8"/>
      <c r="N460" s="9"/>
      <c r="O460" s="10"/>
      <c r="P460" s="11">
        <f t="shared" si="194"/>
        <v>0</v>
      </c>
      <c r="Q460" s="12"/>
      <c r="R460" s="9"/>
      <c r="S460" s="10"/>
      <c r="T460" s="11">
        <f t="shared" si="195"/>
        <v>0</v>
      </c>
      <c r="U460" s="11">
        <f t="shared" si="196"/>
        <v>0</v>
      </c>
    </row>
    <row r="461" spans="1:23" x14ac:dyDescent="0.15">
      <c r="A461" s="27" t="s">
        <v>272</v>
      </c>
      <c r="B461" s="8"/>
      <c r="C461" s="9"/>
      <c r="D461" s="10">
        <v>1</v>
      </c>
      <c r="E461" s="11">
        <f t="shared" si="191"/>
        <v>1</v>
      </c>
      <c r="F461" s="12"/>
      <c r="G461" s="9"/>
      <c r="H461" s="10"/>
      <c r="I461" s="11">
        <f t="shared" si="192"/>
        <v>0</v>
      </c>
      <c r="J461" s="11">
        <f t="shared" si="193"/>
        <v>1</v>
      </c>
      <c r="K461" s="71">
        <v>42240</v>
      </c>
      <c r="L461" s="27"/>
      <c r="M461" s="8"/>
      <c r="N461" s="9"/>
      <c r="O461" s="10"/>
      <c r="P461" s="11">
        <f t="shared" si="194"/>
        <v>0</v>
      </c>
      <c r="Q461" s="12"/>
      <c r="R461" s="9"/>
      <c r="S461" s="10"/>
      <c r="T461" s="11">
        <f t="shared" si="195"/>
        <v>0</v>
      </c>
      <c r="U461" s="11">
        <f t="shared" si="196"/>
        <v>0</v>
      </c>
    </row>
    <row r="462" spans="1:23" x14ac:dyDescent="0.15">
      <c r="A462" s="26" t="s">
        <v>269</v>
      </c>
      <c r="B462" s="8"/>
      <c r="C462" s="9"/>
      <c r="D462" s="10"/>
      <c r="E462" s="11">
        <f t="shared" si="191"/>
        <v>0</v>
      </c>
      <c r="F462" s="12">
        <v>1</v>
      </c>
      <c r="G462" s="9">
        <v>3</v>
      </c>
      <c r="H462" s="10"/>
      <c r="I462" s="11">
        <f t="shared" si="192"/>
        <v>4</v>
      </c>
      <c r="J462" s="11">
        <f t="shared" si="193"/>
        <v>4</v>
      </c>
      <c r="K462" s="71">
        <v>42241</v>
      </c>
      <c r="L462" s="26"/>
      <c r="M462" s="8"/>
      <c r="N462" s="9"/>
      <c r="O462" s="10"/>
      <c r="P462" s="11">
        <f t="shared" si="194"/>
        <v>0</v>
      </c>
      <c r="Q462" s="12"/>
      <c r="R462" s="9"/>
      <c r="S462" s="10"/>
      <c r="T462" s="11">
        <f t="shared" si="195"/>
        <v>0</v>
      </c>
      <c r="U462" s="11">
        <f t="shared" si="196"/>
        <v>0</v>
      </c>
    </row>
    <row r="463" spans="1:23" x14ac:dyDescent="0.15">
      <c r="A463" s="27" t="s">
        <v>266</v>
      </c>
      <c r="B463" s="8"/>
      <c r="C463" s="9">
        <v>3</v>
      </c>
      <c r="D463" s="10"/>
      <c r="E463" s="11">
        <f t="shared" si="191"/>
        <v>3</v>
      </c>
      <c r="F463" s="12">
        <v>3</v>
      </c>
      <c r="G463" s="9"/>
      <c r="H463" s="10"/>
      <c r="I463" s="11">
        <f t="shared" si="192"/>
        <v>3</v>
      </c>
      <c r="J463" s="11">
        <f t="shared" si="193"/>
        <v>6</v>
      </c>
      <c r="K463" s="65">
        <v>42243</v>
      </c>
      <c r="L463" s="26"/>
      <c r="M463" s="8"/>
      <c r="N463" s="9"/>
      <c r="O463" s="10"/>
      <c r="P463" s="11">
        <f t="shared" si="194"/>
        <v>0</v>
      </c>
      <c r="Q463" s="12"/>
      <c r="R463" s="9"/>
      <c r="S463" s="10"/>
      <c r="T463" s="11">
        <f t="shared" si="195"/>
        <v>0</v>
      </c>
      <c r="U463" s="11">
        <f t="shared" si="196"/>
        <v>0</v>
      </c>
    </row>
    <row r="464" spans="1:23" x14ac:dyDescent="0.15">
      <c r="A464" s="27" t="s">
        <v>270</v>
      </c>
      <c r="B464" s="8"/>
      <c r="C464" s="9"/>
      <c r="D464" s="10">
        <v>1</v>
      </c>
      <c r="E464" s="11">
        <f t="shared" si="191"/>
        <v>1</v>
      </c>
      <c r="F464" s="12"/>
      <c r="G464" s="9"/>
      <c r="H464" s="10"/>
      <c r="I464" s="11">
        <f t="shared" si="192"/>
        <v>0</v>
      </c>
      <c r="J464" s="11">
        <f t="shared" si="193"/>
        <v>1</v>
      </c>
      <c r="K464" s="71">
        <v>42243</v>
      </c>
      <c r="L464" s="27"/>
      <c r="M464" s="8"/>
      <c r="N464" s="9"/>
      <c r="O464" s="10"/>
      <c r="P464" s="11">
        <f t="shared" si="194"/>
        <v>0</v>
      </c>
      <c r="Q464" s="12"/>
      <c r="R464" s="9"/>
      <c r="S464" s="10"/>
      <c r="T464" s="11">
        <f t="shared" si="195"/>
        <v>0</v>
      </c>
      <c r="U464" s="11">
        <f t="shared" si="196"/>
        <v>0</v>
      </c>
    </row>
    <row r="465" spans="1:22" x14ac:dyDescent="0.15">
      <c r="A465" s="29" t="s">
        <v>280</v>
      </c>
      <c r="B465" s="13">
        <v>3</v>
      </c>
      <c r="C465" s="14">
        <v>5</v>
      </c>
      <c r="D465" s="15"/>
      <c r="E465" s="11">
        <f t="shared" si="191"/>
        <v>8</v>
      </c>
      <c r="F465" s="16"/>
      <c r="G465" s="14"/>
      <c r="H465" s="15"/>
      <c r="I465" s="11">
        <f t="shared" si="192"/>
        <v>0</v>
      </c>
      <c r="J465" s="11">
        <f t="shared" si="193"/>
        <v>8</v>
      </c>
      <c r="K465" s="71">
        <v>42249</v>
      </c>
      <c r="L465" s="29"/>
      <c r="M465" s="13"/>
      <c r="N465" s="14"/>
      <c r="O465" s="15"/>
      <c r="P465" s="11">
        <f t="shared" si="194"/>
        <v>0</v>
      </c>
      <c r="Q465" s="16"/>
      <c r="R465" s="14"/>
      <c r="S465" s="15"/>
      <c r="T465" s="11">
        <f t="shared" si="195"/>
        <v>0</v>
      </c>
      <c r="U465" s="11">
        <f t="shared" si="196"/>
        <v>0</v>
      </c>
    </row>
    <row r="466" spans="1:22" x14ac:dyDescent="0.15">
      <c r="A466" s="27" t="s">
        <v>278</v>
      </c>
      <c r="B466" s="8"/>
      <c r="C466" s="9"/>
      <c r="D466" s="10"/>
      <c r="E466" s="11">
        <f t="shared" si="191"/>
        <v>0</v>
      </c>
      <c r="F466" s="12">
        <v>1</v>
      </c>
      <c r="G466" s="9"/>
      <c r="H466" s="10">
        <v>1</v>
      </c>
      <c r="I466" s="11">
        <f t="shared" si="192"/>
        <v>2</v>
      </c>
      <c r="J466" s="11">
        <f t="shared" si="193"/>
        <v>2</v>
      </c>
      <c r="K466" s="71">
        <v>42255</v>
      </c>
      <c r="L466" s="6"/>
      <c r="M466" s="13"/>
      <c r="N466" s="14"/>
      <c r="O466" s="15"/>
      <c r="P466" s="11">
        <f t="shared" si="194"/>
        <v>0</v>
      </c>
      <c r="Q466" s="16"/>
      <c r="R466" s="14"/>
      <c r="S466" s="15"/>
      <c r="T466" s="11">
        <f t="shared" si="195"/>
        <v>0</v>
      </c>
      <c r="U466" s="11">
        <f t="shared" si="196"/>
        <v>0</v>
      </c>
    </row>
    <row r="467" spans="1:22" x14ac:dyDescent="0.15">
      <c r="A467" s="27" t="s">
        <v>281</v>
      </c>
      <c r="B467" s="8">
        <v>3</v>
      </c>
      <c r="C467" s="9"/>
      <c r="D467" s="10">
        <v>1</v>
      </c>
      <c r="E467" s="11">
        <f t="shared" si="191"/>
        <v>4</v>
      </c>
      <c r="F467" s="12"/>
      <c r="G467" s="9">
        <v>1</v>
      </c>
      <c r="H467" s="10">
        <v>3</v>
      </c>
      <c r="I467" s="11">
        <f t="shared" si="192"/>
        <v>4</v>
      </c>
      <c r="J467" s="11">
        <f t="shared" si="193"/>
        <v>8</v>
      </c>
      <c r="K467" s="71">
        <v>42256</v>
      </c>
      <c r="L467" s="86"/>
      <c r="M467" s="13"/>
      <c r="N467" s="14"/>
      <c r="O467" s="15"/>
      <c r="P467" s="11">
        <f t="shared" si="194"/>
        <v>0</v>
      </c>
      <c r="Q467" s="16"/>
      <c r="R467" s="14"/>
      <c r="S467" s="15"/>
      <c r="T467" s="11">
        <f t="shared" si="195"/>
        <v>0</v>
      </c>
      <c r="U467" s="11">
        <f t="shared" si="196"/>
        <v>0</v>
      </c>
      <c r="V467" s="64"/>
    </row>
    <row r="468" spans="1:22" x14ac:dyDescent="0.15">
      <c r="A468" s="29" t="s">
        <v>282</v>
      </c>
      <c r="B468" s="8">
        <v>1</v>
      </c>
      <c r="C468" s="9"/>
      <c r="D468" s="10"/>
      <c r="E468" s="11">
        <f t="shared" si="191"/>
        <v>1</v>
      </c>
      <c r="F468" s="12"/>
      <c r="G468" s="9"/>
      <c r="H468" s="10"/>
      <c r="I468" s="11">
        <f t="shared" si="192"/>
        <v>0</v>
      </c>
      <c r="J468" s="11">
        <f t="shared" si="193"/>
        <v>1</v>
      </c>
      <c r="K468" s="71">
        <v>42257</v>
      </c>
      <c r="L468" s="27"/>
      <c r="M468" s="13"/>
      <c r="N468" s="14"/>
      <c r="O468" s="15"/>
      <c r="P468" s="11">
        <f>SUM(M468:O468)</f>
        <v>0</v>
      </c>
      <c r="Q468" s="16"/>
      <c r="R468" s="14"/>
      <c r="S468" s="15"/>
      <c r="T468" s="11">
        <f>SUM(Q468:S468)</f>
        <v>0</v>
      </c>
      <c r="U468" s="11">
        <f>P468+T468</f>
        <v>0</v>
      </c>
      <c r="V468" s="65"/>
    </row>
    <row r="469" spans="1:22" ht="14.25" thickBot="1" x14ac:dyDescent="0.2">
      <c r="A469" s="29" t="s">
        <v>35</v>
      </c>
      <c r="B469" s="8">
        <v>50</v>
      </c>
      <c r="C469" s="9">
        <v>50</v>
      </c>
      <c r="D469" s="10">
        <v>50</v>
      </c>
      <c r="E469" s="11">
        <f t="shared" si="191"/>
        <v>150</v>
      </c>
      <c r="F469" s="16">
        <v>50</v>
      </c>
      <c r="G469" s="14">
        <v>50</v>
      </c>
      <c r="H469" s="15">
        <v>50</v>
      </c>
      <c r="I469" s="11">
        <f t="shared" si="192"/>
        <v>150</v>
      </c>
      <c r="J469" s="11">
        <f t="shared" si="193"/>
        <v>300</v>
      </c>
      <c r="K469" s="65">
        <v>42265</v>
      </c>
      <c r="L469" s="86"/>
      <c r="M469" s="13"/>
      <c r="N469" s="14"/>
      <c r="O469" s="15"/>
      <c r="P469" s="11">
        <f t="shared" si="194"/>
        <v>0</v>
      </c>
      <c r="Q469" s="16"/>
      <c r="R469" s="14"/>
      <c r="S469" s="15"/>
      <c r="T469" s="11">
        <f t="shared" si="195"/>
        <v>0</v>
      </c>
      <c r="U469" s="11">
        <f t="shared" si="196"/>
        <v>0</v>
      </c>
      <c r="V469" s="64"/>
    </row>
    <row r="470" spans="1:22" ht="14.25" thickBot="1" x14ac:dyDescent="0.2">
      <c r="A470" s="44" t="s">
        <v>13</v>
      </c>
      <c r="B470" s="48">
        <f t="shared" ref="B470:I470" si="197">SUM(B444:B469)</f>
        <v>62</v>
      </c>
      <c r="C470" s="49">
        <f t="shared" si="197"/>
        <v>79</v>
      </c>
      <c r="D470" s="50">
        <f t="shared" si="197"/>
        <v>63</v>
      </c>
      <c r="E470" s="46">
        <f t="shared" si="197"/>
        <v>204</v>
      </c>
      <c r="F470" s="48">
        <f t="shared" si="197"/>
        <v>66</v>
      </c>
      <c r="G470" s="49">
        <f t="shared" si="197"/>
        <v>60</v>
      </c>
      <c r="H470" s="50">
        <f t="shared" si="197"/>
        <v>58</v>
      </c>
      <c r="I470" s="46">
        <f t="shared" si="197"/>
        <v>184</v>
      </c>
      <c r="J470" s="35">
        <f>E470+I470</f>
        <v>388</v>
      </c>
      <c r="L470" s="44" t="s">
        <v>13</v>
      </c>
      <c r="M470" s="48">
        <f t="shared" ref="M470:T470" si="198">SUM(M444:M469)</f>
        <v>335</v>
      </c>
      <c r="N470" s="49">
        <f t="shared" si="198"/>
        <v>416</v>
      </c>
      <c r="O470" s="50">
        <f t="shared" si="198"/>
        <v>256</v>
      </c>
      <c r="P470" s="46">
        <f t="shared" si="198"/>
        <v>1007</v>
      </c>
      <c r="Q470" s="48">
        <f t="shared" si="198"/>
        <v>233</v>
      </c>
      <c r="R470" s="49">
        <f t="shared" si="198"/>
        <v>269</v>
      </c>
      <c r="S470" s="50">
        <f t="shared" si="198"/>
        <v>162</v>
      </c>
      <c r="T470" s="46">
        <f t="shared" si="198"/>
        <v>664</v>
      </c>
      <c r="U470" s="35">
        <f>P470+T470</f>
        <v>1671</v>
      </c>
    </row>
    <row r="471" spans="1:22" ht="14.25" thickBot="1" x14ac:dyDescent="0.2">
      <c r="A471" s="23" t="s">
        <v>14</v>
      </c>
      <c r="B471" s="24">
        <f t="shared" ref="B471:J471" si="199">B443-B470</f>
        <v>43</v>
      </c>
      <c r="C471" s="25">
        <f t="shared" si="199"/>
        <v>30</v>
      </c>
      <c r="D471" s="30">
        <f t="shared" si="199"/>
        <v>90</v>
      </c>
      <c r="E471" s="51">
        <f t="shared" si="199"/>
        <v>163</v>
      </c>
      <c r="F471" s="24">
        <f t="shared" si="199"/>
        <v>32</v>
      </c>
      <c r="G471" s="25">
        <f t="shared" si="199"/>
        <v>25</v>
      </c>
      <c r="H471" s="30">
        <f t="shared" si="199"/>
        <v>55</v>
      </c>
      <c r="I471" s="47">
        <f t="shared" si="199"/>
        <v>112</v>
      </c>
      <c r="J471" s="79">
        <f t="shared" si="199"/>
        <v>275</v>
      </c>
      <c r="L471" s="23" t="s">
        <v>14</v>
      </c>
      <c r="M471" s="24">
        <f t="shared" ref="M471:U471" si="200">M443-M470</f>
        <v>95</v>
      </c>
      <c r="N471" s="25">
        <f t="shared" si="200"/>
        <v>64</v>
      </c>
      <c r="O471" s="30">
        <f t="shared" si="200"/>
        <v>4</v>
      </c>
      <c r="P471" s="51">
        <f t="shared" si="200"/>
        <v>163</v>
      </c>
      <c r="Q471" s="24">
        <f t="shared" si="200"/>
        <v>247</v>
      </c>
      <c r="R471" s="25">
        <f t="shared" si="200"/>
        <v>241</v>
      </c>
      <c r="S471" s="30">
        <f t="shared" si="200"/>
        <v>271</v>
      </c>
      <c r="T471" s="47">
        <f t="shared" si="200"/>
        <v>759</v>
      </c>
      <c r="U471" s="79">
        <f t="shared" si="200"/>
        <v>922</v>
      </c>
    </row>
    <row r="474" spans="1:22" ht="19.5" thickBot="1" x14ac:dyDescent="0.25">
      <c r="A474" s="2" t="s">
        <v>21</v>
      </c>
      <c r="B474" s="1"/>
      <c r="C474" s="1"/>
      <c r="D474" s="1"/>
      <c r="E474" s="1"/>
      <c r="F474" s="1"/>
      <c r="G474" s="1"/>
      <c r="H474" s="1"/>
      <c r="I474" s="1"/>
      <c r="J474" s="1"/>
      <c r="L474" s="93" t="s">
        <v>136</v>
      </c>
      <c r="M474" s="94"/>
      <c r="N474" s="94"/>
      <c r="O474" s="94"/>
      <c r="P474" s="1"/>
      <c r="Q474" s="1"/>
      <c r="R474" s="1"/>
      <c r="S474" s="1"/>
      <c r="T474" s="1"/>
      <c r="U474" s="1"/>
    </row>
    <row r="475" spans="1:22" ht="14.25" thickBot="1" x14ac:dyDescent="0.2">
      <c r="A475" s="7" t="s">
        <v>0</v>
      </c>
      <c r="B475" s="168" t="s">
        <v>1</v>
      </c>
      <c r="C475" s="169"/>
      <c r="D475" s="169"/>
      <c r="E475" s="170"/>
      <c r="F475" s="168" t="s">
        <v>2</v>
      </c>
      <c r="G475" s="169"/>
      <c r="H475" s="169"/>
      <c r="I475" s="171"/>
      <c r="J475" s="172" t="s">
        <v>3</v>
      </c>
      <c r="L475" s="7" t="s">
        <v>0</v>
      </c>
      <c r="M475" s="168" t="s">
        <v>1</v>
      </c>
      <c r="N475" s="169"/>
      <c r="O475" s="169"/>
      <c r="P475" s="170"/>
      <c r="Q475" s="168" t="s">
        <v>2</v>
      </c>
      <c r="R475" s="169"/>
      <c r="S475" s="169"/>
      <c r="T475" s="171"/>
      <c r="U475" s="172" t="s">
        <v>3</v>
      </c>
    </row>
    <row r="476" spans="1:22" ht="14.25" thickBot="1" x14ac:dyDescent="0.2">
      <c r="A476" s="7" t="s">
        <v>4</v>
      </c>
      <c r="B476" s="3" t="s">
        <v>5</v>
      </c>
      <c r="C476" s="4" t="s">
        <v>6</v>
      </c>
      <c r="D476" s="5" t="s">
        <v>7</v>
      </c>
      <c r="E476" s="7" t="s">
        <v>8</v>
      </c>
      <c r="F476" s="3" t="s">
        <v>5</v>
      </c>
      <c r="G476" s="4" t="s">
        <v>6</v>
      </c>
      <c r="H476" s="5" t="s">
        <v>7</v>
      </c>
      <c r="I476" s="7" t="s">
        <v>8</v>
      </c>
      <c r="J476" s="173"/>
      <c r="L476" s="7" t="s">
        <v>4</v>
      </c>
      <c r="M476" s="3" t="s">
        <v>5</v>
      </c>
      <c r="N476" s="4" t="s">
        <v>6</v>
      </c>
      <c r="O476" s="5" t="s">
        <v>7</v>
      </c>
      <c r="P476" s="7" t="s">
        <v>8</v>
      </c>
      <c r="Q476" s="3" t="s">
        <v>5</v>
      </c>
      <c r="R476" s="4" t="s">
        <v>6</v>
      </c>
      <c r="S476" s="5" t="s">
        <v>7</v>
      </c>
      <c r="T476" s="7" t="s">
        <v>8</v>
      </c>
      <c r="U476" s="173"/>
    </row>
    <row r="477" spans="1:22" ht="14.25" thickBot="1" x14ac:dyDescent="0.2">
      <c r="A477" s="31" t="s">
        <v>14</v>
      </c>
      <c r="B477" s="32">
        <f>B471</f>
        <v>43</v>
      </c>
      <c r="C477" s="33">
        <f>C471</f>
        <v>30</v>
      </c>
      <c r="D477" s="34">
        <f>D471</f>
        <v>90</v>
      </c>
      <c r="E477" s="41">
        <f>SUM(B477:D477)</f>
        <v>163</v>
      </c>
      <c r="F477" s="32">
        <f>F471</f>
        <v>32</v>
      </c>
      <c r="G477" s="33">
        <f>G471</f>
        <v>25</v>
      </c>
      <c r="H477" s="34">
        <f>H471</f>
        <v>55</v>
      </c>
      <c r="I477" s="41">
        <f>SUM(F477:H477)</f>
        <v>112</v>
      </c>
      <c r="J477" s="41">
        <f>E477+I477</f>
        <v>275</v>
      </c>
      <c r="L477" s="31" t="s">
        <v>14</v>
      </c>
      <c r="M477" s="32">
        <f>M471</f>
        <v>95</v>
      </c>
      <c r="N477" s="33">
        <f>N471</f>
        <v>64</v>
      </c>
      <c r="O477" s="34">
        <f>O471</f>
        <v>4</v>
      </c>
      <c r="P477" s="35">
        <f>SUM(M477:O477)</f>
        <v>163</v>
      </c>
      <c r="Q477" s="32">
        <f>Q471</f>
        <v>247</v>
      </c>
      <c r="R477" s="33">
        <f>R471</f>
        <v>241</v>
      </c>
      <c r="S477" s="34">
        <f>S471</f>
        <v>271</v>
      </c>
      <c r="T477" s="35">
        <f>SUM(Q477:S477)</f>
        <v>759</v>
      </c>
      <c r="U477" s="35">
        <f>P477+T477</f>
        <v>922</v>
      </c>
    </row>
    <row r="478" spans="1:22" x14ac:dyDescent="0.15">
      <c r="A478" s="28" t="s">
        <v>9</v>
      </c>
      <c r="B478" s="17"/>
      <c r="C478" s="18">
        <v>50</v>
      </c>
      <c r="D478" s="19"/>
      <c r="E478" s="20">
        <f t="shared" ref="E478:E485" si="201">SUM(B478:D478)</f>
        <v>50</v>
      </c>
      <c r="F478" s="21"/>
      <c r="G478" s="18">
        <v>50</v>
      </c>
      <c r="H478" s="19"/>
      <c r="I478" s="20">
        <f t="shared" ref="I478:I485" si="202">SUM(F478:H478)</f>
        <v>50</v>
      </c>
      <c r="J478" s="20">
        <f t="shared" ref="J478:J485" si="203">E478+I478</f>
        <v>100</v>
      </c>
      <c r="K478" s="65">
        <v>42266</v>
      </c>
      <c r="L478" s="28" t="s">
        <v>9</v>
      </c>
      <c r="M478" s="8"/>
      <c r="N478" s="9">
        <v>50</v>
      </c>
      <c r="O478" s="10">
        <v>100</v>
      </c>
      <c r="P478" s="78">
        <f>SUM(M478:O478)</f>
        <v>150</v>
      </c>
      <c r="Q478" s="12"/>
      <c r="R478" s="9"/>
      <c r="S478" s="10"/>
      <c r="T478" s="78">
        <f>SUM(Q478:S478)</f>
        <v>0</v>
      </c>
      <c r="U478" s="78">
        <f>P478+T478</f>
        <v>150</v>
      </c>
      <c r="V478" s="65">
        <v>42299</v>
      </c>
    </row>
    <row r="479" spans="1:22" x14ac:dyDescent="0.15">
      <c r="A479" s="28" t="s">
        <v>210</v>
      </c>
      <c r="B479" s="8">
        <v>2</v>
      </c>
      <c r="C479" s="9">
        <v>2</v>
      </c>
      <c r="D479" s="10">
        <v>2</v>
      </c>
      <c r="E479" s="11">
        <f t="shared" si="201"/>
        <v>6</v>
      </c>
      <c r="F479" s="12"/>
      <c r="G479" s="9">
        <v>2</v>
      </c>
      <c r="H479" s="10">
        <v>2</v>
      </c>
      <c r="I479" s="11">
        <f t="shared" si="202"/>
        <v>4</v>
      </c>
      <c r="J479" s="11">
        <f t="shared" si="203"/>
        <v>10</v>
      </c>
      <c r="K479" s="71">
        <v>42276</v>
      </c>
      <c r="L479" s="28" t="s">
        <v>10</v>
      </c>
      <c r="M479" s="8"/>
      <c r="N479" s="9"/>
      <c r="O479" s="10"/>
      <c r="P479" s="11">
        <f t="shared" ref="P479:P485" si="204">SUM(M479:O479)</f>
        <v>0</v>
      </c>
      <c r="Q479" s="12"/>
      <c r="R479" s="9"/>
      <c r="S479" s="10"/>
      <c r="T479" s="11">
        <f t="shared" ref="T479:T485" si="205">SUM(Q479:S479)</f>
        <v>0</v>
      </c>
      <c r="U479" s="11">
        <f t="shared" ref="U479:U485" si="206">P479+T479</f>
        <v>0</v>
      </c>
      <c r="V479" s="58"/>
    </row>
    <row r="480" spans="1:22" x14ac:dyDescent="0.15">
      <c r="A480" s="28" t="s">
        <v>11</v>
      </c>
      <c r="B480" s="8"/>
      <c r="C480" s="9">
        <v>64</v>
      </c>
      <c r="D480" s="10">
        <v>4</v>
      </c>
      <c r="E480" s="11">
        <f t="shared" si="201"/>
        <v>68</v>
      </c>
      <c r="F480" s="12"/>
      <c r="G480" s="9"/>
      <c r="H480" s="10"/>
      <c r="I480" s="11">
        <f t="shared" si="202"/>
        <v>0</v>
      </c>
      <c r="J480" s="11">
        <f t="shared" si="203"/>
        <v>68</v>
      </c>
      <c r="K480" s="65">
        <v>42292</v>
      </c>
      <c r="L480" s="28" t="s">
        <v>11</v>
      </c>
      <c r="M480" s="8"/>
      <c r="N480" s="9"/>
      <c r="O480" s="10"/>
      <c r="P480" s="11">
        <f t="shared" si="204"/>
        <v>0</v>
      </c>
      <c r="Q480" s="12"/>
      <c r="R480" s="9"/>
      <c r="S480" s="10"/>
      <c r="T480" s="11">
        <f t="shared" si="205"/>
        <v>0</v>
      </c>
      <c r="U480" s="11">
        <f t="shared" si="206"/>
        <v>0</v>
      </c>
    </row>
    <row r="481" spans="1:22" x14ac:dyDescent="0.15">
      <c r="A481" s="28" t="s">
        <v>210</v>
      </c>
      <c r="B481" s="8"/>
      <c r="C481" s="9">
        <v>3</v>
      </c>
      <c r="D481" s="10"/>
      <c r="E481" s="11">
        <f t="shared" si="201"/>
        <v>3</v>
      </c>
      <c r="F481" s="12">
        <v>1</v>
      </c>
      <c r="G481" s="9">
        <v>1</v>
      </c>
      <c r="H481" s="10"/>
      <c r="I481" s="11">
        <f t="shared" si="202"/>
        <v>2</v>
      </c>
      <c r="J481" s="11">
        <f t="shared" si="203"/>
        <v>5</v>
      </c>
      <c r="K481" s="71">
        <v>42293</v>
      </c>
      <c r="L481" s="28" t="s">
        <v>12</v>
      </c>
      <c r="M481" s="8"/>
      <c r="N481" s="9"/>
      <c r="O481" s="10"/>
      <c r="P481" s="11">
        <f t="shared" si="204"/>
        <v>0</v>
      </c>
      <c r="Q481" s="12"/>
      <c r="R481" s="9"/>
      <c r="S481" s="10"/>
      <c r="T481" s="11">
        <f t="shared" si="205"/>
        <v>0</v>
      </c>
      <c r="U481" s="11">
        <f t="shared" si="206"/>
        <v>0</v>
      </c>
    </row>
    <row r="482" spans="1:22" x14ac:dyDescent="0.15">
      <c r="A482" s="28" t="s">
        <v>15</v>
      </c>
      <c r="B482" s="8"/>
      <c r="C482" s="9"/>
      <c r="D482" s="10"/>
      <c r="E482" s="11">
        <f t="shared" si="201"/>
        <v>0</v>
      </c>
      <c r="F482" s="12"/>
      <c r="G482" s="9"/>
      <c r="H482" s="10"/>
      <c r="I482" s="11">
        <f t="shared" si="202"/>
        <v>0</v>
      </c>
      <c r="J482" s="11">
        <f t="shared" si="203"/>
        <v>0</v>
      </c>
      <c r="L482" s="28" t="s">
        <v>15</v>
      </c>
      <c r="M482" s="8"/>
      <c r="N482" s="9"/>
      <c r="O482" s="10"/>
      <c r="P482" s="11">
        <f t="shared" si="204"/>
        <v>0</v>
      </c>
      <c r="Q482" s="12"/>
      <c r="R482" s="9"/>
      <c r="S482" s="10"/>
      <c r="T482" s="11">
        <f t="shared" si="205"/>
        <v>0</v>
      </c>
      <c r="U482" s="11">
        <f t="shared" si="206"/>
        <v>0</v>
      </c>
    </row>
    <row r="483" spans="1:22" x14ac:dyDescent="0.15">
      <c r="A483" s="28" t="s">
        <v>16</v>
      </c>
      <c r="B483" s="8"/>
      <c r="C483" s="9"/>
      <c r="D483" s="10"/>
      <c r="E483" s="11">
        <f t="shared" si="201"/>
        <v>0</v>
      </c>
      <c r="F483" s="12"/>
      <c r="G483" s="9"/>
      <c r="H483" s="10"/>
      <c r="I483" s="11">
        <f t="shared" si="202"/>
        <v>0</v>
      </c>
      <c r="J483" s="11">
        <f t="shared" si="203"/>
        <v>0</v>
      </c>
      <c r="L483" s="28" t="s">
        <v>16</v>
      </c>
      <c r="M483" s="8"/>
      <c r="N483" s="9"/>
      <c r="O483" s="10"/>
      <c r="P483" s="11">
        <f t="shared" si="204"/>
        <v>0</v>
      </c>
      <c r="Q483" s="12"/>
      <c r="R483" s="9"/>
      <c r="S483" s="10"/>
      <c r="T483" s="11">
        <f t="shared" si="205"/>
        <v>0</v>
      </c>
      <c r="U483" s="11">
        <f t="shared" si="206"/>
        <v>0</v>
      </c>
    </row>
    <row r="484" spans="1:22" x14ac:dyDescent="0.15">
      <c r="A484" s="28" t="s">
        <v>17</v>
      </c>
      <c r="B484" s="13"/>
      <c r="C484" s="14"/>
      <c r="D484" s="15"/>
      <c r="E484" s="11">
        <f t="shared" si="201"/>
        <v>0</v>
      </c>
      <c r="F484" s="16"/>
      <c r="G484" s="14"/>
      <c r="H484" s="15"/>
      <c r="I484" s="11">
        <f t="shared" si="202"/>
        <v>0</v>
      </c>
      <c r="J484" s="11">
        <f t="shared" si="203"/>
        <v>0</v>
      </c>
      <c r="L484" s="28" t="s">
        <v>17</v>
      </c>
      <c r="M484" s="13"/>
      <c r="N484" s="14"/>
      <c r="O484" s="15"/>
      <c r="P484" s="11">
        <f t="shared" si="204"/>
        <v>0</v>
      </c>
      <c r="Q484" s="16"/>
      <c r="R484" s="14"/>
      <c r="S484" s="15"/>
      <c r="T484" s="11">
        <f t="shared" si="205"/>
        <v>0</v>
      </c>
      <c r="U484" s="11">
        <f t="shared" si="206"/>
        <v>0</v>
      </c>
    </row>
    <row r="485" spans="1:22" ht="14.25" thickBot="1" x14ac:dyDescent="0.2">
      <c r="A485" s="28" t="s">
        <v>18</v>
      </c>
      <c r="B485" s="36"/>
      <c r="C485" s="37"/>
      <c r="D485" s="40"/>
      <c r="E485" s="22">
        <f t="shared" si="201"/>
        <v>0</v>
      </c>
      <c r="F485" s="38"/>
      <c r="G485" s="38"/>
      <c r="H485" s="43"/>
      <c r="I485" s="22">
        <f t="shared" si="202"/>
        <v>0</v>
      </c>
      <c r="J485" s="22">
        <f t="shared" si="203"/>
        <v>0</v>
      </c>
      <c r="L485" s="28" t="s">
        <v>18</v>
      </c>
      <c r="M485" s="36"/>
      <c r="N485" s="37"/>
      <c r="O485" s="40"/>
      <c r="P485" s="22">
        <f t="shared" si="204"/>
        <v>0</v>
      </c>
      <c r="Q485" s="38"/>
      <c r="R485" s="38"/>
      <c r="S485" s="43"/>
      <c r="T485" s="22">
        <f t="shared" si="205"/>
        <v>0</v>
      </c>
      <c r="U485" s="22">
        <f t="shared" si="206"/>
        <v>0</v>
      </c>
    </row>
    <row r="486" spans="1:22" ht="14.25" thickBot="1" x14ac:dyDescent="0.2">
      <c r="A486" s="39" t="s">
        <v>20</v>
      </c>
      <c r="B486" s="32">
        <f t="shared" ref="B486:J486" si="207">SUM(B477:B485)</f>
        <v>45</v>
      </c>
      <c r="C486" s="33">
        <f t="shared" si="207"/>
        <v>149</v>
      </c>
      <c r="D486" s="34">
        <f t="shared" si="207"/>
        <v>96</v>
      </c>
      <c r="E486" s="42">
        <f t="shared" si="207"/>
        <v>290</v>
      </c>
      <c r="F486" s="32">
        <f t="shared" si="207"/>
        <v>33</v>
      </c>
      <c r="G486" s="33">
        <f t="shared" si="207"/>
        <v>78</v>
      </c>
      <c r="H486" s="34">
        <f t="shared" si="207"/>
        <v>57</v>
      </c>
      <c r="I486" s="42">
        <f t="shared" si="207"/>
        <v>168</v>
      </c>
      <c r="J486" s="42">
        <f t="shared" si="207"/>
        <v>458</v>
      </c>
      <c r="L486" s="39" t="s">
        <v>20</v>
      </c>
      <c r="M486" s="32">
        <f t="shared" ref="M486:U486" si="208">SUM(M477:M485)</f>
        <v>95</v>
      </c>
      <c r="N486" s="33">
        <f t="shared" si="208"/>
        <v>114</v>
      </c>
      <c r="O486" s="34">
        <f t="shared" si="208"/>
        <v>104</v>
      </c>
      <c r="P486" s="42">
        <f t="shared" si="208"/>
        <v>313</v>
      </c>
      <c r="Q486" s="32">
        <f t="shared" si="208"/>
        <v>247</v>
      </c>
      <c r="R486" s="33">
        <f t="shared" si="208"/>
        <v>241</v>
      </c>
      <c r="S486" s="34">
        <f t="shared" si="208"/>
        <v>271</v>
      </c>
      <c r="T486" s="42">
        <f t="shared" si="208"/>
        <v>759</v>
      </c>
      <c r="U486" s="42">
        <f t="shared" si="208"/>
        <v>1072</v>
      </c>
    </row>
    <row r="487" spans="1:22" x14ac:dyDescent="0.15">
      <c r="A487" s="26" t="s">
        <v>283</v>
      </c>
      <c r="B487" s="13"/>
      <c r="C487" s="14"/>
      <c r="D487" s="15"/>
      <c r="E487" s="11">
        <f>SUM(B487:D487)</f>
        <v>0</v>
      </c>
      <c r="F487" s="16">
        <v>1</v>
      </c>
      <c r="G487" s="14"/>
      <c r="H487" s="15"/>
      <c r="I487" s="11">
        <f>SUM(F487:H487)</f>
        <v>1</v>
      </c>
      <c r="J487" s="11">
        <f>E487+I487</f>
        <v>1</v>
      </c>
      <c r="K487" s="65">
        <v>42258</v>
      </c>
      <c r="L487" s="27" t="s">
        <v>23</v>
      </c>
      <c r="M487" s="13"/>
      <c r="N487" s="14">
        <v>64</v>
      </c>
      <c r="O487" s="15">
        <v>4</v>
      </c>
      <c r="P487" s="11">
        <f>SUM(M487:O487)</f>
        <v>68</v>
      </c>
      <c r="Q487" s="16"/>
      <c r="R487" s="14"/>
      <c r="S487" s="15"/>
      <c r="T487" s="11">
        <f>SUM(Q487:S487)</f>
        <v>0</v>
      </c>
      <c r="U487" s="11">
        <f>P487+T487</f>
        <v>68</v>
      </c>
      <c r="V487" s="65">
        <v>42292</v>
      </c>
    </row>
    <row r="488" spans="1:22" x14ac:dyDescent="0.15">
      <c r="A488" s="29" t="s">
        <v>291</v>
      </c>
      <c r="B488" s="13"/>
      <c r="C488" s="14">
        <v>1</v>
      </c>
      <c r="D488" s="15"/>
      <c r="E488" s="11">
        <f t="shared" ref="E488:E512" si="209">SUM(B488:D488)</f>
        <v>1</v>
      </c>
      <c r="F488" s="16"/>
      <c r="G488" s="14"/>
      <c r="H488" s="15"/>
      <c r="I488" s="11">
        <f t="shared" ref="I488:I512" si="210">SUM(F488:H488)</f>
        <v>0</v>
      </c>
      <c r="J488" s="11">
        <f t="shared" ref="J488:J512" si="211">E488+I488</f>
        <v>1</v>
      </c>
      <c r="K488" s="65">
        <v>42259</v>
      </c>
      <c r="L488" s="27"/>
      <c r="M488" s="8"/>
      <c r="N488" s="9"/>
      <c r="O488" s="10"/>
      <c r="P488" s="11">
        <f>SUM(M488:O488)</f>
        <v>0</v>
      </c>
      <c r="Q488" s="12"/>
      <c r="R488" s="9"/>
      <c r="S488" s="10"/>
      <c r="T488" s="11">
        <f>SUM(Q488:S488)</f>
        <v>0</v>
      </c>
      <c r="U488" s="11">
        <f>P488+T488</f>
        <v>0</v>
      </c>
    </row>
    <row r="489" spans="1:22" x14ac:dyDescent="0.15">
      <c r="A489" s="27" t="s">
        <v>124</v>
      </c>
      <c r="B489" s="8"/>
      <c r="C489" s="9">
        <v>1</v>
      </c>
      <c r="D489" s="10"/>
      <c r="E489" s="11">
        <f t="shared" si="209"/>
        <v>1</v>
      </c>
      <c r="F489" s="12"/>
      <c r="G489" s="9"/>
      <c r="H489" s="10"/>
      <c r="I489" s="11">
        <f t="shared" si="210"/>
        <v>0</v>
      </c>
      <c r="J489" s="11">
        <f t="shared" si="211"/>
        <v>1</v>
      </c>
      <c r="K489" s="65">
        <v>42266</v>
      </c>
      <c r="L489" s="27" t="s">
        <v>23</v>
      </c>
      <c r="M489" s="13">
        <v>50</v>
      </c>
      <c r="N489" s="14">
        <v>50</v>
      </c>
      <c r="O489" s="15">
        <v>100</v>
      </c>
      <c r="P489" s="11">
        <f>SUM(M489:O489)</f>
        <v>200</v>
      </c>
      <c r="Q489" s="16"/>
      <c r="R489" s="14"/>
      <c r="S489" s="15"/>
      <c r="T489" s="11">
        <f>SUM(Q489:S489)</f>
        <v>0</v>
      </c>
      <c r="U489" s="11">
        <f>P489+T489</f>
        <v>200</v>
      </c>
      <c r="V489" s="65">
        <v>42299</v>
      </c>
    </row>
    <row r="490" spans="1:22" x14ac:dyDescent="0.15">
      <c r="A490" s="27" t="s">
        <v>286</v>
      </c>
      <c r="B490" s="8"/>
      <c r="C490" s="9"/>
      <c r="D490" s="10">
        <v>30</v>
      </c>
      <c r="E490" s="11">
        <f t="shared" si="209"/>
        <v>30</v>
      </c>
      <c r="F490" s="12"/>
      <c r="G490" s="9"/>
      <c r="H490" s="10"/>
      <c r="I490" s="11">
        <f t="shared" si="210"/>
        <v>0</v>
      </c>
      <c r="J490" s="11">
        <f t="shared" si="211"/>
        <v>30</v>
      </c>
      <c r="K490" s="65">
        <v>42265</v>
      </c>
      <c r="L490" s="29"/>
      <c r="M490" s="8"/>
      <c r="N490" s="9"/>
      <c r="O490" s="10"/>
      <c r="P490" s="11">
        <f t="shared" ref="P490:P512" si="212">SUM(M490:O490)</f>
        <v>0</v>
      </c>
      <c r="Q490" s="12"/>
      <c r="R490" s="9"/>
      <c r="S490" s="10"/>
      <c r="T490" s="11">
        <f t="shared" ref="T490:T512" si="213">SUM(Q490:S490)</f>
        <v>0</v>
      </c>
      <c r="U490" s="11">
        <f t="shared" ref="U490:U512" si="214">P490+T490</f>
        <v>0</v>
      </c>
    </row>
    <row r="491" spans="1:22" x14ac:dyDescent="0.15">
      <c r="A491" s="27" t="s">
        <v>287</v>
      </c>
      <c r="B491" s="8">
        <v>1</v>
      </c>
      <c r="C491" s="9"/>
      <c r="D491" s="10"/>
      <c r="E491" s="11">
        <f t="shared" si="209"/>
        <v>1</v>
      </c>
      <c r="F491" s="12">
        <v>2</v>
      </c>
      <c r="G491" s="9">
        <v>1</v>
      </c>
      <c r="H491" s="10">
        <v>1</v>
      </c>
      <c r="I491" s="11">
        <f t="shared" si="210"/>
        <v>4</v>
      </c>
      <c r="J491" s="11">
        <f t="shared" si="211"/>
        <v>5</v>
      </c>
      <c r="K491" s="65">
        <v>42265</v>
      </c>
      <c r="L491" s="29"/>
      <c r="M491" s="8"/>
      <c r="N491" s="9"/>
      <c r="O491" s="10"/>
      <c r="P491" s="11">
        <f t="shared" si="212"/>
        <v>0</v>
      </c>
      <c r="Q491" s="12"/>
      <c r="R491" s="9"/>
      <c r="S491" s="10"/>
      <c r="T491" s="11">
        <f t="shared" si="213"/>
        <v>0</v>
      </c>
      <c r="U491" s="11">
        <f t="shared" si="214"/>
        <v>0</v>
      </c>
    </row>
    <row r="492" spans="1:22" x14ac:dyDescent="0.15">
      <c r="A492" s="86" t="s">
        <v>288</v>
      </c>
      <c r="B492" s="8">
        <v>10</v>
      </c>
      <c r="C492" s="9">
        <v>10</v>
      </c>
      <c r="D492" s="10"/>
      <c r="E492" s="11">
        <f t="shared" si="209"/>
        <v>20</v>
      </c>
      <c r="F492" s="12"/>
      <c r="G492" s="9">
        <v>10</v>
      </c>
      <c r="H492" s="10">
        <v>7</v>
      </c>
      <c r="I492" s="11">
        <f t="shared" si="210"/>
        <v>17</v>
      </c>
      <c r="J492" s="11">
        <f t="shared" si="211"/>
        <v>37</v>
      </c>
      <c r="K492" s="65">
        <v>42265</v>
      </c>
      <c r="L492" s="27"/>
      <c r="M492" s="8"/>
      <c r="N492" s="9"/>
      <c r="O492" s="10"/>
      <c r="P492" s="11">
        <f t="shared" si="212"/>
        <v>0</v>
      </c>
      <c r="Q492" s="12"/>
      <c r="R492" s="9"/>
      <c r="S492" s="10"/>
      <c r="T492" s="11">
        <f t="shared" si="213"/>
        <v>0</v>
      </c>
      <c r="U492" s="11">
        <f t="shared" si="214"/>
        <v>0</v>
      </c>
    </row>
    <row r="493" spans="1:22" x14ac:dyDescent="0.15">
      <c r="A493" s="29" t="s">
        <v>289</v>
      </c>
      <c r="B493" s="8"/>
      <c r="C493" s="9"/>
      <c r="D493" s="10"/>
      <c r="E493" s="11">
        <f t="shared" si="209"/>
        <v>0</v>
      </c>
      <c r="F493" s="12"/>
      <c r="G493" s="9">
        <v>3</v>
      </c>
      <c r="H493" s="10"/>
      <c r="I493" s="11">
        <f t="shared" si="210"/>
        <v>3</v>
      </c>
      <c r="J493" s="11">
        <f t="shared" si="211"/>
        <v>3</v>
      </c>
      <c r="K493" s="71">
        <v>42264</v>
      </c>
      <c r="L493" s="29"/>
      <c r="M493" s="8"/>
      <c r="N493" s="9"/>
      <c r="O493" s="10"/>
      <c r="P493" s="11">
        <f t="shared" si="212"/>
        <v>0</v>
      </c>
      <c r="Q493" s="12"/>
      <c r="R493" s="9"/>
      <c r="S493" s="10"/>
      <c r="T493" s="11">
        <f t="shared" si="213"/>
        <v>0</v>
      </c>
      <c r="U493" s="11">
        <f t="shared" si="214"/>
        <v>0</v>
      </c>
    </row>
    <row r="494" spans="1:22" x14ac:dyDescent="0.15">
      <c r="A494" s="29" t="s">
        <v>124</v>
      </c>
      <c r="B494" s="8">
        <v>2</v>
      </c>
      <c r="C494" s="9">
        <v>5</v>
      </c>
      <c r="D494" s="10"/>
      <c r="E494" s="11">
        <f t="shared" si="209"/>
        <v>7</v>
      </c>
      <c r="F494" s="12"/>
      <c r="G494" s="9">
        <v>2</v>
      </c>
      <c r="H494" s="10"/>
      <c r="I494" s="11">
        <f t="shared" si="210"/>
        <v>2</v>
      </c>
      <c r="J494" s="11">
        <f t="shared" si="211"/>
        <v>9</v>
      </c>
      <c r="K494" s="65">
        <v>42273</v>
      </c>
      <c r="L494" s="29"/>
      <c r="M494" s="8"/>
      <c r="N494" s="9"/>
      <c r="O494" s="10"/>
      <c r="P494" s="11">
        <f t="shared" si="212"/>
        <v>0</v>
      </c>
      <c r="Q494" s="12"/>
      <c r="R494" s="9"/>
      <c r="S494" s="10"/>
      <c r="T494" s="11">
        <f t="shared" si="213"/>
        <v>0</v>
      </c>
      <c r="U494" s="11">
        <f t="shared" si="214"/>
        <v>0</v>
      </c>
    </row>
    <row r="495" spans="1:22" x14ac:dyDescent="0.15">
      <c r="A495" s="27" t="s">
        <v>290</v>
      </c>
      <c r="B495" s="13"/>
      <c r="C495" s="14"/>
      <c r="D495" s="15">
        <v>10</v>
      </c>
      <c r="E495" s="11">
        <f t="shared" si="209"/>
        <v>10</v>
      </c>
      <c r="F495" s="16"/>
      <c r="G495" s="14"/>
      <c r="H495" s="15"/>
      <c r="I495" s="11">
        <f t="shared" si="210"/>
        <v>0</v>
      </c>
      <c r="J495" s="11">
        <f t="shared" si="211"/>
        <v>10</v>
      </c>
      <c r="K495" s="65">
        <v>42266</v>
      </c>
      <c r="L495" s="27"/>
      <c r="M495" s="8"/>
      <c r="N495" s="9"/>
      <c r="O495" s="10"/>
      <c r="P495" s="11">
        <f t="shared" si="212"/>
        <v>0</v>
      </c>
      <c r="Q495" s="12"/>
      <c r="R495" s="9"/>
      <c r="S495" s="10"/>
      <c r="T495" s="11">
        <f t="shared" si="213"/>
        <v>0</v>
      </c>
      <c r="U495" s="11">
        <f t="shared" si="214"/>
        <v>0</v>
      </c>
    </row>
    <row r="496" spans="1:22" x14ac:dyDescent="0.15">
      <c r="A496" s="29" t="s">
        <v>292</v>
      </c>
      <c r="B496" s="13"/>
      <c r="C496" s="14"/>
      <c r="D496" s="15"/>
      <c r="E496" s="11">
        <f t="shared" si="209"/>
        <v>0</v>
      </c>
      <c r="F496" s="16"/>
      <c r="G496" s="14">
        <v>1</v>
      </c>
      <c r="H496" s="15"/>
      <c r="I496" s="11">
        <f t="shared" si="210"/>
        <v>1</v>
      </c>
      <c r="J496" s="11">
        <f t="shared" si="211"/>
        <v>1</v>
      </c>
      <c r="K496" s="71">
        <v>42266</v>
      </c>
      <c r="L496" s="29"/>
      <c r="M496" s="13"/>
      <c r="N496" s="14"/>
      <c r="O496" s="15"/>
      <c r="P496" s="11">
        <f t="shared" si="212"/>
        <v>0</v>
      </c>
      <c r="Q496" s="16"/>
      <c r="R496" s="14"/>
      <c r="S496" s="15"/>
      <c r="T496" s="11">
        <f t="shared" si="213"/>
        <v>0</v>
      </c>
      <c r="U496" s="11">
        <f t="shared" si="214"/>
        <v>0</v>
      </c>
    </row>
    <row r="497" spans="1:22" x14ac:dyDescent="0.15">
      <c r="A497" s="29" t="s">
        <v>295</v>
      </c>
      <c r="B497" s="8"/>
      <c r="C497" s="9">
        <v>1</v>
      </c>
      <c r="D497" s="10"/>
      <c r="E497" s="11">
        <f t="shared" si="209"/>
        <v>1</v>
      </c>
      <c r="F497" s="12"/>
      <c r="G497" s="9"/>
      <c r="H497" s="10"/>
      <c r="I497" s="11">
        <f t="shared" si="210"/>
        <v>0</v>
      </c>
      <c r="J497" s="11">
        <f t="shared" si="211"/>
        <v>1</v>
      </c>
      <c r="K497" s="65">
        <v>42269</v>
      </c>
      <c r="L497" s="29"/>
      <c r="M497" s="8"/>
      <c r="N497" s="9"/>
      <c r="O497" s="10"/>
      <c r="P497" s="11">
        <f t="shared" si="212"/>
        <v>0</v>
      </c>
      <c r="Q497" s="12"/>
      <c r="R497" s="9"/>
      <c r="S497" s="10"/>
      <c r="T497" s="11">
        <f t="shared" si="213"/>
        <v>0</v>
      </c>
      <c r="U497" s="11">
        <f t="shared" si="214"/>
        <v>0</v>
      </c>
    </row>
    <row r="498" spans="1:22" x14ac:dyDescent="0.15">
      <c r="A498" s="29" t="s">
        <v>294</v>
      </c>
      <c r="B498" s="8"/>
      <c r="C498" s="9"/>
      <c r="D498" s="10"/>
      <c r="E498" s="11">
        <f t="shared" si="209"/>
        <v>0</v>
      </c>
      <c r="F498" s="12">
        <v>1</v>
      </c>
      <c r="G498" s="9">
        <v>5</v>
      </c>
      <c r="H498" s="10"/>
      <c r="I498" s="11">
        <f t="shared" si="210"/>
        <v>6</v>
      </c>
      <c r="J498" s="11">
        <f t="shared" si="211"/>
        <v>6</v>
      </c>
      <c r="K498" s="71">
        <v>42272</v>
      </c>
      <c r="L498" s="29"/>
      <c r="M498" s="8"/>
      <c r="N498" s="9"/>
      <c r="O498" s="10"/>
      <c r="P498" s="11">
        <f t="shared" si="212"/>
        <v>0</v>
      </c>
      <c r="Q498" s="12"/>
      <c r="R498" s="9"/>
      <c r="S498" s="10"/>
      <c r="T498" s="11">
        <f t="shared" si="213"/>
        <v>0</v>
      </c>
      <c r="U498" s="11">
        <f t="shared" si="214"/>
        <v>0</v>
      </c>
    </row>
    <row r="499" spans="1:22" x14ac:dyDescent="0.15">
      <c r="A499" s="86" t="s">
        <v>293</v>
      </c>
      <c r="B499" s="8"/>
      <c r="C499" s="9">
        <v>7</v>
      </c>
      <c r="D499" s="10"/>
      <c r="E499" s="11">
        <f t="shared" si="209"/>
        <v>7</v>
      </c>
      <c r="F499" s="12"/>
      <c r="G499" s="9"/>
      <c r="H499" s="10">
        <v>4</v>
      </c>
      <c r="I499" s="11">
        <f t="shared" si="210"/>
        <v>4</v>
      </c>
      <c r="J499" s="11">
        <f t="shared" si="211"/>
        <v>11</v>
      </c>
      <c r="K499" s="65">
        <v>42277</v>
      </c>
      <c r="L499" s="27"/>
      <c r="M499" s="8"/>
      <c r="N499" s="9"/>
      <c r="O499" s="10"/>
      <c r="P499" s="11">
        <f t="shared" si="212"/>
        <v>0</v>
      </c>
      <c r="Q499" s="12"/>
      <c r="R499" s="9"/>
      <c r="S499" s="10"/>
      <c r="T499" s="11">
        <f t="shared" si="213"/>
        <v>0</v>
      </c>
      <c r="U499" s="11">
        <f t="shared" si="214"/>
        <v>0</v>
      </c>
    </row>
    <row r="500" spans="1:22" x14ac:dyDescent="0.15">
      <c r="A500" s="27" t="s">
        <v>296</v>
      </c>
      <c r="B500" s="8">
        <v>1</v>
      </c>
      <c r="C500" s="9"/>
      <c r="D500" s="10"/>
      <c r="E500" s="11">
        <f t="shared" si="209"/>
        <v>1</v>
      </c>
      <c r="F500" s="12"/>
      <c r="G500" s="9"/>
      <c r="H500" s="10"/>
      <c r="I500" s="11">
        <f t="shared" si="210"/>
        <v>0</v>
      </c>
      <c r="J500" s="11">
        <f t="shared" si="211"/>
        <v>1</v>
      </c>
      <c r="K500" s="65">
        <v>42275</v>
      </c>
      <c r="L500" s="29"/>
      <c r="M500" s="8"/>
      <c r="N500" s="9"/>
      <c r="O500" s="10"/>
      <c r="P500" s="11">
        <f t="shared" si="212"/>
        <v>0</v>
      </c>
      <c r="Q500" s="12"/>
      <c r="R500" s="9"/>
      <c r="S500" s="10"/>
      <c r="T500" s="11">
        <f t="shared" si="213"/>
        <v>0</v>
      </c>
      <c r="U500" s="11">
        <f t="shared" si="214"/>
        <v>0</v>
      </c>
    </row>
    <row r="501" spans="1:22" x14ac:dyDescent="0.15">
      <c r="A501" s="29" t="s">
        <v>124</v>
      </c>
      <c r="B501" s="8">
        <v>6</v>
      </c>
      <c r="C501" s="9"/>
      <c r="D501" s="10">
        <v>6</v>
      </c>
      <c r="E501" s="11">
        <f t="shared" si="209"/>
        <v>12</v>
      </c>
      <c r="F501" s="12"/>
      <c r="G501" s="9"/>
      <c r="H501" s="10">
        <v>6</v>
      </c>
      <c r="I501" s="11">
        <f t="shared" si="210"/>
        <v>6</v>
      </c>
      <c r="J501" s="11">
        <f t="shared" si="211"/>
        <v>18</v>
      </c>
      <c r="K501" s="65">
        <v>42284</v>
      </c>
      <c r="L501" s="29"/>
      <c r="M501" s="8"/>
      <c r="N501" s="9"/>
      <c r="O501" s="10"/>
      <c r="P501" s="11">
        <f t="shared" si="212"/>
        <v>0</v>
      </c>
      <c r="Q501" s="12"/>
      <c r="R501" s="9"/>
      <c r="S501" s="10"/>
      <c r="T501" s="11">
        <f t="shared" si="213"/>
        <v>0</v>
      </c>
      <c r="U501" s="11">
        <f t="shared" si="214"/>
        <v>0</v>
      </c>
    </row>
    <row r="502" spans="1:22" x14ac:dyDescent="0.15">
      <c r="A502" s="86" t="s">
        <v>297</v>
      </c>
      <c r="B502" s="8"/>
      <c r="C502" s="9"/>
      <c r="D502" s="10"/>
      <c r="E502" s="11">
        <f t="shared" si="209"/>
        <v>0</v>
      </c>
      <c r="F502" s="12"/>
      <c r="G502" s="9"/>
      <c r="H502" s="10">
        <v>1</v>
      </c>
      <c r="I502" s="11">
        <f t="shared" si="210"/>
        <v>1</v>
      </c>
      <c r="J502" s="11">
        <f t="shared" si="211"/>
        <v>1</v>
      </c>
      <c r="K502" s="65">
        <v>42284</v>
      </c>
      <c r="L502" s="27"/>
      <c r="M502" s="8"/>
      <c r="N502" s="9"/>
      <c r="O502" s="10"/>
      <c r="P502" s="11">
        <f t="shared" si="212"/>
        <v>0</v>
      </c>
      <c r="Q502" s="12"/>
      <c r="R502" s="9"/>
      <c r="S502" s="10"/>
      <c r="T502" s="11">
        <f t="shared" si="213"/>
        <v>0</v>
      </c>
      <c r="U502" s="11">
        <f t="shared" si="214"/>
        <v>0</v>
      </c>
    </row>
    <row r="503" spans="1:22" x14ac:dyDescent="0.15">
      <c r="A503" s="86" t="s">
        <v>298</v>
      </c>
      <c r="B503" s="8"/>
      <c r="C503" s="9">
        <v>1</v>
      </c>
      <c r="D503" s="10"/>
      <c r="E503" s="11">
        <f t="shared" si="209"/>
        <v>1</v>
      </c>
      <c r="F503" s="12"/>
      <c r="G503" s="9"/>
      <c r="H503" s="10"/>
      <c r="I503" s="11">
        <f t="shared" si="210"/>
        <v>0</v>
      </c>
      <c r="J503" s="11">
        <f t="shared" si="211"/>
        <v>1</v>
      </c>
      <c r="K503" s="65">
        <v>42284</v>
      </c>
      <c r="L503" s="29"/>
      <c r="M503" s="8"/>
      <c r="N503" s="9"/>
      <c r="O503" s="10"/>
      <c r="P503" s="11">
        <f t="shared" si="212"/>
        <v>0</v>
      </c>
      <c r="Q503" s="12"/>
      <c r="R503" s="9"/>
      <c r="S503" s="10"/>
      <c r="T503" s="11">
        <f t="shared" si="213"/>
        <v>0</v>
      </c>
      <c r="U503" s="11">
        <f t="shared" si="214"/>
        <v>0</v>
      </c>
    </row>
    <row r="504" spans="1:22" x14ac:dyDescent="0.15">
      <c r="A504" s="27" t="s">
        <v>55</v>
      </c>
      <c r="B504" s="8"/>
      <c r="C504" s="9">
        <v>1</v>
      </c>
      <c r="D504" s="10">
        <v>2</v>
      </c>
      <c r="E504" s="11">
        <f t="shared" si="209"/>
        <v>3</v>
      </c>
      <c r="F504" s="12"/>
      <c r="G504" s="9">
        <v>1</v>
      </c>
      <c r="H504" s="10"/>
      <c r="I504" s="11">
        <f t="shared" si="210"/>
        <v>1</v>
      </c>
      <c r="J504" s="11">
        <f t="shared" si="211"/>
        <v>4</v>
      </c>
      <c r="K504" s="65">
        <v>42285</v>
      </c>
      <c r="L504" s="27"/>
      <c r="M504" s="8"/>
      <c r="N504" s="9"/>
      <c r="O504" s="10"/>
      <c r="P504" s="11">
        <f t="shared" si="212"/>
        <v>0</v>
      </c>
      <c r="Q504" s="12"/>
      <c r="R504" s="9"/>
      <c r="S504" s="10"/>
      <c r="T504" s="11">
        <f t="shared" si="213"/>
        <v>0</v>
      </c>
      <c r="U504" s="11">
        <f t="shared" si="214"/>
        <v>0</v>
      </c>
    </row>
    <row r="505" spans="1:22" x14ac:dyDescent="0.15">
      <c r="A505" s="26" t="s">
        <v>273</v>
      </c>
      <c r="B505" s="8"/>
      <c r="C505" s="9"/>
      <c r="D505" s="10">
        <v>3</v>
      </c>
      <c r="E505" s="11">
        <f t="shared" si="209"/>
        <v>3</v>
      </c>
      <c r="F505" s="12"/>
      <c r="G505" s="9"/>
      <c r="H505" s="10"/>
      <c r="I505" s="11">
        <f t="shared" si="210"/>
        <v>0</v>
      </c>
      <c r="J505" s="11">
        <f t="shared" si="211"/>
        <v>3</v>
      </c>
      <c r="K505" s="65">
        <v>42285</v>
      </c>
      <c r="L505" s="26"/>
      <c r="M505" s="8"/>
      <c r="N505" s="9"/>
      <c r="O505" s="10"/>
      <c r="P505" s="11">
        <f t="shared" si="212"/>
        <v>0</v>
      </c>
      <c r="Q505" s="12"/>
      <c r="R505" s="9"/>
      <c r="S505" s="10"/>
      <c r="T505" s="11">
        <f t="shared" si="213"/>
        <v>0</v>
      </c>
      <c r="U505" s="11">
        <f t="shared" si="214"/>
        <v>0</v>
      </c>
    </row>
    <row r="506" spans="1:22" x14ac:dyDescent="0.15">
      <c r="A506" s="27" t="s">
        <v>300</v>
      </c>
      <c r="B506" s="8"/>
      <c r="C506" s="9"/>
      <c r="D506" s="10"/>
      <c r="E506" s="11">
        <f t="shared" si="209"/>
        <v>0</v>
      </c>
      <c r="F506" s="12"/>
      <c r="G506" s="9">
        <v>1</v>
      </c>
      <c r="H506" s="10">
        <v>1</v>
      </c>
      <c r="I506" s="11">
        <f t="shared" si="210"/>
        <v>2</v>
      </c>
      <c r="J506" s="11">
        <f t="shared" si="211"/>
        <v>2</v>
      </c>
      <c r="K506" s="65">
        <v>42285</v>
      </c>
      <c r="L506" s="26"/>
      <c r="M506" s="8"/>
      <c r="N506" s="9"/>
      <c r="O506" s="10"/>
      <c r="P506" s="11">
        <f t="shared" si="212"/>
        <v>0</v>
      </c>
      <c r="Q506" s="12"/>
      <c r="R506" s="9"/>
      <c r="S506" s="10"/>
      <c r="T506" s="11">
        <f t="shared" si="213"/>
        <v>0</v>
      </c>
      <c r="U506" s="11">
        <f t="shared" si="214"/>
        <v>0</v>
      </c>
    </row>
    <row r="507" spans="1:22" x14ac:dyDescent="0.15">
      <c r="A507" s="27" t="s">
        <v>301</v>
      </c>
      <c r="B507" s="8">
        <v>5</v>
      </c>
      <c r="C507" s="9"/>
      <c r="D507" s="10">
        <v>1</v>
      </c>
      <c r="E507" s="11">
        <f t="shared" si="209"/>
        <v>6</v>
      </c>
      <c r="F507" s="12">
        <v>5</v>
      </c>
      <c r="G507" s="9"/>
      <c r="H507" s="10">
        <v>2</v>
      </c>
      <c r="I507" s="11">
        <f t="shared" si="210"/>
        <v>7</v>
      </c>
      <c r="J507" s="11">
        <f t="shared" si="211"/>
        <v>13</v>
      </c>
      <c r="K507" s="71">
        <v>42287</v>
      </c>
      <c r="L507" s="27"/>
      <c r="M507" s="8"/>
      <c r="N507" s="9"/>
      <c r="O507" s="10"/>
      <c r="P507" s="11">
        <f t="shared" si="212"/>
        <v>0</v>
      </c>
      <c r="Q507" s="12"/>
      <c r="R507" s="9"/>
      <c r="S507" s="10"/>
      <c r="T507" s="11">
        <f t="shared" si="213"/>
        <v>0</v>
      </c>
      <c r="U507" s="11">
        <f t="shared" si="214"/>
        <v>0</v>
      </c>
    </row>
    <row r="508" spans="1:22" x14ac:dyDescent="0.15">
      <c r="A508" s="29" t="s">
        <v>124</v>
      </c>
      <c r="B508" s="13"/>
      <c r="C508" s="14"/>
      <c r="D508" s="15">
        <v>1</v>
      </c>
      <c r="E508" s="11">
        <f t="shared" si="209"/>
        <v>1</v>
      </c>
      <c r="F508" s="16"/>
      <c r="G508" s="14">
        <v>1</v>
      </c>
      <c r="H508" s="15">
        <v>1</v>
      </c>
      <c r="I508" s="11">
        <f t="shared" si="210"/>
        <v>2</v>
      </c>
      <c r="J508" s="11">
        <f t="shared" si="211"/>
        <v>3</v>
      </c>
      <c r="K508" s="65">
        <v>42294</v>
      </c>
      <c r="L508" s="29"/>
      <c r="M508" s="13"/>
      <c r="N508" s="14"/>
      <c r="O508" s="15"/>
      <c r="P508" s="11">
        <f t="shared" si="212"/>
        <v>0</v>
      </c>
      <c r="Q508" s="16"/>
      <c r="R508" s="14"/>
      <c r="S508" s="15"/>
      <c r="T508" s="11">
        <f t="shared" si="213"/>
        <v>0</v>
      </c>
      <c r="U508" s="11">
        <f t="shared" si="214"/>
        <v>0</v>
      </c>
    </row>
    <row r="509" spans="1:22" x14ac:dyDescent="0.15">
      <c r="A509" s="27" t="s">
        <v>303</v>
      </c>
      <c r="B509" s="8"/>
      <c r="C509" s="9"/>
      <c r="D509" s="10">
        <v>2</v>
      </c>
      <c r="E509" s="11">
        <f t="shared" si="209"/>
        <v>2</v>
      </c>
      <c r="F509" s="12"/>
      <c r="G509" s="9">
        <v>2</v>
      </c>
      <c r="H509" s="10">
        <v>2</v>
      </c>
      <c r="I509" s="11">
        <f t="shared" si="210"/>
        <v>4</v>
      </c>
      <c r="J509" s="11">
        <f t="shared" si="211"/>
        <v>6</v>
      </c>
      <c r="K509" s="65">
        <v>42292</v>
      </c>
      <c r="L509" s="6"/>
      <c r="M509" s="13"/>
      <c r="N509" s="14"/>
      <c r="O509" s="15"/>
      <c r="P509" s="11">
        <f t="shared" si="212"/>
        <v>0</v>
      </c>
      <c r="Q509" s="16"/>
      <c r="R509" s="14"/>
      <c r="S509" s="15"/>
      <c r="T509" s="11">
        <f t="shared" si="213"/>
        <v>0</v>
      </c>
      <c r="U509" s="11">
        <f t="shared" si="214"/>
        <v>0</v>
      </c>
    </row>
    <row r="510" spans="1:22" x14ac:dyDescent="0.15">
      <c r="A510" s="29" t="s">
        <v>302</v>
      </c>
      <c r="B510" s="8"/>
      <c r="C510" s="9">
        <v>50</v>
      </c>
      <c r="D510" s="10"/>
      <c r="E510" s="11">
        <f t="shared" si="209"/>
        <v>50</v>
      </c>
      <c r="F510" s="12"/>
      <c r="G510" s="9"/>
      <c r="H510" s="10"/>
      <c r="I510" s="11">
        <f t="shared" si="210"/>
        <v>0</v>
      </c>
      <c r="J510" s="11">
        <f t="shared" si="211"/>
        <v>50</v>
      </c>
      <c r="K510" s="65">
        <v>42296</v>
      </c>
      <c r="L510" s="27"/>
      <c r="M510" s="13"/>
      <c r="N510" s="14"/>
      <c r="O510" s="15"/>
      <c r="P510" s="11">
        <f t="shared" si="212"/>
        <v>0</v>
      </c>
      <c r="Q510" s="16"/>
      <c r="R510" s="14"/>
      <c r="S510" s="15"/>
      <c r="T510" s="11">
        <f t="shared" si="213"/>
        <v>0</v>
      </c>
      <c r="U510" s="11">
        <f t="shared" si="214"/>
        <v>0</v>
      </c>
      <c r="V510" s="64"/>
    </row>
    <row r="511" spans="1:22" x14ac:dyDescent="0.15">
      <c r="A511" s="29" t="s">
        <v>308</v>
      </c>
      <c r="B511" s="8"/>
      <c r="C511" s="9"/>
      <c r="D511" s="10"/>
      <c r="E511" s="11">
        <f t="shared" si="209"/>
        <v>0</v>
      </c>
      <c r="F511" s="12">
        <v>1</v>
      </c>
      <c r="G511" s="9"/>
      <c r="H511" s="10"/>
      <c r="I511" s="11">
        <f t="shared" si="210"/>
        <v>1</v>
      </c>
      <c r="J511" s="11">
        <f t="shared" si="211"/>
        <v>1</v>
      </c>
      <c r="K511" s="71">
        <v>42290</v>
      </c>
      <c r="L511" s="27"/>
      <c r="M511" s="13"/>
      <c r="N511" s="14"/>
      <c r="O511" s="15"/>
      <c r="P511" s="11">
        <f t="shared" si="212"/>
        <v>0</v>
      </c>
      <c r="Q511" s="16"/>
      <c r="R511" s="14"/>
      <c r="S511" s="15"/>
      <c r="T511" s="11">
        <f t="shared" si="213"/>
        <v>0</v>
      </c>
      <c r="U511" s="11">
        <f t="shared" si="214"/>
        <v>0</v>
      </c>
    </row>
    <row r="512" spans="1:22" ht="14.25" thickBot="1" x14ac:dyDescent="0.2">
      <c r="A512" s="29" t="s">
        <v>304</v>
      </c>
      <c r="B512" s="8"/>
      <c r="C512" s="9"/>
      <c r="D512" s="10"/>
      <c r="E512" s="11">
        <f t="shared" si="209"/>
        <v>0</v>
      </c>
      <c r="F512" s="16"/>
      <c r="G512" s="14">
        <v>3</v>
      </c>
      <c r="H512" s="15"/>
      <c r="I512" s="11">
        <f t="shared" si="210"/>
        <v>3</v>
      </c>
      <c r="J512" s="11">
        <f t="shared" si="211"/>
        <v>3</v>
      </c>
      <c r="K512" s="71">
        <v>42291</v>
      </c>
      <c r="L512" s="86"/>
      <c r="M512" s="13"/>
      <c r="N512" s="14"/>
      <c r="O512" s="15"/>
      <c r="P512" s="11">
        <f t="shared" si="212"/>
        <v>0</v>
      </c>
      <c r="Q512" s="16"/>
      <c r="R512" s="14"/>
      <c r="S512" s="15"/>
      <c r="T512" s="11">
        <f t="shared" si="213"/>
        <v>0</v>
      </c>
      <c r="U512" s="11">
        <f t="shared" si="214"/>
        <v>0</v>
      </c>
      <c r="V512" s="64"/>
    </row>
    <row r="513" spans="1:22" ht="14.25" thickBot="1" x14ac:dyDescent="0.2">
      <c r="A513" s="44" t="s">
        <v>13</v>
      </c>
      <c r="B513" s="48">
        <f t="shared" ref="B513:I513" si="215">SUM(B487:B512)</f>
        <v>25</v>
      </c>
      <c r="C513" s="49">
        <f t="shared" si="215"/>
        <v>77</v>
      </c>
      <c r="D513" s="50">
        <f t="shared" si="215"/>
        <v>55</v>
      </c>
      <c r="E513" s="46">
        <f t="shared" si="215"/>
        <v>157</v>
      </c>
      <c r="F513" s="48">
        <f t="shared" si="215"/>
        <v>10</v>
      </c>
      <c r="G513" s="49">
        <f t="shared" si="215"/>
        <v>30</v>
      </c>
      <c r="H513" s="50">
        <f t="shared" si="215"/>
        <v>25</v>
      </c>
      <c r="I513" s="46">
        <f t="shared" si="215"/>
        <v>65</v>
      </c>
      <c r="J513" s="35">
        <f>E513+I513</f>
        <v>222</v>
      </c>
      <c r="L513" s="44" t="s">
        <v>13</v>
      </c>
      <c r="M513" s="48">
        <f t="shared" ref="M513:T513" si="216">SUM(M487:M512)</f>
        <v>50</v>
      </c>
      <c r="N513" s="49">
        <f t="shared" si="216"/>
        <v>114</v>
      </c>
      <c r="O513" s="50">
        <f t="shared" si="216"/>
        <v>104</v>
      </c>
      <c r="P513" s="46">
        <f t="shared" si="216"/>
        <v>268</v>
      </c>
      <c r="Q513" s="48">
        <f t="shared" si="216"/>
        <v>0</v>
      </c>
      <c r="R513" s="49">
        <f t="shared" si="216"/>
        <v>0</v>
      </c>
      <c r="S513" s="50">
        <f t="shared" si="216"/>
        <v>0</v>
      </c>
      <c r="T513" s="46">
        <f t="shared" si="216"/>
        <v>0</v>
      </c>
      <c r="U513" s="35">
        <f>P513+T513</f>
        <v>268</v>
      </c>
    </row>
    <row r="514" spans="1:22" ht="14.25" thickBot="1" x14ac:dyDescent="0.2">
      <c r="A514" s="23" t="s">
        <v>14</v>
      </c>
      <c r="B514" s="24">
        <f t="shared" ref="B514:J514" si="217">B486-B513</f>
        <v>20</v>
      </c>
      <c r="C514" s="25">
        <f t="shared" si="217"/>
        <v>72</v>
      </c>
      <c r="D514" s="30">
        <f t="shared" si="217"/>
        <v>41</v>
      </c>
      <c r="E514" s="51">
        <f t="shared" si="217"/>
        <v>133</v>
      </c>
      <c r="F514" s="24">
        <f t="shared" si="217"/>
        <v>23</v>
      </c>
      <c r="G514" s="25">
        <f t="shared" si="217"/>
        <v>48</v>
      </c>
      <c r="H514" s="30">
        <f t="shared" si="217"/>
        <v>32</v>
      </c>
      <c r="I514" s="47">
        <f t="shared" si="217"/>
        <v>103</v>
      </c>
      <c r="J514" s="79">
        <f t="shared" si="217"/>
        <v>236</v>
      </c>
      <c r="L514" s="23" t="s">
        <v>14</v>
      </c>
      <c r="M514" s="24">
        <f t="shared" ref="M514:U514" si="218">M486-M513</f>
        <v>45</v>
      </c>
      <c r="N514" s="25">
        <f t="shared" si="218"/>
        <v>0</v>
      </c>
      <c r="O514" s="30">
        <f t="shared" si="218"/>
        <v>0</v>
      </c>
      <c r="P514" s="51">
        <f t="shared" si="218"/>
        <v>45</v>
      </c>
      <c r="Q514" s="24">
        <f t="shared" si="218"/>
        <v>247</v>
      </c>
      <c r="R514" s="25">
        <f t="shared" si="218"/>
        <v>241</v>
      </c>
      <c r="S514" s="30">
        <f t="shared" si="218"/>
        <v>271</v>
      </c>
      <c r="T514" s="47">
        <f t="shared" si="218"/>
        <v>759</v>
      </c>
      <c r="U514" s="79">
        <f t="shared" si="218"/>
        <v>804</v>
      </c>
    </row>
    <row r="517" spans="1:22" ht="19.5" thickBot="1" x14ac:dyDescent="0.25">
      <c r="A517" s="2" t="s">
        <v>21</v>
      </c>
      <c r="B517" s="1"/>
      <c r="C517" s="1"/>
      <c r="D517" s="1"/>
      <c r="E517" s="1"/>
      <c r="F517" s="1"/>
      <c r="G517" s="1"/>
      <c r="H517" s="1"/>
      <c r="I517" s="1"/>
      <c r="J517" s="1"/>
      <c r="L517" s="93" t="s">
        <v>136</v>
      </c>
      <c r="M517" s="94"/>
      <c r="N517" s="94"/>
      <c r="O517" s="94"/>
      <c r="P517" s="1"/>
      <c r="Q517" s="1"/>
      <c r="R517" s="1"/>
      <c r="S517" s="1"/>
      <c r="T517" s="1"/>
      <c r="U517" s="1"/>
    </row>
    <row r="518" spans="1:22" ht="14.25" thickBot="1" x14ac:dyDescent="0.2">
      <c r="A518" s="7" t="s">
        <v>0</v>
      </c>
      <c r="B518" s="168" t="s">
        <v>1</v>
      </c>
      <c r="C518" s="169"/>
      <c r="D518" s="169"/>
      <c r="E518" s="170"/>
      <c r="F518" s="168" t="s">
        <v>2</v>
      </c>
      <c r="G518" s="169"/>
      <c r="H518" s="169"/>
      <c r="I518" s="171"/>
      <c r="J518" s="172" t="s">
        <v>3</v>
      </c>
      <c r="L518" s="7" t="s">
        <v>0</v>
      </c>
      <c r="M518" s="168" t="s">
        <v>1</v>
      </c>
      <c r="N518" s="169"/>
      <c r="O518" s="169"/>
      <c r="P518" s="170"/>
      <c r="Q518" s="168" t="s">
        <v>2</v>
      </c>
      <c r="R518" s="169"/>
      <c r="S518" s="169"/>
      <c r="T518" s="171"/>
      <c r="U518" s="172" t="s">
        <v>3</v>
      </c>
    </row>
    <row r="519" spans="1:22" ht="14.25" thickBot="1" x14ac:dyDescent="0.2">
      <c r="A519" s="7" t="s">
        <v>4</v>
      </c>
      <c r="B519" s="3" t="s">
        <v>5</v>
      </c>
      <c r="C519" s="4" t="s">
        <v>6</v>
      </c>
      <c r="D519" s="5" t="s">
        <v>7</v>
      </c>
      <c r="E519" s="7" t="s">
        <v>8</v>
      </c>
      <c r="F519" s="3" t="s">
        <v>5</v>
      </c>
      <c r="G519" s="4" t="s">
        <v>6</v>
      </c>
      <c r="H519" s="5" t="s">
        <v>7</v>
      </c>
      <c r="I519" s="7" t="s">
        <v>8</v>
      </c>
      <c r="J519" s="173"/>
      <c r="L519" s="7" t="s">
        <v>4</v>
      </c>
      <c r="M519" s="3" t="s">
        <v>5</v>
      </c>
      <c r="N519" s="4" t="s">
        <v>6</v>
      </c>
      <c r="O519" s="5" t="s">
        <v>7</v>
      </c>
      <c r="P519" s="7" t="s">
        <v>8</v>
      </c>
      <c r="Q519" s="3" t="s">
        <v>5</v>
      </c>
      <c r="R519" s="4" t="s">
        <v>6</v>
      </c>
      <c r="S519" s="5" t="s">
        <v>7</v>
      </c>
      <c r="T519" s="7" t="s">
        <v>8</v>
      </c>
      <c r="U519" s="173"/>
    </row>
    <row r="520" spans="1:22" ht="14.25" thickBot="1" x14ac:dyDescent="0.2">
      <c r="A520" s="31" t="s">
        <v>14</v>
      </c>
      <c r="B520" s="32">
        <f>B514</f>
        <v>20</v>
      </c>
      <c r="C520" s="33">
        <f>C514</f>
        <v>72</v>
      </c>
      <c r="D520" s="34">
        <f>D514</f>
        <v>41</v>
      </c>
      <c r="E520" s="41">
        <f>SUM(B520:D520)</f>
        <v>133</v>
      </c>
      <c r="F520" s="32">
        <f>F514</f>
        <v>23</v>
      </c>
      <c r="G520" s="33">
        <f>G514</f>
        <v>48</v>
      </c>
      <c r="H520" s="34">
        <f>H514</f>
        <v>32</v>
      </c>
      <c r="I520" s="41">
        <f>SUM(F520:H520)</f>
        <v>103</v>
      </c>
      <c r="J520" s="41">
        <f>E520+I520</f>
        <v>236</v>
      </c>
      <c r="L520" s="31" t="s">
        <v>14</v>
      </c>
      <c r="M520" s="32">
        <f>M514</f>
        <v>45</v>
      </c>
      <c r="N520" s="33">
        <f>N514</f>
        <v>0</v>
      </c>
      <c r="O520" s="34">
        <f>O514</f>
        <v>0</v>
      </c>
      <c r="P520" s="35">
        <f>SUM(M520:O520)</f>
        <v>45</v>
      </c>
      <c r="Q520" s="32">
        <f>Q514</f>
        <v>247</v>
      </c>
      <c r="R520" s="33">
        <f>R514</f>
        <v>241</v>
      </c>
      <c r="S520" s="34">
        <f>S514</f>
        <v>271</v>
      </c>
      <c r="T520" s="35">
        <f>SUM(Q520:S520)</f>
        <v>759</v>
      </c>
      <c r="U520" s="35">
        <f>P520+T520</f>
        <v>804</v>
      </c>
    </row>
    <row r="521" spans="1:22" x14ac:dyDescent="0.15">
      <c r="A521" s="28" t="s">
        <v>9</v>
      </c>
      <c r="B521" s="17">
        <v>50</v>
      </c>
      <c r="C521" s="18">
        <v>50</v>
      </c>
      <c r="D521" s="19">
        <v>100</v>
      </c>
      <c r="E521" s="20">
        <f t="shared" ref="E521:E528" si="219">SUM(B521:D521)</f>
        <v>200</v>
      </c>
      <c r="F521" s="21"/>
      <c r="G521" s="18"/>
      <c r="H521" s="19"/>
      <c r="I521" s="20">
        <f t="shared" ref="I521:I528" si="220">SUM(F521:H521)</f>
        <v>0</v>
      </c>
      <c r="J521" s="20">
        <f t="shared" ref="J521:J528" si="221">E521+I521</f>
        <v>200</v>
      </c>
      <c r="K521" s="65">
        <v>42299</v>
      </c>
      <c r="L521" s="28" t="s">
        <v>9</v>
      </c>
      <c r="M521" s="8"/>
      <c r="N521" s="9"/>
      <c r="O521" s="10"/>
      <c r="P521" s="78">
        <f t="shared" ref="P521:P528" si="222">SUM(M521:O521)</f>
        <v>0</v>
      </c>
      <c r="Q521" s="12"/>
      <c r="R521" s="9"/>
      <c r="S521" s="10"/>
      <c r="T521" s="78">
        <f t="shared" ref="T521:T528" si="223">SUM(Q521:S521)</f>
        <v>0</v>
      </c>
      <c r="U521" s="78">
        <f t="shared" ref="U521:U528" si="224">P521+T521</f>
        <v>0</v>
      </c>
      <c r="V521" s="65"/>
    </row>
    <row r="522" spans="1:22" x14ac:dyDescent="0.15">
      <c r="A522" s="28" t="s">
        <v>59</v>
      </c>
      <c r="B522" s="8"/>
      <c r="C522" s="9">
        <v>7</v>
      </c>
      <c r="D522" s="10"/>
      <c r="E522" s="11">
        <f t="shared" si="219"/>
        <v>7</v>
      </c>
      <c r="F522" s="12"/>
      <c r="G522" s="9">
        <v>1</v>
      </c>
      <c r="H522" s="10"/>
      <c r="I522" s="11">
        <f t="shared" si="220"/>
        <v>1</v>
      </c>
      <c r="J522" s="11">
        <f t="shared" si="221"/>
        <v>8</v>
      </c>
      <c r="K522" s="71">
        <v>42301</v>
      </c>
      <c r="L522" s="28" t="s">
        <v>10</v>
      </c>
      <c r="M522" s="8"/>
      <c r="N522" s="9"/>
      <c r="O522" s="10"/>
      <c r="P522" s="11">
        <f t="shared" si="222"/>
        <v>0</v>
      </c>
      <c r="Q522" s="12"/>
      <c r="R522" s="9"/>
      <c r="S522" s="10"/>
      <c r="T522" s="11">
        <f t="shared" si="223"/>
        <v>0</v>
      </c>
      <c r="U522" s="11">
        <f t="shared" si="224"/>
        <v>0</v>
      </c>
      <c r="V522" s="58"/>
    </row>
    <row r="523" spans="1:22" x14ac:dyDescent="0.15">
      <c r="A523" s="28" t="s">
        <v>210</v>
      </c>
      <c r="B523" s="8"/>
      <c r="C523" s="9"/>
      <c r="D523" s="10">
        <v>1</v>
      </c>
      <c r="E523" s="11">
        <f t="shared" si="219"/>
        <v>1</v>
      </c>
      <c r="F523" s="12"/>
      <c r="G523" s="9"/>
      <c r="H523" s="10"/>
      <c r="I523" s="11">
        <f t="shared" si="220"/>
        <v>0</v>
      </c>
      <c r="J523" s="11">
        <f t="shared" si="221"/>
        <v>1</v>
      </c>
      <c r="K523" s="71">
        <v>42306</v>
      </c>
      <c r="L523" s="28" t="s">
        <v>11</v>
      </c>
      <c r="M523" s="8"/>
      <c r="N523" s="9"/>
      <c r="O523" s="10"/>
      <c r="P523" s="11">
        <f t="shared" si="222"/>
        <v>0</v>
      </c>
      <c r="Q523" s="12"/>
      <c r="R523" s="9"/>
      <c r="S523" s="10"/>
      <c r="T523" s="11">
        <f t="shared" si="223"/>
        <v>0</v>
      </c>
      <c r="U523" s="11">
        <f t="shared" si="224"/>
        <v>0</v>
      </c>
    </row>
    <row r="524" spans="1:22" x14ac:dyDescent="0.15">
      <c r="A524" s="28" t="s">
        <v>59</v>
      </c>
      <c r="B524" s="8">
        <v>1</v>
      </c>
      <c r="C524" s="9">
        <v>10</v>
      </c>
      <c r="D524" s="10">
        <v>1</v>
      </c>
      <c r="E524" s="11">
        <f t="shared" si="219"/>
        <v>12</v>
      </c>
      <c r="F524" s="12">
        <v>1</v>
      </c>
      <c r="G524" s="9"/>
      <c r="H524" s="10"/>
      <c r="I524" s="11">
        <f t="shared" si="220"/>
        <v>1</v>
      </c>
      <c r="J524" s="11">
        <f t="shared" si="221"/>
        <v>13</v>
      </c>
      <c r="K524" s="71">
        <v>42334</v>
      </c>
      <c r="L524" s="28" t="s">
        <v>12</v>
      </c>
      <c r="M524" s="8"/>
      <c r="N524" s="9"/>
      <c r="O524" s="10"/>
      <c r="P524" s="11">
        <f t="shared" si="222"/>
        <v>0</v>
      </c>
      <c r="Q524" s="12"/>
      <c r="R524" s="9"/>
      <c r="S524" s="10"/>
      <c r="T524" s="11">
        <f t="shared" si="223"/>
        <v>0</v>
      </c>
      <c r="U524" s="11">
        <f t="shared" si="224"/>
        <v>0</v>
      </c>
    </row>
    <row r="525" spans="1:22" x14ac:dyDescent="0.15">
      <c r="A525" s="28" t="s">
        <v>210</v>
      </c>
      <c r="B525" s="8"/>
      <c r="C525" s="9">
        <v>1</v>
      </c>
      <c r="D525" s="10"/>
      <c r="E525" s="11">
        <f t="shared" si="219"/>
        <v>1</v>
      </c>
      <c r="F525" s="12">
        <v>1</v>
      </c>
      <c r="G525" s="9">
        <v>1</v>
      </c>
      <c r="H525" s="10"/>
      <c r="I525" s="11">
        <f t="shared" si="220"/>
        <v>2</v>
      </c>
      <c r="J525" s="11">
        <f t="shared" si="221"/>
        <v>3</v>
      </c>
      <c r="K525" s="71">
        <v>42334</v>
      </c>
      <c r="L525" s="28" t="s">
        <v>15</v>
      </c>
      <c r="M525" s="8"/>
      <c r="N525" s="9"/>
      <c r="O525" s="10"/>
      <c r="P525" s="11">
        <f t="shared" si="222"/>
        <v>0</v>
      </c>
      <c r="Q525" s="12"/>
      <c r="R525" s="9"/>
      <c r="S525" s="10"/>
      <c r="T525" s="11">
        <f t="shared" si="223"/>
        <v>0</v>
      </c>
      <c r="U525" s="11">
        <f t="shared" si="224"/>
        <v>0</v>
      </c>
    </row>
    <row r="526" spans="1:22" x14ac:dyDescent="0.15">
      <c r="A526" s="28" t="s">
        <v>104</v>
      </c>
      <c r="B526" s="8">
        <v>10</v>
      </c>
      <c r="C526" s="9">
        <v>3</v>
      </c>
      <c r="D526" s="10">
        <v>4</v>
      </c>
      <c r="E526" s="11">
        <f t="shared" si="219"/>
        <v>17</v>
      </c>
      <c r="F526" s="12">
        <v>5</v>
      </c>
      <c r="G526" s="9">
        <v>7</v>
      </c>
      <c r="H526" s="10">
        <v>1</v>
      </c>
      <c r="I526" s="11">
        <f t="shared" si="220"/>
        <v>13</v>
      </c>
      <c r="J526" s="11">
        <f t="shared" si="221"/>
        <v>30</v>
      </c>
      <c r="K526" s="71">
        <v>42343</v>
      </c>
      <c r="L526" s="28" t="s">
        <v>16</v>
      </c>
      <c r="M526" s="8"/>
      <c r="N526" s="9"/>
      <c r="O526" s="10"/>
      <c r="P526" s="11">
        <f t="shared" si="222"/>
        <v>0</v>
      </c>
      <c r="Q526" s="12"/>
      <c r="R526" s="9"/>
      <c r="S526" s="10"/>
      <c r="T526" s="11">
        <f t="shared" si="223"/>
        <v>0</v>
      </c>
      <c r="U526" s="11">
        <f t="shared" si="224"/>
        <v>0</v>
      </c>
    </row>
    <row r="527" spans="1:22" x14ac:dyDescent="0.15">
      <c r="A527" s="28" t="s">
        <v>17</v>
      </c>
      <c r="B527" s="13"/>
      <c r="C527" s="14"/>
      <c r="D527" s="15"/>
      <c r="E527" s="11">
        <f t="shared" si="219"/>
        <v>0</v>
      </c>
      <c r="F527" s="16"/>
      <c r="G527" s="14"/>
      <c r="H527" s="15"/>
      <c r="I527" s="11">
        <f t="shared" si="220"/>
        <v>0</v>
      </c>
      <c r="J527" s="11">
        <f t="shared" si="221"/>
        <v>0</v>
      </c>
      <c r="L527" s="80" t="s">
        <v>325</v>
      </c>
      <c r="M527" s="52"/>
      <c r="N527" s="53">
        <v>100</v>
      </c>
      <c r="O527" s="54">
        <v>50</v>
      </c>
      <c r="P527" s="55">
        <f t="shared" si="222"/>
        <v>150</v>
      </c>
      <c r="Q527" s="56"/>
      <c r="R527" s="53"/>
      <c r="S527" s="54"/>
      <c r="T527" s="55">
        <f t="shared" si="223"/>
        <v>0</v>
      </c>
      <c r="U527" s="55">
        <f t="shared" si="224"/>
        <v>150</v>
      </c>
      <c r="V527" s="58">
        <v>42346</v>
      </c>
    </row>
    <row r="528" spans="1:22" ht="14.25" thickBot="1" x14ac:dyDescent="0.2">
      <c r="A528" s="28" t="s">
        <v>18</v>
      </c>
      <c r="B528" s="36"/>
      <c r="C528" s="37"/>
      <c r="D528" s="40"/>
      <c r="E528" s="22">
        <f t="shared" si="219"/>
        <v>0</v>
      </c>
      <c r="F528" s="38"/>
      <c r="G528" s="38"/>
      <c r="H528" s="43"/>
      <c r="I528" s="22">
        <f t="shared" si="220"/>
        <v>0</v>
      </c>
      <c r="J528" s="22">
        <f t="shared" si="221"/>
        <v>0</v>
      </c>
      <c r="L528" s="28" t="s">
        <v>18</v>
      </c>
      <c r="M528" s="36"/>
      <c r="N528" s="37"/>
      <c r="O528" s="40"/>
      <c r="P528" s="22">
        <f t="shared" si="222"/>
        <v>0</v>
      </c>
      <c r="Q528" s="38"/>
      <c r="R528" s="38"/>
      <c r="S528" s="43"/>
      <c r="T528" s="22">
        <f t="shared" si="223"/>
        <v>0</v>
      </c>
      <c r="U528" s="22">
        <f t="shared" si="224"/>
        <v>0</v>
      </c>
    </row>
    <row r="529" spans="1:22" ht="14.25" thickBot="1" x14ac:dyDescent="0.2">
      <c r="A529" s="39" t="s">
        <v>20</v>
      </c>
      <c r="B529" s="32">
        <f t="shared" ref="B529:J529" si="225">SUM(B520:B528)</f>
        <v>81</v>
      </c>
      <c r="C529" s="33">
        <f t="shared" si="225"/>
        <v>143</v>
      </c>
      <c r="D529" s="34">
        <f t="shared" si="225"/>
        <v>147</v>
      </c>
      <c r="E529" s="42">
        <f t="shared" si="225"/>
        <v>371</v>
      </c>
      <c r="F529" s="32">
        <f t="shared" si="225"/>
        <v>30</v>
      </c>
      <c r="G529" s="33">
        <f t="shared" si="225"/>
        <v>57</v>
      </c>
      <c r="H529" s="34">
        <f t="shared" si="225"/>
        <v>33</v>
      </c>
      <c r="I529" s="42">
        <f t="shared" si="225"/>
        <v>120</v>
      </c>
      <c r="J529" s="42">
        <f t="shared" si="225"/>
        <v>491</v>
      </c>
      <c r="L529" s="39" t="s">
        <v>20</v>
      </c>
      <c r="M529" s="32">
        <f t="shared" ref="M529:U529" si="226">SUM(M520:M528)</f>
        <v>45</v>
      </c>
      <c r="N529" s="33">
        <f t="shared" si="226"/>
        <v>100</v>
      </c>
      <c r="O529" s="34">
        <f t="shared" si="226"/>
        <v>50</v>
      </c>
      <c r="P529" s="42">
        <f t="shared" si="226"/>
        <v>195</v>
      </c>
      <c r="Q529" s="32">
        <f t="shared" si="226"/>
        <v>247</v>
      </c>
      <c r="R529" s="33">
        <f t="shared" si="226"/>
        <v>241</v>
      </c>
      <c r="S529" s="34">
        <f t="shared" si="226"/>
        <v>271</v>
      </c>
      <c r="T529" s="42">
        <f t="shared" si="226"/>
        <v>759</v>
      </c>
      <c r="U529" s="42">
        <f t="shared" si="226"/>
        <v>954</v>
      </c>
    </row>
    <row r="530" spans="1:22" x14ac:dyDescent="0.15">
      <c r="A530" s="26" t="s">
        <v>305</v>
      </c>
      <c r="B530" s="13">
        <v>1</v>
      </c>
      <c r="C530" s="14"/>
      <c r="D530" s="15"/>
      <c r="E530" s="11">
        <f>SUM(B530:D530)</f>
        <v>1</v>
      </c>
      <c r="F530" s="16"/>
      <c r="G530" s="14"/>
      <c r="H530" s="15"/>
      <c r="I530" s="11">
        <f>SUM(F530:H530)</f>
        <v>0</v>
      </c>
      <c r="J530" s="11">
        <f>E530+I530</f>
        <v>1</v>
      </c>
      <c r="K530" s="71">
        <v>42291</v>
      </c>
      <c r="L530" s="27"/>
      <c r="M530" s="13"/>
      <c r="N530" s="14"/>
      <c r="O530" s="15"/>
      <c r="P530" s="11">
        <f>SUM(M530:O530)</f>
        <v>0</v>
      </c>
      <c r="Q530" s="16"/>
      <c r="R530" s="14"/>
      <c r="S530" s="15"/>
      <c r="T530" s="11">
        <f>SUM(Q530:S530)</f>
        <v>0</v>
      </c>
      <c r="U530" s="11">
        <f>P530+T530</f>
        <v>0</v>
      </c>
      <c r="V530" s="65"/>
    </row>
    <row r="531" spans="1:22" x14ac:dyDescent="0.15">
      <c r="A531" s="29" t="s">
        <v>306</v>
      </c>
      <c r="B531" s="13"/>
      <c r="C531" s="14"/>
      <c r="D531" s="15"/>
      <c r="E531" s="11">
        <f t="shared" ref="E531:E555" si="227">SUM(B531:D531)</f>
        <v>0</v>
      </c>
      <c r="F531" s="16"/>
      <c r="G531" s="14">
        <v>1</v>
      </c>
      <c r="H531" s="15"/>
      <c r="I531" s="11">
        <f t="shared" ref="I531:I555" si="228">SUM(F531:H531)</f>
        <v>1</v>
      </c>
      <c r="J531" s="11">
        <f t="shared" ref="J531:J555" si="229">E531+I531</f>
        <v>1</v>
      </c>
      <c r="K531" s="71">
        <v>42293</v>
      </c>
      <c r="L531" s="27"/>
      <c r="M531" s="8"/>
      <c r="N531" s="9"/>
      <c r="O531" s="10"/>
      <c r="P531" s="11">
        <f>SUM(M531:O531)</f>
        <v>0</v>
      </c>
      <c r="Q531" s="12"/>
      <c r="R531" s="9"/>
      <c r="S531" s="10"/>
      <c r="T531" s="11">
        <f>SUM(Q531:S531)</f>
        <v>0</v>
      </c>
      <c r="U531" s="11">
        <f>P531+T531</f>
        <v>0</v>
      </c>
    </row>
    <row r="532" spans="1:22" x14ac:dyDescent="0.15">
      <c r="A532" s="27" t="s">
        <v>32</v>
      </c>
      <c r="B532" s="8"/>
      <c r="C532" s="9"/>
      <c r="D532" s="10"/>
      <c r="E532" s="11">
        <f t="shared" si="227"/>
        <v>0</v>
      </c>
      <c r="F532" s="12"/>
      <c r="G532" s="9">
        <v>1</v>
      </c>
      <c r="H532" s="10"/>
      <c r="I532" s="11">
        <f t="shared" si="228"/>
        <v>1</v>
      </c>
      <c r="J532" s="11">
        <f t="shared" si="229"/>
        <v>1</v>
      </c>
      <c r="K532" s="71">
        <v>42296</v>
      </c>
      <c r="L532" s="27"/>
      <c r="M532" s="8"/>
      <c r="N532" s="9"/>
      <c r="O532" s="10"/>
      <c r="P532" s="11">
        <f t="shared" ref="P532:P555" si="230">SUM(M532:O532)</f>
        <v>0</v>
      </c>
      <c r="Q532" s="12"/>
      <c r="R532" s="9"/>
      <c r="S532" s="10"/>
      <c r="T532" s="11">
        <f t="shared" ref="T532:T555" si="231">SUM(Q532:S532)</f>
        <v>0</v>
      </c>
      <c r="U532" s="11">
        <f t="shared" ref="U532:U555" si="232">P532+T532</f>
        <v>0</v>
      </c>
    </row>
    <row r="533" spans="1:22" x14ac:dyDescent="0.15">
      <c r="A533" s="29" t="s">
        <v>307</v>
      </c>
      <c r="B533" s="8">
        <v>50</v>
      </c>
      <c r="C533" s="9"/>
      <c r="D533" s="10">
        <v>50</v>
      </c>
      <c r="E533" s="11">
        <f t="shared" si="227"/>
        <v>100</v>
      </c>
      <c r="F533" s="12"/>
      <c r="G533" s="9"/>
      <c r="H533" s="10"/>
      <c r="I533" s="11">
        <f t="shared" si="228"/>
        <v>0</v>
      </c>
      <c r="J533" s="11">
        <f t="shared" si="229"/>
        <v>100</v>
      </c>
      <c r="K533" s="65">
        <v>42303</v>
      </c>
      <c r="L533" s="29"/>
      <c r="M533" s="8"/>
      <c r="N533" s="9"/>
      <c r="O533" s="10"/>
      <c r="P533" s="11">
        <f t="shared" si="230"/>
        <v>0</v>
      </c>
      <c r="Q533" s="12"/>
      <c r="R533" s="9"/>
      <c r="S533" s="10"/>
      <c r="T533" s="11">
        <f t="shared" si="231"/>
        <v>0</v>
      </c>
      <c r="U533" s="11">
        <f t="shared" si="232"/>
        <v>0</v>
      </c>
    </row>
    <row r="534" spans="1:22" x14ac:dyDescent="0.15">
      <c r="A534" s="27" t="s">
        <v>310</v>
      </c>
      <c r="B534" s="8"/>
      <c r="C534" s="9"/>
      <c r="D534" s="10"/>
      <c r="E534" s="11">
        <f t="shared" si="227"/>
        <v>0</v>
      </c>
      <c r="F534" s="12"/>
      <c r="G534" s="9"/>
      <c r="H534" s="10">
        <v>2</v>
      </c>
      <c r="I534" s="11">
        <f t="shared" si="228"/>
        <v>2</v>
      </c>
      <c r="J534" s="11">
        <f t="shared" si="229"/>
        <v>2</v>
      </c>
      <c r="K534" s="65">
        <v>42304</v>
      </c>
      <c r="L534" s="29"/>
      <c r="M534" s="8"/>
      <c r="N534" s="9"/>
      <c r="O534" s="10"/>
      <c r="P534" s="11">
        <f t="shared" si="230"/>
        <v>0</v>
      </c>
      <c r="Q534" s="12"/>
      <c r="R534" s="9"/>
      <c r="S534" s="10"/>
      <c r="T534" s="11">
        <f t="shared" si="231"/>
        <v>0</v>
      </c>
      <c r="U534" s="11">
        <f t="shared" si="232"/>
        <v>0</v>
      </c>
    </row>
    <row r="535" spans="1:22" x14ac:dyDescent="0.15">
      <c r="A535" s="29" t="s">
        <v>369</v>
      </c>
      <c r="B535" s="8"/>
      <c r="C535" s="9"/>
      <c r="D535" s="10">
        <v>1</v>
      </c>
      <c r="E535" s="11">
        <f t="shared" si="227"/>
        <v>1</v>
      </c>
      <c r="F535" s="12"/>
      <c r="G535" s="9"/>
      <c r="H535" s="10"/>
      <c r="I535" s="11">
        <f t="shared" si="228"/>
        <v>0</v>
      </c>
      <c r="J535" s="11">
        <f t="shared" si="229"/>
        <v>1</v>
      </c>
      <c r="K535" s="71">
        <v>42304</v>
      </c>
      <c r="L535" s="27"/>
      <c r="M535" s="8"/>
      <c r="N535" s="9"/>
      <c r="O535" s="10"/>
      <c r="P535" s="11">
        <f t="shared" si="230"/>
        <v>0</v>
      </c>
      <c r="Q535" s="12"/>
      <c r="R535" s="9"/>
      <c r="S535" s="10"/>
      <c r="T535" s="11">
        <f t="shared" si="231"/>
        <v>0</v>
      </c>
      <c r="U535" s="11">
        <f t="shared" si="232"/>
        <v>0</v>
      </c>
    </row>
    <row r="536" spans="1:22" x14ac:dyDescent="0.15">
      <c r="A536" s="29" t="s">
        <v>312</v>
      </c>
      <c r="B536" s="8"/>
      <c r="C536" s="9">
        <v>1</v>
      </c>
      <c r="D536" s="10"/>
      <c r="E536" s="11">
        <f t="shared" si="227"/>
        <v>1</v>
      </c>
      <c r="F536" s="12"/>
      <c r="G536" s="9"/>
      <c r="H536" s="10"/>
      <c r="I536" s="11">
        <f t="shared" si="228"/>
        <v>0</v>
      </c>
      <c r="J536" s="11">
        <f t="shared" si="229"/>
        <v>1</v>
      </c>
      <c r="K536" s="71">
        <v>42304</v>
      </c>
      <c r="L536" s="29"/>
      <c r="M536" s="8"/>
      <c r="N536" s="9"/>
      <c r="O536" s="10"/>
      <c r="P536" s="11">
        <f t="shared" si="230"/>
        <v>0</v>
      </c>
      <c r="Q536" s="12"/>
      <c r="R536" s="9"/>
      <c r="S536" s="10"/>
      <c r="T536" s="11">
        <f t="shared" si="231"/>
        <v>0</v>
      </c>
      <c r="U536" s="11">
        <f t="shared" si="232"/>
        <v>0</v>
      </c>
    </row>
    <row r="537" spans="1:22" x14ac:dyDescent="0.15">
      <c r="A537" s="29" t="s">
        <v>309</v>
      </c>
      <c r="B537" s="8"/>
      <c r="C537" s="9"/>
      <c r="D537" s="10">
        <v>1</v>
      </c>
      <c r="E537" s="11">
        <f t="shared" si="227"/>
        <v>1</v>
      </c>
      <c r="F537" s="12">
        <v>2</v>
      </c>
      <c r="G537" s="9">
        <v>1</v>
      </c>
      <c r="H537" s="10"/>
      <c r="I537" s="11">
        <f t="shared" si="228"/>
        <v>3</v>
      </c>
      <c r="J537" s="11">
        <f t="shared" si="229"/>
        <v>4</v>
      </c>
      <c r="K537" s="71">
        <v>42305</v>
      </c>
      <c r="L537" s="29"/>
      <c r="M537" s="8"/>
      <c r="N537" s="9"/>
      <c r="O537" s="10"/>
      <c r="P537" s="11">
        <f t="shared" si="230"/>
        <v>0</v>
      </c>
      <c r="Q537" s="12"/>
      <c r="R537" s="9"/>
      <c r="S537" s="10"/>
      <c r="T537" s="11">
        <f t="shared" si="231"/>
        <v>0</v>
      </c>
      <c r="U537" s="11">
        <f t="shared" si="232"/>
        <v>0</v>
      </c>
    </row>
    <row r="538" spans="1:22" x14ac:dyDescent="0.15">
      <c r="A538" s="29" t="s">
        <v>315</v>
      </c>
      <c r="B538" s="13"/>
      <c r="C538" s="14"/>
      <c r="D538" s="15"/>
      <c r="E538" s="11">
        <f t="shared" si="227"/>
        <v>0</v>
      </c>
      <c r="F538" s="16">
        <v>1</v>
      </c>
      <c r="G538" s="14">
        <v>1</v>
      </c>
      <c r="H538" s="15"/>
      <c r="I538" s="11">
        <f t="shared" si="228"/>
        <v>2</v>
      </c>
      <c r="J538" s="11">
        <f t="shared" si="229"/>
        <v>2</v>
      </c>
      <c r="K538" s="71">
        <v>42313</v>
      </c>
      <c r="L538" s="27"/>
      <c r="M538" s="8"/>
      <c r="N538" s="9"/>
      <c r="O538" s="10"/>
      <c r="P538" s="11">
        <f t="shared" si="230"/>
        <v>0</v>
      </c>
      <c r="Q538" s="12"/>
      <c r="R538" s="9"/>
      <c r="S538" s="10"/>
      <c r="T538" s="11">
        <f t="shared" si="231"/>
        <v>0</v>
      </c>
      <c r="U538" s="11">
        <f t="shared" si="232"/>
        <v>0</v>
      </c>
    </row>
    <row r="539" spans="1:22" x14ac:dyDescent="0.15">
      <c r="A539" s="29" t="s">
        <v>311</v>
      </c>
      <c r="B539" s="13"/>
      <c r="C539" s="14"/>
      <c r="D539" s="15">
        <v>1</v>
      </c>
      <c r="E539" s="11">
        <f t="shared" si="227"/>
        <v>1</v>
      </c>
      <c r="F539" s="16"/>
      <c r="G539" s="14"/>
      <c r="H539" s="15"/>
      <c r="I539" s="11">
        <f t="shared" si="228"/>
        <v>0</v>
      </c>
      <c r="J539" s="11">
        <f t="shared" si="229"/>
        <v>1</v>
      </c>
      <c r="K539" s="65">
        <v>42318</v>
      </c>
      <c r="L539" s="29"/>
      <c r="M539" s="13"/>
      <c r="N539" s="14"/>
      <c r="O539" s="15"/>
      <c r="P539" s="11">
        <f t="shared" si="230"/>
        <v>0</v>
      </c>
      <c r="Q539" s="16"/>
      <c r="R539" s="14"/>
      <c r="S539" s="15"/>
      <c r="T539" s="11">
        <f t="shared" si="231"/>
        <v>0</v>
      </c>
      <c r="U539" s="11">
        <f t="shared" si="232"/>
        <v>0</v>
      </c>
    </row>
    <row r="540" spans="1:22" x14ac:dyDescent="0.15">
      <c r="A540" s="29" t="s">
        <v>313</v>
      </c>
      <c r="B540" s="8"/>
      <c r="C540" s="9"/>
      <c r="D540" s="10">
        <v>2</v>
      </c>
      <c r="E540" s="11">
        <f t="shared" si="227"/>
        <v>2</v>
      </c>
      <c r="F540" s="12"/>
      <c r="G540" s="9"/>
      <c r="H540" s="10"/>
      <c r="I540" s="11">
        <f t="shared" si="228"/>
        <v>0</v>
      </c>
      <c r="J540" s="11">
        <f t="shared" si="229"/>
        <v>2</v>
      </c>
      <c r="K540" s="71">
        <v>42315</v>
      </c>
      <c r="L540" s="29"/>
      <c r="M540" s="8"/>
      <c r="N540" s="9"/>
      <c r="O540" s="10"/>
      <c r="P540" s="11">
        <f t="shared" si="230"/>
        <v>0</v>
      </c>
      <c r="Q540" s="12"/>
      <c r="R540" s="9"/>
      <c r="S540" s="10"/>
      <c r="T540" s="11">
        <f t="shared" si="231"/>
        <v>0</v>
      </c>
      <c r="U540" s="11">
        <f t="shared" si="232"/>
        <v>0</v>
      </c>
    </row>
    <row r="541" spans="1:22" x14ac:dyDescent="0.15">
      <c r="A541" s="29" t="s">
        <v>316</v>
      </c>
      <c r="B541" s="8"/>
      <c r="C541" s="9"/>
      <c r="D541" s="10"/>
      <c r="E541" s="11">
        <f t="shared" si="227"/>
        <v>0</v>
      </c>
      <c r="F541" s="12">
        <v>1</v>
      </c>
      <c r="G541" s="9"/>
      <c r="H541" s="10"/>
      <c r="I541" s="11">
        <f t="shared" si="228"/>
        <v>1</v>
      </c>
      <c r="J541" s="11">
        <f t="shared" si="229"/>
        <v>1</v>
      </c>
      <c r="K541" s="71">
        <v>42319</v>
      </c>
      <c r="L541" s="29"/>
      <c r="M541" s="8"/>
      <c r="N541" s="9"/>
      <c r="O541" s="10"/>
      <c r="P541" s="11">
        <f t="shared" si="230"/>
        <v>0</v>
      </c>
      <c r="Q541" s="12"/>
      <c r="R541" s="9"/>
      <c r="S541" s="10"/>
      <c r="T541" s="11">
        <f t="shared" si="231"/>
        <v>0</v>
      </c>
      <c r="U541" s="11">
        <f t="shared" si="232"/>
        <v>0</v>
      </c>
    </row>
    <row r="542" spans="1:22" x14ac:dyDescent="0.15">
      <c r="A542" s="27" t="s">
        <v>317</v>
      </c>
      <c r="B542" s="8"/>
      <c r="C542" s="9"/>
      <c r="D542" s="10"/>
      <c r="E542" s="11">
        <f t="shared" si="227"/>
        <v>0</v>
      </c>
      <c r="F542" s="12">
        <v>3</v>
      </c>
      <c r="G542" s="9"/>
      <c r="H542" s="10"/>
      <c r="I542" s="11">
        <f t="shared" si="228"/>
        <v>3</v>
      </c>
      <c r="J542" s="11">
        <f t="shared" si="229"/>
        <v>3</v>
      </c>
      <c r="K542" s="71">
        <v>42325</v>
      </c>
      <c r="L542" s="27"/>
      <c r="M542" s="8"/>
      <c r="N542" s="9"/>
      <c r="O542" s="10"/>
      <c r="P542" s="11">
        <f t="shared" si="230"/>
        <v>0</v>
      </c>
      <c r="Q542" s="12"/>
      <c r="R542" s="9"/>
      <c r="S542" s="10"/>
      <c r="T542" s="11">
        <f t="shared" si="231"/>
        <v>0</v>
      </c>
      <c r="U542" s="11">
        <f t="shared" si="232"/>
        <v>0</v>
      </c>
    </row>
    <row r="543" spans="1:22" x14ac:dyDescent="0.15">
      <c r="A543" s="27" t="s">
        <v>318</v>
      </c>
      <c r="B543" s="8"/>
      <c r="C543" s="9">
        <v>1</v>
      </c>
      <c r="D543" s="10"/>
      <c r="E543" s="11">
        <f t="shared" si="227"/>
        <v>1</v>
      </c>
      <c r="F543" s="12"/>
      <c r="G543" s="9"/>
      <c r="H543" s="10"/>
      <c r="I543" s="11">
        <f t="shared" si="228"/>
        <v>0</v>
      </c>
      <c r="J543" s="11">
        <f t="shared" si="229"/>
        <v>1</v>
      </c>
      <c r="K543" s="71">
        <v>42325</v>
      </c>
      <c r="L543" s="29"/>
      <c r="M543" s="8"/>
      <c r="N543" s="9"/>
      <c r="O543" s="10"/>
      <c r="P543" s="11">
        <f t="shared" si="230"/>
        <v>0</v>
      </c>
      <c r="Q543" s="12"/>
      <c r="R543" s="9"/>
      <c r="S543" s="10"/>
      <c r="T543" s="11">
        <f t="shared" si="231"/>
        <v>0</v>
      </c>
      <c r="U543" s="11">
        <f t="shared" si="232"/>
        <v>0</v>
      </c>
    </row>
    <row r="544" spans="1:22" x14ac:dyDescent="0.15">
      <c r="A544" s="29" t="s">
        <v>319</v>
      </c>
      <c r="B544" s="8"/>
      <c r="C544" s="9">
        <v>1</v>
      </c>
      <c r="D544" s="10"/>
      <c r="E544" s="11">
        <f t="shared" si="227"/>
        <v>1</v>
      </c>
      <c r="F544" s="12"/>
      <c r="G544" s="9"/>
      <c r="H544" s="10"/>
      <c r="I544" s="11">
        <f t="shared" si="228"/>
        <v>0</v>
      </c>
      <c r="J544" s="11">
        <f t="shared" si="229"/>
        <v>1</v>
      </c>
      <c r="K544" s="71">
        <v>42332</v>
      </c>
      <c r="L544" s="29"/>
      <c r="M544" s="8"/>
      <c r="N544" s="9"/>
      <c r="O544" s="10"/>
      <c r="P544" s="11">
        <f t="shared" si="230"/>
        <v>0</v>
      </c>
      <c r="Q544" s="12"/>
      <c r="R544" s="9"/>
      <c r="S544" s="10"/>
      <c r="T544" s="11">
        <f t="shared" si="231"/>
        <v>0</v>
      </c>
      <c r="U544" s="11">
        <f t="shared" si="232"/>
        <v>0</v>
      </c>
    </row>
    <row r="545" spans="1:32" x14ac:dyDescent="0.15">
      <c r="A545" s="29" t="s">
        <v>320</v>
      </c>
      <c r="B545" s="8"/>
      <c r="C545" s="9">
        <v>1</v>
      </c>
      <c r="D545" s="10"/>
      <c r="E545" s="11">
        <f t="shared" si="227"/>
        <v>1</v>
      </c>
      <c r="F545" s="12">
        <v>4</v>
      </c>
      <c r="G545" s="9">
        <v>1</v>
      </c>
      <c r="H545" s="10"/>
      <c r="I545" s="11">
        <f t="shared" si="228"/>
        <v>5</v>
      </c>
      <c r="J545" s="11">
        <f t="shared" si="229"/>
        <v>6</v>
      </c>
      <c r="K545" s="71">
        <v>42334</v>
      </c>
      <c r="L545" s="27"/>
      <c r="M545" s="8"/>
      <c r="N545" s="9"/>
      <c r="O545" s="10"/>
      <c r="P545" s="11">
        <f t="shared" si="230"/>
        <v>0</v>
      </c>
      <c r="Q545" s="12"/>
      <c r="R545" s="9"/>
      <c r="S545" s="10"/>
      <c r="T545" s="11">
        <f t="shared" si="231"/>
        <v>0</v>
      </c>
      <c r="U545" s="11">
        <f t="shared" si="232"/>
        <v>0</v>
      </c>
    </row>
    <row r="546" spans="1:32" x14ac:dyDescent="0.15">
      <c r="A546" s="29" t="s">
        <v>321</v>
      </c>
      <c r="B546" s="8">
        <v>2</v>
      </c>
      <c r="C546" s="9"/>
      <c r="D546" s="10">
        <v>8</v>
      </c>
      <c r="E546" s="11">
        <f t="shared" si="227"/>
        <v>10</v>
      </c>
      <c r="F546" s="12"/>
      <c r="G546" s="9"/>
      <c r="H546" s="10">
        <v>4</v>
      </c>
      <c r="I546" s="11">
        <f t="shared" si="228"/>
        <v>4</v>
      </c>
      <c r="J546" s="11">
        <f t="shared" si="229"/>
        <v>14</v>
      </c>
      <c r="K546" s="65">
        <v>42341</v>
      </c>
      <c r="L546" s="29"/>
      <c r="M546" s="8"/>
      <c r="N546" s="9"/>
      <c r="O546" s="10"/>
      <c r="P546" s="11">
        <f t="shared" si="230"/>
        <v>0</v>
      </c>
      <c r="Q546" s="12"/>
      <c r="R546" s="9"/>
      <c r="S546" s="10"/>
      <c r="T546" s="11">
        <f t="shared" si="231"/>
        <v>0</v>
      </c>
      <c r="U546" s="11">
        <f t="shared" si="232"/>
        <v>0</v>
      </c>
    </row>
    <row r="547" spans="1:32" x14ac:dyDescent="0.15">
      <c r="A547" s="27" t="s">
        <v>322</v>
      </c>
      <c r="B547" s="8">
        <v>1</v>
      </c>
      <c r="C547" s="9">
        <v>1</v>
      </c>
      <c r="D547" s="10">
        <v>1</v>
      </c>
      <c r="E547" s="11">
        <f t="shared" si="227"/>
        <v>3</v>
      </c>
      <c r="F547" s="12">
        <v>1</v>
      </c>
      <c r="G547" s="9">
        <v>1</v>
      </c>
      <c r="H547" s="10">
        <v>1</v>
      </c>
      <c r="I547" s="11">
        <f t="shared" si="228"/>
        <v>3</v>
      </c>
      <c r="J547" s="11">
        <f t="shared" si="229"/>
        <v>6</v>
      </c>
      <c r="K547" s="65">
        <v>42341</v>
      </c>
      <c r="L547" s="27"/>
      <c r="M547" s="8"/>
      <c r="N547" s="9"/>
      <c r="O547" s="10"/>
      <c r="P547" s="11">
        <f t="shared" si="230"/>
        <v>0</v>
      </c>
      <c r="Q547" s="12"/>
      <c r="R547" s="9"/>
      <c r="S547" s="10"/>
      <c r="T547" s="11">
        <f t="shared" si="231"/>
        <v>0</v>
      </c>
      <c r="U547" s="11">
        <f t="shared" si="232"/>
        <v>0</v>
      </c>
    </row>
    <row r="548" spans="1:32" x14ac:dyDescent="0.15">
      <c r="A548" s="26" t="s">
        <v>323</v>
      </c>
      <c r="B548" s="8"/>
      <c r="C548" s="9">
        <v>4</v>
      </c>
      <c r="D548" s="10"/>
      <c r="E548" s="11">
        <f t="shared" si="227"/>
        <v>4</v>
      </c>
      <c r="F548" s="12"/>
      <c r="G548" s="9">
        <v>3</v>
      </c>
      <c r="H548" s="10"/>
      <c r="I548" s="11">
        <f t="shared" si="228"/>
        <v>3</v>
      </c>
      <c r="J548" s="11">
        <f t="shared" si="229"/>
        <v>7</v>
      </c>
      <c r="K548" s="71">
        <v>42340</v>
      </c>
      <c r="L548" s="26"/>
      <c r="M548" s="8"/>
      <c r="N548" s="9"/>
      <c r="O548" s="10"/>
      <c r="P548" s="11">
        <f t="shared" si="230"/>
        <v>0</v>
      </c>
      <c r="Q548" s="12"/>
      <c r="R548" s="9"/>
      <c r="S548" s="10"/>
      <c r="T548" s="11">
        <f t="shared" si="231"/>
        <v>0</v>
      </c>
      <c r="U548" s="11">
        <f t="shared" si="232"/>
        <v>0</v>
      </c>
    </row>
    <row r="549" spans="1:32" x14ac:dyDescent="0.15">
      <c r="A549" s="26" t="s">
        <v>324</v>
      </c>
      <c r="B549" s="8"/>
      <c r="C549" s="9"/>
      <c r="D549" s="10"/>
      <c r="E549" s="11">
        <f t="shared" si="227"/>
        <v>0</v>
      </c>
      <c r="F549" s="12">
        <v>5</v>
      </c>
      <c r="G549" s="9"/>
      <c r="H549" s="10">
        <v>1</v>
      </c>
      <c r="I549" s="11">
        <f t="shared" si="228"/>
        <v>6</v>
      </c>
      <c r="J549" s="11">
        <f t="shared" si="229"/>
        <v>6</v>
      </c>
      <c r="K549" s="71">
        <v>42343</v>
      </c>
      <c r="L549" s="26"/>
      <c r="M549" s="8"/>
      <c r="N549" s="9"/>
      <c r="O549" s="10"/>
      <c r="P549" s="11">
        <f t="shared" si="230"/>
        <v>0</v>
      </c>
      <c r="Q549" s="12"/>
      <c r="R549" s="9"/>
      <c r="S549" s="10"/>
      <c r="T549" s="11">
        <f t="shared" si="231"/>
        <v>0</v>
      </c>
      <c r="U549" s="11">
        <f t="shared" si="232"/>
        <v>0</v>
      </c>
    </row>
    <row r="550" spans="1:32" x14ac:dyDescent="0.15">
      <c r="A550" s="27" t="s">
        <v>328</v>
      </c>
      <c r="B550" s="8"/>
      <c r="C550" s="9"/>
      <c r="D550" s="10">
        <v>2</v>
      </c>
      <c r="E550" s="11">
        <f t="shared" si="227"/>
        <v>2</v>
      </c>
      <c r="F550" s="12"/>
      <c r="G550" s="9"/>
      <c r="H550" s="10"/>
      <c r="I550" s="11">
        <f t="shared" si="228"/>
        <v>0</v>
      </c>
      <c r="J550" s="11">
        <f t="shared" si="229"/>
        <v>2</v>
      </c>
      <c r="K550" s="71">
        <v>42346</v>
      </c>
      <c r="L550" s="27"/>
      <c r="M550" s="8"/>
      <c r="N550" s="9"/>
      <c r="O550" s="10"/>
      <c r="P550" s="11">
        <f t="shared" si="230"/>
        <v>0</v>
      </c>
      <c r="Q550" s="12"/>
      <c r="R550" s="9"/>
      <c r="S550" s="10"/>
      <c r="T550" s="11">
        <f t="shared" si="231"/>
        <v>0</v>
      </c>
      <c r="U550" s="11">
        <f t="shared" si="232"/>
        <v>0</v>
      </c>
    </row>
    <row r="551" spans="1:32" x14ac:dyDescent="0.15">
      <c r="A551" s="29" t="s">
        <v>325</v>
      </c>
      <c r="B551" s="13"/>
      <c r="C551" s="14">
        <v>100</v>
      </c>
      <c r="D551" s="15">
        <v>50</v>
      </c>
      <c r="E551" s="11">
        <f t="shared" si="227"/>
        <v>150</v>
      </c>
      <c r="F551" s="16"/>
      <c r="G551" s="14"/>
      <c r="H551" s="15"/>
      <c r="I551" s="11">
        <f t="shared" si="228"/>
        <v>0</v>
      </c>
      <c r="J551" s="11">
        <f t="shared" si="229"/>
        <v>150</v>
      </c>
      <c r="K551" s="65">
        <v>42346</v>
      </c>
      <c r="L551" s="29"/>
      <c r="M551" s="13"/>
      <c r="N551" s="14"/>
      <c r="O551" s="15"/>
      <c r="P551" s="11">
        <f t="shared" si="230"/>
        <v>0</v>
      </c>
      <c r="Q551" s="16"/>
      <c r="R551" s="14"/>
      <c r="S551" s="15"/>
      <c r="T551" s="11">
        <f t="shared" si="231"/>
        <v>0</v>
      </c>
      <c r="U551" s="11">
        <f t="shared" si="232"/>
        <v>0</v>
      </c>
    </row>
    <row r="552" spans="1:32" x14ac:dyDescent="0.15">
      <c r="A552" s="27" t="s">
        <v>326</v>
      </c>
      <c r="B552" s="8"/>
      <c r="C552" s="9">
        <v>10</v>
      </c>
      <c r="D552" s="10"/>
      <c r="E552" s="11">
        <f t="shared" si="227"/>
        <v>10</v>
      </c>
      <c r="F552" s="12"/>
      <c r="G552" s="9"/>
      <c r="H552" s="10"/>
      <c r="I552" s="11">
        <f t="shared" si="228"/>
        <v>0</v>
      </c>
      <c r="J552" s="11">
        <f t="shared" si="229"/>
        <v>10</v>
      </c>
      <c r="K552" s="65">
        <v>42352</v>
      </c>
      <c r="L552" s="6"/>
      <c r="M552" s="13"/>
      <c r="N552" s="14"/>
      <c r="O552" s="15"/>
      <c r="P552" s="11">
        <f t="shared" si="230"/>
        <v>0</v>
      </c>
      <c r="Q552" s="16"/>
      <c r="R552" s="14"/>
      <c r="S552" s="15"/>
      <c r="T552" s="11">
        <f t="shared" si="231"/>
        <v>0</v>
      </c>
      <c r="U552" s="11">
        <f t="shared" si="232"/>
        <v>0</v>
      </c>
    </row>
    <row r="553" spans="1:32" x14ac:dyDescent="0.15">
      <c r="A553" s="29" t="s">
        <v>329</v>
      </c>
      <c r="B553" s="8"/>
      <c r="C553" s="9"/>
      <c r="D553" s="10"/>
      <c r="E553" s="11">
        <f t="shared" si="227"/>
        <v>0</v>
      </c>
      <c r="F553" s="12"/>
      <c r="G553" s="9">
        <v>1</v>
      </c>
      <c r="H553" s="10"/>
      <c r="I553" s="11">
        <f t="shared" si="228"/>
        <v>1</v>
      </c>
      <c r="J553" s="11">
        <f t="shared" si="229"/>
        <v>1</v>
      </c>
      <c r="K553" s="71">
        <v>42347</v>
      </c>
      <c r="L553" s="27"/>
      <c r="M553" s="13"/>
      <c r="N553" s="14"/>
      <c r="O553" s="15"/>
      <c r="P553" s="11">
        <f t="shared" si="230"/>
        <v>0</v>
      </c>
      <c r="Q553" s="16"/>
      <c r="R553" s="14"/>
      <c r="S553" s="15"/>
      <c r="T553" s="11">
        <f t="shared" si="231"/>
        <v>0</v>
      </c>
      <c r="U553" s="11">
        <f t="shared" si="232"/>
        <v>0</v>
      </c>
      <c r="V553" s="64"/>
    </row>
    <row r="554" spans="1:32" x14ac:dyDescent="0.15">
      <c r="A554" s="29" t="s">
        <v>327</v>
      </c>
      <c r="B554" s="8"/>
      <c r="C554" s="9">
        <v>3</v>
      </c>
      <c r="D554" s="10">
        <v>1</v>
      </c>
      <c r="E554" s="11">
        <f t="shared" si="227"/>
        <v>4</v>
      </c>
      <c r="F554" s="12">
        <v>2</v>
      </c>
      <c r="G554" s="9"/>
      <c r="H554" s="10"/>
      <c r="I554" s="11">
        <f t="shared" si="228"/>
        <v>2</v>
      </c>
      <c r="J554" s="11">
        <f t="shared" si="229"/>
        <v>6</v>
      </c>
      <c r="K554" s="71">
        <v>42355</v>
      </c>
      <c r="L554" s="27"/>
      <c r="M554" s="13"/>
      <c r="N554" s="14"/>
      <c r="O554" s="15"/>
      <c r="P554" s="11">
        <f t="shared" si="230"/>
        <v>0</v>
      </c>
      <c r="Q554" s="16"/>
      <c r="R554" s="14"/>
      <c r="S554" s="15"/>
      <c r="T554" s="11">
        <f t="shared" si="231"/>
        <v>0</v>
      </c>
      <c r="U554" s="11">
        <f t="shared" si="232"/>
        <v>0</v>
      </c>
    </row>
    <row r="555" spans="1:32" ht="14.25" thickBot="1" x14ac:dyDescent="0.2">
      <c r="A555" s="29" t="s">
        <v>32</v>
      </c>
      <c r="B555" s="8"/>
      <c r="C555" s="9">
        <v>1</v>
      </c>
      <c r="D555" s="10"/>
      <c r="E555" s="11">
        <f t="shared" si="227"/>
        <v>1</v>
      </c>
      <c r="F555" s="16"/>
      <c r="G555" s="14"/>
      <c r="H555" s="15"/>
      <c r="I555" s="11">
        <f t="shared" si="228"/>
        <v>0</v>
      </c>
      <c r="J555" s="11">
        <f t="shared" si="229"/>
        <v>1</v>
      </c>
      <c r="K555" s="71">
        <v>42360</v>
      </c>
      <c r="L555" s="86"/>
      <c r="M555" s="13"/>
      <c r="N555" s="14"/>
      <c r="O555" s="15"/>
      <c r="P555" s="11">
        <f t="shared" si="230"/>
        <v>0</v>
      </c>
      <c r="Q555" s="16"/>
      <c r="R555" s="14"/>
      <c r="S555" s="15"/>
      <c r="T555" s="11">
        <f t="shared" si="231"/>
        <v>0</v>
      </c>
      <c r="U555" s="11">
        <f t="shared" si="232"/>
        <v>0</v>
      </c>
      <c r="V555" s="64"/>
    </row>
    <row r="556" spans="1:32" ht="14.25" thickBot="1" x14ac:dyDescent="0.2">
      <c r="A556" s="44" t="s">
        <v>13</v>
      </c>
      <c r="B556" s="48">
        <f t="shared" ref="B556:I556" si="233">SUM(B530:B555)</f>
        <v>54</v>
      </c>
      <c r="C556" s="49">
        <f t="shared" si="233"/>
        <v>123</v>
      </c>
      <c r="D556" s="50">
        <f t="shared" si="233"/>
        <v>117</v>
      </c>
      <c r="E556" s="46">
        <f t="shared" si="233"/>
        <v>294</v>
      </c>
      <c r="F556" s="48">
        <f t="shared" si="233"/>
        <v>19</v>
      </c>
      <c r="G556" s="49">
        <f t="shared" si="233"/>
        <v>10</v>
      </c>
      <c r="H556" s="50">
        <f t="shared" si="233"/>
        <v>8</v>
      </c>
      <c r="I556" s="46">
        <f t="shared" si="233"/>
        <v>37</v>
      </c>
      <c r="J556" s="35">
        <f>E556+I556</f>
        <v>331</v>
      </c>
      <c r="L556" s="44" t="s">
        <v>13</v>
      </c>
      <c r="M556" s="48">
        <f t="shared" ref="M556:T556" si="234">SUM(M530:M555)</f>
        <v>0</v>
      </c>
      <c r="N556" s="49">
        <f t="shared" si="234"/>
        <v>0</v>
      </c>
      <c r="O556" s="50">
        <f t="shared" si="234"/>
        <v>0</v>
      </c>
      <c r="P556" s="46">
        <f t="shared" si="234"/>
        <v>0</v>
      </c>
      <c r="Q556" s="48">
        <f t="shared" si="234"/>
        <v>0</v>
      </c>
      <c r="R556" s="49">
        <f t="shared" si="234"/>
        <v>0</v>
      </c>
      <c r="S556" s="50">
        <f t="shared" si="234"/>
        <v>0</v>
      </c>
      <c r="T556" s="46">
        <f t="shared" si="234"/>
        <v>0</v>
      </c>
      <c r="U556" s="35">
        <f>P556+T556</f>
        <v>0</v>
      </c>
    </row>
    <row r="557" spans="1:32" ht="14.25" thickBot="1" x14ac:dyDescent="0.2">
      <c r="A557" s="23" t="s">
        <v>14</v>
      </c>
      <c r="B557" s="24">
        <f t="shared" ref="B557:J557" si="235">B529-B556</f>
        <v>27</v>
      </c>
      <c r="C557" s="25">
        <f t="shared" si="235"/>
        <v>20</v>
      </c>
      <c r="D557" s="30">
        <f t="shared" si="235"/>
        <v>30</v>
      </c>
      <c r="E557" s="51">
        <f t="shared" si="235"/>
        <v>77</v>
      </c>
      <c r="F557" s="24">
        <f t="shared" si="235"/>
        <v>11</v>
      </c>
      <c r="G557" s="25">
        <f t="shared" si="235"/>
        <v>47</v>
      </c>
      <c r="H557" s="30">
        <f t="shared" si="235"/>
        <v>25</v>
      </c>
      <c r="I557" s="47">
        <f t="shared" si="235"/>
        <v>83</v>
      </c>
      <c r="J557" s="79">
        <f t="shared" si="235"/>
        <v>160</v>
      </c>
      <c r="L557" s="23" t="s">
        <v>14</v>
      </c>
      <c r="M557" s="24">
        <f t="shared" ref="M557:U557" si="236">M529-M556</f>
        <v>45</v>
      </c>
      <c r="N557" s="25">
        <f t="shared" si="236"/>
        <v>100</v>
      </c>
      <c r="O557" s="30">
        <f t="shared" si="236"/>
        <v>50</v>
      </c>
      <c r="P557" s="51">
        <f t="shared" si="236"/>
        <v>195</v>
      </c>
      <c r="Q557" s="24">
        <f t="shared" si="236"/>
        <v>247</v>
      </c>
      <c r="R557" s="25">
        <f t="shared" si="236"/>
        <v>241</v>
      </c>
      <c r="S557" s="30">
        <f t="shared" si="236"/>
        <v>271</v>
      </c>
      <c r="T557" s="47">
        <f t="shared" si="236"/>
        <v>759</v>
      </c>
      <c r="U557" s="79">
        <f t="shared" si="236"/>
        <v>954</v>
      </c>
    </row>
    <row r="560" spans="1:32" ht="19.5" thickBot="1" x14ac:dyDescent="0.25">
      <c r="A560" s="2" t="s">
        <v>21</v>
      </c>
      <c r="B560" s="1"/>
      <c r="C560" s="1"/>
      <c r="D560" s="1"/>
      <c r="E560" s="1"/>
      <c r="F560" s="1"/>
      <c r="G560" s="1"/>
      <c r="H560" s="1"/>
      <c r="I560" s="1"/>
      <c r="J560" s="1"/>
      <c r="L560" s="93" t="s">
        <v>136</v>
      </c>
      <c r="M560" s="94"/>
      <c r="N560" s="94"/>
      <c r="O560" s="94"/>
      <c r="P560" s="110"/>
      <c r="Q560" s="1"/>
      <c r="R560" s="1"/>
      <c r="S560" s="1"/>
      <c r="T560" s="1"/>
      <c r="U560" s="1"/>
      <c r="W560" s="93" t="s">
        <v>136</v>
      </c>
      <c r="X560" s="94"/>
      <c r="Y560" s="94"/>
      <c r="Z560" s="94"/>
      <c r="AA560" s="106" t="s">
        <v>299</v>
      </c>
      <c r="AB560" s="1"/>
      <c r="AC560" s="1"/>
      <c r="AD560" s="1"/>
      <c r="AE560" s="1"/>
      <c r="AF560" s="1"/>
    </row>
    <row r="561" spans="1:33" ht="14.25" thickBot="1" x14ac:dyDescent="0.2">
      <c r="A561" s="7" t="s">
        <v>0</v>
      </c>
      <c r="B561" s="168" t="s">
        <v>1</v>
      </c>
      <c r="C561" s="169"/>
      <c r="D561" s="169"/>
      <c r="E561" s="170"/>
      <c r="F561" s="168" t="s">
        <v>2</v>
      </c>
      <c r="G561" s="169"/>
      <c r="H561" s="169"/>
      <c r="I561" s="171"/>
      <c r="J561" s="172" t="s">
        <v>3</v>
      </c>
      <c r="L561" s="7" t="s">
        <v>0</v>
      </c>
      <c r="M561" s="99" t="s">
        <v>1</v>
      </c>
      <c r="N561" s="100"/>
      <c r="O561" s="100"/>
      <c r="P561" s="101"/>
      <c r="Q561" s="99" t="s">
        <v>2</v>
      </c>
      <c r="R561" s="100"/>
      <c r="S561" s="100"/>
      <c r="T561" s="102"/>
      <c r="U561" s="103" t="s">
        <v>3</v>
      </c>
      <c r="W561" s="7" t="s">
        <v>0</v>
      </c>
      <c r="X561" s="174" t="s">
        <v>1</v>
      </c>
      <c r="Y561" s="175"/>
      <c r="Z561" s="176"/>
      <c r="AA561" s="101"/>
      <c r="AB561" s="174" t="s">
        <v>2</v>
      </c>
      <c r="AC561" s="175"/>
      <c r="AD561" s="176"/>
      <c r="AE561" s="102"/>
      <c r="AF561" s="103" t="s">
        <v>3</v>
      </c>
    </row>
    <row r="562" spans="1:33" ht="14.25" thickBot="1" x14ac:dyDescent="0.2">
      <c r="A562" s="7" t="s">
        <v>4</v>
      </c>
      <c r="B562" s="3" t="s">
        <v>5</v>
      </c>
      <c r="C562" s="4" t="s">
        <v>6</v>
      </c>
      <c r="D562" s="5" t="s">
        <v>7</v>
      </c>
      <c r="E562" s="7" t="s">
        <v>8</v>
      </c>
      <c r="F562" s="3" t="s">
        <v>5</v>
      </c>
      <c r="G562" s="4" t="s">
        <v>6</v>
      </c>
      <c r="H562" s="5" t="s">
        <v>7</v>
      </c>
      <c r="I562" s="7" t="s">
        <v>8</v>
      </c>
      <c r="J562" s="173"/>
      <c r="L562" s="7" t="s">
        <v>4</v>
      </c>
      <c r="M562" s="3" t="s">
        <v>5</v>
      </c>
      <c r="N562" s="4" t="s">
        <v>6</v>
      </c>
      <c r="O562" s="5" t="s">
        <v>7</v>
      </c>
      <c r="P562" s="7" t="s">
        <v>8</v>
      </c>
      <c r="Q562" s="3" t="s">
        <v>5</v>
      </c>
      <c r="R562" s="4" t="s">
        <v>6</v>
      </c>
      <c r="S562" s="5" t="s">
        <v>7</v>
      </c>
      <c r="T562" s="7" t="s">
        <v>8</v>
      </c>
      <c r="U562" s="104"/>
      <c r="W562" s="7" t="s">
        <v>4</v>
      </c>
      <c r="X562" s="3" t="s">
        <v>5</v>
      </c>
      <c r="Y562" s="4" t="s">
        <v>6</v>
      </c>
      <c r="Z562" s="5" t="s">
        <v>7</v>
      </c>
      <c r="AA562" s="7" t="s">
        <v>8</v>
      </c>
      <c r="AB562" s="3" t="s">
        <v>5</v>
      </c>
      <c r="AC562" s="4" t="s">
        <v>6</v>
      </c>
      <c r="AD562" s="5" t="s">
        <v>7</v>
      </c>
      <c r="AE562" s="7" t="s">
        <v>8</v>
      </c>
      <c r="AF562" s="104"/>
    </row>
    <row r="563" spans="1:33" ht="14.25" thickBot="1" x14ac:dyDescent="0.2">
      <c r="A563" s="31" t="s">
        <v>14</v>
      </c>
      <c r="B563" s="32">
        <f>B557</f>
        <v>27</v>
      </c>
      <c r="C563" s="33">
        <f>C557</f>
        <v>20</v>
      </c>
      <c r="D563" s="34">
        <f>D557</f>
        <v>30</v>
      </c>
      <c r="E563" s="41">
        <f>SUM(B563:D563)</f>
        <v>77</v>
      </c>
      <c r="F563" s="32">
        <f>F557</f>
        <v>11</v>
      </c>
      <c r="G563" s="33">
        <f>G557</f>
        <v>47</v>
      </c>
      <c r="H563" s="34">
        <f>H557</f>
        <v>25</v>
      </c>
      <c r="I563" s="41">
        <f>SUM(F563:H563)</f>
        <v>83</v>
      </c>
      <c r="J563" s="41">
        <f>E563+I563</f>
        <v>160</v>
      </c>
      <c r="L563" s="31" t="s">
        <v>14</v>
      </c>
      <c r="M563" s="32">
        <f>M557</f>
        <v>45</v>
      </c>
      <c r="N563" s="33">
        <f>N557</f>
        <v>100</v>
      </c>
      <c r="O563" s="34">
        <f>O557</f>
        <v>50</v>
      </c>
      <c r="P563" s="35">
        <f>SUM(M563:O563)</f>
        <v>195</v>
      </c>
      <c r="Q563" s="32">
        <f>Q557</f>
        <v>247</v>
      </c>
      <c r="R563" s="33">
        <f>R557</f>
        <v>241</v>
      </c>
      <c r="S563" s="34">
        <f>S557</f>
        <v>271</v>
      </c>
      <c r="T563" s="35">
        <f>SUM(Q563:S563)</f>
        <v>759</v>
      </c>
      <c r="U563" s="35">
        <f>P563+T563</f>
        <v>954</v>
      </c>
      <c r="W563" s="31" t="s">
        <v>19</v>
      </c>
      <c r="X563" s="32">
        <v>500</v>
      </c>
      <c r="Y563" s="33">
        <v>500</v>
      </c>
      <c r="Z563" s="34">
        <v>500</v>
      </c>
      <c r="AA563" s="35">
        <f>SUM(X563:Z563)</f>
        <v>1500</v>
      </c>
      <c r="AB563" s="32">
        <v>400</v>
      </c>
      <c r="AC563" s="33">
        <v>400</v>
      </c>
      <c r="AD563" s="34">
        <v>400</v>
      </c>
      <c r="AE563" s="35">
        <f>SUM(AB563:AD563)</f>
        <v>1200</v>
      </c>
      <c r="AF563" s="35">
        <f>AA563+AE563</f>
        <v>2700</v>
      </c>
      <c r="AG563" s="98">
        <v>42009</v>
      </c>
    </row>
    <row r="564" spans="1:33" x14ac:dyDescent="0.15">
      <c r="A564" s="28" t="s">
        <v>104</v>
      </c>
      <c r="B564" s="17">
        <v>9</v>
      </c>
      <c r="C564" s="18">
        <v>4</v>
      </c>
      <c r="D564" s="19">
        <v>4</v>
      </c>
      <c r="E564" s="20">
        <f t="shared" ref="E564:E571" si="237">SUM(B564:D564)</f>
        <v>17</v>
      </c>
      <c r="F564" s="21">
        <v>2</v>
      </c>
      <c r="G564" s="18">
        <v>1</v>
      </c>
      <c r="H564" s="19">
        <v>4</v>
      </c>
      <c r="I564" s="20">
        <f t="shared" ref="I564:I571" si="238">SUM(F564:H564)</f>
        <v>7</v>
      </c>
      <c r="J564" s="20">
        <f t="shared" ref="J564:J571" si="239">E564+I564</f>
        <v>24</v>
      </c>
      <c r="K564" s="71">
        <v>42377</v>
      </c>
      <c r="L564" s="28" t="s">
        <v>9</v>
      </c>
      <c r="M564" s="8"/>
      <c r="N564" s="9"/>
      <c r="O564" s="10"/>
      <c r="P564" s="78">
        <f t="shared" ref="P564:P571" si="240">SUM(M564:O564)</f>
        <v>0</v>
      </c>
      <c r="Q564" s="12"/>
      <c r="R564" s="9"/>
      <c r="S564" s="10"/>
      <c r="T564" s="78">
        <f t="shared" ref="T564:T571" si="241">SUM(Q564:S564)</f>
        <v>0</v>
      </c>
      <c r="U564" s="78">
        <f t="shared" ref="U564:U571" si="242">P564+T564</f>
        <v>0</v>
      </c>
      <c r="W564" s="28" t="s">
        <v>333</v>
      </c>
      <c r="X564" s="8">
        <v>45</v>
      </c>
      <c r="Y564" s="9">
        <v>100</v>
      </c>
      <c r="Z564" s="10">
        <v>50</v>
      </c>
      <c r="AA564" s="78">
        <f t="shared" ref="AA564:AA571" si="243">SUM(X564:Z564)</f>
        <v>195</v>
      </c>
      <c r="AB564" s="12">
        <v>247</v>
      </c>
      <c r="AC564" s="9">
        <v>241</v>
      </c>
      <c r="AD564" s="10">
        <v>271</v>
      </c>
      <c r="AE564" s="78">
        <f t="shared" ref="AE564:AE571" si="244">SUM(AB564:AD564)</f>
        <v>759</v>
      </c>
      <c r="AF564" s="78">
        <f t="shared" ref="AF564:AF571" si="245">AA564+AE564</f>
        <v>954</v>
      </c>
      <c r="AG564" s="71">
        <v>42366</v>
      </c>
    </row>
    <row r="565" spans="1:33" x14ac:dyDescent="0.15">
      <c r="A565" s="28" t="s">
        <v>10</v>
      </c>
      <c r="B565" s="8"/>
      <c r="C565" s="9">
        <v>100</v>
      </c>
      <c r="D565" s="10">
        <v>50</v>
      </c>
      <c r="E565" s="11">
        <f t="shared" si="237"/>
        <v>150</v>
      </c>
      <c r="F565" s="12"/>
      <c r="G565" s="9"/>
      <c r="H565" s="10"/>
      <c r="I565" s="11">
        <f t="shared" si="238"/>
        <v>0</v>
      </c>
      <c r="J565" s="11">
        <f t="shared" si="239"/>
        <v>150</v>
      </c>
      <c r="K565" s="71">
        <v>42378</v>
      </c>
      <c r="L565" s="28" t="s">
        <v>10</v>
      </c>
      <c r="M565" s="8"/>
      <c r="N565" s="9"/>
      <c r="O565" s="10"/>
      <c r="P565" s="11">
        <f t="shared" si="240"/>
        <v>0</v>
      </c>
      <c r="Q565" s="12"/>
      <c r="R565" s="9"/>
      <c r="S565" s="10"/>
      <c r="T565" s="11">
        <f t="shared" si="241"/>
        <v>0</v>
      </c>
      <c r="U565" s="11">
        <f t="shared" si="242"/>
        <v>0</v>
      </c>
      <c r="V565" s="98"/>
      <c r="W565" s="28" t="s">
        <v>333</v>
      </c>
      <c r="X565" s="8"/>
      <c r="Y565" s="9">
        <v>100</v>
      </c>
      <c r="Z565" s="10">
        <v>50</v>
      </c>
      <c r="AA565" s="11">
        <f t="shared" si="243"/>
        <v>150</v>
      </c>
      <c r="AB565" s="12"/>
      <c r="AC565" s="9"/>
      <c r="AD565" s="10"/>
      <c r="AE565" s="11">
        <f t="shared" si="244"/>
        <v>0</v>
      </c>
      <c r="AF565" s="11">
        <f t="shared" si="245"/>
        <v>150</v>
      </c>
      <c r="AG565" s="65">
        <v>42366</v>
      </c>
    </row>
    <row r="566" spans="1:33" x14ac:dyDescent="0.15">
      <c r="A566" s="28" t="s">
        <v>11</v>
      </c>
      <c r="B566" s="8"/>
      <c r="C566" s="9"/>
      <c r="D566" s="10"/>
      <c r="E566" s="11">
        <f t="shared" si="237"/>
        <v>0</v>
      </c>
      <c r="F566" s="12">
        <v>50</v>
      </c>
      <c r="G566" s="9">
        <v>50</v>
      </c>
      <c r="H566" s="10"/>
      <c r="I566" s="11">
        <f t="shared" si="238"/>
        <v>100</v>
      </c>
      <c r="J566" s="11">
        <f t="shared" si="239"/>
        <v>100</v>
      </c>
      <c r="K566" s="65">
        <v>42387</v>
      </c>
      <c r="L566" s="28" t="s">
        <v>11</v>
      </c>
      <c r="M566" s="8"/>
      <c r="N566" s="9"/>
      <c r="O566" s="10"/>
      <c r="P566" s="11">
        <f t="shared" si="240"/>
        <v>0</v>
      </c>
      <c r="Q566" s="12"/>
      <c r="R566" s="9"/>
      <c r="S566" s="10"/>
      <c r="T566" s="11">
        <f t="shared" si="241"/>
        <v>0</v>
      </c>
      <c r="U566" s="11">
        <f t="shared" si="242"/>
        <v>0</v>
      </c>
      <c r="V566" s="65"/>
      <c r="W566" s="28" t="s">
        <v>11</v>
      </c>
      <c r="X566" s="8"/>
      <c r="Y566" s="9"/>
      <c r="Z566" s="10"/>
      <c r="AA566" s="11">
        <f t="shared" si="243"/>
        <v>0</v>
      </c>
      <c r="AB566" s="12"/>
      <c r="AC566" s="9"/>
      <c r="AD566" s="10"/>
      <c r="AE566" s="11">
        <f t="shared" si="244"/>
        <v>0</v>
      </c>
      <c r="AF566" s="11">
        <f t="shared" si="245"/>
        <v>0</v>
      </c>
      <c r="AG566" s="65"/>
    </row>
    <row r="567" spans="1:33" x14ac:dyDescent="0.15">
      <c r="A567" s="28" t="s">
        <v>59</v>
      </c>
      <c r="B567" s="8">
        <v>3</v>
      </c>
      <c r="C567" s="9">
        <v>4</v>
      </c>
      <c r="D567" s="10">
        <v>4</v>
      </c>
      <c r="E567" s="11">
        <f t="shared" si="237"/>
        <v>11</v>
      </c>
      <c r="F567" s="12"/>
      <c r="G567" s="9"/>
      <c r="H567" s="10"/>
      <c r="I567" s="11">
        <f t="shared" si="238"/>
        <v>0</v>
      </c>
      <c r="J567" s="11">
        <f t="shared" si="239"/>
        <v>11</v>
      </c>
      <c r="L567" s="28" t="s">
        <v>12</v>
      </c>
      <c r="M567" s="8"/>
      <c r="N567" s="9"/>
      <c r="O567" s="10"/>
      <c r="P567" s="11">
        <f t="shared" si="240"/>
        <v>0</v>
      </c>
      <c r="Q567" s="12"/>
      <c r="R567" s="9"/>
      <c r="S567" s="10"/>
      <c r="T567" s="11">
        <f t="shared" si="241"/>
        <v>0</v>
      </c>
      <c r="U567" s="11">
        <f t="shared" si="242"/>
        <v>0</v>
      </c>
      <c r="W567" s="28" t="s">
        <v>12</v>
      </c>
      <c r="X567" s="8"/>
      <c r="Y567" s="9"/>
      <c r="Z567" s="10"/>
      <c r="AA567" s="11">
        <f t="shared" si="243"/>
        <v>0</v>
      </c>
      <c r="AB567" s="12"/>
      <c r="AC567" s="9"/>
      <c r="AD567" s="10"/>
      <c r="AE567" s="11">
        <f t="shared" si="244"/>
        <v>0</v>
      </c>
      <c r="AF567" s="11">
        <f t="shared" si="245"/>
        <v>0</v>
      </c>
      <c r="AG567" s="65"/>
    </row>
    <row r="568" spans="1:33" x14ac:dyDescent="0.15">
      <c r="A568" s="28" t="s">
        <v>15</v>
      </c>
      <c r="B568" s="8"/>
      <c r="C568" s="9"/>
      <c r="D568" s="10"/>
      <c r="E568" s="11">
        <f t="shared" si="237"/>
        <v>0</v>
      </c>
      <c r="F568" s="12"/>
      <c r="G568" s="9">
        <v>50</v>
      </c>
      <c r="H568" s="10"/>
      <c r="I568" s="11">
        <f t="shared" si="238"/>
        <v>50</v>
      </c>
      <c r="J568" s="11">
        <f t="shared" si="239"/>
        <v>50</v>
      </c>
      <c r="K568" s="65">
        <v>42396</v>
      </c>
      <c r="L568" s="28" t="s">
        <v>15</v>
      </c>
      <c r="M568" s="8"/>
      <c r="N568" s="9"/>
      <c r="O568" s="10"/>
      <c r="P568" s="11">
        <f t="shared" si="240"/>
        <v>0</v>
      </c>
      <c r="Q568" s="12"/>
      <c r="R568" s="9"/>
      <c r="S568" s="10"/>
      <c r="T568" s="11">
        <f t="shared" si="241"/>
        <v>0</v>
      </c>
      <c r="U568" s="11">
        <f t="shared" si="242"/>
        <v>0</v>
      </c>
      <c r="W568" s="28" t="s">
        <v>15</v>
      </c>
      <c r="X568" s="8"/>
      <c r="Y568" s="9"/>
      <c r="Z568" s="10"/>
      <c r="AA568" s="11">
        <f t="shared" si="243"/>
        <v>0</v>
      </c>
      <c r="AB568" s="12"/>
      <c r="AC568" s="9"/>
      <c r="AD568" s="10"/>
      <c r="AE568" s="11">
        <f t="shared" si="244"/>
        <v>0</v>
      </c>
      <c r="AF568" s="11">
        <f t="shared" si="245"/>
        <v>0</v>
      </c>
    </row>
    <row r="569" spans="1:33" x14ac:dyDescent="0.15">
      <c r="A569" s="28" t="s">
        <v>104</v>
      </c>
      <c r="B569" s="8">
        <v>1</v>
      </c>
      <c r="C569" s="9">
        <v>1</v>
      </c>
      <c r="D569" s="10">
        <v>1</v>
      </c>
      <c r="E569" s="11">
        <f t="shared" si="237"/>
        <v>3</v>
      </c>
      <c r="F569" s="12">
        <v>1</v>
      </c>
      <c r="G569" s="9"/>
      <c r="H569" s="10"/>
      <c r="I569" s="11">
        <f t="shared" si="238"/>
        <v>1</v>
      </c>
      <c r="J569" s="11">
        <f t="shared" si="239"/>
        <v>4</v>
      </c>
      <c r="K569" s="71">
        <v>42406</v>
      </c>
      <c r="L569" s="28" t="s">
        <v>16</v>
      </c>
      <c r="M569" s="8"/>
      <c r="N569" s="9"/>
      <c r="O569" s="10"/>
      <c r="P569" s="11">
        <f t="shared" si="240"/>
        <v>0</v>
      </c>
      <c r="Q569" s="12"/>
      <c r="R569" s="9"/>
      <c r="S569" s="10"/>
      <c r="T569" s="11">
        <f t="shared" si="241"/>
        <v>0</v>
      </c>
      <c r="U569" s="11">
        <f t="shared" si="242"/>
        <v>0</v>
      </c>
      <c r="W569" s="28" t="s">
        <v>16</v>
      </c>
      <c r="X569" s="8"/>
      <c r="Y569" s="9"/>
      <c r="Z569" s="10"/>
      <c r="AA569" s="11">
        <f t="shared" si="243"/>
        <v>0</v>
      </c>
      <c r="AB569" s="12"/>
      <c r="AC569" s="9"/>
      <c r="AD569" s="10"/>
      <c r="AE569" s="11">
        <f t="shared" si="244"/>
        <v>0</v>
      </c>
      <c r="AF569" s="11">
        <f t="shared" si="245"/>
        <v>0</v>
      </c>
    </row>
    <row r="570" spans="1:33" x14ac:dyDescent="0.15">
      <c r="A570" s="28" t="s">
        <v>17</v>
      </c>
      <c r="B570" s="13"/>
      <c r="C570" s="14"/>
      <c r="D570" s="15"/>
      <c r="E570" s="11">
        <f t="shared" si="237"/>
        <v>0</v>
      </c>
      <c r="F570" s="16"/>
      <c r="G570" s="14"/>
      <c r="H570" s="15">
        <v>50</v>
      </c>
      <c r="I570" s="11">
        <f t="shared" si="238"/>
        <v>50</v>
      </c>
      <c r="J570" s="11">
        <f t="shared" si="239"/>
        <v>50</v>
      </c>
      <c r="K570" s="65">
        <v>42417</v>
      </c>
      <c r="L570" s="28" t="s">
        <v>17</v>
      </c>
      <c r="M570" s="13"/>
      <c r="N570" s="14"/>
      <c r="O570" s="15"/>
      <c r="P570" s="11">
        <f t="shared" si="240"/>
        <v>0</v>
      </c>
      <c r="Q570" s="16"/>
      <c r="R570" s="14"/>
      <c r="S570" s="15"/>
      <c r="T570" s="11">
        <f t="shared" si="241"/>
        <v>0</v>
      </c>
      <c r="U570" s="11">
        <f t="shared" si="242"/>
        <v>0</v>
      </c>
      <c r="W570" s="28" t="s">
        <v>17</v>
      </c>
      <c r="X570" s="13"/>
      <c r="Y570" s="14"/>
      <c r="Z570" s="15"/>
      <c r="AA570" s="11">
        <f t="shared" si="243"/>
        <v>0</v>
      </c>
      <c r="AB570" s="16"/>
      <c r="AC570" s="14"/>
      <c r="AD570" s="15"/>
      <c r="AE570" s="11">
        <f t="shared" si="244"/>
        <v>0</v>
      </c>
      <c r="AF570" s="11">
        <f t="shared" si="245"/>
        <v>0</v>
      </c>
    </row>
    <row r="571" spans="1:33" ht="14.25" thickBot="1" x14ac:dyDescent="0.2">
      <c r="A571" s="28" t="s">
        <v>18</v>
      </c>
      <c r="B571" s="36">
        <v>50</v>
      </c>
      <c r="C571" s="37"/>
      <c r="D571" s="40"/>
      <c r="E571" s="22">
        <f t="shared" si="237"/>
        <v>50</v>
      </c>
      <c r="F571" s="38"/>
      <c r="G571" s="38"/>
      <c r="H571" s="43"/>
      <c r="I571" s="22">
        <f t="shared" si="238"/>
        <v>0</v>
      </c>
      <c r="J571" s="22">
        <f t="shared" si="239"/>
        <v>50</v>
      </c>
      <c r="K571" s="65">
        <v>42423</v>
      </c>
      <c r="L571" s="28" t="s">
        <v>18</v>
      </c>
      <c r="M571" s="36"/>
      <c r="N571" s="37"/>
      <c r="O571" s="40"/>
      <c r="P571" s="22">
        <f t="shared" si="240"/>
        <v>0</v>
      </c>
      <c r="Q571" s="38"/>
      <c r="R571" s="38"/>
      <c r="S571" s="43"/>
      <c r="T571" s="22">
        <f t="shared" si="241"/>
        <v>0</v>
      </c>
      <c r="U571" s="22">
        <f t="shared" si="242"/>
        <v>0</v>
      </c>
      <c r="W571" s="28" t="s">
        <v>18</v>
      </c>
      <c r="X571" s="36"/>
      <c r="Y571" s="37"/>
      <c r="Z571" s="40"/>
      <c r="AA571" s="22">
        <f t="shared" si="243"/>
        <v>0</v>
      </c>
      <c r="AB571" s="38"/>
      <c r="AC571" s="38"/>
      <c r="AD571" s="43"/>
      <c r="AE571" s="22">
        <f t="shared" si="244"/>
        <v>0</v>
      </c>
      <c r="AF571" s="22">
        <f t="shared" si="245"/>
        <v>0</v>
      </c>
    </row>
    <row r="572" spans="1:33" ht="14.25" thickBot="1" x14ac:dyDescent="0.2">
      <c r="A572" s="39" t="s">
        <v>20</v>
      </c>
      <c r="B572" s="32">
        <f t="shared" ref="B572:J572" si="246">SUM(B563:B571)</f>
        <v>90</v>
      </c>
      <c r="C572" s="33">
        <f t="shared" si="246"/>
        <v>129</v>
      </c>
      <c r="D572" s="34">
        <f t="shared" si="246"/>
        <v>89</v>
      </c>
      <c r="E572" s="42">
        <f t="shared" si="246"/>
        <v>308</v>
      </c>
      <c r="F572" s="32">
        <f t="shared" si="246"/>
        <v>64</v>
      </c>
      <c r="G572" s="33">
        <f t="shared" si="246"/>
        <v>148</v>
      </c>
      <c r="H572" s="34">
        <f t="shared" si="246"/>
        <v>79</v>
      </c>
      <c r="I572" s="42">
        <f t="shared" si="246"/>
        <v>291</v>
      </c>
      <c r="J572" s="42">
        <f t="shared" si="246"/>
        <v>599</v>
      </c>
      <c r="L572" s="39" t="s">
        <v>20</v>
      </c>
      <c r="M572" s="32">
        <f t="shared" ref="M572:U572" si="247">SUM(M563:M571)</f>
        <v>45</v>
      </c>
      <c r="N572" s="33">
        <f t="shared" si="247"/>
        <v>100</v>
      </c>
      <c r="O572" s="34">
        <f t="shared" si="247"/>
        <v>50</v>
      </c>
      <c r="P572" s="42">
        <f t="shared" si="247"/>
        <v>195</v>
      </c>
      <c r="Q572" s="32">
        <f t="shared" si="247"/>
        <v>247</v>
      </c>
      <c r="R572" s="33">
        <f t="shared" si="247"/>
        <v>241</v>
      </c>
      <c r="S572" s="34">
        <f t="shared" si="247"/>
        <v>271</v>
      </c>
      <c r="T572" s="42">
        <f t="shared" si="247"/>
        <v>759</v>
      </c>
      <c r="U572" s="42">
        <f t="shared" si="247"/>
        <v>954</v>
      </c>
      <c r="W572" s="39" t="s">
        <v>20</v>
      </c>
      <c r="X572" s="32">
        <f t="shared" ref="X572:AF572" si="248">SUM(X563:X571)</f>
        <v>545</v>
      </c>
      <c r="Y572" s="33">
        <f t="shared" si="248"/>
        <v>700</v>
      </c>
      <c r="Z572" s="34">
        <f t="shared" si="248"/>
        <v>600</v>
      </c>
      <c r="AA572" s="42">
        <f t="shared" si="248"/>
        <v>1845</v>
      </c>
      <c r="AB572" s="32">
        <f t="shared" si="248"/>
        <v>647</v>
      </c>
      <c r="AC572" s="33">
        <f t="shared" si="248"/>
        <v>641</v>
      </c>
      <c r="AD572" s="34">
        <f t="shared" si="248"/>
        <v>671</v>
      </c>
      <c r="AE572" s="42">
        <f t="shared" si="248"/>
        <v>1959</v>
      </c>
      <c r="AF572" s="42">
        <f t="shared" si="248"/>
        <v>3804</v>
      </c>
    </row>
    <row r="573" spans="1:33" x14ac:dyDescent="0.15">
      <c r="A573" s="26" t="s">
        <v>330</v>
      </c>
      <c r="B573" s="13"/>
      <c r="C573" s="14"/>
      <c r="D573" s="15"/>
      <c r="E573" s="11">
        <f>SUM(B573:D573)</f>
        <v>0</v>
      </c>
      <c r="F573" s="16">
        <v>1</v>
      </c>
      <c r="G573" s="14"/>
      <c r="H573" s="15"/>
      <c r="I573" s="11">
        <f>SUM(F573:H573)</f>
        <v>1</v>
      </c>
      <c r="J573" s="11">
        <f>E573+I573</f>
        <v>1</v>
      </c>
      <c r="K573" s="71">
        <v>42360</v>
      </c>
      <c r="L573" s="6" t="s">
        <v>332</v>
      </c>
      <c r="M573" s="13">
        <v>45</v>
      </c>
      <c r="N573" s="14">
        <v>100</v>
      </c>
      <c r="O573" s="15">
        <v>50</v>
      </c>
      <c r="P573" s="11">
        <f>SUM(M573:O573)</f>
        <v>195</v>
      </c>
      <c r="Q573" s="16">
        <v>247</v>
      </c>
      <c r="R573" s="14">
        <v>241</v>
      </c>
      <c r="S573" s="15">
        <v>271</v>
      </c>
      <c r="T573" s="11">
        <f>SUM(Q573:S573)</f>
        <v>759</v>
      </c>
      <c r="U573" s="11">
        <f>P573+T573</f>
        <v>954</v>
      </c>
      <c r="V573" s="71">
        <v>42366</v>
      </c>
      <c r="W573" s="6" t="s">
        <v>336</v>
      </c>
      <c r="X573" s="13"/>
      <c r="Y573" s="14">
        <v>100</v>
      </c>
      <c r="Z573" s="15">
        <v>50</v>
      </c>
      <c r="AA573" s="11">
        <f>SUM(X573:Z573)</f>
        <v>150</v>
      </c>
      <c r="AB573" s="16"/>
      <c r="AC573" s="14"/>
      <c r="AD573" s="15"/>
      <c r="AE573" s="11">
        <f>SUM(AB573:AD573)</f>
        <v>0</v>
      </c>
      <c r="AF573" s="11">
        <f>AA573+AE573</f>
        <v>150</v>
      </c>
      <c r="AG573" s="71">
        <v>42378</v>
      </c>
    </row>
    <row r="574" spans="1:33" x14ac:dyDescent="0.15">
      <c r="A574" s="29" t="s">
        <v>331</v>
      </c>
      <c r="B574" s="13"/>
      <c r="C574" s="14"/>
      <c r="D574" s="15"/>
      <c r="E574" s="11">
        <f t="shared" ref="E574:E598" si="249">SUM(B574:D574)</f>
        <v>0</v>
      </c>
      <c r="F574" s="16">
        <v>1</v>
      </c>
      <c r="G574" s="14"/>
      <c r="H574" s="15"/>
      <c r="I574" s="11">
        <f t="shared" ref="I574:I598" si="250">SUM(F574:H574)</f>
        <v>1</v>
      </c>
      <c r="J574" s="11">
        <f t="shared" ref="J574:J598" si="251">E574+I574</f>
        <v>1</v>
      </c>
      <c r="K574" s="71">
        <v>42363</v>
      </c>
      <c r="L574" s="27"/>
      <c r="M574" s="8"/>
      <c r="N574" s="9"/>
      <c r="O574" s="10"/>
      <c r="P574" s="11">
        <f>SUM(M574:O574)</f>
        <v>0</v>
      </c>
      <c r="Q574" s="12"/>
      <c r="R574" s="9"/>
      <c r="S574" s="10"/>
      <c r="T574" s="11">
        <f>SUM(Q574:S574)</f>
        <v>0</v>
      </c>
      <c r="U574" s="11">
        <f>P574+T574</f>
        <v>0</v>
      </c>
      <c r="W574" s="27" t="s">
        <v>338</v>
      </c>
      <c r="X574" s="8">
        <v>50</v>
      </c>
      <c r="Y574" s="9">
        <v>100</v>
      </c>
      <c r="Z574" s="10">
        <v>50</v>
      </c>
      <c r="AA574" s="11">
        <f>SUM(X574:Z574)</f>
        <v>200</v>
      </c>
      <c r="AB574" s="12"/>
      <c r="AC574" s="9"/>
      <c r="AD574" s="10">
        <v>50</v>
      </c>
      <c r="AE574" s="11">
        <f>SUM(AB574:AD574)</f>
        <v>50</v>
      </c>
      <c r="AF574" s="11">
        <f>AA574+AE574</f>
        <v>250</v>
      </c>
      <c r="AG574" s="65">
        <v>42388</v>
      </c>
    </row>
    <row r="575" spans="1:33" x14ac:dyDescent="0.15">
      <c r="A575" s="27" t="s">
        <v>334</v>
      </c>
      <c r="B575" s="8">
        <v>2</v>
      </c>
      <c r="C575" s="9">
        <v>1</v>
      </c>
      <c r="D575" s="10">
        <v>3</v>
      </c>
      <c r="E575" s="11">
        <f t="shared" si="249"/>
        <v>6</v>
      </c>
      <c r="F575" s="12">
        <v>2</v>
      </c>
      <c r="G575" s="9">
        <v>1</v>
      </c>
      <c r="H575" s="10">
        <v>3</v>
      </c>
      <c r="I575" s="11">
        <f t="shared" si="250"/>
        <v>6</v>
      </c>
      <c r="J575" s="11">
        <f t="shared" si="251"/>
        <v>12</v>
      </c>
      <c r="K575" s="65">
        <v>42376</v>
      </c>
      <c r="L575" s="27"/>
      <c r="M575" s="8"/>
      <c r="N575" s="9"/>
      <c r="O575" s="10"/>
      <c r="P575" s="11">
        <f t="shared" ref="P575:P598" si="252">SUM(M575:O575)</f>
        <v>0</v>
      </c>
      <c r="Q575" s="12"/>
      <c r="R575" s="9"/>
      <c r="S575" s="10"/>
      <c r="T575" s="11">
        <f t="shared" ref="T575:T598" si="253">SUM(Q575:S575)</f>
        <v>0</v>
      </c>
      <c r="U575" s="11">
        <f t="shared" ref="U575:U598" si="254">P575+T575</f>
        <v>0</v>
      </c>
      <c r="W575" s="6" t="s">
        <v>23</v>
      </c>
      <c r="X575" s="8"/>
      <c r="Y575" s="9"/>
      <c r="Z575" s="10"/>
      <c r="AA575" s="11">
        <f t="shared" ref="AA575:AA598" si="255">SUM(X575:Z575)</f>
        <v>0</v>
      </c>
      <c r="AB575" s="12">
        <v>50</v>
      </c>
      <c r="AC575" s="9">
        <v>50</v>
      </c>
      <c r="AD575" s="10"/>
      <c r="AE575" s="11">
        <f t="shared" ref="AE575:AE598" si="256">SUM(AB575:AD575)</f>
        <v>100</v>
      </c>
      <c r="AF575" s="11">
        <f t="shared" ref="AF575:AF598" si="257">AA575+AE575</f>
        <v>100</v>
      </c>
      <c r="AG575" s="65">
        <v>42387</v>
      </c>
    </row>
    <row r="576" spans="1:33" x14ac:dyDescent="0.15">
      <c r="A576" s="29" t="s">
        <v>335</v>
      </c>
      <c r="B576" s="8">
        <v>2</v>
      </c>
      <c r="C576" s="9"/>
      <c r="D576" s="10"/>
      <c r="E576" s="11">
        <f t="shared" si="249"/>
        <v>2</v>
      </c>
      <c r="F576" s="12"/>
      <c r="G576" s="9"/>
      <c r="H576" s="10"/>
      <c r="I576" s="11">
        <f t="shared" si="250"/>
        <v>0</v>
      </c>
      <c r="J576" s="11">
        <f t="shared" si="251"/>
        <v>2</v>
      </c>
      <c r="K576" s="65">
        <v>42376</v>
      </c>
      <c r="L576" s="29"/>
      <c r="M576" s="8"/>
      <c r="N576" s="9"/>
      <c r="O576" s="10"/>
      <c r="P576" s="11">
        <f t="shared" si="252"/>
        <v>0</v>
      </c>
      <c r="Q576" s="12"/>
      <c r="R576" s="9"/>
      <c r="S576" s="10"/>
      <c r="T576" s="11">
        <f t="shared" si="253"/>
        <v>0</v>
      </c>
      <c r="U576" s="11">
        <f t="shared" si="254"/>
        <v>0</v>
      </c>
      <c r="W576" s="6" t="s">
        <v>23</v>
      </c>
      <c r="X576" s="8"/>
      <c r="Y576" s="9"/>
      <c r="Z576" s="10"/>
      <c r="AA576" s="11">
        <f t="shared" si="255"/>
        <v>0</v>
      </c>
      <c r="AB576" s="12"/>
      <c r="AC576" s="9">
        <v>50</v>
      </c>
      <c r="AD576" s="10"/>
      <c r="AE576" s="11">
        <f t="shared" si="256"/>
        <v>50</v>
      </c>
      <c r="AF576" s="11">
        <f t="shared" si="257"/>
        <v>50</v>
      </c>
      <c r="AG576" s="65">
        <v>42396</v>
      </c>
    </row>
    <row r="577" spans="1:33" x14ac:dyDescent="0.15">
      <c r="A577" s="27" t="s">
        <v>337</v>
      </c>
      <c r="B577" s="8">
        <v>1</v>
      </c>
      <c r="C577" s="9">
        <v>1</v>
      </c>
      <c r="D577" s="10">
        <v>1</v>
      </c>
      <c r="E577" s="11">
        <f t="shared" si="249"/>
        <v>3</v>
      </c>
      <c r="F577" s="12">
        <v>1</v>
      </c>
      <c r="G577" s="9">
        <v>1</v>
      </c>
      <c r="H577" s="10">
        <v>1</v>
      </c>
      <c r="I577" s="11">
        <f t="shared" si="250"/>
        <v>3</v>
      </c>
      <c r="J577" s="11">
        <f t="shared" si="251"/>
        <v>6</v>
      </c>
      <c r="K577" s="65">
        <v>42383</v>
      </c>
      <c r="L577" s="29"/>
      <c r="M577" s="8"/>
      <c r="N577" s="9"/>
      <c r="O577" s="10"/>
      <c r="P577" s="11">
        <f t="shared" si="252"/>
        <v>0</v>
      </c>
      <c r="Q577" s="12"/>
      <c r="R577" s="9"/>
      <c r="S577" s="10"/>
      <c r="T577" s="11">
        <f t="shared" si="253"/>
        <v>0</v>
      </c>
      <c r="U577" s="11">
        <f t="shared" si="254"/>
        <v>0</v>
      </c>
      <c r="W577" s="27" t="s">
        <v>343</v>
      </c>
      <c r="X577" s="8">
        <v>50</v>
      </c>
      <c r="Y577" s="9"/>
      <c r="Z577" s="10"/>
      <c r="AA577" s="11">
        <f t="shared" si="255"/>
        <v>50</v>
      </c>
      <c r="AB577" s="12">
        <v>50</v>
      </c>
      <c r="AC577" s="9">
        <v>50</v>
      </c>
      <c r="AD577" s="10">
        <v>50</v>
      </c>
      <c r="AE577" s="11">
        <f t="shared" si="256"/>
        <v>150</v>
      </c>
      <c r="AF577" s="11">
        <f t="shared" si="257"/>
        <v>200</v>
      </c>
      <c r="AG577" s="65">
        <v>42398</v>
      </c>
    </row>
    <row r="578" spans="1:33" x14ac:dyDescent="0.15">
      <c r="A578" s="29" t="s">
        <v>340</v>
      </c>
      <c r="B578" s="8"/>
      <c r="C578" s="9">
        <v>1</v>
      </c>
      <c r="D578" s="10"/>
      <c r="E578" s="11">
        <f t="shared" si="249"/>
        <v>1</v>
      </c>
      <c r="F578" s="12"/>
      <c r="G578" s="9"/>
      <c r="H578" s="10"/>
      <c r="I578" s="11">
        <f t="shared" si="250"/>
        <v>0</v>
      </c>
      <c r="J578" s="11">
        <f t="shared" si="251"/>
        <v>1</v>
      </c>
      <c r="K578" s="71">
        <v>42383</v>
      </c>
      <c r="L578" s="27"/>
      <c r="M578" s="8"/>
      <c r="N578" s="9"/>
      <c r="O578" s="10"/>
      <c r="P578" s="11">
        <f t="shared" si="252"/>
        <v>0</v>
      </c>
      <c r="Q578" s="12"/>
      <c r="R578" s="9"/>
      <c r="S578" s="10"/>
      <c r="T578" s="11">
        <f t="shared" si="253"/>
        <v>0</v>
      </c>
      <c r="U578" s="11">
        <f t="shared" si="254"/>
        <v>0</v>
      </c>
      <c r="W578" s="27" t="s">
        <v>344</v>
      </c>
      <c r="X578" s="8">
        <v>50</v>
      </c>
      <c r="Y578" s="9">
        <v>150</v>
      </c>
      <c r="Z578" s="10">
        <v>100</v>
      </c>
      <c r="AA578" s="11">
        <f t="shared" si="255"/>
        <v>300</v>
      </c>
      <c r="AB578" s="12"/>
      <c r="AC578" s="9">
        <v>50</v>
      </c>
      <c r="AD578" s="10">
        <v>50</v>
      </c>
      <c r="AE578" s="11">
        <f t="shared" si="256"/>
        <v>100</v>
      </c>
      <c r="AF578" s="11">
        <f t="shared" si="257"/>
        <v>400</v>
      </c>
      <c r="AG578" s="65">
        <v>42398</v>
      </c>
    </row>
    <row r="579" spans="1:33" x14ac:dyDescent="0.15">
      <c r="A579" s="29" t="s">
        <v>339</v>
      </c>
      <c r="B579" s="8">
        <v>4</v>
      </c>
      <c r="C579" s="9">
        <v>4</v>
      </c>
      <c r="D579" s="10">
        <v>4</v>
      </c>
      <c r="E579" s="11">
        <f t="shared" si="249"/>
        <v>12</v>
      </c>
      <c r="F579" s="12">
        <v>4</v>
      </c>
      <c r="G579" s="9">
        <v>4</v>
      </c>
      <c r="H579" s="10">
        <v>4</v>
      </c>
      <c r="I579" s="11">
        <f t="shared" si="250"/>
        <v>12</v>
      </c>
      <c r="J579" s="11">
        <f t="shared" si="251"/>
        <v>24</v>
      </c>
      <c r="K579" s="65">
        <v>42387</v>
      </c>
      <c r="L579" s="29"/>
      <c r="M579" s="8"/>
      <c r="N579" s="9"/>
      <c r="O579" s="10"/>
      <c r="P579" s="11">
        <f t="shared" si="252"/>
        <v>0</v>
      </c>
      <c r="Q579" s="12"/>
      <c r="R579" s="9"/>
      <c r="S579" s="10"/>
      <c r="T579" s="11">
        <f t="shared" si="253"/>
        <v>0</v>
      </c>
      <c r="U579" s="11">
        <f t="shared" si="254"/>
        <v>0</v>
      </c>
      <c r="W579" s="29" t="s">
        <v>345</v>
      </c>
      <c r="X579" s="8"/>
      <c r="Y579" s="9"/>
      <c r="Z579" s="10"/>
      <c r="AA579" s="11">
        <f t="shared" si="255"/>
        <v>0</v>
      </c>
      <c r="AB579" s="12">
        <v>50</v>
      </c>
      <c r="AC579" s="9"/>
      <c r="AD579" s="10"/>
      <c r="AE579" s="11">
        <f t="shared" si="256"/>
        <v>50</v>
      </c>
      <c r="AF579" s="11">
        <f t="shared" si="257"/>
        <v>50</v>
      </c>
      <c r="AG579" s="65">
        <v>42399</v>
      </c>
    </row>
    <row r="580" spans="1:33" x14ac:dyDescent="0.15">
      <c r="A580" s="29" t="s">
        <v>341</v>
      </c>
      <c r="B580" s="8"/>
      <c r="C580" s="9"/>
      <c r="D580" s="10">
        <v>5</v>
      </c>
      <c r="E580" s="11">
        <f t="shared" si="249"/>
        <v>5</v>
      </c>
      <c r="F580" s="12"/>
      <c r="G580" s="9">
        <v>4</v>
      </c>
      <c r="H580" s="10"/>
      <c r="I580" s="11">
        <f t="shared" si="250"/>
        <v>4</v>
      </c>
      <c r="J580" s="11">
        <f t="shared" si="251"/>
        <v>9</v>
      </c>
      <c r="K580" s="71">
        <v>42385</v>
      </c>
      <c r="L580" s="29"/>
      <c r="M580" s="8"/>
      <c r="N580" s="9"/>
      <c r="O580" s="10"/>
      <c r="P580" s="11">
        <f t="shared" si="252"/>
        <v>0</v>
      </c>
      <c r="Q580" s="12"/>
      <c r="R580" s="9"/>
      <c r="S580" s="10"/>
      <c r="T580" s="11">
        <f t="shared" si="253"/>
        <v>0</v>
      </c>
      <c r="U580" s="11">
        <f t="shared" si="254"/>
        <v>0</v>
      </c>
      <c r="W580" s="29" t="s">
        <v>348</v>
      </c>
      <c r="X580" s="8">
        <v>50</v>
      </c>
      <c r="Y580" s="9">
        <v>50</v>
      </c>
      <c r="Z580" s="10">
        <v>50</v>
      </c>
      <c r="AA580" s="11">
        <f t="shared" si="255"/>
        <v>150</v>
      </c>
      <c r="AB580" s="12">
        <v>50</v>
      </c>
      <c r="AC580" s="9">
        <v>50</v>
      </c>
      <c r="AD580" s="10"/>
      <c r="AE580" s="11">
        <f t="shared" si="256"/>
        <v>100</v>
      </c>
      <c r="AF580" s="11">
        <f t="shared" si="257"/>
        <v>250</v>
      </c>
      <c r="AG580" s="65">
        <v>42405</v>
      </c>
    </row>
    <row r="581" spans="1:33" x14ac:dyDescent="0.15">
      <c r="A581" s="29" t="s">
        <v>67</v>
      </c>
      <c r="B581" s="13"/>
      <c r="C581" s="14"/>
      <c r="D581" s="15"/>
      <c r="E581" s="11">
        <f t="shared" si="249"/>
        <v>0</v>
      </c>
      <c r="F581" s="16">
        <v>3</v>
      </c>
      <c r="G581" s="14"/>
      <c r="H581" s="15"/>
      <c r="I581" s="11">
        <f t="shared" si="250"/>
        <v>3</v>
      </c>
      <c r="J581" s="11">
        <f t="shared" si="251"/>
        <v>3</v>
      </c>
      <c r="K581" s="71">
        <v>42390</v>
      </c>
      <c r="L581" s="27"/>
      <c r="M581" s="8"/>
      <c r="N581" s="9"/>
      <c r="O581" s="10"/>
      <c r="P581" s="11">
        <f t="shared" si="252"/>
        <v>0</v>
      </c>
      <c r="Q581" s="12"/>
      <c r="R581" s="9"/>
      <c r="S581" s="10"/>
      <c r="T581" s="11">
        <f t="shared" si="253"/>
        <v>0</v>
      </c>
      <c r="U581" s="11">
        <f t="shared" si="254"/>
        <v>0</v>
      </c>
      <c r="W581" s="112" t="s">
        <v>350</v>
      </c>
      <c r="X581" s="72">
        <v>73</v>
      </c>
      <c r="Y581" s="73">
        <v>95</v>
      </c>
      <c r="Z581" s="74">
        <v>30</v>
      </c>
      <c r="AA581" s="75">
        <f t="shared" si="255"/>
        <v>198</v>
      </c>
      <c r="AB581" s="76">
        <v>30</v>
      </c>
      <c r="AC581" s="73">
        <v>30</v>
      </c>
      <c r="AD581" s="74">
        <v>2</v>
      </c>
      <c r="AE581" s="75">
        <f t="shared" si="256"/>
        <v>62</v>
      </c>
      <c r="AF581" s="75">
        <f t="shared" si="257"/>
        <v>260</v>
      </c>
      <c r="AG581" s="77">
        <v>42411</v>
      </c>
    </row>
    <row r="582" spans="1:33" x14ac:dyDescent="0.15">
      <c r="A582" s="27" t="s">
        <v>342</v>
      </c>
      <c r="B582" s="13"/>
      <c r="C582" s="14"/>
      <c r="D582" s="15"/>
      <c r="E582" s="11">
        <f t="shared" si="249"/>
        <v>0</v>
      </c>
      <c r="F582" s="16"/>
      <c r="G582" s="14">
        <v>20</v>
      </c>
      <c r="H582" s="15"/>
      <c r="I582" s="11">
        <f t="shared" si="250"/>
        <v>20</v>
      </c>
      <c r="J582" s="11">
        <f t="shared" si="251"/>
        <v>20</v>
      </c>
      <c r="K582" s="65">
        <v>42397</v>
      </c>
      <c r="L582" s="29"/>
      <c r="M582" s="13"/>
      <c r="N582" s="14"/>
      <c r="O582" s="15"/>
      <c r="P582" s="11">
        <f t="shared" si="252"/>
        <v>0</v>
      </c>
      <c r="Q582" s="16"/>
      <c r="R582" s="14"/>
      <c r="S582" s="15"/>
      <c r="T582" s="11">
        <f t="shared" si="253"/>
        <v>0</v>
      </c>
      <c r="U582" s="11">
        <f t="shared" si="254"/>
        <v>0</v>
      </c>
      <c r="W582" s="6" t="s">
        <v>23</v>
      </c>
      <c r="X582" s="13"/>
      <c r="Y582" s="14"/>
      <c r="Z582" s="15"/>
      <c r="AA582" s="11">
        <f t="shared" si="255"/>
        <v>0</v>
      </c>
      <c r="AB582" s="16"/>
      <c r="AC582" s="14"/>
      <c r="AD582" s="15">
        <v>50</v>
      </c>
      <c r="AE582" s="11">
        <f t="shared" si="256"/>
        <v>50</v>
      </c>
      <c r="AF582" s="11">
        <f t="shared" si="257"/>
        <v>50</v>
      </c>
      <c r="AG582" s="65">
        <v>42417</v>
      </c>
    </row>
    <row r="583" spans="1:33" x14ac:dyDescent="0.15">
      <c r="A583" s="29" t="s">
        <v>346</v>
      </c>
      <c r="B583" s="8"/>
      <c r="C583" s="9"/>
      <c r="D583" s="10">
        <v>6</v>
      </c>
      <c r="E583" s="11">
        <f t="shared" si="249"/>
        <v>6</v>
      </c>
      <c r="F583" s="12"/>
      <c r="G583" s="9"/>
      <c r="H583" s="10">
        <v>6</v>
      </c>
      <c r="I583" s="11">
        <f t="shared" si="250"/>
        <v>6</v>
      </c>
      <c r="J583" s="11">
        <f t="shared" si="251"/>
        <v>12</v>
      </c>
      <c r="K583" s="65">
        <v>42399</v>
      </c>
      <c r="L583" s="29"/>
      <c r="M583" s="8"/>
      <c r="N583" s="9"/>
      <c r="O583" s="10"/>
      <c r="P583" s="11">
        <f t="shared" si="252"/>
        <v>0</v>
      </c>
      <c r="Q583" s="12"/>
      <c r="R583" s="9"/>
      <c r="S583" s="10"/>
      <c r="T583" s="11">
        <f t="shared" si="253"/>
        <v>0</v>
      </c>
      <c r="U583" s="11">
        <f t="shared" si="254"/>
        <v>0</v>
      </c>
      <c r="W583" s="6" t="s">
        <v>23</v>
      </c>
      <c r="X583" s="8">
        <v>50</v>
      </c>
      <c r="Y583" s="9"/>
      <c r="Z583" s="10"/>
      <c r="AA583" s="11">
        <f t="shared" si="255"/>
        <v>50</v>
      </c>
      <c r="AB583" s="12"/>
      <c r="AC583" s="9"/>
      <c r="AD583" s="10"/>
      <c r="AE583" s="11">
        <f t="shared" si="256"/>
        <v>0</v>
      </c>
      <c r="AF583" s="11">
        <f t="shared" si="257"/>
        <v>50</v>
      </c>
      <c r="AG583" s="65">
        <v>42423</v>
      </c>
    </row>
    <row r="584" spans="1:33" x14ac:dyDescent="0.15">
      <c r="A584" s="29" t="s">
        <v>347</v>
      </c>
      <c r="B584" s="8"/>
      <c r="C584" s="9">
        <v>3</v>
      </c>
      <c r="D584" s="10">
        <v>3</v>
      </c>
      <c r="E584" s="11">
        <f t="shared" si="249"/>
        <v>6</v>
      </c>
      <c r="F584" s="12"/>
      <c r="G584" s="9">
        <v>3</v>
      </c>
      <c r="H584" s="10"/>
      <c r="I584" s="11">
        <f t="shared" si="250"/>
        <v>3</v>
      </c>
      <c r="J584" s="11">
        <f t="shared" si="251"/>
        <v>9</v>
      </c>
      <c r="K584" s="65">
        <v>42404</v>
      </c>
      <c r="L584" s="29"/>
      <c r="M584" s="8"/>
      <c r="N584" s="9"/>
      <c r="O584" s="10"/>
      <c r="P584" s="11">
        <f t="shared" si="252"/>
        <v>0</v>
      </c>
      <c r="Q584" s="12"/>
      <c r="R584" s="9"/>
      <c r="S584" s="10"/>
      <c r="T584" s="11">
        <f t="shared" si="253"/>
        <v>0</v>
      </c>
      <c r="U584" s="11">
        <f t="shared" si="254"/>
        <v>0</v>
      </c>
      <c r="W584" s="29"/>
      <c r="X584" s="8"/>
      <c r="Y584" s="9"/>
      <c r="Z584" s="10"/>
      <c r="AA584" s="11">
        <f t="shared" si="255"/>
        <v>0</v>
      </c>
      <c r="AB584" s="12"/>
      <c r="AC584" s="9"/>
      <c r="AD584" s="10"/>
      <c r="AE584" s="11">
        <f t="shared" si="256"/>
        <v>0</v>
      </c>
      <c r="AF584" s="11">
        <f t="shared" si="257"/>
        <v>0</v>
      </c>
    </row>
    <row r="585" spans="1:33" x14ac:dyDescent="0.15">
      <c r="A585" s="29" t="s">
        <v>314</v>
      </c>
      <c r="B585" s="8">
        <v>4</v>
      </c>
      <c r="C585" s="9"/>
      <c r="D585" s="10"/>
      <c r="E585" s="11">
        <f t="shared" si="249"/>
        <v>4</v>
      </c>
      <c r="F585" s="12">
        <v>4</v>
      </c>
      <c r="G585" s="9"/>
      <c r="H585" s="10"/>
      <c r="I585" s="11">
        <f t="shared" si="250"/>
        <v>4</v>
      </c>
      <c r="J585" s="11">
        <f t="shared" si="251"/>
        <v>8</v>
      </c>
      <c r="K585" s="65">
        <v>42406</v>
      </c>
      <c r="L585" s="27"/>
      <c r="M585" s="8"/>
      <c r="N585" s="9"/>
      <c r="O585" s="10"/>
      <c r="P585" s="11">
        <f t="shared" si="252"/>
        <v>0</v>
      </c>
      <c r="Q585" s="12"/>
      <c r="R585" s="9"/>
      <c r="S585" s="10"/>
      <c r="T585" s="11">
        <f t="shared" si="253"/>
        <v>0</v>
      </c>
      <c r="U585" s="11">
        <f t="shared" si="254"/>
        <v>0</v>
      </c>
      <c r="W585" s="27"/>
      <c r="X585" s="8"/>
      <c r="Y585" s="9"/>
      <c r="Z585" s="10"/>
      <c r="AA585" s="11">
        <f t="shared" si="255"/>
        <v>0</v>
      </c>
      <c r="AB585" s="12"/>
      <c r="AC585" s="9"/>
      <c r="AD585" s="10"/>
      <c r="AE585" s="11">
        <f t="shared" si="256"/>
        <v>0</v>
      </c>
      <c r="AF585" s="11">
        <f t="shared" si="257"/>
        <v>0</v>
      </c>
    </row>
    <row r="586" spans="1:33" x14ac:dyDescent="0.15">
      <c r="A586" s="27" t="s">
        <v>349</v>
      </c>
      <c r="B586" s="8">
        <v>2</v>
      </c>
      <c r="C586" s="9">
        <v>5</v>
      </c>
      <c r="D586" s="10"/>
      <c r="E586" s="11">
        <f t="shared" si="249"/>
        <v>7</v>
      </c>
      <c r="F586" s="12"/>
      <c r="G586" s="9">
        <v>5</v>
      </c>
      <c r="H586" s="10"/>
      <c r="I586" s="11">
        <f t="shared" si="250"/>
        <v>5</v>
      </c>
      <c r="J586" s="11">
        <f t="shared" si="251"/>
        <v>12</v>
      </c>
      <c r="K586" s="71">
        <v>42406</v>
      </c>
      <c r="L586" s="29"/>
      <c r="M586" s="8"/>
      <c r="N586" s="9"/>
      <c r="O586" s="10"/>
      <c r="P586" s="11">
        <f t="shared" si="252"/>
        <v>0</v>
      </c>
      <c r="Q586" s="12"/>
      <c r="R586" s="9"/>
      <c r="S586" s="10"/>
      <c r="T586" s="11">
        <f t="shared" si="253"/>
        <v>0</v>
      </c>
      <c r="U586" s="11">
        <f t="shared" si="254"/>
        <v>0</v>
      </c>
      <c r="W586" s="29"/>
      <c r="X586" s="8"/>
      <c r="Y586" s="9"/>
      <c r="Z586" s="10"/>
      <c r="AA586" s="11">
        <f t="shared" si="255"/>
        <v>0</v>
      </c>
      <c r="AB586" s="12"/>
      <c r="AC586" s="9"/>
      <c r="AD586" s="10"/>
      <c r="AE586" s="11">
        <f t="shared" si="256"/>
        <v>0</v>
      </c>
      <c r="AF586" s="11">
        <f t="shared" si="257"/>
        <v>0</v>
      </c>
    </row>
    <row r="587" spans="1:33" x14ac:dyDescent="0.15">
      <c r="A587" s="29" t="s">
        <v>351</v>
      </c>
      <c r="B587" s="8">
        <v>3</v>
      </c>
      <c r="C587" s="9">
        <v>3</v>
      </c>
      <c r="D587" s="10"/>
      <c r="E587" s="11">
        <f t="shared" si="249"/>
        <v>6</v>
      </c>
      <c r="F587" s="12"/>
      <c r="G587" s="9">
        <v>6</v>
      </c>
      <c r="H587" s="10">
        <v>3</v>
      </c>
      <c r="I587" s="11">
        <f t="shared" si="250"/>
        <v>9</v>
      </c>
      <c r="J587" s="11">
        <f t="shared" si="251"/>
        <v>15</v>
      </c>
      <c r="K587" s="65">
        <v>42411</v>
      </c>
      <c r="L587" s="29"/>
      <c r="M587" s="8"/>
      <c r="N587" s="9"/>
      <c r="O587" s="10"/>
      <c r="P587" s="11">
        <f t="shared" si="252"/>
        <v>0</v>
      </c>
      <c r="Q587" s="12"/>
      <c r="R587" s="9"/>
      <c r="S587" s="10"/>
      <c r="T587" s="11">
        <f t="shared" si="253"/>
        <v>0</v>
      </c>
      <c r="U587" s="11">
        <f t="shared" si="254"/>
        <v>0</v>
      </c>
      <c r="W587" s="29"/>
      <c r="X587" s="8"/>
      <c r="Y587" s="9"/>
      <c r="Z587" s="10"/>
      <c r="AA587" s="11">
        <f t="shared" si="255"/>
        <v>0</v>
      </c>
      <c r="AB587" s="12"/>
      <c r="AC587" s="9"/>
      <c r="AD587" s="10"/>
      <c r="AE587" s="11">
        <f t="shared" si="256"/>
        <v>0</v>
      </c>
      <c r="AF587" s="11">
        <f t="shared" si="257"/>
        <v>0</v>
      </c>
    </row>
    <row r="588" spans="1:33" x14ac:dyDescent="0.15">
      <c r="A588" s="29" t="s">
        <v>314</v>
      </c>
      <c r="B588" s="8"/>
      <c r="C588" s="9">
        <v>4</v>
      </c>
      <c r="D588" s="10"/>
      <c r="E588" s="11">
        <f t="shared" si="249"/>
        <v>4</v>
      </c>
      <c r="F588" s="12"/>
      <c r="G588" s="9">
        <v>4</v>
      </c>
      <c r="H588" s="10"/>
      <c r="I588" s="11">
        <f t="shared" si="250"/>
        <v>4</v>
      </c>
      <c r="J588" s="11">
        <f t="shared" si="251"/>
        <v>8</v>
      </c>
      <c r="K588" s="65">
        <v>42416</v>
      </c>
      <c r="L588" s="27"/>
      <c r="M588" s="8"/>
      <c r="N588" s="9"/>
      <c r="O588" s="10"/>
      <c r="P588" s="11">
        <f t="shared" si="252"/>
        <v>0</v>
      </c>
      <c r="Q588" s="12"/>
      <c r="R588" s="9"/>
      <c r="S588" s="10"/>
      <c r="T588" s="11">
        <f t="shared" si="253"/>
        <v>0</v>
      </c>
      <c r="U588" s="11">
        <f t="shared" si="254"/>
        <v>0</v>
      </c>
      <c r="W588" s="27"/>
      <c r="X588" s="8"/>
      <c r="Y588" s="9"/>
      <c r="Z588" s="10"/>
      <c r="AA588" s="11">
        <f t="shared" si="255"/>
        <v>0</v>
      </c>
      <c r="AB588" s="12"/>
      <c r="AC588" s="9"/>
      <c r="AD588" s="10"/>
      <c r="AE588" s="11">
        <f t="shared" si="256"/>
        <v>0</v>
      </c>
      <c r="AF588" s="11">
        <f t="shared" si="257"/>
        <v>0</v>
      </c>
    </row>
    <row r="589" spans="1:33" x14ac:dyDescent="0.15">
      <c r="A589" s="29" t="s">
        <v>352</v>
      </c>
      <c r="B589" s="8"/>
      <c r="C589" s="9"/>
      <c r="D589" s="10"/>
      <c r="E589" s="11">
        <f t="shared" si="249"/>
        <v>0</v>
      </c>
      <c r="F589" s="12">
        <v>1</v>
      </c>
      <c r="G589" s="9"/>
      <c r="H589" s="10">
        <v>1</v>
      </c>
      <c r="I589" s="11">
        <f t="shared" si="250"/>
        <v>2</v>
      </c>
      <c r="J589" s="11">
        <f t="shared" si="251"/>
        <v>2</v>
      </c>
      <c r="K589" s="71">
        <v>42416</v>
      </c>
      <c r="L589" s="29"/>
      <c r="M589" s="8"/>
      <c r="N589" s="9"/>
      <c r="O589" s="10"/>
      <c r="P589" s="11">
        <f t="shared" si="252"/>
        <v>0</v>
      </c>
      <c r="Q589" s="12"/>
      <c r="R589" s="9"/>
      <c r="S589" s="10"/>
      <c r="T589" s="11">
        <f t="shared" si="253"/>
        <v>0</v>
      </c>
      <c r="U589" s="11">
        <f t="shared" si="254"/>
        <v>0</v>
      </c>
      <c r="W589" s="29"/>
      <c r="X589" s="8"/>
      <c r="Y589" s="9"/>
      <c r="Z589" s="10"/>
      <c r="AA589" s="11">
        <f t="shared" si="255"/>
        <v>0</v>
      </c>
      <c r="AB589" s="12"/>
      <c r="AC589" s="9"/>
      <c r="AD589" s="10"/>
      <c r="AE589" s="11">
        <f t="shared" si="256"/>
        <v>0</v>
      </c>
      <c r="AF589" s="11">
        <f t="shared" si="257"/>
        <v>0</v>
      </c>
    </row>
    <row r="590" spans="1:33" x14ac:dyDescent="0.15">
      <c r="A590" s="27" t="s">
        <v>355</v>
      </c>
      <c r="B590" s="8">
        <v>1</v>
      </c>
      <c r="C590" s="9"/>
      <c r="D590" s="10"/>
      <c r="E590" s="11">
        <f t="shared" si="249"/>
        <v>1</v>
      </c>
      <c r="F590" s="12">
        <v>1</v>
      </c>
      <c r="G590" s="9"/>
      <c r="H590" s="10"/>
      <c r="I590" s="11">
        <f t="shared" si="250"/>
        <v>1</v>
      </c>
      <c r="J590" s="11">
        <f t="shared" si="251"/>
        <v>2</v>
      </c>
      <c r="K590" s="71">
        <v>42412</v>
      </c>
      <c r="L590" s="27"/>
      <c r="M590" s="8"/>
      <c r="N590" s="9"/>
      <c r="O590" s="10"/>
      <c r="P590" s="11">
        <f t="shared" si="252"/>
        <v>0</v>
      </c>
      <c r="Q590" s="12"/>
      <c r="R590" s="9"/>
      <c r="S590" s="10"/>
      <c r="T590" s="11">
        <f t="shared" si="253"/>
        <v>0</v>
      </c>
      <c r="U590" s="11">
        <f t="shared" si="254"/>
        <v>0</v>
      </c>
      <c r="W590" s="27"/>
      <c r="X590" s="8"/>
      <c r="Y590" s="9"/>
      <c r="Z590" s="10"/>
      <c r="AA590" s="11">
        <f t="shared" si="255"/>
        <v>0</v>
      </c>
      <c r="AB590" s="12"/>
      <c r="AC590" s="9"/>
      <c r="AD590" s="10"/>
      <c r="AE590" s="11">
        <f t="shared" si="256"/>
        <v>0</v>
      </c>
      <c r="AF590" s="11">
        <f t="shared" si="257"/>
        <v>0</v>
      </c>
    </row>
    <row r="591" spans="1:33" x14ac:dyDescent="0.15">
      <c r="A591" s="27" t="s">
        <v>353</v>
      </c>
      <c r="B591" s="8"/>
      <c r="C591" s="9"/>
      <c r="D591" s="10"/>
      <c r="E591" s="11">
        <f t="shared" si="249"/>
        <v>0</v>
      </c>
      <c r="F591" s="12">
        <v>1</v>
      </c>
      <c r="G591" s="9"/>
      <c r="H591" s="10">
        <v>1</v>
      </c>
      <c r="I591" s="11">
        <f t="shared" si="250"/>
        <v>2</v>
      </c>
      <c r="J591" s="11">
        <f t="shared" si="251"/>
        <v>2</v>
      </c>
      <c r="K591" s="65">
        <v>42417</v>
      </c>
      <c r="L591" s="26"/>
      <c r="M591" s="8"/>
      <c r="N591" s="9"/>
      <c r="O591" s="10"/>
      <c r="P591" s="11">
        <f t="shared" si="252"/>
        <v>0</v>
      </c>
      <c r="Q591" s="12"/>
      <c r="R591" s="9"/>
      <c r="S591" s="10"/>
      <c r="T591" s="11">
        <f t="shared" si="253"/>
        <v>0</v>
      </c>
      <c r="U591" s="11">
        <f t="shared" si="254"/>
        <v>0</v>
      </c>
      <c r="W591" s="26"/>
      <c r="X591" s="8"/>
      <c r="Y591" s="9"/>
      <c r="Z591" s="10"/>
      <c r="AA591" s="11">
        <f t="shared" si="255"/>
        <v>0</v>
      </c>
      <c r="AB591" s="12"/>
      <c r="AC591" s="9"/>
      <c r="AD591" s="10"/>
      <c r="AE591" s="11">
        <f t="shared" si="256"/>
        <v>0</v>
      </c>
      <c r="AF591" s="11">
        <f t="shared" si="257"/>
        <v>0</v>
      </c>
    </row>
    <row r="592" spans="1:33" x14ac:dyDescent="0.15">
      <c r="A592" s="27" t="s">
        <v>353</v>
      </c>
      <c r="B592" s="8"/>
      <c r="C592" s="9"/>
      <c r="D592" s="10"/>
      <c r="E592" s="11">
        <f t="shared" si="249"/>
        <v>0</v>
      </c>
      <c r="F592" s="12">
        <v>1</v>
      </c>
      <c r="G592" s="9"/>
      <c r="H592" s="10"/>
      <c r="I592" s="11">
        <f t="shared" si="250"/>
        <v>1</v>
      </c>
      <c r="J592" s="11">
        <f t="shared" si="251"/>
        <v>1</v>
      </c>
      <c r="K592" s="65">
        <v>42417</v>
      </c>
      <c r="L592" s="26"/>
      <c r="M592" s="8"/>
      <c r="N592" s="9"/>
      <c r="O592" s="10"/>
      <c r="P592" s="11">
        <f t="shared" si="252"/>
        <v>0</v>
      </c>
      <c r="Q592" s="12"/>
      <c r="R592" s="9"/>
      <c r="S592" s="10"/>
      <c r="T592" s="11">
        <f t="shared" si="253"/>
        <v>0</v>
      </c>
      <c r="U592" s="11">
        <f t="shared" si="254"/>
        <v>0</v>
      </c>
      <c r="W592" s="26"/>
      <c r="X592" s="8"/>
      <c r="Y592" s="9"/>
      <c r="Z592" s="10"/>
      <c r="AA592" s="11">
        <f t="shared" si="255"/>
        <v>0</v>
      </c>
      <c r="AB592" s="12"/>
      <c r="AC592" s="9"/>
      <c r="AD592" s="10"/>
      <c r="AE592" s="11">
        <f t="shared" si="256"/>
        <v>0</v>
      </c>
      <c r="AF592" s="11">
        <f t="shared" si="257"/>
        <v>0</v>
      </c>
    </row>
    <row r="593" spans="1:33" x14ac:dyDescent="0.15">
      <c r="A593" s="27" t="s">
        <v>353</v>
      </c>
      <c r="B593" s="8"/>
      <c r="C593" s="9">
        <v>1</v>
      </c>
      <c r="D593" s="10"/>
      <c r="E593" s="11">
        <f t="shared" si="249"/>
        <v>1</v>
      </c>
      <c r="F593" s="12"/>
      <c r="G593" s="9">
        <v>1</v>
      </c>
      <c r="H593" s="10"/>
      <c r="I593" s="11">
        <f t="shared" si="250"/>
        <v>1</v>
      </c>
      <c r="J593" s="11">
        <f t="shared" si="251"/>
        <v>2</v>
      </c>
      <c r="K593" s="65">
        <v>42424</v>
      </c>
      <c r="L593" s="27"/>
      <c r="M593" s="8"/>
      <c r="N593" s="9"/>
      <c r="O593" s="10"/>
      <c r="P593" s="11">
        <f t="shared" si="252"/>
        <v>0</v>
      </c>
      <c r="Q593" s="12"/>
      <c r="R593" s="9"/>
      <c r="S593" s="10"/>
      <c r="T593" s="11">
        <f t="shared" si="253"/>
        <v>0</v>
      </c>
      <c r="U593" s="11">
        <f t="shared" si="254"/>
        <v>0</v>
      </c>
      <c r="W593" s="27"/>
      <c r="X593" s="8"/>
      <c r="Y593" s="9"/>
      <c r="Z593" s="10"/>
      <c r="AA593" s="11">
        <f t="shared" si="255"/>
        <v>0</v>
      </c>
      <c r="AB593" s="12"/>
      <c r="AC593" s="9"/>
      <c r="AD593" s="10"/>
      <c r="AE593" s="11">
        <f t="shared" si="256"/>
        <v>0</v>
      </c>
      <c r="AF593" s="11">
        <f t="shared" si="257"/>
        <v>0</v>
      </c>
    </row>
    <row r="594" spans="1:33" x14ac:dyDescent="0.15">
      <c r="A594" s="29" t="s">
        <v>354</v>
      </c>
      <c r="B594" s="13">
        <v>10</v>
      </c>
      <c r="C594" s="14">
        <v>10</v>
      </c>
      <c r="D594" s="15">
        <v>5</v>
      </c>
      <c r="E594" s="11">
        <f t="shared" si="249"/>
        <v>25</v>
      </c>
      <c r="F594" s="16">
        <v>10</v>
      </c>
      <c r="G594" s="14">
        <v>10</v>
      </c>
      <c r="H594" s="15">
        <v>5</v>
      </c>
      <c r="I594" s="11">
        <f t="shared" si="250"/>
        <v>25</v>
      </c>
      <c r="J594" s="11">
        <f t="shared" si="251"/>
        <v>50</v>
      </c>
      <c r="K594" s="65">
        <v>42425</v>
      </c>
      <c r="L594" s="29"/>
      <c r="M594" s="13"/>
      <c r="N594" s="14"/>
      <c r="O594" s="15"/>
      <c r="P594" s="11">
        <f t="shared" si="252"/>
        <v>0</v>
      </c>
      <c r="Q594" s="16"/>
      <c r="R594" s="14"/>
      <c r="S594" s="15"/>
      <c r="T594" s="11">
        <f t="shared" si="253"/>
        <v>0</v>
      </c>
      <c r="U594" s="11">
        <f t="shared" si="254"/>
        <v>0</v>
      </c>
      <c r="W594" s="29"/>
      <c r="X594" s="13"/>
      <c r="Y594" s="14"/>
      <c r="Z594" s="15"/>
      <c r="AA594" s="11">
        <f t="shared" si="255"/>
        <v>0</v>
      </c>
      <c r="AB594" s="16"/>
      <c r="AC594" s="14"/>
      <c r="AD594" s="15"/>
      <c r="AE594" s="11">
        <f t="shared" si="256"/>
        <v>0</v>
      </c>
      <c r="AF594" s="11">
        <f t="shared" si="257"/>
        <v>0</v>
      </c>
    </row>
    <row r="595" spans="1:33" x14ac:dyDescent="0.15">
      <c r="A595" s="27" t="s">
        <v>32</v>
      </c>
      <c r="B595" s="8">
        <v>5</v>
      </c>
      <c r="C595" s="9">
        <v>5</v>
      </c>
      <c r="D595" s="10">
        <v>1</v>
      </c>
      <c r="E595" s="11">
        <f t="shared" si="249"/>
        <v>11</v>
      </c>
      <c r="F595" s="12">
        <v>5</v>
      </c>
      <c r="G595" s="9">
        <v>1</v>
      </c>
      <c r="H595" s="10"/>
      <c r="I595" s="11">
        <f t="shared" si="250"/>
        <v>6</v>
      </c>
      <c r="J595" s="11">
        <f t="shared" si="251"/>
        <v>17</v>
      </c>
      <c r="K595" s="71">
        <v>42422</v>
      </c>
      <c r="L595" s="6"/>
      <c r="M595" s="13"/>
      <c r="N595" s="14"/>
      <c r="O595" s="15"/>
      <c r="P595" s="11">
        <f t="shared" si="252"/>
        <v>0</v>
      </c>
      <c r="Q595" s="16"/>
      <c r="R595" s="14"/>
      <c r="S595" s="15"/>
      <c r="T595" s="11">
        <f t="shared" si="253"/>
        <v>0</v>
      </c>
      <c r="U595" s="11">
        <f t="shared" si="254"/>
        <v>0</v>
      </c>
      <c r="W595" s="6"/>
      <c r="X595" s="13"/>
      <c r="Y595" s="14"/>
      <c r="Z595" s="15"/>
      <c r="AA595" s="11">
        <f t="shared" si="255"/>
        <v>0</v>
      </c>
      <c r="AB595" s="16"/>
      <c r="AC595" s="14"/>
      <c r="AD595" s="15"/>
      <c r="AE595" s="11">
        <f t="shared" si="256"/>
        <v>0</v>
      </c>
      <c r="AF595" s="11">
        <f t="shared" si="257"/>
        <v>0</v>
      </c>
    </row>
    <row r="596" spans="1:33" x14ac:dyDescent="0.15">
      <c r="A596" s="29" t="s">
        <v>356</v>
      </c>
      <c r="B596" s="8"/>
      <c r="C596" s="9"/>
      <c r="D596" s="10">
        <v>1</v>
      </c>
      <c r="E596" s="11">
        <f t="shared" si="249"/>
        <v>1</v>
      </c>
      <c r="F596" s="12"/>
      <c r="G596" s="9"/>
      <c r="H596" s="10"/>
      <c r="I596" s="11">
        <f t="shared" si="250"/>
        <v>0</v>
      </c>
      <c r="J596" s="11">
        <f t="shared" si="251"/>
        <v>1</v>
      </c>
      <c r="K596" s="71">
        <v>42422</v>
      </c>
      <c r="L596" s="27"/>
      <c r="M596" s="13"/>
      <c r="N596" s="14"/>
      <c r="O596" s="15"/>
      <c r="P596" s="11">
        <f t="shared" si="252"/>
        <v>0</v>
      </c>
      <c r="Q596" s="16"/>
      <c r="R596" s="14"/>
      <c r="S596" s="15"/>
      <c r="T596" s="11">
        <f t="shared" si="253"/>
        <v>0</v>
      </c>
      <c r="U596" s="11">
        <f t="shared" si="254"/>
        <v>0</v>
      </c>
      <c r="V596" s="64"/>
      <c r="W596" s="27"/>
      <c r="X596" s="13"/>
      <c r="Y596" s="14"/>
      <c r="Z596" s="15"/>
      <c r="AA596" s="11">
        <f t="shared" si="255"/>
        <v>0</v>
      </c>
      <c r="AB596" s="16"/>
      <c r="AC596" s="14"/>
      <c r="AD596" s="15"/>
      <c r="AE596" s="11">
        <f t="shared" si="256"/>
        <v>0</v>
      </c>
      <c r="AF596" s="11">
        <f t="shared" si="257"/>
        <v>0</v>
      </c>
      <c r="AG596" s="64"/>
    </row>
    <row r="597" spans="1:33" x14ac:dyDescent="0.15">
      <c r="A597" s="27" t="s">
        <v>353</v>
      </c>
      <c r="B597" s="8"/>
      <c r="C597" s="9"/>
      <c r="D597" s="10"/>
      <c r="E597" s="11">
        <f t="shared" si="249"/>
        <v>0</v>
      </c>
      <c r="F597" s="12"/>
      <c r="G597" s="9">
        <v>2</v>
      </c>
      <c r="H597" s="10"/>
      <c r="I597" s="11">
        <f t="shared" si="250"/>
        <v>2</v>
      </c>
      <c r="J597" s="11">
        <f t="shared" si="251"/>
        <v>2</v>
      </c>
      <c r="K597" s="65">
        <v>42431</v>
      </c>
      <c r="L597" s="27"/>
      <c r="M597" s="13"/>
      <c r="N597" s="14"/>
      <c r="O597" s="15"/>
      <c r="P597" s="11">
        <f t="shared" si="252"/>
        <v>0</v>
      </c>
      <c r="Q597" s="16"/>
      <c r="R597" s="14"/>
      <c r="S597" s="15"/>
      <c r="T597" s="11">
        <f t="shared" si="253"/>
        <v>0</v>
      </c>
      <c r="U597" s="11">
        <f t="shared" si="254"/>
        <v>0</v>
      </c>
      <c r="W597" s="27"/>
      <c r="X597" s="13"/>
      <c r="Y597" s="14"/>
      <c r="Z597" s="15"/>
      <c r="AA597" s="11">
        <f t="shared" si="255"/>
        <v>0</v>
      </c>
      <c r="AB597" s="16"/>
      <c r="AC597" s="14"/>
      <c r="AD597" s="15"/>
      <c r="AE597" s="11">
        <f t="shared" si="256"/>
        <v>0</v>
      </c>
      <c r="AF597" s="11">
        <f t="shared" si="257"/>
        <v>0</v>
      </c>
    </row>
    <row r="598" spans="1:33" ht="14.25" thickBot="1" x14ac:dyDescent="0.2">
      <c r="A598" s="29" t="s">
        <v>67</v>
      </c>
      <c r="B598" s="8">
        <v>2</v>
      </c>
      <c r="C598" s="9"/>
      <c r="D598" s="10"/>
      <c r="E598" s="11">
        <f t="shared" si="249"/>
        <v>2</v>
      </c>
      <c r="F598" s="16">
        <v>2</v>
      </c>
      <c r="G598" s="14"/>
      <c r="H598" s="15"/>
      <c r="I598" s="11">
        <f t="shared" si="250"/>
        <v>2</v>
      </c>
      <c r="J598" s="11">
        <f t="shared" si="251"/>
        <v>4</v>
      </c>
      <c r="K598" s="71">
        <v>42432</v>
      </c>
      <c r="L598" s="27"/>
      <c r="M598" s="13"/>
      <c r="N598" s="14"/>
      <c r="O598" s="15"/>
      <c r="P598" s="11">
        <f t="shared" si="252"/>
        <v>0</v>
      </c>
      <c r="Q598" s="16"/>
      <c r="R598" s="14"/>
      <c r="S598" s="15"/>
      <c r="T598" s="11">
        <f t="shared" si="253"/>
        <v>0</v>
      </c>
      <c r="U598" s="11">
        <f t="shared" si="254"/>
        <v>0</v>
      </c>
      <c r="V598" s="64"/>
      <c r="W598" s="27"/>
      <c r="X598" s="13"/>
      <c r="Y598" s="14"/>
      <c r="Z598" s="15"/>
      <c r="AA598" s="11">
        <f t="shared" si="255"/>
        <v>0</v>
      </c>
      <c r="AB598" s="16"/>
      <c r="AC598" s="14"/>
      <c r="AD598" s="15"/>
      <c r="AE598" s="11">
        <f t="shared" si="256"/>
        <v>0</v>
      </c>
      <c r="AF598" s="11">
        <f t="shared" si="257"/>
        <v>0</v>
      </c>
      <c r="AG598" s="64"/>
    </row>
    <row r="599" spans="1:33" ht="14.25" thickBot="1" x14ac:dyDescent="0.2">
      <c r="A599" s="44" t="s">
        <v>13</v>
      </c>
      <c r="B599" s="48">
        <f t="shared" ref="B599:I599" si="258">SUM(B573:B598)</f>
        <v>36</v>
      </c>
      <c r="C599" s="49">
        <f t="shared" si="258"/>
        <v>38</v>
      </c>
      <c r="D599" s="50">
        <f t="shared" si="258"/>
        <v>29</v>
      </c>
      <c r="E599" s="46">
        <f t="shared" si="258"/>
        <v>103</v>
      </c>
      <c r="F599" s="48">
        <f t="shared" si="258"/>
        <v>37</v>
      </c>
      <c r="G599" s="49">
        <f t="shared" si="258"/>
        <v>62</v>
      </c>
      <c r="H599" s="50">
        <f t="shared" si="258"/>
        <v>24</v>
      </c>
      <c r="I599" s="46">
        <f t="shared" si="258"/>
        <v>123</v>
      </c>
      <c r="J599" s="35">
        <f>E599+I599</f>
        <v>226</v>
      </c>
      <c r="L599" s="44" t="s">
        <v>13</v>
      </c>
      <c r="M599" s="48">
        <f t="shared" ref="M599:T599" si="259">SUM(M573:M598)</f>
        <v>45</v>
      </c>
      <c r="N599" s="49">
        <f t="shared" si="259"/>
        <v>100</v>
      </c>
      <c r="O599" s="50">
        <f t="shared" si="259"/>
        <v>50</v>
      </c>
      <c r="P599" s="46">
        <f t="shared" si="259"/>
        <v>195</v>
      </c>
      <c r="Q599" s="48">
        <f t="shared" si="259"/>
        <v>247</v>
      </c>
      <c r="R599" s="49">
        <f t="shared" si="259"/>
        <v>241</v>
      </c>
      <c r="S599" s="50">
        <f t="shared" si="259"/>
        <v>271</v>
      </c>
      <c r="T599" s="46">
        <f t="shared" si="259"/>
        <v>759</v>
      </c>
      <c r="U599" s="35">
        <f>P599+T599</f>
        <v>954</v>
      </c>
      <c r="W599" s="44" t="s">
        <v>13</v>
      </c>
      <c r="X599" s="48">
        <f t="shared" ref="X599:AE599" si="260">SUM(X573:X598)</f>
        <v>323</v>
      </c>
      <c r="Y599" s="49">
        <f t="shared" si="260"/>
        <v>495</v>
      </c>
      <c r="Z599" s="50">
        <f t="shared" si="260"/>
        <v>280</v>
      </c>
      <c r="AA599" s="46">
        <f t="shared" si="260"/>
        <v>1098</v>
      </c>
      <c r="AB599" s="48">
        <f t="shared" si="260"/>
        <v>230</v>
      </c>
      <c r="AC599" s="49">
        <f t="shared" si="260"/>
        <v>280</v>
      </c>
      <c r="AD599" s="50">
        <f t="shared" si="260"/>
        <v>202</v>
      </c>
      <c r="AE599" s="46">
        <f t="shared" si="260"/>
        <v>712</v>
      </c>
      <c r="AF599" s="35">
        <f>AA599+AE599</f>
        <v>1810</v>
      </c>
    </row>
    <row r="600" spans="1:33" ht="14.25" thickBot="1" x14ac:dyDescent="0.2">
      <c r="A600" s="23" t="s">
        <v>14</v>
      </c>
      <c r="B600" s="24">
        <f t="shared" ref="B600:J600" si="261">B572-B599</f>
        <v>54</v>
      </c>
      <c r="C600" s="25">
        <f t="shared" si="261"/>
        <v>91</v>
      </c>
      <c r="D600" s="30">
        <f t="shared" si="261"/>
        <v>60</v>
      </c>
      <c r="E600" s="51">
        <f t="shared" si="261"/>
        <v>205</v>
      </c>
      <c r="F600" s="24">
        <f t="shared" si="261"/>
        <v>27</v>
      </c>
      <c r="G600" s="25">
        <f t="shared" si="261"/>
        <v>86</v>
      </c>
      <c r="H600" s="30">
        <f t="shared" si="261"/>
        <v>55</v>
      </c>
      <c r="I600" s="47">
        <f t="shared" si="261"/>
        <v>168</v>
      </c>
      <c r="J600" s="79">
        <f t="shared" si="261"/>
        <v>373</v>
      </c>
      <c r="L600" s="23" t="s">
        <v>14</v>
      </c>
      <c r="M600" s="24">
        <f t="shared" ref="M600:U600" si="262">M572-M599</f>
        <v>0</v>
      </c>
      <c r="N600" s="25">
        <f t="shared" si="262"/>
        <v>0</v>
      </c>
      <c r="O600" s="30">
        <f t="shared" si="262"/>
        <v>0</v>
      </c>
      <c r="P600" s="51">
        <f t="shared" si="262"/>
        <v>0</v>
      </c>
      <c r="Q600" s="24">
        <f t="shared" si="262"/>
        <v>0</v>
      </c>
      <c r="R600" s="25">
        <f t="shared" si="262"/>
        <v>0</v>
      </c>
      <c r="S600" s="30">
        <f t="shared" si="262"/>
        <v>0</v>
      </c>
      <c r="T600" s="47">
        <f t="shared" si="262"/>
        <v>0</v>
      </c>
      <c r="U600" s="79">
        <f t="shared" si="262"/>
        <v>0</v>
      </c>
      <c r="W600" s="23" t="s">
        <v>14</v>
      </c>
      <c r="X600" s="24">
        <f t="shared" ref="X600:AF600" si="263">X572-X599</f>
        <v>222</v>
      </c>
      <c r="Y600" s="25">
        <f>Y572-Y599</f>
        <v>205</v>
      </c>
      <c r="Z600" s="30">
        <f t="shared" si="263"/>
        <v>320</v>
      </c>
      <c r="AA600" s="51">
        <f t="shared" si="263"/>
        <v>747</v>
      </c>
      <c r="AB600" s="24">
        <f t="shared" si="263"/>
        <v>417</v>
      </c>
      <c r="AC600" s="25">
        <f t="shared" si="263"/>
        <v>361</v>
      </c>
      <c r="AD600" s="30">
        <f t="shared" si="263"/>
        <v>469</v>
      </c>
      <c r="AE600" s="47">
        <f t="shared" si="263"/>
        <v>1247</v>
      </c>
      <c r="AF600" s="79">
        <f t="shared" si="263"/>
        <v>1994</v>
      </c>
    </row>
    <row r="603" spans="1:33" ht="19.5" thickBot="1" x14ac:dyDescent="0.25">
      <c r="A603" s="2" t="s">
        <v>21</v>
      </c>
      <c r="B603" s="1"/>
      <c r="C603" s="1"/>
      <c r="D603" s="1"/>
      <c r="E603" s="1"/>
      <c r="F603" s="1"/>
      <c r="G603" s="1"/>
      <c r="H603" s="1"/>
      <c r="I603" s="1"/>
      <c r="J603" s="1"/>
      <c r="W603" s="93" t="s">
        <v>136</v>
      </c>
      <c r="X603" s="94"/>
      <c r="Y603" s="94"/>
      <c r="Z603" s="94"/>
      <c r="AA603" s="106" t="s">
        <v>299</v>
      </c>
      <c r="AB603" s="1"/>
      <c r="AC603" s="1"/>
      <c r="AD603" s="1"/>
      <c r="AE603" s="1"/>
      <c r="AF603" s="1"/>
    </row>
    <row r="604" spans="1:33" ht="14.25" thickBot="1" x14ac:dyDescent="0.2">
      <c r="A604" s="7" t="s">
        <v>0</v>
      </c>
      <c r="B604" s="168" t="s">
        <v>1</v>
      </c>
      <c r="C604" s="169"/>
      <c r="D604" s="169"/>
      <c r="E604" s="170"/>
      <c r="F604" s="168" t="s">
        <v>2</v>
      </c>
      <c r="G604" s="169"/>
      <c r="H604" s="169"/>
      <c r="I604" s="171"/>
      <c r="J604" s="172" t="s">
        <v>3</v>
      </c>
      <c r="W604" s="7" t="s">
        <v>0</v>
      </c>
      <c r="X604" s="174" t="s">
        <v>1</v>
      </c>
      <c r="Y604" s="175"/>
      <c r="Z604" s="176"/>
      <c r="AA604" s="101"/>
      <c r="AB604" s="174" t="s">
        <v>2</v>
      </c>
      <c r="AC604" s="175"/>
      <c r="AD604" s="176"/>
      <c r="AE604" s="102"/>
      <c r="AF604" s="103" t="s">
        <v>3</v>
      </c>
    </row>
    <row r="605" spans="1:33" ht="14.25" thickBot="1" x14ac:dyDescent="0.2">
      <c r="A605" s="7" t="s">
        <v>4</v>
      </c>
      <c r="B605" s="3" t="s">
        <v>5</v>
      </c>
      <c r="C605" s="4" t="s">
        <v>6</v>
      </c>
      <c r="D605" s="5" t="s">
        <v>7</v>
      </c>
      <c r="E605" s="7" t="s">
        <v>8</v>
      </c>
      <c r="F605" s="3" t="s">
        <v>5</v>
      </c>
      <c r="G605" s="4" t="s">
        <v>6</v>
      </c>
      <c r="H605" s="5" t="s">
        <v>7</v>
      </c>
      <c r="I605" s="7" t="s">
        <v>8</v>
      </c>
      <c r="J605" s="173"/>
      <c r="W605" s="7" t="s">
        <v>4</v>
      </c>
      <c r="X605" s="3" t="s">
        <v>5</v>
      </c>
      <c r="Y605" s="4" t="s">
        <v>6</v>
      </c>
      <c r="Z605" s="5" t="s">
        <v>7</v>
      </c>
      <c r="AA605" s="7" t="s">
        <v>8</v>
      </c>
      <c r="AB605" s="107" t="s">
        <v>5</v>
      </c>
      <c r="AC605" s="108" t="s">
        <v>6</v>
      </c>
      <c r="AD605" s="109" t="s">
        <v>7</v>
      </c>
      <c r="AE605" s="7" t="s">
        <v>8</v>
      </c>
      <c r="AF605" s="104"/>
    </row>
    <row r="606" spans="1:33" ht="14.25" thickBot="1" x14ac:dyDescent="0.2">
      <c r="A606" s="31" t="s">
        <v>14</v>
      </c>
      <c r="B606" s="32">
        <f>B600</f>
        <v>54</v>
      </c>
      <c r="C606" s="33">
        <f>C600</f>
        <v>91</v>
      </c>
      <c r="D606" s="34">
        <f>D600</f>
        <v>60</v>
      </c>
      <c r="E606" s="41">
        <f>SUM(B606:D606)</f>
        <v>205</v>
      </c>
      <c r="F606" s="32">
        <f>F600</f>
        <v>27</v>
      </c>
      <c r="G606" s="33">
        <f>G600</f>
        <v>86</v>
      </c>
      <c r="H606" s="34">
        <f>H600</f>
        <v>55</v>
      </c>
      <c r="I606" s="41">
        <f>SUM(F606:H606)</f>
        <v>168</v>
      </c>
      <c r="J606" s="41">
        <f>E606+I606</f>
        <v>373</v>
      </c>
      <c r="W606" s="31" t="s">
        <v>14</v>
      </c>
      <c r="X606" s="32">
        <f>X600</f>
        <v>222</v>
      </c>
      <c r="Y606" s="33">
        <f>Y600</f>
        <v>205</v>
      </c>
      <c r="Z606" s="33">
        <f>Z600</f>
        <v>320</v>
      </c>
      <c r="AA606" s="111">
        <f>SUM(X606:Z606)</f>
        <v>747</v>
      </c>
      <c r="AB606" s="32">
        <f>AB600</f>
        <v>417</v>
      </c>
      <c r="AC606" s="33">
        <f>AC600</f>
        <v>361</v>
      </c>
      <c r="AD606" s="95">
        <f>AD600</f>
        <v>469</v>
      </c>
      <c r="AE606" s="46">
        <f>SUM(AB606:AD606)</f>
        <v>1247</v>
      </c>
      <c r="AF606" s="35">
        <f>AA606+AE606</f>
        <v>1994</v>
      </c>
      <c r="AG606" s="98"/>
    </row>
    <row r="607" spans="1:33" x14ac:dyDescent="0.15">
      <c r="A607" s="28" t="s">
        <v>59</v>
      </c>
      <c r="B607" s="17">
        <v>1</v>
      </c>
      <c r="C607" s="18">
        <v>5</v>
      </c>
      <c r="D607" s="19"/>
      <c r="E607" s="20">
        <f t="shared" ref="E607:E614" si="264">SUM(B607:D607)</f>
        <v>6</v>
      </c>
      <c r="F607" s="21">
        <v>2</v>
      </c>
      <c r="G607" s="18">
        <v>2</v>
      </c>
      <c r="H607" s="19"/>
      <c r="I607" s="20">
        <f t="shared" ref="I607:I614" si="265">SUM(F607:H607)</f>
        <v>4</v>
      </c>
      <c r="J607" s="20">
        <f t="shared" ref="J607:J614" si="266">E607+I607</f>
        <v>10</v>
      </c>
      <c r="K607" s="71">
        <v>42436</v>
      </c>
      <c r="W607" s="28" t="s">
        <v>9</v>
      </c>
      <c r="X607" s="8"/>
      <c r="Y607" s="9"/>
      <c r="Z607" s="10"/>
      <c r="AA607" s="78">
        <f t="shared" ref="AA607:AA614" si="267">SUM(X607:Z607)</f>
        <v>0</v>
      </c>
      <c r="AB607" s="21"/>
      <c r="AC607" s="18"/>
      <c r="AD607" s="19"/>
      <c r="AE607" s="78">
        <f t="shared" ref="AE607:AE614" si="268">SUM(AB607:AD607)</f>
        <v>0</v>
      </c>
      <c r="AF607" s="78">
        <f t="shared" ref="AF607:AF614" si="269">AA607+AE607</f>
        <v>0</v>
      </c>
    </row>
    <row r="608" spans="1:33" x14ac:dyDescent="0.15">
      <c r="A608" s="28" t="s">
        <v>38</v>
      </c>
      <c r="B608" s="8">
        <v>2</v>
      </c>
      <c r="C608" s="9"/>
      <c r="D608" s="10"/>
      <c r="E608" s="11">
        <f t="shared" si="264"/>
        <v>2</v>
      </c>
      <c r="F608" s="12">
        <v>2</v>
      </c>
      <c r="G608" s="9"/>
      <c r="H608" s="10"/>
      <c r="I608" s="11">
        <f t="shared" si="265"/>
        <v>2</v>
      </c>
      <c r="J608" s="11">
        <f t="shared" si="266"/>
        <v>4</v>
      </c>
      <c r="K608" s="71">
        <v>42437</v>
      </c>
      <c r="W608" s="28" t="s">
        <v>10</v>
      </c>
      <c r="X608" s="8"/>
      <c r="Y608" s="9"/>
      <c r="Z608" s="10"/>
      <c r="AA608" s="11">
        <f t="shared" si="267"/>
        <v>0</v>
      </c>
      <c r="AB608" s="12"/>
      <c r="AC608" s="9"/>
      <c r="AD608" s="10"/>
      <c r="AE608" s="11">
        <f t="shared" si="268"/>
        <v>0</v>
      </c>
      <c r="AF608" s="11">
        <f t="shared" si="269"/>
        <v>0</v>
      </c>
      <c r="AG608" s="65"/>
    </row>
    <row r="609" spans="1:33" x14ac:dyDescent="0.15">
      <c r="A609" s="28" t="s">
        <v>59</v>
      </c>
      <c r="B609" s="8">
        <v>1</v>
      </c>
      <c r="C609" s="9">
        <v>2</v>
      </c>
      <c r="D609" s="10"/>
      <c r="E609" s="11">
        <f t="shared" si="264"/>
        <v>3</v>
      </c>
      <c r="F609" s="12">
        <v>1</v>
      </c>
      <c r="G609" s="9"/>
      <c r="H609" s="10"/>
      <c r="I609" s="11">
        <f t="shared" si="265"/>
        <v>1</v>
      </c>
      <c r="J609" s="11">
        <f t="shared" si="266"/>
        <v>4</v>
      </c>
      <c r="K609" s="65">
        <v>42458</v>
      </c>
      <c r="W609" s="28" t="s">
        <v>11</v>
      </c>
      <c r="X609" s="8"/>
      <c r="Y609" s="9"/>
      <c r="Z609" s="10"/>
      <c r="AA609" s="11">
        <f t="shared" si="267"/>
        <v>0</v>
      </c>
      <c r="AB609" s="12"/>
      <c r="AC609" s="9"/>
      <c r="AD609" s="10"/>
      <c r="AE609" s="11">
        <f t="shared" si="268"/>
        <v>0</v>
      </c>
      <c r="AF609" s="11">
        <f t="shared" si="269"/>
        <v>0</v>
      </c>
      <c r="AG609" s="65"/>
    </row>
    <row r="610" spans="1:33" x14ac:dyDescent="0.15">
      <c r="A610" s="28" t="s">
        <v>38</v>
      </c>
      <c r="B610" s="8"/>
      <c r="C610" s="9"/>
      <c r="D610" s="10">
        <v>2</v>
      </c>
      <c r="E610" s="11">
        <f t="shared" si="264"/>
        <v>2</v>
      </c>
      <c r="F610" s="12"/>
      <c r="G610" s="9"/>
      <c r="H610" s="10">
        <v>2</v>
      </c>
      <c r="I610" s="11">
        <f t="shared" si="265"/>
        <v>2</v>
      </c>
      <c r="J610" s="11">
        <f t="shared" si="266"/>
        <v>4</v>
      </c>
      <c r="K610" s="71">
        <v>42465</v>
      </c>
      <c r="W610" s="28" t="s">
        <v>12</v>
      </c>
      <c r="X610" s="8"/>
      <c r="Y610" s="9"/>
      <c r="Z610" s="10"/>
      <c r="AA610" s="11">
        <f t="shared" si="267"/>
        <v>0</v>
      </c>
      <c r="AB610" s="12"/>
      <c r="AC610" s="9"/>
      <c r="AD610" s="10"/>
      <c r="AE610" s="11">
        <f t="shared" si="268"/>
        <v>0</v>
      </c>
      <c r="AF610" s="11">
        <f t="shared" si="269"/>
        <v>0</v>
      </c>
    </row>
    <row r="611" spans="1:33" x14ac:dyDescent="0.15">
      <c r="A611" s="28" t="s">
        <v>104</v>
      </c>
      <c r="B611" s="8">
        <v>5</v>
      </c>
      <c r="C611" s="9">
        <v>4</v>
      </c>
      <c r="D611" s="10"/>
      <c r="E611" s="11">
        <f t="shared" si="264"/>
        <v>9</v>
      </c>
      <c r="F611" s="12">
        <v>4</v>
      </c>
      <c r="G611" s="9">
        <v>2</v>
      </c>
      <c r="H611" s="10">
        <v>1</v>
      </c>
      <c r="I611" s="11">
        <f t="shared" si="265"/>
        <v>7</v>
      </c>
      <c r="J611" s="11">
        <f t="shared" si="266"/>
        <v>16</v>
      </c>
      <c r="K611" s="71">
        <v>42466</v>
      </c>
      <c r="W611" s="28" t="s">
        <v>15</v>
      </c>
      <c r="X611" s="8"/>
      <c r="Y611" s="9"/>
      <c r="Z611" s="10"/>
      <c r="AA611" s="11">
        <f t="shared" si="267"/>
        <v>0</v>
      </c>
      <c r="AB611" s="12"/>
      <c r="AC611" s="9"/>
      <c r="AD611" s="10"/>
      <c r="AE611" s="11">
        <f t="shared" si="268"/>
        <v>0</v>
      </c>
      <c r="AF611" s="11">
        <f t="shared" si="269"/>
        <v>0</v>
      </c>
    </row>
    <row r="612" spans="1:33" x14ac:dyDescent="0.15">
      <c r="A612" s="28" t="s">
        <v>370</v>
      </c>
      <c r="B612" s="8"/>
      <c r="C612" s="9"/>
      <c r="D612" s="10">
        <v>1</v>
      </c>
      <c r="E612" s="11">
        <f t="shared" si="264"/>
        <v>1</v>
      </c>
      <c r="F612" s="12"/>
      <c r="G612" s="9"/>
      <c r="H612" s="10"/>
      <c r="I612" s="11">
        <f t="shared" si="265"/>
        <v>0</v>
      </c>
      <c r="J612" s="11">
        <f t="shared" si="266"/>
        <v>1</v>
      </c>
      <c r="K612" s="71">
        <v>42469</v>
      </c>
      <c r="W612" s="28" t="s">
        <v>16</v>
      </c>
      <c r="X612" s="8"/>
      <c r="Y612" s="9"/>
      <c r="Z612" s="10"/>
      <c r="AA612" s="11">
        <f t="shared" si="267"/>
        <v>0</v>
      </c>
      <c r="AB612" s="12"/>
      <c r="AC612" s="9"/>
      <c r="AD612" s="10"/>
      <c r="AE612" s="11">
        <f t="shared" si="268"/>
        <v>0</v>
      </c>
      <c r="AF612" s="11">
        <f t="shared" si="269"/>
        <v>0</v>
      </c>
    </row>
    <row r="613" spans="1:33" x14ac:dyDescent="0.15">
      <c r="A613" s="28" t="s">
        <v>38</v>
      </c>
      <c r="B613" s="13"/>
      <c r="C613" s="14">
        <v>2</v>
      </c>
      <c r="D613" s="15"/>
      <c r="E613" s="11">
        <f t="shared" si="264"/>
        <v>2</v>
      </c>
      <c r="F613" s="16"/>
      <c r="G613" s="14">
        <v>2</v>
      </c>
      <c r="H613" s="15"/>
      <c r="I613" s="11">
        <f t="shared" si="265"/>
        <v>2</v>
      </c>
      <c r="J613" s="11">
        <f t="shared" si="266"/>
        <v>4</v>
      </c>
      <c r="K613" s="71">
        <v>42474</v>
      </c>
      <c r="W613" s="28" t="s">
        <v>17</v>
      </c>
      <c r="X613" s="13"/>
      <c r="Y613" s="14"/>
      <c r="Z613" s="15"/>
      <c r="AA613" s="11">
        <f t="shared" si="267"/>
        <v>0</v>
      </c>
      <c r="AB613" s="16"/>
      <c r="AC613" s="14"/>
      <c r="AD613" s="15"/>
      <c r="AE613" s="11">
        <f t="shared" si="268"/>
        <v>0</v>
      </c>
      <c r="AF613" s="11">
        <f t="shared" si="269"/>
        <v>0</v>
      </c>
    </row>
    <row r="614" spans="1:33" ht="14.25" thickBot="1" x14ac:dyDescent="0.2">
      <c r="A614" s="28" t="s">
        <v>59</v>
      </c>
      <c r="B614" s="36">
        <v>1</v>
      </c>
      <c r="C614" s="37">
        <v>5</v>
      </c>
      <c r="D614" s="40"/>
      <c r="E614" s="22">
        <f t="shared" si="264"/>
        <v>6</v>
      </c>
      <c r="F614" s="38"/>
      <c r="G614" s="38"/>
      <c r="H614" s="43"/>
      <c r="I614" s="22">
        <f t="shared" si="265"/>
        <v>0</v>
      </c>
      <c r="J614" s="22">
        <f t="shared" si="266"/>
        <v>6</v>
      </c>
      <c r="K614" s="71">
        <v>42485</v>
      </c>
      <c r="W614" s="28" t="s">
        <v>18</v>
      </c>
      <c r="X614" s="36"/>
      <c r="Y614" s="37"/>
      <c r="Z614" s="40"/>
      <c r="AA614" s="22">
        <f t="shared" si="267"/>
        <v>0</v>
      </c>
      <c r="AB614" s="38"/>
      <c r="AC614" s="38"/>
      <c r="AD614" s="43"/>
      <c r="AE614" s="22">
        <f t="shared" si="268"/>
        <v>0</v>
      </c>
      <c r="AF614" s="22">
        <f t="shared" si="269"/>
        <v>0</v>
      </c>
    </row>
    <row r="615" spans="1:33" ht="14.25" thickBot="1" x14ac:dyDescent="0.2">
      <c r="A615" s="39" t="s">
        <v>20</v>
      </c>
      <c r="B615" s="32">
        <f t="shared" ref="B615:J615" si="270">SUM(B606:B614)</f>
        <v>64</v>
      </c>
      <c r="C615" s="33">
        <f t="shared" si="270"/>
        <v>109</v>
      </c>
      <c r="D615" s="34">
        <f t="shared" si="270"/>
        <v>63</v>
      </c>
      <c r="E615" s="42">
        <f t="shared" si="270"/>
        <v>236</v>
      </c>
      <c r="F615" s="32">
        <f t="shared" si="270"/>
        <v>36</v>
      </c>
      <c r="G615" s="33">
        <f t="shared" si="270"/>
        <v>92</v>
      </c>
      <c r="H615" s="34">
        <f t="shared" si="270"/>
        <v>58</v>
      </c>
      <c r="I615" s="42">
        <f t="shared" si="270"/>
        <v>186</v>
      </c>
      <c r="J615" s="42">
        <f t="shared" si="270"/>
        <v>422</v>
      </c>
      <c r="W615" s="39" t="s">
        <v>20</v>
      </c>
      <c r="X615" s="32">
        <f t="shared" ref="X615:AF615" si="271">SUM(X606:X614)</f>
        <v>222</v>
      </c>
      <c r="Y615" s="33">
        <f t="shared" si="271"/>
        <v>205</v>
      </c>
      <c r="Z615" s="34">
        <f t="shared" si="271"/>
        <v>320</v>
      </c>
      <c r="AA615" s="42">
        <f t="shared" si="271"/>
        <v>747</v>
      </c>
      <c r="AB615" s="32">
        <f t="shared" si="271"/>
        <v>417</v>
      </c>
      <c r="AC615" s="33">
        <f t="shared" si="271"/>
        <v>361</v>
      </c>
      <c r="AD615" s="34">
        <f t="shared" si="271"/>
        <v>469</v>
      </c>
      <c r="AE615" s="42">
        <f t="shared" si="271"/>
        <v>1247</v>
      </c>
      <c r="AF615" s="42">
        <f t="shared" si="271"/>
        <v>1994</v>
      </c>
    </row>
    <row r="616" spans="1:33" x14ac:dyDescent="0.15">
      <c r="A616" s="26" t="s">
        <v>357</v>
      </c>
      <c r="B616" s="13"/>
      <c r="C616" s="14"/>
      <c r="D616" s="15">
        <v>5</v>
      </c>
      <c r="E616" s="11">
        <f>SUM(B616:D616)</f>
        <v>5</v>
      </c>
      <c r="F616" s="16">
        <v>2</v>
      </c>
      <c r="G616" s="14">
        <v>2</v>
      </c>
      <c r="H616" s="15"/>
      <c r="I616" s="11">
        <f>SUM(F616:H616)</f>
        <v>4</v>
      </c>
      <c r="J616" s="11">
        <f>E616+I616</f>
        <v>9</v>
      </c>
      <c r="K616" s="71">
        <v>42437</v>
      </c>
      <c r="L616" s="64"/>
      <c r="W616" s="29" t="s">
        <v>354</v>
      </c>
      <c r="X616" s="8">
        <v>160</v>
      </c>
      <c r="Y616" s="9">
        <v>170</v>
      </c>
      <c r="Z616" s="10">
        <v>140</v>
      </c>
      <c r="AA616" s="11">
        <f>SUM(X616:Z616)</f>
        <v>470</v>
      </c>
      <c r="AB616" s="12">
        <v>60</v>
      </c>
      <c r="AC616" s="9">
        <v>60</v>
      </c>
      <c r="AD616" s="10">
        <v>40</v>
      </c>
      <c r="AE616" s="11">
        <f>SUM(AB616:AD616)</f>
        <v>160</v>
      </c>
      <c r="AF616" s="11">
        <f>AA616+AE616</f>
        <v>630</v>
      </c>
      <c r="AG616" s="65">
        <v>42454</v>
      </c>
    </row>
    <row r="617" spans="1:33" x14ac:dyDescent="0.15">
      <c r="A617" s="29" t="s">
        <v>358</v>
      </c>
      <c r="B617" s="13">
        <v>1</v>
      </c>
      <c r="C617" s="14"/>
      <c r="D617" s="15"/>
      <c r="E617" s="11">
        <f t="shared" ref="E617:E641" si="272">SUM(B617:D617)</f>
        <v>1</v>
      </c>
      <c r="F617" s="16"/>
      <c r="G617" s="14">
        <v>1</v>
      </c>
      <c r="H617" s="15"/>
      <c r="I617" s="11">
        <f t="shared" ref="I617:I641" si="273">SUM(F617:H617)</f>
        <v>1</v>
      </c>
      <c r="J617" s="11">
        <f t="shared" ref="J617:J641" si="274">E617+I617</f>
        <v>2</v>
      </c>
      <c r="K617" s="71">
        <v>42437</v>
      </c>
      <c r="W617" s="97" t="s">
        <v>365</v>
      </c>
      <c r="X617" s="52">
        <v>0</v>
      </c>
      <c r="Y617" s="53">
        <v>35</v>
      </c>
      <c r="Z617" s="54">
        <v>50</v>
      </c>
      <c r="AA617" s="55">
        <f>SUM(X617:Z617)</f>
        <v>85</v>
      </c>
      <c r="AB617" s="56">
        <v>0</v>
      </c>
      <c r="AC617" s="53">
        <v>0</v>
      </c>
      <c r="AD617" s="54">
        <v>0</v>
      </c>
      <c r="AE617" s="55">
        <f>SUM(AB617:AD617)</f>
        <v>0</v>
      </c>
      <c r="AF617" s="55">
        <f>AA617+AE617</f>
        <v>85</v>
      </c>
      <c r="AG617" s="58">
        <v>42457</v>
      </c>
    </row>
    <row r="618" spans="1:33" x14ac:dyDescent="0.15">
      <c r="A618" s="27" t="s">
        <v>363</v>
      </c>
      <c r="B618" s="8">
        <v>3</v>
      </c>
      <c r="C618" s="9"/>
      <c r="D618" s="10">
        <v>6</v>
      </c>
      <c r="E618" s="11">
        <f t="shared" si="272"/>
        <v>9</v>
      </c>
      <c r="F618" s="12"/>
      <c r="G618" s="9">
        <v>3</v>
      </c>
      <c r="H618" s="10">
        <v>3</v>
      </c>
      <c r="I618" s="11">
        <f t="shared" si="273"/>
        <v>6</v>
      </c>
      <c r="J618" s="11">
        <f t="shared" si="274"/>
        <v>15</v>
      </c>
      <c r="K618" s="65">
        <v>42439</v>
      </c>
      <c r="W618" s="27"/>
      <c r="X618" s="8"/>
      <c r="Y618" s="9"/>
      <c r="Z618" s="10"/>
      <c r="AA618" s="11">
        <f t="shared" ref="AA618:AA640" si="275">SUM(X618:Z618)</f>
        <v>0</v>
      </c>
      <c r="AB618" s="12"/>
      <c r="AC618" s="9"/>
      <c r="AD618" s="10"/>
      <c r="AE618" s="11">
        <f t="shared" ref="AE618:AE640" si="276">SUM(AB618:AD618)</f>
        <v>0</v>
      </c>
      <c r="AF618" s="11">
        <f t="shared" ref="AF618:AF640" si="277">AA618+AE618</f>
        <v>0</v>
      </c>
    </row>
    <row r="619" spans="1:33" x14ac:dyDescent="0.15">
      <c r="A619" s="29" t="s">
        <v>35</v>
      </c>
      <c r="B619" s="8"/>
      <c r="C619" s="9"/>
      <c r="D619" s="10">
        <v>10</v>
      </c>
      <c r="E619" s="11">
        <f t="shared" si="272"/>
        <v>10</v>
      </c>
      <c r="F619" s="12"/>
      <c r="G619" s="9"/>
      <c r="H619" s="10"/>
      <c r="I619" s="11">
        <f t="shared" si="273"/>
        <v>0</v>
      </c>
      <c r="J619" s="11">
        <f t="shared" si="274"/>
        <v>10</v>
      </c>
      <c r="K619" s="65">
        <v>42443</v>
      </c>
      <c r="W619" s="29"/>
      <c r="X619" s="8"/>
      <c r="Y619" s="9"/>
      <c r="Z619" s="10"/>
      <c r="AA619" s="11">
        <f t="shared" si="275"/>
        <v>0</v>
      </c>
      <c r="AB619" s="12"/>
      <c r="AC619" s="9"/>
      <c r="AD619" s="10"/>
      <c r="AE619" s="11">
        <f t="shared" si="276"/>
        <v>0</v>
      </c>
      <c r="AF619" s="11">
        <f t="shared" si="277"/>
        <v>0</v>
      </c>
    </row>
    <row r="620" spans="1:33" x14ac:dyDescent="0.15">
      <c r="A620" s="27" t="s">
        <v>359</v>
      </c>
      <c r="B620" s="8"/>
      <c r="C620" s="9"/>
      <c r="D620" s="10"/>
      <c r="E620" s="11">
        <f t="shared" si="272"/>
        <v>0</v>
      </c>
      <c r="F620" s="12">
        <v>3</v>
      </c>
      <c r="G620" s="9"/>
      <c r="H620" s="10"/>
      <c r="I620" s="11">
        <f t="shared" si="273"/>
        <v>3</v>
      </c>
      <c r="J620" s="11">
        <f t="shared" si="274"/>
        <v>3</v>
      </c>
      <c r="K620" s="71">
        <v>42441</v>
      </c>
      <c r="W620" s="29"/>
      <c r="X620" s="8"/>
      <c r="Y620" s="9"/>
      <c r="Z620" s="10"/>
      <c r="AA620" s="11">
        <f t="shared" si="275"/>
        <v>0</v>
      </c>
      <c r="AB620" s="12"/>
      <c r="AC620" s="9"/>
      <c r="AD620" s="10"/>
      <c r="AE620" s="11">
        <f t="shared" si="276"/>
        <v>0</v>
      </c>
      <c r="AF620" s="11">
        <f t="shared" si="277"/>
        <v>0</v>
      </c>
    </row>
    <row r="621" spans="1:33" x14ac:dyDescent="0.15">
      <c r="A621" s="27" t="s">
        <v>32</v>
      </c>
      <c r="B621" s="8"/>
      <c r="C621" s="9"/>
      <c r="D621" s="10">
        <v>3</v>
      </c>
      <c r="E621" s="11">
        <f t="shared" si="272"/>
        <v>3</v>
      </c>
      <c r="F621" s="12"/>
      <c r="G621" s="9"/>
      <c r="H621" s="10"/>
      <c r="I621" s="11">
        <f t="shared" si="273"/>
        <v>0</v>
      </c>
      <c r="J621" s="11">
        <f t="shared" si="274"/>
        <v>3</v>
      </c>
      <c r="K621" s="65">
        <v>42444</v>
      </c>
      <c r="W621" s="27"/>
      <c r="X621" s="8"/>
      <c r="Y621" s="9"/>
      <c r="Z621" s="10"/>
      <c r="AA621" s="11">
        <f t="shared" si="275"/>
        <v>0</v>
      </c>
      <c r="AB621" s="12"/>
      <c r="AC621" s="9"/>
      <c r="AD621" s="10"/>
      <c r="AE621" s="11">
        <f t="shared" si="276"/>
        <v>0</v>
      </c>
      <c r="AF621" s="11">
        <f t="shared" si="277"/>
        <v>0</v>
      </c>
    </row>
    <row r="622" spans="1:33" x14ac:dyDescent="0.15">
      <c r="A622" s="29" t="s">
        <v>39</v>
      </c>
      <c r="B622" s="8"/>
      <c r="C622" s="9"/>
      <c r="D622" s="10"/>
      <c r="E622" s="11">
        <f>SUM(B622:D622)</f>
        <v>0</v>
      </c>
      <c r="F622" s="12">
        <v>1</v>
      </c>
      <c r="G622" s="9"/>
      <c r="H622" s="10"/>
      <c r="I622" s="11">
        <f>SUM(F622:H622)</f>
        <v>1</v>
      </c>
      <c r="J622" s="11">
        <f>E622+I622</f>
        <v>1</v>
      </c>
      <c r="K622" s="65">
        <v>42452</v>
      </c>
      <c r="W622" s="29"/>
      <c r="X622" s="8"/>
      <c r="Y622" s="9"/>
      <c r="Z622" s="10"/>
      <c r="AA622" s="11">
        <f t="shared" si="275"/>
        <v>0</v>
      </c>
      <c r="AB622" s="12"/>
      <c r="AC622" s="9"/>
      <c r="AD622" s="10"/>
      <c r="AE622" s="11">
        <f t="shared" si="276"/>
        <v>0</v>
      </c>
      <c r="AF622" s="11">
        <f t="shared" si="277"/>
        <v>0</v>
      </c>
    </row>
    <row r="623" spans="1:33" x14ac:dyDescent="0.15">
      <c r="A623" s="29" t="s">
        <v>24</v>
      </c>
      <c r="B623" s="8"/>
      <c r="C623" s="9">
        <v>2</v>
      </c>
      <c r="D623" s="10"/>
      <c r="E623" s="11">
        <f t="shared" si="272"/>
        <v>2</v>
      </c>
      <c r="F623" s="12"/>
      <c r="G623" s="9">
        <v>2</v>
      </c>
      <c r="H623" s="10"/>
      <c r="I623" s="11">
        <f t="shared" si="273"/>
        <v>2</v>
      </c>
      <c r="J623" s="11">
        <f t="shared" si="274"/>
        <v>4</v>
      </c>
      <c r="K623" s="65">
        <v>42454</v>
      </c>
      <c r="W623" s="29"/>
      <c r="X623" s="8"/>
      <c r="Y623" s="9"/>
      <c r="Z623" s="10"/>
      <c r="AA623" s="11">
        <f t="shared" si="275"/>
        <v>0</v>
      </c>
      <c r="AB623" s="12"/>
      <c r="AC623" s="9"/>
      <c r="AD623" s="10"/>
      <c r="AE623" s="11">
        <f t="shared" si="276"/>
        <v>0</v>
      </c>
      <c r="AF623" s="11">
        <f t="shared" si="277"/>
        <v>0</v>
      </c>
    </row>
    <row r="624" spans="1:33" x14ac:dyDescent="0.15">
      <c r="A624" s="29" t="s">
        <v>367</v>
      </c>
      <c r="B624" s="13"/>
      <c r="C624" s="14">
        <v>4</v>
      </c>
      <c r="D624" s="15"/>
      <c r="E624" s="11">
        <f t="shared" si="272"/>
        <v>4</v>
      </c>
      <c r="F624" s="16"/>
      <c r="G624" s="14">
        <v>3</v>
      </c>
      <c r="H624" s="15"/>
      <c r="I624" s="11">
        <f t="shared" si="273"/>
        <v>3</v>
      </c>
      <c r="J624" s="11">
        <f t="shared" si="274"/>
        <v>7</v>
      </c>
      <c r="K624" s="71">
        <v>42453</v>
      </c>
      <c r="W624" s="27"/>
      <c r="X624" s="8"/>
      <c r="Y624" s="9"/>
      <c r="Z624" s="10"/>
      <c r="AA624" s="11">
        <f t="shared" si="275"/>
        <v>0</v>
      </c>
      <c r="AB624" s="12"/>
      <c r="AC624" s="9"/>
      <c r="AD624" s="10"/>
      <c r="AE624" s="11">
        <f t="shared" si="276"/>
        <v>0</v>
      </c>
      <c r="AF624" s="11">
        <f t="shared" si="277"/>
        <v>0</v>
      </c>
    </row>
    <row r="625" spans="1:33" x14ac:dyDescent="0.15">
      <c r="A625" s="29" t="s">
        <v>362</v>
      </c>
      <c r="B625" s="13">
        <v>1</v>
      </c>
      <c r="C625" s="14"/>
      <c r="D625" s="15"/>
      <c r="E625" s="11">
        <f t="shared" si="272"/>
        <v>1</v>
      </c>
      <c r="F625" s="16">
        <v>1</v>
      </c>
      <c r="G625" s="14"/>
      <c r="H625" s="15"/>
      <c r="I625" s="11">
        <f t="shared" si="273"/>
        <v>1</v>
      </c>
      <c r="J625" s="11">
        <f t="shared" si="274"/>
        <v>2</v>
      </c>
      <c r="K625" s="71">
        <v>42457</v>
      </c>
      <c r="W625" s="29"/>
      <c r="X625" s="13"/>
      <c r="Y625" s="14"/>
      <c r="Z625" s="15"/>
      <c r="AA625" s="11">
        <f t="shared" si="275"/>
        <v>0</v>
      </c>
      <c r="AB625" s="16"/>
      <c r="AC625" s="14"/>
      <c r="AD625" s="15"/>
      <c r="AE625" s="11">
        <f t="shared" si="276"/>
        <v>0</v>
      </c>
      <c r="AF625" s="11">
        <f t="shared" si="277"/>
        <v>0</v>
      </c>
    </row>
    <row r="626" spans="1:33" x14ac:dyDescent="0.15">
      <c r="A626" s="29" t="s">
        <v>364</v>
      </c>
      <c r="B626" s="8">
        <v>3</v>
      </c>
      <c r="C626" s="9"/>
      <c r="D626" s="10"/>
      <c r="E626" s="11">
        <f t="shared" si="272"/>
        <v>3</v>
      </c>
      <c r="F626" s="12"/>
      <c r="G626" s="9"/>
      <c r="H626" s="10"/>
      <c r="I626" s="11">
        <f t="shared" si="273"/>
        <v>0</v>
      </c>
      <c r="J626" s="11">
        <f t="shared" si="274"/>
        <v>3</v>
      </c>
      <c r="K626" s="65">
        <v>42460</v>
      </c>
      <c r="W626" s="29"/>
      <c r="X626" s="8"/>
      <c r="Y626" s="9"/>
      <c r="Z626" s="10"/>
      <c r="AA626" s="11">
        <f t="shared" si="275"/>
        <v>0</v>
      </c>
      <c r="AB626" s="12"/>
      <c r="AC626" s="9"/>
      <c r="AD626" s="10"/>
      <c r="AE626" s="11">
        <f t="shared" si="276"/>
        <v>0</v>
      </c>
      <c r="AF626" s="11">
        <f t="shared" si="277"/>
        <v>0</v>
      </c>
    </row>
    <row r="627" spans="1:33" x14ac:dyDescent="0.15">
      <c r="A627" s="29" t="s">
        <v>366</v>
      </c>
      <c r="B627" s="8"/>
      <c r="C627" s="9">
        <v>20</v>
      </c>
      <c r="D627" s="10"/>
      <c r="E627" s="11">
        <f t="shared" si="272"/>
        <v>20</v>
      </c>
      <c r="F627" s="12"/>
      <c r="G627" s="9"/>
      <c r="H627" s="10"/>
      <c r="I627" s="11">
        <f t="shared" si="273"/>
        <v>0</v>
      </c>
      <c r="J627" s="11">
        <f t="shared" si="274"/>
        <v>20</v>
      </c>
      <c r="K627" s="65">
        <v>42464</v>
      </c>
      <c r="W627" s="29"/>
      <c r="X627" s="8"/>
      <c r="Y627" s="9"/>
      <c r="Z627" s="10"/>
      <c r="AA627" s="11">
        <f t="shared" si="275"/>
        <v>0</v>
      </c>
      <c r="AB627" s="12"/>
      <c r="AC627" s="9"/>
      <c r="AD627" s="10"/>
      <c r="AE627" s="11">
        <f t="shared" si="276"/>
        <v>0</v>
      </c>
      <c r="AF627" s="11">
        <f t="shared" si="277"/>
        <v>0</v>
      </c>
    </row>
    <row r="628" spans="1:33" x14ac:dyDescent="0.15">
      <c r="A628" s="27" t="s">
        <v>368</v>
      </c>
      <c r="B628" s="8">
        <v>4</v>
      </c>
      <c r="C628" s="9"/>
      <c r="D628" s="10">
        <v>3</v>
      </c>
      <c r="E628" s="11">
        <f t="shared" si="272"/>
        <v>7</v>
      </c>
      <c r="F628" s="12">
        <v>3</v>
      </c>
      <c r="G628" s="9">
        <v>2</v>
      </c>
      <c r="H628" s="10"/>
      <c r="I628" s="11">
        <f t="shared" si="273"/>
        <v>5</v>
      </c>
      <c r="J628" s="11">
        <f t="shared" si="274"/>
        <v>12</v>
      </c>
      <c r="K628" s="71">
        <v>42462</v>
      </c>
      <c r="W628" s="27"/>
      <c r="X628" s="8"/>
      <c r="Y628" s="9"/>
      <c r="Z628" s="10"/>
      <c r="AA628" s="11">
        <f t="shared" si="275"/>
        <v>0</v>
      </c>
      <c r="AB628" s="12"/>
      <c r="AC628" s="9"/>
      <c r="AD628" s="10"/>
      <c r="AE628" s="11">
        <f t="shared" si="276"/>
        <v>0</v>
      </c>
      <c r="AF628" s="11">
        <f t="shared" si="277"/>
        <v>0</v>
      </c>
    </row>
    <row r="629" spans="1:33" x14ac:dyDescent="0.15">
      <c r="A629" s="27" t="s">
        <v>375</v>
      </c>
      <c r="B629" s="8">
        <v>5</v>
      </c>
      <c r="C629" s="9">
        <v>10</v>
      </c>
      <c r="D629" s="10"/>
      <c r="E629" s="11">
        <f t="shared" si="272"/>
        <v>15</v>
      </c>
      <c r="F629" s="12">
        <v>5</v>
      </c>
      <c r="G629" s="9">
        <v>5</v>
      </c>
      <c r="H629" s="10"/>
      <c r="I629" s="11">
        <f t="shared" si="273"/>
        <v>10</v>
      </c>
      <c r="J629" s="11">
        <f t="shared" si="274"/>
        <v>25</v>
      </c>
      <c r="K629" s="71">
        <v>42471</v>
      </c>
      <c r="W629" s="29"/>
      <c r="X629" s="8"/>
      <c r="Y629" s="9"/>
      <c r="Z629" s="10"/>
      <c r="AA629" s="11">
        <f t="shared" si="275"/>
        <v>0</v>
      </c>
      <c r="AB629" s="12"/>
      <c r="AC629" s="9"/>
      <c r="AD629" s="10"/>
      <c r="AE629" s="11">
        <f t="shared" si="276"/>
        <v>0</v>
      </c>
      <c r="AF629" s="11">
        <f t="shared" si="277"/>
        <v>0</v>
      </c>
    </row>
    <row r="630" spans="1:33" x14ac:dyDescent="0.15">
      <c r="A630" s="29" t="s">
        <v>371</v>
      </c>
      <c r="B630" s="8"/>
      <c r="C630" s="9">
        <v>1</v>
      </c>
      <c r="D630" s="10"/>
      <c r="E630" s="11">
        <f t="shared" si="272"/>
        <v>1</v>
      </c>
      <c r="F630" s="12"/>
      <c r="G630" s="9"/>
      <c r="H630" s="10"/>
      <c r="I630" s="11">
        <f t="shared" si="273"/>
        <v>0</v>
      </c>
      <c r="J630" s="11">
        <f t="shared" si="274"/>
        <v>1</v>
      </c>
      <c r="K630" s="71">
        <v>42471</v>
      </c>
      <c r="W630" s="29"/>
      <c r="X630" s="8"/>
      <c r="Y630" s="9"/>
      <c r="Z630" s="10"/>
      <c r="AA630" s="11">
        <f t="shared" si="275"/>
        <v>0</v>
      </c>
      <c r="AB630" s="12"/>
      <c r="AC630" s="9"/>
      <c r="AD630" s="10"/>
      <c r="AE630" s="11">
        <f t="shared" si="276"/>
        <v>0</v>
      </c>
      <c r="AF630" s="11">
        <f t="shared" si="277"/>
        <v>0</v>
      </c>
    </row>
    <row r="631" spans="1:33" x14ac:dyDescent="0.15">
      <c r="A631" s="29" t="s">
        <v>372</v>
      </c>
      <c r="B631" s="8"/>
      <c r="C631" s="9">
        <v>1</v>
      </c>
      <c r="D631" s="10"/>
      <c r="E631" s="11">
        <f t="shared" si="272"/>
        <v>1</v>
      </c>
      <c r="F631" s="12"/>
      <c r="G631" s="9"/>
      <c r="H631" s="10"/>
      <c r="I631" s="11">
        <f t="shared" si="273"/>
        <v>0</v>
      </c>
      <c r="J631" s="11">
        <f t="shared" si="274"/>
        <v>1</v>
      </c>
      <c r="K631" s="65">
        <v>42476</v>
      </c>
      <c r="W631" s="27"/>
      <c r="X631" s="8"/>
      <c r="Y631" s="9"/>
      <c r="Z631" s="10"/>
      <c r="AA631" s="11">
        <f t="shared" si="275"/>
        <v>0</v>
      </c>
      <c r="AB631" s="12"/>
      <c r="AC631" s="9"/>
      <c r="AD631" s="10"/>
      <c r="AE631" s="11">
        <f t="shared" si="276"/>
        <v>0</v>
      </c>
      <c r="AF631" s="11">
        <f t="shared" si="277"/>
        <v>0</v>
      </c>
    </row>
    <row r="632" spans="1:33" x14ac:dyDescent="0.15">
      <c r="A632" s="29" t="s">
        <v>373</v>
      </c>
      <c r="B632" s="8">
        <v>1</v>
      </c>
      <c r="C632" s="9"/>
      <c r="D632" s="10"/>
      <c r="E632" s="11">
        <f t="shared" si="272"/>
        <v>1</v>
      </c>
      <c r="F632" s="12"/>
      <c r="G632" s="9"/>
      <c r="H632" s="10"/>
      <c r="I632" s="11">
        <f t="shared" si="273"/>
        <v>0</v>
      </c>
      <c r="J632" s="11">
        <f t="shared" si="274"/>
        <v>1</v>
      </c>
      <c r="K632" s="71">
        <v>42479</v>
      </c>
      <c r="W632" s="29"/>
      <c r="X632" s="8"/>
      <c r="Y632" s="9"/>
      <c r="Z632" s="10"/>
      <c r="AA632" s="11">
        <f t="shared" si="275"/>
        <v>0</v>
      </c>
      <c r="AB632" s="12"/>
      <c r="AC632" s="9"/>
      <c r="AD632" s="10"/>
      <c r="AE632" s="11">
        <f t="shared" si="276"/>
        <v>0</v>
      </c>
      <c r="AF632" s="11">
        <f t="shared" si="277"/>
        <v>0</v>
      </c>
    </row>
    <row r="633" spans="1:33" x14ac:dyDescent="0.15">
      <c r="A633" s="27" t="s">
        <v>374</v>
      </c>
      <c r="B633" s="8"/>
      <c r="C633" s="9"/>
      <c r="D633" s="10"/>
      <c r="E633" s="11">
        <f t="shared" si="272"/>
        <v>0</v>
      </c>
      <c r="F633" s="12"/>
      <c r="G633" s="9"/>
      <c r="H633" s="10">
        <v>2</v>
      </c>
      <c r="I633" s="11">
        <f t="shared" si="273"/>
        <v>2</v>
      </c>
      <c r="J633" s="11">
        <f t="shared" si="274"/>
        <v>2</v>
      </c>
      <c r="K633" s="71">
        <v>42481</v>
      </c>
      <c r="W633" s="27"/>
      <c r="X633" s="8"/>
      <c r="Y633" s="9"/>
      <c r="Z633" s="10"/>
      <c r="AA633" s="11">
        <f t="shared" si="275"/>
        <v>0</v>
      </c>
      <c r="AB633" s="12"/>
      <c r="AC633" s="9"/>
      <c r="AD633" s="10"/>
      <c r="AE633" s="11">
        <f t="shared" si="276"/>
        <v>0</v>
      </c>
      <c r="AF633" s="11">
        <f t="shared" si="277"/>
        <v>0</v>
      </c>
    </row>
    <row r="634" spans="1:33" x14ac:dyDescent="0.15">
      <c r="A634" s="26" t="s">
        <v>376</v>
      </c>
      <c r="B634" s="8"/>
      <c r="C634" s="9"/>
      <c r="D634" s="10">
        <v>3</v>
      </c>
      <c r="E634" s="11">
        <f t="shared" si="272"/>
        <v>3</v>
      </c>
      <c r="F634" s="12"/>
      <c r="G634" s="9"/>
      <c r="H634" s="10"/>
      <c r="I634" s="11">
        <f t="shared" si="273"/>
        <v>0</v>
      </c>
      <c r="J634" s="11">
        <f t="shared" si="274"/>
        <v>3</v>
      </c>
      <c r="K634" s="71">
        <v>42482</v>
      </c>
      <c r="W634" s="26"/>
      <c r="X634" s="8"/>
      <c r="Y634" s="9"/>
      <c r="Z634" s="10"/>
      <c r="AA634" s="11">
        <f t="shared" si="275"/>
        <v>0</v>
      </c>
      <c r="AB634" s="12"/>
      <c r="AC634" s="9"/>
      <c r="AD634" s="10"/>
      <c r="AE634" s="11">
        <f t="shared" si="276"/>
        <v>0</v>
      </c>
      <c r="AF634" s="11">
        <f t="shared" si="277"/>
        <v>0</v>
      </c>
    </row>
    <row r="635" spans="1:33" x14ac:dyDescent="0.15">
      <c r="A635" s="27" t="s">
        <v>377</v>
      </c>
      <c r="B635" s="8"/>
      <c r="C635" s="9">
        <v>1</v>
      </c>
      <c r="D635" s="10"/>
      <c r="E635" s="11">
        <f t="shared" si="272"/>
        <v>1</v>
      </c>
      <c r="F635" s="12"/>
      <c r="G635" s="9"/>
      <c r="H635" s="10"/>
      <c r="I635" s="11">
        <f t="shared" si="273"/>
        <v>0</v>
      </c>
      <c r="J635" s="11">
        <f t="shared" si="274"/>
        <v>1</v>
      </c>
      <c r="K635" s="71">
        <v>42482</v>
      </c>
      <c r="W635" s="26"/>
      <c r="X635" s="8"/>
      <c r="Y635" s="9"/>
      <c r="Z635" s="10"/>
      <c r="AA635" s="11">
        <f t="shared" si="275"/>
        <v>0</v>
      </c>
      <c r="AB635" s="12"/>
      <c r="AC635" s="9"/>
      <c r="AD635" s="10"/>
      <c r="AE635" s="11">
        <f t="shared" si="276"/>
        <v>0</v>
      </c>
      <c r="AF635" s="11">
        <f t="shared" si="277"/>
        <v>0</v>
      </c>
    </row>
    <row r="636" spans="1:33" x14ac:dyDescent="0.15">
      <c r="A636" s="27" t="s">
        <v>378</v>
      </c>
      <c r="B636" s="8"/>
      <c r="C636" s="9"/>
      <c r="D636" s="10">
        <v>2</v>
      </c>
      <c r="E636" s="11">
        <f t="shared" si="272"/>
        <v>2</v>
      </c>
      <c r="F636" s="12">
        <v>2</v>
      </c>
      <c r="G636" s="9"/>
      <c r="H636" s="10"/>
      <c r="I636" s="11">
        <f t="shared" si="273"/>
        <v>2</v>
      </c>
      <c r="J636" s="11">
        <f t="shared" si="274"/>
        <v>4</v>
      </c>
      <c r="K636" s="65">
        <v>42488</v>
      </c>
      <c r="W636" s="27"/>
      <c r="X636" s="8"/>
      <c r="Y636" s="9"/>
      <c r="Z636" s="10"/>
      <c r="AA636" s="11">
        <f t="shared" si="275"/>
        <v>0</v>
      </c>
      <c r="AB636" s="12"/>
      <c r="AC636" s="9"/>
      <c r="AD636" s="10"/>
      <c r="AE636" s="11">
        <f t="shared" si="276"/>
        <v>0</v>
      </c>
      <c r="AF636" s="11">
        <f t="shared" si="277"/>
        <v>0</v>
      </c>
    </row>
    <row r="637" spans="1:33" x14ac:dyDescent="0.15">
      <c r="A637" s="29" t="s">
        <v>383</v>
      </c>
      <c r="B637" s="13"/>
      <c r="C637" s="14"/>
      <c r="D637" s="15"/>
      <c r="E637" s="11">
        <f t="shared" si="272"/>
        <v>0</v>
      </c>
      <c r="F637" s="16">
        <v>5</v>
      </c>
      <c r="G637" s="14"/>
      <c r="H637" s="15"/>
      <c r="I637" s="11">
        <f t="shared" si="273"/>
        <v>5</v>
      </c>
      <c r="J637" s="11">
        <f t="shared" si="274"/>
        <v>5</v>
      </c>
      <c r="K637" s="71">
        <v>42486</v>
      </c>
      <c r="W637" s="29"/>
      <c r="X637" s="13"/>
      <c r="Y637" s="14"/>
      <c r="Z637" s="15"/>
      <c r="AA637" s="11">
        <f t="shared" si="275"/>
        <v>0</v>
      </c>
      <c r="AB637" s="16"/>
      <c r="AC637" s="14"/>
      <c r="AD637" s="15"/>
      <c r="AE637" s="11">
        <f t="shared" si="276"/>
        <v>0</v>
      </c>
      <c r="AF637" s="11">
        <f t="shared" si="277"/>
        <v>0</v>
      </c>
    </row>
    <row r="638" spans="1:33" x14ac:dyDescent="0.15">
      <c r="A638" s="27" t="s">
        <v>67</v>
      </c>
      <c r="B638" s="8"/>
      <c r="C638" s="9"/>
      <c r="D638" s="10"/>
      <c r="E638" s="11">
        <f t="shared" si="272"/>
        <v>0</v>
      </c>
      <c r="F638" s="12">
        <v>1</v>
      </c>
      <c r="G638" s="9"/>
      <c r="H638" s="10"/>
      <c r="I638" s="11">
        <f t="shared" si="273"/>
        <v>1</v>
      </c>
      <c r="J638" s="11">
        <f t="shared" si="274"/>
        <v>1</v>
      </c>
      <c r="K638" s="71">
        <v>42492</v>
      </c>
      <c r="W638" s="6"/>
      <c r="X638" s="13"/>
      <c r="Y638" s="14"/>
      <c r="Z638" s="15"/>
      <c r="AA638" s="11">
        <f t="shared" si="275"/>
        <v>0</v>
      </c>
      <c r="AB638" s="16"/>
      <c r="AC638" s="14"/>
      <c r="AD638" s="15"/>
      <c r="AE638" s="11">
        <f t="shared" si="276"/>
        <v>0</v>
      </c>
      <c r="AF638" s="11">
        <f t="shared" si="277"/>
        <v>0</v>
      </c>
    </row>
    <row r="639" spans="1:33" x14ac:dyDescent="0.15">
      <c r="A639" s="29" t="s">
        <v>380</v>
      </c>
      <c r="B639" s="8">
        <v>2</v>
      </c>
      <c r="C639" s="9"/>
      <c r="D639" s="10"/>
      <c r="E639" s="11">
        <f t="shared" si="272"/>
        <v>2</v>
      </c>
      <c r="F639" s="12">
        <v>2</v>
      </c>
      <c r="G639" s="9"/>
      <c r="H639" s="10"/>
      <c r="I639" s="11">
        <f t="shared" si="273"/>
        <v>2</v>
      </c>
      <c r="J639" s="11">
        <f t="shared" si="274"/>
        <v>4</v>
      </c>
      <c r="K639" s="65">
        <v>42501</v>
      </c>
      <c r="L639" s="64"/>
      <c r="W639" s="27"/>
      <c r="X639" s="13"/>
      <c r="Y639" s="14"/>
      <c r="Z639" s="15"/>
      <c r="AA639" s="11">
        <f t="shared" si="275"/>
        <v>0</v>
      </c>
      <c r="AB639" s="16"/>
      <c r="AC639" s="14"/>
      <c r="AD639" s="15"/>
      <c r="AE639" s="11">
        <f t="shared" si="276"/>
        <v>0</v>
      </c>
      <c r="AF639" s="11">
        <f t="shared" si="277"/>
        <v>0</v>
      </c>
      <c r="AG639" s="64"/>
    </row>
    <row r="640" spans="1:33" x14ac:dyDescent="0.15">
      <c r="A640" s="29" t="s">
        <v>381</v>
      </c>
      <c r="B640" s="8"/>
      <c r="C640" s="9"/>
      <c r="D640" s="10"/>
      <c r="E640" s="11">
        <f t="shared" si="272"/>
        <v>0</v>
      </c>
      <c r="F640" s="12">
        <v>4</v>
      </c>
      <c r="G640" s="9"/>
      <c r="H640" s="10"/>
      <c r="I640" s="11">
        <f t="shared" si="273"/>
        <v>4</v>
      </c>
      <c r="J640" s="11">
        <f t="shared" si="274"/>
        <v>4</v>
      </c>
      <c r="K640" s="71">
        <v>42499</v>
      </c>
      <c r="W640" s="27"/>
      <c r="X640" s="13"/>
      <c r="Y640" s="14"/>
      <c r="Z640" s="15"/>
      <c r="AA640" s="11">
        <f t="shared" si="275"/>
        <v>0</v>
      </c>
      <c r="AB640" s="16"/>
      <c r="AC640" s="14"/>
      <c r="AD640" s="15"/>
      <c r="AE640" s="11">
        <f t="shared" si="276"/>
        <v>0</v>
      </c>
      <c r="AF640" s="11">
        <f t="shared" si="277"/>
        <v>0</v>
      </c>
    </row>
    <row r="641" spans="1:33" ht="14.25" thickBot="1" x14ac:dyDescent="0.2">
      <c r="A641" s="29" t="s">
        <v>382</v>
      </c>
      <c r="B641" s="8">
        <v>5</v>
      </c>
      <c r="C641" s="9"/>
      <c r="D641" s="10">
        <v>3</v>
      </c>
      <c r="E641" s="11">
        <f t="shared" si="272"/>
        <v>8</v>
      </c>
      <c r="F641" s="16">
        <v>8</v>
      </c>
      <c r="G641" s="14">
        <v>5</v>
      </c>
      <c r="H641" s="15"/>
      <c r="I641" s="11">
        <f t="shared" si="273"/>
        <v>13</v>
      </c>
      <c r="J641" s="11">
        <f t="shared" si="274"/>
        <v>21</v>
      </c>
      <c r="K641" s="71">
        <v>42503</v>
      </c>
      <c r="W641" s="27"/>
      <c r="X641" s="13"/>
      <c r="Y641" s="14"/>
      <c r="Z641" s="15"/>
      <c r="AA641" s="11">
        <f>SUM(X641:Z641)</f>
        <v>0</v>
      </c>
      <c r="AB641" s="16"/>
      <c r="AC641" s="14"/>
      <c r="AD641" s="15"/>
      <c r="AE641" s="11">
        <f>SUM(AB641:AD641)</f>
        <v>0</v>
      </c>
      <c r="AF641" s="11">
        <f>AA641+AE641</f>
        <v>0</v>
      </c>
      <c r="AG641" s="65"/>
    </row>
    <row r="642" spans="1:33" ht="14.25" thickBot="1" x14ac:dyDescent="0.2">
      <c r="A642" s="44" t="s">
        <v>13</v>
      </c>
      <c r="B642" s="48">
        <f t="shared" ref="B642:I642" si="278">SUM(B616:B641)</f>
        <v>25</v>
      </c>
      <c r="C642" s="49">
        <f t="shared" si="278"/>
        <v>39</v>
      </c>
      <c r="D642" s="50">
        <f t="shared" si="278"/>
        <v>35</v>
      </c>
      <c r="E642" s="46">
        <f t="shared" si="278"/>
        <v>99</v>
      </c>
      <c r="F642" s="48">
        <f t="shared" si="278"/>
        <v>37</v>
      </c>
      <c r="G642" s="49">
        <f t="shared" si="278"/>
        <v>23</v>
      </c>
      <c r="H642" s="50">
        <f t="shared" si="278"/>
        <v>5</v>
      </c>
      <c r="I642" s="46">
        <f t="shared" si="278"/>
        <v>65</v>
      </c>
      <c r="J642" s="35">
        <f>E642+I642</f>
        <v>164</v>
      </c>
      <c r="W642" s="44" t="s">
        <v>13</v>
      </c>
      <c r="X642" s="48">
        <f t="shared" ref="X642:AE642" si="279">SUM(X616:X641)</f>
        <v>160</v>
      </c>
      <c r="Y642" s="49">
        <f t="shared" si="279"/>
        <v>205</v>
      </c>
      <c r="Z642" s="50">
        <f t="shared" si="279"/>
        <v>190</v>
      </c>
      <c r="AA642" s="46">
        <f t="shared" si="279"/>
        <v>555</v>
      </c>
      <c r="AB642" s="48">
        <f t="shared" si="279"/>
        <v>60</v>
      </c>
      <c r="AC642" s="49">
        <f t="shared" si="279"/>
        <v>60</v>
      </c>
      <c r="AD642" s="50">
        <f t="shared" si="279"/>
        <v>40</v>
      </c>
      <c r="AE642" s="46">
        <f t="shared" si="279"/>
        <v>160</v>
      </c>
      <c r="AF642" s="35">
        <f>AA642+AE642</f>
        <v>715</v>
      </c>
    </row>
    <row r="643" spans="1:33" ht="14.25" thickBot="1" x14ac:dyDescent="0.2">
      <c r="A643" s="23" t="s">
        <v>14</v>
      </c>
      <c r="B643" s="24">
        <f t="shared" ref="B643:J643" si="280">B615-B642</f>
        <v>39</v>
      </c>
      <c r="C643" s="25">
        <f t="shared" si="280"/>
        <v>70</v>
      </c>
      <c r="D643" s="30">
        <f t="shared" si="280"/>
        <v>28</v>
      </c>
      <c r="E643" s="51">
        <f t="shared" si="280"/>
        <v>137</v>
      </c>
      <c r="F643" s="24">
        <f t="shared" si="280"/>
        <v>-1</v>
      </c>
      <c r="G643" s="25">
        <f t="shared" si="280"/>
        <v>69</v>
      </c>
      <c r="H643" s="30">
        <f t="shared" si="280"/>
        <v>53</v>
      </c>
      <c r="I643" s="47">
        <f t="shared" si="280"/>
        <v>121</v>
      </c>
      <c r="J643" s="79">
        <f t="shared" si="280"/>
        <v>258</v>
      </c>
      <c r="W643" s="23" t="s">
        <v>14</v>
      </c>
      <c r="X643" s="24">
        <f t="shared" ref="X643:AF643" si="281">X615-X642</f>
        <v>62</v>
      </c>
      <c r="Y643" s="25">
        <f t="shared" si="281"/>
        <v>0</v>
      </c>
      <c r="Z643" s="30">
        <f t="shared" si="281"/>
        <v>130</v>
      </c>
      <c r="AA643" s="51">
        <f t="shared" si="281"/>
        <v>192</v>
      </c>
      <c r="AB643" s="24">
        <f t="shared" si="281"/>
        <v>357</v>
      </c>
      <c r="AC643" s="25">
        <f t="shared" si="281"/>
        <v>301</v>
      </c>
      <c r="AD643" s="30">
        <f t="shared" si="281"/>
        <v>429</v>
      </c>
      <c r="AE643" s="47">
        <f t="shared" si="281"/>
        <v>1087</v>
      </c>
      <c r="AF643" s="79">
        <f t="shared" si="281"/>
        <v>1279</v>
      </c>
    </row>
    <row r="646" spans="1:33" ht="19.5" thickBot="1" x14ac:dyDescent="0.25">
      <c r="A646" s="2" t="s">
        <v>21</v>
      </c>
      <c r="B646" s="1"/>
      <c r="C646" s="1"/>
      <c r="D646" s="1"/>
      <c r="E646" s="1"/>
      <c r="F646" s="1"/>
      <c r="G646" s="1"/>
      <c r="H646" s="1"/>
      <c r="I646" s="1"/>
      <c r="J646" s="1"/>
      <c r="W646" s="93" t="s">
        <v>136</v>
      </c>
      <c r="X646" s="94"/>
      <c r="Y646" s="94"/>
      <c r="Z646" s="94"/>
      <c r="AA646" s="106" t="s">
        <v>299</v>
      </c>
      <c r="AB646" s="1"/>
      <c r="AC646" s="1"/>
      <c r="AD646" s="1"/>
      <c r="AE646" s="1"/>
      <c r="AF646" s="1"/>
    </row>
    <row r="647" spans="1:33" ht="14.25" thickBot="1" x14ac:dyDescent="0.2">
      <c r="A647" s="7" t="s">
        <v>0</v>
      </c>
      <c r="B647" s="168" t="s">
        <v>1</v>
      </c>
      <c r="C647" s="169"/>
      <c r="D647" s="169"/>
      <c r="E647" s="170"/>
      <c r="F647" s="168" t="s">
        <v>2</v>
      </c>
      <c r="G647" s="169"/>
      <c r="H647" s="169"/>
      <c r="I647" s="171"/>
      <c r="J647" s="172" t="s">
        <v>3</v>
      </c>
      <c r="W647" s="7" t="s">
        <v>0</v>
      </c>
      <c r="X647" s="174" t="s">
        <v>1</v>
      </c>
      <c r="Y647" s="175"/>
      <c r="Z647" s="176"/>
      <c r="AA647" s="101"/>
      <c r="AB647" s="174" t="s">
        <v>2</v>
      </c>
      <c r="AC647" s="175"/>
      <c r="AD647" s="176"/>
      <c r="AE647" s="102"/>
      <c r="AF647" s="103" t="s">
        <v>3</v>
      </c>
    </row>
    <row r="648" spans="1:33" ht="14.25" thickBot="1" x14ac:dyDescent="0.2">
      <c r="A648" s="7" t="s">
        <v>4</v>
      </c>
      <c r="B648" s="3" t="s">
        <v>5</v>
      </c>
      <c r="C648" s="4" t="s">
        <v>6</v>
      </c>
      <c r="D648" s="5" t="s">
        <v>7</v>
      </c>
      <c r="E648" s="7" t="s">
        <v>8</v>
      </c>
      <c r="F648" s="3" t="s">
        <v>5</v>
      </c>
      <c r="G648" s="4" t="s">
        <v>6</v>
      </c>
      <c r="H648" s="5" t="s">
        <v>7</v>
      </c>
      <c r="I648" s="7" t="s">
        <v>8</v>
      </c>
      <c r="J648" s="173"/>
      <c r="W648" s="7" t="s">
        <v>4</v>
      </c>
      <c r="X648" s="3" t="s">
        <v>5</v>
      </c>
      <c r="Y648" s="4" t="s">
        <v>6</v>
      </c>
      <c r="Z648" s="5" t="s">
        <v>7</v>
      </c>
      <c r="AA648" s="7" t="s">
        <v>8</v>
      </c>
      <c r="AB648" s="107" t="s">
        <v>5</v>
      </c>
      <c r="AC648" s="108" t="s">
        <v>6</v>
      </c>
      <c r="AD648" s="109" t="s">
        <v>7</v>
      </c>
      <c r="AE648" s="7" t="s">
        <v>8</v>
      </c>
      <c r="AF648" s="104"/>
    </row>
    <row r="649" spans="1:33" ht="14.25" thickBot="1" x14ac:dyDescent="0.2">
      <c r="A649" s="31" t="s">
        <v>14</v>
      </c>
      <c r="B649" s="32">
        <f>B643</f>
        <v>39</v>
      </c>
      <c r="C649" s="33">
        <f>C643</f>
        <v>70</v>
      </c>
      <c r="D649" s="34">
        <f>D643</f>
        <v>28</v>
      </c>
      <c r="E649" s="41">
        <f>SUM(B649:D649)</f>
        <v>137</v>
      </c>
      <c r="F649" s="32">
        <f>F643</f>
        <v>-1</v>
      </c>
      <c r="G649" s="33">
        <f>G643</f>
        <v>69</v>
      </c>
      <c r="H649" s="34">
        <f>H643</f>
        <v>53</v>
      </c>
      <c r="I649" s="41">
        <f>SUM(F649:H649)</f>
        <v>121</v>
      </c>
      <c r="J649" s="41">
        <f>E649+I649</f>
        <v>258</v>
      </c>
      <c r="W649" s="31" t="s">
        <v>14</v>
      </c>
      <c r="X649" s="32">
        <f>X643</f>
        <v>62</v>
      </c>
      <c r="Y649" s="33">
        <f>Y643</f>
        <v>0</v>
      </c>
      <c r="Z649" s="33">
        <f>Z643</f>
        <v>130</v>
      </c>
      <c r="AA649" s="111">
        <f>SUM(X649:Z649)</f>
        <v>192</v>
      </c>
      <c r="AB649" s="32">
        <f>AB643</f>
        <v>357</v>
      </c>
      <c r="AC649" s="33">
        <f>AC643</f>
        <v>301</v>
      </c>
      <c r="AD649" s="95">
        <f>AD643</f>
        <v>429</v>
      </c>
      <c r="AE649" s="46">
        <f>SUM(AB649:AD649)</f>
        <v>1087</v>
      </c>
      <c r="AF649" s="35">
        <f>AA649+AE649</f>
        <v>1279</v>
      </c>
    </row>
    <row r="650" spans="1:33" x14ac:dyDescent="0.15">
      <c r="A650" s="28" t="s">
        <v>104</v>
      </c>
      <c r="B650" s="17">
        <v>11</v>
      </c>
      <c r="C650" s="18">
        <v>11</v>
      </c>
      <c r="D650" s="19">
        <v>10</v>
      </c>
      <c r="E650" s="20">
        <f t="shared" ref="E650:E657" si="282">SUM(B650:D650)</f>
        <v>32</v>
      </c>
      <c r="F650" s="21">
        <v>6</v>
      </c>
      <c r="G650" s="18">
        <v>13</v>
      </c>
      <c r="H650" s="19"/>
      <c r="I650" s="20">
        <f t="shared" ref="I650:I657" si="283">SUM(F650:H650)</f>
        <v>19</v>
      </c>
      <c r="J650" s="20">
        <f t="shared" ref="J650:J657" si="284">E650+I650</f>
        <v>51</v>
      </c>
      <c r="K650" s="71">
        <v>42497</v>
      </c>
      <c r="W650" s="28" t="s">
        <v>9</v>
      </c>
      <c r="X650" s="8"/>
      <c r="Y650" s="9"/>
      <c r="Z650" s="10"/>
      <c r="AA650" s="78">
        <f t="shared" ref="AA650:AA657" si="285">SUM(X650:Z650)</f>
        <v>0</v>
      </c>
      <c r="AB650" s="21"/>
      <c r="AC650" s="18"/>
      <c r="AD650" s="19"/>
      <c r="AE650" s="78">
        <f t="shared" ref="AE650:AE657" si="286">SUM(AB650:AD650)</f>
        <v>0</v>
      </c>
      <c r="AF650" s="78">
        <f t="shared" ref="AF650:AF657" si="287">AA650+AE650</f>
        <v>0</v>
      </c>
    </row>
    <row r="651" spans="1:33" x14ac:dyDescent="0.15">
      <c r="A651" s="28" t="s">
        <v>10</v>
      </c>
      <c r="B651" s="8">
        <v>50</v>
      </c>
      <c r="C651" s="9">
        <v>50</v>
      </c>
      <c r="D651" s="10">
        <v>50</v>
      </c>
      <c r="E651" s="11">
        <f t="shared" si="282"/>
        <v>150</v>
      </c>
      <c r="F651" s="12">
        <v>50</v>
      </c>
      <c r="G651" s="9"/>
      <c r="H651" s="10"/>
      <c r="I651" s="11">
        <f t="shared" si="283"/>
        <v>50</v>
      </c>
      <c r="J651" s="11">
        <f t="shared" si="284"/>
        <v>200</v>
      </c>
      <c r="K651" s="65">
        <v>42502</v>
      </c>
      <c r="W651" s="28" t="s">
        <v>10</v>
      </c>
      <c r="X651" s="8">
        <v>200</v>
      </c>
      <c r="Y651" s="9">
        <v>300</v>
      </c>
      <c r="Z651" s="10">
        <v>145</v>
      </c>
      <c r="AA651" s="11">
        <f t="shared" si="285"/>
        <v>645</v>
      </c>
      <c r="AB651" s="12">
        <v>0</v>
      </c>
      <c r="AC651" s="9">
        <v>0</v>
      </c>
      <c r="AD651" s="10">
        <v>0</v>
      </c>
      <c r="AE651" s="11">
        <f t="shared" si="286"/>
        <v>0</v>
      </c>
      <c r="AF651" s="11">
        <f t="shared" si="287"/>
        <v>645</v>
      </c>
      <c r="AG651" s="65">
        <v>42491</v>
      </c>
    </row>
    <row r="652" spans="1:33" x14ac:dyDescent="0.15">
      <c r="A652" s="28" t="s">
        <v>11</v>
      </c>
      <c r="B652" s="8"/>
      <c r="C652" s="9">
        <v>50</v>
      </c>
      <c r="D652" s="10">
        <v>50</v>
      </c>
      <c r="E652" s="11">
        <f t="shared" si="282"/>
        <v>100</v>
      </c>
      <c r="F652" s="12"/>
      <c r="G652" s="9"/>
      <c r="H652" s="10"/>
      <c r="I652" s="11">
        <f t="shared" si="283"/>
        <v>0</v>
      </c>
      <c r="J652" s="11">
        <f t="shared" si="284"/>
        <v>100</v>
      </c>
      <c r="K652" s="65">
        <v>42516</v>
      </c>
      <c r="W652" s="28" t="s">
        <v>11</v>
      </c>
      <c r="X652" s="8"/>
      <c r="Y652" s="9"/>
      <c r="Z652" s="10"/>
      <c r="AA652" s="11">
        <f t="shared" si="285"/>
        <v>0</v>
      </c>
      <c r="AB652" s="12"/>
      <c r="AC652" s="9"/>
      <c r="AD652" s="10"/>
      <c r="AE652" s="11">
        <f t="shared" si="286"/>
        <v>0</v>
      </c>
      <c r="AF652" s="11">
        <f t="shared" si="287"/>
        <v>0</v>
      </c>
      <c r="AG652" s="65"/>
    </row>
    <row r="653" spans="1:33" x14ac:dyDescent="0.15">
      <c r="A653" s="28" t="s">
        <v>12</v>
      </c>
      <c r="B653" s="8">
        <v>50</v>
      </c>
      <c r="C653" s="9"/>
      <c r="D653" s="10"/>
      <c r="E653" s="11">
        <f t="shared" si="282"/>
        <v>50</v>
      </c>
      <c r="F653" s="12">
        <v>50</v>
      </c>
      <c r="G653" s="9"/>
      <c r="H653" s="10">
        <v>50</v>
      </c>
      <c r="I653" s="11">
        <f t="shared" si="283"/>
        <v>100</v>
      </c>
      <c r="J653" s="11">
        <f t="shared" si="284"/>
        <v>150</v>
      </c>
      <c r="K653" s="65">
        <v>42523</v>
      </c>
      <c r="W653" s="28" t="s">
        <v>12</v>
      </c>
      <c r="X653" s="8"/>
      <c r="Y653" s="9"/>
      <c r="Z653" s="10"/>
      <c r="AA653" s="11">
        <f t="shared" si="285"/>
        <v>0</v>
      </c>
      <c r="AB653" s="12"/>
      <c r="AC653" s="9"/>
      <c r="AD653" s="10"/>
      <c r="AE653" s="11">
        <f t="shared" si="286"/>
        <v>0</v>
      </c>
      <c r="AF653" s="11">
        <f t="shared" si="287"/>
        <v>0</v>
      </c>
    </row>
    <row r="654" spans="1:33" x14ac:dyDescent="0.15">
      <c r="A654" s="28" t="s">
        <v>15</v>
      </c>
      <c r="B654" s="8"/>
      <c r="C654" s="9">
        <v>50</v>
      </c>
      <c r="D654" s="10"/>
      <c r="E654" s="11">
        <f t="shared" si="282"/>
        <v>50</v>
      </c>
      <c r="F654" s="12"/>
      <c r="G654" s="9"/>
      <c r="H654" s="10"/>
      <c r="I654" s="11">
        <f t="shared" si="283"/>
        <v>0</v>
      </c>
      <c r="J654" s="11">
        <f t="shared" si="284"/>
        <v>50</v>
      </c>
      <c r="K654" s="65">
        <v>42522</v>
      </c>
      <c r="W654" s="28" t="s">
        <v>15</v>
      </c>
      <c r="X654" s="8"/>
      <c r="Y654" s="9"/>
      <c r="Z654" s="10"/>
      <c r="AA654" s="11">
        <f t="shared" si="285"/>
        <v>0</v>
      </c>
      <c r="AB654" s="12"/>
      <c r="AC654" s="9"/>
      <c r="AD654" s="10"/>
      <c r="AE654" s="11">
        <f t="shared" si="286"/>
        <v>0</v>
      </c>
      <c r="AF654" s="11">
        <f t="shared" si="287"/>
        <v>0</v>
      </c>
    </row>
    <row r="655" spans="1:33" x14ac:dyDescent="0.15">
      <c r="A655" s="28" t="s">
        <v>104</v>
      </c>
      <c r="B655" s="8"/>
      <c r="C655" s="9"/>
      <c r="D655" s="10"/>
      <c r="E655" s="11">
        <f t="shared" si="282"/>
        <v>0</v>
      </c>
      <c r="F655" s="12"/>
      <c r="G655" s="9"/>
      <c r="H655" s="10">
        <v>1</v>
      </c>
      <c r="I655" s="11">
        <f t="shared" si="283"/>
        <v>1</v>
      </c>
      <c r="J655" s="11">
        <f t="shared" si="284"/>
        <v>1</v>
      </c>
      <c r="K655" s="71">
        <v>42525</v>
      </c>
      <c r="W655" s="28" t="s">
        <v>16</v>
      </c>
      <c r="X655" s="8"/>
      <c r="Y655" s="9"/>
      <c r="Z655" s="10"/>
      <c r="AA655" s="11">
        <f t="shared" si="285"/>
        <v>0</v>
      </c>
      <c r="AB655" s="12"/>
      <c r="AC655" s="9"/>
      <c r="AD655" s="10"/>
      <c r="AE655" s="11">
        <f t="shared" si="286"/>
        <v>0</v>
      </c>
      <c r="AF655" s="11">
        <f t="shared" si="287"/>
        <v>0</v>
      </c>
    </row>
    <row r="656" spans="1:33" x14ac:dyDescent="0.15">
      <c r="A656" s="28" t="s">
        <v>17</v>
      </c>
      <c r="B656" s="13">
        <v>50</v>
      </c>
      <c r="C656" s="14"/>
      <c r="D656" s="15"/>
      <c r="E656" s="11">
        <f t="shared" si="282"/>
        <v>50</v>
      </c>
      <c r="F656" s="16"/>
      <c r="G656" s="14">
        <v>50</v>
      </c>
      <c r="H656" s="15"/>
      <c r="I656" s="11">
        <f t="shared" si="283"/>
        <v>50</v>
      </c>
      <c r="J656" s="11">
        <f t="shared" si="284"/>
        <v>100</v>
      </c>
      <c r="K656" s="65">
        <v>42529</v>
      </c>
      <c r="W656" s="28" t="s">
        <v>17</v>
      </c>
      <c r="X656" s="13"/>
      <c r="Y656" s="14"/>
      <c r="Z656" s="15"/>
      <c r="AA656" s="11">
        <f t="shared" si="285"/>
        <v>0</v>
      </c>
      <c r="AB656" s="16"/>
      <c r="AC656" s="14"/>
      <c r="AD656" s="15"/>
      <c r="AE656" s="11">
        <f t="shared" si="286"/>
        <v>0</v>
      </c>
      <c r="AF656" s="11">
        <f t="shared" si="287"/>
        <v>0</v>
      </c>
      <c r="AG656" s="57"/>
    </row>
    <row r="657" spans="1:33" ht="14.25" thickBot="1" x14ac:dyDescent="0.2">
      <c r="A657" s="28" t="s">
        <v>400</v>
      </c>
      <c r="B657" s="36"/>
      <c r="C657" s="37">
        <v>3</v>
      </c>
      <c r="D657" s="40"/>
      <c r="E657" s="22">
        <f t="shared" si="282"/>
        <v>3</v>
      </c>
      <c r="F657" s="38"/>
      <c r="G657" s="38"/>
      <c r="H657" s="43"/>
      <c r="I657" s="22">
        <f t="shared" si="283"/>
        <v>0</v>
      </c>
      <c r="J657" s="22">
        <f t="shared" si="284"/>
        <v>3</v>
      </c>
      <c r="K657" s="71">
        <v>42531</v>
      </c>
      <c r="W657" s="28" t="s">
        <v>18</v>
      </c>
      <c r="X657" s="36"/>
      <c r="Y657" s="37"/>
      <c r="Z657" s="40"/>
      <c r="AA657" s="22">
        <f t="shared" si="285"/>
        <v>0</v>
      </c>
      <c r="AB657" s="38"/>
      <c r="AC657" s="38"/>
      <c r="AD657" s="43"/>
      <c r="AE657" s="22">
        <f t="shared" si="286"/>
        <v>0</v>
      </c>
      <c r="AF657" s="22">
        <f t="shared" si="287"/>
        <v>0</v>
      </c>
    </row>
    <row r="658" spans="1:33" ht="14.25" thickBot="1" x14ac:dyDescent="0.2">
      <c r="A658" s="39" t="s">
        <v>20</v>
      </c>
      <c r="B658" s="32">
        <f t="shared" ref="B658:J658" si="288">SUM(B649:B657)</f>
        <v>200</v>
      </c>
      <c r="C658" s="33">
        <f t="shared" si="288"/>
        <v>234</v>
      </c>
      <c r="D658" s="34">
        <f t="shared" si="288"/>
        <v>138</v>
      </c>
      <c r="E658" s="42">
        <f t="shared" si="288"/>
        <v>572</v>
      </c>
      <c r="F658" s="32">
        <f t="shared" si="288"/>
        <v>105</v>
      </c>
      <c r="G658" s="33">
        <f t="shared" si="288"/>
        <v>132</v>
      </c>
      <c r="H658" s="34">
        <f t="shared" si="288"/>
        <v>104</v>
      </c>
      <c r="I658" s="42">
        <f t="shared" si="288"/>
        <v>341</v>
      </c>
      <c r="J658" s="42">
        <f t="shared" si="288"/>
        <v>913</v>
      </c>
      <c r="W658" s="39" t="s">
        <v>20</v>
      </c>
      <c r="X658" s="32">
        <f t="shared" ref="X658:AF658" si="289">SUM(X649:X657)</f>
        <v>262</v>
      </c>
      <c r="Y658" s="33">
        <f t="shared" si="289"/>
        <v>300</v>
      </c>
      <c r="Z658" s="34">
        <f t="shared" si="289"/>
        <v>275</v>
      </c>
      <c r="AA658" s="42">
        <f t="shared" si="289"/>
        <v>837</v>
      </c>
      <c r="AB658" s="32">
        <f t="shared" si="289"/>
        <v>357</v>
      </c>
      <c r="AC658" s="33">
        <f t="shared" si="289"/>
        <v>301</v>
      </c>
      <c r="AD658" s="34">
        <f t="shared" si="289"/>
        <v>429</v>
      </c>
      <c r="AE658" s="42">
        <f t="shared" si="289"/>
        <v>1087</v>
      </c>
      <c r="AF658" s="42">
        <f t="shared" si="289"/>
        <v>1924</v>
      </c>
    </row>
    <row r="659" spans="1:33" x14ac:dyDescent="0.15">
      <c r="A659" s="26" t="s">
        <v>354</v>
      </c>
      <c r="B659" s="13">
        <v>50</v>
      </c>
      <c r="C659" s="14">
        <v>90</v>
      </c>
      <c r="D659" s="15">
        <v>40</v>
      </c>
      <c r="E659" s="11">
        <f>SUM(B659:D659)</f>
        <v>180</v>
      </c>
      <c r="F659" s="16">
        <v>30</v>
      </c>
      <c r="G659" s="14">
        <v>35</v>
      </c>
      <c r="H659" s="15">
        <v>35</v>
      </c>
      <c r="I659" s="11">
        <f>SUM(F659:H659)</f>
        <v>100</v>
      </c>
      <c r="J659" s="11">
        <f>E659+I659</f>
        <v>280</v>
      </c>
      <c r="K659" s="65">
        <v>42507</v>
      </c>
      <c r="W659" s="29" t="s">
        <v>23</v>
      </c>
      <c r="X659" s="8">
        <v>50</v>
      </c>
      <c r="Y659" s="9">
        <v>50</v>
      </c>
      <c r="Z659" s="10">
        <v>50</v>
      </c>
      <c r="AA659" s="11">
        <f>SUM(X659:Z659)</f>
        <v>150</v>
      </c>
      <c r="AB659" s="12">
        <v>50</v>
      </c>
      <c r="AC659" s="9"/>
      <c r="AD659" s="10"/>
      <c r="AE659" s="11">
        <f>SUM(AB659:AD659)</f>
        <v>50</v>
      </c>
      <c r="AF659" s="11">
        <f>AA659+AE659</f>
        <v>200</v>
      </c>
      <c r="AG659" s="65">
        <v>42502</v>
      </c>
    </row>
    <row r="660" spans="1:33" x14ac:dyDescent="0.15">
      <c r="A660" s="29" t="s">
        <v>384</v>
      </c>
      <c r="B660" s="13">
        <v>1</v>
      </c>
      <c r="C660" s="14"/>
      <c r="D660" s="15"/>
      <c r="E660" s="11">
        <f t="shared" ref="E660:E684" si="290">SUM(B660:D660)</f>
        <v>1</v>
      </c>
      <c r="F660" s="16"/>
      <c r="G660" s="14"/>
      <c r="H660" s="15"/>
      <c r="I660" s="11">
        <f t="shared" ref="I660:I684" si="291">SUM(F660:H660)</f>
        <v>0</v>
      </c>
      <c r="J660" s="11">
        <f t="shared" ref="J660:J684" si="292">E660+I660</f>
        <v>1</v>
      </c>
      <c r="K660" s="71">
        <v>42502</v>
      </c>
      <c r="W660" s="29" t="s">
        <v>23</v>
      </c>
      <c r="X660" s="8"/>
      <c r="Y660" s="9">
        <v>50</v>
      </c>
      <c r="Z660" s="10">
        <v>50</v>
      </c>
      <c r="AA660" s="11">
        <f>SUM(X660:Z660)</f>
        <v>100</v>
      </c>
      <c r="AB660" s="12"/>
      <c r="AC660" s="9"/>
      <c r="AD660" s="10"/>
      <c r="AE660" s="11">
        <f>SUM(AB660:AD660)</f>
        <v>0</v>
      </c>
      <c r="AF660" s="11">
        <f>AA660+AE660</f>
        <v>100</v>
      </c>
      <c r="AG660" s="65">
        <v>42516</v>
      </c>
    </row>
    <row r="661" spans="1:33" x14ac:dyDescent="0.15">
      <c r="A661" s="29" t="s">
        <v>67</v>
      </c>
      <c r="B661" s="8">
        <v>3</v>
      </c>
      <c r="C661" s="9"/>
      <c r="D661" s="10"/>
      <c r="E661" s="11">
        <f t="shared" si="290"/>
        <v>3</v>
      </c>
      <c r="F661" s="12"/>
      <c r="G661" s="9"/>
      <c r="H661" s="10"/>
      <c r="I661" s="11">
        <f t="shared" si="291"/>
        <v>0</v>
      </c>
      <c r="J661" s="11">
        <f t="shared" si="292"/>
        <v>3</v>
      </c>
      <c r="K661" s="71">
        <v>42504</v>
      </c>
      <c r="W661" s="29" t="s">
        <v>23</v>
      </c>
      <c r="X661" s="8">
        <v>50</v>
      </c>
      <c r="Y661" s="9"/>
      <c r="Z661" s="10"/>
      <c r="AA661" s="11">
        <f t="shared" ref="AA661:AA681" si="293">SUM(X661:Z661)</f>
        <v>50</v>
      </c>
      <c r="AB661" s="12">
        <v>50</v>
      </c>
      <c r="AC661" s="9"/>
      <c r="AD661" s="10">
        <v>50</v>
      </c>
      <c r="AE661" s="11">
        <f t="shared" ref="AE661:AE681" si="294">SUM(AB661:AD661)</f>
        <v>100</v>
      </c>
      <c r="AF661" s="11">
        <f t="shared" ref="AF661:AF681" si="295">AA661+AE661</f>
        <v>150</v>
      </c>
      <c r="AG661" s="65">
        <v>42523</v>
      </c>
    </row>
    <row r="662" spans="1:33" x14ac:dyDescent="0.15">
      <c r="A662" s="29" t="s">
        <v>67</v>
      </c>
      <c r="B662" s="8">
        <v>1</v>
      </c>
      <c r="C662" s="9">
        <v>1</v>
      </c>
      <c r="D662" s="10">
        <v>4</v>
      </c>
      <c r="E662" s="11">
        <f>SUM(B662:D662)</f>
        <v>6</v>
      </c>
      <c r="F662" s="12">
        <v>3</v>
      </c>
      <c r="G662" s="9"/>
      <c r="H662" s="10"/>
      <c r="I662" s="11">
        <f t="shared" si="291"/>
        <v>3</v>
      </c>
      <c r="J662" s="11">
        <f t="shared" si="292"/>
        <v>9</v>
      </c>
      <c r="K662" s="71">
        <v>42506</v>
      </c>
      <c r="W662" s="29" t="s">
        <v>23</v>
      </c>
      <c r="X662" s="8"/>
      <c r="Y662" s="9">
        <v>50</v>
      </c>
      <c r="Z662" s="10"/>
      <c r="AA662" s="11">
        <f t="shared" si="293"/>
        <v>50</v>
      </c>
      <c r="AB662" s="12"/>
      <c r="AC662" s="9"/>
      <c r="AD662" s="10"/>
      <c r="AE662" s="11">
        <f t="shared" si="294"/>
        <v>0</v>
      </c>
      <c r="AF662" s="11">
        <f t="shared" si="295"/>
        <v>50</v>
      </c>
      <c r="AG662" s="65">
        <v>42522</v>
      </c>
    </row>
    <row r="663" spans="1:33" x14ac:dyDescent="0.15">
      <c r="A663" s="29" t="s">
        <v>67</v>
      </c>
      <c r="B663" s="8"/>
      <c r="C663" s="9"/>
      <c r="D663" s="10"/>
      <c r="E663" s="11">
        <f t="shared" si="290"/>
        <v>0</v>
      </c>
      <c r="F663" s="12">
        <v>2</v>
      </c>
      <c r="G663" s="9"/>
      <c r="H663" s="10"/>
      <c r="I663" s="11">
        <f t="shared" si="291"/>
        <v>2</v>
      </c>
      <c r="J663" s="11">
        <f t="shared" si="292"/>
        <v>2</v>
      </c>
      <c r="K663" s="71">
        <v>42509</v>
      </c>
      <c r="W663" s="29" t="s">
        <v>23</v>
      </c>
      <c r="X663" s="8">
        <v>50</v>
      </c>
      <c r="Y663" s="9"/>
      <c r="Z663" s="10"/>
      <c r="AA663" s="11">
        <f t="shared" si="293"/>
        <v>50</v>
      </c>
      <c r="AB663" s="12"/>
      <c r="AC663" s="9">
        <v>50</v>
      </c>
      <c r="AD663" s="10"/>
      <c r="AE663" s="11">
        <f t="shared" si="294"/>
        <v>50</v>
      </c>
      <c r="AF663" s="11">
        <f t="shared" si="295"/>
        <v>100</v>
      </c>
      <c r="AG663" s="65">
        <v>42529</v>
      </c>
    </row>
    <row r="664" spans="1:33" x14ac:dyDescent="0.15">
      <c r="A664" s="29" t="s">
        <v>67</v>
      </c>
      <c r="B664" s="8">
        <v>2</v>
      </c>
      <c r="C664" s="9"/>
      <c r="D664" s="10"/>
      <c r="E664" s="11">
        <f t="shared" si="290"/>
        <v>2</v>
      </c>
      <c r="F664" s="12"/>
      <c r="G664" s="9"/>
      <c r="H664" s="10"/>
      <c r="I664" s="11">
        <f t="shared" si="291"/>
        <v>0</v>
      </c>
      <c r="J664" s="11">
        <f t="shared" si="292"/>
        <v>2</v>
      </c>
      <c r="K664" s="71">
        <v>42511</v>
      </c>
      <c r="W664" s="27"/>
      <c r="X664" s="8"/>
      <c r="Y664" s="9"/>
      <c r="Z664" s="10"/>
      <c r="AA664" s="11">
        <f t="shared" si="293"/>
        <v>0</v>
      </c>
      <c r="AB664" s="12"/>
      <c r="AC664" s="9"/>
      <c r="AD664" s="10"/>
      <c r="AE664" s="11">
        <f t="shared" si="294"/>
        <v>0</v>
      </c>
      <c r="AF664" s="11">
        <f t="shared" si="295"/>
        <v>0</v>
      </c>
    </row>
    <row r="665" spans="1:33" x14ac:dyDescent="0.15">
      <c r="A665" s="29" t="s">
        <v>385</v>
      </c>
      <c r="B665" s="8">
        <v>3</v>
      </c>
      <c r="C665" s="9">
        <v>3</v>
      </c>
      <c r="D665" s="10">
        <v>24</v>
      </c>
      <c r="E665" s="11">
        <f t="shared" si="290"/>
        <v>30</v>
      </c>
      <c r="F665" s="12">
        <v>3</v>
      </c>
      <c r="G665" s="9">
        <v>3</v>
      </c>
      <c r="H665" s="10">
        <v>3</v>
      </c>
      <c r="I665" s="11">
        <f t="shared" si="291"/>
        <v>9</v>
      </c>
      <c r="J665" s="11">
        <f t="shared" si="292"/>
        <v>39</v>
      </c>
      <c r="K665" s="65">
        <v>42515</v>
      </c>
      <c r="W665" s="29"/>
      <c r="X665" s="8"/>
      <c r="Y665" s="9"/>
      <c r="Z665" s="10"/>
      <c r="AA665" s="11">
        <f t="shared" si="293"/>
        <v>0</v>
      </c>
      <c r="AB665" s="12"/>
      <c r="AC665" s="9"/>
      <c r="AD665" s="10"/>
      <c r="AE665" s="11">
        <f t="shared" si="294"/>
        <v>0</v>
      </c>
      <c r="AF665" s="11">
        <f t="shared" si="295"/>
        <v>0</v>
      </c>
    </row>
    <row r="666" spans="1:33" x14ac:dyDescent="0.15">
      <c r="A666" s="29" t="s">
        <v>385</v>
      </c>
      <c r="B666" s="8">
        <v>6</v>
      </c>
      <c r="C666" s="9">
        <v>30</v>
      </c>
      <c r="D666" s="10">
        <v>12</v>
      </c>
      <c r="E666" s="11">
        <f t="shared" si="290"/>
        <v>48</v>
      </c>
      <c r="F666" s="12">
        <v>6</v>
      </c>
      <c r="G666" s="9">
        <v>6</v>
      </c>
      <c r="H666" s="10">
        <v>6</v>
      </c>
      <c r="I666" s="11">
        <f t="shared" si="291"/>
        <v>18</v>
      </c>
      <c r="J666" s="11">
        <f t="shared" si="292"/>
        <v>66</v>
      </c>
      <c r="K666" s="65">
        <v>42517</v>
      </c>
      <c r="W666" s="29"/>
      <c r="X666" s="8"/>
      <c r="Y666" s="9"/>
      <c r="Z666" s="10"/>
      <c r="AA666" s="11">
        <f t="shared" si="293"/>
        <v>0</v>
      </c>
      <c r="AB666" s="12"/>
      <c r="AC666" s="9"/>
      <c r="AD666" s="10"/>
      <c r="AE666" s="11">
        <f t="shared" si="294"/>
        <v>0</v>
      </c>
      <c r="AF666" s="11">
        <f t="shared" si="295"/>
        <v>0</v>
      </c>
    </row>
    <row r="667" spans="1:33" x14ac:dyDescent="0.15">
      <c r="A667" s="29" t="s">
        <v>386</v>
      </c>
      <c r="B667" s="13">
        <v>1</v>
      </c>
      <c r="C667" s="14"/>
      <c r="D667" s="15"/>
      <c r="E667" s="11">
        <f t="shared" si="290"/>
        <v>1</v>
      </c>
      <c r="F667" s="16">
        <v>1</v>
      </c>
      <c r="G667" s="14"/>
      <c r="H667" s="15"/>
      <c r="I667" s="11">
        <f t="shared" si="291"/>
        <v>1</v>
      </c>
      <c r="J667" s="11">
        <f t="shared" si="292"/>
        <v>2</v>
      </c>
      <c r="K667" s="65">
        <v>42521</v>
      </c>
      <c r="W667" s="27"/>
      <c r="X667" s="8"/>
      <c r="Y667" s="9"/>
      <c r="Z667" s="10"/>
      <c r="AA667" s="11">
        <f t="shared" si="293"/>
        <v>0</v>
      </c>
      <c r="AB667" s="12"/>
      <c r="AC667" s="9"/>
      <c r="AD667" s="10"/>
      <c r="AE667" s="11">
        <f t="shared" si="294"/>
        <v>0</v>
      </c>
      <c r="AF667" s="11">
        <f t="shared" si="295"/>
        <v>0</v>
      </c>
    </row>
    <row r="668" spans="1:33" x14ac:dyDescent="0.15">
      <c r="A668" s="26" t="s">
        <v>354</v>
      </c>
      <c r="B668" s="13">
        <v>20</v>
      </c>
      <c r="C668" s="14">
        <v>30</v>
      </c>
      <c r="D668" s="15">
        <v>20</v>
      </c>
      <c r="E668" s="11">
        <f t="shared" si="290"/>
        <v>70</v>
      </c>
      <c r="F668" s="16">
        <v>20</v>
      </c>
      <c r="G668" s="14">
        <v>20</v>
      </c>
      <c r="H668" s="15">
        <v>10</v>
      </c>
      <c r="I668" s="11">
        <f t="shared" si="291"/>
        <v>50</v>
      </c>
      <c r="J668" s="11">
        <f t="shared" si="292"/>
        <v>120</v>
      </c>
      <c r="K668" s="65">
        <v>42528</v>
      </c>
      <c r="W668" s="29"/>
      <c r="X668" s="13"/>
      <c r="Y668" s="14"/>
      <c r="Z668" s="15"/>
      <c r="AA668" s="11">
        <f t="shared" si="293"/>
        <v>0</v>
      </c>
      <c r="AB668" s="16"/>
      <c r="AC668" s="14"/>
      <c r="AD668" s="15"/>
      <c r="AE668" s="11">
        <f t="shared" si="294"/>
        <v>0</v>
      </c>
      <c r="AF668" s="11">
        <f t="shared" si="295"/>
        <v>0</v>
      </c>
    </row>
    <row r="669" spans="1:33" x14ac:dyDescent="0.15">
      <c r="A669" s="29" t="s">
        <v>385</v>
      </c>
      <c r="B669" s="8"/>
      <c r="C669" s="9">
        <v>30</v>
      </c>
      <c r="D669" s="10">
        <v>24</v>
      </c>
      <c r="E669" s="11">
        <f t="shared" si="290"/>
        <v>54</v>
      </c>
      <c r="F669" s="12">
        <v>8</v>
      </c>
      <c r="G669" s="9"/>
      <c r="H669" s="10"/>
      <c r="I669" s="11">
        <f t="shared" si="291"/>
        <v>8</v>
      </c>
      <c r="J669" s="11">
        <f t="shared" si="292"/>
        <v>62</v>
      </c>
      <c r="K669" s="65">
        <v>42523</v>
      </c>
      <c r="W669" s="29"/>
      <c r="X669" s="8"/>
      <c r="Y669" s="9"/>
      <c r="Z669" s="10"/>
      <c r="AA669" s="11">
        <f t="shared" si="293"/>
        <v>0</v>
      </c>
      <c r="AB669" s="12"/>
      <c r="AC669" s="9"/>
      <c r="AD669" s="10"/>
      <c r="AE669" s="11">
        <f t="shared" si="294"/>
        <v>0</v>
      </c>
      <c r="AF669" s="11">
        <f t="shared" si="295"/>
        <v>0</v>
      </c>
    </row>
    <row r="670" spans="1:33" x14ac:dyDescent="0.15">
      <c r="A670" s="29" t="s">
        <v>388</v>
      </c>
      <c r="B670" s="8"/>
      <c r="C670" s="9"/>
      <c r="D670" s="10"/>
      <c r="E670" s="11">
        <f t="shared" si="290"/>
        <v>0</v>
      </c>
      <c r="F670" s="12"/>
      <c r="G670" s="9"/>
      <c r="H670" s="10">
        <v>2</v>
      </c>
      <c r="I670" s="11">
        <f t="shared" si="291"/>
        <v>2</v>
      </c>
      <c r="J670" s="11">
        <f t="shared" si="292"/>
        <v>2</v>
      </c>
      <c r="K670" s="71">
        <v>42520</v>
      </c>
      <c r="W670" s="29"/>
      <c r="X670" s="8"/>
      <c r="Y670" s="9"/>
      <c r="Z670" s="10"/>
      <c r="AA670" s="11">
        <f t="shared" si="293"/>
        <v>0</v>
      </c>
      <c r="AB670" s="12"/>
      <c r="AC670" s="9"/>
      <c r="AD670" s="10"/>
      <c r="AE670" s="11">
        <f t="shared" si="294"/>
        <v>0</v>
      </c>
      <c r="AF670" s="11">
        <f t="shared" si="295"/>
        <v>0</v>
      </c>
    </row>
    <row r="671" spans="1:33" x14ac:dyDescent="0.15">
      <c r="A671" s="29" t="s">
        <v>390</v>
      </c>
      <c r="B671" s="8">
        <v>2</v>
      </c>
      <c r="C671" s="9">
        <v>2</v>
      </c>
      <c r="D671" s="10"/>
      <c r="E671" s="11">
        <f t="shared" si="290"/>
        <v>4</v>
      </c>
      <c r="F671" s="12"/>
      <c r="G671" s="9"/>
      <c r="H671" s="10"/>
      <c r="I671" s="11">
        <f t="shared" si="291"/>
        <v>0</v>
      </c>
      <c r="J671" s="11">
        <f t="shared" si="292"/>
        <v>4</v>
      </c>
      <c r="K671" s="65">
        <v>42522</v>
      </c>
      <c r="W671" s="27"/>
      <c r="X671" s="8"/>
      <c r="Y671" s="9"/>
      <c r="Z671" s="10"/>
      <c r="AA671" s="11">
        <f t="shared" si="293"/>
        <v>0</v>
      </c>
      <c r="AB671" s="12"/>
      <c r="AC671" s="9"/>
      <c r="AD671" s="10"/>
      <c r="AE671" s="11">
        <f t="shared" si="294"/>
        <v>0</v>
      </c>
      <c r="AF671" s="11">
        <f t="shared" si="295"/>
        <v>0</v>
      </c>
    </row>
    <row r="672" spans="1:33" x14ac:dyDescent="0.15">
      <c r="A672" s="27" t="s">
        <v>389</v>
      </c>
      <c r="B672" s="8">
        <v>1</v>
      </c>
      <c r="C672" s="9"/>
      <c r="D672" s="10"/>
      <c r="E672" s="11">
        <f t="shared" si="290"/>
        <v>1</v>
      </c>
      <c r="F672" s="12">
        <v>1</v>
      </c>
      <c r="G672" s="9"/>
      <c r="H672" s="10"/>
      <c r="I672" s="11">
        <f t="shared" si="291"/>
        <v>1</v>
      </c>
      <c r="J672" s="11">
        <f t="shared" si="292"/>
        <v>2</v>
      </c>
      <c r="K672" s="71">
        <v>42521</v>
      </c>
      <c r="W672" s="29"/>
      <c r="X672" s="8"/>
      <c r="Y672" s="9"/>
      <c r="Z672" s="10"/>
      <c r="AA672" s="11">
        <f t="shared" si="293"/>
        <v>0</v>
      </c>
      <c r="AB672" s="12"/>
      <c r="AC672" s="9"/>
      <c r="AD672" s="10"/>
      <c r="AE672" s="11">
        <f t="shared" si="294"/>
        <v>0</v>
      </c>
      <c r="AF672" s="11">
        <f t="shared" si="295"/>
        <v>0</v>
      </c>
    </row>
    <row r="673" spans="1:33" x14ac:dyDescent="0.15">
      <c r="A673" s="29" t="s">
        <v>391</v>
      </c>
      <c r="B673" s="8"/>
      <c r="C673" s="9"/>
      <c r="D673" s="10"/>
      <c r="E673" s="11">
        <f t="shared" si="290"/>
        <v>0</v>
      </c>
      <c r="F673" s="12">
        <v>1</v>
      </c>
      <c r="G673" s="9">
        <v>1</v>
      </c>
      <c r="H673" s="10">
        <v>1</v>
      </c>
      <c r="I673" s="11">
        <f t="shared" si="291"/>
        <v>3</v>
      </c>
      <c r="J673" s="11">
        <f t="shared" si="292"/>
        <v>3</v>
      </c>
      <c r="K673" s="65">
        <v>42523</v>
      </c>
      <c r="W673" s="29"/>
      <c r="X673" s="8"/>
      <c r="Y673" s="9"/>
      <c r="Z673" s="10"/>
      <c r="AA673" s="11">
        <f t="shared" si="293"/>
        <v>0</v>
      </c>
      <c r="AB673" s="12"/>
      <c r="AC673" s="9"/>
      <c r="AD673" s="10"/>
      <c r="AE673" s="11">
        <f t="shared" si="294"/>
        <v>0</v>
      </c>
      <c r="AF673" s="11">
        <f t="shared" si="295"/>
        <v>0</v>
      </c>
    </row>
    <row r="674" spans="1:33" x14ac:dyDescent="0.15">
      <c r="A674" s="29" t="s">
        <v>392</v>
      </c>
      <c r="B674" s="8">
        <v>1</v>
      </c>
      <c r="C674" s="9">
        <v>2</v>
      </c>
      <c r="D674" s="10">
        <v>1</v>
      </c>
      <c r="E674" s="11">
        <f t="shared" si="290"/>
        <v>4</v>
      </c>
      <c r="F674" s="12"/>
      <c r="G674" s="9"/>
      <c r="H674" s="10"/>
      <c r="I674" s="11">
        <f t="shared" si="291"/>
        <v>0</v>
      </c>
      <c r="J674" s="11">
        <f t="shared" si="292"/>
        <v>4</v>
      </c>
      <c r="K674" s="65">
        <v>42524</v>
      </c>
      <c r="W674" s="27"/>
      <c r="X674" s="8"/>
      <c r="Y674" s="9"/>
      <c r="Z674" s="10"/>
      <c r="AA674" s="11">
        <f t="shared" si="293"/>
        <v>0</v>
      </c>
      <c r="AB674" s="12"/>
      <c r="AC674" s="9"/>
      <c r="AD674" s="10"/>
      <c r="AE674" s="11">
        <f t="shared" si="294"/>
        <v>0</v>
      </c>
      <c r="AF674" s="11">
        <f t="shared" si="295"/>
        <v>0</v>
      </c>
    </row>
    <row r="675" spans="1:33" x14ac:dyDescent="0.15">
      <c r="A675" s="29" t="s">
        <v>393</v>
      </c>
      <c r="B675" s="8">
        <v>13</v>
      </c>
      <c r="C675" s="9">
        <v>12</v>
      </c>
      <c r="D675" s="10"/>
      <c r="E675" s="11">
        <f t="shared" si="290"/>
        <v>25</v>
      </c>
      <c r="F675" s="12"/>
      <c r="G675" s="9"/>
      <c r="H675" s="10"/>
      <c r="I675" s="11">
        <f t="shared" si="291"/>
        <v>0</v>
      </c>
      <c r="J675" s="11">
        <f t="shared" si="292"/>
        <v>25</v>
      </c>
      <c r="K675" s="65">
        <v>42526</v>
      </c>
      <c r="W675" s="29"/>
      <c r="X675" s="8"/>
      <c r="Y675" s="9"/>
      <c r="Z675" s="10"/>
      <c r="AA675" s="11">
        <f t="shared" si="293"/>
        <v>0</v>
      </c>
      <c r="AB675" s="12"/>
      <c r="AC675" s="9"/>
      <c r="AD675" s="10"/>
      <c r="AE675" s="11">
        <f t="shared" si="294"/>
        <v>0</v>
      </c>
      <c r="AF675" s="11">
        <f t="shared" si="295"/>
        <v>0</v>
      </c>
    </row>
    <row r="676" spans="1:33" x14ac:dyDescent="0.15">
      <c r="A676" s="29" t="s">
        <v>396</v>
      </c>
      <c r="B676" s="8"/>
      <c r="C676" s="9">
        <v>1</v>
      </c>
      <c r="D676" s="10">
        <v>1</v>
      </c>
      <c r="E676" s="11">
        <f t="shared" si="290"/>
        <v>2</v>
      </c>
      <c r="F676" s="12"/>
      <c r="G676" s="9"/>
      <c r="H676" s="10">
        <v>1</v>
      </c>
      <c r="I676" s="11">
        <f t="shared" si="291"/>
        <v>1</v>
      </c>
      <c r="J676" s="11">
        <f t="shared" si="292"/>
        <v>3</v>
      </c>
      <c r="K676" s="65">
        <v>42528</v>
      </c>
      <c r="W676" s="27"/>
      <c r="X676" s="8"/>
      <c r="Y676" s="9"/>
      <c r="Z676" s="10"/>
      <c r="AA676" s="11">
        <f t="shared" si="293"/>
        <v>0</v>
      </c>
      <c r="AB676" s="12"/>
      <c r="AC676" s="9"/>
      <c r="AD676" s="10"/>
      <c r="AE676" s="11">
        <f t="shared" si="294"/>
        <v>0</v>
      </c>
      <c r="AF676" s="11">
        <f t="shared" si="295"/>
        <v>0</v>
      </c>
    </row>
    <row r="677" spans="1:33" x14ac:dyDescent="0.15">
      <c r="A677" s="29" t="s">
        <v>385</v>
      </c>
      <c r="B677" s="8">
        <v>30</v>
      </c>
      <c r="C677" s="9"/>
      <c r="D677" s="10"/>
      <c r="E677" s="11">
        <f t="shared" si="290"/>
        <v>30</v>
      </c>
      <c r="F677" s="12">
        <v>12</v>
      </c>
      <c r="G677" s="9"/>
      <c r="H677" s="10"/>
      <c r="I677" s="11">
        <f t="shared" si="291"/>
        <v>12</v>
      </c>
      <c r="J677" s="11">
        <f t="shared" si="292"/>
        <v>42</v>
      </c>
      <c r="K677" s="65">
        <v>42530</v>
      </c>
      <c r="W677" s="26"/>
      <c r="X677" s="8"/>
      <c r="Y677" s="9"/>
      <c r="Z677" s="10"/>
      <c r="AA677" s="11">
        <f t="shared" si="293"/>
        <v>0</v>
      </c>
      <c r="AB677" s="12"/>
      <c r="AC677" s="9"/>
      <c r="AD677" s="10"/>
      <c r="AE677" s="11">
        <f t="shared" si="294"/>
        <v>0</v>
      </c>
      <c r="AF677" s="11">
        <f t="shared" si="295"/>
        <v>0</v>
      </c>
    </row>
    <row r="678" spans="1:33" x14ac:dyDescent="0.15">
      <c r="A678" s="27" t="s">
        <v>394</v>
      </c>
      <c r="B678" s="8">
        <v>5</v>
      </c>
      <c r="C678" s="9"/>
      <c r="D678" s="10"/>
      <c r="E678" s="11">
        <f t="shared" si="290"/>
        <v>5</v>
      </c>
      <c r="F678" s="12"/>
      <c r="G678" s="9"/>
      <c r="H678" s="10"/>
      <c r="I678" s="11">
        <f t="shared" si="291"/>
        <v>0</v>
      </c>
      <c r="J678" s="11">
        <f t="shared" si="292"/>
        <v>5</v>
      </c>
      <c r="K678" s="133">
        <v>42528</v>
      </c>
      <c r="W678" s="113"/>
      <c r="X678" s="114"/>
      <c r="Y678" s="115"/>
      <c r="Z678" s="116"/>
      <c r="AA678" s="117">
        <f t="shared" si="293"/>
        <v>0</v>
      </c>
      <c r="AB678" s="118"/>
      <c r="AC678" s="115"/>
      <c r="AD678" s="116"/>
      <c r="AE678" s="117">
        <f t="shared" si="294"/>
        <v>0</v>
      </c>
      <c r="AF678" s="117">
        <f t="shared" si="295"/>
        <v>0</v>
      </c>
      <c r="AG678" s="105"/>
    </row>
    <row r="679" spans="1:33" x14ac:dyDescent="0.15">
      <c r="A679" s="27" t="s">
        <v>398</v>
      </c>
      <c r="B679" s="8"/>
      <c r="C679" s="9"/>
      <c r="D679" s="10"/>
      <c r="E679" s="11">
        <f t="shared" si="290"/>
        <v>0</v>
      </c>
      <c r="F679" s="12"/>
      <c r="G679" s="9"/>
      <c r="H679" s="10">
        <v>1</v>
      </c>
      <c r="I679" s="11">
        <f t="shared" si="291"/>
        <v>1</v>
      </c>
      <c r="J679" s="11">
        <f t="shared" si="292"/>
        <v>1</v>
      </c>
      <c r="K679" s="133">
        <v>42527</v>
      </c>
      <c r="W679" s="119"/>
      <c r="X679" s="120"/>
      <c r="Y679" s="121"/>
      <c r="Z679" s="122"/>
      <c r="AA679" s="117">
        <f t="shared" si="293"/>
        <v>0</v>
      </c>
      <c r="AB679" s="123"/>
      <c r="AC679" s="121"/>
      <c r="AD679" s="122"/>
      <c r="AE679" s="117">
        <f t="shared" si="294"/>
        <v>0</v>
      </c>
      <c r="AF679" s="117">
        <f t="shared" si="295"/>
        <v>0</v>
      </c>
      <c r="AG679" s="105"/>
    </row>
    <row r="680" spans="1:33" x14ac:dyDescent="0.15">
      <c r="A680" s="29" t="s">
        <v>395</v>
      </c>
      <c r="B680" s="13"/>
      <c r="C680" s="14"/>
      <c r="D680" s="15"/>
      <c r="E680" s="11">
        <f t="shared" si="290"/>
        <v>0</v>
      </c>
      <c r="F680" s="16"/>
      <c r="G680" s="14">
        <v>50</v>
      </c>
      <c r="H680" s="15"/>
      <c r="I680" s="11">
        <f t="shared" si="291"/>
        <v>50</v>
      </c>
      <c r="J680" s="11">
        <f t="shared" si="292"/>
        <v>50</v>
      </c>
      <c r="K680" s="65">
        <v>42534</v>
      </c>
      <c r="W680" s="119"/>
      <c r="X680" s="120"/>
      <c r="Y680" s="121"/>
      <c r="Z680" s="122"/>
      <c r="AA680" s="117">
        <f>SUM(X680:Z680)</f>
        <v>0</v>
      </c>
      <c r="AB680" s="123"/>
      <c r="AC680" s="121"/>
      <c r="AD680" s="122"/>
      <c r="AE680" s="117">
        <f>SUM(AB680:AD680)</f>
        <v>0</v>
      </c>
      <c r="AF680" s="117">
        <f>AA680+AE680</f>
        <v>0</v>
      </c>
      <c r="AG680" s="105"/>
    </row>
    <row r="681" spans="1:33" x14ac:dyDescent="0.15">
      <c r="A681" s="27" t="s">
        <v>397</v>
      </c>
      <c r="B681" s="8"/>
      <c r="C681" s="9"/>
      <c r="D681" s="10"/>
      <c r="E681" s="11">
        <f t="shared" si="290"/>
        <v>0</v>
      </c>
      <c r="F681" s="12"/>
      <c r="G681" s="9">
        <v>1</v>
      </c>
      <c r="H681" s="10"/>
      <c r="I681" s="11">
        <f t="shared" si="291"/>
        <v>1</v>
      </c>
      <c r="J681" s="11">
        <f t="shared" si="292"/>
        <v>1</v>
      </c>
      <c r="K681" s="65">
        <v>42530</v>
      </c>
      <c r="W681" s="124"/>
      <c r="X681" s="120"/>
      <c r="Y681" s="121"/>
      <c r="Z681" s="122"/>
      <c r="AA681" s="117">
        <f t="shared" si="293"/>
        <v>0</v>
      </c>
      <c r="AB681" s="123"/>
      <c r="AC681" s="121"/>
      <c r="AD681" s="122"/>
      <c r="AE681" s="117">
        <f t="shared" si="294"/>
        <v>0</v>
      </c>
      <c r="AF681" s="117">
        <f t="shared" si="295"/>
        <v>0</v>
      </c>
      <c r="AG681" s="105"/>
    </row>
    <row r="682" spans="1:33" x14ac:dyDescent="0.15">
      <c r="A682" s="29" t="s">
        <v>399</v>
      </c>
      <c r="B682" s="8"/>
      <c r="C682" s="9"/>
      <c r="D682" s="10"/>
      <c r="E682" s="11">
        <f t="shared" si="290"/>
        <v>0</v>
      </c>
      <c r="F682" s="12"/>
      <c r="G682" s="9"/>
      <c r="H682" s="10">
        <v>2</v>
      </c>
      <c r="I682" s="11">
        <f t="shared" si="291"/>
        <v>2</v>
      </c>
      <c r="J682" s="11">
        <f t="shared" si="292"/>
        <v>2</v>
      </c>
      <c r="K682" s="133">
        <v>42530</v>
      </c>
      <c r="W682" s="119"/>
      <c r="X682" s="120"/>
      <c r="Y682" s="121"/>
      <c r="Z682" s="122"/>
      <c r="AA682" s="117">
        <f>SUM(X682:Z682)</f>
        <v>0</v>
      </c>
      <c r="AB682" s="123"/>
      <c r="AC682" s="121"/>
      <c r="AD682" s="122"/>
      <c r="AE682" s="117">
        <f>SUM(AB682:AD682)</f>
        <v>0</v>
      </c>
      <c r="AF682" s="117">
        <f>AA682+AE682</f>
        <v>0</v>
      </c>
      <c r="AG682" s="105"/>
    </row>
    <row r="683" spans="1:33" x14ac:dyDescent="0.15">
      <c r="A683" s="29" t="s">
        <v>67</v>
      </c>
      <c r="B683" s="8">
        <v>4</v>
      </c>
      <c r="C683" s="9"/>
      <c r="D683" s="10"/>
      <c r="E683" s="11">
        <f t="shared" si="290"/>
        <v>4</v>
      </c>
      <c r="F683" s="12"/>
      <c r="G683" s="9"/>
      <c r="H683" s="10"/>
      <c r="I683" s="11">
        <f t="shared" si="291"/>
        <v>0</v>
      </c>
      <c r="J683" s="11">
        <f t="shared" si="292"/>
        <v>4</v>
      </c>
      <c r="K683" s="71">
        <v>42530</v>
      </c>
      <c r="W683" s="27"/>
      <c r="X683" s="13"/>
      <c r="Y683" s="14"/>
      <c r="Z683" s="15"/>
      <c r="AA683" s="11">
        <f>SUM(X683:Z683)</f>
        <v>0</v>
      </c>
      <c r="AB683" s="16"/>
      <c r="AC683" s="14"/>
      <c r="AD683" s="15"/>
      <c r="AE683" s="11">
        <f>SUM(AB683:AD683)</f>
        <v>0</v>
      </c>
      <c r="AF683" s="11">
        <f>AA683+AE683</f>
        <v>0</v>
      </c>
      <c r="AG683" s="65"/>
    </row>
    <row r="684" spans="1:33" ht="14.25" thickBot="1" x14ac:dyDescent="0.2">
      <c r="A684" s="27" t="s">
        <v>386</v>
      </c>
      <c r="B684" s="8"/>
      <c r="C684" s="9"/>
      <c r="D684" s="10"/>
      <c r="E684" s="11">
        <f t="shared" si="290"/>
        <v>0</v>
      </c>
      <c r="F684" s="16">
        <v>3</v>
      </c>
      <c r="G684" s="14">
        <v>2</v>
      </c>
      <c r="H684" s="15"/>
      <c r="I684" s="11">
        <f t="shared" si="291"/>
        <v>5</v>
      </c>
      <c r="J684" s="11">
        <f t="shared" si="292"/>
        <v>5</v>
      </c>
      <c r="K684" s="65">
        <v>42532</v>
      </c>
      <c r="W684" s="27"/>
      <c r="X684" s="13"/>
      <c r="Y684" s="14"/>
      <c r="Z684" s="15"/>
      <c r="AA684" s="11">
        <f>SUM(X684:Z684)</f>
        <v>0</v>
      </c>
      <c r="AB684" s="16"/>
      <c r="AC684" s="14"/>
      <c r="AD684" s="15"/>
      <c r="AE684" s="11">
        <f>SUM(AB684:AD684)</f>
        <v>0</v>
      </c>
      <c r="AF684" s="11">
        <f>AA684+AE684</f>
        <v>0</v>
      </c>
      <c r="AG684" s="126"/>
    </row>
    <row r="685" spans="1:33" ht="14.25" thickBot="1" x14ac:dyDescent="0.2">
      <c r="A685" s="44" t="s">
        <v>13</v>
      </c>
      <c r="B685" s="48">
        <f t="shared" ref="B685:I685" si="296">SUM(B659:B684)</f>
        <v>143</v>
      </c>
      <c r="C685" s="49">
        <f t="shared" si="296"/>
        <v>201</v>
      </c>
      <c r="D685" s="50">
        <f t="shared" si="296"/>
        <v>126</v>
      </c>
      <c r="E685" s="46">
        <f t="shared" si="296"/>
        <v>470</v>
      </c>
      <c r="F685" s="48">
        <f t="shared" si="296"/>
        <v>90</v>
      </c>
      <c r="G685" s="49">
        <f t="shared" si="296"/>
        <v>118</v>
      </c>
      <c r="H685" s="50">
        <f t="shared" si="296"/>
        <v>61</v>
      </c>
      <c r="I685" s="46">
        <f t="shared" si="296"/>
        <v>269</v>
      </c>
      <c r="J685" s="35">
        <f>E685+I685</f>
        <v>739</v>
      </c>
      <c r="W685" s="44" t="s">
        <v>13</v>
      </c>
      <c r="X685" s="48">
        <f t="shared" ref="X685:AE685" si="297">SUM(X659:X684)</f>
        <v>150</v>
      </c>
      <c r="Y685" s="49">
        <f t="shared" si="297"/>
        <v>150</v>
      </c>
      <c r="Z685" s="50">
        <f t="shared" si="297"/>
        <v>100</v>
      </c>
      <c r="AA685" s="46">
        <f t="shared" si="297"/>
        <v>400</v>
      </c>
      <c r="AB685" s="48">
        <f t="shared" si="297"/>
        <v>100</v>
      </c>
      <c r="AC685" s="49">
        <f t="shared" si="297"/>
        <v>50</v>
      </c>
      <c r="AD685" s="50">
        <f t="shared" si="297"/>
        <v>50</v>
      </c>
      <c r="AE685" s="46">
        <f t="shared" si="297"/>
        <v>200</v>
      </c>
      <c r="AF685" s="35">
        <f>AA685+AE685</f>
        <v>600</v>
      </c>
    </row>
    <row r="686" spans="1:33" ht="14.25" thickBot="1" x14ac:dyDescent="0.2">
      <c r="A686" s="23" t="s">
        <v>14</v>
      </c>
      <c r="B686" s="24">
        <f t="shared" ref="B686:J686" si="298">B658-B685</f>
        <v>57</v>
      </c>
      <c r="C686" s="25">
        <f>C658-C685</f>
        <v>33</v>
      </c>
      <c r="D686" s="30">
        <f t="shared" si="298"/>
        <v>12</v>
      </c>
      <c r="E686" s="51">
        <f t="shared" si="298"/>
        <v>102</v>
      </c>
      <c r="F686" s="24">
        <f t="shared" si="298"/>
        <v>15</v>
      </c>
      <c r="G686" s="25">
        <f t="shared" si="298"/>
        <v>14</v>
      </c>
      <c r="H686" s="30">
        <f t="shared" si="298"/>
        <v>43</v>
      </c>
      <c r="I686" s="47">
        <f t="shared" si="298"/>
        <v>72</v>
      </c>
      <c r="J686" s="79">
        <f t="shared" si="298"/>
        <v>174</v>
      </c>
      <c r="W686" s="23" t="s">
        <v>14</v>
      </c>
      <c r="X686" s="24">
        <f t="shared" ref="X686:AF686" si="299">X658-X685</f>
        <v>112</v>
      </c>
      <c r="Y686" s="25">
        <f t="shared" si="299"/>
        <v>150</v>
      </c>
      <c r="Z686" s="30">
        <f t="shared" si="299"/>
        <v>175</v>
      </c>
      <c r="AA686" s="51">
        <f t="shared" si="299"/>
        <v>437</v>
      </c>
      <c r="AB686" s="24">
        <f t="shared" si="299"/>
        <v>257</v>
      </c>
      <c r="AC686" s="25">
        <f t="shared" si="299"/>
        <v>251</v>
      </c>
      <c r="AD686" s="30">
        <f t="shared" si="299"/>
        <v>379</v>
      </c>
      <c r="AE686" s="47">
        <f t="shared" si="299"/>
        <v>887</v>
      </c>
      <c r="AF686" s="79">
        <f t="shared" si="299"/>
        <v>1324</v>
      </c>
    </row>
    <row r="689" spans="1:33" ht="19.5" thickBot="1" x14ac:dyDescent="0.25">
      <c r="A689" s="2" t="s">
        <v>21</v>
      </c>
      <c r="B689" s="1"/>
      <c r="C689" s="1"/>
      <c r="D689" s="1"/>
      <c r="E689" s="1"/>
      <c r="F689" s="1"/>
      <c r="G689" s="1"/>
      <c r="H689" s="1"/>
      <c r="I689" s="1"/>
      <c r="J689" s="1"/>
      <c r="W689" s="93" t="s">
        <v>136</v>
      </c>
      <c r="X689" s="94"/>
      <c r="Y689" s="94"/>
      <c r="Z689" s="94"/>
      <c r="AA689" s="106" t="s">
        <v>299</v>
      </c>
      <c r="AB689" s="1"/>
      <c r="AC689" s="1"/>
      <c r="AD689" s="1"/>
      <c r="AE689" s="1"/>
      <c r="AF689" s="1"/>
    </row>
    <row r="690" spans="1:33" ht="14.25" thickBot="1" x14ac:dyDescent="0.2">
      <c r="A690" s="7" t="s">
        <v>0</v>
      </c>
      <c r="B690" s="168" t="s">
        <v>1</v>
      </c>
      <c r="C690" s="169"/>
      <c r="D690" s="169"/>
      <c r="E690" s="170"/>
      <c r="F690" s="168" t="s">
        <v>2</v>
      </c>
      <c r="G690" s="169"/>
      <c r="H690" s="169"/>
      <c r="I690" s="171"/>
      <c r="J690" s="172" t="s">
        <v>3</v>
      </c>
      <c r="W690" s="7" t="s">
        <v>0</v>
      </c>
      <c r="X690" s="174" t="s">
        <v>1</v>
      </c>
      <c r="Y690" s="175"/>
      <c r="Z690" s="176"/>
      <c r="AA690" s="101"/>
      <c r="AB690" s="174" t="s">
        <v>2</v>
      </c>
      <c r="AC690" s="175"/>
      <c r="AD690" s="176"/>
      <c r="AE690" s="102"/>
      <c r="AF690" s="103" t="s">
        <v>3</v>
      </c>
    </row>
    <row r="691" spans="1:33" ht="14.25" thickBot="1" x14ac:dyDescent="0.2">
      <c r="A691" s="7" t="s">
        <v>4</v>
      </c>
      <c r="B691" s="3" t="s">
        <v>5</v>
      </c>
      <c r="C691" s="4" t="s">
        <v>6</v>
      </c>
      <c r="D691" s="5" t="s">
        <v>7</v>
      </c>
      <c r="E691" s="7" t="s">
        <v>8</v>
      </c>
      <c r="F691" s="3" t="s">
        <v>5</v>
      </c>
      <c r="G691" s="4" t="s">
        <v>6</v>
      </c>
      <c r="H691" s="5" t="s">
        <v>7</v>
      </c>
      <c r="I691" s="7" t="s">
        <v>8</v>
      </c>
      <c r="J691" s="173"/>
      <c r="W691" s="7" t="s">
        <v>4</v>
      </c>
      <c r="X691" s="3" t="s">
        <v>5</v>
      </c>
      <c r="Y691" s="4" t="s">
        <v>6</v>
      </c>
      <c r="Z691" s="5" t="s">
        <v>7</v>
      </c>
      <c r="AA691" s="7" t="s">
        <v>8</v>
      </c>
      <c r="AB691" s="107" t="s">
        <v>5</v>
      </c>
      <c r="AC691" s="108" t="s">
        <v>6</v>
      </c>
      <c r="AD691" s="109" t="s">
        <v>7</v>
      </c>
      <c r="AE691" s="7" t="s">
        <v>8</v>
      </c>
      <c r="AF691" s="104"/>
    </row>
    <row r="692" spans="1:33" ht="14.25" thickBot="1" x14ac:dyDescent="0.2">
      <c r="A692" s="31" t="s">
        <v>14</v>
      </c>
      <c r="B692" s="32">
        <f>B686</f>
        <v>57</v>
      </c>
      <c r="C692" s="33">
        <f>C686</f>
        <v>33</v>
      </c>
      <c r="D692" s="34">
        <f>D686</f>
        <v>12</v>
      </c>
      <c r="E692" s="41">
        <f>SUM(B692:D692)</f>
        <v>102</v>
      </c>
      <c r="F692" s="32">
        <f>F686</f>
        <v>15</v>
      </c>
      <c r="G692" s="33">
        <f>G686</f>
        <v>14</v>
      </c>
      <c r="H692" s="34">
        <f>H686</f>
        <v>43</v>
      </c>
      <c r="I692" s="41">
        <f>SUM(F692:H692)</f>
        <v>72</v>
      </c>
      <c r="J692" s="41">
        <f>E692+I692</f>
        <v>174</v>
      </c>
      <c r="W692" s="31" t="s">
        <v>14</v>
      </c>
      <c r="X692" s="32">
        <f>X686</f>
        <v>112</v>
      </c>
      <c r="Y692" s="33">
        <f>Y686</f>
        <v>150</v>
      </c>
      <c r="Z692" s="33">
        <f>Z686</f>
        <v>175</v>
      </c>
      <c r="AA692" s="111">
        <f>SUM(X692:Z692)</f>
        <v>437</v>
      </c>
      <c r="AB692" s="32">
        <f>AB686</f>
        <v>257</v>
      </c>
      <c r="AC692" s="33">
        <f>AC686</f>
        <v>251</v>
      </c>
      <c r="AD692" s="95">
        <f>AD686</f>
        <v>379</v>
      </c>
      <c r="AE692" s="46">
        <f>SUM(AB692:AD692)</f>
        <v>887</v>
      </c>
      <c r="AF692" s="35">
        <f>AA692+AE692</f>
        <v>1324</v>
      </c>
    </row>
    <row r="693" spans="1:33" x14ac:dyDescent="0.15">
      <c r="A693" s="28" t="s">
        <v>9</v>
      </c>
      <c r="B693" s="17">
        <v>50</v>
      </c>
      <c r="C693" s="18">
        <v>100</v>
      </c>
      <c r="D693" s="19">
        <v>100</v>
      </c>
      <c r="E693" s="20">
        <f t="shared" ref="E693:E700" si="300">SUM(B693:D693)</f>
        <v>250</v>
      </c>
      <c r="F693" s="21">
        <v>50</v>
      </c>
      <c r="G693" s="18">
        <v>100</v>
      </c>
      <c r="H693" s="19">
        <v>50</v>
      </c>
      <c r="I693" s="20">
        <f t="shared" ref="I693:I700" si="301">SUM(F693:H693)</f>
        <v>200</v>
      </c>
      <c r="J693" s="20">
        <f t="shared" ref="J693:J700" si="302">E693+I693</f>
        <v>450</v>
      </c>
      <c r="K693" s="65">
        <v>42538</v>
      </c>
      <c r="W693" s="28" t="s">
        <v>9</v>
      </c>
      <c r="X693" s="8"/>
      <c r="Y693" s="9"/>
      <c r="Z693" s="10"/>
      <c r="AA693" s="78">
        <f t="shared" ref="AA693:AA700" si="303">SUM(X693:Z693)</f>
        <v>0</v>
      </c>
      <c r="AB693" s="21"/>
      <c r="AC693" s="18"/>
      <c r="AD693" s="19"/>
      <c r="AE693" s="78">
        <f t="shared" ref="AE693:AE700" si="304">SUM(AB693:AD693)</f>
        <v>0</v>
      </c>
      <c r="AF693" s="78">
        <f t="shared" ref="AF693:AF700" si="305">AA693+AE693</f>
        <v>0</v>
      </c>
    </row>
    <row r="694" spans="1:33" x14ac:dyDescent="0.15">
      <c r="A694" s="28" t="s">
        <v>10</v>
      </c>
      <c r="B694" s="8"/>
      <c r="C694" s="9">
        <v>50</v>
      </c>
      <c r="D694" s="10"/>
      <c r="E694" s="11">
        <f t="shared" si="300"/>
        <v>50</v>
      </c>
      <c r="F694" s="12"/>
      <c r="G694" s="9"/>
      <c r="H694" s="10"/>
      <c r="I694" s="11">
        <f t="shared" si="301"/>
        <v>0</v>
      </c>
      <c r="J694" s="11">
        <f t="shared" si="302"/>
        <v>50</v>
      </c>
      <c r="K694" s="65">
        <v>42542</v>
      </c>
      <c r="W694" s="28" t="s">
        <v>10</v>
      </c>
      <c r="X694" s="8"/>
      <c r="Y694" s="9"/>
      <c r="Z694" s="10"/>
      <c r="AA694" s="11">
        <f t="shared" si="303"/>
        <v>0</v>
      </c>
      <c r="AB694" s="12"/>
      <c r="AC694" s="9"/>
      <c r="AD694" s="10"/>
      <c r="AE694" s="11">
        <f t="shared" si="304"/>
        <v>0</v>
      </c>
      <c r="AF694" s="11">
        <f t="shared" si="305"/>
        <v>0</v>
      </c>
      <c r="AG694" s="65"/>
    </row>
    <row r="695" spans="1:33" x14ac:dyDescent="0.15">
      <c r="A695" s="28" t="s">
        <v>416</v>
      </c>
      <c r="B695" s="8">
        <v>1</v>
      </c>
      <c r="C695" s="9"/>
      <c r="D695" s="10"/>
      <c r="E695" s="11">
        <f t="shared" si="300"/>
        <v>1</v>
      </c>
      <c r="F695" s="12"/>
      <c r="G695" s="9">
        <v>1</v>
      </c>
      <c r="H695" s="10"/>
      <c r="I695" s="11">
        <f t="shared" si="301"/>
        <v>1</v>
      </c>
      <c r="J695" s="11">
        <f t="shared" si="302"/>
        <v>2</v>
      </c>
      <c r="K695" s="71">
        <v>42545</v>
      </c>
      <c r="W695" s="28" t="s">
        <v>11</v>
      </c>
      <c r="X695" s="8"/>
      <c r="Y695" s="9"/>
      <c r="Z695" s="10"/>
      <c r="AA695" s="11">
        <f t="shared" si="303"/>
        <v>0</v>
      </c>
      <c r="AB695" s="12"/>
      <c r="AC695" s="9"/>
      <c r="AD695" s="10"/>
      <c r="AE695" s="11">
        <f t="shared" si="304"/>
        <v>0</v>
      </c>
      <c r="AF695" s="11">
        <f t="shared" si="305"/>
        <v>0</v>
      </c>
      <c r="AG695" s="65"/>
    </row>
    <row r="696" spans="1:33" x14ac:dyDescent="0.15">
      <c r="A696" s="28" t="s">
        <v>418</v>
      </c>
      <c r="B696" s="8">
        <v>21</v>
      </c>
      <c r="C696" s="9">
        <v>17</v>
      </c>
      <c r="D696" s="10">
        <v>14</v>
      </c>
      <c r="E696" s="11">
        <f t="shared" si="300"/>
        <v>52</v>
      </c>
      <c r="F696" s="12">
        <v>13</v>
      </c>
      <c r="G696" s="9">
        <v>6</v>
      </c>
      <c r="H696" s="10">
        <v>4</v>
      </c>
      <c r="I696" s="11">
        <f t="shared" si="301"/>
        <v>23</v>
      </c>
      <c r="J696" s="11">
        <f t="shared" si="302"/>
        <v>75</v>
      </c>
      <c r="K696" s="71">
        <v>42546</v>
      </c>
      <c r="W696" s="28" t="s">
        <v>12</v>
      </c>
      <c r="X696" s="8"/>
      <c r="Y696" s="9"/>
      <c r="Z696" s="10"/>
      <c r="AA696" s="11">
        <f t="shared" si="303"/>
        <v>0</v>
      </c>
      <c r="AB696" s="12"/>
      <c r="AC696" s="9"/>
      <c r="AD696" s="10"/>
      <c r="AE696" s="11">
        <f t="shared" si="304"/>
        <v>0</v>
      </c>
      <c r="AF696" s="11">
        <f t="shared" si="305"/>
        <v>0</v>
      </c>
      <c r="AG696" s="65"/>
    </row>
    <row r="697" spans="1:33" x14ac:dyDescent="0.15">
      <c r="A697" s="28" t="s">
        <v>15</v>
      </c>
      <c r="B697" s="8"/>
      <c r="C697" s="9"/>
      <c r="D697" s="10"/>
      <c r="E697" s="11">
        <f t="shared" si="300"/>
        <v>0</v>
      </c>
      <c r="F697" s="12"/>
      <c r="G697" s="9"/>
      <c r="H697" s="10"/>
      <c r="I697" s="11">
        <f t="shared" si="301"/>
        <v>0</v>
      </c>
      <c r="J697" s="11">
        <f t="shared" si="302"/>
        <v>0</v>
      </c>
      <c r="K697" s="65"/>
      <c r="W697" s="28" t="s">
        <v>15</v>
      </c>
      <c r="X697" s="8"/>
      <c r="Y697" s="9"/>
      <c r="Z697" s="10"/>
      <c r="AA697" s="11">
        <f t="shared" si="303"/>
        <v>0</v>
      </c>
      <c r="AB697" s="12"/>
      <c r="AC697" s="9"/>
      <c r="AD697" s="10"/>
      <c r="AE697" s="11">
        <f t="shared" si="304"/>
        <v>0</v>
      </c>
      <c r="AF697" s="11">
        <f t="shared" si="305"/>
        <v>0</v>
      </c>
      <c r="AG697" s="64"/>
    </row>
    <row r="698" spans="1:33" x14ac:dyDescent="0.15">
      <c r="A698" s="28" t="s">
        <v>16</v>
      </c>
      <c r="B698" s="8"/>
      <c r="C698" s="9"/>
      <c r="D698" s="10"/>
      <c r="E698" s="11">
        <f t="shared" si="300"/>
        <v>0</v>
      </c>
      <c r="F698" s="12"/>
      <c r="G698" s="9"/>
      <c r="H698" s="10"/>
      <c r="I698" s="11">
        <f t="shared" si="301"/>
        <v>0</v>
      </c>
      <c r="J698" s="11">
        <f t="shared" si="302"/>
        <v>0</v>
      </c>
      <c r="K698" s="64"/>
      <c r="W698" s="28" t="s">
        <v>16</v>
      </c>
      <c r="X698" s="8">
        <v>100</v>
      </c>
      <c r="Y698" s="9">
        <v>200</v>
      </c>
      <c r="Z698" s="10">
        <v>0</v>
      </c>
      <c r="AA698" s="11">
        <f>SUM(X698:Z698)</f>
        <v>300</v>
      </c>
      <c r="AB698" s="12"/>
      <c r="AC698" s="9"/>
      <c r="AD698" s="10"/>
      <c r="AE698" s="11">
        <f>SUM(AB698:AD698)</f>
        <v>0</v>
      </c>
      <c r="AF698" s="11">
        <f>AA698+AE698</f>
        <v>300</v>
      </c>
      <c r="AG698" s="65">
        <v>42552</v>
      </c>
    </row>
    <row r="699" spans="1:33" x14ac:dyDescent="0.15">
      <c r="A699" s="29" t="s">
        <v>23</v>
      </c>
      <c r="B699" s="8">
        <v>50</v>
      </c>
      <c r="C699" s="9">
        <v>50</v>
      </c>
      <c r="D699" s="10">
        <v>50</v>
      </c>
      <c r="E699" s="11">
        <f>SUM(B699:D699)</f>
        <v>150</v>
      </c>
      <c r="F699" s="12">
        <v>50</v>
      </c>
      <c r="G699" s="9">
        <v>50</v>
      </c>
      <c r="H699" s="10">
        <v>50</v>
      </c>
      <c r="I699" s="11">
        <f>SUM(F699:H699)</f>
        <v>150</v>
      </c>
      <c r="J699" s="11">
        <f>E699+I699</f>
        <v>300</v>
      </c>
      <c r="K699" s="65">
        <v>42552</v>
      </c>
      <c r="W699" s="28" t="s">
        <v>17</v>
      </c>
      <c r="X699" s="13"/>
      <c r="Y699" s="14"/>
      <c r="Z699" s="15"/>
      <c r="AA699" s="11">
        <f t="shared" si="303"/>
        <v>0</v>
      </c>
      <c r="AB699" s="16"/>
      <c r="AC699" s="14"/>
      <c r="AD699" s="15"/>
      <c r="AE699" s="11">
        <f t="shared" si="304"/>
        <v>0</v>
      </c>
      <c r="AF699" s="11">
        <f t="shared" si="305"/>
        <v>0</v>
      </c>
      <c r="AG699" s="64"/>
    </row>
    <row r="700" spans="1:33" ht="14.25" thickBot="1" x14ac:dyDescent="0.2">
      <c r="A700" s="28" t="s">
        <v>18</v>
      </c>
      <c r="B700" s="36">
        <v>50</v>
      </c>
      <c r="C700" s="37">
        <v>50</v>
      </c>
      <c r="D700" s="40"/>
      <c r="E700" s="22">
        <f t="shared" si="300"/>
        <v>100</v>
      </c>
      <c r="F700" s="38"/>
      <c r="G700" s="38"/>
      <c r="H700" s="43"/>
      <c r="I700" s="22">
        <f t="shared" si="301"/>
        <v>0</v>
      </c>
      <c r="J700" s="22">
        <f t="shared" si="302"/>
        <v>100</v>
      </c>
      <c r="K700" s="65">
        <v>42553</v>
      </c>
      <c r="W700" s="28" t="s">
        <v>18</v>
      </c>
      <c r="X700" s="36"/>
      <c r="Y700" s="37"/>
      <c r="Z700" s="40"/>
      <c r="AA700" s="22">
        <f t="shared" si="303"/>
        <v>0</v>
      </c>
      <c r="AB700" s="38"/>
      <c r="AC700" s="38"/>
      <c r="AD700" s="43"/>
      <c r="AE700" s="22">
        <f t="shared" si="304"/>
        <v>0</v>
      </c>
      <c r="AF700" s="22">
        <f t="shared" si="305"/>
        <v>0</v>
      </c>
    </row>
    <row r="701" spans="1:33" ht="14.25" thickBot="1" x14ac:dyDescent="0.2">
      <c r="A701" s="39" t="s">
        <v>20</v>
      </c>
      <c r="B701" s="32">
        <f t="shared" ref="B701:J701" si="306">SUM(B692:B700)</f>
        <v>229</v>
      </c>
      <c r="C701" s="33">
        <f t="shared" si="306"/>
        <v>300</v>
      </c>
      <c r="D701" s="34">
        <f t="shared" si="306"/>
        <v>176</v>
      </c>
      <c r="E701" s="42">
        <f t="shared" si="306"/>
        <v>705</v>
      </c>
      <c r="F701" s="32">
        <f t="shared" si="306"/>
        <v>128</v>
      </c>
      <c r="G701" s="33">
        <f t="shared" si="306"/>
        <v>171</v>
      </c>
      <c r="H701" s="34">
        <f t="shared" si="306"/>
        <v>147</v>
      </c>
      <c r="I701" s="42">
        <f t="shared" si="306"/>
        <v>446</v>
      </c>
      <c r="J701" s="42">
        <f t="shared" si="306"/>
        <v>1151</v>
      </c>
      <c r="W701" s="39" t="s">
        <v>20</v>
      </c>
      <c r="X701" s="32">
        <f t="shared" ref="X701:AF701" si="307">SUM(X692:X700)</f>
        <v>212</v>
      </c>
      <c r="Y701" s="33">
        <f t="shared" si="307"/>
        <v>350</v>
      </c>
      <c r="Z701" s="34">
        <f t="shared" si="307"/>
        <v>175</v>
      </c>
      <c r="AA701" s="42">
        <f t="shared" si="307"/>
        <v>737</v>
      </c>
      <c r="AB701" s="32">
        <f t="shared" si="307"/>
        <v>257</v>
      </c>
      <c r="AC701" s="33">
        <f t="shared" si="307"/>
        <v>251</v>
      </c>
      <c r="AD701" s="34">
        <f t="shared" si="307"/>
        <v>379</v>
      </c>
      <c r="AE701" s="42">
        <f t="shared" si="307"/>
        <v>887</v>
      </c>
      <c r="AF701" s="42">
        <f t="shared" si="307"/>
        <v>1624</v>
      </c>
    </row>
    <row r="702" spans="1:33" x14ac:dyDescent="0.15">
      <c r="A702" s="26" t="s">
        <v>402</v>
      </c>
      <c r="B702" s="13">
        <v>1</v>
      </c>
      <c r="C702" s="14"/>
      <c r="D702" s="15"/>
      <c r="E702" s="11">
        <f>SUM(B702:D702)</f>
        <v>1</v>
      </c>
      <c r="F702" s="16"/>
      <c r="G702" s="14"/>
      <c r="H702" s="15"/>
      <c r="I702" s="11">
        <f>SUM(F702:H702)</f>
        <v>0</v>
      </c>
      <c r="J702" s="11">
        <f>E702+I702</f>
        <v>1</v>
      </c>
      <c r="K702" s="71">
        <v>42535</v>
      </c>
      <c r="W702" s="29" t="s">
        <v>405</v>
      </c>
      <c r="X702" s="8">
        <v>50</v>
      </c>
      <c r="Y702" s="9">
        <v>100</v>
      </c>
      <c r="Z702" s="10">
        <v>100</v>
      </c>
      <c r="AA702" s="11">
        <f>SUM(X702:Z702)</f>
        <v>250</v>
      </c>
      <c r="AB702" s="12">
        <v>50</v>
      </c>
      <c r="AC702" s="9">
        <v>100</v>
      </c>
      <c r="AD702" s="10">
        <v>50</v>
      </c>
      <c r="AE702" s="11">
        <f>SUM(AB702:AD702)</f>
        <v>200</v>
      </c>
      <c r="AF702" s="11">
        <f>AA702+AE702</f>
        <v>450</v>
      </c>
      <c r="AG702" s="65">
        <v>42538</v>
      </c>
    </row>
    <row r="703" spans="1:33" x14ac:dyDescent="0.15">
      <c r="A703" s="27" t="s">
        <v>386</v>
      </c>
      <c r="B703" s="13">
        <v>2</v>
      </c>
      <c r="C703" s="14"/>
      <c r="D703" s="15">
        <v>2</v>
      </c>
      <c r="E703" s="11">
        <f t="shared" ref="E703:E727" si="308">SUM(B703:D703)</f>
        <v>4</v>
      </c>
      <c r="F703" s="16"/>
      <c r="G703" s="14"/>
      <c r="H703" s="15"/>
      <c r="I703" s="11">
        <f t="shared" ref="I703:I727" si="309">SUM(F703:H703)</f>
        <v>0</v>
      </c>
      <c r="J703" s="11">
        <f t="shared" ref="J703:J727" si="310">E703+I703</f>
        <v>4</v>
      </c>
      <c r="K703" s="65">
        <v>42535</v>
      </c>
      <c r="W703" s="29" t="s">
        <v>23</v>
      </c>
      <c r="X703" s="8"/>
      <c r="Y703" s="9">
        <v>50</v>
      </c>
      <c r="Z703" s="10"/>
      <c r="AA703" s="11">
        <f>SUM(X703:Z703)</f>
        <v>50</v>
      </c>
      <c r="AB703" s="12"/>
      <c r="AC703" s="9"/>
      <c r="AD703" s="10"/>
      <c r="AE703" s="11">
        <f>SUM(AB703:AD703)</f>
        <v>0</v>
      </c>
      <c r="AF703" s="11">
        <f>AA703+AE703</f>
        <v>50</v>
      </c>
      <c r="AG703" s="65">
        <v>42542</v>
      </c>
    </row>
    <row r="704" spans="1:33" x14ac:dyDescent="0.15">
      <c r="A704" s="27" t="s">
        <v>408</v>
      </c>
      <c r="B704" s="8">
        <v>2</v>
      </c>
      <c r="C704" s="9"/>
      <c r="D704" s="10">
        <v>2</v>
      </c>
      <c r="E704" s="11">
        <f t="shared" si="308"/>
        <v>4</v>
      </c>
      <c r="F704" s="12"/>
      <c r="G704" s="9">
        <v>2</v>
      </c>
      <c r="H704" s="10"/>
      <c r="I704" s="11">
        <f t="shared" si="309"/>
        <v>2</v>
      </c>
      <c r="J704" s="11">
        <f t="shared" si="310"/>
        <v>6</v>
      </c>
      <c r="K704" s="71">
        <v>42534</v>
      </c>
      <c r="W704" s="29" t="s">
        <v>23</v>
      </c>
      <c r="X704" s="8">
        <v>50</v>
      </c>
      <c r="Y704" s="9">
        <v>50</v>
      </c>
      <c r="Z704" s="10">
        <v>50</v>
      </c>
      <c r="AA704" s="11">
        <f t="shared" ref="AA704:AA727" si="311">SUM(X704:Z704)</f>
        <v>150</v>
      </c>
      <c r="AB704" s="12">
        <v>50</v>
      </c>
      <c r="AC704" s="9">
        <v>50</v>
      </c>
      <c r="AD704" s="10">
        <v>50</v>
      </c>
      <c r="AE704" s="11">
        <f t="shared" ref="AE704:AE727" si="312">SUM(AB704:AD704)</f>
        <v>150</v>
      </c>
      <c r="AF704" s="11">
        <f t="shared" ref="AF704:AF727" si="313">AA704+AE704</f>
        <v>300</v>
      </c>
      <c r="AG704" s="65">
        <v>42552</v>
      </c>
    </row>
    <row r="705" spans="1:33" x14ac:dyDescent="0.15">
      <c r="A705" s="27" t="s">
        <v>403</v>
      </c>
      <c r="B705" s="8">
        <v>-3</v>
      </c>
      <c r="C705" s="9">
        <v>3</v>
      </c>
      <c r="D705" s="10"/>
      <c r="E705" s="11">
        <f t="shared" si="308"/>
        <v>0</v>
      </c>
      <c r="F705" s="12"/>
      <c r="G705" s="9"/>
      <c r="H705" s="10"/>
      <c r="I705" s="11">
        <f t="shared" si="309"/>
        <v>0</v>
      </c>
      <c r="J705" s="11">
        <f t="shared" si="310"/>
        <v>0</v>
      </c>
      <c r="K705" s="71">
        <v>42535</v>
      </c>
      <c r="W705" s="29" t="s">
        <v>23</v>
      </c>
      <c r="X705" s="8">
        <v>50</v>
      </c>
      <c r="Y705" s="9">
        <v>50</v>
      </c>
      <c r="Z705" s="10"/>
      <c r="AA705" s="11">
        <f t="shared" si="311"/>
        <v>100</v>
      </c>
      <c r="AB705" s="12"/>
      <c r="AC705" s="9"/>
      <c r="AD705" s="10"/>
      <c r="AE705" s="11">
        <f t="shared" si="312"/>
        <v>0</v>
      </c>
      <c r="AF705" s="11">
        <f t="shared" si="313"/>
        <v>100</v>
      </c>
      <c r="AG705" s="65">
        <v>42553</v>
      </c>
    </row>
    <row r="706" spans="1:33" x14ac:dyDescent="0.15">
      <c r="A706" s="27" t="s">
        <v>404</v>
      </c>
      <c r="B706" s="8">
        <v>40</v>
      </c>
      <c r="C706" s="9">
        <v>100</v>
      </c>
      <c r="D706" s="10">
        <v>60</v>
      </c>
      <c r="E706" s="11">
        <f t="shared" si="308"/>
        <v>200</v>
      </c>
      <c r="F706" s="12">
        <v>20</v>
      </c>
      <c r="G706" s="9">
        <v>70</v>
      </c>
      <c r="H706" s="10">
        <v>40</v>
      </c>
      <c r="I706" s="11">
        <f t="shared" si="309"/>
        <v>130</v>
      </c>
      <c r="J706" s="11">
        <f t="shared" si="310"/>
        <v>330</v>
      </c>
      <c r="K706" s="65">
        <v>42543</v>
      </c>
      <c r="W706" s="29"/>
      <c r="X706" s="8"/>
      <c r="Y706" s="9"/>
      <c r="Z706" s="10"/>
      <c r="AA706" s="11">
        <f t="shared" si="311"/>
        <v>0</v>
      </c>
      <c r="AB706" s="12"/>
      <c r="AC706" s="9"/>
      <c r="AD706" s="10"/>
      <c r="AE706" s="11">
        <f t="shared" si="312"/>
        <v>0</v>
      </c>
      <c r="AF706" s="11">
        <f t="shared" si="313"/>
        <v>0</v>
      </c>
    </row>
    <row r="707" spans="1:33" x14ac:dyDescent="0.15">
      <c r="A707" s="27" t="s">
        <v>406</v>
      </c>
      <c r="B707" s="8">
        <v>4</v>
      </c>
      <c r="C707" s="9"/>
      <c r="D707" s="10"/>
      <c r="E707" s="11">
        <f t="shared" si="308"/>
        <v>4</v>
      </c>
      <c r="F707" s="12"/>
      <c r="G707" s="9"/>
      <c r="H707" s="10">
        <v>4</v>
      </c>
      <c r="I707" s="11">
        <f t="shared" si="309"/>
        <v>4</v>
      </c>
      <c r="J707" s="11">
        <f t="shared" si="310"/>
        <v>8</v>
      </c>
      <c r="K707" s="65">
        <v>42536</v>
      </c>
      <c r="W707" s="29" t="s">
        <v>23</v>
      </c>
      <c r="X707" s="8"/>
      <c r="Y707" s="9"/>
      <c r="Z707" s="10"/>
      <c r="AA707" s="11">
        <f t="shared" si="311"/>
        <v>0</v>
      </c>
      <c r="AB707" s="12">
        <v>50</v>
      </c>
      <c r="AC707" s="9">
        <v>50</v>
      </c>
      <c r="AD707" s="10"/>
      <c r="AE707" s="11">
        <f t="shared" si="312"/>
        <v>100</v>
      </c>
      <c r="AF707" s="11">
        <f t="shared" si="313"/>
        <v>100</v>
      </c>
      <c r="AG707" s="65">
        <v>42564</v>
      </c>
    </row>
    <row r="708" spans="1:33" x14ac:dyDescent="0.15">
      <c r="A708" s="29" t="s">
        <v>407</v>
      </c>
      <c r="B708" s="8">
        <v>20</v>
      </c>
      <c r="C708" s="9">
        <v>20</v>
      </c>
      <c r="D708" s="10">
        <v>20</v>
      </c>
      <c r="E708" s="11">
        <f t="shared" si="308"/>
        <v>60</v>
      </c>
      <c r="F708" s="12">
        <v>20</v>
      </c>
      <c r="G708" s="9"/>
      <c r="H708" s="10">
        <v>20</v>
      </c>
      <c r="I708" s="11">
        <f t="shared" si="309"/>
        <v>40</v>
      </c>
      <c r="J708" s="11">
        <f t="shared" si="310"/>
        <v>100</v>
      </c>
      <c r="K708" s="65">
        <v>42542</v>
      </c>
      <c r="W708" s="29" t="s">
        <v>23</v>
      </c>
      <c r="X708" s="8"/>
      <c r="Y708" s="9"/>
      <c r="Z708" s="10">
        <v>25</v>
      </c>
      <c r="AA708" s="11">
        <f t="shared" si="311"/>
        <v>25</v>
      </c>
      <c r="AB708" s="12"/>
      <c r="AC708" s="9"/>
      <c r="AD708" s="10"/>
      <c r="AE708" s="11">
        <f t="shared" si="312"/>
        <v>0</v>
      </c>
      <c r="AF708" s="11">
        <f t="shared" si="313"/>
        <v>25</v>
      </c>
      <c r="AG708" s="65">
        <v>42572</v>
      </c>
    </row>
    <row r="709" spans="1:33" x14ac:dyDescent="0.15">
      <c r="A709" s="29" t="s">
        <v>409</v>
      </c>
      <c r="B709" s="8"/>
      <c r="C709" s="9"/>
      <c r="D709" s="10">
        <v>2</v>
      </c>
      <c r="E709" s="11">
        <f t="shared" si="308"/>
        <v>2</v>
      </c>
      <c r="F709" s="12"/>
      <c r="G709" s="9"/>
      <c r="H709" s="10">
        <v>2</v>
      </c>
      <c r="I709" s="11">
        <f t="shared" si="309"/>
        <v>2</v>
      </c>
      <c r="J709" s="11">
        <f t="shared" si="310"/>
        <v>4</v>
      </c>
      <c r="K709" s="71">
        <v>42536</v>
      </c>
      <c r="W709" s="29"/>
      <c r="X709" s="8"/>
      <c r="Y709" s="9"/>
      <c r="Z709" s="10"/>
      <c r="AA709" s="11">
        <f t="shared" si="311"/>
        <v>0</v>
      </c>
      <c r="AB709" s="12"/>
      <c r="AC709" s="9"/>
      <c r="AD709" s="10"/>
      <c r="AE709" s="11">
        <f t="shared" si="312"/>
        <v>0</v>
      </c>
      <c r="AF709" s="11">
        <f t="shared" si="313"/>
        <v>0</v>
      </c>
    </row>
    <row r="710" spans="1:33" x14ac:dyDescent="0.15">
      <c r="A710" s="27" t="s">
        <v>386</v>
      </c>
      <c r="B710" s="13">
        <v>1</v>
      </c>
      <c r="C710" s="14">
        <v>1</v>
      </c>
      <c r="D710" s="15"/>
      <c r="E710" s="11">
        <f t="shared" si="308"/>
        <v>2</v>
      </c>
      <c r="F710" s="16"/>
      <c r="G710" s="14"/>
      <c r="H710" s="15"/>
      <c r="I710" s="11">
        <f t="shared" si="309"/>
        <v>0</v>
      </c>
      <c r="J710" s="11">
        <f t="shared" si="310"/>
        <v>2</v>
      </c>
      <c r="K710" s="65">
        <v>42538</v>
      </c>
      <c r="W710" s="27"/>
      <c r="X710" s="8"/>
      <c r="Y710" s="9"/>
      <c r="Z710" s="10"/>
      <c r="AA710" s="11">
        <f t="shared" si="311"/>
        <v>0</v>
      </c>
      <c r="AB710" s="12"/>
      <c r="AC710" s="9"/>
      <c r="AD710" s="10"/>
      <c r="AE710" s="11">
        <f t="shared" si="312"/>
        <v>0</v>
      </c>
      <c r="AF710" s="11">
        <f t="shared" si="313"/>
        <v>0</v>
      </c>
    </row>
    <row r="711" spans="1:33" x14ac:dyDescent="0.15">
      <c r="A711" s="27" t="s">
        <v>386</v>
      </c>
      <c r="B711" s="13">
        <v>2</v>
      </c>
      <c r="C711" s="14">
        <v>4</v>
      </c>
      <c r="D711" s="15">
        <v>5</v>
      </c>
      <c r="E711" s="11">
        <f t="shared" si="308"/>
        <v>11</v>
      </c>
      <c r="F711" s="16"/>
      <c r="G711" s="14"/>
      <c r="H711" s="15"/>
      <c r="I711" s="11">
        <f t="shared" si="309"/>
        <v>0</v>
      </c>
      <c r="J711" s="11">
        <f t="shared" si="310"/>
        <v>11</v>
      </c>
      <c r="K711" s="65">
        <v>42539</v>
      </c>
      <c r="W711" s="29"/>
      <c r="X711" s="13"/>
      <c r="Y711" s="14"/>
      <c r="Z711" s="15"/>
      <c r="AA711" s="11">
        <f t="shared" si="311"/>
        <v>0</v>
      </c>
      <c r="AB711" s="16"/>
      <c r="AC711" s="14"/>
      <c r="AD711" s="15"/>
      <c r="AE711" s="11">
        <f t="shared" si="312"/>
        <v>0</v>
      </c>
      <c r="AF711" s="11">
        <f t="shared" si="313"/>
        <v>0</v>
      </c>
    </row>
    <row r="712" spans="1:33" x14ac:dyDescent="0.15">
      <c r="A712" s="27" t="s">
        <v>386</v>
      </c>
      <c r="B712" s="8"/>
      <c r="C712" s="9"/>
      <c r="D712" s="10">
        <v>2</v>
      </c>
      <c r="E712" s="11">
        <f t="shared" si="308"/>
        <v>2</v>
      </c>
      <c r="F712" s="12"/>
      <c r="G712" s="9"/>
      <c r="H712" s="10"/>
      <c r="I712" s="11">
        <f t="shared" si="309"/>
        <v>0</v>
      </c>
      <c r="J712" s="11">
        <f t="shared" si="310"/>
        <v>2</v>
      </c>
      <c r="K712" s="65">
        <v>42540</v>
      </c>
      <c r="W712" s="29"/>
      <c r="X712" s="8"/>
      <c r="Y712" s="9"/>
      <c r="Z712" s="10"/>
      <c r="AA712" s="11">
        <f t="shared" si="311"/>
        <v>0</v>
      </c>
      <c r="AB712" s="12"/>
      <c r="AC712" s="9"/>
      <c r="AD712" s="10"/>
      <c r="AE712" s="11">
        <f t="shared" si="312"/>
        <v>0</v>
      </c>
      <c r="AF712" s="11">
        <f t="shared" si="313"/>
        <v>0</v>
      </c>
    </row>
    <row r="713" spans="1:33" x14ac:dyDescent="0.15">
      <c r="A713" s="27" t="s">
        <v>410</v>
      </c>
      <c r="B713" s="8"/>
      <c r="C713" s="9"/>
      <c r="D713" s="10"/>
      <c r="E713" s="11">
        <f t="shared" si="308"/>
        <v>0</v>
      </c>
      <c r="F713" s="12"/>
      <c r="G713" s="9">
        <v>2</v>
      </c>
      <c r="H713" s="10"/>
      <c r="I713" s="11">
        <f t="shared" si="309"/>
        <v>2</v>
      </c>
      <c r="J713" s="11">
        <f t="shared" si="310"/>
        <v>2</v>
      </c>
      <c r="K713" s="71">
        <v>42538</v>
      </c>
      <c r="W713" s="29"/>
      <c r="X713" s="8"/>
      <c r="Y713" s="9"/>
      <c r="Z713" s="10"/>
      <c r="AA713" s="11">
        <f t="shared" si="311"/>
        <v>0</v>
      </c>
      <c r="AB713" s="12"/>
      <c r="AC713" s="9"/>
      <c r="AD713" s="10"/>
      <c r="AE713" s="11">
        <f t="shared" si="312"/>
        <v>0</v>
      </c>
      <c r="AF713" s="11">
        <f t="shared" si="313"/>
        <v>0</v>
      </c>
    </row>
    <row r="714" spans="1:33" x14ac:dyDescent="0.15">
      <c r="A714" s="27" t="s">
        <v>412</v>
      </c>
      <c r="B714" s="8"/>
      <c r="C714" s="9">
        <v>2</v>
      </c>
      <c r="D714" s="10"/>
      <c r="E714" s="11">
        <f t="shared" si="308"/>
        <v>2</v>
      </c>
      <c r="F714" s="12"/>
      <c r="G714" s="9">
        <v>4</v>
      </c>
      <c r="H714" s="10"/>
      <c r="I714" s="11">
        <f t="shared" si="309"/>
        <v>4</v>
      </c>
      <c r="J714" s="11">
        <f t="shared" si="310"/>
        <v>6</v>
      </c>
      <c r="K714" s="71">
        <v>42541</v>
      </c>
      <c r="W714" s="27"/>
      <c r="X714" s="8"/>
      <c r="Y714" s="9"/>
      <c r="Z714" s="10"/>
      <c r="AA714" s="11">
        <f t="shared" si="311"/>
        <v>0</v>
      </c>
      <c r="AB714" s="12"/>
      <c r="AC714" s="9"/>
      <c r="AD714" s="10"/>
      <c r="AE714" s="11">
        <f t="shared" si="312"/>
        <v>0</v>
      </c>
      <c r="AF714" s="11">
        <f t="shared" si="313"/>
        <v>0</v>
      </c>
    </row>
    <row r="715" spans="1:33" x14ac:dyDescent="0.15">
      <c r="A715" s="27" t="s">
        <v>411</v>
      </c>
      <c r="B715" s="8"/>
      <c r="C715" s="9"/>
      <c r="D715" s="10">
        <v>1</v>
      </c>
      <c r="E715" s="11">
        <f t="shared" si="308"/>
        <v>1</v>
      </c>
      <c r="F715" s="12"/>
      <c r="G715" s="9"/>
      <c r="H715" s="10">
        <v>1</v>
      </c>
      <c r="I715" s="11">
        <f t="shared" si="309"/>
        <v>1</v>
      </c>
      <c r="J715" s="11">
        <f t="shared" si="310"/>
        <v>2</v>
      </c>
      <c r="K715" s="65">
        <v>42543</v>
      </c>
      <c r="W715" s="29"/>
      <c r="X715" s="8"/>
      <c r="Y715" s="9"/>
      <c r="Z715" s="10"/>
      <c r="AA715" s="11">
        <f t="shared" si="311"/>
        <v>0</v>
      </c>
      <c r="AB715" s="12"/>
      <c r="AC715" s="9"/>
      <c r="AD715" s="10"/>
      <c r="AE715" s="11">
        <f t="shared" si="312"/>
        <v>0</v>
      </c>
      <c r="AF715" s="11">
        <f t="shared" si="313"/>
        <v>0</v>
      </c>
    </row>
    <row r="716" spans="1:33" x14ac:dyDescent="0.15">
      <c r="A716" s="29" t="s">
        <v>413</v>
      </c>
      <c r="B716" s="8"/>
      <c r="C716" s="9"/>
      <c r="D716" s="10"/>
      <c r="E716" s="11">
        <f t="shared" si="308"/>
        <v>0</v>
      </c>
      <c r="F716" s="12">
        <v>1</v>
      </c>
      <c r="G716" s="9"/>
      <c r="H716" s="10"/>
      <c r="I716" s="11">
        <f t="shared" si="309"/>
        <v>1</v>
      </c>
      <c r="J716" s="11">
        <f t="shared" si="310"/>
        <v>1</v>
      </c>
      <c r="K716" s="71">
        <v>42543</v>
      </c>
      <c r="W716" s="29"/>
      <c r="X716" s="8"/>
      <c r="Y716" s="9"/>
      <c r="Z716" s="10"/>
      <c r="AA716" s="11">
        <f t="shared" si="311"/>
        <v>0</v>
      </c>
      <c r="AB716" s="12"/>
      <c r="AC716" s="9"/>
      <c r="AD716" s="10"/>
      <c r="AE716" s="11">
        <f t="shared" si="312"/>
        <v>0</v>
      </c>
      <c r="AF716" s="11">
        <f t="shared" si="313"/>
        <v>0</v>
      </c>
    </row>
    <row r="717" spans="1:33" x14ac:dyDescent="0.15">
      <c r="A717" s="29" t="s">
        <v>414</v>
      </c>
      <c r="B717" s="8"/>
      <c r="C717" s="9"/>
      <c r="D717" s="10"/>
      <c r="E717" s="11">
        <f t="shared" si="308"/>
        <v>0</v>
      </c>
      <c r="F717" s="12"/>
      <c r="G717" s="9">
        <v>1</v>
      </c>
      <c r="H717" s="10"/>
      <c r="I717" s="11">
        <f t="shared" si="309"/>
        <v>1</v>
      </c>
      <c r="J717" s="11">
        <f t="shared" si="310"/>
        <v>1</v>
      </c>
      <c r="K717" s="65">
        <v>42550</v>
      </c>
      <c r="W717" s="27"/>
      <c r="X717" s="8"/>
      <c r="Y717" s="9"/>
      <c r="Z717" s="10"/>
      <c r="AA717" s="11">
        <f t="shared" si="311"/>
        <v>0</v>
      </c>
      <c r="AB717" s="12"/>
      <c r="AC717" s="9"/>
      <c r="AD717" s="10"/>
      <c r="AE717" s="11">
        <f t="shared" si="312"/>
        <v>0</v>
      </c>
      <c r="AF717" s="11">
        <f t="shared" si="313"/>
        <v>0</v>
      </c>
    </row>
    <row r="718" spans="1:33" x14ac:dyDescent="0.15">
      <c r="A718" s="29" t="s">
        <v>415</v>
      </c>
      <c r="B718" s="8"/>
      <c r="C718" s="9"/>
      <c r="D718" s="10"/>
      <c r="E718" s="11">
        <f t="shared" si="308"/>
        <v>0</v>
      </c>
      <c r="F718" s="12"/>
      <c r="G718" s="9"/>
      <c r="H718" s="10">
        <v>1</v>
      </c>
      <c r="I718" s="11">
        <f t="shared" si="309"/>
        <v>1</v>
      </c>
      <c r="J718" s="11">
        <f t="shared" si="310"/>
        <v>1</v>
      </c>
      <c r="K718" s="65">
        <v>42545</v>
      </c>
      <c r="W718" s="29"/>
      <c r="X718" s="8"/>
      <c r="Y718" s="9"/>
      <c r="Z718" s="10"/>
      <c r="AA718" s="11">
        <f t="shared" si="311"/>
        <v>0</v>
      </c>
      <c r="AB718" s="12"/>
      <c r="AC718" s="9"/>
      <c r="AD718" s="10"/>
      <c r="AE718" s="11">
        <f t="shared" si="312"/>
        <v>0</v>
      </c>
      <c r="AF718" s="11">
        <f t="shared" si="313"/>
        <v>0</v>
      </c>
    </row>
    <row r="719" spans="1:33" x14ac:dyDescent="0.15">
      <c r="A719" s="29" t="s">
        <v>386</v>
      </c>
      <c r="B719" s="8"/>
      <c r="C719" s="9">
        <v>1</v>
      </c>
      <c r="D719" s="10"/>
      <c r="E719" s="11">
        <f t="shared" si="308"/>
        <v>1</v>
      </c>
      <c r="F719" s="12"/>
      <c r="G719" s="9"/>
      <c r="H719" s="10"/>
      <c r="I719" s="11">
        <f t="shared" si="309"/>
        <v>0</v>
      </c>
      <c r="J719" s="11">
        <f t="shared" si="310"/>
        <v>1</v>
      </c>
      <c r="K719" s="65">
        <v>42546</v>
      </c>
      <c r="W719" s="27"/>
      <c r="X719" s="8"/>
      <c r="Y719" s="9"/>
      <c r="Z719" s="10"/>
      <c r="AA719" s="11">
        <f t="shared" si="311"/>
        <v>0</v>
      </c>
      <c r="AB719" s="12"/>
      <c r="AC719" s="9"/>
      <c r="AD719" s="10"/>
      <c r="AE719" s="11">
        <f t="shared" si="312"/>
        <v>0</v>
      </c>
      <c r="AF719" s="11">
        <f t="shared" si="313"/>
        <v>0</v>
      </c>
    </row>
    <row r="720" spans="1:33" x14ac:dyDescent="0.15">
      <c r="A720" s="26" t="s">
        <v>417</v>
      </c>
      <c r="B720" s="8">
        <v>5</v>
      </c>
      <c r="C720" s="9">
        <v>5</v>
      </c>
      <c r="D720" s="10">
        <v>5</v>
      </c>
      <c r="E720" s="11">
        <f t="shared" si="308"/>
        <v>15</v>
      </c>
      <c r="F720" s="12"/>
      <c r="G720" s="9"/>
      <c r="H720" s="10"/>
      <c r="I720" s="11">
        <f t="shared" si="309"/>
        <v>0</v>
      </c>
      <c r="J720" s="11">
        <f t="shared" si="310"/>
        <v>15</v>
      </c>
      <c r="K720" s="65">
        <v>42547</v>
      </c>
      <c r="W720" s="26"/>
      <c r="X720" s="8"/>
      <c r="Y720" s="9"/>
      <c r="Z720" s="10"/>
      <c r="AA720" s="11">
        <f t="shared" si="311"/>
        <v>0</v>
      </c>
      <c r="AB720" s="12"/>
      <c r="AC720" s="9"/>
      <c r="AD720" s="10"/>
      <c r="AE720" s="11">
        <f t="shared" si="312"/>
        <v>0</v>
      </c>
      <c r="AF720" s="11">
        <f t="shared" si="313"/>
        <v>0</v>
      </c>
    </row>
    <row r="721" spans="1:33" x14ac:dyDescent="0.15">
      <c r="A721" s="27" t="s">
        <v>419</v>
      </c>
      <c r="B721" s="8">
        <v>21</v>
      </c>
      <c r="C721" s="9">
        <v>17</v>
      </c>
      <c r="D721" s="10">
        <v>0</v>
      </c>
      <c r="E721" s="11">
        <f t="shared" si="308"/>
        <v>38</v>
      </c>
      <c r="F721" s="12">
        <v>13</v>
      </c>
      <c r="G721" s="9">
        <v>6</v>
      </c>
      <c r="H721" s="10">
        <v>4</v>
      </c>
      <c r="I721" s="11">
        <f t="shared" si="309"/>
        <v>23</v>
      </c>
      <c r="J721" s="11">
        <f t="shared" si="310"/>
        <v>61</v>
      </c>
      <c r="K721" s="65">
        <v>42549</v>
      </c>
      <c r="W721" s="26"/>
      <c r="X721" s="8"/>
      <c r="Y721" s="9"/>
      <c r="Z721" s="10"/>
      <c r="AA721" s="11">
        <f t="shared" si="311"/>
        <v>0</v>
      </c>
      <c r="AB721" s="12"/>
      <c r="AC721" s="9"/>
      <c r="AD721" s="10"/>
      <c r="AE721" s="11">
        <f t="shared" si="312"/>
        <v>0</v>
      </c>
      <c r="AF721" s="11">
        <f t="shared" si="313"/>
        <v>0</v>
      </c>
    </row>
    <row r="722" spans="1:33" x14ac:dyDescent="0.15">
      <c r="A722" s="26" t="s">
        <v>386</v>
      </c>
      <c r="B722" s="8"/>
      <c r="C722" s="9"/>
      <c r="D722" s="10"/>
      <c r="E722" s="11">
        <f t="shared" si="308"/>
        <v>0</v>
      </c>
      <c r="F722" s="12"/>
      <c r="G722" s="9"/>
      <c r="H722" s="10">
        <v>2</v>
      </c>
      <c r="I722" s="11">
        <f t="shared" si="309"/>
        <v>2</v>
      </c>
      <c r="J722" s="11">
        <f t="shared" si="310"/>
        <v>2</v>
      </c>
      <c r="K722" s="65">
        <v>42549</v>
      </c>
      <c r="L722" s="64"/>
      <c r="W722" s="27"/>
      <c r="X722" s="8"/>
      <c r="Y722" s="9"/>
      <c r="Z722" s="10"/>
      <c r="AA722" s="11">
        <f t="shared" si="311"/>
        <v>0</v>
      </c>
      <c r="AB722" s="12"/>
      <c r="AC722" s="9"/>
      <c r="AD722" s="10"/>
      <c r="AE722" s="11">
        <f t="shared" si="312"/>
        <v>0</v>
      </c>
      <c r="AF722" s="11">
        <f t="shared" si="313"/>
        <v>0</v>
      </c>
      <c r="AG722" s="64"/>
    </row>
    <row r="723" spans="1:33" x14ac:dyDescent="0.15">
      <c r="A723" s="29" t="s">
        <v>429</v>
      </c>
      <c r="B723" s="13">
        <v>10</v>
      </c>
      <c r="C723" s="14">
        <v>10</v>
      </c>
      <c r="D723" s="15"/>
      <c r="E723" s="11">
        <f t="shared" si="308"/>
        <v>20</v>
      </c>
      <c r="F723" s="16"/>
      <c r="G723" s="14"/>
      <c r="H723" s="15"/>
      <c r="I723" s="11">
        <f t="shared" si="309"/>
        <v>0</v>
      </c>
      <c r="J723" s="11">
        <f t="shared" si="310"/>
        <v>20</v>
      </c>
      <c r="K723" s="65">
        <v>42555</v>
      </c>
      <c r="L723" s="64"/>
      <c r="W723" s="27"/>
      <c r="X723" s="13"/>
      <c r="Y723" s="14"/>
      <c r="Z723" s="15"/>
      <c r="AA723" s="11">
        <f t="shared" si="311"/>
        <v>0</v>
      </c>
      <c r="AB723" s="16"/>
      <c r="AC723" s="14"/>
      <c r="AD723" s="15"/>
      <c r="AE723" s="11">
        <f t="shared" si="312"/>
        <v>0</v>
      </c>
      <c r="AF723" s="11">
        <f t="shared" si="313"/>
        <v>0</v>
      </c>
      <c r="AG723" s="64"/>
    </row>
    <row r="724" spans="1:33" x14ac:dyDescent="0.15">
      <c r="A724" s="27" t="s">
        <v>420</v>
      </c>
      <c r="B724" s="8">
        <v>2</v>
      </c>
      <c r="C724" s="9">
        <v>4</v>
      </c>
      <c r="D724" s="10"/>
      <c r="E724" s="11">
        <f t="shared" si="308"/>
        <v>6</v>
      </c>
      <c r="F724" s="12"/>
      <c r="G724" s="9">
        <v>2</v>
      </c>
      <c r="H724" s="10">
        <v>6</v>
      </c>
      <c r="I724" s="11">
        <f t="shared" si="309"/>
        <v>8</v>
      </c>
      <c r="J724" s="11">
        <f t="shared" si="310"/>
        <v>14</v>
      </c>
      <c r="K724" s="65">
        <v>42551</v>
      </c>
      <c r="L724" s="64"/>
      <c r="W724" s="27"/>
      <c r="X724" s="13"/>
      <c r="Y724" s="14"/>
      <c r="Z724" s="15"/>
      <c r="AA724" s="11">
        <f t="shared" si="311"/>
        <v>0</v>
      </c>
      <c r="AB724" s="16"/>
      <c r="AC724" s="14"/>
      <c r="AD724" s="15"/>
      <c r="AE724" s="11">
        <f t="shared" si="312"/>
        <v>0</v>
      </c>
      <c r="AF724" s="11">
        <f t="shared" si="313"/>
        <v>0</v>
      </c>
      <c r="AG724" s="64"/>
    </row>
    <row r="725" spans="1:33" x14ac:dyDescent="0.15">
      <c r="A725" s="29" t="s">
        <v>421</v>
      </c>
      <c r="B725" s="8"/>
      <c r="C725" s="9"/>
      <c r="D725" s="10"/>
      <c r="E725" s="11">
        <f t="shared" si="308"/>
        <v>0</v>
      </c>
      <c r="F725" s="12"/>
      <c r="G725" s="9"/>
      <c r="H725" s="10">
        <v>2</v>
      </c>
      <c r="I725" s="11">
        <f t="shared" si="309"/>
        <v>2</v>
      </c>
      <c r="J725" s="11">
        <f t="shared" si="310"/>
        <v>2</v>
      </c>
      <c r="K725" s="65">
        <v>42551</v>
      </c>
      <c r="L725" s="64"/>
      <c r="W725" s="27"/>
      <c r="X725" s="13"/>
      <c r="Y725" s="14"/>
      <c r="Z725" s="15"/>
      <c r="AA725" s="11">
        <f t="shared" si="311"/>
        <v>0</v>
      </c>
      <c r="AB725" s="16"/>
      <c r="AC725" s="14"/>
      <c r="AD725" s="15"/>
      <c r="AE725" s="11">
        <f t="shared" si="312"/>
        <v>0</v>
      </c>
      <c r="AF725" s="11">
        <f t="shared" si="313"/>
        <v>0</v>
      </c>
      <c r="AG725" s="65"/>
    </row>
    <row r="726" spans="1:33" x14ac:dyDescent="0.15">
      <c r="A726" s="29"/>
      <c r="B726" s="8"/>
      <c r="C726" s="9"/>
      <c r="D726" s="10"/>
      <c r="E726" s="11">
        <f t="shared" si="308"/>
        <v>0</v>
      </c>
      <c r="F726" s="12"/>
      <c r="G726" s="9"/>
      <c r="H726" s="10"/>
      <c r="I726" s="11">
        <f t="shared" si="309"/>
        <v>0</v>
      </c>
      <c r="J726" s="11">
        <f t="shared" si="310"/>
        <v>0</v>
      </c>
      <c r="K726" s="64"/>
      <c r="L726" s="64"/>
      <c r="W726" s="27"/>
      <c r="X726" s="13"/>
      <c r="Y726" s="14"/>
      <c r="Z726" s="15"/>
      <c r="AA726" s="11">
        <f t="shared" si="311"/>
        <v>0</v>
      </c>
      <c r="AB726" s="16"/>
      <c r="AC726" s="14"/>
      <c r="AD726" s="15"/>
      <c r="AE726" s="11">
        <f t="shared" si="312"/>
        <v>0</v>
      </c>
      <c r="AF726" s="11">
        <f t="shared" si="313"/>
        <v>0</v>
      </c>
      <c r="AG726" s="64"/>
    </row>
    <row r="727" spans="1:33" ht="14.25" thickBot="1" x14ac:dyDescent="0.2">
      <c r="A727" s="27" t="s">
        <v>401</v>
      </c>
      <c r="B727" s="13">
        <v>60</v>
      </c>
      <c r="C727" s="14">
        <v>60</v>
      </c>
      <c r="D727" s="15">
        <v>30</v>
      </c>
      <c r="E727" s="11">
        <f t="shared" si="308"/>
        <v>150</v>
      </c>
      <c r="F727" s="16">
        <v>60</v>
      </c>
      <c r="G727" s="14">
        <v>60</v>
      </c>
      <c r="H727" s="15">
        <v>30</v>
      </c>
      <c r="I727" s="11">
        <f t="shared" si="309"/>
        <v>150</v>
      </c>
      <c r="J727" s="11">
        <f t="shared" si="310"/>
        <v>300</v>
      </c>
      <c r="K727" s="65">
        <v>42555</v>
      </c>
      <c r="W727" s="27"/>
      <c r="X727" s="13"/>
      <c r="Y727" s="14"/>
      <c r="Z727" s="15"/>
      <c r="AA727" s="11">
        <f t="shared" si="311"/>
        <v>0</v>
      </c>
      <c r="AB727" s="16"/>
      <c r="AC727" s="14"/>
      <c r="AD727" s="15"/>
      <c r="AE727" s="11">
        <f t="shared" si="312"/>
        <v>0</v>
      </c>
      <c r="AF727" s="11">
        <f t="shared" si="313"/>
        <v>0</v>
      </c>
      <c r="AG727" s="64"/>
    </row>
    <row r="728" spans="1:33" ht="14.25" thickBot="1" x14ac:dyDescent="0.2">
      <c r="A728" s="44" t="s">
        <v>13</v>
      </c>
      <c r="B728" s="48">
        <f t="shared" ref="B728:I728" si="314">SUM(B702:B727)</f>
        <v>167</v>
      </c>
      <c r="C728" s="49">
        <f t="shared" si="314"/>
        <v>227</v>
      </c>
      <c r="D728" s="50">
        <f t="shared" si="314"/>
        <v>129</v>
      </c>
      <c r="E728" s="46">
        <f t="shared" si="314"/>
        <v>523</v>
      </c>
      <c r="F728" s="48">
        <f t="shared" si="314"/>
        <v>114</v>
      </c>
      <c r="G728" s="49">
        <f t="shared" si="314"/>
        <v>147</v>
      </c>
      <c r="H728" s="50">
        <f t="shared" si="314"/>
        <v>112</v>
      </c>
      <c r="I728" s="46">
        <f t="shared" si="314"/>
        <v>373</v>
      </c>
      <c r="J728" s="35">
        <f>E728+I728</f>
        <v>896</v>
      </c>
      <c r="W728" s="44" t="s">
        <v>13</v>
      </c>
      <c r="X728" s="48">
        <f t="shared" ref="X728:AE728" si="315">SUM(X702:X727)</f>
        <v>150</v>
      </c>
      <c r="Y728" s="49">
        <f t="shared" si="315"/>
        <v>250</v>
      </c>
      <c r="Z728" s="50">
        <f t="shared" si="315"/>
        <v>175</v>
      </c>
      <c r="AA728" s="46">
        <f t="shared" si="315"/>
        <v>575</v>
      </c>
      <c r="AB728" s="48">
        <f t="shared" si="315"/>
        <v>150</v>
      </c>
      <c r="AC728" s="49">
        <f t="shared" si="315"/>
        <v>200</v>
      </c>
      <c r="AD728" s="50">
        <f t="shared" si="315"/>
        <v>100</v>
      </c>
      <c r="AE728" s="46">
        <f t="shared" si="315"/>
        <v>450</v>
      </c>
      <c r="AF728" s="35">
        <f>AA728+AE728</f>
        <v>1025</v>
      </c>
    </row>
    <row r="729" spans="1:33" ht="14.25" thickBot="1" x14ac:dyDescent="0.2">
      <c r="A729" s="23" t="s">
        <v>14</v>
      </c>
      <c r="B729" s="24">
        <f t="shared" ref="B729:J729" si="316">B701-B728</f>
        <v>62</v>
      </c>
      <c r="C729" s="25">
        <f t="shared" si="316"/>
        <v>73</v>
      </c>
      <c r="D729" s="30">
        <f t="shared" si="316"/>
        <v>47</v>
      </c>
      <c r="E729" s="51">
        <f t="shared" si="316"/>
        <v>182</v>
      </c>
      <c r="F729" s="24">
        <f t="shared" si="316"/>
        <v>14</v>
      </c>
      <c r="G729" s="25">
        <f t="shared" si="316"/>
        <v>24</v>
      </c>
      <c r="H729" s="30">
        <f t="shared" si="316"/>
        <v>35</v>
      </c>
      <c r="I729" s="47">
        <f t="shared" si="316"/>
        <v>73</v>
      </c>
      <c r="J729" s="79">
        <f t="shared" si="316"/>
        <v>255</v>
      </c>
      <c r="W729" s="23" t="s">
        <v>14</v>
      </c>
      <c r="X729" s="24">
        <f t="shared" ref="X729:AF729" si="317">X701-X728</f>
        <v>62</v>
      </c>
      <c r="Y729" s="25">
        <f t="shared" si="317"/>
        <v>100</v>
      </c>
      <c r="Z729" s="30">
        <f t="shared" si="317"/>
        <v>0</v>
      </c>
      <c r="AA729" s="51">
        <f t="shared" si="317"/>
        <v>162</v>
      </c>
      <c r="AB729" s="24">
        <f t="shared" si="317"/>
        <v>107</v>
      </c>
      <c r="AC729" s="25">
        <f t="shared" si="317"/>
        <v>51</v>
      </c>
      <c r="AD729" s="30">
        <f t="shared" si="317"/>
        <v>279</v>
      </c>
      <c r="AE729" s="47">
        <f t="shared" si="317"/>
        <v>437</v>
      </c>
      <c r="AF729" s="79">
        <f t="shared" si="317"/>
        <v>599</v>
      </c>
    </row>
    <row r="732" spans="1:33" ht="19.5" thickBot="1" x14ac:dyDescent="0.25">
      <c r="A732" s="2" t="s">
        <v>21</v>
      </c>
      <c r="B732" s="1"/>
      <c r="C732" s="1"/>
      <c r="D732" s="1"/>
      <c r="E732" s="1"/>
      <c r="F732" s="1"/>
      <c r="G732" s="1"/>
      <c r="H732" s="1"/>
      <c r="I732" s="1"/>
      <c r="J732" s="1"/>
      <c r="W732" s="93" t="s">
        <v>136</v>
      </c>
      <c r="X732" s="94"/>
      <c r="Y732" s="94"/>
      <c r="Z732" s="94"/>
      <c r="AA732" s="106" t="s">
        <v>299</v>
      </c>
      <c r="AB732" s="1"/>
      <c r="AC732" s="1"/>
      <c r="AD732" s="1"/>
      <c r="AE732" s="1"/>
      <c r="AF732" s="1"/>
    </row>
    <row r="733" spans="1:33" ht="14.25" thickBot="1" x14ac:dyDescent="0.2">
      <c r="A733" s="7" t="s">
        <v>0</v>
      </c>
      <c r="B733" s="168" t="s">
        <v>1</v>
      </c>
      <c r="C733" s="169"/>
      <c r="D733" s="169"/>
      <c r="E733" s="170"/>
      <c r="F733" s="168" t="s">
        <v>2</v>
      </c>
      <c r="G733" s="169"/>
      <c r="H733" s="169"/>
      <c r="I733" s="171"/>
      <c r="J733" s="172" t="s">
        <v>3</v>
      </c>
      <c r="W733" s="7" t="s">
        <v>0</v>
      </c>
      <c r="X733" s="174" t="s">
        <v>1</v>
      </c>
      <c r="Y733" s="175"/>
      <c r="Z733" s="176"/>
      <c r="AA733" s="101"/>
      <c r="AB733" s="174" t="s">
        <v>2</v>
      </c>
      <c r="AC733" s="175"/>
      <c r="AD733" s="176"/>
      <c r="AE733" s="102"/>
      <c r="AF733" s="103" t="s">
        <v>3</v>
      </c>
    </row>
    <row r="734" spans="1:33" ht="14.25" thickBot="1" x14ac:dyDescent="0.2">
      <c r="A734" s="7" t="s">
        <v>4</v>
      </c>
      <c r="B734" s="3" t="s">
        <v>5</v>
      </c>
      <c r="C734" s="4" t="s">
        <v>6</v>
      </c>
      <c r="D734" s="5" t="s">
        <v>7</v>
      </c>
      <c r="E734" s="7" t="s">
        <v>8</v>
      </c>
      <c r="F734" s="3" t="s">
        <v>5</v>
      </c>
      <c r="G734" s="4" t="s">
        <v>6</v>
      </c>
      <c r="H734" s="5" t="s">
        <v>7</v>
      </c>
      <c r="I734" s="7" t="s">
        <v>8</v>
      </c>
      <c r="J734" s="173"/>
      <c r="W734" s="7" t="s">
        <v>4</v>
      </c>
      <c r="X734" s="3" t="s">
        <v>5</v>
      </c>
      <c r="Y734" s="4" t="s">
        <v>6</v>
      </c>
      <c r="Z734" s="5" t="s">
        <v>7</v>
      </c>
      <c r="AA734" s="7" t="s">
        <v>8</v>
      </c>
      <c r="AB734" s="107" t="s">
        <v>5</v>
      </c>
      <c r="AC734" s="108" t="s">
        <v>6</v>
      </c>
      <c r="AD734" s="109" t="s">
        <v>7</v>
      </c>
      <c r="AE734" s="7" t="s">
        <v>8</v>
      </c>
      <c r="AF734" s="104"/>
    </row>
    <row r="735" spans="1:33" ht="14.25" thickBot="1" x14ac:dyDescent="0.2">
      <c r="A735" s="31" t="s">
        <v>14</v>
      </c>
      <c r="B735" s="32">
        <f>B729</f>
        <v>62</v>
      </c>
      <c r="C735" s="33">
        <f>C729</f>
        <v>73</v>
      </c>
      <c r="D735" s="34">
        <f>D729</f>
        <v>47</v>
      </c>
      <c r="E735" s="41">
        <f>SUM(B735:D735)</f>
        <v>182</v>
      </c>
      <c r="F735" s="32">
        <f>F729</f>
        <v>14</v>
      </c>
      <c r="G735" s="33">
        <f>G729</f>
        <v>24</v>
      </c>
      <c r="H735" s="34">
        <f>H729</f>
        <v>35</v>
      </c>
      <c r="I735" s="41">
        <f>SUM(F735:H735)</f>
        <v>73</v>
      </c>
      <c r="J735" s="41">
        <f>E735+I735</f>
        <v>255</v>
      </c>
      <c r="W735" s="31" t="s">
        <v>14</v>
      </c>
      <c r="X735" s="32">
        <f>X729</f>
        <v>62</v>
      </c>
      <c r="Y735" s="33">
        <f>Y729</f>
        <v>100</v>
      </c>
      <c r="Z735" s="33">
        <f>Z729</f>
        <v>0</v>
      </c>
      <c r="AA735" s="111">
        <f>SUM(X735:Z735)</f>
        <v>162</v>
      </c>
      <c r="AB735" s="32">
        <f>AB729</f>
        <v>107</v>
      </c>
      <c r="AC735" s="33">
        <f>AC729</f>
        <v>51</v>
      </c>
      <c r="AD735" s="95">
        <f>AD729</f>
        <v>279</v>
      </c>
      <c r="AE735" s="46">
        <f>SUM(AB735:AD735)</f>
        <v>437</v>
      </c>
      <c r="AF735" s="35">
        <f>AA735+AE735</f>
        <v>599</v>
      </c>
    </row>
    <row r="736" spans="1:33" x14ac:dyDescent="0.15">
      <c r="A736" s="28" t="s">
        <v>59</v>
      </c>
      <c r="B736" s="17"/>
      <c r="C736" s="18"/>
      <c r="D736" s="19"/>
      <c r="E736" s="20">
        <f t="shared" ref="E736:E743" si="318">SUM(B736:D736)</f>
        <v>0</v>
      </c>
      <c r="F736" s="21"/>
      <c r="G736" s="18">
        <v>1</v>
      </c>
      <c r="H736" s="19"/>
      <c r="I736" s="20">
        <f t="shared" ref="I736:I743" si="319">SUM(F736:H736)</f>
        <v>1</v>
      </c>
      <c r="J736" s="20">
        <f t="shared" ref="J736:J743" si="320">E736+I736</f>
        <v>1</v>
      </c>
      <c r="K736" s="71">
        <v>42555</v>
      </c>
      <c r="W736" s="28" t="s">
        <v>9</v>
      </c>
      <c r="X736" s="8"/>
      <c r="Y736" s="9"/>
      <c r="Z736" s="10"/>
      <c r="AA736" s="78">
        <f t="shared" ref="AA736:AA743" si="321">SUM(X736:Z736)</f>
        <v>0</v>
      </c>
      <c r="AB736" s="21"/>
      <c r="AC736" s="18"/>
      <c r="AD736" s="19"/>
      <c r="AE736" s="78">
        <f t="shared" ref="AE736:AE743" si="322">SUM(AB736:AD736)</f>
        <v>0</v>
      </c>
      <c r="AF736" s="78">
        <f t="shared" ref="AF736:AF743" si="323">AA736+AE736</f>
        <v>0</v>
      </c>
    </row>
    <row r="737" spans="1:33" x14ac:dyDescent="0.15">
      <c r="A737" s="28" t="s">
        <v>10</v>
      </c>
      <c r="B737" s="8"/>
      <c r="C737" s="9"/>
      <c r="D737" s="10"/>
      <c r="E737" s="11">
        <f t="shared" si="318"/>
        <v>0</v>
      </c>
      <c r="F737" s="12">
        <v>50</v>
      </c>
      <c r="G737" s="9">
        <v>50</v>
      </c>
      <c r="H737" s="10"/>
      <c r="I737" s="11">
        <f t="shared" si="319"/>
        <v>100</v>
      </c>
      <c r="J737" s="11">
        <f t="shared" si="320"/>
        <v>100</v>
      </c>
      <c r="K737" s="65">
        <v>42564</v>
      </c>
      <c r="W737" s="28" t="s">
        <v>10</v>
      </c>
      <c r="X737" s="8"/>
      <c r="Y737" s="9"/>
      <c r="Z737" s="10">
        <v>500</v>
      </c>
      <c r="AA737" s="11">
        <f t="shared" si="321"/>
        <v>500</v>
      </c>
      <c r="AB737" s="12"/>
      <c r="AC737" s="9"/>
      <c r="AD737" s="10"/>
      <c r="AE737" s="11">
        <f t="shared" si="322"/>
        <v>0</v>
      </c>
      <c r="AF737" s="11">
        <f t="shared" si="323"/>
        <v>500</v>
      </c>
      <c r="AG737" s="65">
        <v>42571</v>
      </c>
    </row>
    <row r="738" spans="1:33" x14ac:dyDescent="0.15">
      <c r="A738" s="28" t="s">
        <v>59</v>
      </c>
      <c r="B738" s="8">
        <v>2</v>
      </c>
      <c r="C738" s="9">
        <v>1</v>
      </c>
      <c r="D738" s="10">
        <v>2</v>
      </c>
      <c r="E738" s="11">
        <f t="shared" si="318"/>
        <v>5</v>
      </c>
      <c r="F738" s="12"/>
      <c r="G738" s="9">
        <v>1</v>
      </c>
      <c r="H738" s="10"/>
      <c r="I738" s="11">
        <f t="shared" si="319"/>
        <v>1</v>
      </c>
      <c r="J738" s="11">
        <f t="shared" si="320"/>
        <v>6</v>
      </c>
      <c r="K738" s="71">
        <v>42566</v>
      </c>
      <c r="W738" s="28" t="s">
        <v>11</v>
      </c>
      <c r="X738" s="8"/>
      <c r="Y738" s="9"/>
      <c r="Z738" s="10"/>
      <c r="AA738" s="11">
        <f t="shared" si="321"/>
        <v>0</v>
      </c>
      <c r="AB738" s="12"/>
      <c r="AC738" s="9"/>
      <c r="AD738" s="10"/>
      <c r="AE738" s="11">
        <f t="shared" si="322"/>
        <v>0</v>
      </c>
      <c r="AF738" s="11">
        <f t="shared" si="323"/>
        <v>0</v>
      </c>
      <c r="AG738" s="65"/>
    </row>
    <row r="739" spans="1:33" x14ac:dyDescent="0.15">
      <c r="A739" s="28" t="s">
        <v>63</v>
      </c>
      <c r="B739" s="8"/>
      <c r="C739" s="9"/>
      <c r="D739" s="10"/>
      <c r="E739" s="11">
        <f t="shared" si="318"/>
        <v>0</v>
      </c>
      <c r="F739" s="12"/>
      <c r="G739" s="9"/>
      <c r="H739" s="10">
        <v>2</v>
      </c>
      <c r="I739" s="11">
        <f t="shared" si="319"/>
        <v>2</v>
      </c>
      <c r="J739" s="11">
        <f t="shared" si="320"/>
        <v>2</v>
      </c>
      <c r="K739" s="65">
        <v>42571</v>
      </c>
      <c r="W739" s="28" t="s">
        <v>12</v>
      </c>
      <c r="X739" s="8"/>
      <c r="Y739" s="9"/>
      <c r="Z739" s="10"/>
      <c r="AA739" s="11">
        <f t="shared" si="321"/>
        <v>0</v>
      </c>
      <c r="AB739" s="12"/>
      <c r="AC739" s="9"/>
      <c r="AD739" s="10"/>
      <c r="AE739" s="11">
        <f t="shared" si="322"/>
        <v>0</v>
      </c>
      <c r="AF739" s="11">
        <f t="shared" si="323"/>
        <v>0</v>
      </c>
      <c r="AG739" s="65"/>
    </row>
    <row r="740" spans="1:33" x14ac:dyDescent="0.15">
      <c r="A740" s="28" t="s">
        <v>15</v>
      </c>
      <c r="B740" s="8"/>
      <c r="C740" s="9"/>
      <c r="D740" s="10">
        <v>25</v>
      </c>
      <c r="E740" s="11">
        <f t="shared" si="318"/>
        <v>25</v>
      </c>
      <c r="F740" s="12"/>
      <c r="G740" s="9"/>
      <c r="H740" s="10"/>
      <c r="I740" s="11">
        <f t="shared" si="319"/>
        <v>0</v>
      </c>
      <c r="J740" s="11">
        <f t="shared" si="320"/>
        <v>25</v>
      </c>
      <c r="K740" s="65">
        <v>42572</v>
      </c>
      <c r="W740" s="28" t="s">
        <v>437</v>
      </c>
      <c r="X740" s="8">
        <v>100</v>
      </c>
      <c r="Y740" s="9">
        <v>150</v>
      </c>
      <c r="Z740" s="10"/>
      <c r="AA740" s="11">
        <f t="shared" si="321"/>
        <v>250</v>
      </c>
      <c r="AB740" s="12">
        <v>80</v>
      </c>
      <c r="AC740" s="9">
        <v>100</v>
      </c>
      <c r="AD740" s="10">
        <v>80</v>
      </c>
      <c r="AE740" s="11">
        <f t="shared" si="322"/>
        <v>260</v>
      </c>
      <c r="AF740" s="11">
        <f t="shared" si="323"/>
        <v>510</v>
      </c>
      <c r="AG740" s="65">
        <v>42583</v>
      </c>
    </row>
    <row r="741" spans="1:33" x14ac:dyDescent="0.15">
      <c r="A741" s="28" t="s">
        <v>59</v>
      </c>
      <c r="B741" s="8">
        <v>4</v>
      </c>
      <c r="C741" s="9">
        <v>1</v>
      </c>
      <c r="D741" s="15"/>
      <c r="E741" s="11">
        <f>SUM(B741:D741)</f>
        <v>5</v>
      </c>
      <c r="F741" s="16"/>
      <c r="G741" s="14"/>
      <c r="H741" s="15"/>
      <c r="I741" s="11">
        <f>SUM(F741:H741)</f>
        <v>0</v>
      </c>
      <c r="J741" s="11">
        <f>E741+I741</f>
        <v>5</v>
      </c>
      <c r="K741" s="71">
        <v>42579</v>
      </c>
      <c r="W741" s="28" t="s">
        <v>361</v>
      </c>
      <c r="X741" s="8"/>
      <c r="Y741" s="9"/>
      <c r="Z741" s="10"/>
      <c r="AA741" s="11">
        <f t="shared" si="321"/>
        <v>0</v>
      </c>
      <c r="AB741" s="12"/>
      <c r="AC741" s="9"/>
      <c r="AD741" s="10"/>
      <c r="AE741" s="11">
        <f t="shared" si="322"/>
        <v>0</v>
      </c>
      <c r="AF741" s="11">
        <f t="shared" si="323"/>
        <v>0</v>
      </c>
      <c r="AG741" s="65"/>
    </row>
    <row r="742" spans="1:33" x14ac:dyDescent="0.15">
      <c r="A742" s="28" t="s">
        <v>441</v>
      </c>
      <c r="B742" s="8">
        <v>50</v>
      </c>
      <c r="C742" s="9">
        <v>50</v>
      </c>
      <c r="D742" s="10"/>
      <c r="E742" s="11">
        <f>SUM(B742:D742)</f>
        <v>100</v>
      </c>
      <c r="F742" s="12"/>
      <c r="G742" s="12"/>
      <c r="H742" s="15"/>
      <c r="I742" s="11">
        <f t="shared" si="319"/>
        <v>0</v>
      </c>
      <c r="J742" s="11">
        <f t="shared" si="320"/>
        <v>100</v>
      </c>
      <c r="K742" s="65">
        <v>42599</v>
      </c>
      <c r="W742" s="28" t="s">
        <v>17</v>
      </c>
      <c r="X742" s="13"/>
      <c r="Y742" s="14"/>
      <c r="Z742" s="15"/>
      <c r="AA742" s="11">
        <f t="shared" si="321"/>
        <v>0</v>
      </c>
      <c r="AB742" s="16"/>
      <c r="AC742" s="14"/>
      <c r="AD742" s="15"/>
      <c r="AE742" s="11">
        <f t="shared" si="322"/>
        <v>0</v>
      </c>
      <c r="AF742" s="11">
        <f t="shared" si="323"/>
        <v>0</v>
      </c>
      <c r="AG742" s="64"/>
    </row>
    <row r="743" spans="1:33" ht="14.25" thickBot="1" x14ac:dyDescent="0.2">
      <c r="A743" s="28" t="s">
        <v>441</v>
      </c>
      <c r="B743" s="127"/>
      <c r="C743" s="128"/>
      <c r="D743" s="129"/>
      <c r="E743" s="130">
        <f t="shared" si="318"/>
        <v>0</v>
      </c>
      <c r="F743" s="131"/>
      <c r="G743" s="131"/>
      <c r="H743" s="43">
        <v>50</v>
      </c>
      <c r="I743" s="22">
        <f t="shared" si="319"/>
        <v>50</v>
      </c>
      <c r="J743" s="22">
        <f t="shared" si="320"/>
        <v>50</v>
      </c>
      <c r="K743" s="65">
        <v>42598</v>
      </c>
      <c r="W743" s="28" t="s">
        <v>18</v>
      </c>
      <c r="X743" s="36"/>
      <c r="Y743" s="37"/>
      <c r="Z743" s="40"/>
      <c r="AA743" s="22">
        <f t="shared" si="321"/>
        <v>0</v>
      </c>
      <c r="AB743" s="38"/>
      <c r="AC743" s="38"/>
      <c r="AD743" s="43"/>
      <c r="AE743" s="22">
        <f t="shared" si="322"/>
        <v>0</v>
      </c>
      <c r="AF743" s="22">
        <f t="shared" si="323"/>
        <v>0</v>
      </c>
    </row>
    <row r="744" spans="1:33" ht="14.25" thickBot="1" x14ac:dyDescent="0.2">
      <c r="A744" s="39" t="s">
        <v>20</v>
      </c>
      <c r="B744" s="32">
        <f t="shared" ref="B744:J744" si="324">SUM(B735:B743)</f>
        <v>118</v>
      </c>
      <c r="C744" s="33">
        <f t="shared" si="324"/>
        <v>125</v>
      </c>
      <c r="D744" s="34">
        <f t="shared" si="324"/>
        <v>74</v>
      </c>
      <c r="E744" s="42">
        <f t="shared" si="324"/>
        <v>317</v>
      </c>
      <c r="F744" s="32">
        <f t="shared" si="324"/>
        <v>64</v>
      </c>
      <c r="G744" s="33">
        <f t="shared" si="324"/>
        <v>76</v>
      </c>
      <c r="H744" s="34">
        <f t="shared" si="324"/>
        <v>87</v>
      </c>
      <c r="I744" s="42">
        <f t="shared" si="324"/>
        <v>227</v>
      </c>
      <c r="J744" s="42">
        <f t="shared" si="324"/>
        <v>544</v>
      </c>
      <c r="W744" s="39" t="s">
        <v>20</v>
      </c>
      <c r="X744" s="32">
        <f t="shared" ref="X744:AF744" si="325">SUM(X735:X743)</f>
        <v>162</v>
      </c>
      <c r="Y744" s="33">
        <f t="shared" si="325"/>
        <v>250</v>
      </c>
      <c r="Z744" s="34">
        <f t="shared" si="325"/>
        <v>500</v>
      </c>
      <c r="AA744" s="42">
        <f t="shared" si="325"/>
        <v>912</v>
      </c>
      <c r="AB744" s="32">
        <f t="shared" si="325"/>
        <v>187</v>
      </c>
      <c r="AC744" s="33">
        <f t="shared" si="325"/>
        <v>151</v>
      </c>
      <c r="AD744" s="34">
        <f t="shared" si="325"/>
        <v>359</v>
      </c>
      <c r="AE744" s="42">
        <f t="shared" si="325"/>
        <v>697</v>
      </c>
      <c r="AF744" s="42">
        <f t="shared" si="325"/>
        <v>1609</v>
      </c>
    </row>
    <row r="745" spans="1:33" x14ac:dyDescent="0.15">
      <c r="A745" s="27" t="s">
        <v>246</v>
      </c>
      <c r="B745" s="13">
        <v>4</v>
      </c>
      <c r="C745" s="14"/>
      <c r="D745" s="15"/>
      <c r="E745" s="11">
        <f>SUM(B745:D745)</f>
        <v>4</v>
      </c>
      <c r="F745" s="16">
        <v>2</v>
      </c>
      <c r="G745" s="14">
        <v>2</v>
      </c>
      <c r="H745" s="15"/>
      <c r="I745" s="11">
        <f>SUM(F745:H745)</f>
        <v>4</v>
      </c>
      <c r="J745" s="11">
        <f>E745+I745</f>
        <v>8</v>
      </c>
      <c r="K745" s="65">
        <v>42558</v>
      </c>
      <c r="L745" s="64"/>
      <c r="W745" s="27" t="s">
        <v>447</v>
      </c>
      <c r="X745" s="8">
        <v>5</v>
      </c>
      <c r="Y745" s="9">
        <v>5</v>
      </c>
      <c r="Z745" s="10">
        <v>5</v>
      </c>
      <c r="AA745" s="11">
        <f>SUM(X745:Z745)</f>
        <v>15</v>
      </c>
      <c r="AB745" s="12">
        <v>5</v>
      </c>
      <c r="AC745" s="9">
        <v>5</v>
      </c>
      <c r="AD745" s="10">
        <v>5</v>
      </c>
      <c r="AE745" s="11">
        <f>SUM(AB745:AD745)</f>
        <v>15</v>
      </c>
      <c r="AF745" s="11">
        <f>AA745+AE745</f>
        <v>30</v>
      </c>
      <c r="AG745" s="65">
        <v>42590</v>
      </c>
    </row>
    <row r="746" spans="1:33" x14ac:dyDescent="0.15">
      <c r="A746" s="29" t="s">
        <v>422</v>
      </c>
      <c r="B746" s="13"/>
      <c r="C746" s="14">
        <v>3</v>
      </c>
      <c r="D746" s="15">
        <v>2</v>
      </c>
      <c r="E746" s="11">
        <f t="shared" ref="E746:E770" si="326">SUM(B746:D746)</f>
        <v>5</v>
      </c>
      <c r="F746" s="16"/>
      <c r="G746" s="14">
        <v>2</v>
      </c>
      <c r="H746" s="15">
        <v>2</v>
      </c>
      <c r="I746" s="11">
        <f t="shared" ref="I746:I770" si="327">SUM(F746:H746)</f>
        <v>4</v>
      </c>
      <c r="J746" s="11">
        <f t="shared" ref="J746:J770" si="328">E746+I746</f>
        <v>9</v>
      </c>
      <c r="K746" s="65">
        <v>42557</v>
      </c>
      <c r="W746" s="27" t="s">
        <v>442</v>
      </c>
      <c r="X746" s="8">
        <v>50</v>
      </c>
      <c r="Y746" s="9">
        <v>50</v>
      </c>
      <c r="Z746" s="10"/>
      <c r="AA746" s="11">
        <f>SUM(X746:Z746)</f>
        <v>100</v>
      </c>
      <c r="AB746" s="12"/>
      <c r="AC746" s="9"/>
      <c r="AD746" s="10"/>
      <c r="AE746" s="11">
        <f>SUM(AB746:AD746)</f>
        <v>0</v>
      </c>
      <c r="AF746" s="11">
        <f>AA746+AE746</f>
        <v>100</v>
      </c>
      <c r="AG746" s="65">
        <v>42599</v>
      </c>
    </row>
    <row r="747" spans="1:33" x14ac:dyDescent="0.15">
      <c r="A747" s="29" t="s">
        <v>423</v>
      </c>
      <c r="B747" s="8"/>
      <c r="C747" s="9">
        <v>2</v>
      </c>
      <c r="D747" s="10"/>
      <c r="E747" s="11">
        <f t="shared" si="326"/>
        <v>2</v>
      </c>
      <c r="F747" s="12"/>
      <c r="G747" s="9"/>
      <c r="H747" s="10"/>
      <c r="I747" s="11">
        <f t="shared" si="327"/>
        <v>0</v>
      </c>
      <c r="J747" s="11">
        <f t="shared" si="328"/>
        <v>2</v>
      </c>
      <c r="K747" s="65">
        <v>42558</v>
      </c>
      <c r="W747" s="27" t="s">
        <v>41</v>
      </c>
      <c r="X747" s="8"/>
      <c r="Y747" s="9"/>
      <c r="Z747" s="10"/>
      <c r="AA747" s="11">
        <f t="shared" ref="AA747:AA770" si="329">SUM(X747:Z747)</f>
        <v>0</v>
      </c>
      <c r="AB747" s="12"/>
      <c r="AC747" s="9"/>
      <c r="AD747" s="10">
        <v>50</v>
      </c>
      <c r="AE747" s="11">
        <f t="shared" ref="AE747:AE770" si="330">SUM(AB747:AD747)</f>
        <v>50</v>
      </c>
      <c r="AF747" s="11">
        <f t="shared" ref="AF747:AF770" si="331">AA747+AE747</f>
        <v>50</v>
      </c>
      <c r="AG747" s="65">
        <v>42598</v>
      </c>
    </row>
    <row r="748" spans="1:33" x14ac:dyDescent="0.15">
      <c r="A748" s="29" t="s">
        <v>424</v>
      </c>
      <c r="B748" s="8"/>
      <c r="C748" s="9"/>
      <c r="D748" s="10"/>
      <c r="E748" s="11">
        <f t="shared" si="326"/>
        <v>0</v>
      </c>
      <c r="F748" s="12"/>
      <c r="G748" s="9">
        <v>5</v>
      </c>
      <c r="H748" s="10"/>
      <c r="I748" s="11">
        <f t="shared" si="327"/>
        <v>5</v>
      </c>
      <c r="J748" s="11">
        <f t="shared" si="328"/>
        <v>5</v>
      </c>
      <c r="K748" s="71">
        <v>42558</v>
      </c>
      <c r="L748" s="64"/>
      <c r="W748" s="27" t="s">
        <v>448</v>
      </c>
      <c r="X748" s="8">
        <v>65</v>
      </c>
      <c r="Y748" s="9">
        <v>85</v>
      </c>
      <c r="Z748" s="10">
        <v>35</v>
      </c>
      <c r="AA748" s="11">
        <f t="shared" si="329"/>
        <v>185</v>
      </c>
      <c r="AB748" s="12">
        <v>10</v>
      </c>
      <c r="AC748" s="9">
        <v>5</v>
      </c>
      <c r="AD748" s="10">
        <v>5</v>
      </c>
      <c r="AE748" s="11">
        <f t="shared" si="330"/>
        <v>20</v>
      </c>
      <c r="AF748" s="11">
        <f t="shared" si="331"/>
        <v>205</v>
      </c>
      <c r="AG748" s="65">
        <v>42600</v>
      </c>
    </row>
    <row r="749" spans="1:33" x14ac:dyDescent="0.15">
      <c r="A749" s="27" t="s">
        <v>425</v>
      </c>
      <c r="B749" s="8">
        <v>35</v>
      </c>
      <c r="C749" s="9">
        <v>35</v>
      </c>
      <c r="D749" s="10">
        <v>35</v>
      </c>
      <c r="E749" s="11">
        <f>SUM(B749:D749)</f>
        <v>105</v>
      </c>
      <c r="F749" s="12">
        <v>20</v>
      </c>
      <c r="G749" s="9">
        <v>20</v>
      </c>
      <c r="H749" s="10">
        <v>20</v>
      </c>
      <c r="I749" s="11">
        <f t="shared" si="327"/>
        <v>60</v>
      </c>
      <c r="J749" s="11">
        <f t="shared" si="328"/>
        <v>165</v>
      </c>
      <c r="K749" s="65">
        <v>42567</v>
      </c>
      <c r="W749" s="29"/>
      <c r="X749" s="8"/>
      <c r="Y749" s="9"/>
      <c r="Z749" s="10"/>
      <c r="AA749" s="11">
        <f t="shared" si="329"/>
        <v>0</v>
      </c>
      <c r="AB749" s="12"/>
      <c r="AC749" s="9"/>
      <c r="AD749" s="10"/>
      <c r="AE749" s="11">
        <f t="shared" si="330"/>
        <v>0</v>
      </c>
      <c r="AF749" s="11">
        <f t="shared" si="331"/>
        <v>0</v>
      </c>
    </row>
    <row r="750" spans="1:33" x14ac:dyDescent="0.15">
      <c r="A750" s="27" t="s">
        <v>426</v>
      </c>
      <c r="B750" s="8">
        <v>1</v>
      </c>
      <c r="C750" s="9">
        <v>3</v>
      </c>
      <c r="D750" s="10"/>
      <c r="E750" s="11">
        <f t="shared" si="326"/>
        <v>4</v>
      </c>
      <c r="F750" s="12"/>
      <c r="G750" s="9"/>
      <c r="H750" s="10"/>
      <c r="I750" s="11">
        <f t="shared" si="327"/>
        <v>0</v>
      </c>
      <c r="J750" s="11">
        <f t="shared" si="328"/>
        <v>4</v>
      </c>
      <c r="K750" s="71">
        <v>42567</v>
      </c>
      <c r="W750" s="27"/>
      <c r="X750" s="8"/>
      <c r="Y750" s="9"/>
      <c r="Z750" s="10"/>
      <c r="AA750" s="11">
        <f t="shared" si="329"/>
        <v>0</v>
      </c>
      <c r="AB750" s="12"/>
      <c r="AC750" s="9"/>
      <c r="AD750" s="10"/>
      <c r="AE750" s="11">
        <f t="shared" si="330"/>
        <v>0</v>
      </c>
      <c r="AF750" s="11">
        <f t="shared" si="331"/>
        <v>0</v>
      </c>
    </row>
    <row r="751" spans="1:33" x14ac:dyDescent="0.15">
      <c r="A751" s="29" t="s">
        <v>427</v>
      </c>
      <c r="B751" s="8"/>
      <c r="C751" s="9"/>
      <c r="D751" s="10"/>
      <c r="E751" s="11">
        <f t="shared" si="326"/>
        <v>0</v>
      </c>
      <c r="F751" s="12">
        <v>1</v>
      </c>
      <c r="G751" s="9"/>
      <c r="H751" s="10"/>
      <c r="I751" s="11">
        <f t="shared" si="327"/>
        <v>1</v>
      </c>
      <c r="J751" s="11">
        <f t="shared" si="328"/>
        <v>1</v>
      </c>
      <c r="K751" s="65">
        <v>42567</v>
      </c>
      <c r="W751" s="29"/>
      <c r="X751" s="8"/>
      <c r="Y751" s="9"/>
      <c r="Z751" s="10"/>
      <c r="AA751" s="11">
        <f t="shared" si="329"/>
        <v>0</v>
      </c>
      <c r="AB751" s="12"/>
      <c r="AC751" s="9"/>
      <c r="AD751" s="10"/>
      <c r="AE751" s="11">
        <f t="shared" si="330"/>
        <v>0</v>
      </c>
      <c r="AF751" s="11">
        <f t="shared" si="331"/>
        <v>0</v>
      </c>
    </row>
    <row r="752" spans="1:33" x14ac:dyDescent="0.15">
      <c r="A752" s="29" t="s">
        <v>428</v>
      </c>
      <c r="B752" s="8"/>
      <c r="C752" s="9"/>
      <c r="D752" s="10">
        <v>1</v>
      </c>
      <c r="E752" s="11">
        <f t="shared" si="326"/>
        <v>1</v>
      </c>
      <c r="F752" s="12"/>
      <c r="G752" s="9"/>
      <c r="H752" s="10"/>
      <c r="I752" s="11">
        <f t="shared" si="327"/>
        <v>0</v>
      </c>
      <c r="J752" s="11">
        <f t="shared" si="328"/>
        <v>1</v>
      </c>
      <c r="K752" s="65">
        <v>42571</v>
      </c>
      <c r="W752" s="29"/>
      <c r="X752" s="8"/>
      <c r="Y752" s="9"/>
      <c r="Z752" s="10"/>
      <c r="AA752" s="11">
        <f t="shared" si="329"/>
        <v>0</v>
      </c>
      <c r="AB752" s="12"/>
      <c r="AC752" s="9"/>
      <c r="AD752" s="10"/>
      <c r="AE752" s="11">
        <f t="shared" si="330"/>
        <v>0</v>
      </c>
      <c r="AF752" s="11">
        <f t="shared" si="331"/>
        <v>0</v>
      </c>
    </row>
    <row r="753" spans="1:33" x14ac:dyDescent="0.15">
      <c r="A753" s="29" t="s">
        <v>431</v>
      </c>
      <c r="B753" s="13"/>
      <c r="C753" s="14">
        <v>1</v>
      </c>
      <c r="D753" s="15"/>
      <c r="E753" s="11">
        <f t="shared" si="326"/>
        <v>1</v>
      </c>
      <c r="F753" s="16"/>
      <c r="G753" s="14">
        <v>1</v>
      </c>
      <c r="H753" s="15"/>
      <c r="I753" s="11">
        <f t="shared" si="327"/>
        <v>1</v>
      </c>
      <c r="J753" s="11">
        <f t="shared" si="328"/>
        <v>2</v>
      </c>
      <c r="K753" s="65">
        <v>42571</v>
      </c>
      <c r="W753" s="27"/>
      <c r="X753" s="8"/>
      <c r="Y753" s="9"/>
      <c r="Z753" s="10"/>
      <c r="AA753" s="11">
        <f t="shared" si="329"/>
        <v>0</v>
      </c>
      <c r="AB753" s="12"/>
      <c r="AC753" s="9"/>
      <c r="AD753" s="10"/>
      <c r="AE753" s="11">
        <f t="shared" si="330"/>
        <v>0</v>
      </c>
      <c r="AF753" s="11">
        <f t="shared" si="331"/>
        <v>0</v>
      </c>
    </row>
    <row r="754" spans="1:33" x14ac:dyDescent="0.15">
      <c r="A754" s="29" t="s">
        <v>430</v>
      </c>
      <c r="B754" s="13"/>
      <c r="C754" s="14"/>
      <c r="D754" s="15">
        <v>10</v>
      </c>
      <c r="E754" s="11">
        <f t="shared" si="326"/>
        <v>10</v>
      </c>
      <c r="F754" s="16"/>
      <c r="G754" s="14"/>
      <c r="H754" s="15"/>
      <c r="I754" s="11">
        <f t="shared" si="327"/>
        <v>0</v>
      </c>
      <c r="J754" s="11">
        <f t="shared" si="328"/>
        <v>10</v>
      </c>
      <c r="K754" s="65">
        <v>42576</v>
      </c>
      <c r="W754" s="29"/>
      <c r="X754" s="13"/>
      <c r="Y754" s="14"/>
      <c r="Z754" s="15"/>
      <c r="AA754" s="11">
        <f t="shared" si="329"/>
        <v>0</v>
      </c>
      <c r="AB754" s="16"/>
      <c r="AC754" s="14"/>
      <c r="AD754" s="15"/>
      <c r="AE754" s="11">
        <f t="shared" si="330"/>
        <v>0</v>
      </c>
      <c r="AF754" s="11">
        <f t="shared" si="331"/>
        <v>0</v>
      </c>
    </row>
    <row r="755" spans="1:33" x14ac:dyDescent="0.15">
      <c r="A755" s="29" t="s">
        <v>432</v>
      </c>
      <c r="B755" s="8"/>
      <c r="C755" s="9">
        <v>1</v>
      </c>
      <c r="D755" s="10"/>
      <c r="E755" s="11">
        <f t="shared" si="326"/>
        <v>1</v>
      </c>
      <c r="F755" s="12"/>
      <c r="G755" s="9"/>
      <c r="H755" s="10"/>
      <c r="I755" s="11">
        <f t="shared" si="327"/>
        <v>0</v>
      </c>
      <c r="J755" s="11">
        <f t="shared" si="328"/>
        <v>1</v>
      </c>
      <c r="K755" s="65">
        <v>42572</v>
      </c>
      <c r="W755" s="29"/>
      <c r="X755" s="8"/>
      <c r="Y755" s="9"/>
      <c r="Z755" s="10"/>
      <c r="AA755" s="11">
        <f t="shared" si="329"/>
        <v>0</v>
      </c>
      <c r="AB755" s="12"/>
      <c r="AC755" s="9"/>
      <c r="AD755" s="10"/>
      <c r="AE755" s="11">
        <f t="shared" si="330"/>
        <v>0</v>
      </c>
      <c r="AF755" s="11">
        <f t="shared" si="331"/>
        <v>0</v>
      </c>
    </row>
    <row r="756" spans="1:33" x14ac:dyDescent="0.15">
      <c r="A756" s="29" t="s">
        <v>434</v>
      </c>
      <c r="B756" s="8">
        <v>1</v>
      </c>
      <c r="C756" s="9"/>
      <c r="D756" s="10"/>
      <c r="E756" s="11">
        <f t="shared" si="326"/>
        <v>1</v>
      </c>
      <c r="F756" s="12"/>
      <c r="G756" s="9">
        <v>1</v>
      </c>
      <c r="H756" s="10"/>
      <c r="I756" s="11">
        <f t="shared" si="327"/>
        <v>1</v>
      </c>
      <c r="J756" s="11">
        <f t="shared" si="328"/>
        <v>2</v>
      </c>
      <c r="K756" s="65">
        <v>42577</v>
      </c>
      <c r="W756" s="29"/>
      <c r="X756" s="8"/>
      <c r="Y756" s="9"/>
      <c r="Z756" s="10"/>
      <c r="AA756" s="11">
        <f t="shared" si="329"/>
        <v>0</v>
      </c>
      <c r="AB756" s="12"/>
      <c r="AC756" s="9"/>
      <c r="AD756" s="10"/>
      <c r="AE756" s="11">
        <f t="shared" si="330"/>
        <v>0</v>
      </c>
      <c r="AF756" s="11">
        <f t="shared" si="331"/>
        <v>0</v>
      </c>
    </row>
    <row r="757" spans="1:33" x14ac:dyDescent="0.15">
      <c r="A757" s="29" t="s">
        <v>35</v>
      </c>
      <c r="B757" s="8"/>
      <c r="C757" s="14">
        <v>10</v>
      </c>
      <c r="D757" s="10"/>
      <c r="E757" s="11">
        <f t="shared" si="326"/>
        <v>10</v>
      </c>
      <c r="F757" s="12"/>
      <c r="G757" s="9"/>
      <c r="H757" s="10"/>
      <c r="I757" s="11">
        <f t="shared" si="327"/>
        <v>0</v>
      </c>
      <c r="J757" s="11">
        <f t="shared" si="328"/>
        <v>10</v>
      </c>
      <c r="K757" s="65">
        <v>42583</v>
      </c>
      <c r="W757" s="27"/>
      <c r="X757" s="8"/>
      <c r="Y757" s="9"/>
      <c r="Z757" s="10"/>
      <c r="AA757" s="11">
        <f t="shared" si="329"/>
        <v>0</v>
      </c>
      <c r="AB757" s="12"/>
      <c r="AC757" s="9"/>
      <c r="AD757" s="10"/>
      <c r="AE757" s="11">
        <f t="shared" si="330"/>
        <v>0</v>
      </c>
      <c r="AF757" s="11">
        <f t="shared" si="331"/>
        <v>0</v>
      </c>
    </row>
    <row r="758" spans="1:33" x14ac:dyDescent="0.15">
      <c r="A758" s="27" t="s">
        <v>435</v>
      </c>
      <c r="B758" s="64">
        <v>3</v>
      </c>
      <c r="C758" s="9">
        <v>3</v>
      </c>
      <c r="D758" s="87"/>
      <c r="E758" s="11">
        <f>SUM(C758:D758)</f>
        <v>3</v>
      </c>
      <c r="F758" s="12"/>
      <c r="G758" s="9"/>
      <c r="H758" s="10"/>
      <c r="I758" s="11">
        <f t="shared" si="327"/>
        <v>0</v>
      </c>
      <c r="J758" s="11">
        <f t="shared" si="328"/>
        <v>3</v>
      </c>
      <c r="K758" s="65">
        <v>42585</v>
      </c>
      <c r="W758" s="29"/>
      <c r="X758" s="8"/>
      <c r="Y758" s="9"/>
      <c r="Z758" s="10"/>
      <c r="AA758" s="11">
        <f t="shared" si="329"/>
        <v>0</v>
      </c>
      <c r="AB758" s="12"/>
      <c r="AC758" s="9"/>
      <c r="AD758" s="10"/>
      <c r="AE758" s="11">
        <f t="shared" si="330"/>
        <v>0</v>
      </c>
      <c r="AF758" s="11">
        <f t="shared" si="331"/>
        <v>0</v>
      </c>
    </row>
    <row r="759" spans="1:33" x14ac:dyDescent="0.15">
      <c r="A759" s="29" t="s">
        <v>436</v>
      </c>
      <c r="B759" s="8"/>
      <c r="C759" s="18">
        <v>2</v>
      </c>
      <c r="D759" s="10"/>
      <c r="E759" s="11">
        <f t="shared" si="326"/>
        <v>2</v>
      </c>
      <c r="F759" s="12"/>
      <c r="G759" s="9"/>
      <c r="H759" s="10"/>
      <c r="I759" s="11">
        <f t="shared" si="327"/>
        <v>0</v>
      </c>
      <c r="J759" s="11">
        <f t="shared" si="328"/>
        <v>2</v>
      </c>
      <c r="K759" s="65">
        <v>42586</v>
      </c>
      <c r="W759" s="29"/>
      <c r="X759" s="8"/>
      <c r="Y759" s="9"/>
      <c r="Z759" s="10"/>
      <c r="AA759" s="11">
        <f t="shared" si="329"/>
        <v>0</v>
      </c>
      <c r="AB759" s="12"/>
      <c r="AC759" s="9"/>
      <c r="AD759" s="10"/>
      <c r="AE759" s="11">
        <f t="shared" si="330"/>
        <v>0</v>
      </c>
      <c r="AF759" s="11">
        <f t="shared" si="331"/>
        <v>0</v>
      </c>
    </row>
    <row r="760" spans="1:33" x14ac:dyDescent="0.15">
      <c r="A760" s="29" t="s">
        <v>438</v>
      </c>
      <c r="B760" s="8"/>
      <c r="C760" s="9"/>
      <c r="D760" s="10"/>
      <c r="E760" s="11">
        <f t="shared" si="326"/>
        <v>0</v>
      </c>
      <c r="F760" s="12"/>
      <c r="G760" s="9">
        <v>2</v>
      </c>
      <c r="H760" s="10"/>
      <c r="I760" s="11">
        <f t="shared" si="327"/>
        <v>2</v>
      </c>
      <c r="J760" s="11">
        <f t="shared" si="328"/>
        <v>2</v>
      </c>
      <c r="K760" s="71">
        <v>42586</v>
      </c>
      <c r="W760" s="27"/>
      <c r="X760" s="8"/>
      <c r="Y760" s="9"/>
      <c r="Z760" s="10"/>
      <c r="AA760" s="11">
        <f t="shared" si="329"/>
        <v>0</v>
      </c>
      <c r="AB760" s="12"/>
      <c r="AC760" s="9"/>
      <c r="AD760" s="10"/>
      <c r="AE760" s="11">
        <f t="shared" si="330"/>
        <v>0</v>
      </c>
      <c r="AF760" s="11">
        <f t="shared" si="331"/>
        <v>0</v>
      </c>
    </row>
    <row r="761" spans="1:33" x14ac:dyDescent="0.15">
      <c r="A761" s="29" t="s">
        <v>439</v>
      </c>
      <c r="B761" s="8"/>
      <c r="C761" s="9"/>
      <c r="D761" s="10"/>
      <c r="E761" s="11">
        <f t="shared" si="326"/>
        <v>0</v>
      </c>
      <c r="F761" s="12">
        <v>1</v>
      </c>
      <c r="G761" s="9"/>
      <c r="H761" s="10"/>
      <c r="I761" s="11">
        <f t="shared" si="327"/>
        <v>1</v>
      </c>
      <c r="J761" s="11">
        <f t="shared" si="328"/>
        <v>1</v>
      </c>
      <c r="K761" s="65">
        <v>42588</v>
      </c>
      <c r="W761" s="29"/>
      <c r="X761" s="8"/>
      <c r="Y761" s="9"/>
      <c r="Z761" s="10"/>
      <c r="AA761" s="11">
        <f t="shared" si="329"/>
        <v>0</v>
      </c>
      <c r="AB761" s="12"/>
      <c r="AC761" s="9"/>
      <c r="AD761" s="10"/>
      <c r="AE761" s="11">
        <f t="shared" si="330"/>
        <v>0</v>
      </c>
      <c r="AF761" s="11">
        <f t="shared" si="331"/>
        <v>0</v>
      </c>
    </row>
    <row r="762" spans="1:33" x14ac:dyDescent="0.15">
      <c r="A762" s="29" t="s">
        <v>386</v>
      </c>
      <c r="B762" s="8">
        <v>1</v>
      </c>
      <c r="C762" s="9"/>
      <c r="D762" s="10">
        <v>2</v>
      </c>
      <c r="E762" s="11">
        <f t="shared" si="326"/>
        <v>3</v>
      </c>
      <c r="F762" s="12">
        <v>1</v>
      </c>
      <c r="G762" s="9">
        <v>2</v>
      </c>
      <c r="H762" s="10"/>
      <c r="I762" s="11">
        <f t="shared" si="327"/>
        <v>3</v>
      </c>
      <c r="J762" s="11">
        <f t="shared" si="328"/>
        <v>6</v>
      </c>
      <c r="K762" s="65">
        <v>42591</v>
      </c>
      <c r="W762" s="27"/>
      <c r="X762" s="8"/>
      <c r="Y762" s="9"/>
      <c r="Z762" s="10"/>
      <c r="AA762" s="11">
        <f t="shared" si="329"/>
        <v>0</v>
      </c>
      <c r="AB762" s="12"/>
      <c r="AC762" s="9"/>
      <c r="AD762" s="10"/>
      <c r="AE762" s="11">
        <f t="shared" si="330"/>
        <v>0</v>
      </c>
      <c r="AF762" s="11">
        <f t="shared" si="331"/>
        <v>0</v>
      </c>
    </row>
    <row r="763" spans="1:33" x14ac:dyDescent="0.15">
      <c r="A763" s="26" t="s">
        <v>440</v>
      </c>
      <c r="B763" s="8">
        <v>5</v>
      </c>
      <c r="C763" s="9">
        <v>4</v>
      </c>
      <c r="D763" s="10"/>
      <c r="E763" s="11">
        <f t="shared" si="326"/>
        <v>9</v>
      </c>
      <c r="F763" s="12"/>
      <c r="G763" s="9">
        <v>1</v>
      </c>
      <c r="H763" s="10"/>
      <c r="I763" s="11">
        <f t="shared" si="327"/>
        <v>1</v>
      </c>
      <c r="J763" s="11">
        <f t="shared" si="328"/>
        <v>10</v>
      </c>
      <c r="K763" s="71">
        <v>42593</v>
      </c>
      <c r="W763" s="26"/>
      <c r="X763" s="8"/>
      <c r="Y763" s="9"/>
      <c r="Z763" s="10"/>
      <c r="AA763" s="11">
        <f t="shared" si="329"/>
        <v>0</v>
      </c>
      <c r="AB763" s="12"/>
      <c r="AC763" s="9"/>
      <c r="AD763" s="10"/>
      <c r="AE763" s="11">
        <f t="shared" si="330"/>
        <v>0</v>
      </c>
      <c r="AF763" s="11">
        <f t="shared" si="331"/>
        <v>0</v>
      </c>
    </row>
    <row r="764" spans="1:33" x14ac:dyDescent="0.15">
      <c r="A764" s="29" t="s">
        <v>386</v>
      </c>
      <c r="B764" s="8">
        <v>4</v>
      </c>
      <c r="C764" s="9">
        <v>2</v>
      </c>
      <c r="D764" s="10">
        <v>1</v>
      </c>
      <c r="E764" s="11">
        <f t="shared" si="326"/>
        <v>7</v>
      </c>
      <c r="F764" s="12">
        <v>1</v>
      </c>
      <c r="G764" s="9">
        <v>1</v>
      </c>
      <c r="H764" s="10">
        <v>1</v>
      </c>
      <c r="I764" s="11">
        <f t="shared" si="327"/>
        <v>3</v>
      </c>
      <c r="J764" s="11">
        <f t="shared" si="328"/>
        <v>10</v>
      </c>
      <c r="K764" s="65">
        <v>42593</v>
      </c>
      <c r="W764" s="26"/>
      <c r="X764" s="8"/>
      <c r="Y764" s="9"/>
      <c r="Z764" s="10"/>
      <c r="AA764" s="11">
        <f t="shared" si="329"/>
        <v>0</v>
      </c>
      <c r="AB764" s="12"/>
      <c r="AC764" s="9"/>
      <c r="AD764" s="10"/>
      <c r="AE764" s="11">
        <f t="shared" si="330"/>
        <v>0</v>
      </c>
      <c r="AF764" s="11">
        <f t="shared" si="331"/>
        <v>0</v>
      </c>
    </row>
    <row r="765" spans="1:33" x14ac:dyDescent="0.15">
      <c r="A765" s="27" t="s">
        <v>443</v>
      </c>
      <c r="B765" s="8"/>
      <c r="C765" s="9"/>
      <c r="D765" s="10"/>
      <c r="E765" s="11">
        <f t="shared" si="326"/>
        <v>0</v>
      </c>
      <c r="F765" s="12"/>
      <c r="G765" s="9"/>
      <c r="H765" s="10">
        <v>30</v>
      </c>
      <c r="I765" s="11">
        <f t="shared" si="327"/>
        <v>30</v>
      </c>
      <c r="J765" s="11">
        <f t="shared" si="328"/>
        <v>30</v>
      </c>
      <c r="K765" s="65">
        <v>42599</v>
      </c>
      <c r="W765" s="27"/>
      <c r="X765" s="8"/>
      <c r="Y765" s="9"/>
      <c r="Z765" s="10"/>
      <c r="AA765" s="11">
        <f t="shared" si="329"/>
        <v>0</v>
      </c>
      <c r="AB765" s="12"/>
      <c r="AC765" s="9"/>
      <c r="AD765" s="10"/>
      <c r="AE765" s="11">
        <f t="shared" si="330"/>
        <v>0</v>
      </c>
      <c r="AF765" s="11">
        <f t="shared" si="331"/>
        <v>0</v>
      </c>
      <c r="AG765" s="64"/>
    </row>
    <row r="766" spans="1:33" x14ac:dyDescent="0.15">
      <c r="A766" s="29" t="s">
        <v>444</v>
      </c>
      <c r="B766" s="13"/>
      <c r="C766" s="14">
        <v>-1</v>
      </c>
      <c r="D766" s="15">
        <v>-1</v>
      </c>
      <c r="E766" s="11">
        <f t="shared" si="326"/>
        <v>-2</v>
      </c>
      <c r="F766" s="16"/>
      <c r="G766" s="14"/>
      <c r="H766" s="15"/>
      <c r="I766" s="11">
        <f t="shared" si="327"/>
        <v>0</v>
      </c>
      <c r="J766" s="11">
        <f t="shared" si="328"/>
        <v>-2</v>
      </c>
      <c r="K766" s="71">
        <v>42598</v>
      </c>
      <c r="W766" s="27"/>
      <c r="X766" s="13"/>
      <c r="Y766" s="14"/>
      <c r="Z766" s="15"/>
      <c r="AA766" s="11">
        <f t="shared" si="329"/>
        <v>0</v>
      </c>
      <c r="AB766" s="16"/>
      <c r="AC766" s="14"/>
      <c r="AD766" s="15"/>
      <c r="AE766" s="11">
        <f t="shared" si="330"/>
        <v>0</v>
      </c>
      <c r="AF766" s="11">
        <f t="shared" si="331"/>
        <v>0</v>
      </c>
      <c r="AG766" s="64"/>
    </row>
    <row r="767" spans="1:33" x14ac:dyDescent="0.15">
      <c r="A767" s="27" t="s">
        <v>445</v>
      </c>
      <c r="B767" s="8">
        <v>1</v>
      </c>
      <c r="C767" s="9"/>
      <c r="D767" s="10">
        <v>1</v>
      </c>
      <c r="E767" s="11">
        <f t="shared" si="326"/>
        <v>2</v>
      </c>
      <c r="F767" s="12"/>
      <c r="G767" s="9"/>
      <c r="H767" s="10">
        <v>1</v>
      </c>
      <c r="I767" s="11">
        <f t="shared" si="327"/>
        <v>1</v>
      </c>
      <c r="J767" s="11">
        <f t="shared" si="328"/>
        <v>3</v>
      </c>
      <c r="K767" s="65">
        <v>42599</v>
      </c>
      <c r="W767" s="27"/>
      <c r="X767" s="13"/>
      <c r="Y767" s="14"/>
      <c r="Z767" s="15"/>
      <c r="AA767" s="11">
        <f t="shared" si="329"/>
        <v>0</v>
      </c>
      <c r="AB767" s="16"/>
      <c r="AC767" s="14"/>
      <c r="AD767" s="15"/>
      <c r="AE767" s="11">
        <f t="shared" si="330"/>
        <v>0</v>
      </c>
      <c r="AF767" s="11">
        <f t="shared" si="331"/>
        <v>0</v>
      </c>
      <c r="AG767" s="64"/>
    </row>
    <row r="768" spans="1:33" x14ac:dyDescent="0.15">
      <c r="A768" s="27" t="s">
        <v>386</v>
      </c>
      <c r="B768" s="8"/>
      <c r="C768" s="9">
        <v>2</v>
      </c>
      <c r="D768" s="10">
        <v>2</v>
      </c>
      <c r="E768" s="11">
        <f t="shared" si="326"/>
        <v>4</v>
      </c>
      <c r="F768" s="12"/>
      <c r="G768" s="9">
        <v>1</v>
      </c>
      <c r="H768" s="10">
        <v>1</v>
      </c>
      <c r="I768" s="11">
        <f t="shared" si="327"/>
        <v>2</v>
      </c>
      <c r="J768" s="11">
        <f t="shared" si="328"/>
        <v>6</v>
      </c>
      <c r="K768" s="65">
        <v>42600</v>
      </c>
      <c r="W768" s="27"/>
      <c r="X768" s="13"/>
      <c r="Y768" s="14"/>
      <c r="Z768" s="15"/>
      <c r="AA768" s="11">
        <f t="shared" si="329"/>
        <v>0</v>
      </c>
      <c r="AB768" s="16"/>
      <c r="AC768" s="14"/>
      <c r="AD768" s="15"/>
      <c r="AE768" s="11">
        <f t="shared" si="330"/>
        <v>0</v>
      </c>
      <c r="AF768" s="11">
        <f t="shared" si="331"/>
        <v>0</v>
      </c>
      <c r="AG768" s="65"/>
    </row>
    <row r="769" spans="1:33" x14ac:dyDescent="0.15">
      <c r="A769" s="29"/>
      <c r="B769" s="8"/>
      <c r="C769" s="9"/>
      <c r="D769" s="10"/>
      <c r="E769" s="11">
        <f t="shared" si="326"/>
        <v>0</v>
      </c>
      <c r="F769" s="12"/>
      <c r="G769" s="9"/>
      <c r="H769" s="10"/>
      <c r="I769" s="11">
        <f t="shared" si="327"/>
        <v>0</v>
      </c>
      <c r="J769" s="11">
        <f t="shared" si="328"/>
        <v>0</v>
      </c>
      <c r="W769" s="27"/>
      <c r="X769" s="13"/>
      <c r="Y769" s="14"/>
      <c r="Z769" s="15"/>
      <c r="AA769" s="11">
        <f>SUM(X769:Z769)</f>
        <v>0</v>
      </c>
      <c r="AB769" s="16"/>
      <c r="AC769" s="14"/>
      <c r="AD769" s="15"/>
      <c r="AE769" s="11">
        <f>SUM(AB769:AD769)</f>
        <v>0</v>
      </c>
      <c r="AF769" s="11">
        <f>AA769+AE769</f>
        <v>0</v>
      </c>
      <c r="AG769" s="65"/>
    </row>
    <row r="770" spans="1:33" ht="14.25" thickBot="1" x14ac:dyDescent="0.2">
      <c r="A770" s="29"/>
      <c r="B770" s="8"/>
      <c r="C770" s="9"/>
      <c r="D770" s="10"/>
      <c r="E770" s="11">
        <f t="shared" si="326"/>
        <v>0</v>
      </c>
      <c r="F770" s="16"/>
      <c r="G770" s="14"/>
      <c r="H770" s="15">
        <v>4</v>
      </c>
      <c r="I770" s="11">
        <f t="shared" si="327"/>
        <v>4</v>
      </c>
      <c r="J770" s="11">
        <f t="shared" si="328"/>
        <v>4</v>
      </c>
      <c r="K770" s="71">
        <v>42600</v>
      </c>
      <c r="W770" s="27"/>
      <c r="X770" s="13"/>
      <c r="Y770" s="14"/>
      <c r="Z770" s="15"/>
      <c r="AA770" s="11">
        <f t="shared" si="329"/>
        <v>0</v>
      </c>
      <c r="AB770" s="16"/>
      <c r="AC770" s="14"/>
      <c r="AD770" s="15"/>
      <c r="AE770" s="11">
        <f t="shared" si="330"/>
        <v>0</v>
      </c>
      <c r="AF770" s="11">
        <f t="shared" si="331"/>
        <v>0</v>
      </c>
      <c r="AG770" s="65"/>
    </row>
    <row r="771" spans="1:33" ht="14.25" thickBot="1" x14ac:dyDescent="0.2">
      <c r="A771" s="44" t="s">
        <v>13</v>
      </c>
      <c r="B771" s="48">
        <f t="shared" ref="B771:I771" si="332">SUM(B745:B770)</f>
        <v>55</v>
      </c>
      <c r="C771" s="49">
        <f t="shared" si="332"/>
        <v>67</v>
      </c>
      <c r="D771" s="50">
        <f t="shared" si="332"/>
        <v>53</v>
      </c>
      <c r="E771" s="46">
        <f t="shared" si="332"/>
        <v>172</v>
      </c>
      <c r="F771" s="48">
        <f t="shared" si="332"/>
        <v>26</v>
      </c>
      <c r="G771" s="49">
        <f t="shared" si="332"/>
        <v>38</v>
      </c>
      <c r="H771" s="50">
        <f t="shared" si="332"/>
        <v>59</v>
      </c>
      <c r="I771" s="46">
        <f t="shared" si="332"/>
        <v>123</v>
      </c>
      <c r="J771" s="35">
        <f>E771+I771</f>
        <v>295</v>
      </c>
      <c r="W771" s="44" t="s">
        <v>13</v>
      </c>
      <c r="X771" s="48">
        <f t="shared" ref="X771:AE771" si="333">SUM(X745:X770)</f>
        <v>120</v>
      </c>
      <c r="Y771" s="49">
        <f t="shared" si="333"/>
        <v>140</v>
      </c>
      <c r="Z771" s="50">
        <f t="shared" si="333"/>
        <v>40</v>
      </c>
      <c r="AA771" s="46">
        <f t="shared" si="333"/>
        <v>300</v>
      </c>
      <c r="AB771" s="48">
        <f t="shared" si="333"/>
        <v>15</v>
      </c>
      <c r="AC771" s="49">
        <f t="shared" si="333"/>
        <v>10</v>
      </c>
      <c r="AD771" s="50">
        <f t="shared" si="333"/>
        <v>60</v>
      </c>
      <c r="AE771" s="46">
        <f t="shared" si="333"/>
        <v>85</v>
      </c>
      <c r="AF771" s="35">
        <f>AA771+AE771</f>
        <v>385</v>
      </c>
    </row>
    <row r="772" spans="1:33" ht="14.25" thickBot="1" x14ac:dyDescent="0.2">
      <c r="A772" s="23" t="s">
        <v>14</v>
      </c>
      <c r="B772" s="24">
        <f t="shared" ref="B772:J772" si="334">B744-B771</f>
        <v>63</v>
      </c>
      <c r="C772" s="25">
        <f t="shared" si="334"/>
        <v>58</v>
      </c>
      <c r="D772" s="30">
        <f t="shared" si="334"/>
        <v>21</v>
      </c>
      <c r="E772" s="51">
        <f t="shared" si="334"/>
        <v>145</v>
      </c>
      <c r="F772" s="24">
        <f t="shared" si="334"/>
        <v>38</v>
      </c>
      <c r="G772" s="25">
        <f t="shared" si="334"/>
        <v>38</v>
      </c>
      <c r="H772" s="30">
        <f t="shared" si="334"/>
        <v>28</v>
      </c>
      <c r="I772" s="47">
        <f t="shared" si="334"/>
        <v>104</v>
      </c>
      <c r="J772" s="79">
        <f t="shared" si="334"/>
        <v>249</v>
      </c>
      <c r="W772" s="23" t="s">
        <v>14</v>
      </c>
      <c r="X772" s="24">
        <f t="shared" ref="X772:AF772" si="335">X744-X771</f>
        <v>42</v>
      </c>
      <c r="Y772" s="25">
        <f t="shared" si="335"/>
        <v>110</v>
      </c>
      <c r="Z772" s="30">
        <f t="shared" si="335"/>
        <v>460</v>
      </c>
      <c r="AA772" s="51">
        <f t="shared" si="335"/>
        <v>612</v>
      </c>
      <c r="AB772" s="24">
        <f t="shared" si="335"/>
        <v>172</v>
      </c>
      <c r="AC772" s="25">
        <f t="shared" si="335"/>
        <v>141</v>
      </c>
      <c r="AD772" s="30">
        <f t="shared" si="335"/>
        <v>299</v>
      </c>
      <c r="AE772" s="47">
        <f t="shared" si="335"/>
        <v>612</v>
      </c>
      <c r="AF772" s="79">
        <f t="shared" si="335"/>
        <v>1224</v>
      </c>
    </row>
    <row r="775" spans="1:33" ht="19.5" thickBot="1" x14ac:dyDescent="0.25">
      <c r="A775" s="2" t="s">
        <v>21</v>
      </c>
      <c r="B775" s="1"/>
      <c r="C775" s="1"/>
      <c r="D775" s="1"/>
      <c r="E775" s="1"/>
      <c r="F775" s="1"/>
      <c r="G775" s="1"/>
      <c r="H775" s="1"/>
      <c r="I775" s="1"/>
      <c r="J775" s="1"/>
      <c r="W775" s="93" t="s">
        <v>136</v>
      </c>
      <c r="X775" s="94"/>
      <c r="Y775" s="94"/>
      <c r="Z775" s="94"/>
      <c r="AA775" s="106" t="s">
        <v>299</v>
      </c>
      <c r="AB775" s="1"/>
      <c r="AC775" s="1"/>
      <c r="AD775" s="1"/>
      <c r="AE775" s="1"/>
      <c r="AF775" s="1"/>
    </row>
    <row r="776" spans="1:33" ht="14.25" thickBot="1" x14ac:dyDescent="0.2">
      <c r="A776" s="7" t="s">
        <v>0</v>
      </c>
      <c r="B776" s="168" t="s">
        <v>1</v>
      </c>
      <c r="C776" s="169"/>
      <c r="D776" s="169"/>
      <c r="E776" s="170"/>
      <c r="F776" s="168" t="s">
        <v>2</v>
      </c>
      <c r="G776" s="169"/>
      <c r="H776" s="169"/>
      <c r="I776" s="171"/>
      <c r="J776" s="172" t="s">
        <v>3</v>
      </c>
      <c r="W776" s="7" t="s">
        <v>0</v>
      </c>
      <c r="X776" s="174" t="s">
        <v>1</v>
      </c>
      <c r="Y776" s="175"/>
      <c r="Z776" s="176"/>
      <c r="AA776" s="101"/>
      <c r="AB776" s="174" t="s">
        <v>2</v>
      </c>
      <c r="AC776" s="175"/>
      <c r="AD776" s="176"/>
      <c r="AE776" s="102"/>
      <c r="AF776" s="103" t="s">
        <v>3</v>
      </c>
    </row>
    <row r="777" spans="1:33" ht="14.25" thickBot="1" x14ac:dyDescent="0.2">
      <c r="A777" s="7" t="s">
        <v>4</v>
      </c>
      <c r="B777" s="3" t="s">
        <v>5</v>
      </c>
      <c r="C777" s="4" t="s">
        <v>6</v>
      </c>
      <c r="D777" s="5" t="s">
        <v>7</v>
      </c>
      <c r="E777" s="7" t="s">
        <v>8</v>
      </c>
      <c r="F777" s="3" t="s">
        <v>5</v>
      </c>
      <c r="G777" s="4" t="s">
        <v>6</v>
      </c>
      <c r="H777" s="5" t="s">
        <v>7</v>
      </c>
      <c r="I777" s="7" t="s">
        <v>8</v>
      </c>
      <c r="J777" s="173"/>
      <c r="W777" s="7" t="s">
        <v>4</v>
      </c>
      <c r="X777" s="3" t="s">
        <v>5</v>
      </c>
      <c r="Y777" s="4" t="s">
        <v>6</v>
      </c>
      <c r="Z777" s="5" t="s">
        <v>7</v>
      </c>
      <c r="AA777" s="7" t="s">
        <v>8</v>
      </c>
      <c r="AB777" s="107" t="s">
        <v>5</v>
      </c>
      <c r="AC777" s="108" t="s">
        <v>6</v>
      </c>
      <c r="AD777" s="109" t="s">
        <v>7</v>
      </c>
      <c r="AE777" s="7" t="s">
        <v>8</v>
      </c>
      <c r="AF777" s="104"/>
    </row>
    <row r="778" spans="1:33" ht="14.25" thickBot="1" x14ac:dyDescent="0.2">
      <c r="A778" s="31" t="s">
        <v>14</v>
      </c>
      <c r="B778" s="32">
        <f>B772</f>
        <v>63</v>
      </c>
      <c r="C778" s="33">
        <f>C772</f>
        <v>58</v>
      </c>
      <c r="D778" s="34">
        <f>D772</f>
        <v>21</v>
      </c>
      <c r="E778" s="41">
        <f>SUM(B778:D778)</f>
        <v>142</v>
      </c>
      <c r="F778" s="32">
        <f>F772</f>
        <v>38</v>
      </c>
      <c r="G778" s="33">
        <f>G772</f>
        <v>38</v>
      </c>
      <c r="H778" s="34">
        <f>H772</f>
        <v>28</v>
      </c>
      <c r="I778" s="41">
        <f>SUM(F778:H778)</f>
        <v>104</v>
      </c>
      <c r="J778" s="41">
        <f>E778+I778</f>
        <v>246</v>
      </c>
      <c r="W778" s="31" t="s">
        <v>14</v>
      </c>
      <c r="X778" s="32">
        <f>X772</f>
        <v>42</v>
      </c>
      <c r="Y778" s="33">
        <f>Y772</f>
        <v>110</v>
      </c>
      <c r="Z778" s="33">
        <f>Z772</f>
        <v>460</v>
      </c>
      <c r="AA778" s="111">
        <f>SUM(X778:Z778)</f>
        <v>612</v>
      </c>
      <c r="AB778" s="32">
        <f>AB772</f>
        <v>172</v>
      </c>
      <c r="AC778" s="33">
        <f>AC772</f>
        <v>141</v>
      </c>
      <c r="AD778" s="95">
        <f>AD772</f>
        <v>299</v>
      </c>
      <c r="AE778" s="46">
        <f>SUM(AB778:AD778)</f>
        <v>612</v>
      </c>
      <c r="AF778" s="35">
        <f>AA778+AE778</f>
        <v>1224</v>
      </c>
    </row>
    <row r="779" spans="1:33" x14ac:dyDescent="0.15">
      <c r="A779" s="28" t="s">
        <v>9</v>
      </c>
      <c r="B779" s="17"/>
      <c r="C779" s="18"/>
      <c r="D779" s="19">
        <v>50</v>
      </c>
      <c r="E779" s="20">
        <f t="shared" ref="E779:E786" si="336">SUM(B779:D779)</f>
        <v>50</v>
      </c>
      <c r="F779" s="21"/>
      <c r="G779" s="18"/>
      <c r="H779" s="19"/>
      <c r="I779" s="20">
        <f t="shared" ref="I779:I786" si="337">SUM(F779:H779)</f>
        <v>0</v>
      </c>
      <c r="J779" s="20">
        <f t="shared" ref="J779:J786" si="338">E779+I779</f>
        <v>50</v>
      </c>
      <c r="K779" s="65">
        <v>42600</v>
      </c>
      <c r="W779" s="28" t="s">
        <v>9</v>
      </c>
      <c r="X779" s="8"/>
      <c r="Y779" s="9"/>
      <c r="Z779" s="10"/>
      <c r="AA779" s="78">
        <f t="shared" ref="AA779:AA786" si="339">SUM(X779:Z779)</f>
        <v>0</v>
      </c>
      <c r="AB779" s="21"/>
      <c r="AC779" s="18"/>
      <c r="AD779" s="19"/>
      <c r="AE779" s="78">
        <f t="shared" ref="AE779:AE786" si="340">SUM(AB779:AD779)</f>
        <v>0</v>
      </c>
      <c r="AF779" s="78">
        <f t="shared" ref="AF779:AF786" si="341">AA779+AE779</f>
        <v>0</v>
      </c>
    </row>
    <row r="780" spans="1:33" x14ac:dyDescent="0.15">
      <c r="A780" s="28" t="s">
        <v>10</v>
      </c>
      <c r="B780" s="8"/>
      <c r="C780" s="9"/>
      <c r="D780" s="10"/>
      <c r="E780" s="11">
        <f t="shared" si="336"/>
        <v>0</v>
      </c>
      <c r="F780" s="12"/>
      <c r="G780" s="9"/>
      <c r="H780" s="10">
        <v>50</v>
      </c>
      <c r="I780" s="11">
        <f t="shared" si="337"/>
        <v>50</v>
      </c>
      <c r="J780" s="11">
        <f t="shared" si="338"/>
        <v>50</v>
      </c>
      <c r="K780" s="65">
        <v>42606</v>
      </c>
      <c r="W780" s="28" t="s">
        <v>10</v>
      </c>
      <c r="X780" s="8"/>
      <c r="Y780" s="9"/>
      <c r="Z780" s="10"/>
      <c r="AA780" s="11">
        <f t="shared" si="339"/>
        <v>0</v>
      </c>
      <c r="AB780" s="12"/>
      <c r="AC780" s="9"/>
      <c r="AD780" s="10"/>
      <c r="AE780" s="11">
        <f t="shared" si="340"/>
        <v>0</v>
      </c>
      <c r="AF780" s="11">
        <f t="shared" si="341"/>
        <v>0</v>
      </c>
      <c r="AG780" s="65"/>
    </row>
    <row r="781" spans="1:33" x14ac:dyDescent="0.15">
      <c r="A781" s="28" t="s">
        <v>59</v>
      </c>
      <c r="B781" s="8">
        <v>1</v>
      </c>
      <c r="C781" s="9">
        <v>2</v>
      </c>
      <c r="D781" s="10">
        <v>1</v>
      </c>
      <c r="E781" s="11">
        <f t="shared" si="336"/>
        <v>4</v>
      </c>
      <c r="F781" s="12">
        <v>1</v>
      </c>
      <c r="G781" s="9">
        <v>1</v>
      </c>
      <c r="H781" s="10"/>
      <c r="I781" s="11">
        <f t="shared" si="337"/>
        <v>2</v>
      </c>
      <c r="J781" s="11">
        <f t="shared" si="338"/>
        <v>6</v>
      </c>
      <c r="K781" s="65">
        <v>42607</v>
      </c>
      <c r="W781" s="28" t="s">
        <v>11</v>
      </c>
      <c r="X781" s="8"/>
      <c r="Y781" s="9"/>
      <c r="Z781" s="10"/>
      <c r="AA781" s="11">
        <f t="shared" si="339"/>
        <v>0</v>
      </c>
      <c r="AB781" s="12"/>
      <c r="AC781" s="9"/>
      <c r="AD781" s="10"/>
      <c r="AE781" s="11">
        <f t="shared" si="340"/>
        <v>0</v>
      </c>
      <c r="AF781" s="11">
        <f t="shared" si="341"/>
        <v>0</v>
      </c>
      <c r="AG781" s="65"/>
    </row>
    <row r="782" spans="1:33" x14ac:dyDescent="0.15">
      <c r="A782" s="28" t="s">
        <v>228</v>
      </c>
      <c r="B782" s="8"/>
      <c r="C782" s="9">
        <v>3</v>
      </c>
      <c r="D782" s="10"/>
      <c r="E782" s="11">
        <f t="shared" si="336"/>
        <v>3</v>
      </c>
      <c r="F782" s="12"/>
      <c r="G782" s="9"/>
      <c r="H782" s="10"/>
      <c r="I782" s="11">
        <f t="shared" si="337"/>
        <v>0</v>
      </c>
      <c r="J782" s="11">
        <f t="shared" si="338"/>
        <v>3</v>
      </c>
      <c r="K782" s="71">
        <v>42609</v>
      </c>
      <c r="W782" s="28" t="s">
        <v>12</v>
      </c>
      <c r="X782" s="8"/>
      <c r="Y782" s="9"/>
      <c r="Z782" s="10"/>
      <c r="AA782" s="11">
        <f t="shared" si="339"/>
        <v>0</v>
      </c>
      <c r="AB782" s="12"/>
      <c r="AC782" s="9"/>
      <c r="AD782" s="10"/>
      <c r="AE782" s="11">
        <f t="shared" si="340"/>
        <v>0</v>
      </c>
      <c r="AF782" s="11">
        <f t="shared" si="341"/>
        <v>0</v>
      </c>
      <c r="AG782" s="65"/>
    </row>
    <row r="783" spans="1:33" x14ac:dyDescent="0.15">
      <c r="A783" s="28" t="s">
        <v>263</v>
      </c>
      <c r="B783" s="8">
        <v>3</v>
      </c>
      <c r="C783" s="9">
        <v>1</v>
      </c>
      <c r="D783" s="10">
        <v>2</v>
      </c>
      <c r="E783" s="11">
        <f t="shared" si="336"/>
        <v>6</v>
      </c>
      <c r="F783" s="12"/>
      <c r="G783" s="9">
        <v>-2</v>
      </c>
      <c r="H783" s="10"/>
      <c r="I783" s="11">
        <f t="shared" si="337"/>
        <v>-2</v>
      </c>
      <c r="J783" s="11">
        <f t="shared" si="338"/>
        <v>4</v>
      </c>
      <c r="K783" s="71">
        <v>42613</v>
      </c>
      <c r="W783" s="28" t="s">
        <v>15</v>
      </c>
      <c r="X783" s="8"/>
      <c r="Y783" s="9"/>
      <c r="Z783" s="10"/>
      <c r="AA783" s="11">
        <f t="shared" si="339"/>
        <v>0</v>
      </c>
      <c r="AB783" s="12"/>
      <c r="AC783" s="9"/>
      <c r="AD783" s="10"/>
      <c r="AE783" s="11">
        <f t="shared" si="340"/>
        <v>0</v>
      </c>
      <c r="AF783" s="11">
        <f t="shared" si="341"/>
        <v>0</v>
      </c>
      <c r="AG783" s="64"/>
    </row>
    <row r="784" spans="1:33" x14ac:dyDescent="0.15">
      <c r="A784" s="28" t="s">
        <v>16</v>
      </c>
      <c r="B784" s="8"/>
      <c r="C784" s="9"/>
      <c r="D784" s="10"/>
      <c r="E784" s="11">
        <f t="shared" si="336"/>
        <v>0</v>
      </c>
      <c r="F784" s="12"/>
      <c r="G784" s="9"/>
      <c r="H784" s="10"/>
      <c r="I784" s="11">
        <f t="shared" si="337"/>
        <v>0</v>
      </c>
      <c r="J784" s="11">
        <f t="shared" si="338"/>
        <v>0</v>
      </c>
      <c r="W784" s="28" t="s">
        <v>16</v>
      </c>
      <c r="X784" s="8"/>
      <c r="Y784" s="9"/>
      <c r="Z784" s="10"/>
      <c r="AA784" s="11">
        <f t="shared" si="339"/>
        <v>0</v>
      </c>
      <c r="AB784" s="12"/>
      <c r="AC784" s="9"/>
      <c r="AD784" s="10"/>
      <c r="AE784" s="11">
        <f t="shared" si="340"/>
        <v>0</v>
      </c>
      <c r="AF784" s="11">
        <f t="shared" si="341"/>
        <v>0</v>
      </c>
      <c r="AG784" s="65"/>
    </row>
    <row r="785" spans="1:33" x14ac:dyDescent="0.15">
      <c r="A785" s="28" t="s">
        <v>17</v>
      </c>
      <c r="B785" s="13"/>
      <c r="C785" s="14"/>
      <c r="D785" s="15"/>
      <c r="E785" s="11">
        <f t="shared" si="336"/>
        <v>0</v>
      </c>
      <c r="F785" s="16"/>
      <c r="G785" s="14"/>
      <c r="H785" s="15"/>
      <c r="I785" s="11">
        <f t="shared" si="337"/>
        <v>0</v>
      </c>
      <c r="J785" s="11">
        <f t="shared" si="338"/>
        <v>0</v>
      </c>
      <c r="W785" s="28" t="s">
        <v>17</v>
      </c>
      <c r="X785" s="13"/>
      <c r="Y785" s="14"/>
      <c r="Z785" s="15"/>
      <c r="AA785" s="11">
        <f t="shared" si="339"/>
        <v>0</v>
      </c>
      <c r="AB785" s="16"/>
      <c r="AC785" s="14"/>
      <c r="AD785" s="15"/>
      <c r="AE785" s="11">
        <f t="shared" si="340"/>
        <v>0</v>
      </c>
      <c r="AF785" s="11">
        <f t="shared" si="341"/>
        <v>0</v>
      </c>
      <c r="AG785" s="64"/>
    </row>
    <row r="786" spans="1:33" ht="14.25" thickBot="1" x14ac:dyDescent="0.2">
      <c r="A786" s="28" t="s">
        <v>18</v>
      </c>
      <c r="B786" s="36"/>
      <c r="C786" s="37"/>
      <c r="D786" s="40"/>
      <c r="E786" s="22">
        <f t="shared" si="336"/>
        <v>0</v>
      </c>
      <c r="F786" s="38"/>
      <c r="G786" s="38"/>
      <c r="H786" s="43"/>
      <c r="I786" s="22">
        <f t="shared" si="337"/>
        <v>0</v>
      </c>
      <c r="J786" s="22">
        <f t="shared" si="338"/>
        <v>0</v>
      </c>
      <c r="W786" s="28" t="s">
        <v>18</v>
      </c>
      <c r="X786" s="36"/>
      <c r="Y786" s="37"/>
      <c r="Z786" s="40"/>
      <c r="AA786" s="22">
        <f t="shared" si="339"/>
        <v>0</v>
      </c>
      <c r="AB786" s="38"/>
      <c r="AC786" s="38"/>
      <c r="AD786" s="43"/>
      <c r="AE786" s="22">
        <f t="shared" si="340"/>
        <v>0</v>
      </c>
      <c r="AF786" s="22">
        <f t="shared" si="341"/>
        <v>0</v>
      </c>
    </row>
    <row r="787" spans="1:33" ht="14.25" thickBot="1" x14ac:dyDescent="0.2">
      <c r="A787" s="39" t="s">
        <v>20</v>
      </c>
      <c r="B787" s="32">
        <f t="shared" ref="B787:J787" si="342">SUM(B778:B786)</f>
        <v>67</v>
      </c>
      <c r="C787" s="33">
        <f t="shared" si="342"/>
        <v>64</v>
      </c>
      <c r="D787" s="34">
        <f t="shared" si="342"/>
        <v>74</v>
      </c>
      <c r="E787" s="42">
        <f t="shared" si="342"/>
        <v>205</v>
      </c>
      <c r="F787" s="32">
        <f t="shared" si="342"/>
        <v>39</v>
      </c>
      <c r="G787" s="33">
        <f t="shared" si="342"/>
        <v>37</v>
      </c>
      <c r="H787" s="34">
        <f t="shared" si="342"/>
        <v>78</v>
      </c>
      <c r="I787" s="42">
        <f t="shared" si="342"/>
        <v>154</v>
      </c>
      <c r="J787" s="42">
        <f t="shared" si="342"/>
        <v>359</v>
      </c>
      <c r="W787" s="39" t="s">
        <v>20</v>
      </c>
      <c r="X787" s="32">
        <f t="shared" ref="X787:AF787" si="343">SUM(X778:X786)</f>
        <v>42</v>
      </c>
      <c r="Y787" s="33">
        <f t="shared" si="343"/>
        <v>110</v>
      </c>
      <c r="Z787" s="34">
        <f t="shared" si="343"/>
        <v>460</v>
      </c>
      <c r="AA787" s="42">
        <f t="shared" si="343"/>
        <v>612</v>
      </c>
      <c r="AB787" s="32">
        <f t="shared" si="343"/>
        <v>172</v>
      </c>
      <c r="AC787" s="33">
        <f t="shared" si="343"/>
        <v>141</v>
      </c>
      <c r="AD787" s="34">
        <f t="shared" si="343"/>
        <v>299</v>
      </c>
      <c r="AE787" s="42">
        <f t="shared" si="343"/>
        <v>612</v>
      </c>
      <c r="AF787" s="42">
        <f t="shared" si="343"/>
        <v>1224</v>
      </c>
    </row>
    <row r="788" spans="1:33" x14ac:dyDescent="0.15">
      <c r="A788" s="27" t="s">
        <v>401</v>
      </c>
      <c r="B788" s="13"/>
      <c r="C788" s="14"/>
      <c r="D788" s="15">
        <v>30</v>
      </c>
      <c r="E788" s="11">
        <f>SUM(B788:D788)</f>
        <v>30</v>
      </c>
      <c r="F788" s="16"/>
      <c r="G788" s="14"/>
      <c r="H788" s="15"/>
      <c r="I788" s="11">
        <f>SUM(F788:H788)</f>
        <v>0</v>
      </c>
      <c r="J788" s="11">
        <f>E788+I788</f>
        <v>30</v>
      </c>
      <c r="K788" s="65">
        <v>42606</v>
      </c>
      <c r="W788" s="29" t="s">
        <v>446</v>
      </c>
      <c r="X788" s="8"/>
      <c r="Y788" s="9"/>
      <c r="Z788" s="10">
        <v>50</v>
      </c>
      <c r="AA788" s="11">
        <f>SUM(X788:Z788)</f>
        <v>50</v>
      </c>
      <c r="AB788" s="12"/>
      <c r="AC788" s="9"/>
      <c r="AD788" s="10"/>
      <c r="AE788" s="11">
        <f>SUM(AB788:AD788)</f>
        <v>0</v>
      </c>
      <c r="AF788" s="11">
        <f>AA788+AE788</f>
        <v>50</v>
      </c>
      <c r="AG788" s="65">
        <v>42600</v>
      </c>
    </row>
    <row r="789" spans="1:33" x14ac:dyDescent="0.15">
      <c r="A789" s="29" t="s">
        <v>35</v>
      </c>
      <c r="B789" s="8">
        <v>10</v>
      </c>
      <c r="C789" s="9"/>
      <c r="D789" s="10"/>
      <c r="E789" s="11">
        <f>SUM(B789:D789)</f>
        <v>10</v>
      </c>
      <c r="F789" s="12"/>
      <c r="G789" s="9"/>
      <c r="H789" s="10">
        <v>20</v>
      </c>
      <c r="I789" s="11">
        <f>SUM(F789:H789)</f>
        <v>20</v>
      </c>
      <c r="J789" s="11">
        <f>E789+I789</f>
        <v>30</v>
      </c>
      <c r="K789" s="65">
        <v>42604</v>
      </c>
      <c r="W789" s="27" t="s">
        <v>451</v>
      </c>
      <c r="X789" s="8"/>
      <c r="Y789" s="9"/>
      <c r="Z789" s="10">
        <v>10</v>
      </c>
      <c r="AA789" s="11">
        <f>SUM(X789:Z789)</f>
        <v>10</v>
      </c>
      <c r="AB789" s="12">
        <v>10</v>
      </c>
      <c r="AC789" s="9">
        <v>15</v>
      </c>
      <c r="AD789" s="10">
        <v>15</v>
      </c>
      <c r="AE789" s="11">
        <f>SUM(AB789:AD789)</f>
        <v>40</v>
      </c>
      <c r="AF789" s="11">
        <f>AA789+AE789</f>
        <v>50</v>
      </c>
      <c r="AG789" s="65">
        <v>42601</v>
      </c>
    </row>
    <row r="790" spans="1:33" x14ac:dyDescent="0.15">
      <c r="A790" s="27" t="s">
        <v>449</v>
      </c>
      <c r="B790" s="8"/>
      <c r="C790" s="9"/>
      <c r="D790" s="10"/>
      <c r="E790" s="11">
        <f t="shared" ref="E790:E813" si="344">SUM(B790:D790)</f>
        <v>0</v>
      </c>
      <c r="F790" s="12"/>
      <c r="G790" s="9">
        <v>5</v>
      </c>
      <c r="H790" s="10"/>
      <c r="I790" s="11">
        <f t="shared" ref="I790:I813" si="345">SUM(F790:H790)</f>
        <v>5</v>
      </c>
      <c r="J790" s="11">
        <f t="shared" ref="J790:J813" si="346">E790+I790</f>
        <v>5</v>
      </c>
      <c r="K790" s="65">
        <v>42600</v>
      </c>
      <c r="W790" s="27" t="s">
        <v>452</v>
      </c>
      <c r="X790" s="8"/>
      <c r="Y790" s="9"/>
      <c r="Z790" s="10">
        <v>6</v>
      </c>
      <c r="AA790" s="11">
        <f t="shared" ref="AA790:AA813" si="347">SUM(X790:Z790)</f>
        <v>6</v>
      </c>
      <c r="AB790" s="12"/>
      <c r="AC790" s="9"/>
      <c r="AD790" s="10">
        <v>6</v>
      </c>
      <c r="AE790" s="11">
        <f t="shared" ref="AE790:AE813" si="348">SUM(AB790:AD790)</f>
        <v>6</v>
      </c>
      <c r="AF790" s="11">
        <f t="shared" ref="AF790:AF813" si="349">AA790+AE790</f>
        <v>12</v>
      </c>
      <c r="AG790" s="65">
        <v>42605</v>
      </c>
    </row>
    <row r="791" spans="1:33" x14ac:dyDescent="0.15">
      <c r="A791" s="27" t="s">
        <v>354</v>
      </c>
      <c r="B791" s="8"/>
      <c r="C791" s="9"/>
      <c r="D791" s="10">
        <v>5</v>
      </c>
      <c r="E791" s="11">
        <f t="shared" si="344"/>
        <v>5</v>
      </c>
      <c r="F791" s="12"/>
      <c r="G791" s="9"/>
      <c r="H791" s="10">
        <v>5</v>
      </c>
      <c r="I791" s="11">
        <f t="shared" si="345"/>
        <v>5</v>
      </c>
      <c r="J791" s="11">
        <f t="shared" si="346"/>
        <v>10</v>
      </c>
      <c r="K791" s="65">
        <v>42606</v>
      </c>
      <c r="W791" s="29" t="s">
        <v>454</v>
      </c>
      <c r="X791" s="8"/>
      <c r="Y791" s="9"/>
      <c r="Z791" s="10"/>
      <c r="AA791" s="11">
        <f t="shared" si="347"/>
        <v>0</v>
      </c>
      <c r="AB791" s="12"/>
      <c r="AC791" s="9"/>
      <c r="AD791" s="10">
        <v>50</v>
      </c>
      <c r="AE791" s="11">
        <f t="shared" si="348"/>
        <v>50</v>
      </c>
      <c r="AF791" s="11">
        <f t="shared" si="349"/>
        <v>50</v>
      </c>
      <c r="AG791" s="65">
        <v>42606</v>
      </c>
    </row>
    <row r="792" spans="1:33" x14ac:dyDescent="0.15">
      <c r="A792" s="27" t="s">
        <v>450</v>
      </c>
      <c r="B792" s="8"/>
      <c r="C792" s="9">
        <v>1</v>
      </c>
      <c r="D792" s="10"/>
      <c r="E792" s="11">
        <f t="shared" si="344"/>
        <v>1</v>
      </c>
      <c r="F792" s="12"/>
      <c r="G792" s="9"/>
      <c r="H792" s="10"/>
      <c r="I792" s="11">
        <f t="shared" si="345"/>
        <v>0</v>
      </c>
      <c r="J792" s="11">
        <f t="shared" si="346"/>
        <v>1</v>
      </c>
      <c r="K792" s="65">
        <v>42601</v>
      </c>
      <c r="W792" s="29"/>
      <c r="X792" s="8"/>
      <c r="Y792" s="9"/>
      <c r="Z792" s="10"/>
      <c r="AA792" s="11">
        <f t="shared" si="347"/>
        <v>0</v>
      </c>
      <c r="AB792" s="12"/>
      <c r="AC792" s="9"/>
      <c r="AD792" s="10"/>
      <c r="AE792" s="11">
        <f t="shared" si="348"/>
        <v>0</v>
      </c>
      <c r="AF792" s="11">
        <f t="shared" si="349"/>
        <v>0</v>
      </c>
      <c r="AG792" s="64"/>
    </row>
    <row r="793" spans="1:33" x14ac:dyDescent="0.15">
      <c r="A793" s="27" t="s">
        <v>401</v>
      </c>
      <c r="B793" s="8"/>
      <c r="C793" s="9">
        <v>30</v>
      </c>
      <c r="D793" s="10"/>
      <c r="E793" s="11">
        <f t="shared" si="344"/>
        <v>30</v>
      </c>
      <c r="F793" s="12"/>
      <c r="G793" s="9"/>
      <c r="H793" s="10"/>
      <c r="I793" s="11">
        <f t="shared" si="345"/>
        <v>0</v>
      </c>
      <c r="J793" s="11">
        <f t="shared" si="346"/>
        <v>30</v>
      </c>
      <c r="K793" s="65">
        <v>42606</v>
      </c>
      <c r="W793" s="27"/>
      <c r="X793" s="8"/>
      <c r="Y793" s="9"/>
      <c r="Z793" s="10"/>
      <c r="AA793" s="11">
        <f t="shared" si="347"/>
        <v>0</v>
      </c>
      <c r="AB793" s="12"/>
      <c r="AC793" s="9"/>
      <c r="AD793" s="10"/>
      <c r="AE793" s="11">
        <f t="shared" si="348"/>
        <v>0</v>
      </c>
      <c r="AF793" s="11">
        <f t="shared" si="349"/>
        <v>0</v>
      </c>
    </row>
    <row r="794" spans="1:33" x14ac:dyDescent="0.15">
      <c r="A794" s="29" t="s">
        <v>386</v>
      </c>
      <c r="B794" s="13">
        <v>3</v>
      </c>
      <c r="C794" s="14">
        <v>2</v>
      </c>
      <c r="D794" s="15">
        <v>5</v>
      </c>
      <c r="E794" s="11">
        <f t="shared" si="344"/>
        <v>10</v>
      </c>
      <c r="F794" s="16"/>
      <c r="G794" s="14"/>
      <c r="H794" s="15"/>
      <c r="I794" s="11">
        <f t="shared" si="345"/>
        <v>0</v>
      </c>
      <c r="J794" s="11">
        <f t="shared" si="346"/>
        <v>10</v>
      </c>
      <c r="K794" s="65">
        <v>42602</v>
      </c>
      <c r="W794" s="29"/>
      <c r="X794" s="8"/>
      <c r="Y794" s="9"/>
      <c r="Z794" s="10"/>
      <c r="AA794" s="11">
        <f t="shared" si="347"/>
        <v>0</v>
      </c>
      <c r="AB794" s="12"/>
      <c r="AC794" s="9"/>
      <c r="AD794" s="10"/>
      <c r="AE794" s="11">
        <f t="shared" si="348"/>
        <v>0</v>
      </c>
      <c r="AF794" s="11">
        <f t="shared" si="349"/>
        <v>0</v>
      </c>
    </row>
    <row r="795" spans="1:33" x14ac:dyDescent="0.15">
      <c r="A795" s="29" t="s">
        <v>386</v>
      </c>
      <c r="B795" s="8">
        <v>3</v>
      </c>
      <c r="C795" s="9"/>
      <c r="D795" s="10">
        <v>3</v>
      </c>
      <c r="E795" s="11">
        <f t="shared" si="344"/>
        <v>6</v>
      </c>
      <c r="F795" s="12"/>
      <c r="G795" s="9">
        <v>1</v>
      </c>
      <c r="H795" s="10">
        <v>2</v>
      </c>
      <c r="I795" s="11">
        <f t="shared" si="345"/>
        <v>3</v>
      </c>
      <c r="J795" s="11">
        <f t="shared" si="346"/>
        <v>9</v>
      </c>
      <c r="K795" s="65">
        <v>42605</v>
      </c>
      <c r="W795" s="29"/>
      <c r="X795" s="8"/>
      <c r="Y795" s="9"/>
      <c r="Z795" s="10"/>
      <c r="AA795" s="11">
        <f t="shared" si="347"/>
        <v>0</v>
      </c>
      <c r="AB795" s="12"/>
      <c r="AC795" s="9"/>
      <c r="AD795" s="10"/>
      <c r="AE795" s="11">
        <f t="shared" si="348"/>
        <v>0</v>
      </c>
      <c r="AF795" s="11">
        <f t="shared" si="349"/>
        <v>0</v>
      </c>
    </row>
    <row r="796" spans="1:33" x14ac:dyDescent="0.15">
      <c r="A796" s="29" t="s">
        <v>453</v>
      </c>
      <c r="B796" s="13"/>
      <c r="C796" s="14">
        <v>10</v>
      </c>
      <c r="D796" s="15"/>
      <c r="E796" s="11">
        <f t="shared" si="344"/>
        <v>10</v>
      </c>
      <c r="F796" s="16"/>
      <c r="G796" s="14"/>
      <c r="H796" s="15"/>
      <c r="I796" s="11">
        <f t="shared" si="345"/>
        <v>0</v>
      </c>
      <c r="J796" s="11">
        <f t="shared" si="346"/>
        <v>10</v>
      </c>
      <c r="K796" s="65">
        <v>42611</v>
      </c>
      <c r="W796" s="27"/>
      <c r="X796" s="8"/>
      <c r="Y796" s="9"/>
      <c r="Z796" s="10"/>
      <c r="AA796" s="11">
        <f t="shared" si="347"/>
        <v>0</v>
      </c>
      <c r="AB796" s="12"/>
      <c r="AC796" s="9"/>
      <c r="AD796" s="10"/>
      <c r="AE796" s="11">
        <f t="shared" si="348"/>
        <v>0</v>
      </c>
      <c r="AF796" s="11">
        <f t="shared" si="349"/>
        <v>0</v>
      </c>
    </row>
    <row r="797" spans="1:33" x14ac:dyDescent="0.15">
      <c r="A797" s="29" t="s">
        <v>455</v>
      </c>
      <c r="B797" s="13"/>
      <c r="C797" s="14">
        <v>1</v>
      </c>
      <c r="D797" s="15"/>
      <c r="E797" s="11">
        <f t="shared" si="344"/>
        <v>1</v>
      </c>
      <c r="F797" s="16"/>
      <c r="G797" s="14">
        <v>1</v>
      </c>
      <c r="H797" s="15"/>
      <c r="I797" s="11">
        <f t="shared" si="345"/>
        <v>1</v>
      </c>
      <c r="J797" s="11">
        <f t="shared" si="346"/>
        <v>2</v>
      </c>
      <c r="K797" s="65">
        <v>42607</v>
      </c>
      <c r="W797" s="29"/>
      <c r="X797" s="13"/>
      <c r="Y797" s="14"/>
      <c r="Z797" s="15"/>
      <c r="AA797" s="11">
        <f t="shared" si="347"/>
        <v>0</v>
      </c>
      <c r="AB797" s="16"/>
      <c r="AC797" s="14"/>
      <c r="AD797" s="15"/>
      <c r="AE797" s="11">
        <f t="shared" si="348"/>
        <v>0</v>
      </c>
      <c r="AF797" s="11">
        <f t="shared" si="349"/>
        <v>0</v>
      </c>
    </row>
    <row r="798" spans="1:33" x14ac:dyDescent="0.15">
      <c r="A798" s="29" t="s">
        <v>457</v>
      </c>
      <c r="B798" s="8"/>
      <c r="C798" s="9"/>
      <c r="D798" s="10">
        <v>1</v>
      </c>
      <c r="E798" s="11">
        <f t="shared" si="344"/>
        <v>1</v>
      </c>
      <c r="F798" s="12"/>
      <c r="G798" s="9">
        <v>2</v>
      </c>
      <c r="H798" s="10"/>
      <c r="I798" s="11">
        <f t="shared" si="345"/>
        <v>2</v>
      </c>
      <c r="J798" s="11">
        <f t="shared" si="346"/>
        <v>3</v>
      </c>
      <c r="K798" s="65">
        <v>42609</v>
      </c>
      <c r="W798" s="29"/>
      <c r="X798" s="8"/>
      <c r="Y798" s="9"/>
      <c r="Z798" s="10"/>
      <c r="AA798" s="11">
        <f t="shared" si="347"/>
        <v>0</v>
      </c>
      <c r="AB798" s="12"/>
      <c r="AC798" s="9"/>
      <c r="AD798" s="10"/>
      <c r="AE798" s="11">
        <f t="shared" si="348"/>
        <v>0</v>
      </c>
      <c r="AF798" s="11">
        <f t="shared" si="349"/>
        <v>0</v>
      </c>
    </row>
    <row r="799" spans="1:33" x14ac:dyDescent="0.15">
      <c r="A799" s="29" t="s">
        <v>456</v>
      </c>
      <c r="B799" s="8"/>
      <c r="C799" s="9"/>
      <c r="D799" s="10"/>
      <c r="E799" s="11">
        <f t="shared" si="344"/>
        <v>0</v>
      </c>
      <c r="F799" s="12"/>
      <c r="G799" s="9">
        <v>1</v>
      </c>
      <c r="H799" s="10">
        <v>1</v>
      </c>
      <c r="I799" s="11">
        <f t="shared" si="345"/>
        <v>2</v>
      </c>
      <c r="J799" s="11">
        <f t="shared" si="346"/>
        <v>2</v>
      </c>
      <c r="K799" s="71">
        <v>42608</v>
      </c>
      <c r="W799" s="29"/>
      <c r="X799" s="8"/>
      <c r="Y799" s="9"/>
      <c r="Z799" s="10"/>
      <c r="AA799" s="11">
        <f t="shared" si="347"/>
        <v>0</v>
      </c>
      <c r="AB799" s="12"/>
      <c r="AC799" s="9"/>
      <c r="AD799" s="10"/>
      <c r="AE799" s="11">
        <f t="shared" si="348"/>
        <v>0</v>
      </c>
      <c r="AF799" s="11">
        <f t="shared" si="349"/>
        <v>0</v>
      </c>
    </row>
    <row r="800" spans="1:33" x14ac:dyDescent="0.15">
      <c r="A800" s="27" t="s">
        <v>458</v>
      </c>
      <c r="B800" s="8"/>
      <c r="C800" s="9"/>
      <c r="D800" s="10"/>
      <c r="E800" s="11">
        <f t="shared" si="344"/>
        <v>0</v>
      </c>
      <c r="F800" s="12"/>
      <c r="G800" s="9"/>
      <c r="H800" s="10">
        <v>2</v>
      </c>
      <c r="I800" s="11">
        <f t="shared" si="345"/>
        <v>2</v>
      </c>
      <c r="J800" s="11">
        <f t="shared" si="346"/>
        <v>2</v>
      </c>
      <c r="K800" s="65">
        <v>42612</v>
      </c>
      <c r="W800" s="27"/>
      <c r="X800" s="8"/>
      <c r="Y800" s="9"/>
      <c r="Z800" s="10"/>
      <c r="AA800" s="11">
        <f t="shared" si="347"/>
        <v>0</v>
      </c>
      <c r="AB800" s="12"/>
      <c r="AC800" s="9"/>
      <c r="AD800" s="10"/>
      <c r="AE800" s="11">
        <f t="shared" si="348"/>
        <v>0</v>
      </c>
      <c r="AF800" s="11">
        <f t="shared" si="349"/>
        <v>0</v>
      </c>
    </row>
    <row r="801" spans="1:33" x14ac:dyDescent="0.15">
      <c r="A801" s="29" t="s">
        <v>386</v>
      </c>
      <c r="B801" s="8"/>
      <c r="C801" s="9">
        <v>2</v>
      </c>
      <c r="D801" s="10"/>
      <c r="E801" s="11">
        <f t="shared" si="344"/>
        <v>2</v>
      </c>
      <c r="F801" s="12"/>
      <c r="G801" s="9">
        <v>2</v>
      </c>
      <c r="H801" s="10"/>
      <c r="I801" s="11">
        <f t="shared" si="345"/>
        <v>2</v>
      </c>
      <c r="J801" s="11">
        <f t="shared" si="346"/>
        <v>4</v>
      </c>
      <c r="K801" s="65">
        <v>42614</v>
      </c>
      <c r="W801" s="29"/>
      <c r="X801" s="8"/>
      <c r="Y801" s="9"/>
      <c r="Z801" s="10"/>
      <c r="AA801" s="11">
        <f t="shared" si="347"/>
        <v>0</v>
      </c>
      <c r="AB801" s="12"/>
      <c r="AC801" s="9"/>
      <c r="AD801" s="10"/>
      <c r="AE801" s="11">
        <f t="shared" si="348"/>
        <v>0</v>
      </c>
      <c r="AF801" s="11">
        <f t="shared" si="349"/>
        <v>0</v>
      </c>
    </row>
    <row r="802" spans="1:33" x14ac:dyDescent="0.15">
      <c r="A802" s="29" t="s">
        <v>459</v>
      </c>
      <c r="B802" s="8">
        <v>2</v>
      </c>
      <c r="C802" s="9">
        <v>2</v>
      </c>
      <c r="D802" s="10">
        <v>2</v>
      </c>
      <c r="E802" s="11">
        <f t="shared" si="344"/>
        <v>6</v>
      </c>
      <c r="F802" s="12"/>
      <c r="G802" s="9">
        <v>3</v>
      </c>
      <c r="H802" s="10">
        <v>1</v>
      </c>
      <c r="I802" s="11">
        <f t="shared" si="345"/>
        <v>4</v>
      </c>
      <c r="J802" s="11">
        <f t="shared" si="346"/>
        <v>10</v>
      </c>
      <c r="K802" s="65">
        <v>42613</v>
      </c>
      <c r="W802" s="29"/>
      <c r="X802" s="8"/>
      <c r="Y802" s="9"/>
      <c r="Z802" s="10"/>
      <c r="AA802" s="11">
        <f t="shared" si="347"/>
        <v>0</v>
      </c>
      <c r="AB802" s="12"/>
      <c r="AC802" s="9"/>
      <c r="AD802" s="10"/>
      <c r="AE802" s="11">
        <f t="shared" si="348"/>
        <v>0</v>
      </c>
      <c r="AF802" s="11">
        <f t="shared" si="349"/>
        <v>0</v>
      </c>
    </row>
    <row r="803" spans="1:33" x14ac:dyDescent="0.15">
      <c r="A803" s="29"/>
      <c r="B803" s="8"/>
      <c r="C803" s="9"/>
      <c r="D803" s="10"/>
      <c r="E803" s="11">
        <f t="shared" si="344"/>
        <v>0</v>
      </c>
      <c r="F803" s="12"/>
      <c r="G803" s="9"/>
      <c r="H803" s="10"/>
      <c r="I803" s="11">
        <f t="shared" si="345"/>
        <v>0</v>
      </c>
      <c r="J803" s="11">
        <f t="shared" si="346"/>
        <v>0</v>
      </c>
      <c r="K803" s="65"/>
      <c r="W803" s="27"/>
      <c r="X803" s="8"/>
      <c r="Y803" s="9"/>
      <c r="Z803" s="10"/>
      <c r="AA803" s="11">
        <f t="shared" si="347"/>
        <v>0</v>
      </c>
      <c r="AB803" s="12"/>
      <c r="AC803" s="9"/>
      <c r="AD803" s="10"/>
      <c r="AE803" s="11">
        <f t="shared" si="348"/>
        <v>0</v>
      </c>
      <c r="AF803" s="11">
        <f t="shared" si="349"/>
        <v>0</v>
      </c>
    </row>
    <row r="804" spans="1:33" x14ac:dyDescent="0.15">
      <c r="A804" s="29"/>
      <c r="B804" s="8"/>
      <c r="C804" s="9"/>
      <c r="D804" s="10"/>
      <c r="E804" s="11">
        <f t="shared" si="344"/>
        <v>0</v>
      </c>
      <c r="F804" s="12"/>
      <c r="G804" s="9"/>
      <c r="H804" s="10"/>
      <c r="I804" s="11">
        <f t="shared" si="345"/>
        <v>0</v>
      </c>
      <c r="J804" s="11">
        <f t="shared" si="346"/>
        <v>0</v>
      </c>
      <c r="W804" s="29"/>
      <c r="X804" s="8"/>
      <c r="Y804" s="9"/>
      <c r="Z804" s="10"/>
      <c r="AA804" s="11">
        <f t="shared" si="347"/>
        <v>0</v>
      </c>
      <c r="AB804" s="12"/>
      <c r="AC804" s="9"/>
      <c r="AD804" s="10"/>
      <c r="AE804" s="11">
        <f t="shared" si="348"/>
        <v>0</v>
      </c>
      <c r="AF804" s="11">
        <f t="shared" si="349"/>
        <v>0</v>
      </c>
    </row>
    <row r="805" spans="1:33" x14ac:dyDescent="0.15">
      <c r="A805" s="27"/>
      <c r="B805" s="8"/>
      <c r="C805" s="9"/>
      <c r="D805" s="10"/>
      <c r="E805" s="11">
        <f t="shared" si="344"/>
        <v>0</v>
      </c>
      <c r="F805" s="12"/>
      <c r="G805" s="9"/>
      <c r="H805" s="10"/>
      <c r="I805" s="11">
        <f t="shared" si="345"/>
        <v>0</v>
      </c>
      <c r="J805" s="11">
        <f t="shared" si="346"/>
        <v>0</v>
      </c>
      <c r="W805" s="27"/>
      <c r="X805" s="8"/>
      <c r="Y805" s="9"/>
      <c r="Z805" s="10"/>
      <c r="AA805" s="11">
        <f t="shared" si="347"/>
        <v>0</v>
      </c>
      <c r="AB805" s="12"/>
      <c r="AC805" s="9"/>
      <c r="AD805" s="10"/>
      <c r="AE805" s="11">
        <f t="shared" si="348"/>
        <v>0</v>
      </c>
      <c r="AF805" s="11">
        <f t="shared" si="349"/>
        <v>0</v>
      </c>
    </row>
    <row r="806" spans="1:33" x14ac:dyDescent="0.15">
      <c r="A806" s="26"/>
      <c r="B806" s="8"/>
      <c r="C806" s="9"/>
      <c r="D806" s="10"/>
      <c r="E806" s="11">
        <f t="shared" si="344"/>
        <v>0</v>
      </c>
      <c r="F806" s="12"/>
      <c r="G806" s="9"/>
      <c r="H806" s="10"/>
      <c r="I806" s="11">
        <f t="shared" si="345"/>
        <v>0</v>
      </c>
      <c r="J806" s="11">
        <f t="shared" si="346"/>
        <v>0</v>
      </c>
      <c r="W806" s="26"/>
      <c r="X806" s="8"/>
      <c r="Y806" s="9"/>
      <c r="Z806" s="10"/>
      <c r="AA806" s="11">
        <f t="shared" si="347"/>
        <v>0</v>
      </c>
      <c r="AB806" s="12"/>
      <c r="AC806" s="9"/>
      <c r="AD806" s="10"/>
      <c r="AE806" s="11">
        <f t="shared" si="348"/>
        <v>0</v>
      </c>
      <c r="AF806" s="11">
        <f t="shared" si="349"/>
        <v>0</v>
      </c>
    </row>
    <row r="807" spans="1:33" x14ac:dyDescent="0.15">
      <c r="A807" s="27"/>
      <c r="B807" s="8"/>
      <c r="C807" s="9"/>
      <c r="D807" s="10"/>
      <c r="E807" s="11">
        <f t="shared" si="344"/>
        <v>0</v>
      </c>
      <c r="F807" s="12"/>
      <c r="G807" s="9"/>
      <c r="H807" s="10"/>
      <c r="I807" s="11">
        <f t="shared" si="345"/>
        <v>0</v>
      </c>
      <c r="J807" s="11">
        <f t="shared" si="346"/>
        <v>0</v>
      </c>
      <c r="W807" s="26"/>
      <c r="X807" s="8"/>
      <c r="Y807" s="9"/>
      <c r="Z807" s="10"/>
      <c r="AA807" s="11">
        <f t="shared" si="347"/>
        <v>0</v>
      </c>
      <c r="AB807" s="12"/>
      <c r="AC807" s="9"/>
      <c r="AD807" s="10"/>
      <c r="AE807" s="11">
        <f t="shared" si="348"/>
        <v>0</v>
      </c>
      <c r="AF807" s="11">
        <f t="shared" si="349"/>
        <v>0</v>
      </c>
    </row>
    <row r="808" spans="1:33" x14ac:dyDescent="0.15">
      <c r="A808" s="27"/>
      <c r="B808" s="8"/>
      <c r="C808" s="9"/>
      <c r="D808" s="10"/>
      <c r="E808" s="11">
        <f t="shared" si="344"/>
        <v>0</v>
      </c>
      <c r="F808" s="12"/>
      <c r="G808" s="9"/>
      <c r="H808" s="10"/>
      <c r="I808" s="11">
        <f t="shared" si="345"/>
        <v>0</v>
      </c>
      <c r="J808" s="11">
        <f t="shared" si="346"/>
        <v>0</v>
      </c>
      <c r="W808" s="27"/>
      <c r="X808" s="8"/>
      <c r="Y808" s="9"/>
      <c r="Z808" s="10"/>
      <c r="AA808" s="11">
        <f t="shared" si="347"/>
        <v>0</v>
      </c>
      <c r="AB808" s="12"/>
      <c r="AC808" s="9"/>
      <c r="AD808" s="10"/>
      <c r="AE808" s="11">
        <f t="shared" si="348"/>
        <v>0</v>
      </c>
      <c r="AF808" s="11">
        <f t="shared" si="349"/>
        <v>0</v>
      </c>
      <c r="AG808" s="64"/>
    </row>
    <row r="809" spans="1:33" x14ac:dyDescent="0.15">
      <c r="A809" s="29"/>
      <c r="B809" s="13"/>
      <c r="C809" s="14"/>
      <c r="D809" s="15"/>
      <c r="E809" s="11">
        <f t="shared" si="344"/>
        <v>0</v>
      </c>
      <c r="F809" s="16"/>
      <c r="G809" s="14"/>
      <c r="H809" s="15"/>
      <c r="I809" s="11">
        <f t="shared" si="345"/>
        <v>0</v>
      </c>
      <c r="J809" s="11">
        <f t="shared" si="346"/>
        <v>0</v>
      </c>
      <c r="W809" s="27"/>
      <c r="X809" s="13"/>
      <c r="Y809" s="14"/>
      <c r="Z809" s="15"/>
      <c r="AA809" s="11">
        <f t="shared" si="347"/>
        <v>0</v>
      </c>
      <c r="AB809" s="16"/>
      <c r="AC809" s="14"/>
      <c r="AD809" s="15"/>
      <c r="AE809" s="11">
        <f t="shared" si="348"/>
        <v>0</v>
      </c>
      <c r="AF809" s="11">
        <f t="shared" si="349"/>
        <v>0</v>
      </c>
      <c r="AG809" s="64"/>
    </row>
    <row r="810" spans="1:33" x14ac:dyDescent="0.15">
      <c r="A810" s="27"/>
      <c r="B810" s="8"/>
      <c r="C810" s="9"/>
      <c r="D810" s="10"/>
      <c r="E810" s="11">
        <f t="shared" si="344"/>
        <v>0</v>
      </c>
      <c r="F810" s="12"/>
      <c r="G810" s="9"/>
      <c r="H810" s="10"/>
      <c r="I810" s="11">
        <f t="shared" si="345"/>
        <v>0</v>
      </c>
      <c r="J810" s="11">
        <f t="shared" si="346"/>
        <v>0</v>
      </c>
      <c r="W810" s="27"/>
      <c r="X810" s="13"/>
      <c r="Y810" s="14"/>
      <c r="Z810" s="15"/>
      <c r="AA810" s="11">
        <f t="shared" si="347"/>
        <v>0</v>
      </c>
      <c r="AB810" s="16"/>
      <c r="AC810" s="14"/>
      <c r="AD810" s="15"/>
      <c r="AE810" s="11">
        <f t="shared" si="348"/>
        <v>0</v>
      </c>
      <c r="AF810" s="11">
        <f t="shared" si="349"/>
        <v>0</v>
      </c>
      <c r="AG810" s="64"/>
    </row>
    <row r="811" spans="1:33" x14ac:dyDescent="0.15">
      <c r="A811" s="29"/>
      <c r="B811" s="8"/>
      <c r="C811" s="9"/>
      <c r="D811" s="10"/>
      <c r="E811" s="11">
        <f t="shared" si="344"/>
        <v>0</v>
      </c>
      <c r="F811" s="12"/>
      <c r="G811" s="9"/>
      <c r="H811" s="10"/>
      <c r="I811" s="11">
        <f t="shared" si="345"/>
        <v>0</v>
      </c>
      <c r="J811" s="11">
        <f t="shared" si="346"/>
        <v>0</v>
      </c>
      <c r="W811" s="27"/>
      <c r="X811" s="13"/>
      <c r="Y811" s="14"/>
      <c r="Z811" s="15"/>
      <c r="AA811" s="11">
        <f t="shared" si="347"/>
        <v>0</v>
      </c>
      <c r="AB811" s="16"/>
      <c r="AC811" s="14"/>
      <c r="AD811" s="15"/>
      <c r="AE811" s="11">
        <f t="shared" si="348"/>
        <v>0</v>
      </c>
      <c r="AF811" s="11">
        <f t="shared" si="349"/>
        <v>0</v>
      </c>
      <c r="AG811" s="65"/>
    </row>
    <row r="812" spans="1:33" x14ac:dyDescent="0.15">
      <c r="A812" s="29"/>
      <c r="B812" s="8"/>
      <c r="C812" s="9"/>
      <c r="D812" s="10"/>
      <c r="E812" s="11">
        <f t="shared" si="344"/>
        <v>0</v>
      </c>
      <c r="F812" s="12"/>
      <c r="G812" s="9"/>
      <c r="H812" s="10"/>
      <c r="I812" s="11">
        <f t="shared" si="345"/>
        <v>0</v>
      </c>
      <c r="J812" s="11">
        <f t="shared" si="346"/>
        <v>0</v>
      </c>
      <c r="W812" s="27"/>
      <c r="X812" s="13"/>
      <c r="Y812" s="14"/>
      <c r="Z812" s="15"/>
      <c r="AA812" s="11">
        <f t="shared" si="347"/>
        <v>0</v>
      </c>
      <c r="AB812" s="16"/>
      <c r="AC812" s="14"/>
      <c r="AD812" s="15"/>
      <c r="AE812" s="11">
        <f t="shared" si="348"/>
        <v>0</v>
      </c>
      <c r="AF812" s="11">
        <f t="shared" si="349"/>
        <v>0</v>
      </c>
      <c r="AG812" s="65"/>
    </row>
    <row r="813" spans="1:33" ht="14.25" thickBot="1" x14ac:dyDescent="0.2">
      <c r="A813" s="29"/>
      <c r="B813" s="8"/>
      <c r="C813" s="9"/>
      <c r="D813" s="10"/>
      <c r="E813" s="11">
        <f t="shared" si="344"/>
        <v>0</v>
      </c>
      <c r="F813" s="16"/>
      <c r="G813" s="14"/>
      <c r="H813" s="15"/>
      <c r="I813" s="11">
        <f t="shared" si="345"/>
        <v>0</v>
      </c>
      <c r="J813" s="11">
        <f t="shared" si="346"/>
        <v>0</v>
      </c>
      <c r="W813" s="27"/>
      <c r="X813" s="13"/>
      <c r="Y813" s="14"/>
      <c r="Z813" s="15"/>
      <c r="AA813" s="11">
        <f t="shared" si="347"/>
        <v>0</v>
      </c>
      <c r="AB813" s="16"/>
      <c r="AC813" s="14"/>
      <c r="AD813" s="15"/>
      <c r="AE813" s="11">
        <f t="shared" si="348"/>
        <v>0</v>
      </c>
      <c r="AF813" s="11">
        <f t="shared" si="349"/>
        <v>0</v>
      </c>
      <c r="AG813" s="65"/>
    </row>
    <row r="814" spans="1:33" ht="14.25" thickBot="1" x14ac:dyDescent="0.2">
      <c r="A814" s="44" t="s">
        <v>13</v>
      </c>
      <c r="B814" s="48">
        <f t="shared" ref="B814:I814" si="350">SUM(B788:B813)</f>
        <v>18</v>
      </c>
      <c r="C814" s="49">
        <f t="shared" si="350"/>
        <v>48</v>
      </c>
      <c r="D814" s="50">
        <f t="shared" si="350"/>
        <v>46</v>
      </c>
      <c r="E814" s="46">
        <f t="shared" si="350"/>
        <v>112</v>
      </c>
      <c r="F814" s="48">
        <f t="shared" si="350"/>
        <v>0</v>
      </c>
      <c r="G814" s="49">
        <f t="shared" si="350"/>
        <v>15</v>
      </c>
      <c r="H814" s="50">
        <f t="shared" si="350"/>
        <v>31</v>
      </c>
      <c r="I814" s="46">
        <f t="shared" si="350"/>
        <v>46</v>
      </c>
      <c r="J814" s="35">
        <f>E814+I814</f>
        <v>158</v>
      </c>
      <c r="W814" s="44" t="s">
        <v>13</v>
      </c>
      <c r="X814" s="48">
        <f t="shared" ref="X814:AE814" si="351">SUM(X788:X813)</f>
        <v>0</v>
      </c>
      <c r="Y814" s="49">
        <f t="shared" si="351"/>
        <v>0</v>
      </c>
      <c r="Z814" s="50">
        <f t="shared" si="351"/>
        <v>66</v>
      </c>
      <c r="AA814" s="46">
        <f t="shared" si="351"/>
        <v>66</v>
      </c>
      <c r="AB814" s="48">
        <f t="shared" si="351"/>
        <v>10</v>
      </c>
      <c r="AC814" s="49">
        <f t="shared" si="351"/>
        <v>15</v>
      </c>
      <c r="AD814" s="50">
        <f t="shared" si="351"/>
        <v>71</v>
      </c>
      <c r="AE814" s="46">
        <f t="shared" si="351"/>
        <v>96</v>
      </c>
      <c r="AF814" s="35">
        <f>AA814+AE814</f>
        <v>162</v>
      </c>
    </row>
    <row r="815" spans="1:33" ht="14.25" thickBot="1" x14ac:dyDescent="0.2">
      <c r="A815" s="23" t="s">
        <v>14</v>
      </c>
      <c r="B815" s="24">
        <f t="shared" ref="B815:J815" si="352">B787-B814</f>
        <v>49</v>
      </c>
      <c r="C815" s="25">
        <f t="shared" si="352"/>
        <v>16</v>
      </c>
      <c r="D815" s="30">
        <f t="shared" si="352"/>
        <v>28</v>
      </c>
      <c r="E815" s="51">
        <f t="shared" si="352"/>
        <v>93</v>
      </c>
      <c r="F815" s="24">
        <f t="shared" si="352"/>
        <v>39</v>
      </c>
      <c r="G815" s="25">
        <f t="shared" si="352"/>
        <v>22</v>
      </c>
      <c r="H815" s="30">
        <f t="shared" si="352"/>
        <v>47</v>
      </c>
      <c r="I815" s="47">
        <f t="shared" si="352"/>
        <v>108</v>
      </c>
      <c r="J815" s="79">
        <f t="shared" si="352"/>
        <v>201</v>
      </c>
      <c r="W815" s="23" t="s">
        <v>14</v>
      </c>
      <c r="X815" s="24">
        <f t="shared" ref="X815:AF815" si="353">X787-X814</f>
        <v>42</v>
      </c>
      <c r="Y815" s="25">
        <f t="shared" si="353"/>
        <v>110</v>
      </c>
      <c r="Z815" s="30">
        <f t="shared" si="353"/>
        <v>394</v>
      </c>
      <c r="AA815" s="51">
        <f t="shared" si="353"/>
        <v>546</v>
      </c>
      <c r="AB815" s="24">
        <f t="shared" si="353"/>
        <v>162</v>
      </c>
      <c r="AC815" s="25">
        <f t="shared" si="353"/>
        <v>126</v>
      </c>
      <c r="AD815" s="30">
        <f t="shared" si="353"/>
        <v>228</v>
      </c>
      <c r="AE815" s="47">
        <f t="shared" si="353"/>
        <v>516</v>
      </c>
      <c r="AF815" s="79">
        <f t="shared" si="353"/>
        <v>1062</v>
      </c>
    </row>
    <row r="818" spans="1:33" ht="19.5" thickBot="1" x14ac:dyDescent="0.25">
      <c r="A818" s="2" t="s">
        <v>21</v>
      </c>
      <c r="B818" s="1"/>
      <c r="C818" s="1"/>
      <c r="D818" s="1"/>
      <c r="E818" s="1"/>
      <c r="F818" s="1"/>
      <c r="G818" s="1"/>
      <c r="H818" s="1"/>
      <c r="I818" s="1"/>
      <c r="J818" s="1"/>
      <c r="W818" s="93" t="s">
        <v>136</v>
      </c>
      <c r="X818" s="94"/>
      <c r="Y818" s="94"/>
      <c r="Z818" s="94"/>
      <c r="AA818" s="106" t="s">
        <v>299</v>
      </c>
      <c r="AB818" s="1"/>
      <c r="AC818" s="1"/>
      <c r="AD818" s="1"/>
      <c r="AE818" s="1"/>
      <c r="AF818" s="1"/>
    </row>
    <row r="819" spans="1:33" ht="14.25" thickBot="1" x14ac:dyDescent="0.2">
      <c r="A819" s="7" t="s">
        <v>0</v>
      </c>
      <c r="B819" s="168" t="s">
        <v>1</v>
      </c>
      <c r="C819" s="169"/>
      <c r="D819" s="169"/>
      <c r="E819" s="170"/>
      <c r="F819" s="168" t="s">
        <v>2</v>
      </c>
      <c r="G819" s="169"/>
      <c r="H819" s="169"/>
      <c r="I819" s="171"/>
      <c r="J819" s="172" t="s">
        <v>3</v>
      </c>
      <c r="W819" s="7" t="s">
        <v>0</v>
      </c>
      <c r="X819" s="174" t="s">
        <v>1</v>
      </c>
      <c r="Y819" s="175"/>
      <c r="Z819" s="176"/>
      <c r="AA819" s="101"/>
      <c r="AB819" s="174" t="s">
        <v>2</v>
      </c>
      <c r="AC819" s="175"/>
      <c r="AD819" s="176"/>
      <c r="AE819" s="102"/>
      <c r="AF819" s="103" t="s">
        <v>3</v>
      </c>
    </row>
    <row r="820" spans="1:33" ht="14.25" thickBot="1" x14ac:dyDescent="0.2">
      <c r="A820" s="7" t="s">
        <v>4</v>
      </c>
      <c r="B820" s="3" t="s">
        <v>5</v>
      </c>
      <c r="C820" s="4" t="s">
        <v>6</v>
      </c>
      <c r="D820" s="5" t="s">
        <v>7</v>
      </c>
      <c r="E820" s="7" t="s">
        <v>8</v>
      </c>
      <c r="F820" s="3" t="s">
        <v>5</v>
      </c>
      <c r="G820" s="4" t="s">
        <v>6</v>
      </c>
      <c r="H820" s="5" t="s">
        <v>7</v>
      </c>
      <c r="I820" s="7" t="s">
        <v>8</v>
      </c>
      <c r="J820" s="173"/>
      <c r="W820" s="7" t="s">
        <v>4</v>
      </c>
      <c r="X820" s="3" t="s">
        <v>5</v>
      </c>
      <c r="Y820" s="4" t="s">
        <v>6</v>
      </c>
      <c r="Z820" s="5" t="s">
        <v>7</v>
      </c>
      <c r="AA820" s="7" t="s">
        <v>8</v>
      </c>
      <c r="AB820" s="107" t="s">
        <v>5</v>
      </c>
      <c r="AC820" s="108" t="s">
        <v>6</v>
      </c>
      <c r="AD820" s="109" t="s">
        <v>7</v>
      </c>
      <c r="AE820" s="7" t="s">
        <v>8</v>
      </c>
      <c r="AF820" s="104"/>
    </row>
    <row r="821" spans="1:33" ht="14.25" thickBot="1" x14ac:dyDescent="0.2">
      <c r="A821" s="31" t="s">
        <v>14</v>
      </c>
      <c r="B821" s="32">
        <f>B815</f>
        <v>49</v>
      </c>
      <c r="C821" s="33">
        <f>C815</f>
        <v>16</v>
      </c>
      <c r="D821" s="34">
        <f>D815</f>
        <v>28</v>
      </c>
      <c r="E821" s="41">
        <f>SUM(B821:D821)</f>
        <v>93</v>
      </c>
      <c r="F821" s="32">
        <f>F815</f>
        <v>39</v>
      </c>
      <c r="G821" s="33">
        <f>G815</f>
        <v>22</v>
      </c>
      <c r="H821" s="34">
        <f>H815</f>
        <v>47</v>
      </c>
      <c r="I821" s="41">
        <f>SUM(F821:H821)</f>
        <v>108</v>
      </c>
      <c r="J821" s="41">
        <f>E821+I821</f>
        <v>201</v>
      </c>
      <c r="W821" s="31" t="s">
        <v>14</v>
      </c>
      <c r="X821" s="32">
        <f>X815</f>
        <v>42</v>
      </c>
      <c r="Y821" s="33">
        <f>Y815</f>
        <v>110</v>
      </c>
      <c r="Z821" s="33">
        <f>Z815</f>
        <v>394</v>
      </c>
      <c r="AA821" s="111">
        <f>SUM(X821:Z821)</f>
        <v>546</v>
      </c>
      <c r="AB821" s="32">
        <f>AB815</f>
        <v>162</v>
      </c>
      <c r="AC821" s="33">
        <f>AC815</f>
        <v>126</v>
      </c>
      <c r="AD821" s="95">
        <f>AD815</f>
        <v>228</v>
      </c>
      <c r="AE821" s="46">
        <f>SUM(AB821:AD821)</f>
        <v>516</v>
      </c>
      <c r="AF821" s="35">
        <f>AA821+AE821</f>
        <v>1062</v>
      </c>
    </row>
    <row r="822" spans="1:33" x14ac:dyDescent="0.15">
      <c r="A822" s="28" t="s">
        <v>9</v>
      </c>
      <c r="B822" s="17"/>
      <c r="C822" s="18">
        <v>50</v>
      </c>
      <c r="D822" s="19"/>
      <c r="E822" s="20">
        <f t="shared" ref="E822:E829" si="354">SUM(B822:D822)</f>
        <v>50</v>
      </c>
      <c r="F822" s="21"/>
      <c r="G822" s="18"/>
      <c r="H822" s="19"/>
      <c r="I822" s="20">
        <f t="shared" ref="I822:I829" si="355">SUM(F822:H822)</f>
        <v>0</v>
      </c>
      <c r="J822" s="20">
        <f t="shared" ref="J822:J829" si="356">E822+I822</f>
        <v>50</v>
      </c>
      <c r="K822" s="65">
        <v>42615</v>
      </c>
      <c r="W822" s="28" t="s">
        <v>9</v>
      </c>
      <c r="X822" s="8"/>
      <c r="Y822" s="9"/>
      <c r="Z822" s="10"/>
      <c r="AA822" s="78">
        <f t="shared" ref="AA822:AA829" si="357">SUM(X822:Z822)</f>
        <v>0</v>
      </c>
      <c r="AB822" s="21"/>
      <c r="AC822" s="18"/>
      <c r="AD822" s="19"/>
      <c r="AE822" s="78">
        <f t="shared" ref="AE822:AE829" si="358">SUM(AB822:AD822)</f>
        <v>0</v>
      </c>
      <c r="AF822" s="78">
        <f t="shared" ref="AF822:AF829" si="359">AA822+AE822</f>
        <v>0</v>
      </c>
    </row>
    <row r="823" spans="1:33" x14ac:dyDescent="0.15">
      <c r="A823" s="28" t="s">
        <v>59</v>
      </c>
      <c r="B823" s="8">
        <v>2</v>
      </c>
      <c r="C823" s="9">
        <v>1</v>
      </c>
      <c r="D823" s="10"/>
      <c r="E823" s="11">
        <f t="shared" si="354"/>
        <v>3</v>
      </c>
      <c r="F823" s="12"/>
      <c r="G823" s="9"/>
      <c r="H823" s="10"/>
      <c r="I823" s="11">
        <f t="shared" si="355"/>
        <v>0</v>
      </c>
      <c r="J823" s="11">
        <f t="shared" si="356"/>
        <v>3</v>
      </c>
      <c r="K823" s="71">
        <v>42616</v>
      </c>
      <c r="W823" s="28" t="s">
        <v>10</v>
      </c>
      <c r="X823" s="8"/>
      <c r="Y823" s="9"/>
      <c r="Z823" s="10"/>
      <c r="AA823" s="11">
        <f t="shared" si="357"/>
        <v>0</v>
      </c>
      <c r="AB823" s="12"/>
      <c r="AC823" s="9"/>
      <c r="AD823" s="10"/>
      <c r="AE823" s="11">
        <f t="shared" si="358"/>
        <v>0</v>
      </c>
      <c r="AF823" s="11">
        <f t="shared" si="359"/>
        <v>0</v>
      </c>
      <c r="AG823" s="65"/>
    </row>
    <row r="824" spans="1:33" x14ac:dyDescent="0.15">
      <c r="A824" s="28" t="s">
        <v>11</v>
      </c>
      <c r="B824" s="8"/>
      <c r="C824" s="9"/>
      <c r="D824" s="10">
        <v>50</v>
      </c>
      <c r="E824" s="11">
        <f t="shared" si="354"/>
        <v>50</v>
      </c>
      <c r="F824" s="12"/>
      <c r="G824" s="9"/>
      <c r="H824" s="10"/>
      <c r="I824" s="11">
        <f t="shared" si="355"/>
        <v>0</v>
      </c>
      <c r="J824" s="11">
        <f t="shared" si="356"/>
        <v>50</v>
      </c>
      <c r="K824" s="65">
        <v>42621</v>
      </c>
      <c r="W824" s="28" t="s">
        <v>11</v>
      </c>
      <c r="X824" s="8"/>
      <c r="Y824" s="9"/>
      <c r="Z824" s="10"/>
      <c r="AA824" s="11">
        <f t="shared" si="357"/>
        <v>0</v>
      </c>
      <c r="AB824" s="12"/>
      <c r="AC824" s="9"/>
      <c r="AD824" s="10"/>
      <c r="AE824" s="11">
        <f t="shared" si="358"/>
        <v>0</v>
      </c>
      <c r="AF824" s="11">
        <f t="shared" si="359"/>
        <v>0</v>
      </c>
      <c r="AG824" s="65"/>
    </row>
    <row r="825" spans="1:33" x14ac:dyDescent="0.15">
      <c r="A825" s="28" t="s">
        <v>228</v>
      </c>
      <c r="B825" s="8">
        <v>3</v>
      </c>
      <c r="C825" s="9"/>
      <c r="D825" s="10"/>
      <c r="E825" s="11">
        <f t="shared" si="354"/>
        <v>3</v>
      </c>
      <c r="F825" s="12"/>
      <c r="G825" s="9"/>
      <c r="H825" s="10"/>
      <c r="I825" s="11">
        <f t="shared" si="355"/>
        <v>0</v>
      </c>
      <c r="J825" s="11">
        <f t="shared" si="356"/>
        <v>3</v>
      </c>
      <c r="K825" s="71">
        <v>42621</v>
      </c>
      <c r="W825" s="28" t="s">
        <v>12</v>
      </c>
      <c r="X825" s="8"/>
      <c r="Y825" s="9"/>
      <c r="Z825" s="10"/>
      <c r="AA825" s="11">
        <f t="shared" si="357"/>
        <v>0</v>
      </c>
      <c r="AB825" s="12"/>
      <c r="AC825" s="9"/>
      <c r="AD825" s="10"/>
      <c r="AE825" s="11">
        <f t="shared" si="358"/>
        <v>0</v>
      </c>
      <c r="AF825" s="11">
        <f t="shared" si="359"/>
        <v>0</v>
      </c>
      <c r="AG825" s="65"/>
    </row>
    <row r="826" spans="1:33" x14ac:dyDescent="0.15">
      <c r="A826" s="28" t="s">
        <v>228</v>
      </c>
      <c r="B826" s="8"/>
      <c r="C826" s="9"/>
      <c r="D826" s="10">
        <v>3</v>
      </c>
      <c r="E826" s="11">
        <f t="shared" si="354"/>
        <v>3</v>
      </c>
      <c r="F826" s="12"/>
      <c r="G826" s="9"/>
      <c r="H826" s="10"/>
      <c r="I826" s="11">
        <f t="shared" si="355"/>
        <v>0</v>
      </c>
      <c r="J826" s="11">
        <f t="shared" si="356"/>
        <v>3</v>
      </c>
      <c r="K826" s="71">
        <v>42627</v>
      </c>
      <c r="W826" s="28" t="s">
        <v>15</v>
      </c>
      <c r="X826" s="8">
        <v>464</v>
      </c>
      <c r="Y826" s="9">
        <v>500</v>
      </c>
      <c r="Z826" s="10">
        <v>509</v>
      </c>
      <c r="AA826" s="11">
        <f t="shared" si="357"/>
        <v>1473</v>
      </c>
      <c r="AB826" s="12">
        <v>300</v>
      </c>
      <c r="AC826" s="9">
        <v>300</v>
      </c>
      <c r="AD826" s="10">
        <v>200</v>
      </c>
      <c r="AE826" s="11">
        <f t="shared" si="358"/>
        <v>800</v>
      </c>
      <c r="AF826" s="11">
        <f t="shared" si="359"/>
        <v>2273</v>
      </c>
      <c r="AG826" s="65">
        <v>42619</v>
      </c>
    </row>
    <row r="827" spans="1:33" x14ac:dyDescent="0.15">
      <c r="A827" s="28" t="s">
        <v>16</v>
      </c>
      <c r="B827" s="8"/>
      <c r="C827" s="9">
        <v>50</v>
      </c>
      <c r="D827" s="10"/>
      <c r="E827" s="11">
        <f t="shared" si="354"/>
        <v>50</v>
      </c>
      <c r="F827" s="12"/>
      <c r="G827" s="9"/>
      <c r="H827" s="10"/>
      <c r="I827" s="11">
        <f t="shared" si="355"/>
        <v>0</v>
      </c>
      <c r="J827" s="11">
        <f t="shared" si="356"/>
        <v>50</v>
      </c>
      <c r="K827" s="65">
        <v>42637</v>
      </c>
      <c r="W827" s="28" t="s">
        <v>16</v>
      </c>
      <c r="X827" s="8"/>
      <c r="Y827" s="9"/>
      <c r="Z827" s="10"/>
      <c r="AA827" s="11">
        <f t="shared" si="357"/>
        <v>0</v>
      </c>
      <c r="AB827" s="12"/>
      <c r="AC827" s="9"/>
      <c r="AD827" s="10"/>
      <c r="AE827" s="11">
        <f t="shared" si="358"/>
        <v>0</v>
      </c>
      <c r="AF827" s="11">
        <f t="shared" si="359"/>
        <v>0</v>
      </c>
      <c r="AG827" s="65"/>
    </row>
    <row r="828" spans="1:33" x14ac:dyDescent="0.15">
      <c r="A828" s="28" t="s">
        <v>59</v>
      </c>
      <c r="B828" s="13"/>
      <c r="C828" s="14"/>
      <c r="D828" s="15"/>
      <c r="E828" s="11">
        <f t="shared" si="354"/>
        <v>0</v>
      </c>
      <c r="F828" s="16"/>
      <c r="G828" s="14"/>
      <c r="H828" s="15">
        <v>1</v>
      </c>
      <c r="I828" s="11">
        <f t="shared" si="355"/>
        <v>1</v>
      </c>
      <c r="J828" s="11">
        <f t="shared" si="356"/>
        <v>1</v>
      </c>
      <c r="K828" s="71">
        <v>42637</v>
      </c>
      <c r="W828" s="28" t="s">
        <v>17</v>
      </c>
      <c r="X828" s="13"/>
      <c r="Y828" s="14"/>
      <c r="Z828" s="15"/>
      <c r="AA828" s="11">
        <f t="shared" si="357"/>
        <v>0</v>
      </c>
      <c r="AB828" s="16"/>
      <c r="AC828" s="14"/>
      <c r="AD828" s="15"/>
      <c r="AE828" s="11">
        <f t="shared" si="358"/>
        <v>0</v>
      </c>
      <c r="AF828" s="11">
        <f t="shared" si="359"/>
        <v>0</v>
      </c>
      <c r="AG828" s="64"/>
    </row>
    <row r="829" spans="1:33" ht="14.25" thickBot="1" x14ac:dyDescent="0.2">
      <c r="A829" s="28" t="s">
        <v>18</v>
      </c>
      <c r="B829" s="36"/>
      <c r="C829" s="37"/>
      <c r="D829" s="40"/>
      <c r="E829" s="22">
        <f t="shared" si="354"/>
        <v>0</v>
      </c>
      <c r="F829" s="38"/>
      <c r="G829" s="38">
        <v>50</v>
      </c>
      <c r="H829" s="43">
        <v>50</v>
      </c>
      <c r="I829" s="22">
        <f t="shared" si="355"/>
        <v>100</v>
      </c>
      <c r="J829" s="22">
        <f t="shared" si="356"/>
        <v>100</v>
      </c>
      <c r="K829" s="65">
        <v>42642</v>
      </c>
      <c r="W829" s="28" t="s">
        <v>18</v>
      </c>
      <c r="X829" s="36"/>
      <c r="Y829" s="37"/>
      <c r="Z829" s="40"/>
      <c r="AA829" s="22">
        <f t="shared" si="357"/>
        <v>0</v>
      </c>
      <c r="AB829" s="38"/>
      <c r="AC829" s="38"/>
      <c r="AD829" s="43"/>
      <c r="AE829" s="22">
        <f t="shared" si="358"/>
        <v>0</v>
      </c>
      <c r="AF829" s="22">
        <f t="shared" si="359"/>
        <v>0</v>
      </c>
    </row>
    <row r="830" spans="1:33" ht="14.25" thickBot="1" x14ac:dyDescent="0.2">
      <c r="A830" s="39" t="s">
        <v>20</v>
      </c>
      <c r="B830" s="32">
        <f t="shared" ref="B830:J830" si="360">SUM(B821:B829)</f>
        <v>54</v>
      </c>
      <c r="C830" s="33">
        <f t="shared" si="360"/>
        <v>117</v>
      </c>
      <c r="D830" s="34">
        <f t="shared" si="360"/>
        <v>81</v>
      </c>
      <c r="E830" s="42">
        <f t="shared" si="360"/>
        <v>252</v>
      </c>
      <c r="F830" s="32">
        <f t="shared" si="360"/>
        <v>39</v>
      </c>
      <c r="G830" s="33">
        <f t="shared" si="360"/>
        <v>72</v>
      </c>
      <c r="H830" s="34">
        <f t="shared" si="360"/>
        <v>98</v>
      </c>
      <c r="I830" s="42">
        <f t="shared" si="360"/>
        <v>209</v>
      </c>
      <c r="J830" s="42">
        <f t="shared" si="360"/>
        <v>461</v>
      </c>
      <c r="W830" s="39" t="s">
        <v>20</v>
      </c>
      <c r="X830" s="32">
        <f t="shared" ref="X830:AF830" si="361">SUM(X821:X829)</f>
        <v>506</v>
      </c>
      <c r="Y830" s="33">
        <f t="shared" si="361"/>
        <v>610</v>
      </c>
      <c r="Z830" s="34">
        <f t="shared" si="361"/>
        <v>903</v>
      </c>
      <c r="AA830" s="42">
        <f t="shared" si="361"/>
        <v>2019</v>
      </c>
      <c r="AB830" s="32">
        <f t="shared" si="361"/>
        <v>462</v>
      </c>
      <c r="AC830" s="33">
        <f t="shared" si="361"/>
        <v>426</v>
      </c>
      <c r="AD830" s="34">
        <f t="shared" si="361"/>
        <v>428</v>
      </c>
      <c r="AE830" s="42">
        <f t="shared" si="361"/>
        <v>1316</v>
      </c>
      <c r="AF830" s="42">
        <f t="shared" si="361"/>
        <v>3335</v>
      </c>
    </row>
    <row r="831" spans="1:33" x14ac:dyDescent="0.15">
      <c r="A831" s="29" t="s">
        <v>35</v>
      </c>
      <c r="B831" s="8"/>
      <c r="C831" s="9">
        <v>10</v>
      </c>
      <c r="D831" s="10">
        <v>10</v>
      </c>
      <c r="E831" s="11">
        <f>SUM(B831:D831)</f>
        <v>20</v>
      </c>
      <c r="F831" s="12"/>
      <c r="G831" s="9"/>
      <c r="H831" s="10"/>
      <c r="I831" s="11">
        <f>SUM(F831:H831)</f>
        <v>0</v>
      </c>
      <c r="J831" s="11">
        <f>E831+I831</f>
        <v>20</v>
      </c>
      <c r="K831" s="65">
        <v>42618</v>
      </c>
      <c r="W831" s="29" t="s">
        <v>41</v>
      </c>
      <c r="X831" s="8"/>
      <c r="Y831" s="9">
        <v>50</v>
      </c>
      <c r="Z831" s="10"/>
      <c r="AA831" s="11">
        <f>SUM(X831:Z831)</f>
        <v>50</v>
      </c>
      <c r="AB831" s="12"/>
      <c r="AC831" s="9"/>
      <c r="AD831" s="10"/>
      <c r="AE831" s="11">
        <f>SUM(AB831:AD831)</f>
        <v>0</v>
      </c>
      <c r="AF831" s="11">
        <f>AA831+AE831</f>
        <v>50</v>
      </c>
      <c r="AG831" s="65">
        <v>42615</v>
      </c>
    </row>
    <row r="832" spans="1:33" x14ac:dyDescent="0.15">
      <c r="A832" s="29" t="s">
        <v>386</v>
      </c>
      <c r="B832" s="8">
        <v>2</v>
      </c>
      <c r="C832" s="9">
        <v>3</v>
      </c>
      <c r="D832" s="10">
        <v>5</v>
      </c>
      <c r="E832" s="11">
        <f>SUM(B832:D832)</f>
        <v>10</v>
      </c>
      <c r="F832" s="12"/>
      <c r="G832" s="9"/>
      <c r="H832" s="10">
        <v>3</v>
      </c>
      <c r="I832" s="11">
        <f>SUM(F832:H832)</f>
        <v>3</v>
      </c>
      <c r="J832" s="11">
        <f>E832+I832</f>
        <v>13</v>
      </c>
      <c r="K832" s="65">
        <v>42619</v>
      </c>
      <c r="W832" s="29" t="s">
        <v>41</v>
      </c>
      <c r="X832" s="8"/>
      <c r="Y832" s="9"/>
      <c r="Z832" s="10">
        <v>50</v>
      </c>
      <c r="AA832" s="11">
        <f>SUM(X832:Z832)</f>
        <v>50</v>
      </c>
      <c r="AB832" s="12"/>
      <c r="AC832" s="9"/>
      <c r="AD832" s="10"/>
      <c r="AE832" s="11">
        <f>SUM(AB832:AD832)</f>
        <v>0</v>
      </c>
      <c r="AF832" s="11">
        <f>AA832+AE832</f>
        <v>50</v>
      </c>
      <c r="AG832" s="65">
        <v>42621</v>
      </c>
    </row>
    <row r="833" spans="1:33" x14ac:dyDescent="0.15">
      <c r="A833" s="29" t="s">
        <v>462</v>
      </c>
      <c r="B833" s="8"/>
      <c r="C833" s="9">
        <v>1</v>
      </c>
      <c r="D833" s="10">
        <v>1</v>
      </c>
      <c r="E833" s="11">
        <f t="shared" ref="E833:E856" si="362">SUM(B833:D833)</f>
        <v>2</v>
      </c>
      <c r="F833" s="12"/>
      <c r="G833" s="9"/>
      <c r="H833" s="10"/>
      <c r="I833" s="11">
        <f t="shared" ref="I833:I856" si="363">SUM(F833:H833)</f>
        <v>0</v>
      </c>
      <c r="J833" s="11">
        <f t="shared" ref="J833:J856" si="364">E833+I833</f>
        <v>2</v>
      </c>
      <c r="K833" s="65">
        <v>42620</v>
      </c>
      <c r="W833" s="29" t="s">
        <v>41</v>
      </c>
      <c r="X833" s="8"/>
      <c r="Y833" s="9">
        <v>50</v>
      </c>
      <c r="Z833" s="10"/>
      <c r="AA833" s="11">
        <f t="shared" ref="AA833:AA856" si="365">SUM(X833:Z833)</f>
        <v>50</v>
      </c>
      <c r="AB833" s="12"/>
      <c r="AC833" s="9"/>
      <c r="AD833" s="10"/>
      <c r="AE833" s="11">
        <f t="shared" ref="AE833:AE856" si="366">SUM(AB833:AD833)</f>
        <v>0</v>
      </c>
      <c r="AF833" s="11">
        <f t="shared" ref="AF833:AF856" si="367">AA833+AE833</f>
        <v>50</v>
      </c>
      <c r="AG833" s="65">
        <v>42637</v>
      </c>
    </row>
    <row r="834" spans="1:33" x14ac:dyDescent="0.15">
      <c r="A834" s="29" t="s">
        <v>35</v>
      </c>
      <c r="B834" s="8"/>
      <c r="C834" s="9"/>
      <c r="D834" s="10">
        <v>10</v>
      </c>
      <c r="E834" s="11">
        <f t="shared" si="362"/>
        <v>10</v>
      </c>
      <c r="F834" s="12"/>
      <c r="G834" s="9"/>
      <c r="H834" s="10"/>
      <c r="I834" s="11">
        <f t="shared" si="363"/>
        <v>0</v>
      </c>
      <c r="J834" s="11">
        <f t="shared" si="364"/>
        <v>10</v>
      </c>
      <c r="K834" s="65">
        <v>42625</v>
      </c>
      <c r="W834" s="29" t="s">
        <v>41</v>
      </c>
      <c r="X834" s="8"/>
      <c r="Y834" s="9"/>
      <c r="Z834" s="10"/>
      <c r="AA834" s="11">
        <f t="shared" si="365"/>
        <v>0</v>
      </c>
      <c r="AB834" s="12"/>
      <c r="AC834" s="9">
        <v>50</v>
      </c>
      <c r="AD834" s="10">
        <v>50</v>
      </c>
      <c r="AE834" s="11">
        <f t="shared" si="366"/>
        <v>100</v>
      </c>
      <c r="AF834" s="11">
        <f t="shared" si="367"/>
        <v>100</v>
      </c>
      <c r="AG834" s="65">
        <v>42642</v>
      </c>
    </row>
    <row r="835" spans="1:33" x14ac:dyDescent="0.15">
      <c r="A835" s="27" t="s">
        <v>460</v>
      </c>
      <c r="B835" s="8"/>
      <c r="C835" s="9"/>
      <c r="D835" s="10"/>
      <c r="E835" s="11">
        <f t="shared" si="362"/>
        <v>0</v>
      </c>
      <c r="F835" s="12">
        <v>1</v>
      </c>
      <c r="G835" s="9"/>
      <c r="H835" s="10"/>
      <c r="I835" s="11">
        <f t="shared" si="363"/>
        <v>1</v>
      </c>
      <c r="J835" s="11">
        <f t="shared" si="364"/>
        <v>1</v>
      </c>
      <c r="K835" s="65">
        <v>42622</v>
      </c>
      <c r="W835" s="29" t="s">
        <v>41</v>
      </c>
      <c r="X835" s="8">
        <v>50</v>
      </c>
      <c r="Y835" s="9"/>
      <c r="Z835" s="10"/>
      <c r="AA835" s="11">
        <f t="shared" si="365"/>
        <v>50</v>
      </c>
      <c r="AB835" s="12"/>
      <c r="AC835" s="9"/>
      <c r="AD835" s="10"/>
      <c r="AE835" s="11">
        <f t="shared" si="366"/>
        <v>0</v>
      </c>
      <c r="AF835" s="11">
        <f t="shared" si="367"/>
        <v>50</v>
      </c>
      <c r="AG835" s="65">
        <v>42643</v>
      </c>
    </row>
    <row r="836" spans="1:33" x14ac:dyDescent="0.15">
      <c r="A836" s="27" t="s">
        <v>461</v>
      </c>
      <c r="B836" s="8"/>
      <c r="C836" s="9">
        <v>1</v>
      </c>
      <c r="D836" s="10"/>
      <c r="E836" s="11">
        <f t="shared" si="362"/>
        <v>1</v>
      </c>
      <c r="F836" s="12"/>
      <c r="G836" s="9"/>
      <c r="H836" s="10"/>
      <c r="I836" s="11">
        <f t="shared" si="363"/>
        <v>0</v>
      </c>
      <c r="J836" s="11">
        <f t="shared" si="364"/>
        <v>1</v>
      </c>
      <c r="K836" s="71">
        <v>42621</v>
      </c>
      <c r="W836" s="27"/>
      <c r="X836" s="8"/>
      <c r="Y836" s="9"/>
      <c r="Z836" s="10"/>
      <c r="AA836" s="11">
        <f t="shared" si="365"/>
        <v>0</v>
      </c>
      <c r="AB836" s="12"/>
      <c r="AC836" s="9"/>
      <c r="AD836" s="10"/>
      <c r="AE836" s="11">
        <f t="shared" si="366"/>
        <v>0</v>
      </c>
      <c r="AF836" s="11">
        <f t="shared" si="367"/>
        <v>0</v>
      </c>
    </row>
    <row r="837" spans="1:33" x14ac:dyDescent="0.15">
      <c r="A837" s="29" t="s">
        <v>464</v>
      </c>
      <c r="B837" s="8">
        <v>1</v>
      </c>
      <c r="C837" s="9">
        <v>2</v>
      </c>
      <c r="D837" s="10">
        <v>4</v>
      </c>
      <c r="E837" s="11">
        <f t="shared" si="362"/>
        <v>7</v>
      </c>
      <c r="F837" s="12"/>
      <c r="G837" s="9"/>
      <c r="H837" s="10">
        <v>2</v>
      </c>
      <c r="I837" s="11">
        <f t="shared" si="363"/>
        <v>2</v>
      </c>
      <c r="J837" s="11">
        <f t="shared" si="364"/>
        <v>9</v>
      </c>
      <c r="K837" s="65">
        <v>42622</v>
      </c>
      <c r="W837" s="29"/>
      <c r="X837" s="8"/>
      <c r="Y837" s="9"/>
      <c r="Z837" s="10"/>
      <c r="AA837" s="11">
        <f t="shared" si="365"/>
        <v>0</v>
      </c>
      <c r="AB837" s="12"/>
      <c r="AC837" s="9"/>
      <c r="AD837" s="10"/>
      <c r="AE837" s="11">
        <f t="shared" si="366"/>
        <v>0</v>
      </c>
      <c r="AF837" s="11">
        <f t="shared" si="367"/>
        <v>0</v>
      </c>
    </row>
    <row r="838" spans="1:33" x14ac:dyDescent="0.15">
      <c r="A838" s="29" t="s">
        <v>463</v>
      </c>
      <c r="B838" s="8"/>
      <c r="C838" s="9">
        <v>1</v>
      </c>
      <c r="D838" s="10"/>
      <c r="E838" s="11">
        <f t="shared" si="362"/>
        <v>1</v>
      </c>
      <c r="F838" s="12"/>
      <c r="G838" s="9">
        <v>2</v>
      </c>
      <c r="H838" s="10"/>
      <c r="I838" s="11">
        <f t="shared" si="363"/>
        <v>2</v>
      </c>
      <c r="J838" s="11">
        <f t="shared" si="364"/>
        <v>3</v>
      </c>
      <c r="K838" s="71">
        <v>42621</v>
      </c>
      <c r="W838" s="29"/>
      <c r="X838" s="8"/>
      <c r="Y838" s="9"/>
      <c r="Z838" s="10"/>
      <c r="AA838" s="11">
        <f t="shared" si="365"/>
        <v>0</v>
      </c>
      <c r="AB838" s="12"/>
      <c r="AC838" s="9"/>
      <c r="AD838" s="10"/>
      <c r="AE838" s="11">
        <f t="shared" si="366"/>
        <v>0</v>
      </c>
      <c r="AF838" s="11">
        <f t="shared" si="367"/>
        <v>0</v>
      </c>
    </row>
    <row r="839" spans="1:33" x14ac:dyDescent="0.15">
      <c r="A839" s="29" t="s">
        <v>465</v>
      </c>
      <c r="B839" s="13">
        <v>2</v>
      </c>
      <c r="C839" s="14"/>
      <c r="D839" s="15"/>
      <c r="E839" s="11">
        <f t="shared" si="362"/>
        <v>2</v>
      </c>
      <c r="F839" s="16"/>
      <c r="G839" s="14"/>
      <c r="H839" s="15"/>
      <c r="I839" s="11">
        <f t="shared" si="363"/>
        <v>0</v>
      </c>
      <c r="J839" s="11">
        <f t="shared" si="364"/>
        <v>2</v>
      </c>
      <c r="K839" s="65">
        <v>42623</v>
      </c>
      <c r="W839" s="27"/>
      <c r="X839" s="8"/>
      <c r="Y839" s="9"/>
      <c r="Z839" s="10"/>
      <c r="AA839" s="11">
        <f t="shared" si="365"/>
        <v>0</v>
      </c>
      <c r="AB839" s="12"/>
      <c r="AC839" s="9"/>
      <c r="AD839" s="10"/>
      <c r="AE839" s="11">
        <f t="shared" si="366"/>
        <v>0</v>
      </c>
      <c r="AF839" s="11">
        <f t="shared" si="367"/>
        <v>0</v>
      </c>
    </row>
    <row r="840" spans="1:33" x14ac:dyDescent="0.15">
      <c r="A840" s="27" t="s">
        <v>401</v>
      </c>
      <c r="B840" s="13"/>
      <c r="C840" s="14">
        <v>30</v>
      </c>
      <c r="D840" s="15">
        <v>30</v>
      </c>
      <c r="E840" s="11">
        <f t="shared" si="362"/>
        <v>60</v>
      </c>
      <c r="F840" s="16"/>
      <c r="G840" s="14"/>
      <c r="H840" s="15"/>
      <c r="I840" s="11">
        <f t="shared" si="363"/>
        <v>0</v>
      </c>
      <c r="J840" s="11">
        <f t="shared" si="364"/>
        <v>60</v>
      </c>
      <c r="K840" s="65">
        <v>42633</v>
      </c>
      <c r="W840" s="29"/>
      <c r="X840" s="13"/>
      <c r="Y840" s="14"/>
      <c r="Z840" s="15"/>
      <c r="AA840" s="11">
        <f t="shared" si="365"/>
        <v>0</v>
      </c>
      <c r="AB840" s="16"/>
      <c r="AC840" s="14"/>
      <c r="AD840" s="15"/>
      <c r="AE840" s="11">
        <f t="shared" si="366"/>
        <v>0</v>
      </c>
      <c r="AF840" s="11">
        <f t="shared" si="367"/>
        <v>0</v>
      </c>
    </row>
    <row r="841" spans="1:33" x14ac:dyDescent="0.15">
      <c r="A841" s="29" t="s">
        <v>466</v>
      </c>
      <c r="B841" s="8"/>
      <c r="C841" s="9">
        <v>1</v>
      </c>
      <c r="D841" s="10">
        <v>3</v>
      </c>
      <c r="E841" s="11">
        <f t="shared" si="362"/>
        <v>4</v>
      </c>
      <c r="F841" s="12"/>
      <c r="G841" s="9">
        <v>1</v>
      </c>
      <c r="H841" s="10">
        <v>1</v>
      </c>
      <c r="I841" s="11">
        <f t="shared" si="363"/>
        <v>2</v>
      </c>
      <c r="J841" s="11">
        <f t="shared" si="364"/>
        <v>6</v>
      </c>
      <c r="K841" s="65">
        <v>42626</v>
      </c>
      <c r="W841" s="29"/>
      <c r="X841" s="8"/>
      <c r="Y841" s="9"/>
      <c r="Z841" s="10"/>
      <c r="AA841" s="11">
        <f t="shared" si="365"/>
        <v>0</v>
      </c>
      <c r="AB841" s="12"/>
      <c r="AC841" s="9"/>
      <c r="AD841" s="10"/>
      <c r="AE841" s="11">
        <f t="shared" si="366"/>
        <v>0</v>
      </c>
      <c r="AF841" s="11">
        <f t="shared" si="367"/>
        <v>0</v>
      </c>
    </row>
    <row r="842" spans="1:33" x14ac:dyDescent="0.15">
      <c r="A842" s="29" t="s">
        <v>469</v>
      </c>
      <c r="B842" s="8"/>
      <c r="C842" s="9"/>
      <c r="D842" s="10">
        <v>2</v>
      </c>
      <c r="E842" s="11">
        <f t="shared" si="362"/>
        <v>2</v>
      </c>
      <c r="F842" s="12"/>
      <c r="G842" s="9"/>
      <c r="H842" s="10"/>
      <c r="I842" s="11">
        <f t="shared" si="363"/>
        <v>0</v>
      </c>
      <c r="J842" s="11">
        <f t="shared" si="364"/>
        <v>2</v>
      </c>
      <c r="K842" s="65">
        <v>42628</v>
      </c>
      <c r="W842" s="29"/>
      <c r="X842" s="8"/>
      <c r="Y842" s="9"/>
      <c r="Z842" s="10"/>
      <c r="AA842" s="11">
        <f t="shared" si="365"/>
        <v>0</v>
      </c>
      <c r="AB842" s="12"/>
      <c r="AC842" s="9"/>
      <c r="AD842" s="10"/>
      <c r="AE842" s="11">
        <f t="shared" si="366"/>
        <v>0</v>
      </c>
      <c r="AF842" s="11">
        <f t="shared" si="367"/>
        <v>0</v>
      </c>
    </row>
    <row r="843" spans="1:33" x14ac:dyDescent="0.15">
      <c r="A843" s="27" t="s">
        <v>468</v>
      </c>
      <c r="B843" s="8"/>
      <c r="C843" s="9">
        <v>1</v>
      </c>
      <c r="D843" s="10"/>
      <c r="E843" s="11">
        <f t="shared" si="362"/>
        <v>1</v>
      </c>
      <c r="F843" s="12"/>
      <c r="G843" s="9"/>
      <c r="H843" s="10"/>
      <c r="I843" s="11">
        <f t="shared" si="363"/>
        <v>0</v>
      </c>
      <c r="J843" s="11">
        <f t="shared" si="364"/>
        <v>1</v>
      </c>
      <c r="K843" s="65">
        <v>42629</v>
      </c>
      <c r="W843" s="27"/>
      <c r="X843" s="8"/>
      <c r="Y843" s="9"/>
      <c r="Z843" s="10"/>
      <c r="AA843" s="11">
        <f t="shared" si="365"/>
        <v>0</v>
      </c>
      <c r="AB843" s="12"/>
      <c r="AC843" s="9"/>
      <c r="AD843" s="10"/>
      <c r="AE843" s="11">
        <f t="shared" si="366"/>
        <v>0</v>
      </c>
      <c r="AF843" s="11">
        <f t="shared" si="367"/>
        <v>0</v>
      </c>
    </row>
    <row r="844" spans="1:33" x14ac:dyDescent="0.15">
      <c r="A844" s="27" t="s">
        <v>470</v>
      </c>
      <c r="B844" s="8"/>
      <c r="C844" s="9"/>
      <c r="D844" s="10">
        <v>2</v>
      </c>
      <c r="E844" s="11">
        <f t="shared" si="362"/>
        <v>2</v>
      </c>
      <c r="F844" s="12"/>
      <c r="G844" s="9"/>
      <c r="H844" s="10">
        <v>1</v>
      </c>
      <c r="I844" s="11">
        <f t="shared" si="363"/>
        <v>1</v>
      </c>
      <c r="J844" s="11">
        <f t="shared" si="364"/>
        <v>3</v>
      </c>
      <c r="K844" s="65">
        <v>42630</v>
      </c>
      <c r="W844" s="29"/>
      <c r="X844" s="8"/>
      <c r="Y844" s="9"/>
      <c r="Z844" s="10"/>
      <c r="AA844" s="11">
        <f t="shared" si="365"/>
        <v>0</v>
      </c>
      <c r="AB844" s="12"/>
      <c r="AC844" s="9"/>
      <c r="AD844" s="10"/>
      <c r="AE844" s="11">
        <f t="shared" si="366"/>
        <v>0</v>
      </c>
      <c r="AF844" s="11">
        <f t="shared" si="367"/>
        <v>0</v>
      </c>
    </row>
    <row r="845" spans="1:33" x14ac:dyDescent="0.15">
      <c r="A845" s="29" t="s">
        <v>471</v>
      </c>
      <c r="B845" s="8"/>
      <c r="C845" s="9"/>
      <c r="D845" s="10"/>
      <c r="E845" s="11">
        <f t="shared" si="362"/>
        <v>0</v>
      </c>
      <c r="F845" s="12"/>
      <c r="G845" s="9"/>
      <c r="H845" s="10">
        <v>2</v>
      </c>
      <c r="I845" s="11">
        <f t="shared" si="363"/>
        <v>2</v>
      </c>
      <c r="J845" s="11">
        <f t="shared" si="364"/>
        <v>2</v>
      </c>
      <c r="K845" s="65">
        <v>42635</v>
      </c>
      <c r="W845" s="29"/>
      <c r="X845" s="8"/>
      <c r="Y845" s="9"/>
      <c r="Z845" s="10"/>
      <c r="AA845" s="11">
        <f t="shared" si="365"/>
        <v>0</v>
      </c>
      <c r="AB845" s="12"/>
      <c r="AC845" s="9"/>
      <c r="AD845" s="10"/>
      <c r="AE845" s="11">
        <f t="shared" si="366"/>
        <v>0</v>
      </c>
      <c r="AF845" s="11">
        <f t="shared" si="367"/>
        <v>0</v>
      </c>
    </row>
    <row r="846" spans="1:33" x14ac:dyDescent="0.15">
      <c r="A846" s="29" t="s">
        <v>472</v>
      </c>
      <c r="B846" s="8">
        <v>5</v>
      </c>
      <c r="C846" s="9">
        <v>13</v>
      </c>
      <c r="D846" s="10"/>
      <c r="E846" s="11">
        <f t="shared" si="362"/>
        <v>18</v>
      </c>
      <c r="F846" s="12">
        <v>1</v>
      </c>
      <c r="G846" s="9">
        <v>6</v>
      </c>
      <c r="H846" s="10">
        <v>2</v>
      </c>
      <c r="I846" s="11">
        <f t="shared" si="363"/>
        <v>9</v>
      </c>
      <c r="J846" s="11">
        <f t="shared" si="364"/>
        <v>27</v>
      </c>
      <c r="K846" s="65">
        <v>42634</v>
      </c>
      <c r="W846" s="27"/>
      <c r="X846" s="8"/>
      <c r="Y846" s="9"/>
      <c r="Z846" s="10"/>
      <c r="AA846" s="11">
        <f t="shared" si="365"/>
        <v>0</v>
      </c>
      <c r="AB846" s="12"/>
      <c r="AC846" s="9"/>
      <c r="AD846" s="10"/>
      <c r="AE846" s="11">
        <f t="shared" si="366"/>
        <v>0</v>
      </c>
      <c r="AF846" s="11">
        <f t="shared" si="367"/>
        <v>0</v>
      </c>
    </row>
    <row r="847" spans="1:33" x14ac:dyDescent="0.15">
      <c r="A847" s="27" t="s">
        <v>401</v>
      </c>
      <c r="B847" s="8">
        <v>15</v>
      </c>
      <c r="C847" s="9"/>
      <c r="D847" s="10"/>
      <c r="E847" s="11">
        <f t="shared" si="362"/>
        <v>15</v>
      </c>
      <c r="F847" s="12"/>
      <c r="G847" s="9"/>
      <c r="H847" s="10"/>
      <c r="I847" s="11">
        <f t="shared" si="363"/>
        <v>0</v>
      </c>
      <c r="J847" s="11">
        <f t="shared" si="364"/>
        <v>15</v>
      </c>
      <c r="K847" s="65">
        <v>42640</v>
      </c>
      <c r="W847" s="29"/>
      <c r="X847" s="8"/>
      <c r="Y847" s="9"/>
      <c r="Z847" s="10"/>
      <c r="AA847" s="11">
        <f t="shared" si="365"/>
        <v>0</v>
      </c>
      <c r="AB847" s="12"/>
      <c r="AC847" s="9"/>
      <c r="AD847" s="10"/>
      <c r="AE847" s="11">
        <f t="shared" si="366"/>
        <v>0</v>
      </c>
      <c r="AF847" s="11">
        <f t="shared" si="367"/>
        <v>0</v>
      </c>
    </row>
    <row r="848" spans="1:33" x14ac:dyDescent="0.15">
      <c r="A848" s="29" t="s">
        <v>386</v>
      </c>
      <c r="B848" s="8"/>
      <c r="C848" s="9">
        <v>4</v>
      </c>
      <c r="D848" s="10"/>
      <c r="E848" s="11">
        <f t="shared" si="362"/>
        <v>4</v>
      </c>
      <c r="F848" s="12"/>
      <c r="G848" s="9"/>
      <c r="H848" s="10"/>
      <c r="I848" s="11">
        <f t="shared" si="363"/>
        <v>0</v>
      </c>
      <c r="J848" s="11">
        <f t="shared" si="364"/>
        <v>4</v>
      </c>
      <c r="K848" s="65">
        <v>42635</v>
      </c>
      <c r="W848" s="27"/>
      <c r="X848" s="8"/>
      <c r="Y848" s="9"/>
      <c r="Z848" s="10"/>
      <c r="AA848" s="11">
        <f t="shared" si="365"/>
        <v>0</v>
      </c>
      <c r="AB848" s="12"/>
      <c r="AC848" s="9"/>
      <c r="AD848" s="10"/>
      <c r="AE848" s="11">
        <f t="shared" si="366"/>
        <v>0</v>
      </c>
      <c r="AF848" s="11">
        <f t="shared" si="367"/>
        <v>0</v>
      </c>
    </row>
    <row r="849" spans="1:33" x14ac:dyDescent="0.15">
      <c r="A849" s="26" t="s">
        <v>473</v>
      </c>
      <c r="B849" s="8"/>
      <c r="C849" s="9"/>
      <c r="D849" s="10">
        <v>2</v>
      </c>
      <c r="E849" s="11">
        <f t="shared" si="362"/>
        <v>2</v>
      </c>
      <c r="F849" s="12"/>
      <c r="G849" s="9">
        <v>1</v>
      </c>
      <c r="H849" s="10"/>
      <c r="I849" s="11">
        <f t="shared" si="363"/>
        <v>1</v>
      </c>
      <c r="J849" s="11">
        <f t="shared" si="364"/>
        <v>3</v>
      </c>
      <c r="K849" s="71">
        <v>42635</v>
      </c>
      <c r="W849" s="26"/>
      <c r="X849" s="8"/>
      <c r="Y849" s="9"/>
      <c r="Z849" s="10"/>
      <c r="AA849" s="11">
        <f t="shared" si="365"/>
        <v>0</v>
      </c>
      <c r="AB849" s="12"/>
      <c r="AC849" s="9"/>
      <c r="AD849" s="10"/>
      <c r="AE849" s="11">
        <f t="shared" si="366"/>
        <v>0</v>
      </c>
      <c r="AF849" s="11">
        <f t="shared" si="367"/>
        <v>0</v>
      </c>
    </row>
    <row r="850" spans="1:33" x14ac:dyDescent="0.15">
      <c r="A850" s="29" t="s">
        <v>474</v>
      </c>
      <c r="B850" s="8"/>
      <c r="C850" s="9"/>
      <c r="D850" s="10"/>
      <c r="E850" s="11">
        <f t="shared" si="362"/>
        <v>0</v>
      </c>
      <c r="F850" s="12">
        <v>2</v>
      </c>
      <c r="G850" s="9">
        <v>2</v>
      </c>
      <c r="H850" s="10">
        <v>2</v>
      </c>
      <c r="I850" s="11">
        <f t="shared" si="363"/>
        <v>6</v>
      </c>
      <c r="J850" s="11">
        <f t="shared" si="364"/>
        <v>6</v>
      </c>
      <c r="K850" s="65">
        <v>42640</v>
      </c>
      <c r="W850" s="26"/>
      <c r="X850" s="8"/>
      <c r="Y850" s="9"/>
      <c r="Z850" s="10"/>
      <c r="AA850" s="11">
        <f t="shared" si="365"/>
        <v>0</v>
      </c>
      <c r="AB850" s="12"/>
      <c r="AC850" s="9"/>
      <c r="AD850" s="10"/>
      <c r="AE850" s="11">
        <f t="shared" si="366"/>
        <v>0</v>
      </c>
      <c r="AF850" s="11">
        <f t="shared" si="367"/>
        <v>0</v>
      </c>
    </row>
    <row r="851" spans="1:33" x14ac:dyDescent="0.15">
      <c r="A851" s="29" t="s">
        <v>35</v>
      </c>
      <c r="B851" s="8">
        <v>10</v>
      </c>
      <c r="C851" s="9">
        <v>10</v>
      </c>
      <c r="D851" s="10"/>
      <c r="E851" s="11">
        <f t="shared" si="362"/>
        <v>20</v>
      </c>
      <c r="F851" s="12">
        <v>10</v>
      </c>
      <c r="G851" s="9"/>
      <c r="H851" s="10"/>
      <c r="I851" s="11">
        <f t="shared" si="363"/>
        <v>10</v>
      </c>
      <c r="J851" s="11">
        <f t="shared" si="364"/>
        <v>30</v>
      </c>
      <c r="K851" s="65">
        <v>42646</v>
      </c>
      <c r="W851" s="27"/>
      <c r="X851" s="8"/>
      <c r="Y851" s="9"/>
      <c r="Z851" s="10"/>
      <c r="AA851" s="11">
        <f t="shared" si="365"/>
        <v>0</v>
      </c>
      <c r="AB851" s="12"/>
      <c r="AC851" s="9"/>
      <c r="AD851" s="10"/>
      <c r="AE851" s="11">
        <f t="shared" si="366"/>
        <v>0</v>
      </c>
      <c r="AF851" s="11">
        <f t="shared" si="367"/>
        <v>0</v>
      </c>
      <c r="AG851" s="64"/>
    </row>
    <row r="852" spans="1:33" x14ac:dyDescent="0.15">
      <c r="A852" s="27" t="s">
        <v>401</v>
      </c>
      <c r="B852" s="13"/>
      <c r="C852" s="14"/>
      <c r="D852" s="15"/>
      <c r="E852" s="11">
        <f t="shared" si="362"/>
        <v>0</v>
      </c>
      <c r="F852" s="16"/>
      <c r="G852" s="14"/>
      <c r="H852" s="15">
        <v>30</v>
      </c>
      <c r="I852" s="11">
        <f t="shared" si="363"/>
        <v>30</v>
      </c>
      <c r="J852" s="11">
        <f t="shared" si="364"/>
        <v>30</v>
      </c>
      <c r="K852" s="65">
        <v>42647</v>
      </c>
      <c r="W852" s="27"/>
      <c r="X852" s="13"/>
      <c r="Y852" s="14"/>
      <c r="Z852" s="15"/>
      <c r="AA852" s="11">
        <f t="shared" si="365"/>
        <v>0</v>
      </c>
      <c r="AB852" s="16"/>
      <c r="AC852" s="14"/>
      <c r="AD852" s="15"/>
      <c r="AE852" s="11">
        <f t="shared" si="366"/>
        <v>0</v>
      </c>
      <c r="AF852" s="11">
        <f t="shared" si="367"/>
        <v>0</v>
      </c>
      <c r="AG852" s="64"/>
    </row>
    <row r="853" spans="1:33" x14ac:dyDescent="0.15">
      <c r="A853" s="27" t="s">
        <v>476</v>
      </c>
      <c r="B853" s="8">
        <v>12</v>
      </c>
      <c r="C853" s="9">
        <v>12</v>
      </c>
      <c r="D853" s="10"/>
      <c r="E853" s="11">
        <f t="shared" si="362"/>
        <v>24</v>
      </c>
      <c r="F853" s="12"/>
      <c r="G853" s="9"/>
      <c r="H853" s="10"/>
      <c r="I853" s="11">
        <f t="shared" si="363"/>
        <v>0</v>
      </c>
      <c r="J853" s="11">
        <f t="shared" si="364"/>
        <v>24</v>
      </c>
      <c r="K853" s="65">
        <v>42647</v>
      </c>
      <c r="W853" s="27"/>
      <c r="X853" s="13"/>
      <c r="Y853" s="14"/>
      <c r="Z853" s="15"/>
      <c r="AA853" s="11">
        <f t="shared" si="365"/>
        <v>0</v>
      </c>
      <c r="AB853" s="16"/>
      <c r="AC853" s="14"/>
      <c r="AD853" s="15"/>
      <c r="AE853" s="11">
        <f t="shared" si="366"/>
        <v>0</v>
      </c>
      <c r="AF853" s="11">
        <f t="shared" si="367"/>
        <v>0</v>
      </c>
      <c r="AG853" s="64"/>
    </row>
    <row r="854" spans="1:33" x14ac:dyDescent="0.15">
      <c r="A854" s="29" t="s">
        <v>386</v>
      </c>
      <c r="B854" s="8"/>
      <c r="C854" s="9"/>
      <c r="D854" s="10">
        <v>2</v>
      </c>
      <c r="E854" s="11">
        <f t="shared" si="362"/>
        <v>2</v>
      </c>
      <c r="F854" s="12"/>
      <c r="G854" s="9">
        <v>2</v>
      </c>
      <c r="H854" s="10">
        <v>2</v>
      </c>
      <c r="I854" s="11">
        <f t="shared" si="363"/>
        <v>4</v>
      </c>
      <c r="J854" s="11">
        <f t="shared" si="364"/>
        <v>6</v>
      </c>
      <c r="K854" s="65">
        <v>42644</v>
      </c>
      <c r="W854" s="27"/>
      <c r="X854" s="13"/>
      <c r="Y854" s="14"/>
      <c r="Z854" s="15"/>
      <c r="AA854" s="11">
        <f t="shared" si="365"/>
        <v>0</v>
      </c>
      <c r="AB854" s="16"/>
      <c r="AC854" s="14"/>
      <c r="AD854" s="15"/>
      <c r="AE854" s="11">
        <f t="shared" si="366"/>
        <v>0</v>
      </c>
      <c r="AF854" s="11">
        <f t="shared" si="367"/>
        <v>0</v>
      </c>
      <c r="AG854" s="64"/>
    </row>
    <row r="855" spans="1:33" x14ac:dyDescent="0.15">
      <c r="A855" s="29" t="s">
        <v>475</v>
      </c>
      <c r="B855" s="8">
        <v>1</v>
      </c>
      <c r="C855" s="9">
        <v>1</v>
      </c>
      <c r="D855" s="10"/>
      <c r="E855" s="11">
        <f t="shared" si="362"/>
        <v>2</v>
      </c>
      <c r="F855" s="12"/>
      <c r="G855" s="9"/>
      <c r="H855" s="10">
        <v>2</v>
      </c>
      <c r="I855" s="11">
        <f t="shared" si="363"/>
        <v>2</v>
      </c>
      <c r="J855" s="11">
        <f t="shared" si="364"/>
        <v>4</v>
      </c>
      <c r="K855" s="71">
        <v>42647</v>
      </c>
      <c r="W855" s="86"/>
      <c r="X855" s="13"/>
      <c r="Y855" s="14"/>
      <c r="Z855" s="15"/>
      <c r="AA855" s="11">
        <f t="shared" si="365"/>
        <v>0</v>
      </c>
      <c r="AB855" s="16"/>
      <c r="AC855" s="14"/>
      <c r="AD855" s="15"/>
      <c r="AE855" s="11">
        <f t="shared" si="366"/>
        <v>0</v>
      </c>
      <c r="AF855" s="11">
        <f t="shared" si="367"/>
        <v>0</v>
      </c>
      <c r="AG855" s="65"/>
    </row>
    <row r="856" spans="1:33" ht="14.25" thickBot="1" x14ac:dyDescent="0.2">
      <c r="A856" s="29"/>
      <c r="B856" s="8"/>
      <c r="C856" s="9"/>
      <c r="D856" s="10"/>
      <c r="E856" s="11">
        <f t="shared" si="362"/>
        <v>0</v>
      </c>
      <c r="F856" s="16"/>
      <c r="G856" s="14"/>
      <c r="H856" s="15"/>
      <c r="I856" s="11">
        <f t="shared" si="363"/>
        <v>0</v>
      </c>
      <c r="J856" s="11">
        <f t="shared" si="364"/>
        <v>0</v>
      </c>
      <c r="K856" s="65"/>
      <c r="W856" s="27"/>
      <c r="X856" s="13"/>
      <c r="Y856" s="14"/>
      <c r="Z856" s="15"/>
      <c r="AA856" s="11">
        <f t="shared" si="365"/>
        <v>0</v>
      </c>
      <c r="AB856" s="16"/>
      <c r="AC856" s="14"/>
      <c r="AD856" s="15"/>
      <c r="AE856" s="11">
        <f t="shared" si="366"/>
        <v>0</v>
      </c>
      <c r="AF856" s="11">
        <f t="shared" si="367"/>
        <v>0</v>
      </c>
      <c r="AG856" s="65"/>
    </row>
    <row r="857" spans="1:33" ht="14.25" thickBot="1" x14ac:dyDescent="0.2">
      <c r="A857" s="44" t="s">
        <v>13</v>
      </c>
      <c r="B857" s="48">
        <f t="shared" ref="B857:I857" si="368">SUM(B831:B856)</f>
        <v>48</v>
      </c>
      <c r="C857" s="49">
        <f t="shared" si="368"/>
        <v>90</v>
      </c>
      <c r="D857" s="50">
        <f t="shared" si="368"/>
        <v>71</v>
      </c>
      <c r="E857" s="46">
        <f t="shared" si="368"/>
        <v>209</v>
      </c>
      <c r="F857" s="48">
        <f t="shared" si="368"/>
        <v>14</v>
      </c>
      <c r="G857" s="49">
        <f t="shared" si="368"/>
        <v>14</v>
      </c>
      <c r="H857" s="50">
        <f t="shared" si="368"/>
        <v>47</v>
      </c>
      <c r="I857" s="46">
        <f t="shared" si="368"/>
        <v>75</v>
      </c>
      <c r="J857" s="35">
        <f>E857+I857</f>
        <v>284</v>
      </c>
      <c r="W857" s="44" t="s">
        <v>13</v>
      </c>
      <c r="X857" s="48">
        <f t="shared" ref="X857:AE857" si="369">SUM(X831:X856)</f>
        <v>50</v>
      </c>
      <c r="Y857" s="49">
        <f t="shared" si="369"/>
        <v>100</v>
      </c>
      <c r="Z857" s="50">
        <f t="shared" si="369"/>
        <v>50</v>
      </c>
      <c r="AA857" s="46">
        <f t="shared" si="369"/>
        <v>200</v>
      </c>
      <c r="AB857" s="48">
        <f t="shared" si="369"/>
        <v>0</v>
      </c>
      <c r="AC857" s="49">
        <f t="shared" si="369"/>
        <v>50</v>
      </c>
      <c r="AD857" s="50">
        <f t="shared" si="369"/>
        <v>50</v>
      </c>
      <c r="AE857" s="46">
        <f t="shared" si="369"/>
        <v>100</v>
      </c>
      <c r="AF857" s="35">
        <f>AA857+AE857</f>
        <v>300</v>
      </c>
    </row>
    <row r="858" spans="1:33" ht="14.25" thickBot="1" x14ac:dyDescent="0.2">
      <c r="A858" s="23" t="s">
        <v>14</v>
      </c>
      <c r="B858" s="24">
        <f t="shared" ref="B858:J858" si="370">B830-B857</f>
        <v>6</v>
      </c>
      <c r="C858" s="25">
        <f t="shared" si="370"/>
        <v>27</v>
      </c>
      <c r="D858" s="30">
        <f t="shared" si="370"/>
        <v>10</v>
      </c>
      <c r="E858" s="51">
        <f t="shared" si="370"/>
        <v>43</v>
      </c>
      <c r="F858" s="24">
        <f t="shared" si="370"/>
        <v>25</v>
      </c>
      <c r="G858" s="25">
        <f t="shared" si="370"/>
        <v>58</v>
      </c>
      <c r="H858" s="30">
        <f t="shared" si="370"/>
        <v>51</v>
      </c>
      <c r="I858" s="47">
        <f t="shared" si="370"/>
        <v>134</v>
      </c>
      <c r="J858" s="79">
        <f t="shared" si="370"/>
        <v>177</v>
      </c>
      <c r="W858" s="23" t="s">
        <v>14</v>
      </c>
      <c r="X858" s="24">
        <f t="shared" ref="X858:AF858" si="371">X830-X857</f>
        <v>456</v>
      </c>
      <c r="Y858" s="25">
        <f t="shared" si="371"/>
        <v>510</v>
      </c>
      <c r="Z858" s="30">
        <f t="shared" si="371"/>
        <v>853</v>
      </c>
      <c r="AA858" s="51">
        <f t="shared" si="371"/>
        <v>1819</v>
      </c>
      <c r="AB858" s="24">
        <f t="shared" si="371"/>
        <v>462</v>
      </c>
      <c r="AC858" s="25">
        <f t="shared" si="371"/>
        <v>376</v>
      </c>
      <c r="AD858" s="30">
        <f t="shared" si="371"/>
        <v>378</v>
      </c>
      <c r="AE858" s="47">
        <f t="shared" si="371"/>
        <v>1216</v>
      </c>
      <c r="AF858" s="79">
        <f t="shared" si="371"/>
        <v>3035</v>
      </c>
    </row>
    <row r="861" spans="1:33" ht="19.5" thickBot="1" x14ac:dyDescent="0.25">
      <c r="A861" s="2" t="s">
        <v>21</v>
      </c>
      <c r="B861" s="1"/>
      <c r="C861" s="1"/>
      <c r="D861" s="1"/>
      <c r="E861" s="1"/>
      <c r="F861" s="1"/>
      <c r="G861" s="1"/>
      <c r="H861" s="1"/>
      <c r="I861" s="1"/>
      <c r="J861" s="1"/>
      <c r="W861" s="93" t="s">
        <v>136</v>
      </c>
      <c r="X861" s="94"/>
      <c r="Y861" s="94"/>
      <c r="Z861" s="94"/>
      <c r="AA861" s="106" t="s">
        <v>299</v>
      </c>
      <c r="AB861" s="1"/>
      <c r="AC861" s="1"/>
      <c r="AD861" s="1"/>
      <c r="AE861" s="1"/>
      <c r="AF861" s="1"/>
    </row>
    <row r="862" spans="1:33" ht="14.25" thickBot="1" x14ac:dyDescent="0.2">
      <c r="A862" s="7" t="s">
        <v>0</v>
      </c>
      <c r="B862" s="168" t="s">
        <v>1</v>
      </c>
      <c r="C862" s="169"/>
      <c r="D862" s="169"/>
      <c r="E862" s="170"/>
      <c r="F862" s="168" t="s">
        <v>2</v>
      </c>
      <c r="G862" s="169"/>
      <c r="H862" s="169"/>
      <c r="I862" s="171"/>
      <c r="J862" s="172" t="s">
        <v>3</v>
      </c>
      <c r="W862" s="7" t="s">
        <v>0</v>
      </c>
      <c r="X862" s="174" t="s">
        <v>1</v>
      </c>
      <c r="Y862" s="175"/>
      <c r="Z862" s="176"/>
      <c r="AA862" s="101"/>
      <c r="AB862" s="174" t="s">
        <v>2</v>
      </c>
      <c r="AC862" s="175"/>
      <c r="AD862" s="176"/>
      <c r="AE862" s="102"/>
      <c r="AF862" s="103" t="s">
        <v>3</v>
      </c>
    </row>
    <row r="863" spans="1:33" ht="14.25" thickBot="1" x14ac:dyDescent="0.2">
      <c r="A863" s="7" t="s">
        <v>4</v>
      </c>
      <c r="B863" s="3" t="s">
        <v>5</v>
      </c>
      <c r="C863" s="4" t="s">
        <v>6</v>
      </c>
      <c r="D863" s="5" t="s">
        <v>7</v>
      </c>
      <c r="E863" s="7" t="s">
        <v>8</v>
      </c>
      <c r="F863" s="3" t="s">
        <v>5</v>
      </c>
      <c r="G863" s="4" t="s">
        <v>6</v>
      </c>
      <c r="H863" s="5" t="s">
        <v>7</v>
      </c>
      <c r="I863" s="7" t="s">
        <v>8</v>
      </c>
      <c r="J863" s="173"/>
      <c r="W863" s="7" t="s">
        <v>4</v>
      </c>
      <c r="X863" s="3" t="s">
        <v>5</v>
      </c>
      <c r="Y863" s="4" t="s">
        <v>6</v>
      </c>
      <c r="Z863" s="5" t="s">
        <v>7</v>
      </c>
      <c r="AA863" s="7" t="s">
        <v>8</v>
      </c>
      <c r="AB863" s="107" t="s">
        <v>5</v>
      </c>
      <c r="AC863" s="108" t="s">
        <v>6</v>
      </c>
      <c r="AD863" s="109" t="s">
        <v>7</v>
      </c>
      <c r="AE863" s="7" t="s">
        <v>8</v>
      </c>
      <c r="AF863" s="104"/>
    </row>
    <row r="864" spans="1:33" ht="14.25" thickBot="1" x14ac:dyDescent="0.2">
      <c r="A864" s="31" t="s">
        <v>14</v>
      </c>
      <c r="B864" s="32">
        <f>B858</f>
        <v>6</v>
      </c>
      <c r="C864" s="33">
        <f>C858</f>
        <v>27</v>
      </c>
      <c r="D864" s="34">
        <f>D858</f>
        <v>10</v>
      </c>
      <c r="E864" s="41">
        <f>SUM(B864:D864)</f>
        <v>43</v>
      </c>
      <c r="F864" s="32">
        <f>F858</f>
        <v>25</v>
      </c>
      <c r="G864" s="33">
        <f>G858</f>
        <v>58</v>
      </c>
      <c r="H864" s="34">
        <f>H858</f>
        <v>51</v>
      </c>
      <c r="I864" s="41">
        <f>SUM(F864:H864)</f>
        <v>134</v>
      </c>
      <c r="J864" s="41">
        <f>E864+I864</f>
        <v>177</v>
      </c>
      <c r="W864" s="31" t="s">
        <v>14</v>
      </c>
      <c r="X864" s="32">
        <f>X858</f>
        <v>456</v>
      </c>
      <c r="Y864" s="33">
        <f>Y858</f>
        <v>510</v>
      </c>
      <c r="Z864" s="33">
        <f>Z858</f>
        <v>853</v>
      </c>
      <c r="AA864" s="111">
        <f>SUM(X864:Z864)</f>
        <v>1819</v>
      </c>
      <c r="AB864" s="32">
        <f>AB858</f>
        <v>462</v>
      </c>
      <c r="AC864" s="33">
        <f>AC858</f>
        <v>376</v>
      </c>
      <c r="AD864" s="95">
        <f>AD858</f>
        <v>378</v>
      </c>
      <c r="AE864" s="46">
        <f>SUM(AB864:AD864)</f>
        <v>1216</v>
      </c>
      <c r="AF864" s="35">
        <f>AA864+AE864</f>
        <v>3035</v>
      </c>
    </row>
    <row r="865" spans="1:33" x14ac:dyDescent="0.15">
      <c r="A865" s="28" t="s">
        <v>9</v>
      </c>
      <c r="B865" s="17">
        <v>50</v>
      </c>
      <c r="C865" s="18"/>
      <c r="D865" s="19"/>
      <c r="E865" s="20">
        <f t="shared" ref="E865:E872" si="372">SUM(B865:D865)</f>
        <v>50</v>
      </c>
      <c r="F865" s="21"/>
      <c r="G865" s="18"/>
      <c r="H865" s="19"/>
      <c r="I865" s="20">
        <f t="shared" ref="I865:I872" si="373">SUM(F865:H865)</f>
        <v>0</v>
      </c>
      <c r="J865" s="20">
        <f t="shared" ref="J865:J872" si="374">E865+I865</f>
        <v>50</v>
      </c>
      <c r="K865" s="65">
        <v>42643</v>
      </c>
      <c r="W865" s="28" t="s">
        <v>9</v>
      </c>
      <c r="X865" s="8"/>
      <c r="Y865" s="9"/>
      <c r="Z865" s="10"/>
      <c r="AA865" s="78">
        <f t="shared" ref="AA865:AA872" si="375">SUM(X865:Z865)</f>
        <v>0</v>
      </c>
      <c r="AB865" s="21"/>
      <c r="AC865" s="18"/>
      <c r="AD865" s="19"/>
      <c r="AE865" s="78">
        <f t="shared" ref="AE865:AE872" si="376">SUM(AB865:AD865)</f>
        <v>0</v>
      </c>
      <c r="AF865" s="78">
        <f t="shared" ref="AF865:AF872" si="377">AA865+AE865</f>
        <v>0</v>
      </c>
      <c r="AG865" s="64"/>
    </row>
    <row r="866" spans="1:33" x14ac:dyDescent="0.15">
      <c r="A866" s="28" t="s">
        <v>10</v>
      </c>
      <c r="B866" s="8"/>
      <c r="C866" s="9"/>
      <c r="D866" s="10">
        <v>50</v>
      </c>
      <c r="E866" s="11">
        <f t="shared" si="372"/>
        <v>50</v>
      </c>
      <c r="F866" s="12"/>
      <c r="G866" s="9"/>
      <c r="H866" s="10"/>
      <c r="I866" s="11">
        <f t="shared" si="373"/>
        <v>0</v>
      </c>
      <c r="J866" s="11">
        <f t="shared" si="374"/>
        <v>50</v>
      </c>
      <c r="K866" s="65">
        <v>42648</v>
      </c>
      <c r="W866" s="28" t="s">
        <v>10</v>
      </c>
      <c r="X866" s="8"/>
      <c r="Y866" s="9"/>
      <c r="Z866" s="10"/>
      <c r="AA866" s="11">
        <f t="shared" si="375"/>
        <v>0</v>
      </c>
      <c r="AB866" s="12"/>
      <c r="AC866" s="9"/>
      <c r="AD866" s="10"/>
      <c r="AE866" s="11">
        <f t="shared" si="376"/>
        <v>0</v>
      </c>
      <c r="AF866" s="11">
        <f t="shared" si="377"/>
        <v>0</v>
      </c>
      <c r="AG866" s="65"/>
    </row>
    <row r="867" spans="1:33" x14ac:dyDescent="0.15">
      <c r="A867" s="28" t="s">
        <v>11</v>
      </c>
      <c r="B867" s="8">
        <v>50</v>
      </c>
      <c r="C867" s="9">
        <v>50</v>
      </c>
      <c r="D867" s="10"/>
      <c r="E867" s="11">
        <f t="shared" si="372"/>
        <v>100</v>
      </c>
      <c r="F867" s="12"/>
      <c r="G867" s="9"/>
      <c r="H867" s="10"/>
      <c r="I867" s="11">
        <f t="shared" si="373"/>
        <v>0</v>
      </c>
      <c r="J867" s="11">
        <f t="shared" si="374"/>
        <v>100</v>
      </c>
      <c r="K867" s="65">
        <v>42654</v>
      </c>
      <c r="W867" s="28" t="s">
        <v>11</v>
      </c>
      <c r="X867" s="8"/>
      <c r="Y867" s="9"/>
      <c r="Z867" s="10"/>
      <c r="AA867" s="11">
        <f t="shared" si="375"/>
        <v>0</v>
      </c>
      <c r="AB867" s="12"/>
      <c r="AC867" s="9"/>
      <c r="AD867" s="10"/>
      <c r="AE867" s="11">
        <f t="shared" si="376"/>
        <v>0</v>
      </c>
      <c r="AF867" s="11">
        <f t="shared" si="377"/>
        <v>0</v>
      </c>
      <c r="AG867" s="64"/>
    </row>
    <row r="868" spans="1:33" x14ac:dyDescent="0.15">
      <c r="A868" s="28" t="s">
        <v>228</v>
      </c>
      <c r="B868" s="8">
        <v>2</v>
      </c>
      <c r="C868" s="9">
        <v>6</v>
      </c>
      <c r="D868" s="10">
        <v>2</v>
      </c>
      <c r="E868" s="11">
        <f t="shared" si="372"/>
        <v>10</v>
      </c>
      <c r="F868" s="12"/>
      <c r="G868" s="9"/>
      <c r="H868" s="10">
        <v>3</v>
      </c>
      <c r="I868" s="11">
        <f t="shared" si="373"/>
        <v>3</v>
      </c>
      <c r="J868" s="11">
        <f t="shared" si="374"/>
        <v>13</v>
      </c>
      <c r="K868" s="71">
        <v>42650</v>
      </c>
      <c r="W868" s="28" t="s">
        <v>12</v>
      </c>
      <c r="X868" s="8"/>
      <c r="Y868" s="9"/>
      <c r="Z868" s="10"/>
      <c r="AA868" s="11">
        <f t="shared" si="375"/>
        <v>0</v>
      </c>
      <c r="AB868" s="12"/>
      <c r="AC868" s="9"/>
      <c r="AD868" s="10"/>
      <c r="AE868" s="11">
        <f t="shared" si="376"/>
        <v>0</v>
      </c>
      <c r="AF868" s="11">
        <f t="shared" si="377"/>
        <v>0</v>
      </c>
      <c r="AG868" s="64"/>
    </row>
    <row r="869" spans="1:33" x14ac:dyDescent="0.15">
      <c r="A869" s="28" t="s">
        <v>15</v>
      </c>
      <c r="B869" s="8">
        <v>50</v>
      </c>
      <c r="C869" s="9">
        <v>50</v>
      </c>
      <c r="D869" s="10"/>
      <c r="E869" s="11">
        <f>SUM(B869:D869)</f>
        <v>100</v>
      </c>
      <c r="F869" s="12"/>
      <c r="G869" s="9"/>
      <c r="H869" s="10"/>
      <c r="I869" s="11">
        <f>SUM(F869:H869)</f>
        <v>0</v>
      </c>
      <c r="J869" s="11">
        <f>E869+I869</f>
        <v>100</v>
      </c>
      <c r="K869" s="65">
        <v>42656</v>
      </c>
      <c r="W869" s="28" t="s">
        <v>15</v>
      </c>
      <c r="X869" s="8"/>
      <c r="Y869" s="9"/>
      <c r="Z869" s="10"/>
      <c r="AA869" s="11">
        <f t="shared" si="375"/>
        <v>0</v>
      </c>
      <c r="AB869" s="12"/>
      <c r="AC869" s="9"/>
      <c r="AD869" s="10"/>
      <c r="AE869" s="11">
        <f t="shared" si="376"/>
        <v>0</v>
      </c>
      <c r="AF869" s="11">
        <f t="shared" si="377"/>
        <v>0</v>
      </c>
      <c r="AG869" s="64"/>
    </row>
    <row r="870" spans="1:33" x14ac:dyDescent="0.15">
      <c r="A870" s="28" t="s">
        <v>16</v>
      </c>
      <c r="B870" s="13"/>
      <c r="C870" s="14"/>
      <c r="D870" s="15">
        <v>50</v>
      </c>
      <c r="E870" s="11">
        <f>SUM(B870:D870)</f>
        <v>50</v>
      </c>
      <c r="F870" s="16"/>
      <c r="G870" s="14"/>
      <c r="H870" s="15"/>
      <c r="I870" s="11">
        <f>SUM(F870:H870)</f>
        <v>0</v>
      </c>
      <c r="J870" s="11">
        <f>E870+I870</f>
        <v>50</v>
      </c>
      <c r="K870" s="65">
        <v>42657</v>
      </c>
      <c r="W870" s="28" t="s">
        <v>16</v>
      </c>
      <c r="X870" s="8"/>
      <c r="Y870" s="9"/>
      <c r="Z870" s="10"/>
      <c r="AA870" s="11">
        <f t="shared" si="375"/>
        <v>0</v>
      </c>
      <c r="AB870" s="12"/>
      <c r="AC870" s="9"/>
      <c r="AD870" s="10"/>
      <c r="AE870" s="11">
        <f t="shared" si="376"/>
        <v>0</v>
      </c>
      <c r="AF870" s="11">
        <f t="shared" si="377"/>
        <v>0</v>
      </c>
      <c r="AG870" s="64"/>
    </row>
    <row r="871" spans="1:33" x14ac:dyDescent="0.15">
      <c r="A871" s="135" t="s">
        <v>104</v>
      </c>
      <c r="B871" s="8">
        <v>11</v>
      </c>
      <c r="C871" s="9">
        <v>7</v>
      </c>
      <c r="D871" s="10">
        <v>4</v>
      </c>
      <c r="E871" s="11">
        <f>SUM(B871:D871)</f>
        <v>22</v>
      </c>
      <c r="F871" s="12">
        <v>5</v>
      </c>
      <c r="G871" s="12">
        <v>4</v>
      </c>
      <c r="H871" s="87">
        <v>1</v>
      </c>
      <c r="I871" s="11">
        <f>SUM(F871:H871)</f>
        <v>10</v>
      </c>
      <c r="J871" s="11">
        <f>E871+I871</f>
        <v>32</v>
      </c>
      <c r="K871" s="65">
        <v>42657</v>
      </c>
      <c r="W871" s="28" t="s">
        <v>17</v>
      </c>
      <c r="X871" s="13"/>
      <c r="Y871" s="14"/>
      <c r="Z871" s="15"/>
      <c r="AA871" s="11">
        <f t="shared" si="375"/>
        <v>0</v>
      </c>
      <c r="AB871" s="16"/>
      <c r="AC871" s="14"/>
      <c r="AD871" s="15"/>
      <c r="AE871" s="11">
        <f t="shared" si="376"/>
        <v>0</v>
      </c>
      <c r="AF871" s="11">
        <f t="shared" si="377"/>
        <v>0</v>
      </c>
      <c r="AG871" s="64"/>
    </row>
    <row r="872" spans="1:33" ht="14.25" thickBot="1" x14ac:dyDescent="0.2">
      <c r="A872" s="28" t="s">
        <v>18</v>
      </c>
      <c r="B872" s="127"/>
      <c r="C872" s="128">
        <v>50</v>
      </c>
      <c r="D872" s="129"/>
      <c r="E872" s="130">
        <f t="shared" si="372"/>
        <v>50</v>
      </c>
      <c r="F872" s="131"/>
      <c r="G872" s="131"/>
      <c r="H872" s="132"/>
      <c r="I872" s="130">
        <f t="shared" si="373"/>
        <v>0</v>
      </c>
      <c r="J872" s="130">
        <f t="shared" si="374"/>
        <v>50</v>
      </c>
      <c r="K872" s="65">
        <v>42664</v>
      </c>
      <c r="W872" s="28" t="s">
        <v>18</v>
      </c>
      <c r="X872" s="36"/>
      <c r="Y872" s="37"/>
      <c r="Z872" s="40"/>
      <c r="AA872" s="22">
        <f t="shared" si="375"/>
        <v>0</v>
      </c>
      <c r="AB872" s="38"/>
      <c r="AC872" s="38"/>
      <c r="AD872" s="43"/>
      <c r="AE872" s="22">
        <f t="shared" si="376"/>
        <v>0</v>
      </c>
      <c r="AF872" s="22">
        <f t="shared" si="377"/>
        <v>0</v>
      </c>
    </row>
    <row r="873" spans="1:33" ht="14.25" thickBot="1" x14ac:dyDescent="0.2">
      <c r="A873" s="39" t="s">
        <v>20</v>
      </c>
      <c r="B873" s="32">
        <f t="shared" ref="B873:J873" si="378">SUM(B864:B872)</f>
        <v>169</v>
      </c>
      <c r="C873" s="33">
        <f t="shared" si="378"/>
        <v>190</v>
      </c>
      <c r="D873" s="34">
        <f t="shared" si="378"/>
        <v>116</v>
      </c>
      <c r="E873" s="42">
        <f t="shared" si="378"/>
        <v>475</v>
      </c>
      <c r="F873" s="32">
        <f t="shared" si="378"/>
        <v>30</v>
      </c>
      <c r="G873" s="33">
        <f t="shared" si="378"/>
        <v>62</v>
      </c>
      <c r="H873" s="34">
        <f t="shared" si="378"/>
        <v>55</v>
      </c>
      <c r="I873" s="42">
        <f t="shared" si="378"/>
        <v>147</v>
      </c>
      <c r="J873" s="42">
        <f t="shared" si="378"/>
        <v>622</v>
      </c>
      <c r="W873" s="39" t="s">
        <v>20</v>
      </c>
      <c r="X873" s="32">
        <f t="shared" ref="X873:AF873" si="379">SUM(X864:X872)</f>
        <v>456</v>
      </c>
      <c r="Y873" s="33">
        <f t="shared" si="379"/>
        <v>510</v>
      </c>
      <c r="Z873" s="34">
        <f t="shared" si="379"/>
        <v>853</v>
      </c>
      <c r="AA873" s="42">
        <f t="shared" si="379"/>
        <v>1819</v>
      </c>
      <c r="AB873" s="32">
        <f t="shared" si="379"/>
        <v>462</v>
      </c>
      <c r="AC873" s="33">
        <f t="shared" si="379"/>
        <v>376</v>
      </c>
      <c r="AD873" s="34">
        <f t="shared" si="379"/>
        <v>378</v>
      </c>
      <c r="AE873" s="42">
        <f t="shared" si="379"/>
        <v>1216</v>
      </c>
      <c r="AF873" s="42">
        <f t="shared" si="379"/>
        <v>3035</v>
      </c>
    </row>
    <row r="874" spans="1:33" x14ac:dyDescent="0.15">
      <c r="A874" s="29" t="s">
        <v>433</v>
      </c>
      <c r="B874" s="8"/>
      <c r="C874" s="9">
        <v>1</v>
      </c>
      <c r="D874" s="10"/>
      <c r="E874" s="11">
        <f>SUM(B874:D874)</f>
        <v>1</v>
      </c>
      <c r="F874" s="16"/>
      <c r="G874" s="14"/>
      <c r="H874" s="15"/>
      <c r="I874" s="11">
        <f>SUM(F874:H874)</f>
        <v>0</v>
      </c>
      <c r="J874" s="11">
        <f>E874+I874</f>
        <v>1</v>
      </c>
      <c r="K874" s="65">
        <v>42647</v>
      </c>
      <c r="W874" s="29" t="s">
        <v>477</v>
      </c>
      <c r="X874" s="8"/>
      <c r="Y874" s="9"/>
      <c r="Z874" s="10">
        <v>50</v>
      </c>
      <c r="AA874" s="11">
        <f>SUM(X874:Z874)</f>
        <v>50</v>
      </c>
      <c r="AB874" s="12"/>
      <c r="AC874" s="9"/>
      <c r="AD874" s="10"/>
      <c r="AE874" s="11">
        <f>SUM(AB874:AD874)</f>
        <v>0</v>
      </c>
      <c r="AF874" s="11">
        <f>AA874+AE874</f>
        <v>50</v>
      </c>
      <c r="AG874" s="65">
        <v>42648</v>
      </c>
    </row>
    <row r="875" spans="1:33" x14ac:dyDescent="0.15">
      <c r="A875" s="27" t="s">
        <v>476</v>
      </c>
      <c r="B875" s="13"/>
      <c r="C875" s="14"/>
      <c r="D875" s="15">
        <v>12</v>
      </c>
      <c r="E875" s="11">
        <f t="shared" ref="E875:E899" si="380">SUM(B875:D875)</f>
        <v>12</v>
      </c>
      <c r="F875" s="16"/>
      <c r="G875" s="14">
        <v>6</v>
      </c>
      <c r="H875" s="15"/>
      <c r="I875" s="11">
        <f t="shared" ref="I875:I899" si="381">SUM(F875:H875)</f>
        <v>6</v>
      </c>
      <c r="J875" s="11">
        <f t="shared" ref="J875:J899" si="382">E875+I875</f>
        <v>18</v>
      </c>
      <c r="K875" s="65">
        <v>42649</v>
      </c>
      <c r="W875" s="29" t="s">
        <v>41</v>
      </c>
      <c r="X875" s="8">
        <v>50</v>
      </c>
      <c r="Y875" s="9">
        <v>50</v>
      </c>
      <c r="Z875" s="10"/>
      <c r="AA875" s="11">
        <f>SUM(X875:Z875)</f>
        <v>100</v>
      </c>
      <c r="AB875" s="12"/>
      <c r="AC875" s="9"/>
      <c r="AD875" s="10"/>
      <c r="AE875" s="11">
        <f>SUM(AB875:AD875)</f>
        <v>0</v>
      </c>
      <c r="AF875" s="11">
        <f>AA875+AE875</f>
        <v>100</v>
      </c>
      <c r="AG875" s="65">
        <v>42654</v>
      </c>
    </row>
    <row r="876" spans="1:33" x14ac:dyDescent="0.15">
      <c r="A876" s="27" t="s">
        <v>478</v>
      </c>
      <c r="B876" s="8"/>
      <c r="C876" s="9"/>
      <c r="D876" s="10">
        <v>10</v>
      </c>
      <c r="E876" s="11">
        <f t="shared" si="380"/>
        <v>10</v>
      </c>
      <c r="F876" s="12"/>
      <c r="G876" s="9"/>
      <c r="H876" s="10"/>
      <c r="I876" s="11">
        <f t="shared" si="381"/>
        <v>0</v>
      </c>
      <c r="J876" s="11">
        <f t="shared" si="382"/>
        <v>10</v>
      </c>
      <c r="K876" s="65">
        <v>42654</v>
      </c>
      <c r="W876" s="29" t="s">
        <v>41</v>
      </c>
      <c r="X876" s="8">
        <v>50</v>
      </c>
      <c r="Y876" s="9">
        <v>50</v>
      </c>
      <c r="Z876" s="10"/>
      <c r="AA876" s="11">
        <f t="shared" ref="AA876:AA899" si="383">SUM(X876:Z876)</f>
        <v>100</v>
      </c>
      <c r="AB876" s="12"/>
      <c r="AC876" s="9"/>
      <c r="AD876" s="10"/>
      <c r="AE876" s="11">
        <f t="shared" ref="AE876:AE899" si="384">SUM(AB876:AD876)</f>
        <v>0</v>
      </c>
      <c r="AF876" s="11">
        <f t="shared" ref="AF876:AF899" si="385">AA876+AE876</f>
        <v>100</v>
      </c>
      <c r="AG876" s="65">
        <v>42656</v>
      </c>
    </row>
    <row r="877" spans="1:33" x14ac:dyDescent="0.15">
      <c r="A877" s="29" t="s">
        <v>479</v>
      </c>
      <c r="B877" s="8">
        <v>1</v>
      </c>
      <c r="C877" s="9"/>
      <c r="D877" s="10"/>
      <c r="E877" s="11">
        <f t="shared" si="380"/>
        <v>1</v>
      </c>
      <c r="F877" s="12">
        <v>2</v>
      </c>
      <c r="G877" s="9"/>
      <c r="H877" s="10"/>
      <c r="I877" s="11">
        <f t="shared" si="381"/>
        <v>2</v>
      </c>
      <c r="J877" s="11">
        <f t="shared" si="382"/>
        <v>3</v>
      </c>
      <c r="K877" s="71">
        <v>42646</v>
      </c>
      <c r="W877" s="29" t="s">
        <v>41</v>
      </c>
      <c r="X877" s="8"/>
      <c r="Y877" s="9"/>
      <c r="Z877" s="10">
        <v>50</v>
      </c>
      <c r="AA877" s="11">
        <f t="shared" si="383"/>
        <v>50</v>
      </c>
      <c r="AB877" s="12"/>
      <c r="AC877" s="9"/>
      <c r="AD877" s="10"/>
      <c r="AE877" s="11">
        <f t="shared" si="384"/>
        <v>0</v>
      </c>
      <c r="AF877" s="11">
        <f t="shared" si="385"/>
        <v>50</v>
      </c>
      <c r="AG877" s="65">
        <v>42657</v>
      </c>
    </row>
    <row r="878" spans="1:33" x14ac:dyDescent="0.15">
      <c r="A878" s="27" t="s">
        <v>480</v>
      </c>
      <c r="B878" s="8">
        <v>1</v>
      </c>
      <c r="C878" s="9"/>
      <c r="D878" s="10"/>
      <c r="E878" s="11">
        <f t="shared" si="380"/>
        <v>1</v>
      </c>
      <c r="F878" s="12"/>
      <c r="G878" s="9"/>
      <c r="H878" s="10"/>
      <c r="I878" s="11">
        <f t="shared" si="381"/>
        <v>0</v>
      </c>
      <c r="J878" s="11">
        <f t="shared" si="382"/>
        <v>1</v>
      </c>
      <c r="K878" s="71">
        <v>42647</v>
      </c>
      <c r="W878" s="29" t="s">
        <v>490</v>
      </c>
      <c r="X878" s="8">
        <v>110</v>
      </c>
      <c r="Y878" s="9">
        <v>140</v>
      </c>
      <c r="Z878" s="10">
        <v>100</v>
      </c>
      <c r="AA878" s="11">
        <f t="shared" si="383"/>
        <v>350</v>
      </c>
      <c r="AB878" s="12">
        <v>60</v>
      </c>
      <c r="AC878" s="9">
        <v>70</v>
      </c>
      <c r="AD878" s="10">
        <v>50</v>
      </c>
      <c r="AE878" s="11">
        <f t="shared" si="384"/>
        <v>180</v>
      </c>
      <c r="AF878" s="11">
        <f t="shared" si="385"/>
        <v>530</v>
      </c>
      <c r="AG878" s="65">
        <v>42665</v>
      </c>
    </row>
    <row r="879" spans="1:33" x14ac:dyDescent="0.15">
      <c r="A879" s="27" t="s">
        <v>481</v>
      </c>
      <c r="B879" s="8"/>
      <c r="C879" s="9"/>
      <c r="D879" s="10"/>
      <c r="E879" s="11">
        <f t="shared" si="380"/>
        <v>0</v>
      </c>
      <c r="F879" s="12"/>
      <c r="G879" s="9">
        <v>1</v>
      </c>
      <c r="H879" s="10"/>
      <c r="I879" s="11">
        <f t="shared" si="381"/>
        <v>1</v>
      </c>
      <c r="J879" s="11">
        <f t="shared" si="382"/>
        <v>1</v>
      </c>
      <c r="K879" s="71">
        <v>42647</v>
      </c>
      <c r="W879" s="29" t="s">
        <v>41</v>
      </c>
      <c r="X879" s="8"/>
      <c r="Y879" s="9">
        <v>50</v>
      </c>
      <c r="Z879" s="10"/>
      <c r="AA879" s="11">
        <f t="shared" si="383"/>
        <v>50</v>
      </c>
      <c r="AB879" s="12"/>
      <c r="AC879" s="9"/>
      <c r="AD879" s="10"/>
      <c r="AE879" s="11">
        <f t="shared" si="384"/>
        <v>0</v>
      </c>
      <c r="AF879" s="11">
        <f t="shared" si="385"/>
        <v>50</v>
      </c>
      <c r="AG879" s="65">
        <v>42664</v>
      </c>
    </row>
    <row r="880" spans="1:33" x14ac:dyDescent="0.15">
      <c r="A880" s="29" t="s">
        <v>482</v>
      </c>
      <c r="B880" s="8"/>
      <c r="C880" s="9"/>
      <c r="D880" s="10"/>
      <c r="E880" s="11">
        <f t="shared" si="380"/>
        <v>0</v>
      </c>
      <c r="F880" s="12"/>
      <c r="G880" s="9">
        <v>1</v>
      </c>
      <c r="H880" s="10"/>
      <c r="I880" s="11">
        <f t="shared" si="381"/>
        <v>1</v>
      </c>
      <c r="J880" s="11">
        <f t="shared" si="382"/>
        <v>1</v>
      </c>
      <c r="K880" s="71">
        <v>42648</v>
      </c>
      <c r="W880" s="29"/>
      <c r="X880" s="8"/>
      <c r="Y880" s="9"/>
      <c r="Z880" s="10"/>
      <c r="AA880" s="11">
        <f t="shared" si="383"/>
        <v>0</v>
      </c>
      <c r="AB880" s="12"/>
      <c r="AC880" s="9"/>
      <c r="AD880" s="10"/>
      <c r="AE880" s="11">
        <f t="shared" si="384"/>
        <v>0</v>
      </c>
      <c r="AF880" s="11">
        <f t="shared" si="385"/>
        <v>0</v>
      </c>
    </row>
    <row r="881" spans="1:32" x14ac:dyDescent="0.15">
      <c r="A881" s="29" t="s">
        <v>483</v>
      </c>
      <c r="B881" s="8">
        <v>10</v>
      </c>
      <c r="C881" s="9">
        <v>5</v>
      </c>
      <c r="D881" s="10">
        <v>5</v>
      </c>
      <c r="E881" s="11">
        <f t="shared" si="380"/>
        <v>20</v>
      </c>
      <c r="F881" s="12">
        <v>5</v>
      </c>
      <c r="G881" s="9">
        <v>6</v>
      </c>
      <c r="H881" s="10">
        <v>6</v>
      </c>
      <c r="I881" s="11">
        <f t="shared" si="381"/>
        <v>17</v>
      </c>
      <c r="J881" s="11">
        <f t="shared" si="382"/>
        <v>37</v>
      </c>
      <c r="K881" s="65">
        <v>42649</v>
      </c>
      <c r="W881" s="29"/>
      <c r="X881" s="8"/>
      <c r="Y881" s="9"/>
      <c r="Z881" s="10"/>
      <c r="AA881" s="11">
        <f t="shared" si="383"/>
        <v>0</v>
      </c>
      <c r="AB881" s="12"/>
      <c r="AC881" s="9"/>
      <c r="AD881" s="10"/>
      <c r="AE881" s="11">
        <f t="shared" si="384"/>
        <v>0</v>
      </c>
      <c r="AF881" s="11">
        <f t="shared" si="385"/>
        <v>0</v>
      </c>
    </row>
    <row r="882" spans="1:32" x14ac:dyDescent="0.15">
      <c r="A882" s="27" t="s">
        <v>401</v>
      </c>
      <c r="B882" s="13">
        <v>30</v>
      </c>
      <c r="C882" s="14"/>
      <c r="D882" s="15"/>
      <c r="E882" s="11">
        <f t="shared" si="380"/>
        <v>30</v>
      </c>
      <c r="F882" s="16"/>
      <c r="G882" s="14"/>
      <c r="H882" s="15"/>
      <c r="I882" s="11">
        <f t="shared" si="381"/>
        <v>0</v>
      </c>
      <c r="J882" s="11">
        <f t="shared" si="382"/>
        <v>30</v>
      </c>
      <c r="K882" s="65">
        <v>42656</v>
      </c>
      <c r="W882" s="27"/>
      <c r="X882" s="8"/>
      <c r="Y882" s="9"/>
      <c r="Z882" s="10"/>
      <c r="AA882" s="11">
        <f t="shared" si="383"/>
        <v>0</v>
      </c>
      <c r="AB882" s="12"/>
      <c r="AC882" s="9"/>
      <c r="AD882" s="10"/>
      <c r="AE882" s="11">
        <f t="shared" si="384"/>
        <v>0</v>
      </c>
      <c r="AF882" s="11">
        <f t="shared" si="385"/>
        <v>0</v>
      </c>
    </row>
    <row r="883" spans="1:32" x14ac:dyDescent="0.15">
      <c r="A883" s="27" t="s">
        <v>476</v>
      </c>
      <c r="B883" s="13"/>
      <c r="C883" s="14">
        <v>24</v>
      </c>
      <c r="D883" s="15">
        <v>12</v>
      </c>
      <c r="E883" s="11">
        <f t="shared" si="380"/>
        <v>36</v>
      </c>
      <c r="F883" s="16"/>
      <c r="G883" s="14"/>
      <c r="H883" s="15"/>
      <c r="I883" s="11">
        <f t="shared" si="381"/>
        <v>0</v>
      </c>
      <c r="J883" s="11">
        <f t="shared" si="382"/>
        <v>36</v>
      </c>
      <c r="K883" s="65">
        <v>42656</v>
      </c>
      <c r="W883" s="29"/>
      <c r="X883" s="13"/>
      <c r="Y883" s="14"/>
      <c r="Z883" s="15"/>
      <c r="AA883" s="11">
        <f t="shared" si="383"/>
        <v>0</v>
      </c>
      <c r="AB883" s="16"/>
      <c r="AC883" s="14"/>
      <c r="AD883" s="15"/>
      <c r="AE883" s="11">
        <f t="shared" si="384"/>
        <v>0</v>
      </c>
      <c r="AF883" s="11">
        <f t="shared" si="385"/>
        <v>0</v>
      </c>
    </row>
    <row r="884" spans="1:32" x14ac:dyDescent="0.15">
      <c r="A884" s="27" t="s">
        <v>484</v>
      </c>
      <c r="B884" s="8">
        <v>24</v>
      </c>
      <c r="C884" s="9">
        <v>24</v>
      </c>
      <c r="D884" s="10"/>
      <c r="E884" s="11">
        <f t="shared" si="380"/>
        <v>48</v>
      </c>
      <c r="F884" s="12"/>
      <c r="G884" s="9"/>
      <c r="H884" s="10"/>
      <c r="I884" s="11">
        <f t="shared" si="381"/>
        <v>0</v>
      </c>
      <c r="J884" s="11">
        <f t="shared" si="382"/>
        <v>48</v>
      </c>
      <c r="K884" s="65">
        <v>42657</v>
      </c>
      <c r="W884" s="29"/>
      <c r="X884" s="8"/>
      <c r="Y884" s="9"/>
      <c r="Z884" s="10"/>
      <c r="AA884" s="11">
        <f t="shared" si="383"/>
        <v>0</v>
      </c>
      <c r="AB884" s="12"/>
      <c r="AC884" s="9"/>
      <c r="AD884" s="10"/>
      <c r="AE884" s="11">
        <f t="shared" si="384"/>
        <v>0</v>
      </c>
      <c r="AF884" s="11">
        <f t="shared" si="385"/>
        <v>0</v>
      </c>
    </row>
    <row r="885" spans="1:32" x14ac:dyDescent="0.15">
      <c r="A885" s="27" t="s">
        <v>401</v>
      </c>
      <c r="B885" s="8"/>
      <c r="C885" s="9">
        <v>30</v>
      </c>
      <c r="D885" s="10"/>
      <c r="E885" s="11">
        <f t="shared" si="380"/>
        <v>30</v>
      </c>
      <c r="F885" s="12"/>
      <c r="G885" s="9"/>
      <c r="H885" s="10"/>
      <c r="I885" s="11">
        <f t="shared" si="381"/>
        <v>0</v>
      </c>
      <c r="J885" s="11">
        <f t="shared" si="382"/>
        <v>30</v>
      </c>
      <c r="K885" s="65">
        <v>42657</v>
      </c>
      <c r="W885" s="29"/>
      <c r="X885" s="8"/>
      <c r="Y885" s="9"/>
      <c r="Z885" s="10"/>
      <c r="AA885" s="11">
        <f t="shared" si="383"/>
        <v>0</v>
      </c>
      <c r="AB885" s="12"/>
      <c r="AC885" s="9"/>
      <c r="AD885" s="10"/>
      <c r="AE885" s="11">
        <f t="shared" si="384"/>
        <v>0</v>
      </c>
      <c r="AF885" s="11">
        <f t="shared" si="385"/>
        <v>0</v>
      </c>
    </row>
    <row r="886" spans="1:32" x14ac:dyDescent="0.15">
      <c r="A886" s="27" t="s">
        <v>401</v>
      </c>
      <c r="B886" s="8">
        <v>30</v>
      </c>
      <c r="C886" s="9"/>
      <c r="D886" s="10">
        <v>15</v>
      </c>
      <c r="E886" s="11">
        <f t="shared" si="380"/>
        <v>45</v>
      </c>
      <c r="F886" s="12"/>
      <c r="G886" s="9"/>
      <c r="H886" s="10"/>
      <c r="I886" s="11">
        <f t="shared" si="381"/>
        <v>0</v>
      </c>
      <c r="J886" s="11">
        <f t="shared" si="382"/>
        <v>45</v>
      </c>
      <c r="K886" s="65">
        <v>42662</v>
      </c>
      <c r="W886" s="27"/>
      <c r="X886" s="8"/>
      <c r="Y886" s="9"/>
      <c r="Z886" s="10"/>
      <c r="AA886" s="11">
        <f t="shared" si="383"/>
        <v>0</v>
      </c>
      <c r="AB886" s="12"/>
      <c r="AC886" s="9"/>
      <c r="AD886" s="10"/>
      <c r="AE886" s="11">
        <f t="shared" si="384"/>
        <v>0</v>
      </c>
      <c r="AF886" s="11">
        <f t="shared" si="385"/>
        <v>0</v>
      </c>
    </row>
    <row r="887" spans="1:32" x14ac:dyDescent="0.15">
      <c r="A887" s="27" t="s">
        <v>485</v>
      </c>
      <c r="B887" s="8">
        <v>1</v>
      </c>
      <c r="C887" s="9"/>
      <c r="D887" s="10"/>
      <c r="E887" s="11">
        <f t="shared" si="380"/>
        <v>1</v>
      </c>
      <c r="F887" s="12">
        <v>1</v>
      </c>
      <c r="G887" s="9"/>
      <c r="H887" s="10"/>
      <c r="I887" s="11">
        <f t="shared" si="381"/>
        <v>1</v>
      </c>
      <c r="J887" s="11">
        <f t="shared" si="382"/>
        <v>2</v>
      </c>
      <c r="K887" s="65">
        <v>42657</v>
      </c>
      <c r="W887" s="29"/>
      <c r="X887" s="8"/>
      <c r="Y887" s="9"/>
      <c r="Z887" s="10"/>
      <c r="AA887" s="11">
        <f t="shared" si="383"/>
        <v>0</v>
      </c>
      <c r="AB887" s="12"/>
      <c r="AC887" s="9"/>
      <c r="AD887" s="10"/>
      <c r="AE887" s="11">
        <f t="shared" si="384"/>
        <v>0</v>
      </c>
      <c r="AF887" s="11">
        <f t="shared" si="385"/>
        <v>0</v>
      </c>
    </row>
    <row r="888" spans="1:32" x14ac:dyDescent="0.15">
      <c r="A888" s="29" t="s">
        <v>386</v>
      </c>
      <c r="B888" s="8"/>
      <c r="C888" s="9">
        <v>4</v>
      </c>
      <c r="D888" s="10"/>
      <c r="E888" s="11">
        <f t="shared" si="380"/>
        <v>4</v>
      </c>
      <c r="F888" s="12"/>
      <c r="G888" s="9"/>
      <c r="H888" s="10"/>
      <c r="I888" s="11">
        <f t="shared" si="381"/>
        <v>0</v>
      </c>
      <c r="J888" s="11">
        <f t="shared" si="382"/>
        <v>4</v>
      </c>
      <c r="K888" s="65">
        <v>42657</v>
      </c>
      <c r="W888" s="29"/>
      <c r="X888" s="8"/>
      <c r="Y888" s="9"/>
      <c r="Z888" s="10"/>
      <c r="AA888" s="11">
        <f t="shared" si="383"/>
        <v>0</v>
      </c>
      <c r="AB888" s="12"/>
      <c r="AC888" s="9"/>
      <c r="AD888" s="10"/>
      <c r="AE888" s="11">
        <f t="shared" si="384"/>
        <v>0</v>
      </c>
      <c r="AF888" s="11">
        <f t="shared" si="385"/>
        <v>0</v>
      </c>
    </row>
    <row r="889" spans="1:32" x14ac:dyDescent="0.15">
      <c r="A889" s="29" t="s">
        <v>486</v>
      </c>
      <c r="B889" s="8"/>
      <c r="C889" s="9">
        <v>2</v>
      </c>
      <c r="D889" s="10">
        <v>1</v>
      </c>
      <c r="E889" s="11">
        <f t="shared" si="380"/>
        <v>3</v>
      </c>
      <c r="F889" s="12"/>
      <c r="G889" s="9"/>
      <c r="H889" s="10"/>
      <c r="I889" s="11">
        <f t="shared" si="381"/>
        <v>0</v>
      </c>
      <c r="J889" s="11">
        <f t="shared" si="382"/>
        <v>3</v>
      </c>
      <c r="K889" s="71">
        <v>42657</v>
      </c>
      <c r="W889" s="27"/>
      <c r="X889" s="8"/>
      <c r="Y889" s="9"/>
      <c r="Z889" s="10"/>
      <c r="AA889" s="11">
        <f t="shared" si="383"/>
        <v>0</v>
      </c>
      <c r="AB889" s="12"/>
      <c r="AC889" s="9"/>
      <c r="AD889" s="10"/>
      <c r="AE889" s="11">
        <f t="shared" si="384"/>
        <v>0</v>
      </c>
      <c r="AF889" s="11">
        <f t="shared" si="385"/>
        <v>0</v>
      </c>
    </row>
    <row r="890" spans="1:32" x14ac:dyDescent="0.15">
      <c r="A890" s="29" t="s">
        <v>487</v>
      </c>
      <c r="B890" s="8"/>
      <c r="C890" s="9">
        <v>5</v>
      </c>
      <c r="D890" s="10"/>
      <c r="E890" s="11">
        <f t="shared" si="380"/>
        <v>5</v>
      </c>
      <c r="F890" s="12"/>
      <c r="G890" s="9"/>
      <c r="H890" s="10"/>
      <c r="I890" s="11">
        <f t="shared" si="381"/>
        <v>0</v>
      </c>
      <c r="J890" s="11">
        <f t="shared" si="382"/>
        <v>5</v>
      </c>
      <c r="K890" s="65">
        <v>42658</v>
      </c>
      <c r="W890" s="29"/>
      <c r="X890" s="8"/>
      <c r="Y890" s="9"/>
      <c r="Z890" s="10"/>
      <c r="AA890" s="11">
        <f t="shared" si="383"/>
        <v>0</v>
      </c>
      <c r="AB890" s="12"/>
      <c r="AC890" s="9"/>
      <c r="AD890" s="10"/>
      <c r="AE890" s="11">
        <f t="shared" si="384"/>
        <v>0</v>
      </c>
      <c r="AF890" s="11">
        <f t="shared" si="385"/>
        <v>0</v>
      </c>
    </row>
    <row r="891" spans="1:32" x14ac:dyDescent="0.15">
      <c r="A891" s="27" t="s">
        <v>401</v>
      </c>
      <c r="B891" s="8"/>
      <c r="C891" s="9">
        <v>30</v>
      </c>
      <c r="D891" s="10"/>
      <c r="E891" s="11">
        <f t="shared" si="380"/>
        <v>30</v>
      </c>
      <c r="F891" s="12"/>
      <c r="G891" s="9"/>
      <c r="H891" s="10">
        <v>30</v>
      </c>
      <c r="I891" s="11">
        <f t="shared" si="381"/>
        <v>30</v>
      </c>
      <c r="J891" s="11">
        <f t="shared" si="382"/>
        <v>60</v>
      </c>
      <c r="K891" s="65">
        <v>42664</v>
      </c>
      <c r="W891" s="27"/>
      <c r="X891" s="8"/>
      <c r="Y891" s="9"/>
      <c r="Z891" s="10"/>
      <c r="AA891" s="11">
        <f t="shared" si="383"/>
        <v>0</v>
      </c>
      <c r="AB891" s="12"/>
      <c r="AC891" s="9"/>
      <c r="AD891" s="10"/>
      <c r="AE891" s="11">
        <f t="shared" si="384"/>
        <v>0</v>
      </c>
      <c r="AF891" s="11">
        <f t="shared" si="385"/>
        <v>0</v>
      </c>
    </row>
    <row r="892" spans="1:32" x14ac:dyDescent="0.15">
      <c r="A892" s="26" t="s">
        <v>488</v>
      </c>
      <c r="B892" s="8"/>
      <c r="C892" s="9"/>
      <c r="D892" s="10">
        <v>1</v>
      </c>
      <c r="E892" s="11">
        <f t="shared" si="380"/>
        <v>1</v>
      </c>
      <c r="F892" s="12"/>
      <c r="G892" s="9"/>
      <c r="H892" s="10"/>
      <c r="I892" s="11">
        <f t="shared" si="381"/>
        <v>0</v>
      </c>
      <c r="J892" s="11">
        <f t="shared" si="382"/>
        <v>1</v>
      </c>
      <c r="K892" s="71">
        <v>42657</v>
      </c>
      <c r="W892" s="26"/>
      <c r="X892" s="8"/>
      <c r="Y892" s="9"/>
      <c r="Z892" s="10"/>
      <c r="AA892" s="11">
        <f t="shared" si="383"/>
        <v>0</v>
      </c>
      <c r="AB892" s="12"/>
      <c r="AC892" s="9"/>
      <c r="AD892" s="10"/>
      <c r="AE892" s="11">
        <f t="shared" si="384"/>
        <v>0</v>
      </c>
      <c r="AF892" s="11">
        <f t="shared" si="385"/>
        <v>0</v>
      </c>
    </row>
    <row r="893" spans="1:32" x14ac:dyDescent="0.15">
      <c r="A893" s="27" t="s">
        <v>489</v>
      </c>
      <c r="B893" s="8">
        <v>-3</v>
      </c>
      <c r="C893" s="9"/>
      <c r="D893" s="10"/>
      <c r="E893" s="11">
        <f t="shared" si="380"/>
        <v>-3</v>
      </c>
      <c r="F893" s="12"/>
      <c r="G893" s="9"/>
      <c r="H893" s="10"/>
      <c r="I893" s="11">
        <f t="shared" si="381"/>
        <v>0</v>
      </c>
      <c r="J893" s="11">
        <f t="shared" si="382"/>
        <v>-3</v>
      </c>
      <c r="K893" s="71">
        <v>42658</v>
      </c>
      <c r="W893" s="26"/>
      <c r="X893" s="8"/>
      <c r="Y893" s="9"/>
      <c r="Z893" s="10"/>
      <c r="AA893" s="11">
        <f t="shared" si="383"/>
        <v>0</v>
      </c>
      <c r="AB893" s="12"/>
      <c r="AC893" s="9"/>
      <c r="AD893" s="10"/>
      <c r="AE893" s="11">
        <f t="shared" si="384"/>
        <v>0</v>
      </c>
      <c r="AF893" s="11">
        <f t="shared" si="385"/>
        <v>0</v>
      </c>
    </row>
    <row r="894" spans="1:32" x14ac:dyDescent="0.15">
      <c r="A894" s="27" t="s">
        <v>401</v>
      </c>
      <c r="B894" s="8"/>
      <c r="C894" s="9"/>
      <c r="D894" s="10"/>
      <c r="E894" s="11">
        <f t="shared" si="380"/>
        <v>0</v>
      </c>
      <c r="F894" s="12"/>
      <c r="G894" s="9">
        <v>30</v>
      </c>
      <c r="H894" s="10"/>
      <c r="I894" s="11">
        <f t="shared" si="381"/>
        <v>30</v>
      </c>
      <c r="J894" s="11">
        <f t="shared" si="382"/>
        <v>30</v>
      </c>
      <c r="K894" s="65">
        <v>42668</v>
      </c>
      <c r="W894" s="27"/>
      <c r="X894" s="8"/>
      <c r="Y894" s="9"/>
      <c r="Z894" s="10"/>
      <c r="AA894" s="11">
        <f t="shared" si="383"/>
        <v>0</v>
      </c>
      <c r="AB894" s="12"/>
      <c r="AC894" s="9"/>
      <c r="AD894" s="10"/>
      <c r="AE894" s="11">
        <f t="shared" si="384"/>
        <v>0</v>
      </c>
      <c r="AF894" s="11">
        <f t="shared" si="385"/>
        <v>0</v>
      </c>
    </row>
    <row r="895" spans="1:32" x14ac:dyDescent="0.15">
      <c r="A895" s="29" t="s">
        <v>386</v>
      </c>
      <c r="B895" s="13"/>
      <c r="C895" s="14">
        <v>5</v>
      </c>
      <c r="D895" s="15"/>
      <c r="E895" s="11">
        <f t="shared" si="380"/>
        <v>5</v>
      </c>
      <c r="F895" s="16"/>
      <c r="G895" s="14"/>
      <c r="H895" s="15"/>
      <c r="I895" s="11">
        <f t="shared" si="381"/>
        <v>0</v>
      </c>
      <c r="J895" s="11">
        <f t="shared" si="382"/>
        <v>5</v>
      </c>
      <c r="K895" s="65">
        <v>42663</v>
      </c>
      <c r="W895" s="27"/>
      <c r="X895" s="13"/>
      <c r="Y895" s="14"/>
      <c r="Z895" s="15"/>
      <c r="AA895" s="11">
        <f t="shared" si="383"/>
        <v>0</v>
      </c>
      <c r="AB895" s="16"/>
      <c r="AC895" s="14"/>
      <c r="AD895" s="15"/>
      <c r="AE895" s="11">
        <f t="shared" si="384"/>
        <v>0</v>
      </c>
      <c r="AF895" s="11">
        <f t="shared" si="385"/>
        <v>0</v>
      </c>
    </row>
    <row r="896" spans="1:32" x14ac:dyDescent="0.15">
      <c r="A896" s="29" t="s">
        <v>386</v>
      </c>
      <c r="B896" s="8"/>
      <c r="C896" s="9"/>
      <c r="D896" s="10">
        <v>5</v>
      </c>
      <c r="E896" s="11">
        <f t="shared" si="380"/>
        <v>5</v>
      </c>
      <c r="F896" s="12"/>
      <c r="G896" s="9"/>
      <c r="H896" s="10"/>
      <c r="I896" s="11">
        <f t="shared" si="381"/>
        <v>0</v>
      </c>
      <c r="J896" s="11">
        <f t="shared" si="382"/>
        <v>5</v>
      </c>
      <c r="K896" s="65">
        <v>42664</v>
      </c>
      <c r="W896" s="6"/>
      <c r="X896" s="13"/>
      <c r="Y896" s="14"/>
      <c r="Z896" s="15"/>
      <c r="AA896" s="11">
        <f t="shared" si="383"/>
        <v>0</v>
      </c>
      <c r="AB896" s="16"/>
      <c r="AC896" s="14"/>
      <c r="AD896" s="15"/>
      <c r="AE896" s="11">
        <f t="shared" si="384"/>
        <v>0</v>
      </c>
      <c r="AF896" s="11">
        <f t="shared" si="385"/>
        <v>0</v>
      </c>
    </row>
    <row r="897" spans="1:33" x14ac:dyDescent="0.15">
      <c r="A897" s="29" t="s">
        <v>491</v>
      </c>
      <c r="B897" s="8"/>
      <c r="C897" s="9">
        <v>2</v>
      </c>
      <c r="D897" s="10"/>
      <c r="E897" s="11">
        <f t="shared" si="380"/>
        <v>2</v>
      </c>
      <c r="F897" s="12"/>
      <c r="G897" s="9"/>
      <c r="H897" s="10"/>
      <c r="I897" s="11">
        <f t="shared" si="381"/>
        <v>0</v>
      </c>
      <c r="J897" s="11">
        <f t="shared" si="382"/>
        <v>2</v>
      </c>
      <c r="K897" s="65">
        <v>42663</v>
      </c>
      <c r="W897" s="27"/>
      <c r="X897" s="13"/>
      <c r="Y897" s="14"/>
      <c r="Z897" s="15"/>
      <c r="AA897" s="11">
        <f t="shared" si="383"/>
        <v>0</v>
      </c>
      <c r="AB897" s="16"/>
      <c r="AC897" s="14"/>
      <c r="AD897" s="15"/>
      <c r="AE897" s="11">
        <f t="shared" si="384"/>
        <v>0</v>
      </c>
      <c r="AF897" s="11">
        <f t="shared" si="385"/>
        <v>0</v>
      </c>
    </row>
    <row r="898" spans="1:33" x14ac:dyDescent="0.15">
      <c r="A898" s="29" t="s">
        <v>386</v>
      </c>
      <c r="B898" s="8"/>
      <c r="C898" s="9"/>
      <c r="D898" s="10"/>
      <c r="E898" s="11">
        <f t="shared" si="380"/>
        <v>0</v>
      </c>
      <c r="F898" s="12"/>
      <c r="G898" s="9">
        <v>3</v>
      </c>
      <c r="H898" s="10"/>
      <c r="I898" s="11">
        <f t="shared" si="381"/>
        <v>3</v>
      </c>
      <c r="J898" s="11">
        <f t="shared" si="382"/>
        <v>3</v>
      </c>
      <c r="K898" s="71">
        <v>42665</v>
      </c>
      <c r="W898" s="27"/>
      <c r="X898" s="13"/>
      <c r="Y898" s="14"/>
      <c r="Z898" s="15"/>
      <c r="AA898" s="11">
        <f t="shared" si="383"/>
        <v>0</v>
      </c>
      <c r="AB898" s="16"/>
      <c r="AC898" s="14"/>
      <c r="AD898" s="15"/>
      <c r="AE898" s="11">
        <f t="shared" si="384"/>
        <v>0</v>
      </c>
      <c r="AF898" s="11">
        <f t="shared" si="385"/>
        <v>0</v>
      </c>
      <c r="AG898" s="64"/>
    </row>
    <row r="899" spans="1:33" ht="14.25" thickBot="1" x14ac:dyDescent="0.2">
      <c r="A899" s="29" t="s">
        <v>493</v>
      </c>
      <c r="B899" s="8"/>
      <c r="C899" s="9"/>
      <c r="D899" s="10">
        <v>30</v>
      </c>
      <c r="E899" s="11">
        <f t="shared" si="380"/>
        <v>30</v>
      </c>
      <c r="F899" s="16"/>
      <c r="G899" s="14"/>
      <c r="H899" s="15"/>
      <c r="I899" s="11">
        <f t="shared" si="381"/>
        <v>0</v>
      </c>
      <c r="J899" s="11">
        <f t="shared" si="382"/>
        <v>30</v>
      </c>
      <c r="K899" s="65">
        <v>42674</v>
      </c>
      <c r="W899" s="86"/>
      <c r="X899" s="13"/>
      <c r="Y899" s="14"/>
      <c r="Z899" s="15"/>
      <c r="AA899" s="11">
        <f t="shared" si="383"/>
        <v>0</v>
      </c>
      <c r="AB899" s="16"/>
      <c r="AC899" s="14"/>
      <c r="AD899" s="15"/>
      <c r="AE899" s="11">
        <f t="shared" si="384"/>
        <v>0</v>
      </c>
      <c r="AF899" s="11">
        <f t="shared" si="385"/>
        <v>0</v>
      </c>
      <c r="AG899" s="65"/>
    </row>
    <row r="900" spans="1:33" ht="14.25" thickBot="1" x14ac:dyDescent="0.2">
      <c r="A900" s="44" t="s">
        <v>13</v>
      </c>
      <c r="B900" s="48">
        <f t="shared" ref="B900:I900" si="386">SUM(B874:B899)</f>
        <v>94</v>
      </c>
      <c r="C900" s="49">
        <f t="shared" si="386"/>
        <v>132</v>
      </c>
      <c r="D900" s="50">
        <f t="shared" si="386"/>
        <v>91</v>
      </c>
      <c r="E900" s="46">
        <f t="shared" si="386"/>
        <v>317</v>
      </c>
      <c r="F900" s="48">
        <f t="shared" si="386"/>
        <v>8</v>
      </c>
      <c r="G900" s="49">
        <f t="shared" si="386"/>
        <v>47</v>
      </c>
      <c r="H900" s="50">
        <f t="shared" si="386"/>
        <v>36</v>
      </c>
      <c r="I900" s="46">
        <f t="shared" si="386"/>
        <v>91</v>
      </c>
      <c r="J900" s="35">
        <f>E900+I900</f>
        <v>408</v>
      </c>
      <c r="W900" s="44" t="s">
        <v>13</v>
      </c>
      <c r="X900" s="48">
        <f t="shared" ref="X900:AE900" si="387">SUM(X874:X899)</f>
        <v>210</v>
      </c>
      <c r="Y900" s="49">
        <f t="shared" si="387"/>
        <v>290</v>
      </c>
      <c r="Z900" s="50">
        <f t="shared" si="387"/>
        <v>200</v>
      </c>
      <c r="AA900" s="46">
        <f t="shared" si="387"/>
        <v>700</v>
      </c>
      <c r="AB900" s="48">
        <f t="shared" si="387"/>
        <v>60</v>
      </c>
      <c r="AC900" s="49">
        <f t="shared" si="387"/>
        <v>70</v>
      </c>
      <c r="AD900" s="50">
        <f t="shared" si="387"/>
        <v>50</v>
      </c>
      <c r="AE900" s="46">
        <f t="shared" si="387"/>
        <v>180</v>
      </c>
      <c r="AF900" s="35">
        <f>AA900+AE900</f>
        <v>880</v>
      </c>
    </row>
    <row r="901" spans="1:33" ht="14.25" thickBot="1" x14ac:dyDescent="0.2">
      <c r="A901" s="23" t="s">
        <v>14</v>
      </c>
      <c r="B901" s="24">
        <f t="shared" ref="B901:J901" si="388">B873-B900</f>
        <v>75</v>
      </c>
      <c r="C901" s="25">
        <f t="shared" si="388"/>
        <v>58</v>
      </c>
      <c r="D901" s="30">
        <f t="shared" si="388"/>
        <v>25</v>
      </c>
      <c r="E901" s="51">
        <f t="shared" si="388"/>
        <v>158</v>
      </c>
      <c r="F901" s="24">
        <f t="shared" si="388"/>
        <v>22</v>
      </c>
      <c r="G901" s="25">
        <f t="shared" si="388"/>
        <v>15</v>
      </c>
      <c r="H901" s="30">
        <f t="shared" si="388"/>
        <v>19</v>
      </c>
      <c r="I901" s="47">
        <f t="shared" si="388"/>
        <v>56</v>
      </c>
      <c r="J901" s="79">
        <f t="shared" si="388"/>
        <v>214</v>
      </c>
      <c r="W901" s="23" t="s">
        <v>14</v>
      </c>
      <c r="X901" s="24">
        <f t="shared" ref="X901:AF901" si="389">X873-X900</f>
        <v>246</v>
      </c>
      <c r="Y901" s="25">
        <f t="shared" si="389"/>
        <v>220</v>
      </c>
      <c r="Z901" s="30">
        <f t="shared" si="389"/>
        <v>653</v>
      </c>
      <c r="AA901" s="51">
        <f t="shared" si="389"/>
        <v>1119</v>
      </c>
      <c r="AB901" s="24">
        <f t="shared" si="389"/>
        <v>402</v>
      </c>
      <c r="AC901" s="25">
        <f t="shared" si="389"/>
        <v>306</v>
      </c>
      <c r="AD901" s="30">
        <f t="shared" si="389"/>
        <v>328</v>
      </c>
      <c r="AE901" s="47">
        <f t="shared" si="389"/>
        <v>1036</v>
      </c>
      <c r="AF901" s="79">
        <f t="shared" si="389"/>
        <v>2155</v>
      </c>
    </row>
    <row r="904" spans="1:33" ht="19.5" thickBot="1" x14ac:dyDescent="0.25">
      <c r="A904" s="2" t="s">
        <v>21</v>
      </c>
      <c r="B904" s="1"/>
      <c r="C904" s="1"/>
      <c r="D904" s="1"/>
      <c r="E904" s="1"/>
      <c r="F904" s="1"/>
      <c r="G904" s="1"/>
      <c r="H904" s="1"/>
      <c r="I904" s="1"/>
      <c r="J904" s="1"/>
      <c r="W904" s="93" t="s">
        <v>136</v>
      </c>
      <c r="X904" s="94"/>
      <c r="Y904" s="94"/>
      <c r="Z904" s="94"/>
      <c r="AA904" s="106" t="s">
        <v>299</v>
      </c>
      <c r="AB904" s="1"/>
      <c r="AC904" s="1"/>
      <c r="AD904" s="1"/>
      <c r="AE904" s="1"/>
      <c r="AF904" s="1"/>
    </row>
    <row r="905" spans="1:33" ht="14.25" thickBot="1" x14ac:dyDescent="0.2">
      <c r="A905" s="7" t="s">
        <v>0</v>
      </c>
      <c r="B905" s="168" t="s">
        <v>1</v>
      </c>
      <c r="C905" s="169"/>
      <c r="D905" s="169"/>
      <c r="E905" s="170"/>
      <c r="F905" s="168" t="s">
        <v>2</v>
      </c>
      <c r="G905" s="169"/>
      <c r="H905" s="169"/>
      <c r="I905" s="171"/>
      <c r="J905" s="172" t="s">
        <v>3</v>
      </c>
      <c r="W905" s="7" t="s">
        <v>0</v>
      </c>
      <c r="X905" s="174" t="s">
        <v>1</v>
      </c>
      <c r="Y905" s="175"/>
      <c r="Z905" s="176"/>
      <c r="AA905" s="101"/>
      <c r="AB905" s="174" t="s">
        <v>2</v>
      </c>
      <c r="AC905" s="175"/>
      <c r="AD905" s="176"/>
      <c r="AE905" s="102"/>
      <c r="AF905" s="103" t="s">
        <v>3</v>
      </c>
    </row>
    <row r="906" spans="1:33" ht="14.25" thickBot="1" x14ac:dyDescent="0.2">
      <c r="A906" s="7" t="s">
        <v>4</v>
      </c>
      <c r="B906" s="3" t="s">
        <v>5</v>
      </c>
      <c r="C906" s="4" t="s">
        <v>6</v>
      </c>
      <c r="D906" s="5" t="s">
        <v>7</v>
      </c>
      <c r="E906" s="7" t="s">
        <v>8</v>
      </c>
      <c r="F906" s="3" t="s">
        <v>5</v>
      </c>
      <c r="G906" s="4" t="s">
        <v>6</v>
      </c>
      <c r="H906" s="5" t="s">
        <v>7</v>
      </c>
      <c r="I906" s="7" t="s">
        <v>8</v>
      </c>
      <c r="J906" s="173"/>
      <c r="W906" s="7" t="s">
        <v>4</v>
      </c>
      <c r="X906" s="3" t="s">
        <v>5</v>
      </c>
      <c r="Y906" s="4" t="s">
        <v>6</v>
      </c>
      <c r="Z906" s="5" t="s">
        <v>7</v>
      </c>
      <c r="AA906" s="7" t="s">
        <v>8</v>
      </c>
      <c r="AB906" s="107" t="s">
        <v>5</v>
      </c>
      <c r="AC906" s="108" t="s">
        <v>6</v>
      </c>
      <c r="AD906" s="109" t="s">
        <v>7</v>
      </c>
      <c r="AE906" s="7" t="s">
        <v>8</v>
      </c>
      <c r="AF906" s="104"/>
    </row>
    <row r="907" spans="1:33" ht="14.25" thickBot="1" x14ac:dyDescent="0.2">
      <c r="A907" s="31" t="s">
        <v>14</v>
      </c>
      <c r="B907" s="32">
        <f>B901</f>
        <v>75</v>
      </c>
      <c r="C907" s="33">
        <f>C901</f>
        <v>58</v>
      </c>
      <c r="D907" s="34">
        <f>D901</f>
        <v>25</v>
      </c>
      <c r="E907" s="41">
        <f>SUM(B907:D907)</f>
        <v>158</v>
      </c>
      <c r="F907" s="32">
        <f>F901</f>
        <v>22</v>
      </c>
      <c r="G907" s="33">
        <f>G901</f>
        <v>15</v>
      </c>
      <c r="H907" s="34">
        <f>H901</f>
        <v>19</v>
      </c>
      <c r="I907" s="41">
        <f>SUM(F907:H907)</f>
        <v>56</v>
      </c>
      <c r="J907" s="41">
        <f>E907+I907</f>
        <v>214</v>
      </c>
      <c r="W907" s="31" t="s">
        <v>14</v>
      </c>
      <c r="X907" s="32">
        <f>X901</f>
        <v>246</v>
      </c>
      <c r="Y907" s="33">
        <f>Y901</f>
        <v>220</v>
      </c>
      <c r="Z907" s="33">
        <f>Z901</f>
        <v>653</v>
      </c>
      <c r="AA907" s="111">
        <f>SUM(X907:Z907)</f>
        <v>1119</v>
      </c>
      <c r="AB907" s="32">
        <f>AB901</f>
        <v>402</v>
      </c>
      <c r="AC907" s="33">
        <f>AC901</f>
        <v>306</v>
      </c>
      <c r="AD907" s="95">
        <f>AD901</f>
        <v>328</v>
      </c>
      <c r="AE907" s="46">
        <f>SUM(AB907:AD907)</f>
        <v>1036</v>
      </c>
      <c r="AF907" s="35">
        <f>AA907+AE907</f>
        <v>2155</v>
      </c>
    </row>
    <row r="908" spans="1:33" x14ac:dyDescent="0.15">
      <c r="A908" s="28" t="s">
        <v>228</v>
      </c>
      <c r="B908" s="17">
        <v>6</v>
      </c>
      <c r="C908" s="18"/>
      <c r="D908" s="19"/>
      <c r="E908" s="20">
        <f t="shared" ref="E908:E915" si="390">SUM(B908:D908)</f>
        <v>6</v>
      </c>
      <c r="F908" s="21"/>
      <c r="G908" s="18"/>
      <c r="H908" s="19"/>
      <c r="I908" s="20">
        <f t="shared" ref="I908:I915" si="391">SUM(F908:H908)</f>
        <v>0</v>
      </c>
      <c r="J908" s="20">
        <f t="shared" ref="J908:J915" si="392">E908+I908</f>
        <v>6</v>
      </c>
      <c r="K908" s="65">
        <v>42665</v>
      </c>
      <c r="W908" s="28" t="s">
        <v>9</v>
      </c>
      <c r="X908" s="8"/>
      <c r="Y908" s="9"/>
      <c r="Z908" s="10"/>
      <c r="AA908" s="78">
        <f t="shared" ref="AA908:AA915" si="393">SUM(X908:Z908)</f>
        <v>0</v>
      </c>
      <c r="AB908" s="21"/>
      <c r="AC908" s="18"/>
      <c r="AD908" s="19"/>
      <c r="AE908" s="78">
        <f t="shared" ref="AE908:AE915" si="394">SUM(AB908:AD908)</f>
        <v>0</v>
      </c>
      <c r="AF908" s="78">
        <f t="shared" ref="AF908:AF915" si="395">AA908+AE908</f>
        <v>0</v>
      </c>
      <c r="AG908" s="64"/>
    </row>
    <row r="909" spans="1:33" x14ac:dyDescent="0.15">
      <c r="A909" s="28" t="s">
        <v>96</v>
      </c>
      <c r="B909" s="8"/>
      <c r="C909" s="9"/>
      <c r="D909" s="10"/>
      <c r="E909" s="11">
        <f t="shared" si="390"/>
        <v>0</v>
      </c>
      <c r="F909" s="12"/>
      <c r="G909" s="9">
        <v>1</v>
      </c>
      <c r="H909" s="10"/>
      <c r="I909" s="11">
        <f t="shared" si="391"/>
        <v>1</v>
      </c>
      <c r="J909" s="11">
        <f t="shared" si="392"/>
        <v>1</v>
      </c>
      <c r="K909" s="65">
        <v>42670</v>
      </c>
      <c r="W909" s="28" t="s">
        <v>492</v>
      </c>
      <c r="X909" s="8">
        <v>300</v>
      </c>
      <c r="Y909" s="9">
        <v>141</v>
      </c>
      <c r="Z909" s="10"/>
      <c r="AA909" s="11">
        <f t="shared" si="393"/>
        <v>441</v>
      </c>
      <c r="AB909" s="12"/>
      <c r="AC909" s="9"/>
      <c r="AD909" s="10"/>
      <c r="AE909" s="11">
        <f t="shared" si="394"/>
        <v>0</v>
      </c>
      <c r="AF909" s="11">
        <f t="shared" si="395"/>
        <v>441</v>
      </c>
      <c r="AG909" s="65">
        <v>42675</v>
      </c>
    </row>
    <row r="910" spans="1:33" x14ac:dyDescent="0.15">
      <c r="A910" s="28" t="s">
        <v>497</v>
      </c>
      <c r="B910" s="8"/>
      <c r="C910" s="9">
        <v>3</v>
      </c>
      <c r="D910" s="10"/>
      <c r="E910" s="11">
        <f t="shared" si="390"/>
        <v>3</v>
      </c>
      <c r="F910" s="12"/>
      <c r="G910" s="9"/>
      <c r="H910" s="10"/>
      <c r="I910" s="11">
        <f t="shared" si="391"/>
        <v>0</v>
      </c>
      <c r="J910" s="11">
        <f t="shared" si="392"/>
        <v>3</v>
      </c>
      <c r="K910" s="71">
        <v>42671</v>
      </c>
      <c r="W910" s="28" t="s">
        <v>11</v>
      </c>
      <c r="X910" s="8"/>
      <c r="Y910" s="9"/>
      <c r="Z910" s="10"/>
      <c r="AA910" s="11">
        <f t="shared" si="393"/>
        <v>0</v>
      </c>
      <c r="AB910" s="12"/>
      <c r="AC910" s="9"/>
      <c r="AD910" s="10"/>
      <c r="AE910" s="11">
        <f t="shared" si="394"/>
        <v>0</v>
      </c>
      <c r="AF910" s="11">
        <f t="shared" si="395"/>
        <v>0</v>
      </c>
      <c r="AG910" s="64"/>
    </row>
    <row r="911" spans="1:33" x14ac:dyDescent="0.15">
      <c r="A911" s="28" t="s">
        <v>12</v>
      </c>
      <c r="B911" s="8"/>
      <c r="C911" s="9"/>
      <c r="D911" s="10"/>
      <c r="E911" s="11">
        <f t="shared" si="390"/>
        <v>0</v>
      </c>
      <c r="F911" s="12"/>
      <c r="G911" s="9">
        <v>50</v>
      </c>
      <c r="H911" s="10"/>
      <c r="I911" s="11">
        <f t="shared" si="391"/>
        <v>50</v>
      </c>
      <c r="J911" s="11">
        <f t="shared" si="392"/>
        <v>50</v>
      </c>
      <c r="K911" s="65">
        <v>42675</v>
      </c>
      <c r="W911" s="28" t="s">
        <v>12</v>
      </c>
      <c r="X911" s="8"/>
      <c r="Y911" s="9"/>
      <c r="Z911" s="10"/>
      <c r="AA911" s="11">
        <f t="shared" si="393"/>
        <v>0</v>
      </c>
      <c r="AB911" s="12"/>
      <c r="AC911" s="9"/>
      <c r="AD911" s="10"/>
      <c r="AE911" s="11">
        <f t="shared" si="394"/>
        <v>0</v>
      </c>
      <c r="AF911" s="11">
        <f t="shared" si="395"/>
        <v>0</v>
      </c>
      <c r="AG911" s="64"/>
    </row>
    <row r="912" spans="1:33" x14ac:dyDescent="0.15">
      <c r="A912" s="28" t="s">
        <v>15</v>
      </c>
      <c r="B912" s="8"/>
      <c r="C912" s="9">
        <v>50</v>
      </c>
      <c r="D912" s="10"/>
      <c r="E912" s="11">
        <f t="shared" si="390"/>
        <v>50</v>
      </c>
      <c r="F912" s="12">
        <v>50</v>
      </c>
      <c r="G912" s="9"/>
      <c r="H912" s="10"/>
      <c r="I912" s="11">
        <f t="shared" si="391"/>
        <v>50</v>
      </c>
      <c r="J912" s="11">
        <f t="shared" si="392"/>
        <v>100</v>
      </c>
      <c r="K912" s="65">
        <v>42682</v>
      </c>
      <c r="W912" s="28" t="s">
        <v>15</v>
      </c>
      <c r="X912" s="8"/>
      <c r="Y912" s="9"/>
      <c r="Z912" s="10"/>
      <c r="AA912" s="11">
        <f t="shared" si="393"/>
        <v>0</v>
      </c>
      <c r="AB912" s="12"/>
      <c r="AC912" s="9"/>
      <c r="AD912" s="10"/>
      <c r="AE912" s="11">
        <f t="shared" si="394"/>
        <v>0</v>
      </c>
      <c r="AF912" s="11">
        <f t="shared" si="395"/>
        <v>0</v>
      </c>
      <c r="AG912" s="64"/>
    </row>
    <row r="913" spans="1:33" x14ac:dyDescent="0.15">
      <c r="A913" s="28" t="s">
        <v>16</v>
      </c>
      <c r="B913" s="8"/>
      <c r="C913" s="9"/>
      <c r="D913" s="10">
        <v>50</v>
      </c>
      <c r="E913" s="11">
        <f t="shared" si="390"/>
        <v>50</v>
      </c>
      <c r="F913" s="12"/>
      <c r="G913" s="9"/>
      <c r="H913" s="10">
        <v>50</v>
      </c>
      <c r="I913" s="11">
        <f t="shared" si="391"/>
        <v>50</v>
      </c>
      <c r="J913" s="11">
        <f t="shared" si="392"/>
        <v>100</v>
      </c>
      <c r="K913" s="65">
        <v>42683</v>
      </c>
      <c r="W913" s="28" t="s">
        <v>16</v>
      </c>
      <c r="X913" s="8"/>
      <c r="Y913" s="9"/>
      <c r="Z913" s="10"/>
      <c r="AA913" s="11">
        <f t="shared" si="393"/>
        <v>0</v>
      </c>
      <c r="AB913" s="12"/>
      <c r="AC913" s="9"/>
      <c r="AD913" s="10"/>
      <c r="AE913" s="11">
        <f t="shared" si="394"/>
        <v>0</v>
      </c>
      <c r="AF913" s="11">
        <f t="shared" si="395"/>
        <v>0</v>
      </c>
      <c r="AG913" s="64"/>
    </row>
    <row r="914" spans="1:33" x14ac:dyDescent="0.15">
      <c r="A914" s="28" t="s">
        <v>104</v>
      </c>
      <c r="B914" s="13">
        <v>2</v>
      </c>
      <c r="C914" s="14">
        <v>1</v>
      </c>
      <c r="D914" s="15"/>
      <c r="E914" s="11">
        <f t="shared" si="390"/>
        <v>3</v>
      </c>
      <c r="F914" s="16">
        <v>1</v>
      </c>
      <c r="G914" s="14">
        <v>1</v>
      </c>
      <c r="H914" s="15"/>
      <c r="I914" s="11">
        <f t="shared" si="391"/>
        <v>2</v>
      </c>
      <c r="J914" s="11">
        <f t="shared" si="392"/>
        <v>5</v>
      </c>
      <c r="K914" s="65">
        <v>42684</v>
      </c>
      <c r="W914" s="28" t="s">
        <v>17</v>
      </c>
      <c r="X914" s="13"/>
      <c r="Y914" s="14"/>
      <c r="Z914" s="15"/>
      <c r="AA914" s="11">
        <f t="shared" si="393"/>
        <v>0</v>
      </c>
      <c r="AB914" s="16"/>
      <c r="AC914" s="14"/>
      <c r="AD914" s="15"/>
      <c r="AE914" s="11">
        <f t="shared" si="394"/>
        <v>0</v>
      </c>
      <c r="AF914" s="11">
        <f t="shared" si="395"/>
        <v>0</v>
      </c>
      <c r="AG914" s="65"/>
    </row>
    <row r="915" spans="1:33" ht="14.25" thickBot="1" x14ac:dyDescent="0.2">
      <c r="A915" s="28" t="s">
        <v>18</v>
      </c>
      <c r="B915" s="36">
        <v>50</v>
      </c>
      <c r="C915" s="37"/>
      <c r="D915" s="40"/>
      <c r="E915" s="22">
        <f t="shared" si="390"/>
        <v>50</v>
      </c>
      <c r="F915" s="38"/>
      <c r="G915" s="38"/>
      <c r="H915" s="43"/>
      <c r="I915" s="22">
        <f t="shared" si="391"/>
        <v>0</v>
      </c>
      <c r="J915" s="22">
        <f t="shared" si="392"/>
        <v>50</v>
      </c>
      <c r="K915" s="65">
        <v>42690</v>
      </c>
      <c r="W915" s="28" t="s">
        <v>18</v>
      </c>
      <c r="X915" s="36"/>
      <c r="Y915" s="37"/>
      <c r="Z915" s="40"/>
      <c r="AA915" s="22">
        <f t="shared" si="393"/>
        <v>0</v>
      </c>
      <c r="AB915" s="38"/>
      <c r="AC915" s="38"/>
      <c r="AD915" s="43"/>
      <c r="AE915" s="22">
        <f t="shared" si="394"/>
        <v>0</v>
      </c>
      <c r="AF915" s="22">
        <f t="shared" si="395"/>
        <v>0</v>
      </c>
    </row>
    <row r="916" spans="1:33" ht="14.25" thickBot="1" x14ac:dyDescent="0.2">
      <c r="A916" s="39" t="s">
        <v>20</v>
      </c>
      <c r="B916" s="32">
        <f t="shared" ref="B916:J916" si="396">SUM(B907:B915)</f>
        <v>133</v>
      </c>
      <c r="C916" s="33">
        <f t="shared" si="396"/>
        <v>112</v>
      </c>
      <c r="D916" s="34">
        <f t="shared" si="396"/>
        <v>75</v>
      </c>
      <c r="E916" s="42">
        <f t="shared" si="396"/>
        <v>320</v>
      </c>
      <c r="F916" s="32">
        <f t="shared" si="396"/>
        <v>73</v>
      </c>
      <c r="G916" s="33">
        <f t="shared" si="396"/>
        <v>67</v>
      </c>
      <c r="H916" s="34">
        <f t="shared" si="396"/>
        <v>69</v>
      </c>
      <c r="I916" s="42">
        <f t="shared" si="396"/>
        <v>209</v>
      </c>
      <c r="J916" s="42">
        <f t="shared" si="396"/>
        <v>529</v>
      </c>
      <c r="W916" s="39" t="s">
        <v>20</v>
      </c>
      <c r="X916" s="32">
        <f t="shared" ref="X916:AF916" si="397">SUM(X907:X915)</f>
        <v>546</v>
      </c>
      <c r="Y916" s="33">
        <f t="shared" si="397"/>
        <v>361</v>
      </c>
      <c r="Z916" s="34">
        <f t="shared" si="397"/>
        <v>653</v>
      </c>
      <c r="AA916" s="42">
        <f t="shared" si="397"/>
        <v>1560</v>
      </c>
      <c r="AB916" s="32">
        <f t="shared" si="397"/>
        <v>402</v>
      </c>
      <c r="AC916" s="33">
        <f t="shared" si="397"/>
        <v>306</v>
      </c>
      <c r="AD916" s="34">
        <f t="shared" si="397"/>
        <v>328</v>
      </c>
      <c r="AE916" s="42">
        <f t="shared" si="397"/>
        <v>1036</v>
      </c>
      <c r="AF916" s="42">
        <f t="shared" si="397"/>
        <v>2596</v>
      </c>
    </row>
    <row r="917" spans="1:33" x14ac:dyDescent="0.15">
      <c r="A917" s="26" t="s">
        <v>494</v>
      </c>
      <c r="B917" s="13"/>
      <c r="C917" s="14">
        <v>5</v>
      </c>
      <c r="D917" s="15">
        <v>3</v>
      </c>
      <c r="E917" s="11">
        <f>SUM(B917:D917)</f>
        <v>8</v>
      </c>
      <c r="F917" s="16"/>
      <c r="G917" s="14"/>
      <c r="H917" s="15"/>
      <c r="I917" s="11">
        <f>SUM(F917:H917)</f>
        <v>0</v>
      </c>
      <c r="J917" s="11">
        <f>E917+I917</f>
        <v>8</v>
      </c>
      <c r="K917" s="65">
        <v>42669</v>
      </c>
      <c r="W917" s="29" t="s">
        <v>41</v>
      </c>
      <c r="X917" s="8"/>
      <c r="Y917" s="9"/>
      <c r="Z917" s="10"/>
      <c r="AA917" s="11">
        <f>SUM(X917:Z917)</f>
        <v>0</v>
      </c>
      <c r="AB917" s="12"/>
      <c r="AC917" s="9">
        <v>50</v>
      </c>
      <c r="AD917" s="10"/>
      <c r="AE917" s="11">
        <f>SUM(AB917:AD917)</f>
        <v>50</v>
      </c>
      <c r="AF917" s="11">
        <f>AA917+AE917</f>
        <v>50</v>
      </c>
      <c r="AG917" s="65">
        <v>42675</v>
      </c>
    </row>
    <row r="918" spans="1:33" x14ac:dyDescent="0.15">
      <c r="A918" s="29" t="s">
        <v>495</v>
      </c>
      <c r="B918" s="13">
        <v>10</v>
      </c>
      <c r="C918" s="14"/>
      <c r="D918" s="15"/>
      <c r="E918" s="11">
        <f t="shared" ref="E918:E942" si="398">SUM(B918:D918)</f>
        <v>10</v>
      </c>
      <c r="F918" s="16"/>
      <c r="G918" s="14"/>
      <c r="H918" s="15"/>
      <c r="I918" s="11">
        <f t="shared" ref="I918:I942" si="399">SUM(F918:H918)</f>
        <v>0</v>
      </c>
      <c r="J918" s="11">
        <f t="shared" ref="J918:J942" si="400">E918+I918</f>
        <v>10</v>
      </c>
      <c r="K918" s="65">
        <v>42671</v>
      </c>
      <c r="W918" s="29" t="s">
        <v>41</v>
      </c>
      <c r="X918" s="8"/>
      <c r="Y918" s="9">
        <v>50</v>
      </c>
      <c r="Z918" s="10"/>
      <c r="AA918" s="11">
        <f>SUM(X918:Z918)</f>
        <v>50</v>
      </c>
      <c r="AB918" s="12">
        <v>50</v>
      </c>
      <c r="AC918" s="9"/>
      <c r="AD918" s="10"/>
      <c r="AE918" s="11">
        <f>SUM(AB918:AD918)</f>
        <v>50</v>
      </c>
      <c r="AF918" s="11">
        <f>AA918+AE918</f>
        <v>100</v>
      </c>
      <c r="AG918" s="65">
        <v>42682</v>
      </c>
    </row>
    <row r="919" spans="1:33" x14ac:dyDescent="0.15">
      <c r="A919" s="27" t="s">
        <v>496</v>
      </c>
      <c r="B919" s="8"/>
      <c r="C919" s="9">
        <v>2</v>
      </c>
      <c r="D919" s="10"/>
      <c r="E919" s="11">
        <f t="shared" si="398"/>
        <v>2</v>
      </c>
      <c r="F919" s="12"/>
      <c r="G919" s="9">
        <v>2</v>
      </c>
      <c r="H919" s="10"/>
      <c r="I919" s="11">
        <f t="shared" si="399"/>
        <v>2</v>
      </c>
      <c r="J919" s="11">
        <f t="shared" si="400"/>
        <v>4</v>
      </c>
      <c r="K919" s="65">
        <v>42671</v>
      </c>
      <c r="W919" s="29" t="s">
        <v>41</v>
      </c>
      <c r="X919" s="8"/>
      <c r="Y919" s="9"/>
      <c r="Z919" s="10">
        <v>50</v>
      </c>
      <c r="AA919" s="11">
        <f t="shared" ref="AA919:AA942" si="401">SUM(X919:Z919)</f>
        <v>50</v>
      </c>
      <c r="AB919" s="12"/>
      <c r="AC919" s="9"/>
      <c r="AD919" s="10">
        <v>50</v>
      </c>
      <c r="AE919" s="11">
        <f t="shared" ref="AE919:AE942" si="402">SUM(AB919:AD919)</f>
        <v>50</v>
      </c>
      <c r="AF919" s="11">
        <f t="shared" ref="AF919:AF942" si="403">AA919+AE919</f>
        <v>100</v>
      </c>
      <c r="AG919" s="65">
        <v>42683</v>
      </c>
    </row>
    <row r="920" spans="1:33" x14ac:dyDescent="0.15">
      <c r="A920" s="27" t="s">
        <v>498</v>
      </c>
      <c r="B920" s="8">
        <v>5</v>
      </c>
      <c r="C920" s="9">
        <v>5</v>
      </c>
      <c r="D920" s="10">
        <v>5</v>
      </c>
      <c r="E920" s="11">
        <f t="shared" si="398"/>
        <v>15</v>
      </c>
      <c r="F920" s="12">
        <v>5</v>
      </c>
      <c r="G920" s="9">
        <v>5</v>
      </c>
      <c r="H920" s="10">
        <v>5</v>
      </c>
      <c r="I920" s="11">
        <f t="shared" si="399"/>
        <v>15</v>
      </c>
      <c r="J920" s="11">
        <f t="shared" si="400"/>
        <v>30</v>
      </c>
      <c r="K920" s="65">
        <v>42678</v>
      </c>
      <c r="W920" s="27" t="s">
        <v>503</v>
      </c>
      <c r="X920" s="8">
        <v>20</v>
      </c>
      <c r="Y920" s="9">
        <v>70</v>
      </c>
      <c r="Z920" s="10">
        <v>20</v>
      </c>
      <c r="AA920" s="11">
        <f t="shared" si="401"/>
        <v>110</v>
      </c>
      <c r="AB920" s="12">
        <v>60</v>
      </c>
      <c r="AC920" s="9">
        <v>30</v>
      </c>
      <c r="AD920" s="10">
        <v>30</v>
      </c>
      <c r="AE920" s="11">
        <f t="shared" si="402"/>
        <v>120</v>
      </c>
      <c r="AF920" s="11">
        <f t="shared" si="403"/>
        <v>230</v>
      </c>
      <c r="AG920" s="65">
        <v>42684</v>
      </c>
    </row>
    <row r="921" spans="1:33" x14ac:dyDescent="0.15">
      <c r="A921" s="27" t="s">
        <v>499</v>
      </c>
      <c r="B921" s="8"/>
      <c r="C921" s="9"/>
      <c r="D921" s="10"/>
      <c r="E921" s="11">
        <f t="shared" si="398"/>
        <v>0</v>
      </c>
      <c r="F921" s="12">
        <v>1</v>
      </c>
      <c r="G921" s="9"/>
      <c r="H921" s="10"/>
      <c r="I921" s="11">
        <f t="shared" si="399"/>
        <v>1</v>
      </c>
      <c r="J921" s="11">
        <f t="shared" si="400"/>
        <v>1</v>
      </c>
      <c r="K921" s="65">
        <v>42674</v>
      </c>
      <c r="W921" s="27" t="s">
        <v>506</v>
      </c>
      <c r="X921" s="8">
        <v>20</v>
      </c>
      <c r="Y921" s="9"/>
      <c r="Z921" s="10">
        <v>20</v>
      </c>
      <c r="AA921" s="11">
        <f t="shared" si="401"/>
        <v>40</v>
      </c>
      <c r="AB921" s="12"/>
      <c r="AC921" s="9"/>
      <c r="AD921" s="10">
        <v>5</v>
      </c>
      <c r="AE921" s="11">
        <f t="shared" si="402"/>
        <v>5</v>
      </c>
      <c r="AF921" s="11">
        <f t="shared" si="403"/>
        <v>45</v>
      </c>
      <c r="AG921" s="65">
        <v>42685</v>
      </c>
    </row>
    <row r="922" spans="1:33" x14ac:dyDescent="0.15">
      <c r="A922" s="29" t="s">
        <v>35</v>
      </c>
      <c r="B922" s="8"/>
      <c r="C922" s="9">
        <v>10</v>
      </c>
      <c r="D922" s="10"/>
      <c r="E922" s="11">
        <f t="shared" si="398"/>
        <v>10</v>
      </c>
      <c r="F922" s="12"/>
      <c r="G922" s="9"/>
      <c r="H922" s="10"/>
      <c r="I922" s="11">
        <f t="shared" si="399"/>
        <v>0</v>
      </c>
      <c r="J922" s="11">
        <f t="shared" si="400"/>
        <v>10</v>
      </c>
      <c r="K922" s="65">
        <v>42681</v>
      </c>
      <c r="L922" s="64"/>
      <c r="W922" s="27" t="s">
        <v>508</v>
      </c>
      <c r="X922" s="8">
        <v>20</v>
      </c>
      <c r="Y922" s="9">
        <v>15</v>
      </c>
      <c r="Z922" s="10"/>
      <c r="AA922" s="11">
        <f t="shared" si="401"/>
        <v>35</v>
      </c>
      <c r="AB922" s="12"/>
      <c r="AC922" s="9">
        <v>5</v>
      </c>
      <c r="AD922" s="10"/>
      <c r="AE922" s="11">
        <f t="shared" si="402"/>
        <v>5</v>
      </c>
      <c r="AF922" s="11">
        <f t="shared" si="403"/>
        <v>40</v>
      </c>
      <c r="AG922" s="65">
        <v>42686</v>
      </c>
    </row>
    <row r="923" spans="1:33" x14ac:dyDescent="0.15">
      <c r="A923" s="29" t="s">
        <v>501</v>
      </c>
      <c r="B923" s="8"/>
      <c r="C923" s="9">
        <v>3</v>
      </c>
      <c r="D923" s="10"/>
      <c r="E923" s="11">
        <f t="shared" si="398"/>
        <v>3</v>
      </c>
      <c r="F923" s="12"/>
      <c r="G923" s="9">
        <v>3</v>
      </c>
      <c r="H923" s="10"/>
      <c r="I923" s="11">
        <f t="shared" si="399"/>
        <v>3</v>
      </c>
      <c r="J923" s="11">
        <f t="shared" si="400"/>
        <v>6</v>
      </c>
      <c r="K923" s="65">
        <v>42676</v>
      </c>
      <c r="W923" s="29" t="s">
        <v>41</v>
      </c>
      <c r="X923" s="8">
        <v>50</v>
      </c>
      <c r="Y923" s="9"/>
      <c r="Z923" s="10"/>
      <c r="AA923" s="11">
        <f t="shared" si="401"/>
        <v>50</v>
      </c>
      <c r="AB923" s="12"/>
      <c r="AC923" s="9"/>
      <c r="AD923" s="10"/>
      <c r="AE923" s="11">
        <f t="shared" si="402"/>
        <v>0</v>
      </c>
      <c r="AF923" s="11">
        <f t="shared" si="403"/>
        <v>50</v>
      </c>
      <c r="AG923" s="65">
        <v>42690</v>
      </c>
    </row>
    <row r="924" spans="1:33" x14ac:dyDescent="0.15">
      <c r="A924" s="29" t="s">
        <v>500</v>
      </c>
      <c r="B924" s="8"/>
      <c r="C924" s="9">
        <v>1</v>
      </c>
      <c r="D924" s="10"/>
      <c r="E924" s="11">
        <f t="shared" si="398"/>
        <v>1</v>
      </c>
      <c r="F924" s="12"/>
      <c r="G924" s="9">
        <v>1</v>
      </c>
      <c r="H924" s="10"/>
      <c r="I924" s="11">
        <f t="shared" si="399"/>
        <v>1</v>
      </c>
      <c r="J924" s="11">
        <f t="shared" si="400"/>
        <v>2</v>
      </c>
      <c r="K924" s="65">
        <v>42677</v>
      </c>
      <c r="W924" s="29"/>
      <c r="X924" s="8"/>
      <c r="Y924" s="9"/>
      <c r="Z924" s="10"/>
      <c r="AA924" s="11">
        <f t="shared" si="401"/>
        <v>0</v>
      </c>
      <c r="AB924" s="12"/>
      <c r="AC924" s="9"/>
      <c r="AD924" s="10"/>
      <c r="AE924" s="11">
        <f t="shared" si="402"/>
        <v>0</v>
      </c>
      <c r="AF924" s="11">
        <f t="shared" si="403"/>
        <v>0</v>
      </c>
      <c r="AG924" s="65"/>
    </row>
    <row r="925" spans="1:33" x14ac:dyDescent="0.15">
      <c r="A925" s="29" t="s">
        <v>502</v>
      </c>
      <c r="B925" s="13">
        <v>3</v>
      </c>
      <c r="C925" s="14">
        <v>1</v>
      </c>
      <c r="D925" s="15">
        <v>2</v>
      </c>
      <c r="E925" s="11">
        <f t="shared" si="398"/>
        <v>6</v>
      </c>
      <c r="F925" s="16">
        <v>2</v>
      </c>
      <c r="G925" s="14"/>
      <c r="H925" s="15">
        <v>2</v>
      </c>
      <c r="I925" s="11">
        <f t="shared" si="399"/>
        <v>4</v>
      </c>
      <c r="J925" s="11">
        <f t="shared" si="400"/>
        <v>10</v>
      </c>
      <c r="K925" s="65">
        <v>42677</v>
      </c>
      <c r="W925" s="27"/>
      <c r="X925" s="8"/>
      <c r="Y925" s="9"/>
      <c r="Z925" s="10"/>
      <c r="AA925" s="11">
        <f t="shared" si="401"/>
        <v>0</v>
      </c>
      <c r="AB925" s="12"/>
      <c r="AC925" s="9"/>
      <c r="AD925" s="10"/>
      <c r="AE925" s="11">
        <f t="shared" si="402"/>
        <v>0</v>
      </c>
      <c r="AF925" s="11">
        <f t="shared" si="403"/>
        <v>0</v>
      </c>
    </row>
    <row r="926" spans="1:33" x14ac:dyDescent="0.15">
      <c r="A926" s="29" t="s">
        <v>401</v>
      </c>
      <c r="B926" s="13">
        <v>30</v>
      </c>
      <c r="C926" s="14"/>
      <c r="D926" s="15"/>
      <c r="E926" s="11">
        <f t="shared" si="398"/>
        <v>30</v>
      </c>
      <c r="F926" s="16">
        <v>30</v>
      </c>
      <c r="G926" s="14">
        <v>30</v>
      </c>
      <c r="H926" s="15"/>
      <c r="I926" s="11">
        <f t="shared" si="399"/>
        <v>60</v>
      </c>
      <c r="J926" s="11">
        <f t="shared" si="400"/>
        <v>90</v>
      </c>
      <c r="K926" s="65">
        <v>42685</v>
      </c>
      <c r="W926" s="29"/>
      <c r="X926" s="13"/>
      <c r="Y926" s="14"/>
      <c r="Z926" s="15"/>
      <c r="AA926" s="11">
        <f t="shared" si="401"/>
        <v>0</v>
      </c>
      <c r="AB926" s="16"/>
      <c r="AC926" s="14"/>
      <c r="AD926" s="15"/>
      <c r="AE926" s="11">
        <f t="shared" si="402"/>
        <v>0</v>
      </c>
      <c r="AF926" s="11">
        <f t="shared" si="403"/>
        <v>0</v>
      </c>
    </row>
    <row r="927" spans="1:33" x14ac:dyDescent="0.15">
      <c r="A927" s="29" t="s">
        <v>401</v>
      </c>
      <c r="B927" s="8"/>
      <c r="C927" s="9">
        <v>30</v>
      </c>
      <c r="D927" s="10"/>
      <c r="E927" s="11">
        <f t="shared" si="398"/>
        <v>30</v>
      </c>
      <c r="F927" s="12"/>
      <c r="G927" s="9"/>
      <c r="H927" s="10"/>
      <c r="I927" s="11">
        <f t="shared" si="399"/>
        <v>0</v>
      </c>
      <c r="J927" s="11">
        <f t="shared" si="400"/>
        <v>30</v>
      </c>
      <c r="K927" s="65">
        <v>42688</v>
      </c>
      <c r="W927" s="29"/>
      <c r="X927" s="8"/>
      <c r="Y927" s="9"/>
      <c r="Z927" s="10"/>
      <c r="AA927" s="11">
        <f t="shared" si="401"/>
        <v>0</v>
      </c>
      <c r="AB927" s="12"/>
      <c r="AC927" s="9"/>
      <c r="AD927" s="10"/>
      <c r="AE927" s="11">
        <f t="shared" si="402"/>
        <v>0</v>
      </c>
      <c r="AF927" s="11">
        <f t="shared" si="403"/>
        <v>0</v>
      </c>
    </row>
    <row r="928" spans="1:33" x14ac:dyDescent="0.15">
      <c r="A928" s="29" t="s">
        <v>386</v>
      </c>
      <c r="B928" s="8">
        <v>2</v>
      </c>
      <c r="C928" s="9"/>
      <c r="D928" s="10"/>
      <c r="E928" s="11">
        <f t="shared" si="398"/>
        <v>2</v>
      </c>
      <c r="F928" s="12"/>
      <c r="G928" s="9"/>
      <c r="H928" s="10"/>
      <c r="I928" s="11">
        <f t="shared" si="399"/>
        <v>0</v>
      </c>
      <c r="J928" s="11">
        <f t="shared" si="400"/>
        <v>2</v>
      </c>
      <c r="K928" s="65">
        <v>42682</v>
      </c>
      <c r="W928" s="29"/>
      <c r="X928" s="8"/>
      <c r="Y928" s="9"/>
      <c r="Z928" s="10"/>
      <c r="AA928" s="11">
        <f t="shared" si="401"/>
        <v>0</v>
      </c>
      <c r="AB928" s="12"/>
      <c r="AC928" s="9"/>
      <c r="AD928" s="10"/>
      <c r="AE928" s="11">
        <f t="shared" si="402"/>
        <v>0</v>
      </c>
      <c r="AF928" s="11">
        <f t="shared" si="403"/>
        <v>0</v>
      </c>
    </row>
    <row r="929" spans="1:33" x14ac:dyDescent="0.15">
      <c r="A929" s="29" t="s">
        <v>35</v>
      </c>
      <c r="B929" s="8"/>
      <c r="C929" s="9">
        <v>10</v>
      </c>
      <c r="D929" s="10">
        <v>10</v>
      </c>
      <c r="E929" s="11">
        <f t="shared" si="398"/>
        <v>20</v>
      </c>
      <c r="F929" s="12"/>
      <c r="G929" s="9"/>
      <c r="H929" s="10">
        <v>10</v>
      </c>
      <c r="I929" s="11">
        <f t="shared" si="399"/>
        <v>10</v>
      </c>
      <c r="J929" s="11">
        <f t="shared" si="400"/>
        <v>30</v>
      </c>
      <c r="K929" s="65">
        <v>42688</v>
      </c>
      <c r="W929" s="27"/>
      <c r="X929" s="8"/>
      <c r="Y929" s="9"/>
      <c r="Z929" s="10"/>
      <c r="AA929" s="11">
        <f t="shared" si="401"/>
        <v>0</v>
      </c>
      <c r="AB929" s="12"/>
      <c r="AC929" s="9"/>
      <c r="AD929" s="10"/>
      <c r="AE929" s="11">
        <f t="shared" si="402"/>
        <v>0</v>
      </c>
      <c r="AF929" s="11">
        <f t="shared" si="403"/>
        <v>0</v>
      </c>
    </row>
    <row r="930" spans="1:33" x14ac:dyDescent="0.15">
      <c r="A930" s="27" t="s">
        <v>433</v>
      </c>
      <c r="B930" s="8"/>
      <c r="C930" s="9"/>
      <c r="D930" s="10"/>
      <c r="E930" s="11">
        <f t="shared" si="398"/>
        <v>0</v>
      </c>
      <c r="F930" s="12">
        <v>1</v>
      </c>
      <c r="G930" s="9"/>
      <c r="H930" s="10"/>
      <c r="I930" s="11">
        <f t="shared" si="399"/>
        <v>1</v>
      </c>
      <c r="J930" s="11">
        <f t="shared" si="400"/>
        <v>1</v>
      </c>
      <c r="K930" s="65">
        <v>42683</v>
      </c>
      <c r="W930" s="29"/>
      <c r="X930" s="8"/>
      <c r="Y930" s="9"/>
      <c r="Z930" s="10"/>
      <c r="AA930" s="11">
        <f t="shared" si="401"/>
        <v>0</v>
      </c>
      <c r="AB930" s="12"/>
      <c r="AC930" s="9"/>
      <c r="AD930" s="10"/>
      <c r="AE930" s="11">
        <f t="shared" si="402"/>
        <v>0</v>
      </c>
      <c r="AF930" s="11">
        <f t="shared" si="403"/>
        <v>0</v>
      </c>
    </row>
    <row r="931" spans="1:33" x14ac:dyDescent="0.15">
      <c r="A931" s="29" t="s">
        <v>505</v>
      </c>
      <c r="B931" s="8">
        <v>4</v>
      </c>
      <c r="C931" s="9">
        <v>4</v>
      </c>
      <c r="D931" s="10">
        <v>4</v>
      </c>
      <c r="E931" s="11">
        <f t="shared" si="398"/>
        <v>12</v>
      </c>
      <c r="F931" s="12">
        <v>4</v>
      </c>
      <c r="G931" s="9">
        <v>4</v>
      </c>
      <c r="H931" s="10">
        <v>2</v>
      </c>
      <c r="I931" s="11">
        <f t="shared" si="399"/>
        <v>10</v>
      </c>
      <c r="J931" s="11">
        <f t="shared" si="400"/>
        <v>22</v>
      </c>
      <c r="K931" s="65">
        <v>42683</v>
      </c>
      <c r="W931" s="29"/>
      <c r="X931" s="8"/>
      <c r="Y931" s="9"/>
      <c r="Z931" s="10"/>
      <c r="AA931" s="11">
        <f t="shared" si="401"/>
        <v>0</v>
      </c>
      <c r="AB931" s="12"/>
      <c r="AC931" s="9"/>
      <c r="AD931" s="10"/>
      <c r="AE931" s="11">
        <f t="shared" si="402"/>
        <v>0</v>
      </c>
      <c r="AF931" s="11">
        <f t="shared" si="403"/>
        <v>0</v>
      </c>
    </row>
    <row r="932" spans="1:33" x14ac:dyDescent="0.15">
      <c r="A932" s="27" t="s">
        <v>504</v>
      </c>
      <c r="B932" s="8"/>
      <c r="C932" s="9">
        <v>5</v>
      </c>
      <c r="D932" s="10">
        <v>5</v>
      </c>
      <c r="E932" s="11">
        <f t="shared" si="398"/>
        <v>10</v>
      </c>
      <c r="F932" s="12"/>
      <c r="G932" s="9"/>
      <c r="H932" s="10"/>
      <c r="I932" s="11">
        <f t="shared" si="399"/>
        <v>0</v>
      </c>
      <c r="J932" s="11">
        <f t="shared" si="400"/>
        <v>10</v>
      </c>
      <c r="K932" s="65">
        <v>42685</v>
      </c>
      <c r="W932" s="27"/>
      <c r="X932" s="8"/>
      <c r="Y932" s="9"/>
      <c r="Z932" s="10"/>
      <c r="AA932" s="11">
        <f t="shared" si="401"/>
        <v>0</v>
      </c>
      <c r="AB932" s="12"/>
      <c r="AC932" s="9"/>
      <c r="AD932" s="10"/>
      <c r="AE932" s="11">
        <f t="shared" si="402"/>
        <v>0</v>
      </c>
      <c r="AF932" s="11">
        <f t="shared" si="403"/>
        <v>0</v>
      </c>
    </row>
    <row r="933" spans="1:33" x14ac:dyDescent="0.15">
      <c r="A933" s="29" t="s">
        <v>507</v>
      </c>
      <c r="B933" s="8">
        <v>5</v>
      </c>
      <c r="C933" s="9"/>
      <c r="D933" s="10"/>
      <c r="E933" s="11">
        <f t="shared" si="398"/>
        <v>5</v>
      </c>
      <c r="F933" s="12">
        <v>5</v>
      </c>
      <c r="G933" s="9"/>
      <c r="H933" s="10"/>
      <c r="I933" s="11">
        <f t="shared" si="399"/>
        <v>5</v>
      </c>
      <c r="J933" s="11">
        <f t="shared" si="400"/>
        <v>10</v>
      </c>
      <c r="K933" s="65">
        <v>42684</v>
      </c>
      <c r="W933" s="29"/>
      <c r="X933" s="8"/>
      <c r="Y933" s="9"/>
      <c r="Z933" s="10"/>
      <c r="AA933" s="11">
        <f t="shared" si="401"/>
        <v>0</v>
      </c>
      <c r="AB933" s="12"/>
      <c r="AC933" s="9"/>
      <c r="AD933" s="10"/>
      <c r="AE933" s="11">
        <f t="shared" si="402"/>
        <v>0</v>
      </c>
      <c r="AF933" s="11">
        <f t="shared" si="403"/>
        <v>0</v>
      </c>
    </row>
    <row r="934" spans="1:33" x14ac:dyDescent="0.15">
      <c r="A934" s="27" t="s">
        <v>433</v>
      </c>
      <c r="B934" s="8"/>
      <c r="C934" s="9"/>
      <c r="D934" s="10"/>
      <c r="E934" s="11">
        <f t="shared" si="398"/>
        <v>0</v>
      </c>
      <c r="F934" s="12"/>
      <c r="G934" s="9">
        <v>1</v>
      </c>
      <c r="H934" s="10"/>
      <c r="I934" s="11">
        <f t="shared" si="399"/>
        <v>1</v>
      </c>
      <c r="J934" s="11">
        <f t="shared" si="400"/>
        <v>1</v>
      </c>
      <c r="K934" s="71">
        <v>42685</v>
      </c>
      <c r="W934" s="27"/>
      <c r="X934" s="8"/>
      <c r="Y934" s="9"/>
      <c r="Z934" s="10"/>
      <c r="AA934" s="11">
        <f t="shared" si="401"/>
        <v>0</v>
      </c>
      <c r="AB934" s="12"/>
      <c r="AC934" s="9"/>
      <c r="AD934" s="10"/>
      <c r="AE934" s="11">
        <f t="shared" si="402"/>
        <v>0</v>
      </c>
      <c r="AF934" s="11">
        <f t="shared" si="403"/>
        <v>0</v>
      </c>
    </row>
    <row r="935" spans="1:33" x14ac:dyDescent="0.15">
      <c r="A935" s="26" t="s">
        <v>510</v>
      </c>
      <c r="B935" s="8">
        <v>2</v>
      </c>
      <c r="C935" s="9">
        <v>6</v>
      </c>
      <c r="D935" s="10"/>
      <c r="E935" s="11">
        <f t="shared" si="398"/>
        <v>8</v>
      </c>
      <c r="F935" s="12">
        <v>2</v>
      </c>
      <c r="G935" s="9">
        <v>3</v>
      </c>
      <c r="H935" s="10"/>
      <c r="I935" s="11">
        <f t="shared" si="399"/>
        <v>5</v>
      </c>
      <c r="J935" s="11">
        <f t="shared" si="400"/>
        <v>13</v>
      </c>
      <c r="K935" s="65">
        <v>42685</v>
      </c>
      <c r="W935" s="26"/>
      <c r="X935" s="8"/>
      <c r="Y935" s="9"/>
      <c r="Z935" s="10"/>
      <c r="AA935" s="11">
        <f t="shared" si="401"/>
        <v>0</v>
      </c>
      <c r="AB935" s="12"/>
      <c r="AC935" s="9"/>
      <c r="AD935" s="10"/>
      <c r="AE935" s="11">
        <f t="shared" si="402"/>
        <v>0</v>
      </c>
      <c r="AF935" s="11">
        <f t="shared" si="403"/>
        <v>0</v>
      </c>
    </row>
    <row r="936" spans="1:33" x14ac:dyDescent="0.15">
      <c r="A936" s="27" t="s">
        <v>509</v>
      </c>
      <c r="B936" s="8"/>
      <c r="C936" s="9"/>
      <c r="D936" s="10">
        <v>5</v>
      </c>
      <c r="E936" s="11">
        <f t="shared" si="398"/>
        <v>5</v>
      </c>
      <c r="F936" s="12"/>
      <c r="G936" s="9"/>
      <c r="H936" s="10"/>
      <c r="I936" s="11">
        <f t="shared" si="399"/>
        <v>0</v>
      </c>
      <c r="J936" s="11">
        <f t="shared" si="400"/>
        <v>5</v>
      </c>
      <c r="K936" s="65">
        <v>42689</v>
      </c>
      <c r="W936" s="26"/>
      <c r="X936" s="8"/>
      <c r="Y936" s="9"/>
      <c r="Z936" s="10"/>
      <c r="AA936" s="11">
        <f t="shared" si="401"/>
        <v>0</v>
      </c>
      <c r="AB936" s="12"/>
      <c r="AC936" s="9"/>
      <c r="AD936" s="10"/>
      <c r="AE936" s="11">
        <f t="shared" si="402"/>
        <v>0</v>
      </c>
      <c r="AF936" s="11">
        <f t="shared" si="403"/>
        <v>0</v>
      </c>
    </row>
    <row r="937" spans="1:33" x14ac:dyDescent="0.15">
      <c r="A937" s="28" t="s">
        <v>228</v>
      </c>
      <c r="B937" s="8">
        <v>-6</v>
      </c>
      <c r="C937" s="9"/>
      <c r="D937" s="10"/>
      <c r="E937" s="11">
        <f t="shared" si="398"/>
        <v>-6</v>
      </c>
      <c r="F937" s="12">
        <v>-3</v>
      </c>
      <c r="G937" s="12"/>
      <c r="H937" s="87"/>
      <c r="I937" s="11">
        <f t="shared" si="399"/>
        <v>-3</v>
      </c>
      <c r="J937" s="11">
        <f t="shared" si="400"/>
        <v>-9</v>
      </c>
      <c r="K937" s="71">
        <v>42685</v>
      </c>
      <c r="W937" s="27"/>
      <c r="X937" s="8"/>
      <c r="Y937" s="9"/>
      <c r="Z937" s="10"/>
      <c r="AA937" s="11">
        <f t="shared" si="401"/>
        <v>0</v>
      </c>
      <c r="AB937" s="12"/>
      <c r="AC937" s="9"/>
      <c r="AD937" s="10"/>
      <c r="AE937" s="11">
        <f t="shared" si="402"/>
        <v>0</v>
      </c>
      <c r="AF937" s="11">
        <f t="shared" si="403"/>
        <v>0</v>
      </c>
    </row>
    <row r="938" spans="1:33" x14ac:dyDescent="0.15">
      <c r="A938" s="29" t="s">
        <v>35</v>
      </c>
      <c r="B938" s="88">
        <v>20</v>
      </c>
      <c r="C938" s="89"/>
      <c r="D938" s="90"/>
      <c r="E938" s="78">
        <f t="shared" si="398"/>
        <v>20</v>
      </c>
      <c r="F938" s="91"/>
      <c r="G938" s="89"/>
      <c r="H938" s="90"/>
      <c r="I938" s="78">
        <f t="shared" si="399"/>
        <v>0</v>
      </c>
      <c r="J938" s="78">
        <f t="shared" si="400"/>
        <v>20</v>
      </c>
      <c r="K938" s="65">
        <v>42695</v>
      </c>
      <c r="W938" s="27"/>
      <c r="X938" s="13"/>
      <c r="Y938" s="14"/>
      <c r="Z938" s="15"/>
      <c r="AA938" s="11">
        <f t="shared" si="401"/>
        <v>0</v>
      </c>
      <c r="AB938" s="16"/>
      <c r="AC938" s="14"/>
      <c r="AD938" s="15"/>
      <c r="AE938" s="11">
        <f t="shared" si="402"/>
        <v>0</v>
      </c>
      <c r="AF938" s="11">
        <f t="shared" si="403"/>
        <v>0</v>
      </c>
    </row>
    <row r="939" spans="1:33" x14ac:dyDescent="0.15">
      <c r="A939" s="27" t="s">
        <v>511</v>
      </c>
      <c r="B939" s="8"/>
      <c r="C939" s="9">
        <v>10</v>
      </c>
      <c r="D939" s="10">
        <v>3</v>
      </c>
      <c r="E939" s="11">
        <f t="shared" si="398"/>
        <v>13</v>
      </c>
      <c r="F939" s="12"/>
      <c r="G939" s="9">
        <v>14</v>
      </c>
      <c r="H939" s="10">
        <v>4</v>
      </c>
      <c r="I939" s="11">
        <f t="shared" si="399"/>
        <v>18</v>
      </c>
      <c r="J939" s="11">
        <f t="shared" si="400"/>
        <v>31</v>
      </c>
      <c r="K939" s="65">
        <v>42692</v>
      </c>
      <c r="W939" s="86"/>
      <c r="X939" s="13"/>
      <c r="Y939" s="14"/>
      <c r="Z939" s="15"/>
      <c r="AA939" s="11">
        <f t="shared" si="401"/>
        <v>0</v>
      </c>
      <c r="AB939" s="16"/>
      <c r="AC939" s="14"/>
      <c r="AD939" s="15"/>
      <c r="AE939" s="11">
        <f t="shared" si="402"/>
        <v>0</v>
      </c>
      <c r="AF939" s="11">
        <f t="shared" si="403"/>
        <v>0</v>
      </c>
      <c r="AG939" s="64"/>
    </row>
    <row r="940" spans="1:33" x14ac:dyDescent="0.15">
      <c r="A940" s="27"/>
      <c r="B940" s="8"/>
      <c r="C940" s="9"/>
      <c r="D940" s="10"/>
      <c r="E940" s="11">
        <f t="shared" si="398"/>
        <v>0</v>
      </c>
      <c r="F940" s="12"/>
      <c r="G940" s="9"/>
      <c r="H940" s="10"/>
      <c r="I940" s="11">
        <f t="shared" si="399"/>
        <v>0</v>
      </c>
      <c r="J940" s="11">
        <f t="shared" si="400"/>
        <v>0</v>
      </c>
      <c r="K940" s="65"/>
      <c r="W940" s="86"/>
      <c r="X940" s="13"/>
      <c r="Y940" s="14"/>
      <c r="Z940" s="15"/>
      <c r="AA940" s="11">
        <f>SUM(X940:Z940)</f>
        <v>0</v>
      </c>
      <c r="AB940" s="16"/>
      <c r="AC940" s="14"/>
      <c r="AD940" s="15"/>
      <c r="AE940" s="11">
        <f>SUM(AB940:AD940)</f>
        <v>0</v>
      </c>
      <c r="AF940" s="11">
        <f>AA940+AE940</f>
        <v>0</v>
      </c>
      <c r="AG940" s="65"/>
    </row>
    <row r="941" spans="1:33" x14ac:dyDescent="0.15">
      <c r="A941" s="27"/>
      <c r="B941" s="8"/>
      <c r="C941" s="9"/>
      <c r="D941" s="10"/>
      <c r="E941" s="11">
        <f t="shared" si="398"/>
        <v>0</v>
      </c>
      <c r="F941" s="12"/>
      <c r="G941" s="9"/>
      <c r="H941" s="10"/>
      <c r="I941" s="11">
        <f t="shared" si="399"/>
        <v>0</v>
      </c>
      <c r="J941" s="11">
        <f t="shared" si="400"/>
        <v>0</v>
      </c>
      <c r="K941" s="65"/>
      <c r="W941" s="86"/>
      <c r="X941" s="13"/>
      <c r="Y941" s="14"/>
      <c r="Z941" s="15"/>
      <c r="AA941" s="11">
        <f t="shared" si="401"/>
        <v>0</v>
      </c>
      <c r="AB941" s="16"/>
      <c r="AC941" s="14"/>
      <c r="AD941" s="15"/>
      <c r="AE941" s="11">
        <f t="shared" si="402"/>
        <v>0</v>
      </c>
      <c r="AF941" s="11">
        <f t="shared" si="403"/>
        <v>0</v>
      </c>
      <c r="AG941" s="64"/>
    </row>
    <row r="942" spans="1:33" ht="14.25" thickBot="1" x14ac:dyDescent="0.2">
      <c r="A942" s="29"/>
      <c r="B942" s="8"/>
      <c r="C942" s="9"/>
      <c r="D942" s="10"/>
      <c r="E942" s="11">
        <f t="shared" si="398"/>
        <v>0</v>
      </c>
      <c r="F942" s="16"/>
      <c r="G942" s="14"/>
      <c r="H942" s="15"/>
      <c r="I942" s="11">
        <f t="shared" si="399"/>
        <v>0</v>
      </c>
      <c r="J942" s="11">
        <f t="shared" si="400"/>
        <v>0</v>
      </c>
      <c r="W942" s="27"/>
      <c r="X942" s="13"/>
      <c r="Y942" s="14"/>
      <c r="Z942" s="15"/>
      <c r="AA942" s="11">
        <f t="shared" si="401"/>
        <v>0</v>
      </c>
      <c r="AB942" s="16"/>
      <c r="AC942" s="14"/>
      <c r="AD942" s="15"/>
      <c r="AE942" s="11">
        <f t="shared" si="402"/>
        <v>0</v>
      </c>
      <c r="AF942" s="11">
        <f t="shared" si="403"/>
        <v>0</v>
      </c>
      <c r="AG942" s="64"/>
    </row>
    <row r="943" spans="1:33" ht="14.25" thickBot="1" x14ac:dyDescent="0.2">
      <c r="A943" s="44" t="s">
        <v>13</v>
      </c>
      <c r="B943" s="48">
        <f t="shared" ref="B943:I943" si="404">SUM(B917:B942)</f>
        <v>75</v>
      </c>
      <c r="C943" s="49">
        <f t="shared" si="404"/>
        <v>92</v>
      </c>
      <c r="D943" s="50">
        <f t="shared" si="404"/>
        <v>37</v>
      </c>
      <c r="E943" s="46">
        <f t="shared" si="404"/>
        <v>204</v>
      </c>
      <c r="F943" s="48">
        <f t="shared" si="404"/>
        <v>47</v>
      </c>
      <c r="G943" s="49">
        <f t="shared" si="404"/>
        <v>63</v>
      </c>
      <c r="H943" s="50">
        <f t="shared" si="404"/>
        <v>23</v>
      </c>
      <c r="I943" s="46">
        <f t="shared" si="404"/>
        <v>133</v>
      </c>
      <c r="J943" s="35">
        <f>E943+I943</f>
        <v>337</v>
      </c>
      <c r="W943" s="44" t="s">
        <v>13</v>
      </c>
      <c r="X943" s="48">
        <f t="shared" ref="X943:AE943" si="405">SUM(X917:X942)</f>
        <v>110</v>
      </c>
      <c r="Y943" s="49">
        <f t="shared" si="405"/>
        <v>135</v>
      </c>
      <c r="Z943" s="50">
        <f t="shared" si="405"/>
        <v>90</v>
      </c>
      <c r="AA943" s="46">
        <f t="shared" si="405"/>
        <v>335</v>
      </c>
      <c r="AB943" s="48">
        <f t="shared" si="405"/>
        <v>110</v>
      </c>
      <c r="AC943" s="49">
        <f t="shared" si="405"/>
        <v>85</v>
      </c>
      <c r="AD943" s="50">
        <f t="shared" si="405"/>
        <v>85</v>
      </c>
      <c r="AE943" s="46">
        <f t="shared" si="405"/>
        <v>280</v>
      </c>
      <c r="AF943" s="35">
        <f>AA943+AE943</f>
        <v>615</v>
      </c>
    </row>
    <row r="944" spans="1:33" ht="14.25" thickBot="1" x14ac:dyDescent="0.2">
      <c r="A944" s="23" t="s">
        <v>14</v>
      </c>
      <c r="B944" s="24">
        <f t="shared" ref="B944:J944" si="406">B916-B943</f>
        <v>58</v>
      </c>
      <c r="C944" s="25">
        <f t="shared" si="406"/>
        <v>20</v>
      </c>
      <c r="D944" s="30">
        <f t="shared" si="406"/>
        <v>38</v>
      </c>
      <c r="E944" s="51">
        <f t="shared" si="406"/>
        <v>116</v>
      </c>
      <c r="F944" s="24">
        <f t="shared" si="406"/>
        <v>26</v>
      </c>
      <c r="G944" s="25">
        <f t="shared" si="406"/>
        <v>4</v>
      </c>
      <c r="H944" s="30">
        <f t="shared" si="406"/>
        <v>46</v>
      </c>
      <c r="I944" s="47">
        <f t="shared" si="406"/>
        <v>76</v>
      </c>
      <c r="J944" s="79">
        <f t="shared" si="406"/>
        <v>192</v>
      </c>
      <c r="W944" s="23" t="s">
        <v>14</v>
      </c>
      <c r="X944" s="24">
        <f t="shared" ref="X944:AF944" si="407">X916-X943</f>
        <v>436</v>
      </c>
      <c r="Y944" s="25">
        <f t="shared" si="407"/>
        <v>226</v>
      </c>
      <c r="Z944" s="30">
        <f t="shared" si="407"/>
        <v>563</v>
      </c>
      <c r="AA944" s="51">
        <f t="shared" si="407"/>
        <v>1225</v>
      </c>
      <c r="AB944" s="24">
        <f t="shared" si="407"/>
        <v>292</v>
      </c>
      <c r="AC944" s="25">
        <f t="shared" si="407"/>
        <v>221</v>
      </c>
      <c r="AD944" s="30">
        <f t="shared" si="407"/>
        <v>243</v>
      </c>
      <c r="AE944" s="47">
        <f t="shared" si="407"/>
        <v>756</v>
      </c>
      <c r="AF944" s="79">
        <f t="shared" si="407"/>
        <v>1981</v>
      </c>
    </row>
    <row r="947" spans="1:33" ht="19.5" thickBot="1" x14ac:dyDescent="0.25">
      <c r="A947" s="2" t="s">
        <v>21</v>
      </c>
      <c r="B947" s="1"/>
      <c r="C947" s="1"/>
      <c r="D947" s="1"/>
      <c r="E947" s="1"/>
      <c r="F947" s="1"/>
      <c r="G947" s="1"/>
      <c r="H947" s="1"/>
      <c r="I947" s="1"/>
      <c r="J947" s="1"/>
      <c r="W947" s="93" t="s">
        <v>136</v>
      </c>
      <c r="X947" s="94"/>
      <c r="Y947" s="94"/>
      <c r="Z947" s="94"/>
      <c r="AA947" s="106" t="s">
        <v>299</v>
      </c>
      <c r="AB947" s="1"/>
      <c r="AC947" s="1"/>
      <c r="AD947" s="1"/>
      <c r="AE947" s="1"/>
      <c r="AF947" s="1"/>
    </row>
    <row r="948" spans="1:33" ht="14.25" thickBot="1" x14ac:dyDescent="0.2">
      <c r="A948" s="7" t="s">
        <v>0</v>
      </c>
      <c r="B948" s="168" t="s">
        <v>1</v>
      </c>
      <c r="C948" s="169"/>
      <c r="D948" s="169"/>
      <c r="E948" s="170"/>
      <c r="F948" s="168" t="s">
        <v>2</v>
      </c>
      <c r="G948" s="169"/>
      <c r="H948" s="169"/>
      <c r="I948" s="171"/>
      <c r="J948" s="172" t="s">
        <v>3</v>
      </c>
      <c r="W948" s="7" t="s">
        <v>0</v>
      </c>
      <c r="X948" s="136" t="s">
        <v>1</v>
      </c>
      <c r="Y948" s="137"/>
      <c r="Z948" s="138"/>
      <c r="AA948" s="101"/>
      <c r="AB948" s="136" t="s">
        <v>2</v>
      </c>
      <c r="AC948" s="137"/>
      <c r="AD948" s="138"/>
      <c r="AE948" s="102"/>
      <c r="AF948" s="103" t="s">
        <v>3</v>
      </c>
    </row>
    <row r="949" spans="1:33" ht="14.25" thickBot="1" x14ac:dyDescent="0.2">
      <c r="A949" s="7" t="s">
        <v>4</v>
      </c>
      <c r="B949" s="3" t="s">
        <v>5</v>
      </c>
      <c r="C949" s="4" t="s">
        <v>6</v>
      </c>
      <c r="D949" s="5" t="s">
        <v>7</v>
      </c>
      <c r="E949" s="7" t="s">
        <v>8</v>
      </c>
      <c r="F949" s="3" t="s">
        <v>5</v>
      </c>
      <c r="G949" s="4" t="s">
        <v>6</v>
      </c>
      <c r="H949" s="5" t="s">
        <v>7</v>
      </c>
      <c r="I949" s="7" t="s">
        <v>8</v>
      </c>
      <c r="J949" s="173"/>
      <c r="W949" s="7" t="s">
        <v>4</v>
      </c>
      <c r="X949" s="3" t="s">
        <v>5</v>
      </c>
      <c r="Y949" s="4" t="s">
        <v>6</v>
      </c>
      <c r="Z949" s="5" t="s">
        <v>7</v>
      </c>
      <c r="AA949" s="7" t="s">
        <v>8</v>
      </c>
      <c r="AB949" s="107" t="s">
        <v>5</v>
      </c>
      <c r="AC949" s="108" t="s">
        <v>6</v>
      </c>
      <c r="AD949" s="109" t="s">
        <v>7</v>
      </c>
      <c r="AE949" s="7" t="s">
        <v>8</v>
      </c>
      <c r="AF949" s="104"/>
    </row>
    <row r="950" spans="1:33" ht="14.25" thickBot="1" x14ac:dyDescent="0.2">
      <c r="A950" s="31" t="s">
        <v>14</v>
      </c>
      <c r="B950" s="32">
        <f>B944</f>
        <v>58</v>
      </c>
      <c r="C950" s="33">
        <f>C944</f>
        <v>20</v>
      </c>
      <c r="D950" s="34">
        <f>D944</f>
        <v>38</v>
      </c>
      <c r="E950" s="41">
        <f>SUM(B950:D950)</f>
        <v>116</v>
      </c>
      <c r="F950" s="32">
        <f>F944</f>
        <v>26</v>
      </c>
      <c r="G950" s="33">
        <f>G944</f>
        <v>4</v>
      </c>
      <c r="H950" s="34">
        <f>H944</f>
        <v>46</v>
      </c>
      <c r="I950" s="41">
        <f>SUM(F950:H950)</f>
        <v>76</v>
      </c>
      <c r="J950" s="41">
        <f>E950+I950</f>
        <v>192</v>
      </c>
      <c r="W950" s="31" t="s">
        <v>14</v>
      </c>
      <c r="X950" s="32">
        <f>X944</f>
        <v>436</v>
      </c>
      <c r="Y950" s="33">
        <f>Y944</f>
        <v>226</v>
      </c>
      <c r="Z950" s="33">
        <f>Z944</f>
        <v>563</v>
      </c>
      <c r="AA950" s="111">
        <f>SUM(X950:Z950)</f>
        <v>1225</v>
      </c>
      <c r="AB950" s="32">
        <f>AB944</f>
        <v>292</v>
      </c>
      <c r="AC950" s="33">
        <f>AC944</f>
        <v>221</v>
      </c>
      <c r="AD950" s="95">
        <f>AD944</f>
        <v>243</v>
      </c>
      <c r="AE950" s="46">
        <f>SUM(AB950:AD950)</f>
        <v>756</v>
      </c>
      <c r="AF950" s="35">
        <f>AA950+AE950</f>
        <v>1981</v>
      </c>
    </row>
    <row r="951" spans="1:33" x14ac:dyDescent="0.15">
      <c r="A951" s="28" t="s">
        <v>9</v>
      </c>
      <c r="B951" s="17"/>
      <c r="C951" s="18"/>
      <c r="D951" s="19"/>
      <c r="E951" s="20">
        <f t="shared" ref="E951:E958" si="408">SUM(B951:D951)</f>
        <v>0</v>
      </c>
      <c r="F951" s="21"/>
      <c r="G951" s="18">
        <v>50</v>
      </c>
      <c r="H951" s="19"/>
      <c r="I951" s="20">
        <f t="shared" ref="I951:I958" si="409">SUM(F951:H951)</f>
        <v>50</v>
      </c>
      <c r="J951" s="20">
        <f t="shared" ref="J951:J958" si="410">E951+I951</f>
        <v>50</v>
      </c>
      <c r="K951" s="65">
        <v>42692</v>
      </c>
      <c r="W951" s="28" t="s">
        <v>9</v>
      </c>
      <c r="X951" s="8"/>
      <c r="Y951" s="9"/>
      <c r="Z951" s="10"/>
      <c r="AA951" s="78">
        <f t="shared" ref="AA951:AA958" si="411">SUM(X951:Z951)</f>
        <v>0</v>
      </c>
      <c r="AB951" s="21"/>
      <c r="AC951" s="18"/>
      <c r="AD951" s="19"/>
      <c r="AE951" s="78">
        <f t="shared" ref="AE951:AE958" si="412">SUM(AB951:AD951)</f>
        <v>0</v>
      </c>
      <c r="AF951" s="78">
        <f t="shared" ref="AF951:AF958" si="413">AA951+AE951</f>
        <v>0</v>
      </c>
      <c r="AG951" s="71"/>
    </row>
    <row r="952" spans="1:33" x14ac:dyDescent="0.15">
      <c r="A952" s="28" t="s">
        <v>10</v>
      </c>
      <c r="B952" s="8"/>
      <c r="C952" s="9">
        <v>50</v>
      </c>
      <c r="D952" s="10"/>
      <c r="E952" s="11">
        <f t="shared" si="408"/>
        <v>50</v>
      </c>
      <c r="F952" s="12">
        <v>50</v>
      </c>
      <c r="G952" s="9"/>
      <c r="H952" s="10"/>
      <c r="I952" s="11">
        <f t="shared" si="409"/>
        <v>50</v>
      </c>
      <c r="J952" s="11">
        <f t="shared" si="410"/>
        <v>100</v>
      </c>
      <c r="K952" s="65">
        <v>42693</v>
      </c>
      <c r="W952" s="28" t="s">
        <v>492</v>
      </c>
      <c r="X952" s="8"/>
      <c r="Y952" s="9"/>
      <c r="Z952" s="10"/>
      <c r="AA952" s="11">
        <f t="shared" si="411"/>
        <v>0</v>
      </c>
      <c r="AB952" s="12"/>
      <c r="AC952" s="9"/>
      <c r="AD952" s="10"/>
      <c r="AE952" s="11">
        <f t="shared" si="412"/>
        <v>0</v>
      </c>
      <c r="AF952" s="11">
        <f t="shared" si="413"/>
        <v>0</v>
      </c>
      <c r="AG952" s="64"/>
    </row>
    <row r="953" spans="1:33" x14ac:dyDescent="0.15">
      <c r="A953" s="28" t="s">
        <v>59</v>
      </c>
      <c r="B953" s="8"/>
      <c r="C953" s="9">
        <v>2</v>
      </c>
      <c r="D953" s="10"/>
      <c r="E953" s="11">
        <f t="shared" si="408"/>
        <v>2</v>
      </c>
      <c r="F953" s="12"/>
      <c r="G953" s="9"/>
      <c r="H953" s="10"/>
      <c r="I953" s="11">
        <f t="shared" si="409"/>
        <v>0</v>
      </c>
      <c r="J953" s="11">
        <f t="shared" si="410"/>
        <v>2</v>
      </c>
      <c r="K953" s="71">
        <v>42695</v>
      </c>
      <c r="W953" s="28" t="s">
        <v>11</v>
      </c>
      <c r="X953" s="8"/>
      <c r="Y953" s="9"/>
      <c r="Z953" s="10"/>
      <c r="AA953" s="11">
        <f t="shared" si="411"/>
        <v>0</v>
      </c>
      <c r="AB953" s="12"/>
      <c r="AC953" s="9"/>
      <c r="AD953" s="10"/>
      <c r="AE953" s="11">
        <f t="shared" si="412"/>
        <v>0</v>
      </c>
      <c r="AF953" s="11">
        <f t="shared" si="413"/>
        <v>0</v>
      </c>
    </row>
    <row r="954" spans="1:33" x14ac:dyDescent="0.15">
      <c r="A954" s="28" t="s">
        <v>12</v>
      </c>
      <c r="B954" s="8"/>
      <c r="C954" s="9"/>
      <c r="D954" s="10"/>
      <c r="E954" s="11">
        <f t="shared" si="408"/>
        <v>0</v>
      </c>
      <c r="F954" s="12"/>
      <c r="G954" s="9">
        <v>50</v>
      </c>
      <c r="H954" s="10"/>
      <c r="I954" s="11">
        <f t="shared" si="409"/>
        <v>50</v>
      </c>
      <c r="J954" s="11">
        <f t="shared" si="410"/>
        <v>50</v>
      </c>
      <c r="K954" s="65">
        <v>42703</v>
      </c>
      <c r="W954" s="28" t="s">
        <v>12</v>
      </c>
      <c r="X954" s="8"/>
      <c r="Y954" s="9"/>
      <c r="Z954" s="10"/>
      <c r="AA954" s="11">
        <f t="shared" si="411"/>
        <v>0</v>
      </c>
      <c r="AB954" s="12"/>
      <c r="AC954" s="9"/>
      <c r="AD954" s="10"/>
      <c r="AE954" s="11">
        <f t="shared" si="412"/>
        <v>0</v>
      </c>
      <c r="AF954" s="11">
        <f t="shared" si="413"/>
        <v>0</v>
      </c>
    </row>
    <row r="955" spans="1:33" x14ac:dyDescent="0.15">
      <c r="A955" s="28" t="s">
        <v>516</v>
      </c>
      <c r="B955" s="8">
        <v>3</v>
      </c>
      <c r="C955" s="9"/>
      <c r="D955" s="10"/>
      <c r="E955" s="11">
        <f t="shared" si="408"/>
        <v>3</v>
      </c>
      <c r="F955" s="12"/>
      <c r="G955" s="9"/>
      <c r="H955" s="10"/>
      <c r="I955" s="11">
        <f t="shared" si="409"/>
        <v>0</v>
      </c>
      <c r="J955" s="11">
        <f t="shared" si="410"/>
        <v>3</v>
      </c>
      <c r="K955" s="71">
        <v>42700</v>
      </c>
      <c r="W955" s="28" t="s">
        <v>15</v>
      </c>
      <c r="X955" s="8"/>
      <c r="Y955" s="9"/>
      <c r="Z955" s="10"/>
      <c r="AA955" s="11">
        <f t="shared" si="411"/>
        <v>0</v>
      </c>
      <c r="AB955" s="12"/>
      <c r="AC955" s="9"/>
      <c r="AD955" s="10"/>
      <c r="AE955" s="11">
        <f t="shared" si="412"/>
        <v>0</v>
      </c>
      <c r="AF955" s="11">
        <f t="shared" si="413"/>
        <v>0</v>
      </c>
    </row>
    <row r="956" spans="1:33" x14ac:dyDescent="0.15">
      <c r="A956" s="28" t="s">
        <v>59</v>
      </c>
      <c r="B956" s="8"/>
      <c r="C956" s="9"/>
      <c r="D956" s="10">
        <v>1</v>
      </c>
      <c r="E956" s="11">
        <f t="shared" si="408"/>
        <v>1</v>
      </c>
      <c r="F956" s="12">
        <v>1</v>
      </c>
      <c r="G956" s="9"/>
      <c r="H956" s="10"/>
      <c r="I956" s="11">
        <f t="shared" si="409"/>
        <v>1</v>
      </c>
      <c r="J956" s="11">
        <f t="shared" si="410"/>
        <v>2</v>
      </c>
      <c r="K956" s="71">
        <v>42704</v>
      </c>
      <c r="W956" s="28" t="s">
        <v>16</v>
      </c>
      <c r="X956" s="8"/>
      <c r="Y956" s="9"/>
      <c r="Z956" s="10"/>
      <c r="AA956" s="11">
        <f t="shared" si="411"/>
        <v>0</v>
      </c>
      <c r="AB956" s="12"/>
      <c r="AC956" s="9"/>
      <c r="AD956" s="10"/>
      <c r="AE956" s="11">
        <f t="shared" si="412"/>
        <v>0</v>
      </c>
      <c r="AF956" s="11">
        <f t="shared" si="413"/>
        <v>0</v>
      </c>
    </row>
    <row r="957" spans="1:33" ht="14.25" thickBot="1" x14ac:dyDescent="0.2">
      <c r="A957" s="28" t="s">
        <v>182</v>
      </c>
      <c r="B957" s="8"/>
      <c r="C957" s="9">
        <v>50</v>
      </c>
      <c r="D957" s="10"/>
      <c r="E957" s="22">
        <f>SUM(B957:D957)</f>
        <v>50</v>
      </c>
      <c r="F957" s="12"/>
      <c r="G957" s="9"/>
      <c r="H957" s="10"/>
      <c r="I957" s="11">
        <f>SUM(F957:H957)</f>
        <v>0</v>
      </c>
      <c r="J957" s="11">
        <f>E957+I957</f>
        <v>50</v>
      </c>
      <c r="K957" s="65">
        <v>42710</v>
      </c>
      <c r="W957" s="28" t="s">
        <v>17</v>
      </c>
      <c r="X957" s="13"/>
      <c r="Y957" s="14"/>
      <c r="Z957" s="15"/>
      <c r="AA957" s="11">
        <f t="shared" si="411"/>
        <v>0</v>
      </c>
      <c r="AB957" s="16"/>
      <c r="AC957" s="14"/>
      <c r="AD957" s="15"/>
      <c r="AE957" s="11">
        <f t="shared" si="412"/>
        <v>0</v>
      </c>
      <c r="AF957" s="11">
        <f t="shared" si="413"/>
        <v>0</v>
      </c>
      <c r="AG957" s="65"/>
    </row>
    <row r="958" spans="1:33" ht="14.25" thickBot="1" x14ac:dyDescent="0.2">
      <c r="A958" s="28" t="s">
        <v>182</v>
      </c>
      <c r="B958" s="8">
        <v>50</v>
      </c>
      <c r="C958" s="9"/>
      <c r="D958" s="10"/>
      <c r="E958" s="22">
        <f t="shared" si="408"/>
        <v>50</v>
      </c>
      <c r="F958" s="12"/>
      <c r="G958" s="9">
        <v>50</v>
      </c>
      <c r="H958" s="10"/>
      <c r="I958" s="130">
        <f t="shared" si="409"/>
        <v>50</v>
      </c>
      <c r="J958" s="130">
        <f t="shared" si="410"/>
        <v>100</v>
      </c>
      <c r="K958" s="65">
        <v>42717</v>
      </c>
      <c r="W958" s="28" t="s">
        <v>18</v>
      </c>
      <c r="X958" s="36"/>
      <c r="Y958" s="37"/>
      <c r="Z958" s="40"/>
      <c r="AA958" s="22">
        <f t="shared" si="411"/>
        <v>0</v>
      </c>
      <c r="AB958" s="38"/>
      <c r="AC958" s="38"/>
      <c r="AD958" s="43"/>
      <c r="AE958" s="22">
        <f t="shared" si="412"/>
        <v>0</v>
      </c>
      <c r="AF958" s="22">
        <f t="shared" si="413"/>
        <v>0</v>
      </c>
      <c r="AG958" s="64"/>
    </row>
    <row r="959" spans="1:33" ht="14.25" thickBot="1" x14ac:dyDescent="0.2">
      <c r="A959" s="39" t="s">
        <v>20</v>
      </c>
      <c r="B959" s="32">
        <f t="shared" ref="B959:J959" si="414">SUM(B950:B958)</f>
        <v>111</v>
      </c>
      <c r="C959" s="33">
        <f t="shared" si="414"/>
        <v>122</v>
      </c>
      <c r="D959" s="34">
        <f t="shared" si="414"/>
        <v>39</v>
      </c>
      <c r="E959" s="42">
        <f t="shared" si="414"/>
        <v>272</v>
      </c>
      <c r="F959" s="32">
        <f t="shared" si="414"/>
        <v>77</v>
      </c>
      <c r="G959" s="33">
        <f t="shared" si="414"/>
        <v>154</v>
      </c>
      <c r="H959" s="34">
        <f t="shared" si="414"/>
        <v>46</v>
      </c>
      <c r="I959" s="42">
        <f t="shared" si="414"/>
        <v>277</v>
      </c>
      <c r="J959" s="42">
        <f t="shared" si="414"/>
        <v>549</v>
      </c>
      <c r="W959" s="39" t="s">
        <v>20</v>
      </c>
      <c r="X959" s="32">
        <f t="shared" ref="X959:AF959" si="415">SUM(X950:X958)</f>
        <v>436</v>
      </c>
      <c r="Y959" s="33">
        <f t="shared" si="415"/>
        <v>226</v>
      </c>
      <c r="Z959" s="34">
        <f t="shared" si="415"/>
        <v>563</v>
      </c>
      <c r="AA959" s="42">
        <f t="shared" si="415"/>
        <v>1225</v>
      </c>
      <c r="AB959" s="32">
        <f t="shared" si="415"/>
        <v>292</v>
      </c>
      <c r="AC959" s="33">
        <f t="shared" si="415"/>
        <v>221</v>
      </c>
      <c r="AD959" s="34">
        <f t="shared" si="415"/>
        <v>243</v>
      </c>
      <c r="AE959" s="42">
        <f t="shared" si="415"/>
        <v>756</v>
      </c>
      <c r="AF959" s="42">
        <f t="shared" si="415"/>
        <v>1981</v>
      </c>
    </row>
    <row r="960" spans="1:33" x14ac:dyDescent="0.15">
      <c r="A960" s="27" t="s">
        <v>512</v>
      </c>
      <c r="B960" s="8"/>
      <c r="C960" s="9"/>
      <c r="D960" s="10">
        <v>1</v>
      </c>
      <c r="E960" s="11">
        <f>SUM(B960:D960)</f>
        <v>1</v>
      </c>
      <c r="F960" s="12"/>
      <c r="G960" s="9"/>
      <c r="H960" s="10"/>
      <c r="I960" s="11">
        <f>SUM(F960:H960)</f>
        <v>0</v>
      </c>
      <c r="J960" s="11">
        <f>E960+I960</f>
        <v>1</v>
      </c>
      <c r="K960" s="65">
        <v>42693</v>
      </c>
      <c r="W960" s="29" t="s">
        <v>41</v>
      </c>
      <c r="X960" s="8"/>
      <c r="Y960" s="9"/>
      <c r="Z960" s="10"/>
      <c r="AA960" s="11">
        <f>SUM(X960:Z960)</f>
        <v>0</v>
      </c>
      <c r="AB960" s="12"/>
      <c r="AC960" s="9">
        <v>50</v>
      </c>
      <c r="AD960" s="10"/>
      <c r="AE960" s="11">
        <f>SUM(AB960:AD960)</f>
        <v>50</v>
      </c>
      <c r="AF960" s="11">
        <f>AA960+AE960</f>
        <v>50</v>
      </c>
      <c r="AG960" s="65">
        <v>42692</v>
      </c>
    </row>
    <row r="961" spans="1:33" x14ac:dyDescent="0.15">
      <c r="A961" s="27" t="s">
        <v>386</v>
      </c>
      <c r="B961" s="8">
        <v>30</v>
      </c>
      <c r="C961" s="9">
        <v>15</v>
      </c>
      <c r="D961" s="10">
        <v>10</v>
      </c>
      <c r="E961" s="11">
        <f>SUM(B961:D961)</f>
        <v>55</v>
      </c>
      <c r="F961" s="12">
        <v>10</v>
      </c>
      <c r="G961" s="9">
        <v>15</v>
      </c>
      <c r="H961" s="10">
        <v>11</v>
      </c>
      <c r="I961" s="11">
        <f>SUM(F961:H961)</f>
        <v>36</v>
      </c>
      <c r="J961" s="11">
        <f>E961+I961</f>
        <v>91</v>
      </c>
      <c r="K961" s="65">
        <v>42693</v>
      </c>
      <c r="W961" s="28" t="s">
        <v>182</v>
      </c>
      <c r="X961" s="8"/>
      <c r="Y961" s="9">
        <v>50</v>
      </c>
      <c r="Z961" s="10"/>
      <c r="AA961" s="11">
        <f>SUM(X961:Z961)</f>
        <v>50</v>
      </c>
      <c r="AB961" s="12">
        <v>50</v>
      </c>
      <c r="AC961" s="9"/>
      <c r="AD961" s="10"/>
      <c r="AE961" s="11">
        <f>SUM(AB961:AD961)</f>
        <v>50</v>
      </c>
      <c r="AF961" s="11">
        <f>AA961+AE961</f>
        <v>100</v>
      </c>
      <c r="AG961" s="65">
        <v>42693</v>
      </c>
    </row>
    <row r="962" spans="1:33" x14ac:dyDescent="0.15">
      <c r="A962" s="27" t="s">
        <v>513</v>
      </c>
      <c r="B962" s="8"/>
      <c r="C962" s="9"/>
      <c r="D962" s="10"/>
      <c r="E962" s="11">
        <f t="shared" ref="E962:E985" si="416">SUM(B962:D962)</f>
        <v>0</v>
      </c>
      <c r="F962" s="12"/>
      <c r="G962" s="9">
        <v>1</v>
      </c>
      <c r="H962" s="10"/>
      <c r="I962" s="11">
        <f t="shared" ref="I962:I985" si="417">SUM(F962:H962)</f>
        <v>1</v>
      </c>
      <c r="J962" s="11">
        <f t="shared" ref="J962:J985" si="418">E962+I962</f>
        <v>1</v>
      </c>
      <c r="K962" s="65">
        <v>42692</v>
      </c>
      <c r="W962" s="27" t="s">
        <v>514</v>
      </c>
      <c r="X962" s="8">
        <v>64</v>
      </c>
      <c r="Y962" s="9">
        <v>61</v>
      </c>
      <c r="Z962" s="10">
        <v>40</v>
      </c>
      <c r="AA962" s="11">
        <f t="shared" ref="AA962:AA985" si="419">SUM(X962:Z962)</f>
        <v>165</v>
      </c>
      <c r="AB962" s="12">
        <v>33</v>
      </c>
      <c r="AC962" s="9">
        <v>36</v>
      </c>
      <c r="AD962" s="10">
        <v>20</v>
      </c>
      <c r="AE962" s="11">
        <f t="shared" ref="AE962:AE985" si="420">SUM(AB962:AD962)</f>
        <v>89</v>
      </c>
      <c r="AF962" s="11">
        <f t="shared" ref="AF962:AF985" si="421">AA962+AE962</f>
        <v>254</v>
      </c>
      <c r="AG962" s="65">
        <v>42695</v>
      </c>
    </row>
    <row r="963" spans="1:33" x14ac:dyDescent="0.15">
      <c r="A963" s="27" t="s">
        <v>518</v>
      </c>
      <c r="B963" s="8"/>
      <c r="C963" s="9">
        <v>3</v>
      </c>
      <c r="D963" s="10"/>
      <c r="E963" s="11">
        <f t="shared" si="416"/>
        <v>3</v>
      </c>
      <c r="F963" s="12"/>
      <c r="G963" s="9">
        <v>3</v>
      </c>
      <c r="H963" s="10"/>
      <c r="I963" s="11">
        <f t="shared" si="417"/>
        <v>3</v>
      </c>
      <c r="J963" s="11">
        <f t="shared" si="418"/>
        <v>6</v>
      </c>
      <c r="K963" s="65">
        <v>42693</v>
      </c>
      <c r="W963" s="28" t="s">
        <v>182</v>
      </c>
      <c r="X963" s="8"/>
      <c r="Y963" s="9"/>
      <c r="Z963" s="10"/>
      <c r="AA963" s="11">
        <f t="shared" si="419"/>
        <v>0</v>
      </c>
      <c r="AB963" s="12"/>
      <c r="AC963" s="9">
        <v>50</v>
      </c>
      <c r="AD963" s="10"/>
      <c r="AE963" s="11">
        <f t="shared" si="420"/>
        <v>50</v>
      </c>
      <c r="AF963" s="11">
        <f t="shared" si="421"/>
        <v>50</v>
      </c>
      <c r="AG963" s="65">
        <v>42703</v>
      </c>
    </row>
    <row r="964" spans="1:33" x14ac:dyDescent="0.15">
      <c r="A964" s="27" t="s">
        <v>512</v>
      </c>
      <c r="B964" s="8"/>
      <c r="C964" s="9"/>
      <c r="D964" s="10">
        <v>1</v>
      </c>
      <c r="E964" s="11">
        <f t="shared" si="416"/>
        <v>1</v>
      </c>
      <c r="F964" s="12"/>
      <c r="G964" s="9"/>
      <c r="H964" s="10"/>
      <c r="I964" s="11">
        <f t="shared" si="417"/>
        <v>0</v>
      </c>
      <c r="J964" s="11">
        <f t="shared" si="418"/>
        <v>1</v>
      </c>
      <c r="K964" s="65">
        <v>42696</v>
      </c>
      <c r="W964" s="28" t="s">
        <v>182</v>
      </c>
      <c r="X964" s="8"/>
      <c r="Y964" s="9">
        <v>50</v>
      </c>
      <c r="Z964" s="10"/>
      <c r="AA964" s="11">
        <f t="shared" si="419"/>
        <v>50</v>
      </c>
      <c r="AB964" s="12"/>
      <c r="AC964" s="9"/>
      <c r="AD964" s="10"/>
      <c r="AE964" s="11">
        <f t="shared" si="420"/>
        <v>0</v>
      </c>
      <c r="AF964" s="11">
        <f t="shared" si="421"/>
        <v>50</v>
      </c>
      <c r="AG964" s="65">
        <v>42710</v>
      </c>
    </row>
    <row r="965" spans="1:33" x14ac:dyDescent="0.15">
      <c r="A965" s="29" t="s">
        <v>35</v>
      </c>
      <c r="B965" s="8"/>
      <c r="C965" s="9"/>
      <c r="D965" s="10"/>
      <c r="E965" s="11">
        <f t="shared" si="416"/>
        <v>0</v>
      </c>
      <c r="F965" s="12">
        <v>5</v>
      </c>
      <c r="G965" s="9"/>
      <c r="H965" s="10"/>
      <c r="I965" s="11">
        <f t="shared" si="417"/>
        <v>5</v>
      </c>
      <c r="J965" s="11">
        <f t="shared" si="418"/>
        <v>5</v>
      </c>
      <c r="K965" s="65">
        <v>42702</v>
      </c>
      <c r="W965" s="125" t="s">
        <v>182</v>
      </c>
      <c r="X965" s="72"/>
      <c r="Y965" s="73"/>
      <c r="Z965" s="74">
        <v>50</v>
      </c>
      <c r="AA965" s="75">
        <f t="shared" si="419"/>
        <v>50</v>
      </c>
      <c r="AB965" s="76"/>
      <c r="AC965" s="73"/>
      <c r="AD965" s="74"/>
      <c r="AE965" s="75">
        <f t="shared" si="420"/>
        <v>0</v>
      </c>
      <c r="AF965" s="75">
        <f t="shared" si="421"/>
        <v>50</v>
      </c>
      <c r="AG965" s="77">
        <v>42713</v>
      </c>
    </row>
    <row r="966" spans="1:33" x14ac:dyDescent="0.15">
      <c r="A966" s="27" t="s">
        <v>515</v>
      </c>
      <c r="B966" s="8">
        <v>1</v>
      </c>
      <c r="C966" s="9">
        <v>1</v>
      </c>
      <c r="D966" s="10">
        <v>1</v>
      </c>
      <c r="E966" s="11">
        <f t="shared" si="416"/>
        <v>3</v>
      </c>
      <c r="F966" s="12">
        <v>1</v>
      </c>
      <c r="G966" s="9">
        <v>1</v>
      </c>
      <c r="H966" s="10">
        <v>1</v>
      </c>
      <c r="I966" s="11">
        <f t="shared" si="417"/>
        <v>3</v>
      </c>
      <c r="J966" s="11">
        <f t="shared" si="418"/>
        <v>6</v>
      </c>
      <c r="K966" s="65">
        <v>42703</v>
      </c>
      <c r="W966" s="28" t="s">
        <v>182</v>
      </c>
      <c r="X966" s="8">
        <v>50</v>
      </c>
      <c r="Y966" s="9"/>
      <c r="Z966" s="10"/>
      <c r="AA966" s="11">
        <f t="shared" si="419"/>
        <v>50</v>
      </c>
      <c r="AB966" s="12"/>
      <c r="AC966" s="9">
        <v>50</v>
      </c>
      <c r="AD966" s="10"/>
      <c r="AE966" s="11">
        <f t="shared" si="420"/>
        <v>50</v>
      </c>
      <c r="AF966" s="11">
        <f t="shared" si="421"/>
        <v>100</v>
      </c>
      <c r="AG966" s="65">
        <v>42717</v>
      </c>
    </row>
    <row r="967" spans="1:33" x14ac:dyDescent="0.15">
      <c r="A967" s="27" t="s">
        <v>354</v>
      </c>
      <c r="B967" s="8"/>
      <c r="C967" s="9"/>
      <c r="D967" s="10"/>
      <c r="E967" s="11">
        <f t="shared" si="416"/>
        <v>0</v>
      </c>
      <c r="F967" s="12">
        <v>20</v>
      </c>
      <c r="G967" s="9">
        <v>25</v>
      </c>
      <c r="H967" s="10"/>
      <c r="I967" s="11">
        <f t="shared" si="417"/>
        <v>45</v>
      </c>
      <c r="J967" s="11">
        <f t="shared" si="418"/>
        <v>45</v>
      </c>
      <c r="K967" s="65">
        <v>42710</v>
      </c>
      <c r="W967" s="29" t="s">
        <v>41</v>
      </c>
      <c r="X967" s="8"/>
      <c r="Y967" s="9">
        <v>50</v>
      </c>
      <c r="Z967" s="10"/>
      <c r="AA967" s="11">
        <f t="shared" si="419"/>
        <v>50</v>
      </c>
      <c r="AB967" s="12"/>
      <c r="AC967" s="9"/>
      <c r="AD967" s="10">
        <v>50</v>
      </c>
      <c r="AE967" s="11">
        <f t="shared" si="420"/>
        <v>50</v>
      </c>
      <c r="AF967" s="11">
        <f t="shared" si="421"/>
        <v>100</v>
      </c>
      <c r="AG967" s="65">
        <v>42718</v>
      </c>
    </row>
    <row r="968" spans="1:33" x14ac:dyDescent="0.15">
      <c r="A968" s="29" t="s">
        <v>517</v>
      </c>
      <c r="B968" s="13"/>
      <c r="C968" s="14">
        <v>30</v>
      </c>
      <c r="D968" s="15"/>
      <c r="E968" s="11">
        <f t="shared" si="416"/>
        <v>30</v>
      </c>
      <c r="F968" s="16"/>
      <c r="G968" s="14"/>
      <c r="H968" s="15"/>
      <c r="I968" s="11">
        <f t="shared" si="417"/>
        <v>0</v>
      </c>
      <c r="J968" s="11">
        <f t="shared" si="418"/>
        <v>30</v>
      </c>
      <c r="K968" s="65">
        <v>42705</v>
      </c>
      <c r="W968" s="29" t="s">
        <v>41</v>
      </c>
      <c r="X968" s="8">
        <v>50</v>
      </c>
      <c r="Y968" s="9">
        <v>15</v>
      </c>
      <c r="Z968" s="10"/>
      <c r="AA968" s="11">
        <f t="shared" si="419"/>
        <v>65</v>
      </c>
      <c r="AB968" s="12">
        <v>50</v>
      </c>
      <c r="AC968" s="9"/>
      <c r="AD968" s="10"/>
      <c r="AE968" s="11">
        <f t="shared" si="420"/>
        <v>50</v>
      </c>
      <c r="AF968" s="11">
        <f t="shared" si="421"/>
        <v>115</v>
      </c>
      <c r="AG968" s="65">
        <v>42719</v>
      </c>
    </row>
    <row r="969" spans="1:33" x14ac:dyDescent="0.15">
      <c r="A969" s="27" t="s">
        <v>386</v>
      </c>
      <c r="B969" s="8"/>
      <c r="C969" s="9"/>
      <c r="D969" s="10"/>
      <c r="E969" s="11">
        <f>SUM(B969:D969)</f>
        <v>0</v>
      </c>
      <c r="F969" s="12"/>
      <c r="G969" s="9">
        <v>10</v>
      </c>
      <c r="H969" s="10"/>
      <c r="I969" s="11">
        <f>SUM(F969:H969)</f>
        <v>10</v>
      </c>
      <c r="J969" s="11">
        <f>E969+I969</f>
        <v>10</v>
      </c>
      <c r="K969" s="65">
        <v>42705</v>
      </c>
      <c r="L969" s="64"/>
      <c r="W969" s="29" t="s">
        <v>41</v>
      </c>
      <c r="X969" s="13"/>
      <c r="Y969" s="14">
        <v>50</v>
      </c>
      <c r="Z969" s="15">
        <v>50</v>
      </c>
      <c r="AA969" s="11">
        <f t="shared" si="419"/>
        <v>100</v>
      </c>
      <c r="AB969" s="16"/>
      <c r="AC969" s="14">
        <v>35</v>
      </c>
      <c r="AD969" s="15">
        <v>50</v>
      </c>
      <c r="AE969" s="11">
        <f t="shared" si="420"/>
        <v>85</v>
      </c>
      <c r="AF969" s="11">
        <f t="shared" si="421"/>
        <v>185</v>
      </c>
      <c r="AG969" s="65">
        <v>42721</v>
      </c>
    </row>
    <row r="970" spans="1:33" x14ac:dyDescent="0.15">
      <c r="A970" s="29" t="s">
        <v>32</v>
      </c>
      <c r="B970" s="8"/>
      <c r="C970" s="9">
        <v>3</v>
      </c>
      <c r="D970" s="10"/>
      <c r="E970" s="11">
        <f>SUM(B970:D970)</f>
        <v>3</v>
      </c>
      <c r="F970" s="12"/>
      <c r="G970" s="9"/>
      <c r="H970" s="10"/>
      <c r="I970" s="11">
        <f>SUM(F970:H970)</f>
        <v>0</v>
      </c>
      <c r="J970" s="11">
        <f>E970+I970</f>
        <v>3</v>
      </c>
      <c r="K970" s="71">
        <v>42705</v>
      </c>
      <c r="W970" s="29"/>
      <c r="X970" s="8"/>
      <c r="Y970" s="9"/>
      <c r="Z970" s="10"/>
      <c r="AA970" s="11">
        <f t="shared" si="419"/>
        <v>0</v>
      </c>
      <c r="AB970" s="12"/>
      <c r="AC970" s="9"/>
      <c r="AD970" s="10"/>
      <c r="AE970" s="11">
        <f t="shared" si="420"/>
        <v>0</v>
      </c>
      <c r="AF970" s="11">
        <f t="shared" si="421"/>
        <v>0</v>
      </c>
    </row>
    <row r="971" spans="1:33" x14ac:dyDescent="0.15">
      <c r="A971" s="29" t="s">
        <v>519</v>
      </c>
      <c r="B971" s="8"/>
      <c r="C971" s="9"/>
      <c r="D971" s="10"/>
      <c r="E971" s="11">
        <f t="shared" si="416"/>
        <v>0</v>
      </c>
      <c r="F971" s="12">
        <v>12</v>
      </c>
      <c r="G971" s="9">
        <v>12</v>
      </c>
      <c r="H971" s="10"/>
      <c r="I971" s="11">
        <f t="shared" si="417"/>
        <v>24</v>
      </c>
      <c r="J971" s="11">
        <f t="shared" si="418"/>
        <v>24</v>
      </c>
      <c r="K971" s="65">
        <v>42707</v>
      </c>
      <c r="W971" s="29"/>
      <c r="X971" s="8"/>
      <c r="Y971" s="9"/>
      <c r="Z971" s="10"/>
      <c r="AA971" s="11">
        <f t="shared" si="419"/>
        <v>0</v>
      </c>
      <c r="AB971" s="12"/>
      <c r="AC971" s="9"/>
      <c r="AD971" s="10"/>
      <c r="AE971" s="11">
        <f t="shared" si="420"/>
        <v>0</v>
      </c>
      <c r="AF971" s="11">
        <f t="shared" si="421"/>
        <v>0</v>
      </c>
    </row>
    <row r="972" spans="1:33" x14ac:dyDescent="0.15">
      <c r="A972" s="29" t="s">
        <v>386</v>
      </c>
      <c r="B972" s="8"/>
      <c r="C972" s="9">
        <v>16</v>
      </c>
      <c r="D972" s="10">
        <v>5</v>
      </c>
      <c r="E972" s="11">
        <f t="shared" si="416"/>
        <v>21</v>
      </c>
      <c r="F972" s="12"/>
      <c r="G972" s="9">
        <v>5</v>
      </c>
      <c r="H972" s="10">
        <v>3</v>
      </c>
      <c r="I972" s="11">
        <f t="shared" si="417"/>
        <v>8</v>
      </c>
      <c r="J972" s="11">
        <f t="shared" si="418"/>
        <v>29</v>
      </c>
      <c r="K972" s="65">
        <v>42710</v>
      </c>
      <c r="W972" s="27"/>
      <c r="X972" s="8"/>
      <c r="Y972" s="9"/>
      <c r="Z972" s="10"/>
      <c r="AA972" s="11">
        <f t="shared" si="419"/>
        <v>0</v>
      </c>
      <c r="AB972" s="12"/>
      <c r="AC972" s="9"/>
      <c r="AD972" s="10"/>
      <c r="AE972" s="11">
        <f t="shared" si="420"/>
        <v>0</v>
      </c>
      <c r="AF972" s="11">
        <f t="shared" si="421"/>
        <v>0</v>
      </c>
    </row>
    <row r="973" spans="1:33" x14ac:dyDescent="0.15">
      <c r="A973" s="27" t="s">
        <v>520</v>
      </c>
      <c r="B973" s="8"/>
      <c r="C973" s="9"/>
      <c r="D973" s="10"/>
      <c r="E973" s="11">
        <f t="shared" si="416"/>
        <v>0</v>
      </c>
      <c r="F973" s="12"/>
      <c r="G973" s="9"/>
      <c r="H973" s="10">
        <v>1</v>
      </c>
      <c r="I973" s="11">
        <f t="shared" si="417"/>
        <v>1</v>
      </c>
      <c r="J973" s="11">
        <f t="shared" si="418"/>
        <v>1</v>
      </c>
      <c r="K973" s="71">
        <v>42711</v>
      </c>
      <c r="W973" s="29"/>
      <c r="X973" s="8"/>
      <c r="Y973" s="9"/>
      <c r="Z973" s="10"/>
      <c r="AA973" s="11">
        <f t="shared" si="419"/>
        <v>0</v>
      </c>
      <c r="AB973" s="12"/>
      <c r="AC973" s="9"/>
      <c r="AD973" s="10"/>
      <c r="AE973" s="11">
        <f t="shared" si="420"/>
        <v>0</v>
      </c>
      <c r="AF973" s="11">
        <f t="shared" si="421"/>
        <v>0</v>
      </c>
    </row>
    <row r="974" spans="1:33" x14ac:dyDescent="0.15">
      <c r="A974" s="27" t="s">
        <v>67</v>
      </c>
      <c r="B974" s="8"/>
      <c r="C974" s="9"/>
      <c r="D974" s="10"/>
      <c r="E974" s="11">
        <f t="shared" si="416"/>
        <v>0</v>
      </c>
      <c r="F974" s="12"/>
      <c r="G974" s="9"/>
      <c r="H974" s="10">
        <v>1</v>
      </c>
      <c r="I974" s="11">
        <f t="shared" si="417"/>
        <v>1</v>
      </c>
      <c r="J974" s="11">
        <f t="shared" si="418"/>
        <v>1</v>
      </c>
      <c r="K974" s="71">
        <v>42710</v>
      </c>
      <c r="W974" s="29"/>
      <c r="X974" s="8"/>
      <c r="Y974" s="9"/>
      <c r="Z974" s="10"/>
      <c r="AA974" s="11">
        <f t="shared" si="419"/>
        <v>0</v>
      </c>
      <c r="AB974" s="12"/>
      <c r="AC974" s="9"/>
      <c r="AD974" s="10"/>
      <c r="AE974" s="11">
        <f t="shared" si="420"/>
        <v>0</v>
      </c>
      <c r="AF974" s="11">
        <f t="shared" si="421"/>
        <v>0</v>
      </c>
    </row>
    <row r="975" spans="1:33" x14ac:dyDescent="0.15">
      <c r="A975" s="27" t="s">
        <v>523</v>
      </c>
      <c r="B975" s="8">
        <v>2</v>
      </c>
      <c r="C975" s="9">
        <v>20</v>
      </c>
      <c r="D975" s="10">
        <v>3</v>
      </c>
      <c r="E975" s="11">
        <f t="shared" si="416"/>
        <v>25</v>
      </c>
      <c r="F975" s="12"/>
      <c r="G975" s="9"/>
      <c r="H975" s="10"/>
      <c r="I975" s="11">
        <f t="shared" si="417"/>
        <v>0</v>
      </c>
      <c r="J975" s="11">
        <f t="shared" si="418"/>
        <v>25</v>
      </c>
      <c r="K975" s="65">
        <v>42712</v>
      </c>
      <c r="W975" s="27"/>
      <c r="X975" s="8"/>
      <c r="Y975" s="9"/>
      <c r="Z975" s="10"/>
      <c r="AA975" s="11">
        <f t="shared" si="419"/>
        <v>0</v>
      </c>
      <c r="AB975" s="12"/>
      <c r="AC975" s="9"/>
      <c r="AD975" s="10"/>
      <c r="AE975" s="11">
        <f t="shared" si="420"/>
        <v>0</v>
      </c>
      <c r="AF975" s="11">
        <f t="shared" si="421"/>
        <v>0</v>
      </c>
    </row>
    <row r="976" spans="1:33" x14ac:dyDescent="0.15">
      <c r="A976" s="29" t="s">
        <v>521</v>
      </c>
      <c r="B976" s="8"/>
      <c r="C976" s="9"/>
      <c r="D976" s="10"/>
      <c r="E976" s="11">
        <f t="shared" si="416"/>
        <v>0</v>
      </c>
      <c r="F976" s="12">
        <v>1</v>
      </c>
      <c r="G976" s="9"/>
      <c r="H976" s="10"/>
      <c r="I976" s="11">
        <f t="shared" si="417"/>
        <v>1</v>
      </c>
      <c r="J976" s="11">
        <f t="shared" si="418"/>
        <v>1</v>
      </c>
      <c r="K976" s="71">
        <v>42711</v>
      </c>
      <c r="W976" s="29"/>
      <c r="X976" s="8"/>
      <c r="Y976" s="9"/>
      <c r="Z976" s="10"/>
      <c r="AA976" s="11">
        <f t="shared" si="419"/>
        <v>0</v>
      </c>
      <c r="AB976" s="12"/>
      <c r="AC976" s="9"/>
      <c r="AD976" s="10"/>
      <c r="AE976" s="11">
        <f t="shared" si="420"/>
        <v>0</v>
      </c>
      <c r="AF976" s="11">
        <f t="shared" si="421"/>
        <v>0</v>
      </c>
    </row>
    <row r="977" spans="1:33" x14ac:dyDescent="0.15">
      <c r="A977" s="27" t="s">
        <v>522</v>
      </c>
      <c r="B977" s="8">
        <v>-6</v>
      </c>
      <c r="C977" s="9">
        <v>-3</v>
      </c>
      <c r="D977" s="10"/>
      <c r="E977" s="11">
        <f t="shared" si="416"/>
        <v>-9</v>
      </c>
      <c r="F977" s="12">
        <v>-9</v>
      </c>
      <c r="G977" s="9"/>
      <c r="H977" s="10"/>
      <c r="I977" s="11">
        <f t="shared" si="417"/>
        <v>-9</v>
      </c>
      <c r="J977" s="11">
        <f t="shared" si="418"/>
        <v>-18</v>
      </c>
      <c r="K977" s="71">
        <v>42711</v>
      </c>
      <c r="W977" s="27"/>
      <c r="X977" s="8"/>
      <c r="Y977" s="9"/>
      <c r="Z977" s="10"/>
      <c r="AA977" s="11">
        <f t="shared" si="419"/>
        <v>0</v>
      </c>
      <c r="AB977" s="12"/>
      <c r="AC977" s="9"/>
      <c r="AD977" s="10"/>
      <c r="AE977" s="11">
        <f t="shared" si="420"/>
        <v>0</v>
      </c>
      <c r="AF977" s="11">
        <f t="shared" si="421"/>
        <v>0</v>
      </c>
    </row>
    <row r="978" spans="1:33" x14ac:dyDescent="0.15">
      <c r="A978" s="26" t="s">
        <v>526</v>
      </c>
      <c r="B978" s="8"/>
      <c r="C978" s="9"/>
      <c r="D978" s="10"/>
      <c r="E978" s="11">
        <f t="shared" si="416"/>
        <v>0</v>
      </c>
      <c r="F978" s="12"/>
      <c r="G978" s="9">
        <v>2</v>
      </c>
      <c r="H978" s="10"/>
      <c r="I978" s="11">
        <f t="shared" si="417"/>
        <v>2</v>
      </c>
      <c r="J978" s="11">
        <f t="shared" si="418"/>
        <v>2</v>
      </c>
      <c r="K978" s="65">
        <v>42713</v>
      </c>
      <c r="W978" s="26"/>
      <c r="X978" s="8"/>
      <c r="Y978" s="9"/>
      <c r="Z978" s="10"/>
      <c r="AA978" s="11">
        <f t="shared" si="419"/>
        <v>0</v>
      </c>
      <c r="AB978" s="12"/>
      <c r="AC978" s="9"/>
      <c r="AD978" s="10"/>
      <c r="AE978" s="11">
        <f t="shared" si="420"/>
        <v>0</v>
      </c>
      <c r="AF978" s="11">
        <f t="shared" si="421"/>
        <v>0</v>
      </c>
    </row>
    <row r="979" spans="1:33" x14ac:dyDescent="0.15">
      <c r="A979" s="27" t="s">
        <v>524</v>
      </c>
      <c r="B979" s="8">
        <v>15</v>
      </c>
      <c r="C979" s="9">
        <v>15</v>
      </c>
      <c r="D979" s="10">
        <v>20</v>
      </c>
      <c r="E979" s="11">
        <f t="shared" si="416"/>
        <v>50</v>
      </c>
      <c r="F979" s="12">
        <v>10</v>
      </c>
      <c r="G979" s="9">
        <v>15</v>
      </c>
      <c r="H979" s="10">
        <v>5</v>
      </c>
      <c r="I979" s="11">
        <f t="shared" si="417"/>
        <v>30</v>
      </c>
      <c r="J979" s="11">
        <f t="shared" si="418"/>
        <v>80</v>
      </c>
      <c r="K979" s="65">
        <v>42716</v>
      </c>
      <c r="W979" s="26"/>
      <c r="X979" s="8"/>
      <c r="Y979" s="9"/>
      <c r="Z979" s="10"/>
      <c r="AA979" s="11">
        <f t="shared" si="419"/>
        <v>0</v>
      </c>
      <c r="AB979" s="12"/>
      <c r="AC979" s="9"/>
      <c r="AD979" s="10"/>
      <c r="AE979" s="11">
        <f t="shared" si="420"/>
        <v>0</v>
      </c>
      <c r="AF979" s="11">
        <f t="shared" si="421"/>
        <v>0</v>
      </c>
    </row>
    <row r="980" spans="1:33" x14ac:dyDescent="0.15">
      <c r="A980" s="27" t="s">
        <v>525</v>
      </c>
      <c r="B980" s="8"/>
      <c r="C980" s="9"/>
      <c r="D980" s="10">
        <v>-50</v>
      </c>
      <c r="E980" s="11">
        <f t="shared" si="416"/>
        <v>-50</v>
      </c>
      <c r="F980" s="12"/>
      <c r="G980" s="9"/>
      <c r="H980" s="10"/>
      <c r="I980" s="11">
        <f t="shared" si="417"/>
        <v>0</v>
      </c>
      <c r="J980" s="11">
        <f t="shared" si="418"/>
        <v>-50</v>
      </c>
      <c r="K980" s="65">
        <v>42713</v>
      </c>
      <c r="W980" s="27"/>
      <c r="X980" s="8"/>
      <c r="Y980" s="9"/>
      <c r="Z980" s="10"/>
      <c r="AA980" s="11">
        <f t="shared" si="419"/>
        <v>0</v>
      </c>
      <c r="AB980" s="12"/>
      <c r="AC980" s="9"/>
      <c r="AD980" s="10"/>
      <c r="AE980" s="11">
        <f t="shared" si="420"/>
        <v>0</v>
      </c>
      <c r="AF980" s="11">
        <f t="shared" si="421"/>
        <v>0</v>
      </c>
    </row>
    <row r="981" spans="1:33" x14ac:dyDescent="0.15">
      <c r="A981" s="29" t="s">
        <v>529</v>
      </c>
      <c r="B981" s="13"/>
      <c r="C981" s="14"/>
      <c r="D981" s="15">
        <v>2</v>
      </c>
      <c r="E981" s="11">
        <f t="shared" si="416"/>
        <v>2</v>
      </c>
      <c r="F981" s="16">
        <v>2</v>
      </c>
      <c r="G981" s="14">
        <v>5</v>
      </c>
      <c r="H981" s="15"/>
      <c r="I981" s="11">
        <f t="shared" si="417"/>
        <v>7</v>
      </c>
      <c r="J981" s="11">
        <f t="shared" si="418"/>
        <v>9</v>
      </c>
      <c r="K981" s="65">
        <v>42714</v>
      </c>
      <c r="W981" s="27"/>
      <c r="X981" s="13"/>
      <c r="Y981" s="14"/>
      <c r="Z981" s="15"/>
      <c r="AA981" s="11">
        <f t="shared" si="419"/>
        <v>0</v>
      </c>
      <c r="AB981" s="16"/>
      <c r="AC981" s="14"/>
      <c r="AD981" s="15"/>
      <c r="AE981" s="11">
        <f t="shared" si="420"/>
        <v>0</v>
      </c>
      <c r="AF981" s="11">
        <f t="shared" si="421"/>
        <v>0</v>
      </c>
    </row>
    <row r="982" spans="1:33" x14ac:dyDescent="0.15">
      <c r="A982" s="27" t="s">
        <v>527</v>
      </c>
      <c r="B982" s="8"/>
      <c r="C982" s="9">
        <v>-1</v>
      </c>
      <c r="D982" s="10"/>
      <c r="E982" s="11">
        <f t="shared" si="416"/>
        <v>-1</v>
      </c>
      <c r="F982" s="12"/>
      <c r="G982" s="9"/>
      <c r="H982" s="10"/>
      <c r="I982" s="11">
        <f t="shared" si="417"/>
        <v>0</v>
      </c>
      <c r="J982" s="11">
        <f t="shared" si="418"/>
        <v>-1</v>
      </c>
      <c r="K982" s="71">
        <v>42716</v>
      </c>
      <c r="W982" s="86"/>
      <c r="X982" s="13"/>
      <c r="Y982" s="14"/>
      <c r="Z982" s="15"/>
      <c r="AA982" s="11">
        <f t="shared" si="419"/>
        <v>0</v>
      </c>
      <c r="AB982" s="16"/>
      <c r="AC982" s="14"/>
      <c r="AD982" s="15"/>
      <c r="AE982" s="11">
        <f t="shared" si="420"/>
        <v>0</v>
      </c>
      <c r="AF982" s="11">
        <f t="shared" si="421"/>
        <v>0</v>
      </c>
      <c r="AG982" s="64"/>
    </row>
    <row r="983" spans="1:33" x14ac:dyDescent="0.15">
      <c r="A983" s="27" t="s">
        <v>528</v>
      </c>
      <c r="B983" s="8">
        <v>11</v>
      </c>
      <c r="C983" s="9">
        <v>8</v>
      </c>
      <c r="D983" s="10">
        <v>5</v>
      </c>
      <c r="E983" s="11">
        <f t="shared" si="416"/>
        <v>24</v>
      </c>
      <c r="F983" s="12">
        <v>2</v>
      </c>
      <c r="G983" s="9">
        <v>3</v>
      </c>
      <c r="H983" s="10">
        <v>5</v>
      </c>
      <c r="I983" s="11">
        <f t="shared" si="417"/>
        <v>10</v>
      </c>
      <c r="J983" s="11">
        <f t="shared" si="418"/>
        <v>34</v>
      </c>
      <c r="K983" s="65">
        <v>42718</v>
      </c>
      <c r="W983" s="27"/>
      <c r="X983" s="13"/>
      <c r="Y983" s="14"/>
      <c r="Z983" s="15"/>
      <c r="AA983" s="11">
        <f t="shared" si="419"/>
        <v>0</v>
      </c>
      <c r="AB983" s="16"/>
      <c r="AC983" s="14"/>
      <c r="AD983" s="15"/>
      <c r="AE983" s="11">
        <f t="shared" si="420"/>
        <v>0</v>
      </c>
      <c r="AF983" s="11">
        <f t="shared" si="421"/>
        <v>0</v>
      </c>
      <c r="AG983" s="64"/>
    </row>
    <row r="984" spans="1:33" x14ac:dyDescent="0.15">
      <c r="A984" s="29" t="s">
        <v>530</v>
      </c>
      <c r="B984" s="8"/>
      <c r="C984" s="9">
        <v>1</v>
      </c>
      <c r="D984" s="10"/>
      <c r="E984" s="11">
        <f t="shared" si="416"/>
        <v>1</v>
      </c>
      <c r="F984" s="12"/>
      <c r="G984" s="9"/>
      <c r="H984" s="10"/>
      <c r="I984" s="11">
        <f t="shared" si="417"/>
        <v>0</v>
      </c>
      <c r="J984" s="11">
        <f t="shared" si="418"/>
        <v>1</v>
      </c>
      <c r="K984" s="65">
        <v>42717</v>
      </c>
      <c r="W984" s="86"/>
      <c r="X984" s="13"/>
      <c r="Y984" s="14"/>
      <c r="Z984" s="15"/>
      <c r="AA984" s="11">
        <f t="shared" si="419"/>
        <v>0</v>
      </c>
      <c r="AB984" s="16"/>
      <c r="AC984" s="14"/>
      <c r="AD984" s="15"/>
      <c r="AE984" s="11">
        <f t="shared" si="420"/>
        <v>0</v>
      </c>
      <c r="AF984" s="11">
        <f t="shared" si="421"/>
        <v>0</v>
      </c>
      <c r="AG984" s="64"/>
    </row>
    <row r="985" spans="1:33" ht="14.25" thickBot="1" x14ac:dyDescent="0.2">
      <c r="A985" s="29"/>
      <c r="B985" s="8"/>
      <c r="C985" s="9"/>
      <c r="D985" s="10"/>
      <c r="E985" s="11">
        <f t="shared" si="416"/>
        <v>0</v>
      </c>
      <c r="F985" s="16"/>
      <c r="G985" s="14"/>
      <c r="H985" s="15"/>
      <c r="I985" s="11">
        <f t="shared" si="417"/>
        <v>0</v>
      </c>
      <c r="J985" s="11">
        <f t="shared" si="418"/>
        <v>0</v>
      </c>
      <c r="W985" s="27"/>
      <c r="X985" s="13"/>
      <c r="Y985" s="14"/>
      <c r="Z985" s="15"/>
      <c r="AA985" s="11">
        <f t="shared" si="419"/>
        <v>0</v>
      </c>
      <c r="AB985" s="16"/>
      <c r="AC985" s="14"/>
      <c r="AD985" s="15"/>
      <c r="AE985" s="11">
        <f t="shared" si="420"/>
        <v>0</v>
      </c>
      <c r="AF985" s="11">
        <f t="shared" si="421"/>
        <v>0</v>
      </c>
      <c r="AG985" s="65"/>
    </row>
    <row r="986" spans="1:33" ht="14.25" thickBot="1" x14ac:dyDescent="0.2">
      <c r="A986" s="44" t="s">
        <v>13</v>
      </c>
      <c r="B986" s="48">
        <f t="shared" ref="B986:I986" si="422">SUM(B960:B985)</f>
        <v>53</v>
      </c>
      <c r="C986" s="49">
        <f t="shared" si="422"/>
        <v>108</v>
      </c>
      <c r="D986" s="50">
        <f t="shared" si="422"/>
        <v>-2</v>
      </c>
      <c r="E986" s="46">
        <f t="shared" si="422"/>
        <v>159</v>
      </c>
      <c r="F986" s="48">
        <f t="shared" si="422"/>
        <v>54</v>
      </c>
      <c r="G986" s="49">
        <f t="shared" si="422"/>
        <v>97</v>
      </c>
      <c r="H986" s="50">
        <f t="shared" si="422"/>
        <v>27</v>
      </c>
      <c r="I986" s="46">
        <f t="shared" si="422"/>
        <v>178</v>
      </c>
      <c r="J986" s="35">
        <f>E986+I986</f>
        <v>337</v>
      </c>
      <c r="W986" s="44" t="s">
        <v>13</v>
      </c>
      <c r="X986" s="48">
        <f t="shared" ref="X986:AE986" si="423">SUM(X960:X985)</f>
        <v>164</v>
      </c>
      <c r="Y986" s="49">
        <f t="shared" si="423"/>
        <v>276</v>
      </c>
      <c r="Z986" s="50">
        <f t="shared" si="423"/>
        <v>140</v>
      </c>
      <c r="AA986" s="46">
        <f t="shared" si="423"/>
        <v>580</v>
      </c>
      <c r="AB986" s="48">
        <f t="shared" si="423"/>
        <v>133</v>
      </c>
      <c r="AC986" s="49">
        <f t="shared" si="423"/>
        <v>221</v>
      </c>
      <c r="AD986" s="50">
        <f t="shared" si="423"/>
        <v>120</v>
      </c>
      <c r="AE986" s="46">
        <f t="shared" si="423"/>
        <v>474</v>
      </c>
      <c r="AF986" s="35">
        <f>AA986+AE986</f>
        <v>1054</v>
      </c>
    </row>
    <row r="987" spans="1:33" ht="14.25" thickBot="1" x14ac:dyDescent="0.2">
      <c r="A987" s="23" t="s">
        <v>14</v>
      </c>
      <c r="B987" s="24">
        <f t="shared" ref="B987:J987" si="424">B959-B986</f>
        <v>58</v>
      </c>
      <c r="C987" s="25">
        <f t="shared" si="424"/>
        <v>14</v>
      </c>
      <c r="D987" s="30">
        <f t="shared" si="424"/>
        <v>41</v>
      </c>
      <c r="E987" s="51">
        <f t="shared" si="424"/>
        <v>113</v>
      </c>
      <c r="F987" s="24">
        <f t="shared" si="424"/>
        <v>23</v>
      </c>
      <c r="G987" s="25">
        <f t="shared" si="424"/>
        <v>57</v>
      </c>
      <c r="H987" s="30">
        <f t="shared" si="424"/>
        <v>19</v>
      </c>
      <c r="I987" s="47">
        <f t="shared" si="424"/>
        <v>99</v>
      </c>
      <c r="J987" s="79">
        <f t="shared" si="424"/>
        <v>212</v>
      </c>
      <c r="W987" s="23" t="s">
        <v>14</v>
      </c>
      <c r="X987" s="24">
        <f t="shared" ref="X987:AF987" si="425">X959-X986</f>
        <v>272</v>
      </c>
      <c r="Y987" s="25">
        <f t="shared" si="425"/>
        <v>-50</v>
      </c>
      <c r="Z987" s="30">
        <f t="shared" si="425"/>
        <v>423</v>
      </c>
      <c r="AA987" s="51">
        <f t="shared" si="425"/>
        <v>645</v>
      </c>
      <c r="AB987" s="24">
        <f t="shared" si="425"/>
        <v>159</v>
      </c>
      <c r="AC987" s="25">
        <f t="shared" si="425"/>
        <v>0</v>
      </c>
      <c r="AD987" s="30">
        <f t="shared" si="425"/>
        <v>123</v>
      </c>
      <c r="AE987" s="47">
        <f t="shared" si="425"/>
        <v>282</v>
      </c>
      <c r="AF987" s="79">
        <f t="shared" si="425"/>
        <v>927</v>
      </c>
    </row>
    <row r="990" spans="1:33" ht="19.5" thickBot="1" x14ac:dyDescent="0.25">
      <c r="A990" s="2" t="s">
        <v>21</v>
      </c>
      <c r="B990" s="1"/>
      <c r="C990" s="1"/>
      <c r="D990" s="1"/>
      <c r="E990" s="1"/>
      <c r="F990" s="1"/>
      <c r="G990" s="1"/>
      <c r="H990" s="1"/>
      <c r="I990" s="1"/>
      <c r="J990" s="1"/>
      <c r="W990" s="93" t="s">
        <v>136</v>
      </c>
      <c r="X990" s="94"/>
      <c r="Y990" s="94"/>
      <c r="Z990" s="94"/>
      <c r="AA990" s="106" t="s">
        <v>299</v>
      </c>
      <c r="AB990" s="1"/>
      <c r="AC990" s="1"/>
      <c r="AD990" s="1"/>
      <c r="AE990" s="1"/>
      <c r="AF990" s="1"/>
    </row>
    <row r="991" spans="1:33" ht="14.25" thickBot="1" x14ac:dyDescent="0.2">
      <c r="A991" s="7" t="s">
        <v>0</v>
      </c>
      <c r="B991" s="168" t="s">
        <v>1</v>
      </c>
      <c r="C991" s="169"/>
      <c r="D991" s="169"/>
      <c r="E991" s="170"/>
      <c r="F991" s="168" t="s">
        <v>2</v>
      </c>
      <c r="G991" s="169"/>
      <c r="H991" s="169"/>
      <c r="I991" s="171"/>
      <c r="J991" s="172" t="s">
        <v>3</v>
      </c>
      <c r="W991" s="7" t="s">
        <v>0</v>
      </c>
      <c r="X991" s="174" t="s">
        <v>1</v>
      </c>
      <c r="Y991" s="175"/>
      <c r="Z991" s="176"/>
      <c r="AA991" s="101"/>
      <c r="AB991" s="174" t="s">
        <v>2</v>
      </c>
      <c r="AC991" s="175"/>
      <c r="AD991" s="176"/>
      <c r="AE991" s="102"/>
      <c r="AF991" s="103" t="s">
        <v>3</v>
      </c>
    </row>
    <row r="992" spans="1:33" ht="14.25" thickBot="1" x14ac:dyDescent="0.2">
      <c r="A992" s="7" t="s">
        <v>4</v>
      </c>
      <c r="B992" s="3" t="s">
        <v>5</v>
      </c>
      <c r="C992" s="4" t="s">
        <v>6</v>
      </c>
      <c r="D992" s="5" t="s">
        <v>7</v>
      </c>
      <c r="E992" s="7" t="s">
        <v>8</v>
      </c>
      <c r="F992" s="3" t="s">
        <v>5</v>
      </c>
      <c r="G992" s="4" t="s">
        <v>6</v>
      </c>
      <c r="H992" s="5" t="s">
        <v>7</v>
      </c>
      <c r="I992" s="7" t="s">
        <v>8</v>
      </c>
      <c r="J992" s="173"/>
      <c r="W992" s="7" t="s">
        <v>4</v>
      </c>
      <c r="X992" s="3" t="s">
        <v>5</v>
      </c>
      <c r="Y992" s="4" t="s">
        <v>6</v>
      </c>
      <c r="Z992" s="5" t="s">
        <v>7</v>
      </c>
      <c r="AA992" s="7" t="s">
        <v>8</v>
      </c>
      <c r="AB992" s="107" t="s">
        <v>5</v>
      </c>
      <c r="AC992" s="108" t="s">
        <v>6</v>
      </c>
      <c r="AD992" s="109" t="s">
        <v>7</v>
      </c>
      <c r="AE992" s="7" t="s">
        <v>8</v>
      </c>
      <c r="AF992" s="104"/>
    </row>
    <row r="993" spans="1:33" ht="14.25" thickBot="1" x14ac:dyDescent="0.2">
      <c r="A993" s="31" t="s">
        <v>14</v>
      </c>
      <c r="B993" s="32">
        <f>B987</f>
        <v>58</v>
      </c>
      <c r="C993" s="33">
        <f>C987</f>
        <v>14</v>
      </c>
      <c r="D993" s="34">
        <f>D987</f>
        <v>41</v>
      </c>
      <c r="E993" s="41">
        <f>SUM(B993:D993)</f>
        <v>113</v>
      </c>
      <c r="F993" s="32">
        <f>F987</f>
        <v>23</v>
      </c>
      <c r="G993" s="33">
        <f>G987</f>
        <v>57</v>
      </c>
      <c r="H993" s="34">
        <f>H987</f>
        <v>19</v>
      </c>
      <c r="I993" s="41">
        <f>SUM(F993:H993)</f>
        <v>99</v>
      </c>
      <c r="J993" s="41">
        <f>E993+I993</f>
        <v>212</v>
      </c>
      <c r="W993" s="31" t="s">
        <v>14</v>
      </c>
      <c r="X993" s="32">
        <f>X987</f>
        <v>272</v>
      </c>
      <c r="Y993" s="33">
        <f>Y987</f>
        <v>-50</v>
      </c>
      <c r="Z993" s="33">
        <f>Z987</f>
        <v>423</v>
      </c>
      <c r="AA993" s="111">
        <f>SUM(X993:Z993)</f>
        <v>645</v>
      </c>
      <c r="AB993" s="32">
        <f>AB987</f>
        <v>159</v>
      </c>
      <c r="AC993" s="33">
        <f>AC987</f>
        <v>0</v>
      </c>
      <c r="AD993" s="95">
        <f>AD987</f>
        <v>123</v>
      </c>
      <c r="AE993" s="46">
        <f>SUM(AB993:AD993)</f>
        <v>282</v>
      </c>
      <c r="AF993" s="35">
        <f>AA993+AE993</f>
        <v>927</v>
      </c>
    </row>
    <row r="994" spans="1:33" x14ac:dyDescent="0.15">
      <c r="A994" s="28" t="s">
        <v>9</v>
      </c>
      <c r="B994" s="17"/>
      <c r="C994" s="18">
        <v>50</v>
      </c>
      <c r="D994" s="19"/>
      <c r="E994" s="20">
        <f t="shared" ref="E994:E1001" si="426">SUM(B994:D994)</f>
        <v>50</v>
      </c>
      <c r="F994" s="21"/>
      <c r="G994" s="18"/>
      <c r="H994" s="19">
        <v>50</v>
      </c>
      <c r="I994" s="20">
        <f t="shared" ref="I994:I1001" si="427">SUM(F994:H994)</f>
        <v>50</v>
      </c>
      <c r="J994" s="20">
        <f t="shared" ref="J994:J1001" si="428">E994+I994</f>
        <v>100</v>
      </c>
      <c r="K994" s="65">
        <v>42718</v>
      </c>
      <c r="W994" s="28" t="s">
        <v>9</v>
      </c>
      <c r="X994" s="8"/>
      <c r="Y994" s="9"/>
      <c r="Z994" s="10"/>
      <c r="AA994" s="78">
        <f t="shared" ref="AA994:AA1001" si="429">SUM(X994:Z994)</f>
        <v>0</v>
      </c>
      <c r="AB994" s="21"/>
      <c r="AC994" s="18"/>
      <c r="AD994" s="19"/>
      <c r="AE994" s="78">
        <f t="shared" ref="AE994:AE1001" si="430">SUM(AB994:AD994)</f>
        <v>0</v>
      </c>
      <c r="AF994" s="78">
        <f t="shared" ref="AF994:AF1001" si="431">AA994+AE994</f>
        <v>0</v>
      </c>
    </row>
    <row r="995" spans="1:33" x14ac:dyDescent="0.15">
      <c r="A995" s="28" t="s">
        <v>10</v>
      </c>
      <c r="B995" s="8">
        <v>50</v>
      </c>
      <c r="C995" s="9">
        <v>15</v>
      </c>
      <c r="D995" s="10"/>
      <c r="E995" s="11">
        <f t="shared" si="426"/>
        <v>65</v>
      </c>
      <c r="F995" s="12">
        <v>50</v>
      </c>
      <c r="G995" s="9"/>
      <c r="H995" s="10"/>
      <c r="I995" s="11">
        <f t="shared" si="427"/>
        <v>50</v>
      </c>
      <c r="J995" s="11">
        <f t="shared" si="428"/>
        <v>115</v>
      </c>
      <c r="K995" s="65">
        <v>42719</v>
      </c>
      <c r="W995" s="28" t="s">
        <v>492</v>
      </c>
      <c r="X995" s="13">
        <v>500</v>
      </c>
      <c r="Y995" s="14">
        <v>787</v>
      </c>
      <c r="Z995" s="15">
        <v>500</v>
      </c>
      <c r="AA995" s="11">
        <f>SUM(X995:Z995)</f>
        <v>1787</v>
      </c>
      <c r="AB995" s="16"/>
      <c r="AC995" s="14"/>
      <c r="AD995" s="15"/>
      <c r="AE995" s="11">
        <f>SUM(AB995:AD995)</f>
        <v>0</v>
      </c>
      <c r="AF995" s="11">
        <f>AA995+AE995</f>
        <v>1787</v>
      </c>
      <c r="AG995" s="65">
        <v>42724</v>
      </c>
    </row>
    <row r="996" spans="1:33" x14ac:dyDescent="0.15">
      <c r="A996" s="28" t="s">
        <v>11</v>
      </c>
      <c r="B996" s="8"/>
      <c r="C996" s="9">
        <v>50</v>
      </c>
      <c r="D996" s="10">
        <v>50</v>
      </c>
      <c r="E996" s="11">
        <f t="shared" si="426"/>
        <v>100</v>
      </c>
      <c r="F996" s="12"/>
      <c r="G996" s="9">
        <v>35</v>
      </c>
      <c r="H996" s="10">
        <v>50</v>
      </c>
      <c r="I996" s="11">
        <f t="shared" si="427"/>
        <v>85</v>
      </c>
      <c r="J996" s="11">
        <f t="shared" si="428"/>
        <v>185</v>
      </c>
      <c r="K996" s="65">
        <v>42721</v>
      </c>
      <c r="W996" s="28" t="s">
        <v>11</v>
      </c>
      <c r="X996" s="8"/>
      <c r="Y996" s="9"/>
      <c r="Z996" s="10"/>
      <c r="AA996" s="11">
        <f t="shared" si="429"/>
        <v>0</v>
      </c>
      <c r="AB996" s="12"/>
      <c r="AC996" s="9"/>
      <c r="AD996" s="10"/>
      <c r="AE996" s="11">
        <f t="shared" si="430"/>
        <v>0</v>
      </c>
      <c r="AF996" s="11">
        <f t="shared" si="431"/>
        <v>0</v>
      </c>
    </row>
    <row r="997" spans="1:33" x14ac:dyDescent="0.15">
      <c r="A997" s="28" t="s">
        <v>104</v>
      </c>
      <c r="B997" s="8">
        <v>2</v>
      </c>
      <c r="C997" s="9">
        <v>7</v>
      </c>
      <c r="D997" s="10"/>
      <c r="E997" s="11">
        <f t="shared" si="426"/>
        <v>9</v>
      </c>
      <c r="F997" s="12">
        <v>23</v>
      </c>
      <c r="G997" s="9">
        <v>3</v>
      </c>
      <c r="H997" s="10">
        <v>13</v>
      </c>
      <c r="I997" s="11">
        <f t="shared" si="427"/>
        <v>39</v>
      </c>
      <c r="J997" s="11">
        <f t="shared" si="428"/>
        <v>48</v>
      </c>
      <c r="K997" s="71">
        <v>42721</v>
      </c>
      <c r="W997" s="28" t="s">
        <v>12</v>
      </c>
      <c r="X997" s="8"/>
      <c r="Y997" s="9"/>
      <c r="Z997" s="10"/>
      <c r="AA997" s="11">
        <f t="shared" si="429"/>
        <v>0</v>
      </c>
      <c r="AB997" s="12"/>
      <c r="AC997" s="9"/>
      <c r="AD997" s="10"/>
      <c r="AE997" s="11">
        <f t="shared" si="430"/>
        <v>0</v>
      </c>
      <c r="AF997" s="11">
        <f t="shared" si="431"/>
        <v>0</v>
      </c>
      <c r="AG997" s="65"/>
    </row>
    <row r="998" spans="1:33" x14ac:dyDescent="0.15">
      <c r="A998" s="28" t="s">
        <v>228</v>
      </c>
      <c r="B998" s="8"/>
      <c r="C998" s="9">
        <v>3</v>
      </c>
      <c r="D998" s="10"/>
      <c r="E998" s="11">
        <f t="shared" si="426"/>
        <v>3</v>
      </c>
      <c r="F998" s="12"/>
      <c r="G998" s="9"/>
      <c r="H998" s="10"/>
      <c r="I998" s="11">
        <f t="shared" si="427"/>
        <v>0</v>
      </c>
      <c r="J998" s="11">
        <f t="shared" si="428"/>
        <v>3</v>
      </c>
      <c r="K998" s="71">
        <v>42730</v>
      </c>
      <c r="W998" s="28" t="s">
        <v>15</v>
      </c>
      <c r="X998" s="8"/>
      <c r="Y998" s="9"/>
      <c r="Z998" s="10"/>
      <c r="AA998" s="11">
        <f t="shared" si="429"/>
        <v>0</v>
      </c>
      <c r="AB998" s="12"/>
      <c r="AC998" s="9"/>
      <c r="AD998" s="10"/>
      <c r="AE998" s="11">
        <f t="shared" si="430"/>
        <v>0</v>
      </c>
      <c r="AF998" s="11">
        <f t="shared" si="431"/>
        <v>0</v>
      </c>
    </row>
    <row r="999" spans="1:33" x14ac:dyDescent="0.15">
      <c r="A999" s="28" t="s">
        <v>16</v>
      </c>
      <c r="B999" s="8">
        <v>50</v>
      </c>
      <c r="C999" s="9">
        <v>50</v>
      </c>
      <c r="D999" s="10"/>
      <c r="E999" s="11">
        <f t="shared" si="426"/>
        <v>100</v>
      </c>
      <c r="F999" s="12"/>
      <c r="G999" s="9"/>
      <c r="H999" s="10"/>
      <c r="I999" s="11">
        <f t="shared" si="427"/>
        <v>0</v>
      </c>
      <c r="J999" s="11">
        <f t="shared" si="428"/>
        <v>100</v>
      </c>
      <c r="K999" s="65">
        <v>42746</v>
      </c>
      <c r="W999" s="28" t="s">
        <v>16</v>
      </c>
      <c r="X999" s="8"/>
      <c r="Y999" s="9"/>
      <c r="Z999" s="10"/>
      <c r="AA999" s="11">
        <f t="shared" si="429"/>
        <v>0</v>
      </c>
      <c r="AB999" s="12"/>
      <c r="AC999" s="9"/>
      <c r="AD999" s="10"/>
      <c r="AE999" s="11">
        <f t="shared" si="430"/>
        <v>0</v>
      </c>
      <c r="AF999" s="11">
        <f t="shared" si="431"/>
        <v>0</v>
      </c>
    </row>
    <row r="1000" spans="1:33" x14ac:dyDescent="0.15">
      <c r="A1000" s="28" t="s">
        <v>17</v>
      </c>
      <c r="B1000" s="13"/>
      <c r="C1000" s="14"/>
      <c r="D1000" s="15">
        <v>50</v>
      </c>
      <c r="E1000" s="11">
        <f t="shared" si="426"/>
        <v>50</v>
      </c>
      <c r="F1000" s="16"/>
      <c r="G1000" s="14"/>
      <c r="H1000" s="15"/>
      <c r="I1000" s="11">
        <f t="shared" si="427"/>
        <v>0</v>
      </c>
      <c r="J1000" s="11">
        <f t="shared" si="428"/>
        <v>50</v>
      </c>
      <c r="K1000" s="65">
        <v>42753</v>
      </c>
      <c r="W1000" s="28" t="s">
        <v>17</v>
      </c>
      <c r="X1000" s="8"/>
      <c r="Y1000" s="9"/>
      <c r="Z1000" s="10"/>
      <c r="AA1000" s="11">
        <f t="shared" si="429"/>
        <v>0</v>
      </c>
      <c r="AB1000" s="12"/>
      <c r="AC1000" s="9"/>
      <c r="AD1000" s="10"/>
      <c r="AE1000" s="11">
        <f t="shared" si="430"/>
        <v>0</v>
      </c>
      <c r="AF1000" s="11">
        <f t="shared" si="431"/>
        <v>0</v>
      </c>
      <c r="AG1000" s="65"/>
    </row>
    <row r="1001" spans="1:33" ht="14.25" thickBot="1" x14ac:dyDescent="0.2">
      <c r="A1001" s="28" t="s">
        <v>18</v>
      </c>
      <c r="B1001" s="36"/>
      <c r="C1001" s="37"/>
      <c r="D1001" s="40"/>
      <c r="E1001" s="22">
        <f t="shared" si="426"/>
        <v>0</v>
      </c>
      <c r="F1001" s="38"/>
      <c r="G1001" s="38"/>
      <c r="H1001" s="43"/>
      <c r="I1001" s="22">
        <f t="shared" si="427"/>
        <v>0</v>
      </c>
      <c r="J1001" s="22">
        <f t="shared" si="428"/>
        <v>0</v>
      </c>
      <c r="W1001" s="28" t="s">
        <v>18</v>
      </c>
      <c r="X1001" s="36"/>
      <c r="Y1001" s="37"/>
      <c r="Z1001" s="40"/>
      <c r="AA1001" s="22">
        <f t="shared" si="429"/>
        <v>0</v>
      </c>
      <c r="AB1001" s="38"/>
      <c r="AC1001" s="38"/>
      <c r="AD1001" s="43"/>
      <c r="AE1001" s="22">
        <f t="shared" si="430"/>
        <v>0</v>
      </c>
      <c r="AF1001" s="22">
        <f t="shared" si="431"/>
        <v>0</v>
      </c>
      <c r="AG1001" s="64"/>
    </row>
    <row r="1002" spans="1:33" ht="14.25" thickBot="1" x14ac:dyDescent="0.2">
      <c r="A1002" s="39" t="s">
        <v>20</v>
      </c>
      <c r="B1002" s="32">
        <f t="shared" ref="B1002:J1002" si="432">SUM(B993:B1001)</f>
        <v>160</v>
      </c>
      <c r="C1002" s="33">
        <f t="shared" si="432"/>
        <v>189</v>
      </c>
      <c r="D1002" s="34">
        <f t="shared" si="432"/>
        <v>141</v>
      </c>
      <c r="E1002" s="42">
        <f t="shared" si="432"/>
        <v>490</v>
      </c>
      <c r="F1002" s="32">
        <f t="shared" si="432"/>
        <v>96</v>
      </c>
      <c r="G1002" s="33">
        <f t="shared" si="432"/>
        <v>95</v>
      </c>
      <c r="H1002" s="34">
        <f t="shared" si="432"/>
        <v>132</v>
      </c>
      <c r="I1002" s="42">
        <f t="shared" si="432"/>
        <v>323</v>
      </c>
      <c r="J1002" s="42">
        <f t="shared" si="432"/>
        <v>813</v>
      </c>
      <c r="W1002" s="39" t="s">
        <v>20</v>
      </c>
      <c r="X1002" s="32">
        <f t="shared" ref="X1002:AF1002" si="433">SUM(X993:X1001)</f>
        <v>772</v>
      </c>
      <c r="Y1002" s="33">
        <f t="shared" si="433"/>
        <v>737</v>
      </c>
      <c r="Z1002" s="34">
        <f t="shared" si="433"/>
        <v>923</v>
      </c>
      <c r="AA1002" s="42">
        <f t="shared" si="433"/>
        <v>2432</v>
      </c>
      <c r="AB1002" s="32">
        <f t="shared" si="433"/>
        <v>159</v>
      </c>
      <c r="AC1002" s="33">
        <f t="shared" si="433"/>
        <v>0</v>
      </c>
      <c r="AD1002" s="34">
        <f t="shared" si="433"/>
        <v>123</v>
      </c>
      <c r="AE1002" s="42">
        <f t="shared" si="433"/>
        <v>282</v>
      </c>
      <c r="AF1002" s="42">
        <f t="shared" si="433"/>
        <v>2714</v>
      </c>
    </row>
    <row r="1003" spans="1:33" x14ac:dyDescent="0.15">
      <c r="A1003" s="29" t="s">
        <v>401</v>
      </c>
      <c r="B1003" s="13">
        <v>30</v>
      </c>
      <c r="C1003" s="14">
        <v>30</v>
      </c>
      <c r="D1003" s="15"/>
      <c r="E1003" s="11">
        <f>SUM(B1003:D1003)</f>
        <v>60</v>
      </c>
      <c r="F1003" s="16"/>
      <c r="G1003" s="14"/>
      <c r="H1003" s="15">
        <v>30</v>
      </c>
      <c r="I1003" s="11">
        <f>SUM(F1003:H1003)</f>
        <v>30</v>
      </c>
      <c r="J1003" s="11">
        <f>E1003+I1003</f>
        <v>90</v>
      </c>
      <c r="K1003" s="65">
        <v>42723</v>
      </c>
      <c r="W1003" s="29" t="s">
        <v>545</v>
      </c>
      <c r="X1003" s="8">
        <v>50</v>
      </c>
      <c r="Y1003" s="9">
        <v>50</v>
      </c>
      <c r="Z1003" s="10"/>
      <c r="AA1003" s="11">
        <f>SUM(X1003:Z1003)</f>
        <v>100</v>
      </c>
      <c r="AB1003" s="12"/>
      <c r="AC1003" s="9"/>
      <c r="AD1003" s="10"/>
      <c r="AE1003" s="11">
        <f>SUM(AB1003:AD1003)</f>
        <v>0</v>
      </c>
      <c r="AF1003" s="11">
        <f>AA1003+AE1003</f>
        <v>100</v>
      </c>
      <c r="AG1003" s="65">
        <v>42746</v>
      </c>
    </row>
    <row r="1004" spans="1:33" x14ac:dyDescent="0.15">
      <c r="A1004" s="29" t="s">
        <v>531</v>
      </c>
      <c r="B1004" s="13">
        <v>30</v>
      </c>
      <c r="C1004" s="14">
        <v>25</v>
      </c>
      <c r="D1004" s="15">
        <v>10</v>
      </c>
      <c r="E1004" s="11">
        <f t="shared" ref="E1004:E1028" si="434">SUM(B1004:D1004)</f>
        <v>65</v>
      </c>
      <c r="F1004" s="16">
        <v>16</v>
      </c>
      <c r="G1004" s="14">
        <v>20</v>
      </c>
      <c r="H1004" s="15">
        <v>10</v>
      </c>
      <c r="I1004" s="11">
        <f t="shared" ref="I1004:I1028" si="435">SUM(F1004:H1004)</f>
        <v>46</v>
      </c>
      <c r="J1004" s="11">
        <f t="shared" ref="J1004:J1028" si="436">E1004+I1004</f>
        <v>111</v>
      </c>
      <c r="K1004" s="65">
        <v>42719</v>
      </c>
      <c r="W1004" s="29" t="s">
        <v>41</v>
      </c>
      <c r="X1004" s="8"/>
      <c r="Y1004" s="9"/>
      <c r="Z1004" s="10">
        <v>50</v>
      </c>
      <c r="AA1004" s="11">
        <f>SUM(X1004:Z1004)</f>
        <v>50</v>
      </c>
      <c r="AB1004" s="12"/>
      <c r="AC1004" s="9"/>
      <c r="AD1004" s="10"/>
      <c r="AE1004" s="11">
        <f>SUM(AB1004:AD1004)</f>
        <v>0</v>
      </c>
      <c r="AF1004" s="11">
        <f>AA1004+AE1004</f>
        <v>50</v>
      </c>
      <c r="AG1004" s="65">
        <v>42753</v>
      </c>
    </row>
    <row r="1005" spans="1:33" x14ac:dyDescent="0.15">
      <c r="A1005" s="27" t="s">
        <v>532</v>
      </c>
      <c r="B1005" s="8"/>
      <c r="C1005" s="9"/>
      <c r="D1005" s="10"/>
      <c r="E1005" s="11">
        <f t="shared" si="434"/>
        <v>0</v>
      </c>
      <c r="F1005" s="12"/>
      <c r="G1005" s="9">
        <v>2</v>
      </c>
      <c r="H1005" s="10"/>
      <c r="I1005" s="11">
        <f t="shared" si="435"/>
        <v>2</v>
      </c>
      <c r="J1005" s="11">
        <f t="shared" si="436"/>
        <v>2</v>
      </c>
      <c r="K1005" s="65">
        <v>42717</v>
      </c>
      <c r="W1005" s="27"/>
      <c r="X1005" s="8"/>
      <c r="Y1005" s="9"/>
      <c r="Z1005" s="10"/>
      <c r="AA1005" s="11">
        <f t="shared" ref="AA1005:AA1027" si="437">SUM(X1005:Z1005)</f>
        <v>0</v>
      </c>
      <c r="AB1005" s="12"/>
      <c r="AC1005" s="9"/>
      <c r="AD1005" s="10"/>
      <c r="AE1005" s="11">
        <f t="shared" ref="AE1005:AE1027" si="438">SUM(AB1005:AD1005)</f>
        <v>0</v>
      </c>
      <c r="AF1005" s="11">
        <f t="shared" ref="AF1005:AF1027" si="439">AA1005+AE1005</f>
        <v>0</v>
      </c>
    </row>
    <row r="1006" spans="1:33" x14ac:dyDescent="0.15">
      <c r="A1006" s="29" t="s">
        <v>386</v>
      </c>
      <c r="B1006" s="8">
        <v>20</v>
      </c>
      <c r="C1006" s="9">
        <v>20</v>
      </c>
      <c r="D1006" s="10">
        <v>15</v>
      </c>
      <c r="E1006" s="11">
        <f t="shared" si="434"/>
        <v>55</v>
      </c>
      <c r="F1006" s="12"/>
      <c r="G1006" s="9">
        <v>10</v>
      </c>
      <c r="H1006" s="10">
        <v>15</v>
      </c>
      <c r="I1006" s="11">
        <f t="shared" si="435"/>
        <v>25</v>
      </c>
      <c r="J1006" s="11">
        <f t="shared" si="436"/>
        <v>80</v>
      </c>
      <c r="K1006" s="65">
        <v>42719</v>
      </c>
      <c r="W1006" s="29"/>
      <c r="X1006" s="8"/>
      <c r="Y1006" s="9"/>
      <c r="Z1006" s="10"/>
      <c r="AA1006" s="11">
        <f t="shared" si="437"/>
        <v>0</v>
      </c>
      <c r="AB1006" s="12"/>
      <c r="AC1006" s="9"/>
      <c r="AD1006" s="10"/>
      <c r="AE1006" s="11">
        <f t="shared" si="438"/>
        <v>0</v>
      </c>
      <c r="AF1006" s="11">
        <f t="shared" si="439"/>
        <v>0</v>
      </c>
    </row>
    <row r="1007" spans="1:33" x14ac:dyDescent="0.15">
      <c r="A1007" s="29" t="s">
        <v>386</v>
      </c>
      <c r="B1007" s="8"/>
      <c r="C1007" s="9"/>
      <c r="D1007" s="10"/>
      <c r="E1007" s="11">
        <f t="shared" si="434"/>
        <v>0</v>
      </c>
      <c r="F1007" s="12"/>
      <c r="G1007" s="9">
        <v>10</v>
      </c>
      <c r="H1007" s="10"/>
      <c r="I1007" s="11">
        <f t="shared" si="435"/>
        <v>10</v>
      </c>
      <c r="J1007" s="11">
        <f t="shared" si="436"/>
        <v>10</v>
      </c>
      <c r="K1007" s="65">
        <v>42720</v>
      </c>
      <c r="W1007" s="29"/>
      <c r="X1007" s="8"/>
      <c r="Y1007" s="9"/>
      <c r="Z1007" s="10"/>
      <c r="AA1007" s="11">
        <f t="shared" si="437"/>
        <v>0</v>
      </c>
      <c r="AB1007" s="12"/>
      <c r="AC1007" s="9"/>
      <c r="AD1007" s="10"/>
      <c r="AE1007" s="11">
        <f t="shared" si="438"/>
        <v>0</v>
      </c>
      <c r="AF1007" s="11">
        <f t="shared" si="439"/>
        <v>0</v>
      </c>
    </row>
    <row r="1008" spans="1:33" x14ac:dyDescent="0.15">
      <c r="A1008" s="29" t="s">
        <v>533</v>
      </c>
      <c r="B1008" s="8"/>
      <c r="C1008" s="9"/>
      <c r="D1008" s="10"/>
      <c r="E1008" s="11">
        <f t="shared" si="434"/>
        <v>0</v>
      </c>
      <c r="F1008" s="12">
        <v>10</v>
      </c>
      <c r="G1008" s="9"/>
      <c r="H1008" s="10"/>
      <c r="I1008" s="11">
        <f t="shared" si="435"/>
        <v>10</v>
      </c>
      <c r="J1008" s="11">
        <f t="shared" si="436"/>
        <v>10</v>
      </c>
      <c r="K1008" s="65">
        <v>42721</v>
      </c>
      <c r="W1008" s="27"/>
      <c r="X1008" s="8"/>
      <c r="Y1008" s="9"/>
      <c r="Z1008" s="10"/>
      <c r="AA1008" s="11">
        <f t="shared" si="437"/>
        <v>0</v>
      </c>
      <c r="AB1008" s="12"/>
      <c r="AC1008" s="9"/>
      <c r="AD1008" s="10"/>
      <c r="AE1008" s="11">
        <f t="shared" si="438"/>
        <v>0</v>
      </c>
      <c r="AF1008" s="11">
        <f t="shared" si="439"/>
        <v>0</v>
      </c>
    </row>
    <row r="1009" spans="1:32" x14ac:dyDescent="0.15">
      <c r="A1009" s="29" t="s">
        <v>534</v>
      </c>
      <c r="B1009" s="8"/>
      <c r="C1009" s="9">
        <v>1</v>
      </c>
      <c r="D1009" s="10"/>
      <c r="E1009" s="11">
        <f t="shared" si="434"/>
        <v>1</v>
      </c>
      <c r="F1009" s="12"/>
      <c r="G1009" s="9">
        <v>1</v>
      </c>
      <c r="H1009" s="10"/>
      <c r="I1009" s="11">
        <f t="shared" si="435"/>
        <v>1</v>
      </c>
      <c r="J1009" s="11">
        <f t="shared" si="436"/>
        <v>2</v>
      </c>
      <c r="K1009" s="65">
        <v>42721</v>
      </c>
      <c r="W1009" s="29"/>
      <c r="X1009" s="8"/>
      <c r="Y1009" s="9"/>
      <c r="Z1009" s="10"/>
      <c r="AA1009" s="11">
        <f t="shared" si="437"/>
        <v>0</v>
      </c>
      <c r="AB1009" s="12"/>
      <c r="AC1009" s="9"/>
      <c r="AD1009" s="10"/>
      <c r="AE1009" s="11">
        <f t="shared" si="438"/>
        <v>0</v>
      </c>
      <c r="AF1009" s="11">
        <f t="shared" si="439"/>
        <v>0</v>
      </c>
    </row>
    <row r="1010" spans="1:32" x14ac:dyDescent="0.15">
      <c r="A1010" s="29" t="s">
        <v>535</v>
      </c>
      <c r="B1010" s="8">
        <v>2</v>
      </c>
      <c r="C1010" s="9"/>
      <c r="D1010" s="10">
        <v>4</v>
      </c>
      <c r="E1010" s="11">
        <f t="shared" si="434"/>
        <v>6</v>
      </c>
      <c r="F1010" s="12"/>
      <c r="G1010" s="9"/>
      <c r="H1010" s="10">
        <v>4</v>
      </c>
      <c r="I1010" s="11">
        <f t="shared" si="435"/>
        <v>4</v>
      </c>
      <c r="J1010" s="11">
        <f t="shared" si="436"/>
        <v>10</v>
      </c>
      <c r="K1010" s="65">
        <v>42726</v>
      </c>
      <c r="W1010" s="29"/>
      <c r="X1010" s="8"/>
      <c r="Y1010" s="9"/>
      <c r="Z1010" s="10"/>
      <c r="AA1010" s="11">
        <f t="shared" si="437"/>
        <v>0</v>
      </c>
      <c r="AB1010" s="12"/>
      <c r="AC1010" s="9"/>
      <c r="AD1010" s="10"/>
      <c r="AE1010" s="11">
        <f t="shared" si="438"/>
        <v>0</v>
      </c>
      <c r="AF1010" s="11">
        <f t="shared" si="439"/>
        <v>0</v>
      </c>
    </row>
    <row r="1011" spans="1:32" x14ac:dyDescent="0.15">
      <c r="A1011" s="29" t="s">
        <v>536</v>
      </c>
      <c r="B1011" s="13">
        <v>1</v>
      </c>
      <c r="C1011" s="14"/>
      <c r="D1011" s="15"/>
      <c r="E1011" s="11">
        <f t="shared" si="434"/>
        <v>1</v>
      </c>
      <c r="F1011" s="16"/>
      <c r="G1011" s="14"/>
      <c r="H1011" s="15"/>
      <c r="I1011" s="11">
        <f t="shared" si="435"/>
        <v>0</v>
      </c>
      <c r="J1011" s="11">
        <f t="shared" si="436"/>
        <v>1</v>
      </c>
      <c r="K1011" s="65">
        <v>42727</v>
      </c>
      <c r="W1011" s="27"/>
      <c r="X1011" s="8"/>
      <c r="Y1011" s="9"/>
      <c r="Z1011" s="10"/>
      <c r="AA1011" s="11">
        <f t="shared" si="437"/>
        <v>0</v>
      </c>
      <c r="AB1011" s="12"/>
      <c r="AC1011" s="9"/>
      <c r="AD1011" s="10"/>
      <c r="AE1011" s="11">
        <f t="shared" si="438"/>
        <v>0</v>
      </c>
      <c r="AF1011" s="11">
        <f t="shared" si="439"/>
        <v>0</v>
      </c>
    </row>
    <row r="1012" spans="1:32" x14ac:dyDescent="0.15">
      <c r="A1012" s="29" t="s">
        <v>537</v>
      </c>
      <c r="B1012" s="13"/>
      <c r="C1012" s="14"/>
      <c r="D1012" s="15"/>
      <c r="E1012" s="11">
        <f t="shared" si="434"/>
        <v>0</v>
      </c>
      <c r="F1012" s="16"/>
      <c r="G1012" s="14"/>
      <c r="H1012" s="15">
        <v>2</v>
      </c>
      <c r="I1012" s="11">
        <f t="shared" si="435"/>
        <v>2</v>
      </c>
      <c r="J1012" s="11">
        <f t="shared" si="436"/>
        <v>2</v>
      </c>
      <c r="K1012" s="71">
        <v>42726</v>
      </c>
      <c r="W1012" s="29"/>
      <c r="X1012" s="13"/>
      <c r="Y1012" s="14"/>
      <c r="Z1012" s="15"/>
      <c r="AA1012" s="11">
        <f t="shared" si="437"/>
        <v>0</v>
      </c>
      <c r="AB1012" s="16"/>
      <c r="AC1012" s="14"/>
      <c r="AD1012" s="15"/>
      <c r="AE1012" s="11">
        <f t="shared" si="438"/>
        <v>0</v>
      </c>
      <c r="AF1012" s="11">
        <f t="shared" si="439"/>
        <v>0</v>
      </c>
    </row>
    <row r="1013" spans="1:32" x14ac:dyDescent="0.15">
      <c r="A1013" s="29" t="s">
        <v>538</v>
      </c>
      <c r="B1013" s="8">
        <v>1</v>
      </c>
      <c r="C1013" s="9"/>
      <c r="D1013" s="10">
        <v>2</v>
      </c>
      <c r="E1013" s="11">
        <f t="shared" si="434"/>
        <v>3</v>
      </c>
      <c r="F1013" s="12"/>
      <c r="G1013" s="9"/>
      <c r="H1013" s="10"/>
      <c r="I1013" s="11">
        <f t="shared" si="435"/>
        <v>0</v>
      </c>
      <c r="J1013" s="11">
        <f t="shared" si="436"/>
        <v>3</v>
      </c>
      <c r="K1013" s="71">
        <v>42730</v>
      </c>
      <c r="W1013" s="29"/>
      <c r="X1013" s="8"/>
      <c r="Y1013" s="9"/>
      <c r="Z1013" s="10"/>
      <c r="AA1013" s="11">
        <f t="shared" si="437"/>
        <v>0</v>
      </c>
      <c r="AB1013" s="12"/>
      <c r="AC1013" s="9"/>
      <c r="AD1013" s="10"/>
      <c r="AE1013" s="11">
        <f t="shared" si="438"/>
        <v>0</v>
      </c>
      <c r="AF1013" s="11">
        <f t="shared" si="439"/>
        <v>0</v>
      </c>
    </row>
    <row r="1014" spans="1:32" x14ac:dyDescent="0.15">
      <c r="A1014" s="29" t="s">
        <v>539</v>
      </c>
      <c r="B1014" s="8"/>
      <c r="C1014" s="9">
        <v>1</v>
      </c>
      <c r="D1014" s="10"/>
      <c r="E1014" s="11">
        <f t="shared" si="434"/>
        <v>1</v>
      </c>
      <c r="F1014" s="12"/>
      <c r="G1014" s="9"/>
      <c r="H1014" s="10">
        <v>2</v>
      </c>
      <c r="I1014" s="11">
        <f t="shared" si="435"/>
        <v>2</v>
      </c>
      <c r="J1014" s="11">
        <f t="shared" si="436"/>
        <v>3</v>
      </c>
      <c r="K1014" s="71">
        <v>42733</v>
      </c>
      <c r="W1014" s="29"/>
      <c r="X1014" s="8"/>
      <c r="Y1014" s="9"/>
      <c r="Z1014" s="10"/>
      <c r="AA1014" s="11">
        <f t="shared" si="437"/>
        <v>0</v>
      </c>
      <c r="AB1014" s="12"/>
      <c r="AC1014" s="9"/>
      <c r="AD1014" s="10"/>
      <c r="AE1014" s="11">
        <f t="shared" si="438"/>
        <v>0</v>
      </c>
      <c r="AF1014" s="11">
        <f t="shared" si="439"/>
        <v>0</v>
      </c>
    </row>
    <row r="1015" spans="1:32" x14ac:dyDescent="0.15">
      <c r="A1015" s="29" t="s">
        <v>541</v>
      </c>
      <c r="B1015" s="8">
        <v>10</v>
      </c>
      <c r="C1015" s="9">
        <v>33</v>
      </c>
      <c r="D1015" s="10">
        <v>26</v>
      </c>
      <c r="E1015" s="11">
        <f t="shared" si="434"/>
        <v>69</v>
      </c>
      <c r="F1015" s="12">
        <v>7</v>
      </c>
      <c r="G1015" s="9">
        <v>6</v>
      </c>
      <c r="H1015" s="10">
        <v>7</v>
      </c>
      <c r="I1015" s="11">
        <f t="shared" si="435"/>
        <v>20</v>
      </c>
      <c r="J1015" s="11">
        <f t="shared" si="436"/>
        <v>89</v>
      </c>
      <c r="K1015" s="65">
        <v>42733</v>
      </c>
      <c r="W1015" s="27"/>
      <c r="X1015" s="8"/>
      <c r="Y1015" s="9"/>
      <c r="Z1015" s="10"/>
      <c r="AA1015" s="11">
        <f t="shared" si="437"/>
        <v>0</v>
      </c>
      <c r="AB1015" s="12"/>
      <c r="AC1015" s="9"/>
      <c r="AD1015" s="10"/>
      <c r="AE1015" s="11">
        <f t="shared" si="438"/>
        <v>0</v>
      </c>
      <c r="AF1015" s="11">
        <f t="shared" si="439"/>
        <v>0</v>
      </c>
    </row>
    <row r="1016" spans="1:32" x14ac:dyDescent="0.15">
      <c r="A1016" s="27" t="s">
        <v>540</v>
      </c>
      <c r="B1016" s="8"/>
      <c r="C1016" s="9"/>
      <c r="D1016" s="10">
        <v>5</v>
      </c>
      <c r="E1016" s="11">
        <f t="shared" si="434"/>
        <v>5</v>
      </c>
      <c r="F1016" s="12"/>
      <c r="G1016" s="9"/>
      <c r="H1016" s="10">
        <v>2</v>
      </c>
      <c r="I1016" s="11">
        <f t="shared" si="435"/>
        <v>2</v>
      </c>
      <c r="J1016" s="11">
        <f t="shared" si="436"/>
        <v>7</v>
      </c>
      <c r="K1016" s="65">
        <v>42741</v>
      </c>
      <c r="W1016" s="29"/>
      <c r="X1016" s="8"/>
      <c r="Y1016" s="9"/>
      <c r="Z1016" s="10"/>
      <c r="AA1016" s="11">
        <f t="shared" si="437"/>
        <v>0</v>
      </c>
      <c r="AB1016" s="12"/>
      <c r="AC1016" s="9"/>
      <c r="AD1016" s="10"/>
      <c r="AE1016" s="11">
        <f t="shared" si="438"/>
        <v>0</v>
      </c>
      <c r="AF1016" s="11">
        <f t="shared" si="439"/>
        <v>0</v>
      </c>
    </row>
    <row r="1017" spans="1:32" x14ac:dyDescent="0.15">
      <c r="A1017" s="29" t="s">
        <v>542</v>
      </c>
      <c r="B1017" s="8"/>
      <c r="C1017" s="9">
        <v>5</v>
      </c>
      <c r="D1017" s="10"/>
      <c r="E1017" s="11">
        <f t="shared" si="434"/>
        <v>5</v>
      </c>
      <c r="F1017" s="12">
        <v>3</v>
      </c>
      <c r="G1017" s="9"/>
      <c r="H1017" s="10"/>
      <c r="I1017" s="11">
        <f t="shared" si="435"/>
        <v>3</v>
      </c>
      <c r="J1017" s="11">
        <f t="shared" si="436"/>
        <v>8</v>
      </c>
      <c r="K1017" s="65">
        <v>42741</v>
      </c>
      <c r="W1017" s="29"/>
      <c r="X1017" s="8"/>
      <c r="Y1017" s="9"/>
      <c r="Z1017" s="10"/>
      <c r="AA1017" s="11">
        <f t="shared" si="437"/>
        <v>0</v>
      </c>
      <c r="AB1017" s="12"/>
      <c r="AC1017" s="9"/>
      <c r="AD1017" s="10"/>
      <c r="AE1017" s="11">
        <f t="shared" si="438"/>
        <v>0</v>
      </c>
      <c r="AF1017" s="11">
        <f t="shared" si="439"/>
        <v>0</v>
      </c>
    </row>
    <row r="1018" spans="1:32" x14ac:dyDescent="0.15">
      <c r="A1018" s="29" t="s">
        <v>543</v>
      </c>
      <c r="B1018" s="8">
        <v>1</v>
      </c>
      <c r="C1018" s="9"/>
      <c r="D1018" s="10"/>
      <c r="E1018" s="11">
        <f t="shared" si="434"/>
        <v>1</v>
      </c>
      <c r="F1018" s="12"/>
      <c r="G1018" s="9"/>
      <c r="H1018" s="10"/>
      <c r="I1018" s="11">
        <f t="shared" si="435"/>
        <v>0</v>
      </c>
      <c r="J1018" s="11">
        <f t="shared" si="436"/>
        <v>1</v>
      </c>
      <c r="K1018" s="71">
        <v>42740</v>
      </c>
      <c r="W1018" s="27"/>
      <c r="X1018" s="8"/>
      <c r="Y1018" s="9"/>
      <c r="Z1018" s="10"/>
      <c r="AA1018" s="11">
        <f t="shared" si="437"/>
        <v>0</v>
      </c>
      <c r="AB1018" s="12"/>
      <c r="AC1018" s="9"/>
      <c r="AD1018" s="10"/>
      <c r="AE1018" s="11">
        <f t="shared" si="438"/>
        <v>0</v>
      </c>
      <c r="AF1018" s="11">
        <f t="shared" si="439"/>
        <v>0</v>
      </c>
    </row>
    <row r="1019" spans="1:32" x14ac:dyDescent="0.15">
      <c r="A1019" s="29" t="s">
        <v>544</v>
      </c>
      <c r="B1019" s="8">
        <v>2</v>
      </c>
      <c r="C1019" s="9">
        <v>5</v>
      </c>
      <c r="D1019" s="10">
        <v>2</v>
      </c>
      <c r="E1019" s="11">
        <f t="shared" si="434"/>
        <v>9</v>
      </c>
      <c r="F1019" s="12">
        <v>5</v>
      </c>
      <c r="G1019" s="9">
        <v>3</v>
      </c>
      <c r="H1019" s="10">
        <v>2</v>
      </c>
      <c r="I1019" s="11">
        <f t="shared" si="435"/>
        <v>10</v>
      </c>
      <c r="J1019" s="11">
        <f t="shared" si="436"/>
        <v>19</v>
      </c>
      <c r="K1019" s="65">
        <v>42742</v>
      </c>
      <c r="W1019" s="29"/>
      <c r="X1019" s="8"/>
      <c r="Y1019" s="9"/>
      <c r="Z1019" s="10"/>
      <c r="AA1019" s="11">
        <f t="shared" si="437"/>
        <v>0</v>
      </c>
      <c r="AB1019" s="12"/>
      <c r="AC1019" s="9"/>
      <c r="AD1019" s="10"/>
      <c r="AE1019" s="11">
        <f t="shared" si="438"/>
        <v>0</v>
      </c>
      <c r="AF1019" s="11">
        <f t="shared" si="439"/>
        <v>0</v>
      </c>
    </row>
    <row r="1020" spans="1:32" x14ac:dyDescent="0.15">
      <c r="A1020" s="27" t="s">
        <v>39</v>
      </c>
      <c r="B1020" s="8"/>
      <c r="C1020" s="9"/>
      <c r="D1020" s="10"/>
      <c r="E1020" s="11">
        <f t="shared" si="434"/>
        <v>0</v>
      </c>
      <c r="F1020" s="12">
        <v>1</v>
      </c>
      <c r="G1020" s="9"/>
      <c r="H1020" s="10"/>
      <c r="I1020" s="11">
        <f t="shared" si="435"/>
        <v>1</v>
      </c>
      <c r="J1020" s="11">
        <f t="shared" si="436"/>
        <v>1</v>
      </c>
      <c r="K1020" s="65">
        <v>42746</v>
      </c>
      <c r="W1020" s="27"/>
      <c r="X1020" s="8"/>
      <c r="Y1020" s="9"/>
      <c r="Z1020" s="10"/>
      <c r="AA1020" s="11">
        <f t="shared" si="437"/>
        <v>0</v>
      </c>
      <c r="AB1020" s="12"/>
      <c r="AC1020" s="9"/>
      <c r="AD1020" s="10"/>
      <c r="AE1020" s="11">
        <f t="shared" si="438"/>
        <v>0</v>
      </c>
      <c r="AF1020" s="11">
        <f t="shared" si="439"/>
        <v>0</v>
      </c>
    </row>
    <row r="1021" spans="1:32" x14ac:dyDescent="0.15">
      <c r="A1021" s="29" t="s">
        <v>547</v>
      </c>
      <c r="B1021" s="8"/>
      <c r="C1021" s="9">
        <v>1</v>
      </c>
      <c r="D1021" s="10">
        <v>1</v>
      </c>
      <c r="E1021" s="11">
        <f t="shared" si="434"/>
        <v>2</v>
      </c>
      <c r="F1021" s="12"/>
      <c r="G1021" s="9">
        <v>1</v>
      </c>
      <c r="H1021" s="10">
        <v>2</v>
      </c>
      <c r="I1021" s="11">
        <f t="shared" si="435"/>
        <v>3</v>
      </c>
      <c r="J1021" s="11">
        <f t="shared" si="436"/>
        <v>5</v>
      </c>
      <c r="K1021" s="65">
        <v>42746</v>
      </c>
      <c r="W1021" s="26"/>
      <c r="X1021" s="8"/>
      <c r="Y1021" s="9"/>
      <c r="Z1021" s="10"/>
      <c r="AA1021" s="11">
        <f t="shared" si="437"/>
        <v>0</v>
      </c>
      <c r="AB1021" s="12"/>
      <c r="AC1021" s="9"/>
      <c r="AD1021" s="10"/>
      <c r="AE1021" s="11">
        <f t="shared" si="438"/>
        <v>0</v>
      </c>
      <c r="AF1021" s="11">
        <f t="shared" si="439"/>
        <v>0</v>
      </c>
    </row>
    <row r="1022" spans="1:32" x14ac:dyDescent="0.15">
      <c r="A1022" s="27" t="s">
        <v>549</v>
      </c>
      <c r="B1022" s="8"/>
      <c r="C1022" s="9"/>
      <c r="D1022" s="10">
        <v>1</v>
      </c>
      <c r="E1022" s="11">
        <f t="shared" si="434"/>
        <v>1</v>
      </c>
      <c r="F1022" s="12">
        <v>1</v>
      </c>
      <c r="G1022" s="9"/>
      <c r="H1022" s="10"/>
      <c r="I1022" s="11">
        <f t="shared" si="435"/>
        <v>1</v>
      </c>
      <c r="J1022" s="11">
        <f t="shared" si="436"/>
        <v>2</v>
      </c>
      <c r="K1022" s="65">
        <v>42745</v>
      </c>
      <c r="W1022" s="26"/>
      <c r="X1022" s="8"/>
      <c r="Y1022" s="9"/>
      <c r="Z1022" s="10"/>
      <c r="AA1022" s="11">
        <f t="shared" si="437"/>
        <v>0</v>
      </c>
      <c r="AB1022" s="12"/>
      <c r="AC1022" s="9"/>
      <c r="AD1022" s="10"/>
      <c r="AE1022" s="11">
        <f t="shared" si="438"/>
        <v>0</v>
      </c>
      <c r="AF1022" s="11">
        <f t="shared" si="439"/>
        <v>0</v>
      </c>
    </row>
    <row r="1023" spans="1:32" x14ac:dyDescent="0.15">
      <c r="A1023" s="27" t="s">
        <v>548</v>
      </c>
      <c r="B1023" s="8">
        <v>1</v>
      </c>
      <c r="C1023" s="9"/>
      <c r="D1023" s="10">
        <v>1</v>
      </c>
      <c r="E1023" s="11">
        <f t="shared" si="434"/>
        <v>2</v>
      </c>
      <c r="F1023" s="12">
        <v>1</v>
      </c>
      <c r="G1023" s="9"/>
      <c r="H1023" s="10"/>
      <c r="I1023" s="11">
        <f t="shared" si="435"/>
        <v>1</v>
      </c>
      <c r="J1023" s="11">
        <f t="shared" si="436"/>
        <v>3</v>
      </c>
      <c r="K1023" s="65">
        <v>42747</v>
      </c>
      <c r="W1023" s="27"/>
      <c r="X1023" s="8"/>
      <c r="Y1023" s="9"/>
      <c r="Z1023" s="10"/>
      <c r="AA1023" s="11">
        <f t="shared" si="437"/>
        <v>0</v>
      </c>
      <c r="AB1023" s="12"/>
      <c r="AC1023" s="9"/>
      <c r="AD1023" s="10"/>
      <c r="AE1023" s="11">
        <f t="shared" si="438"/>
        <v>0</v>
      </c>
      <c r="AF1023" s="11">
        <f t="shared" si="439"/>
        <v>0</v>
      </c>
    </row>
    <row r="1024" spans="1:32" x14ac:dyDescent="0.15">
      <c r="A1024" s="29" t="s">
        <v>550</v>
      </c>
      <c r="B1024" s="13">
        <v>2</v>
      </c>
      <c r="C1024" s="14"/>
      <c r="D1024" s="15"/>
      <c r="E1024" s="11">
        <f t="shared" si="434"/>
        <v>2</v>
      </c>
      <c r="F1024" s="16"/>
      <c r="G1024" s="14"/>
      <c r="H1024" s="15"/>
      <c r="I1024" s="11">
        <f t="shared" si="435"/>
        <v>0</v>
      </c>
      <c r="J1024" s="11">
        <f t="shared" si="436"/>
        <v>2</v>
      </c>
      <c r="K1024" s="71">
        <v>42746</v>
      </c>
      <c r="W1024" s="27"/>
      <c r="X1024" s="13"/>
      <c r="Y1024" s="14"/>
      <c r="Z1024" s="15"/>
      <c r="AA1024" s="11">
        <f t="shared" si="437"/>
        <v>0</v>
      </c>
      <c r="AB1024" s="16"/>
      <c r="AC1024" s="14"/>
      <c r="AD1024" s="15"/>
      <c r="AE1024" s="11">
        <f t="shared" si="438"/>
        <v>0</v>
      </c>
      <c r="AF1024" s="11">
        <f t="shared" si="439"/>
        <v>0</v>
      </c>
    </row>
    <row r="1025" spans="1:33" x14ac:dyDescent="0.15">
      <c r="A1025" s="29" t="s">
        <v>401</v>
      </c>
      <c r="B1025" s="8"/>
      <c r="C1025" s="9"/>
      <c r="D1025" s="10">
        <v>15</v>
      </c>
      <c r="E1025" s="11">
        <f t="shared" si="434"/>
        <v>15</v>
      </c>
      <c r="F1025" s="12">
        <v>30</v>
      </c>
      <c r="G1025" s="9"/>
      <c r="H1025" s="10"/>
      <c r="I1025" s="11">
        <f t="shared" si="435"/>
        <v>30</v>
      </c>
      <c r="J1025" s="11">
        <f t="shared" si="436"/>
        <v>45</v>
      </c>
      <c r="K1025" s="65">
        <v>42752</v>
      </c>
      <c r="W1025" s="86"/>
      <c r="X1025" s="13"/>
      <c r="Y1025" s="14"/>
      <c r="Z1025" s="15"/>
      <c r="AA1025" s="11">
        <f t="shared" si="437"/>
        <v>0</v>
      </c>
      <c r="AB1025" s="16"/>
      <c r="AC1025" s="14"/>
      <c r="AD1025" s="15"/>
      <c r="AE1025" s="11">
        <f t="shared" si="438"/>
        <v>0</v>
      </c>
      <c r="AF1025" s="11">
        <f t="shared" si="439"/>
        <v>0</v>
      </c>
      <c r="AG1025" s="64"/>
    </row>
    <row r="1026" spans="1:33" x14ac:dyDescent="0.15">
      <c r="A1026" s="29" t="s">
        <v>32</v>
      </c>
      <c r="B1026" s="8"/>
      <c r="C1026" s="9"/>
      <c r="D1026" s="10">
        <v>3</v>
      </c>
      <c r="E1026" s="11">
        <f t="shared" si="434"/>
        <v>3</v>
      </c>
      <c r="F1026" s="12">
        <v>1</v>
      </c>
      <c r="G1026" s="9"/>
      <c r="H1026" s="10"/>
      <c r="I1026" s="11">
        <f t="shared" si="435"/>
        <v>1</v>
      </c>
      <c r="J1026" s="11">
        <f t="shared" si="436"/>
        <v>4</v>
      </c>
      <c r="K1026" s="65">
        <v>42748</v>
      </c>
      <c r="W1026" s="27"/>
      <c r="X1026" s="13"/>
      <c r="Y1026" s="14"/>
      <c r="Z1026" s="15"/>
      <c r="AA1026" s="11">
        <f t="shared" si="437"/>
        <v>0</v>
      </c>
      <c r="AB1026" s="16"/>
      <c r="AC1026" s="14"/>
      <c r="AD1026" s="15"/>
      <c r="AE1026" s="11">
        <f t="shared" si="438"/>
        <v>0</v>
      </c>
      <c r="AF1026" s="11">
        <f t="shared" si="439"/>
        <v>0</v>
      </c>
      <c r="AG1026" s="64"/>
    </row>
    <row r="1027" spans="1:33" x14ac:dyDescent="0.15">
      <c r="A1027" s="29" t="s">
        <v>551</v>
      </c>
      <c r="B1027" s="8"/>
      <c r="C1027" s="9">
        <v>3</v>
      </c>
      <c r="D1027" s="10"/>
      <c r="E1027" s="11">
        <f t="shared" si="434"/>
        <v>3</v>
      </c>
      <c r="F1027" s="12"/>
      <c r="G1027" s="9">
        <v>2</v>
      </c>
      <c r="H1027" s="10"/>
      <c r="I1027" s="11">
        <f t="shared" si="435"/>
        <v>2</v>
      </c>
      <c r="J1027" s="11">
        <f t="shared" si="436"/>
        <v>5</v>
      </c>
      <c r="K1027" s="65">
        <v>42749</v>
      </c>
      <c r="W1027" s="86"/>
      <c r="X1027" s="13"/>
      <c r="Y1027" s="14"/>
      <c r="Z1027" s="15"/>
      <c r="AA1027" s="11">
        <f t="shared" si="437"/>
        <v>0</v>
      </c>
      <c r="AB1027" s="16"/>
      <c r="AC1027" s="14"/>
      <c r="AD1027" s="15"/>
      <c r="AE1027" s="11">
        <f t="shared" si="438"/>
        <v>0</v>
      </c>
      <c r="AF1027" s="11">
        <f t="shared" si="439"/>
        <v>0</v>
      </c>
      <c r="AG1027" s="65"/>
    </row>
    <row r="1028" spans="1:33" ht="14.25" thickBot="1" x14ac:dyDescent="0.2">
      <c r="A1028" s="29" t="s">
        <v>386</v>
      </c>
      <c r="B1028" s="8"/>
      <c r="C1028" s="9">
        <v>3</v>
      </c>
      <c r="D1028" s="10"/>
      <c r="E1028" s="11">
        <f t="shared" si="434"/>
        <v>3</v>
      </c>
      <c r="F1028" s="16"/>
      <c r="G1028" s="14"/>
      <c r="H1028" s="15"/>
      <c r="I1028" s="11">
        <f t="shared" si="435"/>
        <v>0</v>
      </c>
      <c r="J1028" s="11">
        <f t="shared" si="436"/>
        <v>3</v>
      </c>
      <c r="K1028" s="65">
        <v>42752</v>
      </c>
      <c r="W1028" s="27"/>
      <c r="X1028" s="13"/>
      <c r="Y1028" s="14"/>
      <c r="Z1028" s="15"/>
      <c r="AA1028" s="11">
        <f>SUM(X1028:Z1028)</f>
        <v>0</v>
      </c>
      <c r="AB1028" s="16"/>
      <c r="AC1028" s="14"/>
      <c r="AD1028" s="15"/>
      <c r="AE1028" s="11">
        <f>SUM(AB1028:AD1028)</f>
        <v>0</v>
      </c>
      <c r="AF1028" s="11">
        <f>AA1028+AE1028</f>
        <v>0</v>
      </c>
      <c r="AG1028" s="65"/>
    </row>
    <row r="1029" spans="1:33" ht="14.25" thickBot="1" x14ac:dyDescent="0.2">
      <c r="A1029" s="44" t="s">
        <v>13</v>
      </c>
      <c r="B1029" s="48">
        <f t="shared" ref="B1029:I1029" si="440">SUM(B1003:B1028)</f>
        <v>100</v>
      </c>
      <c r="C1029" s="49">
        <f t="shared" si="440"/>
        <v>127</v>
      </c>
      <c r="D1029" s="50">
        <f t="shared" si="440"/>
        <v>85</v>
      </c>
      <c r="E1029" s="46">
        <f t="shared" si="440"/>
        <v>312</v>
      </c>
      <c r="F1029" s="48">
        <f t="shared" si="440"/>
        <v>75</v>
      </c>
      <c r="G1029" s="49">
        <f t="shared" si="440"/>
        <v>55</v>
      </c>
      <c r="H1029" s="50">
        <f t="shared" si="440"/>
        <v>76</v>
      </c>
      <c r="I1029" s="46">
        <f t="shared" si="440"/>
        <v>206</v>
      </c>
      <c r="J1029" s="35">
        <f>E1029+I1029</f>
        <v>518</v>
      </c>
      <c r="W1029" s="44" t="s">
        <v>13</v>
      </c>
      <c r="X1029" s="48">
        <f t="shared" ref="X1029:AE1029" si="441">SUM(X1003:X1028)</f>
        <v>50</v>
      </c>
      <c r="Y1029" s="49">
        <f t="shared" si="441"/>
        <v>50</v>
      </c>
      <c r="Z1029" s="50">
        <f t="shared" si="441"/>
        <v>50</v>
      </c>
      <c r="AA1029" s="46">
        <f t="shared" si="441"/>
        <v>150</v>
      </c>
      <c r="AB1029" s="48">
        <f t="shared" si="441"/>
        <v>0</v>
      </c>
      <c r="AC1029" s="49">
        <f t="shared" si="441"/>
        <v>0</v>
      </c>
      <c r="AD1029" s="50">
        <f t="shared" si="441"/>
        <v>0</v>
      </c>
      <c r="AE1029" s="46">
        <f t="shared" si="441"/>
        <v>0</v>
      </c>
      <c r="AF1029" s="35">
        <f>AA1029+AE1029</f>
        <v>150</v>
      </c>
    </row>
    <row r="1030" spans="1:33" ht="14.25" thickBot="1" x14ac:dyDescent="0.2">
      <c r="A1030" s="23" t="s">
        <v>14</v>
      </c>
      <c r="B1030" s="24">
        <f t="shared" ref="B1030:J1030" si="442">B1002-B1029</f>
        <v>60</v>
      </c>
      <c r="C1030" s="25">
        <f t="shared" si="442"/>
        <v>62</v>
      </c>
      <c r="D1030" s="30">
        <f t="shared" si="442"/>
        <v>56</v>
      </c>
      <c r="E1030" s="51">
        <f t="shared" si="442"/>
        <v>178</v>
      </c>
      <c r="F1030" s="24">
        <f t="shared" si="442"/>
        <v>21</v>
      </c>
      <c r="G1030" s="25">
        <f t="shared" si="442"/>
        <v>40</v>
      </c>
      <c r="H1030" s="30">
        <f t="shared" si="442"/>
        <v>56</v>
      </c>
      <c r="I1030" s="47">
        <f t="shared" si="442"/>
        <v>117</v>
      </c>
      <c r="J1030" s="79">
        <f t="shared" si="442"/>
        <v>295</v>
      </c>
      <c r="W1030" s="23" t="s">
        <v>14</v>
      </c>
      <c r="X1030" s="24">
        <f t="shared" ref="X1030:AF1030" si="443">X1002-X1029</f>
        <v>722</v>
      </c>
      <c r="Y1030" s="25">
        <f t="shared" si="443"/>
        <v>687</v>
      </c>
      <c r="Z1030" s="30">
        <f t="shared" si="443"/>
        <v>873</v>
      </c>
      <c r="AA1030" s="51">
        <f t="shared" si="443"/>
        <v>2282</v>
      </c>
      <c r="AB1030" s="24">
        <f t="shared" si="443"/>
        <v>159</v>
      </c>
      <c r="AC1030" s="25">
        <f t="shared" si="443"/>
        <v>0</v>
      </c>
      <c r="AD1030" s="30">
        <f t="shared" si="443"/>
        <v>123</v>
      </c>
      <c r="AE1030" s="47">
        <f t="shared" si="443"/>
        <v>282</v>
      </c>
      <c r="AF1030" s="79">
        <f t="shared" si="443"/>
        <v>2564</v>
      </c>
    </row>
    <row r="1033" spans="1:33" ht="19.5" thickBot="1" x14ac:dyDescent="0.25">
      <c r="A1033" s="2" t="s">
        <v>21</v>
      </c>
      <c r="B1033" s="1"/>
      <c r="C1033" s="1"/>
      <c r="D1033" s="1"/>
      <c r="E1033" s="1"/>
      <c r="F1033" s="1"/>
      <c r="G1033" s="1"/>
      <c r="H1033" s="1"/>
      <c r="I1033" s="1"/>
      <c r="J1033" s="1"/>
      <c r="W1033" s="93" t="s">
        <v>136</v>
      </c>
      <c r="X1033" s="94"/>
      <c r="Y1033" s="94"/>
      <c r="Z1033" s="94"/>
      <c r="AA1033" s="106" t="s">
        <v>299</v>
      </c>
      <c r="AB1033" s="1"/>
      <c r="AC1033" s="1"/>
      <c r="AD1033" s="1"/>
      <c r="AE1033" s="1"/>
      <c r="AF1033" s="1"/>
    </row>
    <row r="1034" spans="1:33" ht="14.25" thickBot="1" x14ac:dyDescent="0.2">
      <c r="A1034" s="7" t="s">
        <v>0</v>
      </c>
      <c r="B1034" s="168" t="s">
        <v>1</v>
      </c>
      <c r="C1034" s="169"/>
      <c r="D1034" s="169"/>
      <c r="E1034" s="170"/>
      <c r="F1034" s="168" t="s">
        <v>2</v>
      </c>
      <c r="G1034" s="169"/>
      <c r="H1034" s="169"/>
      <c r="I1034" s="171"/>
      <c r="J1034" s="172" t="s">
        <v>3</v>
      </c>
      <c r="W1034" s="7" t="s">
        <v>0</v>
      </c>
      <c r="X1034" s="174" t="s">
        <v>1</v>
      </c>
      <c r="Y1034" s="175"/>
      <c r="Z1034" s="176"/>
      <c r="AA1034" s="101"/>
      <c r="AB1034" s="174" t="s">
        <v>2</v>
      </c>
      <c r="AC1034" s="175"/>
      <c r="AD1034" s="176"/>
      <c r="AE1034" s="102"/>
      <c r="AF1034" s="103" t="s">
        <v>3</v>
      </c>
    </row>
    <row r="1035" spans="1:33" ht="14.25" thickBot="1" x14ac:dyDescent="0.2">
      <c r="A1035" s="7" t="s">
        <v>4</v>
      </c>
      <c r="B1035" s="3" t="s">
        <v>5</v>
      </c>
      <c r="C1035" s="4" t="s">
        <v>6</v>
      </c>
      <c r="D1035" s="5" t="s">
        <v>7</v>
      </c>
      <c r="E1035" s="7" t="s">
        <v>8</v>
      </c>
      <c r="F1035" s="3" t="s">
        <v>5</v>
      </c>
      <c r="G1035" s="4" t="s">
        <v>6</v>
      </c>
      <c r="H1035" s="5" t="s">
        <v>7</v>
      </c>
      <c r="I1035" s="7" t="s">
        <v>8</v>
      </c>
      <c r="J1035" s="173"/>
      <c r="W1035" s="7" t="s">
        <v>4</v>
      </c>
      <c r="X1035" s="3" t="s">
        <v>5</v>
      </c>
      <c r="Y1035" s="4" t="s">
        <v>6</v>
      </c>
      <c r="Z1035" s="5" t="s">
        <v>7</v>
      </c>
      <c r="AA1035" s="7" t="s">
        <v>8</v>
      </c>
      <c r="AB1035" s="107" t="s">
        <v>5</v>
      </c>
      <c r="AC1035" s="108" t="s">
        <v>6</v>
      </c>
      <c r="AD1035" s="109" t="s">
        <v>7</v>
      </c>
      <c r="AE1035" s="7" t="s">
        <v>8</v>
      </c>
      <c r="AF1035" s="104"/>
    </row>
    <row r="1036" spans="1:33" ht="14.25" thickBot="1" x14ac:dyDescent="0.2">
      <c r="A1036" s="31" t="s">
        <v>14</v>
      </c>
      <c r="B1036" s="32">
        <f>B1030</f>
        <v>60</v>
      </c>
      <c r="C1036" s="33">
        <f>C1030</f>
        <v>62</v>
      </c>
      <c r="D1036" s="34">
        <f>D1030</f>
        <v>56</v>
      </c>
      <c r="E1036" s="41">
        <f>SUM(B1036:D1036)</f>
        <v>178</v>
      </c>
      <c r="F1036" s="32">
        <f>F1030</f>
        <v>21</v>
      </c>
      <c r="G1036" s="33">
        <f>G1030</f>
        <v>40</v>
      </c>
      <c r="H1036" s="34">
        <f>H1030</f>
        <v>56</v>
      </c>
      <c r="I1036" s="41">
        <f>SUM(F1036:H1036)</f>
        <v>117</v>
      </c>
      <c r="J1036" s="41">
        <f>E1036+I1036</f>
        <v>295</v>
      </c>
      <c r="W1036" s="31" t="s">
        <v>14</v>
      </c>
      <c r="X1036" s="32">
        <f>X1030</f>
        <v>722</v>
      </c>
      <c r="Y1036" s="33">
        <f>Y1030</f>
        <v>687</v>
      </c>
      <c r="Z1036" s="33">
        <f>Z1030</f>
        <v>873</v>
      </c>
      <c r="AA1036" s="111">
        <f>SUM(X1036:Z1036)</f>
        <v>2282</v>
      </c>
      <c r="AB1036" s="32">
        <f>AB1030</f>
        <v>159</v>
      </c>
      <c r="AC1036" s="33">
        <f>AC1030</f>
        <v>0</v>
      </c>
      <c r="AD1036" s="95">
        <f>AD1030</f>
        <v>123</v>
      </c>
      <c r="AE1036" s="46">
        <f>SUM(AB1036:AD1036)</f>
        <v>282</v>
      </c>
      <c r="AF1036" s="35">
        <f>AA1036+AE1036</f>
        <v>2564</v>
      </c>
    </row>
    <row r="1037" spans="1:33" x14ac:dyDescent="0.15">
      <c r="A1037" s="28" t="s">
        <v>59</v>
      </c>
      <c r="B1037" s="17">
        <v>1</v>
      </c>
      <c r="C1037" s="18">
        <v>2</v>
      </c>
      <c r="D1037" s="19">
        <v>3</v>
      </c>
      <c r="E1037" s="20">
        <f t="shared" ref="E1037:E1044" si="444">SUM(B1037:D1037)</f>
        <v>6</v>
      </c>
      <c r="F1037" s="21">
        <v>1</v>
      </c>
      <c r="G1037" s="18"/>
      <c r="H1037" s="19">
        <v>2</v>
      </c>
      <c r="I1037" s="20">
        <f t="shared" ref="I1037:I1044" si="445">SUM(F1037:H1037)</f>
        <v>3</v>
      </c>
      <c r="J1037" s="20">
        <f t="shared" ref="J1037:J1044" si="446">E1037+I1037</f>
        <v>9</v>
      </c>
      <c r="K1037" s="71">
        <v>42754</v>
      </c>
      <c r="W1037" s="28" t="s">
        <v>9</v>
      </c>
      <c r="X1037" s="8"/>
      <c r="Y1037" s="9"/>
      <c r="Z1037" s="10"/>
      <c r="AA1037" s="78">
        <f t="shared" ref="AA1037:AA1044" si="447">SUM(X1037:Z1037)</f>
        <v>0</v>
      </c>
      <c r="AB1037" s="21"/>
      <c r="AC1037" s="18"/>
      <c r="AD1037" s="19"/>
      <c r="AE1037" s="78">
        <f t="shared" ref="AE1037:AE1044" si="448">SUM(AB1037:AD1037)</f>
        <v>0</v>
      </c>
      <c r="AF1037" s="78">
        <f t="shared" ref="AF1037:AF1044" si="449">AA1037+AE1037</f>
        <v>0</v>
      </c>
    </row>
    <row r="1038" spans="1:33" x14ac:dyDescent="0.15">
      <c r="A1038" s="28" t="s">
        <v>104</v>
      </c>
      <c r="B1038" s="8">
        <v>4</v>
      </c>
      <c r="C1038" s="9">
        <v>5</v>
      </c>
      <c r="D1038" s="10">
        <v>2</v>
      </c>
      <c r="E1038" s="11">
        <f t="shared" si="444"/>
        <v>11</v>
      </c>
      <c r="F1038" s="12">
        <v>5</v>
      </c>
      <c r="G1038" s="9">
        <v>2</v>
      </c>
      <c r="H1038" s="10">
        <v>2</v>
      </c>
      <c r="I1038" s="11">
        <f t="shared" si="445"/>
        <v>9</v>
      </c>
      <c r="J1038" s="11">
        <f t="shared" si="446"/>
        <v>20</v>
      </c>
      <c r="K1038" s="71">
        <v>42756</v>
      </c>
      <c r="W1038" s="28" t="s">
        <v>10</v>
      </c>
      <c r="X1038" s="8"/>
      <c r="Y1038" s="9"/>
      <c r="Z1038" s="10"/>
      <c r="AA1038" s="11">
        <f t="shared" si="447"/>
        <v>0</v>
      </c>
      <c r="AB1038" s="12"/>
      <c r="AC1038" s="9"/>
      <c r="AD1038" s="10"/>
      <c r="AE1038" s="11">
        <f t="shared" si="448"/>
        <v>0</v>
      </c>
      <c r="AF1038" s="11">
        <f t="shared" si="449"/>
        <v>0</v>
      </c>
      <c r="AG1038" s="65"/>
    </row>
    <row r="1039" spans="1:33" x14ac:dyDescent="0.15">
      <c r="A1039" s="28" t="s">
        <v>497</v>
      </c>
      <c r="B1039" s="8">
        <v>3</v>
      </c>
      <c r="C1039" s="9">
        <v>21</v>
      </c>
      <c r="D1039" s="10">
        <v>9</v>
      </c>
      <c r="E1039" s="11">
        <f t="shared" si="444"/>
        <v>33</v>
      </c>
      <c r="F1039" s="12">
        <v>12</v>
      </c>
      <c r="G1039" s="9">
        <v>6</v>
      </c>
      <c r="H1039" s="10">
        <v>6</v>
      </c>
      <c r="I1039" s="11">
        <f t="shared" si="445"/>
        <v>24</v>
      </c>
      <c r="J1039" s="11">
        <f t="shared" si="446"/>
        <v>57</v>
      </c>
      <c r="K1039" s="71">
        <v>42760</v>
      </c>
      <c r="W1039" s="28" t="s">
        <v>11</v>
      </c>
      <c r="X1039" s="8"/>
      <c r="Y1039" s="9"/>
      <c r="Z1039" s="10"/>
      <c r="AA1039" s="11">
        <f t="shared" si="447"/>
        <v>0</v>
      </c>
      <c r="AB1039" s="12"/>
      <c r="AC1039" s="9"/>
      <c r="AD1039" s="10"/>
      <c r="AE1039" s="11">
        <f t="shared" si="448"/>
        <v>0</v>
      </c>
      <c r="AF1039" s="11">
        <f t="shared" si="449"/>
        <v>0</v>
      </c>
    </row>
    <row r="1040" spans="1:33" x14ac:dyDescent="0.15">
      <c r="A1040" s="28" t="s">
        <v>104</v>
      </c>
      <c r="B1040" s="8"/>
      <c r="C1040" s="9">
        <v>1</v>
      </c>
      <c r="D1040" s="10"/>
      <c r="E1040" s="11">
        <f t="shared" si="444"/>
        <v>1</v>
      </c>
      <c r="F1040" s="12">
        <v>1</v>
      </c>
      <c r="G1040" s="9"/>
      <c r="H1040" s="10"/>
      <c r="I1040" s="11">
        <f t="shared" si="445"/>
        <v>1</v>
      </c>
      <c r="J1040" s="11">
        <f t="shared" si="446"/>
        <v>2</v>
      </c>
      <c r="K1040" s="71">
        <v>42760</v>
      </c>
      <c r="W1040" s="28" t="s">
        <v>12</v>
      </c>
      <c r="X1040" s="8"/>
      <c r="Y1040" s="9"/>
      <c r="Z1040" s="10"/>
      <c r="AA1040" s="11">
        <f t="shared" si="447"/>
        <v>0</v>
      </c>
      <c r="AB1040" s="12"/>
      <c r="AC1040" s="9"/>
      <c r="AD1040" s="10"/>
      <c r="AE1040" s="11">
        <f t="shared" si="448"/>
        <v>0</v>
      </c>
      <c r="AF1040" s="11">
        <f t="shared" si="449"/>
        <v>0</v>
      </c>
    </row>
    <row r="1041" spans="1:33" x14ac:dyDescent="0.15">
      <c r="A1041" s="28" t="s">
        <v>558</v>
      </c>
      <c r="B1041" s="8">
        <v>8</v>
      </c>
      <c r="C1041" s="9">
        <v>11</v>
      </c>
      <c r="D1041" s="10">
        <v>7</v>
      </c>
      <c r="E1041" s="11">
        <f t="shared" si="444"/>
        <v>26</v>
      </c>
      <c r="F1041" s="12">
        <v>5</v>
      </c>
      <c r="G1041" s="9">
        <v>5</v>
      </c>
      <c r="H1041" s="10">
        <v>4</v>
      </c>
      <c r="I1041" s="11">
        <f t="shared" si="445"/>
        <v>14</v>
      </c>
      <c r="J1041" s="11">
        <f t="shared" si="446"/>
        <v>40</v>
      </c>
      <c r="K1041" s="71">
        <v>42773</v>
      </c>
      <c r="W1041" s="28" t="s">
        <v>15</v>
      </c>
      <c r="X1041" s="8"/>
      <c r="Y1041" s="9"/>
      <c r="Z1041" s="10"/>
      <c r="AA1041" s="11">
        <f t="shared" si="447"/>
        <v>0</v>
      </c>
      <c r="AB1041" s="12"/>
      <c r="AC1041" s="9"/>
      <c r="AD1041" s="10"/>
      <c r="AE1041" s="11">
        <f t="shared" si="448"/>
        <v>0</v>
      </c>
      <c r="AF1041" s="11">
        <f t="shared" si="449"/>
        <v>0</v>
      </c>
    </row>
    <row r="1042" spans="1:33" x14ac:dyDescent="0.15">
      <c r="A1042" s="28" t="s">
        <v>16</v>
      </c>
      <c r="B1042" s="8"/>
      <c r="C1042" s="9"/>
      <c r="D1042" s="10"/>
      <c r="E1042" s="11">
        <f t="shared" si="444"/>
        <v>0</v>
      </c>
      <c r="F1042" s="12"/>
      <c r="G1042" s="9"/>
      <c r="H1042" s="10"/>
      <c r="I1042" s="11">
        <f t="shared" si="445"/>
        <v>0</v>
      </c>
      <c r="J1042" s="11">
        <f t="shared" si="446"/>
        <v>0</v>
      </c>
      <c r="W1042" s="28" t="s">
        <v>16</v>
      </c>
      <c r="X1042" s="8"/>
      <c r="Y1042" s="9"/>
      <c r="Z1042" s="10"/>
      <c r="AA1042" s="11">
        <f t="shared" si="447"/>
        <v>0</v>
      </c>
      <c r="AB1042" s="12"/>
      <c r="AC1042" s="9"/>
      <c r="AD1042" s="10"/>
      <c r="AE1042" s="11">
        <f t="shared" si="448"/>
        <v>0</v>
      </c>
      <c r="AF1042" s="11">
        <f t="shared" si="449"/>
        <v>0</v>
      </c>
    </row>
    <row r="1043" spans="1:33" x14ac:dyDescent="0.15">
      <c r="A1043" s="28" t="s">
        <v>17</v>
      </c>
      <c r="B1043" s="13"/>
      <c r="C1043" s="14">
        <v>50</v>
      </c>
      <c r="D1043" s="15">
        <v>50</v>
      </c>
      <c r="E1043" s="11">
        <f t="shared" si="444"/>
        <v>100</v>
      </c>
      <c r="F1043" s="16">
        <v>50</v>
      </c>
      <c r="G1043" s="14">
        <v>50</v>
      </c>
      <c r="H1043" s="15"/>
      <c r="I1043" s="11">
        <f t="shared" si="445"/>
        <v>100</v>
      </c>
      <c r="J1043" s="11">
        <f t="shared" si="446"/>
        <v>200</v>
      </c>
      <c r="K1043" s="65">
        <v>42781</v>
      </c>
      <c r="W1043" s="28" t="s">
        <v>546</v>
      </c>
      <c r="X1043" s="8"/>
      <c r="Y1043" s="9"/>
      <c r="Z1043" s="10"/>
      <c r="AA1043" s="11">
        <f t="shared" si="447"/>
        <v>0</v>
      </c>
      <c r="AB1043" s="12">
        <v>100</v>
      </c>
      <c r="AC1043" s="9">
        <v>300</v>
      </c>
      <c r="AD1043" s="10">
        <v>100</v>
      </c>
      <c r="AE1043" s="11">
        <f t="shared" si="448"/>
        <v>500</v>
      </c>
      <c r="AF1043" s="11">
        <f t="shared" si="449"/>
        <v>500</v>
      </c>
      <c r="AG1043" s="65">
        <v>42767</v>
      </c>
    </row>
    <row r="1044" spans="1:33" ht="14.25" thickBot="1" x14ac:dyDescent="0.2">
      <c r="A1044" s="28" t="s">
        <v>228</v>
      </c>
      <c r="B1044" s="36"/>
      <c r="C1044" s="37"/>
      <c r="D1044" s="40">
        <v>3</v>
      </c>
      <c r="E1044" s="22">
        <f t="shared" si="444"/>
        <v>3</v>
      </c>
      <c r="F1044" s="38"/>
      <c r="G1044" s="38"/>
      <c r="H1044" s="43"/>
      <c r="I1044" s="22">
        <f t="shared" si="445"/>
        <v>0</v>
      </c>
      <c r="J1044" s="22">
        <f t="shared" si="446"/>
        <v>3</v>
      </c>
      <c r="K1044" s="71">
        <v>42782</v>
      </c>
      <c r="W1044" s="28" t="s">
        <v>18</v>
      </c>
      <c r="X1044" s="36"/>
      <c r="Y1044" s="37"/>
      <c r="Z1044" s="40"/>
      <c r="AA1044" s="22">
        <f t="shared" si="447"/>
        <v>0</v>
      </c>
      <c r="AB1044" s="38"/>
      <c r="AC1044" s="38"/>
      <c r="AD1044" s="43"/>
      <c r="AE1044" s="22">
        <f t="shared" si="448"/>
        <v>0</v>
      </c>
      <c r="AF1044" s="22">
        <f t="shared" si="449"/>
        <v>0</v>
      </c>
    </row>
    <row r="1045" spans="1:33" ht="14.25" thickBot="1" x14ac:dyDescent="0.2">
      <c r="A1045" s="39" t="s">
        <v>20</v>
      </c>
      <c r="B1045" s="32">
        <f t="shared" ref="B1045:J1045" si="450">SUM(B1036:B1044)</f>
        <v>76</v>
      </c>
      <c r="C1045" s="33">
        <f t="shared" si="450"/>
        <v>152</v>
      </c>
      <c r="D1045" s="34">
        <f t="shared" si="450"/>
        <v>130</v>
      </c>
      <c r="E1045" s="42">
        <f t="shared" si="450"/>
        <v>358</v>
      </c>
      <c r="F1045" s="32">
        <f t="shared" si="450"/>
        <v>95</v>
      </c>
      <c r="G1045" s="33">
        <f t="shared" si="450"/>
        <v>103</v>
      </c>
      <c r="H1045" s="34">
        <f t="shared" si="450"/>
        <v>70</v>
      </c>
      <c r="I1045" s="42">
        <f t="shared" si="450"/>
        <v>268</v>
      </c>
      <c r="J1045" s="42">
        <f t="shared" si="450"/>
        <v>626</v>
      </c>
      <c r="W1045" s="39" t="s">
        <v>20</v>
      </c>
      <c r="X1045" s="32">
        <f t="shared" ref="X1045:AF1045" si="451">SUM(X1036:X1044)</f>
        <v>722</v>
      </c>
      <c r="Y1045" s="33">
        <f t="shared" si="451"/>
        <v>687</v>
      </c>
      <c r="Z1045" s="34">
        <f t="shared" si="451"/>
        <v>873</v>
      </c>
      <c r="AA1045" s="42">
        <f t="shared" si="451"/>
        <v>2282</v>
      </c>
      <c r="AB1045" s="32">
        <f t="shared" si="451"/>
        <v>259</v>
      </c>
      <c r="AC1045" s="33">
        <f t="shared" si="451"/>
        <v>300</v>
      </c>
      <c r="AD1045" s="34">
        <f t="shared" si="451"/>
        <v>223</v>
      </c>
      <c r="AE1045" s="42">
        <f t="shared" si="451"/>
        <v>782</v>
      </c>
      <c r="AF1045" s="42">
        <f t="shared" si="451"/>
        <v>3064</v>
      </c>
    </row>
    <row r="1046" spans="1:33" x14ac:dyDescent="0.15">
      <c r="A1046" s="26" t="s">
        <v>552</v>
      </c>
      <c r="B1046" s="13"/>
      <c r="C1046" s="14"/>
      <c r="D1046" s="15"/>
      <c r="E1046" s="11">
        <f>SUM(B1046:D1046)</f>
        <v>0</v>
      </c>
      <c r="F1046" s="16">
        <v>1</v>
      </c>
      <c r="G1046" s="14"/>
      <c r="H1046" s="15"/>
      <c r="I1046" s="11">
        <f>SUM(F1046:H1046)</f>
        <v>1</v>
      </c>
      <c r="J1046" s="11">
        <f>E1046+I1046</f>
        <v>1</v>
      </c>
      <c r="K1046" s="71">
        <v>42751</v>
      </c>
      <c r="W1046" s="28" t="s">
        <v>182</v>
      </c>
      <c r="X1046" s="13"/>
      <c r="Y1046" s="14">
        <v>50</v>
      </c>
      <c r="Z1046" s="15">
        <v>50</v>
      </c>
      <c r="AA1046" s="11">
        <f>SUM(X1046:Z1046)</f>
        <v>100</v>
      </c>
      <c r="AB1046" s="16">
        <v>50</v>
      </c>
      <c r="AC1046" s="14">
        <v>50</v>
      </c>
      <c r="AD1046" s="15"/>
      <c r="AE1046" s="11">
        <f>SUM(AB1046:AD1046)</f>
        <v>100</v>
      </c>
      <c r="AF1046" s="11">
        <f>AA1046+AE1046</f>
        <v>200</v>
      </c>
      <c r="AG1046" s="65">
        <v>42781</v>
      </c>
    </row>
    <row r="1047" spans="1:33" x14ac:dyDescent="0.15">
      <c r="A1047" s="29" t="s">
        <v>553</v>
      </c>
      <c r="B1047" s="13"/>
      <c r="C1047" s="14"/>
      <c r="D1047" s="15">
        <v>2</v>
      </c>
      <c r="E1047" s="11">
        <f t="shared" ref="E1047:E1071" si="452">SUM(B1047:D1047)</f>
        <v>2</v>
      </c>
      <c r="F1047" s="16"/>
      <c r="G1047" s="14"/>
      <c r="H1047" s="15"/>
      <c r="I1047" s="11">
        <f t="shared" ref="I1047:I1071" si="453">SUM(F1047:H1047)</f>
        <v>0</v>
      </c>
      <c r="J1047" s="11">
        <f t="shared" ref="J1047:J1071" si="454">E1047+I1047</f>
        <v>2</v>
      </c>
      <c r="K1047" s="65">
        <v>42753</v>
      </c>
      <c r="W1047" s="27" t="s">
        <v>564</v>
      </c>
      <c r="X1047" s="8">
        <v>38</v>
      </c>
      <c r="Y1047" s="9"/>
      <c r="Z1047" s="10"/>
      <c r="AA1047" s="11">
        <f>SUM(X1047:Z1047)</f>
        <v>38</v>
      </c>
      <c r="AB1047" s="12"/>
      <c r="AC1047" s="9"/>
      <c r="AD1047" s="10"/>
      <c r="AE1047" s="11">
        <f>SUM(AB1047:AD1047)</f>
        <v>0</v>
      </c>
      <c r="AF1047" s="11">
        <f>AA1047+AE1047</f>
        <v>38</v>
      </c>
      <c r="AG1047" s="65">
        <v>42781</v>
      </c>
    </row>
    <row r="1048" spans="1:33" x14ac:dyDescent="0.15">
      <c r="A1048" s="29" t="s">
        <v>397</v>
      </c>
      <c r="B1048" s="8"/>
      <c r="C1048" s="9"/>
      <c r="D1048" s="10">
        <v>1</v>
      </c>
      <c r="E1048" s="11">
        <f t="shared" si="452"/>
        <v>1</v>
      </c>
      <c r="F1048" s="12"/>
      <c r="G1048" s="9"/>
      <c r="H1048" s="10"/>
      <c r="I1048" s="11">
        <f t="shared" si="453"/>
        <v>0</v>
      </c>
      <c r="J1048" s="11">
        <f t="shared" si="454"/>
        <v>1</v>
      </c>
      <c r="K1048" s="65">
        <v>42756</v>
      </c>
      <c r="W1048" s="92" t="s">
        <v>565</v>
      </c>
      <c r="X1048" s="8">
        <v>220</v>
      </c>
      <c r="Y1048" s="9">
        <v>230</v>
      </c>
      <c r="Z1048" s="10">
        <v>90</v>
      </c>
      <c r="AA1048" s="11">
        <f t="shared" ref="AA1048:AA1071" si="455">SUM(X1048:Z1048)</f>
        <v>540</v>
      </c>
      <c r="AB1048" s="12">
        <v>100</v>
      </c>
      <c r="AC1048" s="9">
        <v>55</v>
      </c>
      <c r="AD1048" s="10">
        <v>110</v>
      </c>
      <c r="AE1048" s="11">
        <f t="shared" ref="AE1048:AE1071" si="456">SUM(AB1048:AD1048)</f>
        <v>265</v>
      </c>
      <c r="AF1048" s="11">
        <f t="shared" ref="AF1048:AF1071" si="457">AA1048+AE1048</f>
        <v>805</v>
      </c>
      <c r="AG1048" s="65">
        <v>42782</v>
      </c>
    </row>
    <row r="1049" spans="1:33" x14ac:dyDescent="0.15">
      <c r="A1049" s="27" t="s">
        <v>561</v>
      </c>
      <c r="B1049" s="8"/>
      <c r="C1049" s="9"/>
      <c r="D1049" s="10"/>
      <c r="E1049" s="11">
        <f t="shared" si="452"/>
        <v>0</v>
      </c>
      <c r="F1049" s="12"/>
      <c r="G1049" s="9"/>
      <c r="H1049" s="10">
        <v>3</v>
      </c>
      <c r="I1049" s="11">
        <f t="shared" si="453"/>
        <v>3</v>
      </c>
      <c r="J1049" s="11">
        <f t="shared" si="454"/>
        <v>3</v>
      </c>
      <c r="K1049" s="71">
        <v>42758</v>
      </c>
      <c r="W1049" s="28"/>
      <c r="X1049" s="8"/>
      <c r="Y1049" s="9"/>
      <c r="Z1049" s="10"/>
      <c r="AA1049" s="11">
        <f t="shared" si="455"/>
        <v>0</v>
      </c>
      <c r="AB1049" s="12"/>
      <c r="AC1049" s="9"/>
      <c r="AD1049" s="10"/>
      <c r="AE1049" s="11">
        <f t="shared" si="456"/>
        <v>0</v>
      </c>
      <c r="AF1049" s="11">
        <f t="shared" si="457"/>
        <v>0</v>
      </c>
      <c r="AG1049" s="65"/>
    </row>
    <row r="1050" spans="1:33" x14ac:dyDescent="0.15">
      <c r="A1050" s="27" t="s">
        <v>207</v>
      </c>
      <c r="B1050" s="8"/>
      <c r="C1050" s="9"/>
      <c r="D1050" s="10"/>
      <c r="E1050" s="11">
        <f t="shared" si="452"/>
        <v>0</v>
      </c>
      <c r="F1050" s="12">
        <v>1</v>
      </c>
      <c r="G1050" s="9"/>
      <c r="H1050" s="10"/>
      <c r="I1050" s="11">
        <f t="shared" si="453"/>
        <v>1</v>
      </c>
      <c r="J1050" s="11">
        <f t="shared" si="454"/>
        <v>1</v>
      </c>
      <c r="K1050" s="71">
        <v>42758</v>
      </c>
      <c r="W1050" s="29"/>
      <c r="X1050" s="8"/>
      <c r="Y1050" s="9"/>
      <c r="Z1050" s="10"/>
      <c r="AA1050" s="11">
        <f t="shared" si="455"/>
        <v>0</v>
      </c>
      <c r="AB1050" s="12"/>
      <c r="AC1050" s="9"/>
      <c r="AD1050" s="10"/>
      <c r="AE1050" s="11">
        <f t="shared" si="456"/>
        <v>0</v>
      </c>
      <c r="AF1050" s="11">
        <f t="shared" si="457"/>
        <v>0</v>
      </c>
    </row>
    <row r="1051" spans="1:33" x14ac:dyDescent="0.15">
      <c r="A1051" s="27" t="s">
        <v>554</v>
      </c>
      <c r="B1051" s="8">
        <v>1</v>
      </c>
      <c r="C1051" s="9"/>
      <c r="D1051" s="10"/>
      <c r="E1051" s="11">
        <f t="shared" si="452"/>
        <v>1</v>
      </c>
      <c r="F1051" s="12"/>
      <c r="G1051" s="9"/>
      <c r="H1051" s="10"/>
      <c r="I1051" s="11">
        <f t="shared" si="453"/>
        <v>0</v>
      </c>
      <c r="J1051" s="11">
        <f t="shared" si="454"/>
        <v>1</v>
      </c>
      <c r="K1051" s="71">
        <v>42761</v>
      </c>
      <c r="W1051" s="27"/>
      <c r="X1051" s="8"/>
      <c r="Y1051" s="9"/>
      <c r="Z1051" s="10"/>
      <c r="AA1051" s="11">
        <f t="shared" si="455"/>
        <v>0</v>
      </c>
      <c r="AB1051" s="12"/>
      <c r="AC1051" s="9"/>
      <c r="AD1051" s="10"/>
      <c r="AE1051" s="11">
        <f t="shared" si="456"/>
        <v>0</v>
      </c>
      <c r="AF1051" s="11">
        <f t="shared" si="457"/>
        <v>0</v>
      </c>
    </row>
    <row r="1052" spans="1:33" x14ac:dyDescent="0.15">
      <c r="A1052" s="29" t="s">
        <v>555</v>
      </c>
      <c r="B1052" s="8"/>
      <c r="C1052" s="9">
        <v>2</v>
      </c>
      <c r="D1052" s="10">
        <v>1</v>
      </c>
      <c r="E1052" s="11">
        <f t="shared" si="452"/>
        <v>3</v>
      </c>
      <c r="F1052" s="12"/>
      <c r="G1052" s="9">
        <v>2</v>
      </c>
      <c r="H1052" s="10"/>
      <c r="I1052" s="11">
        <f t="shared" si="453"/>
        <v>2</v>
      </c>
      <c r="J1052" s="11">
        <f t="shared" si="454"/>
        <v>5</v>
      </c>
      <c r="K1052" s="65">
        <v>42766</v>
      </c>
      <c r="W1052" s="29"/>
      <c r="X1052" s="8"/>
      <c r="Y1052" s="9"/>
      <c r="Z1052" s="10"/>
      <c r="AA1052" s="11">
        <f t="shared" si="455"/>
        <v>0</v>
      </c>
      <c r="AB1052" s="12"/>
      <c r="AC1052" s="9"/>
      <c r="AD1052" s="10"/>
      <c r="AE1052" s="11">
        <f t="shared" si="456"/>
        <v>0</v>
      </c>
      <c r="AF1052" s="11">
        <f t="shared" si="457"/>
        <v>0</v>
      </c>
    </row>
    <row r="1053" spans="1:33" x14ac:dyDescent="0.15">
      <c r="A1053" s="29" t="s">
        <v>557</v>
      </c>
      <c r="B1053" s="8"/>
      <c r="C1053" s="9">
        <v>3</v>
      </c>
      <c r="D1053" s="10">
        <v>1</v>
      </c>
      <c r="E1053" s="11">
        <f t="shared" si="452"/>
        <v>4</v>
      </c>
      <c r="F1053" s="12"/>
      <c r="G1053" s="9">
        <v>1</v>
      </c>
      <c r="H1053" s="10">
        <v>1</v>
      </c>
      <c r="I1053" s="11">
        <f t="shared" si="453"/>
        <v>2</v>
      </c>
      <c r="J1053" s="11">
        <f t="shared" si="454"/>
        <v>6</v>
      </c>
      <c r="K1053" s="65">
        <v>42768</v>
      </c>
      <c r="W1053" s="29"/>
      <c r="X1053" s="8"/>
      <c r="Y1053" s="9"/>
      <c r="Z1053" s="10"/>
      <c r="AA1053" s="11">
        <f t="shared" si="455"/>
        <v>0</v>
      </c>
      <c r="AB1053" s="12"/>
      <c r="AC1053" s="9"/>
      <c r="AD1053" s="10"/>
      <c r="AE1053" s="11">
        <f t="shared" si="456"/>
        <v>0</v>
      </c>
      <c r="AF1053" s="11">
        <f t="shared" si="457"/>
        <v>0</v>
      </c>
    </row>
    <row r="1054" spans="1:33" x14ac:dyDescent="0.15">
      <c r="A1054" s="92" t="s">
        <v>556</v>
      </c>
      <c r="B1054" s="13">
        <v>10</v>
      </c>
      <c r="C1054" s="14">
        <v>10</v>
      </c>
      <c r="D1054" s="15">
        <v>10</v>
      </c>
      <c r="E1054" s="11">
        <f t="shared" si="452"/>
        <v>30</v>
      </c>
      <c r="F1054" s="16">
        <v>10</v>
      </c>
      <c r="G1054" s="14">
        <v>10</v>
      </c>
      <c r="H1054" s="15">
        <v>10</v>
      </c>
      <c r="I1054" s="11">
        <f t="shared" si="453"/>
        <v>30</v>
      </c>
      <c r="J1054" s="11">
        <f t="shared" si="454"/>
        <v>60</v>
      </c>
      <c r="K1054" s="65">
        <v>42776</v>
      </c>
      <c r="W1054" s="27"/>
      <c r="X1054" s="8"/>
      <c r="Y1054" s="9"/>
      <c r="Z1054" s="10"/>
      <c r="AA1054" s="11">
        <f t="shared" si="455"/>
        <v>0</v>
      </c>
      <c r="AB1054" s="12"/>
      <c r="AC1054" s="9"/>
      <c r="AD1054" s="10"/>
      <c r="AE1054" s="11">
        <f t="shared" si="456"/>
        <v>0</v>
      </c>
      <c r="AF1054" s="11">
        <f t="shared" si="457"/>
        <v>0</v>
      </c>
    </row>
    <row r="1055" spans="1:33" x14ac:dyDescent="0.15">
      <c r="A1055" s="29" t="s">
        <v>562</v>
      </c>
      <c r="B1055" s="13">
        <v>4</v>
      </c>
      <c r="C1055" s="14">
        <v>2</v>
      </c>
      <c r="D1055" s="15"/>
      <c r="E1055" s="11">
        <f t="shared" si="452"/>
        <v>6</v>
      </c>
      <c r="F1055" s="16"/>
      <c r="G1055" s="14"/>
      <c r="H1055" s="15">
        <v>1</v>
      </c>
      <c r="I1055" s="11">
        <f t="shared" si="453"/>
        <v>1</v>
      </c>
      <c r="J1055" s="11">
        <f t="shared" si="454"/>
        <v>7</v>
      </c>
      <c r="K1055" s="65">
        <v>42770</v>
      </c>
      <c r="W1055" s="29"/>
      <c r="X1055" s="13"/>
      <c r="Y1055" s="14"/>
      <c r="Z1055" s="15"/>
      <c r="AA1055" s="11">
        <f t="shared" si="455"/>
        <v>0</v>
      </c>
      <c r="AB1055" s="16"/>
      <c r="AC1055" s="14"/>
      <c r="AD1055" s="15"/>
      <c r="AE1055" s="11">
        <f t="shared" si="456"/>
        <v>0</v>
      </c>
      <c r="AF1055" s="11">
        <f t="shared" si="457"/>
        <v>0</v>
      </c>
    </row>
    <row r="1056" spans="1:33" x14ac:dyDescent="0.15">
      <c r="A1056" s="29" t="s">
        <v>559</v>
      </c>
      <c r="B1056" s="8">
        <v>8</v>
      </c>
      <c r="C1056" s="9">
        <v>11</v>
      </c>
      <c r="D1056" s="10">
        <v>7</v>
      </c>
      <c r="E1056" s="11">
        <f t="shared" si="452"/>
        <v>26</v>
      </c>
      <c r="F1056" s="12">
        <v>5</v>
      </c>
      <c r="G1056" s="9">
        <v>5</v>
      </c>
      <c r="H1056" s="10">
        <v>4</v>
      </c>
      <c r="I1056" s="11">
        <f t="shared" si="453"/>
        <v>14</v>
      </c>
      <c r="J1056" s="11">
        <f t="shared" si="454"/>
        <v>40</v>
      </c>
      <c r="K1056" s="65">
        <v>42779</v>
      </c>
      <c r="W1056" s="29"/>
      <c r="X1056" s="8"/>
      <c r="Y1056" s="9"/>
      <c r="Z1056" s="10"/>
      <c r="AA1056" s="11">
        <f t="shared" si="455"/>
        <v>0</v>
      </c>
      <c r="AB1056" s="12"/>
      <c r="AC1056" s="9"/>
      <c r="AD1056" s="10"/>
      <c r="AE1056" s="11">
        <f t="shared" si="456"/>
        <v>0</v>
      </c>
      <c r="AF1056" s="11">
        <f t="shared" si="457"/>
        <v>0</v>
      </c>
    </row>
    <row r="1057" spans="1:33" x14ac:dyDescent="0.15">
      <c r="A1057" s="29" t="s">
        <v>560</v>
      </c>
      <c r="B1057" s="8"/>
      <c r="C1057" s="9"/>
      <c r="D1057" s="10"/>
      <c r="E1057" s="11">
        <f t="shared" si="452"/>
        <v>0</v>
      </c>
      <c r="F1057" s="12"/>
      <c r="G1057" s="9"/>
      <c r="H1057" s="10">
        <v>2</v>
      </c>
      <c r="I1057" s="11">
        <f t="shared" si="453"/>
        <v>2</v>
      </c>
      <c r="J1057" s="11">
        <f t="shared" si="454"/>
        <v>2</v>
      </c>
      <c r="K1057" s="71">
        <v>42774</v>
      </c>
      <c r="W1057" s="29"/>
      <c r="X1057" s="8"/>
      <c r="Y1057" s="9"/>
      <c r="Z1057" s="10"/>
      <c r="AA1057" s="11">
        <f t="shared" si="455"/>
        <v>0</v>
      </c>
      <c r="AB1057" s="12"/>
      <c r="AC1057" s="9"/>
      <c r="AD1057" s="10"/>
      <c r="AE1057" s="11">
        <f t="shared" si="456"/>
        <v>0</v>
      </c>
      <c r="AF1057" s="11">
        <f t="shared" si="457"/>
        <v>0</v>
      </c>
    </row>
    <row r="1058" spans="1:33" x14ac:dyDescent="0.15">
      <c r="A1058" s="27" t="s">
        <v>563</v>
      </c>
      <c r="B1058" s="8"/>
      <c r="C1058" s="9"/>
      <c r="D1058" s="10"/>
      <c r="E1058" s="11">
        <f t="shared" si="452"/>
        <v>0</v>
      </c>
      <c r="F1058" s="12">
        <v>2</v>
      </c>
      <c r="G1058" s="9"/>
      <c r="H1058" s="10"/>
      <c r="I1058" s="11">
        <f t="shared" si="453"/>
        <v>2</v>
      </c>
      <c r="J1058" s="11">
        <f t="shared" si="454"/>
        <v>2</v>
      </c>
      <c r="K1058" s="65">
        <v>42775</v>
      </c>
      <c r="W1058" s="27"/>
      <c r="X1058" s="8"/>
      <c r="Y1058" s="9"/>
      <c r="Z1058" s="10"/>
      <c r="AA1058" s="11">
        <f t="shared" si="455"/>
        <v>0</v>
      </c>
      <c r="AB1058" s="12"/>
      <c r="AC1058" s="9"/>
      <c r="AD1058" s="10"/>
      <c r="AE1058" s="11">
        <f t="shared" si="456"/>
        <v>0</v>
      </c>
      <c r="AF1058" s="11">
        <f t="shared" si="457"/>
        <v>0</v>
      </c>
    </row>
    <row r="1059" spans="1:33" x14ac:dyDescent="0.15">
      <c r="A1059" s="27" t="s">
        <v>386</v>
      </c>
      <c r="B1059" s="8">
        <v>2</v>
      </c>
      <c r="C1059" s="9">
        <v>6</v>
      </c>
      <c r="D1059" s="10"/>
      <c r="E1059" s="11">
        <f t="shared" si="452"/>
        <v>8</v>
      </c>
      <c r="F1059" s="12">
        <v>2</v>
      </c>
      <c r="G1059" s="9">
        <v>2</v>
      </c>
      <c r="H1059" s="10">
        <v>1</v>
      </c>
      <c r="I1059" s="11">
        <f t="shared" si="453"/>
        <v>5</v>
      </c>
      <c r="J1059" s="11">
        <f t="shared" si="454"/>
        <v>13</v>
      </c>
      <c r="K1059" s="71">
        <v>42776</v>
      </c>
      <c r="W1059" s="29"/>
      <c r="X1059" s="8"/>
      <c r="Y1059" s="9"/>
      <c r="Z1059" s="10"/>
      <c r="AA1059" s="11">
        <f t="shared" si="455"/>
        <v>0</v>
      </c>
      <c r="AB1059" s="12"/>
      <c r="AC1059" s="9"/>
      <c r="AD1059" s="10"/>
      <c r="AE1059" s="11">
        <f t="shared" si="456"/>
        <v>0</v>
      </c>
      <c r="AF1059" s="11">
        <f t="shared" si="457"/>
        <v>0</v>
      </c>
    </row>
    <row r="1060" spans="1:33" x14ac:dyDescent="0.15">
      <c r="A1060" s="27" t="s">
        <v>386</v>
      </c>
      <c r="B1060" s="8"/>
      <c r="C1060" s="9">
        <v>8</v>
      </c>
      <c r="D1060" s="10"/>
      <c r="E1060" s="11">
        <f t="shared" si="452"/>
        <v>8</v>
      </c>
      <c r="F1060" s="12"/>
      <c r="G1060" s="9"/>
      <c r="H1060" s="10"/>
      <c r="I1060" s="11">
        <f t="shared" si="453"/>
        <v>0</v>
      </c>
      <c r="J1060" s="11">
        <f t="shared" si="454"/>
        <v>8</v>
      </c>
      <c r="K1060" s="65">
        <v>42777</v>
      </c>
      <c r="W1060" s="29"/>
      <c r="X1060" s="8"/>
      <c r="Y1060" s="9"/>
      <c r="Z1060" s="10"/>
      <c r="AA1060" s="11">
        <f t="shared" si="455"/>
        <v>0</v>
      </c>
      <c r="AB1060" s="12"/>
      <c r="AC1060" s="9"/>
      <c r="AD1060" s="10"/>
      <c r="AE1060" s="11">
        <f t="shared" si="456"/>
        <v>0</v>
      </c>
      <c r="AF1060" s="11">
        <f t="shared" si="457"/>
        <v>0</v>
      </c>
    </row>
    <row r="1061" spans="1:33" x14ac:dyDescent="0.15">
      <c r="A1061" s="27" t="s">
        <v>386</v>
      </c>
      <c r="B1061" s="8">
        <v>0</v>
      </c>
      <c r="C1061" s="9">
        <v>60</v>
      </c>
      <c r="D1061" s="10">
        <v>40</v>
      </c>
      <c r="E1061" s="11">
        <f t="shared" si="452"/>
        <v>100</v>
      </c>
      <c r="F1061" s="12">
        <v>22</v>
      </c>
      <c r="G1061" s="9">
        <v>30</v>
      </c>
      <c r="H1061" s="10">
        <v>21</v>
      </c>
      <c r="I1061" s="11">
        <f t="shared" si="453"/>
        <v>73</v>
      </c>
      <c r="J1061" s="11">
        <f t="shared" si="454"/>
        <v>173</v>
      </c>
      <c r="K1061" s="65">
        <v>42780</v>
      </c>
      <c r="W1061" s="27"/>
      <c r="X1061" s="8"/>
      <c r="Y1061" s="9"/>
      <c r="Z1061" s="10"/>
      <c r="AA1061" s="11">
        <f t="shared" si="455"/>
        <v>0</v>
      </c>
      <c r="AB1061" s="12"/>
      <c r="AC1061" s="9"/>
      <c r="AD1061" s="10"/>
      <c r="AE1061" s="11">
        <f t="shared" si="456"/>
        <v>0</v>
      </c>
      <c r="AF1061" s="11">
        <f t="shared" si="457"/>
        <v>0</v>
      </c>
    </row>
    <row r="1062" spans="1:33" x14ac:dyDescent="0.15">
      <c r="A1062" s="27" t="s">
        <v>386</v>
      </c>
      <c r="B1062" s="8">
        <v>3</v>
      </c>
      <c r="C1062" s="9"/>
      <c r="D1062" s="10">
        <v>3</v>
      </c>
      <c r="E1062" s="11">
        <f t="shared" si="452"/>
        <v>6</v>
      </c>
      <c r="F1062" s="12"/>
      <c r="G1062" s="9"/>
      <c r="H1062" s="10"/>
      <c r="I1062" s="11">
        <f t="shared" si="453"/>
        <v>0</v>
      </c>
      <c r="J1062" s="11">
        <f t="shared" si="454"/>
        <v>6</v>
      </c>
      <c r="K1062" s="65">
        <v>42781</v>
      </c>
      <c r="W1062" s="29"/>
      <c r="X1062" s="8"/>
      <c r="Y1062" s="9"/>
      <c r="Z1062" s="10"/>
      <c r="AA1062" s="11">
        <f t="shared" si="455"/>
        <v>0</v>
      </c>
      <c r="AB1062" s="12"/>
      <c r="AC1062" s="9"/>
      <c r="AD1062" s="10"/>
      <c r="AE1062" s="11">
        <f t="shared" si="456"/>
        <v>0</v>
      </c>
      <c r="AF1062" s="11">
        <f t="shared" si="457"/>
        <v>0</v>
      </c>
    </row>
    <row r="1063" spans="1:33" x14ac:dyDescent="0.15">
      <c r="A1063" s="27" t="s">
        <v>566</v>
      </c>
      <c r="B1063" s="8"/>
      <c r="C1063" s="9"/>
      <c r="D1063" s="10">
        <v>1</v>
      </c>
      <c r="E1063" s="11">
        <f t="shared" si="452"/>
        <v>1</v>
      </c>
      <c r="F1063" s="12"/>
      <c r="G1063" s="9"/>
      <c r="H1063" s="10"/>
      <c r="I1063" s="11">
        <f t="shared" si="453"/>
        <v>0</v>
      </c>
      <c r="J1063" s="11">
        <f t="shared" si="454"/>
        <v>1</v>
      </c>
      <c r="K1063" s="71">
        <v>42782</v>
      </c>
      <c r="W1063" s="27"/>
      <c r="X1063" s="8"/>
      <c r="Y1063" s="9"/>
      <c r="Z1063" s="10"/>
      <c r="AA1063" s="11">
        <f t="shared" si="455"/>
        <v>0</v>
      </c>
      <c r="AB1063" s="12"/>
      <c r="AC1063" s="9"/>
      <c r="AD1063" s="10"/>
      <c r="AE1063" s="11">
        <f t="shared" si="456"/>
        <v>0</v>
      </c>
      <c r="AF1063" s="11">
        <f t="shared" si="457"/>
        <v>0</v>
      </c>
    </row>
    <row r="1064" spans="1:33" x14ac:dyDescent="0.15">
      <c r="A1064" s="27" t="s">
        <v>386</v>
      </c>
      <c r="B1064" s="8">
        <v>1</v>
      </c>
      <c r="C1064" s="9"/>
      <c r="D1064" s="10"/>
      <c r="E1064" s="11">
        <f t="shared" si="452"/>
        <v>1</v>
      </c>
      <c r="F1064" s="12"/>
      <c r="G1064" s="9"/>
      <c r="H1064" s="10"/>
      <c r="I1064" s="11">
        <f t="shared" si="453"/>
        <v>0</v>
      </c>
      <c r="J1064" s="11">
        <f t="shared" si="454"/>
        <v>1</v>
      </c>
      <c r="K1064" s="65">
        <v>42782</v>
      </c>
      <c r="W1064" s="26"/>
      <c r="X1064" s="8"/>
      <c r="Y1064" s="9"/>
      <c r="Z1064" s="10"/>
      <c r="AA1064" s="11">
        <f t="shared" si="455"/>
        <v>0</v>
      </c>
      <c r="AB1064" s="12"/>
      <c r="AC1064" s="9"/>
      <c r="AD1064" s="10"/>
      <c r="AE1064" s="11">
        <f t="shared" si="456"/>
        <v>0</v>
      </c>
      <c r="AF1064" s="11">
        <f t="shared" si="457"/>
        <v>0</v>
      </c>
    </row>
    <row r="1065" spans="1:33" x14ac:dyDescent="0.15">
      <c r="A1065" s="92" t="s">
        <v>567</v>
      </c>
      <c r="B1065" s="8"/>
      <c r="C1065" s="9"/>
      <c r="D1065" s="10">
        <v>50</v>
      </c>
      <c r="E1065" s="11">
        <f t="shared" si="452"/>
        <v>50</v>
      </c>
      <c r="F1065" s="12"/>
      <c r="G1065" s="9">
        <v>20</v>
      </c>
      <c r="H1065" s="10"/>
      <c r="I1065" s="11">
        <f t="shared" si="453"/>
        <v>20</v>
      </c>
      <c r="J1065" s="11">
        <f t="shared" si="454"/>
        <v>70</v>
      </c>
      <c r="K1065" s="65">
        <v>42783</v>
      </c>
      <c r="W1065" s="26"/>
      <c r="X1065" s="8"/>
      <c r="Y1065" s="9"/>
      <c r="Z1065" s="10"/>
      <c r="AA1065" s="11">
        <f t="shared" si="455"/>
        <v>0</v>
      </c>
      <c r="AB1065" s="12"/>
      <c r="AC1065" s="9"/>
      <c r="AD1065" s="10"/>
      <c r="AE1065" s="11">
        <f t="shared" si="456"/>
        <v>0</v>
      </c>
      <c r="AF1065" s="11">
        <f t="shared" si="457"/>
        <v>0</v>
      </c>
    </row>
    <row r="1066" spans="1:33" x14ac:dyDescent="0.15">
      <c r="A1066" s="27" t="s">
        <v>386</v>
      </c>
      <c r="B1066" s="8">
        <v>2</v>
      </c>
      <c r="C1066" s="9"/>
      <c r="D1066" s="10"/>
      <c r="E1066" s="11">
        <f t="shared" si="452"/>
        <v>2</v>
      </c>
      <c r="F1066" s="12"/>
      <c r="G1066" s="9"/>
      <c r="H1066" s="10"/>
      <c r="I1066" s="11">
        <f t="shared" si="453"/>
        <v>0</v>
      </c>
      <c r="J1066" s="11">
        <f t="shared" si="454"/>
        <v>2</v>
      </c>
      <c r="K1066" s="65">
        <v>42783</v>
      </c>
      <c r="W1066" s="27"/>
      <c r="X1066" s="8"/>
      <c r="Y1066" s="9"/>
      <c r="Z1066" s="10"/>
      <c r="AA1066" s="11">
        <f t="shared" si="455"/>
        <v>0</v>
      </c>
      <c r="AB1066" s="12"/>
      <c r="AC1066" s="9"/>
      <c r="AD1066" s="10"/>
      <c r="AE1066" s="11">
        <f t="shared" si="456"/>
        <v>0</v>
      </c>
      <c r="AF1066" s="11">
        <f t="shared" si="457"/>
        <v>0</v>
      </c>
    </row>
    <row r="1067" spans="1:33" x14ac:dyDescent="0.15">
      <c r="A1067" s="92" t="s">
        <v>569</v>
      </c>
      <c r="B1067" s="13"/>
      <c r="C1067" s="14"/>
      <c r="D1067" s="15"/>
      <c r="E1067" s="11">
        <f t="shared" si="452"/>
        <v>0</v>
      </c>
      <c r="F1067" s="16">
        <v>10</v>
      </c>
      <c r="G1067" s="14">
        <v>20</v>
      </c>
      <c r="H1067" s="15"/>
      <c r="I1067" s="11">
        <f t="shared" si="453"/>
        <v>30</v>
      </c>
      <c r="J1067" s="11">
        <f t="shared" si="454"/>
        <v>30</v>
      </c>
      <c r="K1067" s="65">
        <v>42784</v>
      </c>
      <c r="W1067" s="27"/>
      <c r="X1067" s="13"/>
      <c r="Y1067" s="14"/>
      <c r="Z1067" s="15"/>
      <c r="AA1067" s="11">
        <f t="shared" si="455"/>
        <v>0</v>
      </c>
      <c r="AB1067" s="16"/>
      <c r="AC1067" s="14"/>
      <c r="AD1067" s="15"/>
      <c r="AE1067" s="11">
        <f t="shared" si="456"/>
        <v>0</v>
      </c>
      <c r="AF1067" s="11">
        <f t="shared" si="457"/>
        <v>0</v>
      </c>
    </row>
    <row r="1068" spans="1:33" x14ac:dyDescent="0.15">
      <c r="A1068" s="27" t="s">
        <v>572</v>
      </c>
      <c r="B1068" s="8"/>
      <c r="C1068" s="9"/>
      <c r="D1068" s="10"/>
      <c r="E1068" s="11">
        <f t="shared" si="452"/>
        <v>0</v>
      </c>
      <c r="F1068" s="12">
        <v>2</v>
      </c>
      <c r="G1068" s="9"/>
      <c r="H1068" s="10"/>
      <c r="I1068" s="11">
        <f t="shared" si="453"/>
        <v>2</v>
      </c>
      <c r="J1068" s="11">
        <f t="shared" si="454"/>
        <v>2</v>
      </c>
      <c r="K1068" s="65">
        <v>42784</v>
      </c>
      <c r="W1068" s="86"/>
      <c r="X1068" s="13"/>
      <c r="Y1068" s="14"/>
      <c r="Z1068" s="15"/>
      <c r="AA1068" s="11">
        <f t="shared" si="455"/>
        <v>0</v>
      </c>
      <c r="AB1068" s="16"/>
      <c r="AC1068" s="14"/>
      <c r="AD1068" s="15"/>
      <c r="AE1068" s="11">
        <f t="shared" si="456"/>
        <v>0</v>
      </c>
      <c r="AF1068" s="11">
        <f t="shared" si="457"/>
        <v>0</v>
      </c>
    </row>
    <row r="1069" spans="1:33" x14ac:dyDescent="0.15">
      <c r="A1069" s="29"/>
      <c r="B1069" s="8"/>
      <c r="C1069" s="9"/>
      <c r="D1069" s="10"/>
      <c r="E1069" s="11">
        <f t="shared" si="452"/>
        <v>0</v>
      </c>
      <c r="F1069" s="12"/>
      <c r="G1069" s="9"/>
      <c r="H1069" s="10"/>
      <c r="I1069" s="11">
        <f t="shared" si="453"/>
        <v>0</v>
      </c>
      <c r="J1069" s="11">
        <f t="shared" si="454"/>
        <v>0</v>
      </c>
      <c r="W1069" s="27"/>
      <c r="X1069" s="13"/>
      <c r="Y1069" s="14"/>
      <c r="Z1069" s="15"/>
      <c r="AA1069" s="11">
        <f t="shared" si="455"/>
        <v>0</v>
      </c>
      <c r="AB1069" s="16"/>
      <c r="AC1069" s="14"/>
      <c r="AD1069" s="15"/>
      <c r="AE1069" s="11">
        <f t="shared" si="456"/>
        <v>0</v>
      </c>
      <c r="AF1069" s="11">
        <f t="shared" si="457"/>
        <v>0</v>
      </c>
    </row>
    <row r="1070" spans="1:33" x14ac:dyDescent="0.15">
      <c r="A1070" s="29"/>
      <c r="B1070" s="8"/>
      <c r="C1070" s="9"/>
      <c r="D1070" s="10"/>
      <c r="E1070" s="11">
        <f t="shared" si="452"/>
        <v>0</v>
      </c>
      <c r="F1070" s="12"/>
      <c r="G1070" s="9"/>
      <c r="H1070" s="10"/>
      <c r="I1070" s="11">
        <f t="shared" si="453"/>
        <v>0</v>
      </c>
      <c r="J1070" s="11">
        <f t="shared" si="454"/>
        <v>0</v>
      </c>
      <c r="W1070" s="86"/>
      <c r="X1070" s="13"/>
      <c r="Y1070" s="14"/>
      <c r="Z1070" s="15"/>
      <c r="AA1070" s="11">
        <f t="shared" si="455"/>
        <v>0</v>
      </c>
      <c r="AB1070" s="16"/>
      <c r="AC1070" s="14"/>
      <c r="AD1070" s="15"/>
      <c r="AE1070" s="11">
        <f t="shared" si="456"/>
        <v>0</v>
      </c>
      <c r="AF1070" s="11">
        <f t="shared" si="457"/>
        <v>0</v>
      </c>
      <c r="AG1070" s="64"/>
    </row>
    <row r="1071" spans="1:33" ht="14.25" thickBot="1" x14ac:dyDescent="0.2">
      <c r="A1071" s="29"/>
      <c r="B1071" s="8"/>
      <c r="C1071" s="9"/>
      <c r="D1071" s="10"/>
      <c r="E1071" s="11">
        <f t="shared" si="452"/>
        <v>0</v>
      </c>
      <c r="F1071" s="16"/>
      <c r="G1071" s="14"/>
      <c r="H1071" s="15"/>
      <c r="I1071" s="11">
        <f t="shared" si="453"/>
        <v>0</v>
      </c>
      <c r="J1071" s="11">
        <f t="shared" si="454"/>
        <v>0</v>
      </c>
      <c r="W1071" s="92"/>
      <c r="X1071" s="13"/>
      <c r="Y1071" s="14"/>
      <c r="Z1071" s="15"/>
      <c r="AA1071" s="11">
        <f t="shared" si="455"/>
        <v>0</v>
      </c>
      <c r="AB1071" s="16"/>
      <c r="AC1071" s="14"/>
      <c r="AD1071" s="15"/>
      <c r="AE1071" s="11">
        <f t="shared" si="456"/>
        <v>0</v>
      </c>
      <c r="AF1071" s="11">
        <f t="shared" si="457"/>
        <v>0</v>
      </c>
      <c r="AG1071" s="65"/>
    </row>
    <row r="1072" spans="1:33" ht="14.25" thickBot="1" x14ac:dyDescent="0.2">
      <c r="A1072" s="44" t="s">
        <v>13</v>
      </c>
      <c r="B1072" s="48">
        <f t="shared" ref="B1072:I1072" si="458">SUM(B1046:B1071)</f>
        <v>31</v>
      </c>
      <c r="C1072" s="49">
        <f t="shared" si="458"/>
        <v>102</v>
      </c>
      <c r="D1072" s="50">
        <f t="shared" si="458"/>
        <v>116</v>
      </c>
      <c r="E1072" s="46">
        <f t="shared" si="458"/>
        <v>249</v>
      </c>
      <c r="F1072" s="48">
        <f t="shared" si="458"/>
        <v>55</v>
      </c>
      <c r="G1072" s="49">
        <f t="shared" si="458"/>
        <v>90</v>
      </c>
      <c r="H1072" s="50">
        <f t="shared" si="458"/>
        <v>43</v>
      </c>
      <c r="I1072" s="46">
        <f t="shared" si="458"/>
        <v>188</v>
      </c>
      <c r="J1072" s="35">
        <f>E1072+I1072</f>
        <v>437</v>
      </c>
      <c r="W1072" s="44" t="s">
        <v>13</v>
      </c>
      <c r="X1072" s="48">
        <f t="shared" ref="X1072:AE1072" si="459">SUM(X1046:X1071)</f>
        <v>258</v>
      </c>
      <c r="Y1072" s="49">
        <f t="shared" si="459"/>
        <v>280</v>
      </c>
      <c r="Z1072" s="50">
        <f t="shared" si="459"/>
        <v>140</v>
      </c>
      <c r="AA1072" s="46">
        <f t="shared" si="459"/>
        <v>678</v>
      </c>
      <c r="AB1072" s="48">
        <f t="shared" si="459"/>
        <v>150</v>
      </c>
      <c r="AC1072" s="49">
        <f t="shared" si="459"/>
        <v>105</v>
      </c>
      <c r="AD1072" s="50">
        <f t="shared" si="459"/>
        <v>110</v>
      </c>
      <c r="AE1072" s="46">
        <f t="shared" si="459"/>
        <v>365</v>
      </c>
      <c r="AF1072" s="35">
        <f>AA1072+AE1072</f>
        <v>1043</v>
      </c>
    </row>
    <row r="1073" spans="1:33" ht="14.25" thickBot="1" x14ac:dyDescent="0.2">
      <c r="A1073" s="23" t="s">
        <v>14</v>
      </c>
      <c r="B1073" s="24">
        <f t="shared" ref="B1073:J1073" si="460">B1045-B1072</f>
        <v>45</v>
      </c>
      <c r="C1073" s="25">
        <f t="shared" si="460"/>
        <v>50</v>
      </c>
      <c r="D1073" s="30">
        <f t="shared" si="460"/>
        <v>14</v>
      </c>
      <c r="E1073" s="51">
        <f t="shared" si="460"/>
        <v>109</v>
      </c>
      <c r="F1073" s="24">
        <f t="shared" si="460"/>
        <v>40</v>
      </c>
      <c r="G1073" s="25">
        <f t="shared" si="460"/>
        <v>13</v>
      </c>
      <c r="H1073" s="30">
        <f t="shared" si="460"/>
        <v>27</v>
      </c>
      <c r="I1073" s="47">
        <f t="shared" si="460"/>
        <v>80</v>
      </c>
      <c r="J1073" s="79">
        <f t="shared" si="460"/>
        <v>189</v>
      </c>
      <c r="W1073" s="23" t="s">
        <v>14</v>
      </c>
      <c r="X1073" s="24">
        <f t="shared" ref="X1073:AF1073" si="461">X1045-X1072</f>
        <v>464</v>
      </c>
      <c r="Y1073" s="25">
        <f t="shared" si="461"/>
        <v>407</v>
      </c>
      <c r="Z1073" s="30">
        <f t="shared" si="461"/>
        <v>733</v>
      </c>
      <c r="AA1073" s="51">
        <f t="shared" si="461"/>
        <v>1604</v>
      </c>
      <c r="AB1073" s="24">
        <f t="shared" si="461"/>
        <v>109</v>
      </c>
      <c r="AC1073" s="25">
        <f t="shared" si="461"/>
        <v>195</v>
      </c>
      <c r="AD1073" s="30">
        <f t="shared" si="461"/>
        <v>113</v>
      </c>
      <c r="AE1073" s="47">
        <f t="shared" si="461"/>
        <v>417</v>
      </c>
      <c r="AF1073" s="79">
        <f t="shared" si="461"/>
        <v>2021</v>
      </c>
    </row>
    <row r="1076" spans="1:33" ht="19.5" thickBot="1" x14ac:dyDescent="0.25">
      <c r="A1076" s="2" t="s">
        <v>21</v>
      </c>
      <c r="B1076" s="1"/>
      <c r="C1076" s="1"/>
      <c r="D1076" s="1"/>
      <c r="E1076" s="1"/>
      <c r="F1076" s="1"/>
      <c r="G1076" s="1"/>
      <c r="H1076" s="1"/>
      <c r="I1076" s="1"/>
      <c r="J1076" s="1"/>
      <c r="W1076" s="93" t="s">
        <v>136</v>
      </c>
      <c r="X1076" s="94"/>
      <c r="Y1076" s="94"/>
      <c r="Z1076" s="94"/>
      <c r="AA1076" s="106" t="s">
        <v>299</v>
      </c>
      <c r="AB1076" s="1"/>
      <c r="AC1076" s="1"/>
      <c r="AD1076" s="1"/>
      <c r="AE1076" s="1"/>
      <c r="AF1076" s="1"/>
    </row>
    <row r="1077" spans="1:33" ht="14.25" thickBot="1" x14ac:dyDescent="0.2">
      <c r="A1077" s="7" t="s">
        <v>0</v>
      </c>
      <c r="B1077" s="168" t="s">
        <v>1</v>
      </c>
      <c r="C1077" s="169"/>
      <c r="D1077" s="169"/>
      <c r="E1077" s="170"/>
      <c r="F1077" s="168" t="s">
        <v>2</v>
      </c>
      <c r="G1077" s="169"/>
      <c r="H1077" s="169"/>
      <c r="I1077" s="171"/>
      <c r="J1077" s="172" t="s">
        <v>3</v>
      </c>
      <c r="W1077" s="7" t="s">
        <v>0</v>
      </c>
      <c r="X1077" s="174" t="s">
        <v>1</v>
      </c>
      <c r="Y1077" s="175"/>
      <c r="Z1077" s="176"/>
      <c r="AA1077" s="101"/>
      <c r="AB1077" s="174" t="s">
        <v>2</v>
      </c>
      <c r="AC1077" s="175"/>
      <c r="AD1077" s="176"/>
      <c r="AE1077" s="102"/>
      <c r="AF1077" s="103" t="s">
        <v>3</v>
      </c>
    </row>
    <row r="1078" spans="1:33" ht="14.25" thickBot="1" x14ac:dyDescent="0.2">
      <c r="A1078" s="7" t="s">
        <v>4</v>
      </c>
      <c r="B1078" s="3" t="s">
        <v>5</v>
      </c>
      <c r="C1078" s="4" t="s">
        <v>6</v>
      </c>
      <c r="D1078" s="5" t="s">
        <v>7</v>
      </c>
      <c r="E1078" s="7" t="s">
        <v>8</v>
      </c>
      <c r="F1078" s="3" t="s">
        <v>5</v>
      </c>
      <c r="G1078" s="4" t="s">
        <v>6</v>
      </c>
      <c r="H1078" s="5" t="s">
        <v>7</v>
      </c>
      <c r="I1078" s="7" t="s">
        <v>8</v>
      </c>
      <c r="J1078" s="173"/>
      <c r="W1078" s="7" t="s">
        <v>4</v>
      </c>
      <c r="X1078" s="3" t="s">
        <v>5</v>
      </c>
      <c r="Y1078" s="4" t="s">
        <v>6</v>
      </c>
      <c r="Z1078" s="5" t="s">
        <v>7</v>
      </c>
      <c r="AA1078" s="7" t="s">
        <v>8</v>
      </c>
      <c r="AB1078" s="107" t="s">
        <v>5</v>
      </c>
      <c r="AC1078" s="108" t="s">
        <v>6</v>
      </c>
      <c r="AD1078" s="109" t="s">
        <v>7</v>
      </c>
      <c r="AE1078" s="7" t="s">
        <v>8</v>
      </c>
      <c r="AF1078" s="104"/>
    </row>
    <row r="1079" spans="1:33" ht="14.25" thickBot="1" x14ac:dyDescent="0.2">
      <c r="A1079" s="31" t="s">
        <v>14</v>
      </c>
      <c r="B1079" s="32">
        <f>B1073</f>
        <v>45</v>
      </c>
      <c r="C1079" s="33">
        <f>C1073</f>
        <v>50</v>
      </c>
      <c r="D1079" s="34">
        <f>D1073</f>
        <v>14</v>
      </c>
      <c r="E1079" s="41">
        <f>SUM(B1079:D1079)</f>
        <v>109</v>
      </c>
      <c r="F1079" s="32">
        <f>F1073</f>
        <v>40</v>
      </c>
      <c r="G1079" s="33">
        <f>G1073</f>
        <v>13</v>
      </c>
      <c r="H1079" s="34">
        <f>H1073</f>
        <v>27</v>
      </c>
      <c r="I1079" s="41">
        <f>SUM(F1079:H1079)</f>
        <v>80</v>
      </c>
      <c r="J1079" s="41">
        <f>E1079+I1079</f>
        <v>189</v>
      </c>
      <c r="W1079" s="31" t="s">
        <v>14</v>
      </c>
      <c r="X1079" s="32">
        <f>X1073</f>
        <v>464</v>
      </c>
      <c r="Y1079" s="33">
        <f>Y1073</f>
        <v>407</v>
      </c>
      <c r="Z1079" s="33">
        <f>Z1073</f>
        <v>733</v>
      </c>
      <c r="AA1079" s="111">
        <f>SUM(X1079:Z1079)</f>
        <v>1604</v>
      </c>
      <c r="AB1079" s="32">
        <f>AB1073</f>
        <v>109</v>
      </c>
      <c r="AC1079" s="33">
        <f>AC1073</f>
        <v>195</v>
      </c>
      <c r="AD1079" s="95">
        <f>AD1073</f>
        <v>113</v>
      </c>
      <c r="AE1079" s="46">
        <f>SUM(AB1079:AD1079)</f>
        <v>417</v>
      </c>
      <c r="AF1079" s="35">
        <f>AA1079+AE1079</f>
        <v>2021</v>
      </c>
    </row>
    <row r="1080" spans="1:33" x14ac:dyDescent="0.15">
      <c r="A1080" s="28" t="s">
        <v>9</v>
      </c>
      <c r="B1080" s="17"/>
      <c r="C1080" s="18"/>
      <c r="D1080" s="19">
        <v>50</v>
      </c>
      <c r="E1080" s="20">
        <f t="shared" ref="E1080:E1087" si="462">SUM(B1080:D1080)</f>
        <v>50</v>
      </c>
      <c r="F1080" s="21"/>
      <c r="G1080" s="18">
        <v>50</v>
      </c>
      <c r="H1080" s="19"/>
      <c r="I1080" s="20">
        <f t="shared" ref="I1080:I1087" si="463">SUM(F1080:H1080)</f>
        <v>50</v>
      </c>
      <c r="J1080" s="20">
        <f t="shared" ref="J1080:J1087" si="464">E1080+I1080</f>
        <v>100</v>
      </c>
      <c r="K1080" s="65">
        <v>42784</v>
      </c>
      <c r="W1080" s="28" t="s">
        <v>9</v>
      </c>
      <c r="X1080" s="8"/>
      <c r="Y1080" s="9"/>
      <c r="Z1080" s="10"/>
      <c r="AA1080" s="78">
        <f t="shared" ref="AA1080:AA1087" si="465">SUM(X1080:Z1080)</f>
        <v>0</v>
      </c>
      <c r="AB1080" s="21"/>
      <c r="AC1080" s="18"/>
      <c r="AD1080" s="19"/>
      <c r="AE1080" s="78">
        <f t="shared" ref="AE1080:AE1087" si="466">SUM(AB1080:AD1080)</f>
        <v>0</v>
      </c>
      <c r="AF1080" s="78">
        <f t="shared" ref="AF1080:AF1087" si="467">AA1080+AE1080</f>
        <v>0</v>
      </c>
    </row>
    <row r="1081" spans="1:33" x14ac:dyDescent="0.15">
      <c r="A1081" s="28" t="s">
        <v>570</v>
      </c>
      <c r="B1081" s="8">
        <v>1</v>
      </c>
      <c r="C1081" s="9">
        <v>1</v>
      </c>
      <c r="D1081" s="10">
        <v>1</v>
      </c>
      <c r="E1081" s="11">
        <f t="shared" si="462"/>
        <v>3</v>
      </c>
      <c r="F1081" s="12"/>
      <c r="G1081" s="9"/>
      <c r="H1081" s="10"/>
      <c r="I1081" s="11">
        <f t="shared" si="463"/>
        <v>0</v>
      </c>
      <c r="J1081" s="11">
        <f t="shared" si="464"/>
        <v>3</v>
      </c>
      <c r="K1081" s="71">
        <v>42784</v>
      </c>
      <c r="W1081" s="28" t="s">
        <v>10</v>
      </c>
      <c r="X1081" s="8"/>
      <c r="Y1081" s="9"/>
      <c r="Z1081" s="10"/>
      <c r="AA1081" s="11">
        <f t="shared" si="465"/>
        <v>0</v>
      </c>
      <c r="AB1081" s="12"/>
      <c r="AC1081" s="9"/>
      <c r="AD1081" s="10"/>
      <c r="AE1081" s="11">
        <f t="shared" si="466"/>
        <v>0</v>
      </c>
      <c r="AF1081" s="11">
        <f t="shared" si="467"/>
        <v>0</v>
      </c>
      <c r="AG1081" s="65"/>
    </row>
    <row r="1082" spans="1:33" x14ac:dyDescent="0.15">
      <c r="A1082" s="28" t="s">
        <v>11</v>
      </c>
      <c r="B1082" s="8">
        <v>50</v>
      </c>
      <c r="C1082" s="9">
        <v>50</v>
      </c>
      <c r="D1082" s="10">
        <v>50</v>
      </c>
      <c r="E1082" s="11">
        <f t="shared" si="462"/>
        <v>150</v>
      </c>
      <c r="F1082" s="12">
        <v>50</v>
      </c>
      <c r="G1082" s="9">
        <v>50</v>
      </c>
      <c r="H1082" s="10">
        <v>50</v>
      </c>
      <c r="I1082" s="11">
        <f t="shared" si="463"/>
        <v>150</v>
      </c>
      <c r="J1082" s="11">
        <f t="shared" si="464"/>
        <v>300</v>
      </c>
      <c r="K1082" s="65">
        <v>42797</v>
      </c>
      <c r="W1082" s="28" t="s">
        <v>11</v>
      </c>
      <c r="X1082" s="8"/>
      <c r="Y1082" s="9"/>
      <c r="Z1082" s="10"/>
      <c r="AA1082" s="11">
        <f t="shared" si="465"/>
        <v>0</v>
      </c>
      <c r="AB1082" s="12"/>
      <c r="AC1082" s="9"/>
      <c r="AD1082" s="10"/>
      <c r="AE1082" s="11">
        <f t="shared" si="466"/>
        <v>0</v>
      </c>
      <c r="AF1082" s="11">
        <f t="shared" si="467"/>
        <v>0</v>
      </c>
    </row>
    <row r="1083" spans="1:33" x14ac:dyDescent="0.15">
      <c r="A1083" s="28" t="s">
        <v>59</v>
      </c>
      <c r="B1083" s="8">
        <v>16</v>
      </c>
      <c r="C1083" s="9"/>
      <c r="D1083" s="10"/>
      <c r="E1083" s="11">
        <f t="shared" si="462"/>
        <v>16</v>
      </c>
      <c r="F1083" s="12"/>
      <c r="G1083" s="9">
        <v>19</v>
      </c>
      <c r="H1083" s="10">
        <v>2</v>
      </c>
      <c r="I1083" s="11">
        <f t="shared" si="463"/>
        <v>21</v>
      </c>
      <c r="J1083" s="11">
        <f t="shared" si="464"/>
        <v>37</v>
      </c>
      <c r="K1083" s="71">
        <v>42791</v>
      </c>
      <c r="W1083" s="28" t="s">
        <v>12</v>
      </c>
      <c r="X1083" s="8"/>
      <c r="Y1083" s="9"/>
      <c r="Z1083" s="10"/>
      <c r="AA1083" s="11">
        <f t="shared" si="465"/>
        <v>0</v>
      </c>
      <c r="AB1083" s="12"/>
      <c r="AC1083" s="9"/>
      <c r="AD1083" s="10"/>
      <c r="AE1083" s="11">
        <f t="shared" si="466"/>
        <v>0</v>
      </c>
      <c r="AF1083" s="11">
        <f t="shared" si="467"/>
        <v>0</v>
      </c>
    </row>
    <row r="1084" spans="1:33" x14ac:dyDescent="0.15">
      <c r="A1084" s="28" t="s">
        <v>15</v>
      </c>
      <c r="B1084" s="8"/>
      <c r="C1084" s="9">
        <v>50</v>
      </c>
      <c r="D1084" s="10"/>
      <c r="E1084" s="11">
        <f t="shared" si="462"/>
        <v>50</v>
      </c>
      <c r="F1084" s="12"/>
      <c r="G1084" s="9"/>
      <c r="H1084" s="10"/>
      <c r="I1084" s="11">
        <f t="shared" si="463"/>
        <v>0</v>
      </c>
      <c r="J1084" s="11">
        <f t="shared" si="464"/>
        <v>50</v>
      </c>
      <c r="K1084" s="65">
        <v>42801</v>
      </c>
      <c r="W1084" s="28" t="s">
        <v>15</v>
      </c>
      <c r="X1084" s="8"/>
      <c r="Y1084" s="9"/>
      <c r="Z1084" s="10"/>
      <c r="AA1084" s="11">
        <f t="shared" si="465"/>
        <v>0</v>
      </c>
      <c r="AB1084" s="12"/>
      <c r="AC1084" s="9"/>
      <c r="AD1084" s="10"/>
      <c r="AE1084" s="11">
        <f t="shared" si="466"/>
        <v>0</v>
      </c>
      <c r="AF1084" s="11">
        <f t="shared" si="467"/>
        <v>0</v>
      </c>
    </row>
    <row r="1085" spans="1:33" x14ac:dyDescent="0.15">
      <c r="A1085" s="28" t="s">
        <v>16</v>
      </c>
      <c r="B1085" s="8"/>
      <c r="C1085" s="9"/>
      <c r="D1085" s="10"/>
      <c r="E1085" s="11">
        <f t="shared" si="462"/>
        <v>0</v>
      </c>
      <c r="F1085" s="12"/>
      <c r="G1085" s="9"/>
      <c r="H1085" s="10"/>
      <c r="I1085" s="11">
        <f t="shared" si="463"/>
        <v>0</v>
      </c>
      <c r="J1085" s="11">
        <f t="shared" si="464"/>
        <v>0</v>
      </c>
      <c r="W1085" s="28" t="s">
        <v>16</v>
      </c>
      <c r="X1085" s="8"/>
      <c r="Y1085" s="9"/>
      <c r="Z1085" s="10"/>
      <c r="AA1085" s="11">
        <f t="shared" si="465"/>
        <v>0</v>
      </c>
      <c r="AB1085" s="12"/>
      <c r="AC1085" s="9"/>
      <c r="AD1085" s="10"/>
      <c r="AE1085" s="11">
        <f t="shared" si="466"/>
        <v>0</v>
      </c>
      <c r="AF1085" s="11">
        <f t="shared" si="467"/>
        <v>0</v>
      </c>
    </row>
    <row r="1086" spans="1:33" x14ac:dyDescent="0.15">
      <c r="A1086" s="28" t="s">
        <v>17</v>
      </c>
      <c r="B1086" s="13"/>
      <c r="C1086" s="14"/>
      <c r="D1086" s="15"/>
      <c r="E1086" s="11">
        <f t="shared" si="462"/>
        <v>0</v>
      </c>
      <c r="F1086" s="16"/>
      <c r="G1086" s="14"/>
      <c r="H1086" s="15"/>
      <c r="I1086" s="11">
        <f t="shared" si="463"/>
        <v>0</v>
      </c>
      <c r="J1086" s="11">
        <f t="shared" si="464"/>
        <v>0</v>
      </c>
      <c r="W1086" s="28" t="s">
        <v>17</v>
      </c>
      <c r="X1086" s="8"/>
      <c r="Y1086" s="9"/>
      <c r="Z1086" s="10"/>
      <c r="AA1086" s="11">
        <f t="shared" si="465"/>
        <v>0</v>
      </c>
      <c r="AB1086" s="12"/>
      <c r="AC1086" s="9"/>
      <c r="AD1086" s="10"/>
      <c r="AE1086" s="11">
        <f t="shared" si="466"/>
        <v>0</v>
      </c>
      <c r="AF1086" s="11">
        <f t="shared" si="467"/>
        <v>0</v>
      </c>
      <c r="AG1086" s="65"/>
    </row>
    <row r="1087" spans="1:33" ht="14.25" thickBot="1" x14ac:dyDescent="0.2">
      <c r="A1087" s="28" t="s">
        <v>18</v>
      </c>
      <c r="B1087" s="36"/>
      <c r="C1087" s="37"/>
      <c r="D1087" s="40"/>
      <c r="E1087" s="22">
        <f t="shared" si="462"/>
        <v>0</v>
      </c>
      <c r="F1087" s="38"/>
      <c r="G1087" s="38"/>
      <c r="H1087" s="43"/>
      <c r="I1087" s="22">
        <f t="shared" si="463"/>
        <v>0</v>
      </c>
      <c r="J1087" s="22">
        <f t="shared" si="464"/>
        <v>0</v>
      </c>
      <c r="W1087" s="28" t="s">
        <v>18</v>
      </c>
      <c r="X1087" s="36"/>
      <c r="Y1087" s="37"/>
      <c r="Z1087" s="40"/>
      <c r="AA1087" s="22">
        <f t="shared" si="465"/>
        <v>0</v>
      </c>
      <c r="AB1087" s="38"/>
      <c r="AC1087" s="38"/>
      <c r="AD1087" s="43"/>
      <c r="AE1087" s="22">
        <f t="shared" si="466"/>
        <v>0</v>
      </c>
      <c r="AF1087" s="22">
        <f t="shared" si="467"/>
        <v>0</v>
      </c>
    </row>
    <row r="1088" spans="1:33" ht="14.25" thickBot="1" x14ac:dyDescent="0.2">
      <c r="A1088" s="39" t="s">
        <v>20</v>
      </c>
      <c r="B1088" s="32">
        <f t="shared" ref="B1088:J1088" si="468">SUM(B1079:B1087)</f>
        <v>112</v>
      </c>
      <c r="C1088" s="33">
        <f t="shared" si="468"/>
        <v>151</v>
      </c>
      <c r="D1088" s="34">
        <f t="shared" si="468"/>
        <v>115</v>
      </c>
      <c r="E1088" s="42">
        <f t="shared" si="468"/>
        <v>378</v>
      </c>
      <c r="F1088" s="32">
        <f t="shared" si="468"/>
        <v>90</v>
      </c>
      <c r="G1088" s="33">
        <f t="shared" si="468"/>
        <v>132</v>
      </c>
      <c r="H1088" s="34">
        <f t="shared" si="468"/>
        <v>79</v>
      </c>
      <c r="I1088" s="42">
        <f t="shared" si="468"/>
        <v>301</v>
      </c>
      <c r="J1088" s="42">
        <f t="shared" si="468"/>
        <v>679</v>
      </c>
      <c r="W1088" s="39" t="s">
        <v>20</v>
      </c>
      <c r="X1088" s="32">
        <f t="shared" ref="X1088:AF1088" si="469">SUM(X1079:X1087)</f>
        <v>464</v>
      </c>
      <c r="Y1088" s="33">
        <f t="shared" si="469"/>
        <v>407</v>
      </c>
      <c r="Z1088" s="34">
        <f t="shared" si="469"/>
        <v>733</v>
      </c>
      <c r="AA1088" s="42">
        <f t="shared" si="469"/>
        <v>1604</v>
      </c>
      <c r="AB1088" s="32">
        <f t="shared" si="469"/>
        <v>109</v>
      </c>
      <c r="AC1088" s="33">
        <f t="shared" si="469"/>
        <v>195</v>
      </c>
      <c r="AD1088" s="34">
        <f t="shared" si="469"/>
        <v>113</v>
      </c>
      <c r="AE1088" s="42">
        <f t="shared" si="469"/>
        <v>417</v>
      </c>
      <c r="AF1088" s="42">
        <f t="shared" si="469"/>
        <v>2021</v>
      </c>
    </row>
    <row r="1089" spans="1:33" x14ac:dyDescent="0.15">
      <c r="A1089" s="92" t="s">
        <v>571</v>
      </c>
      <c r="B1089" s="13"/>
      <c r="C1089" s="14">
        <v>2</v>
      </c>
      <c r="D1089" s="15">
        <v>3</v>
      </c>
      <c r="E1089" s="11">
        <f>SUM(B1089:D1089)</f>
        <v>5</v>
      </c>
      <c r="F1089" s="16"/>
      <c r="G1089" s="14">
        <v>12</v>
      </c>
      <c r="H1089" s="15"/>
      <c r="I1089" s="11">
        <f>SUM(F1089:H1089)</f>
        <v>12</v>
      </c>
      <c r="J1089" s="11">
        <f>E1089+I1089</f>
        <v>17</v>
      </c>
      <c r="K1089" s="65">
        <v>42787</v>
      </c>
      <c r="W1089" s="28" t="s">
        <v>568</v>
      </c>
      <c r="X1089" s="13"/>
      <c r="Y1089" s="14"/>
      <c r="Z1089" s="15">
        <v>50</v>
      </c>
      <c r="AA1089" s="11">
        <f>SUM(X1089:Z1089)</f>
        <v>50</v>
      </c>
      <c r="AB1089" s="16"/>
      <c r="AC1089" s="14">
        <v>50</v>
      </c>
      <c r="AD1089" s="15"/>
      <c r="AE1089" s="11">
        <f>SUM(AB1089:AD1089)</f>
        <v>50</v>
      </c>
      <c r="AF1089" s="11">
        <f>AA1089+AE1089</f>
        <v>100</v>
      </c>
      <c r="AG1089" s="65">
        <v>42784</v>
      </c>
    </row>
    <row r="1090" spans="1:33" x14ac:dyDescent="0.15">
      <c r="A1090" s="29" t="s">
        <v>573</v>
      </c>
      <c r="B1090" s="13">
        <v>2</v>
      </c>
      <c r="C1090" s="14"/>
      <c r="D1090" s="15"/>
      <c r="E1090" s="11">
        <f t="shared" ref="E1090:E1114" si="470">SUM(B1090:D1090)</f>
        <v>2</v>
      </c>
      <c r="F1090" s="16"/>
      <c r="G1090" s="14">
        <v>4</v>
      </c>
      <c r="H1090" s="15"/>
      <c r="I1090" s="11">
        <f t="shared" ref="I1090:I1114" si="471">SUM(F1090:H1090)</f>
        <v>4</v>
      </c>
      <c r="J1090" s="11">
        <f t="shared" ref="J1090:J1114" si="472">E1090+I1090</f>
        <v>6</v>
      </c>
      <c r="K1090" s="65">
        <v>42787</v>
      </c>
      <c r="W1090" s="28" t="s">
        <v>41</v>
      </c>
      <c r="X1090" s="8">
        <v>50</v>
      </c>
      <c r="Y1090" s="9">
        <v>50</v>
      </c>
      <c r="Z1090" s="10">
        <v>50</v>
      </c>
      <c r="AA1090" s="11">
        <f>SUM(X1090:Z1090)</f>
        <v>150</v>
      </c>
      <c r="AB1090" s="12">
        <v>50</v>
      </c>
      <c r="AC1090" s="9">
        <v>50</v>
      </c>
      <c r="AD1090" s="10">
        <v>50</v>
      </c>
      <c r="AE1090" s="11">
        <f>SUM(AB1090:AD1090)</f>
        <v>150</v>
      </c>
      <c r="AF1090" s="11">
        <f>AA1090+AE1090</f>
        <v>300</v>
      </c>
      <c r="AG1090" s="65">
        <v>42797</v>
      </c>
    </row>
    <row r="1091" spans="1:33" x14ac:dyDescent="0.15">
      <c r="A1091" s="29" t="s">
        <v>575</v>
      </c>
      <c r="B1091" s="8"/>
      <c r="C1091" s="9"/>
      <c r="D1091" s="10"/>
      <c r="E1091" s="11">
        <f t="shared" si="470"/>
        <v>0</v>
      </c>
      <c r="F1091" s="12"/>
      <c r="G1091" s="9">
        <v>2</v>
      </c>
      <c r="H1091" s="10"/>
      <c r="I1091" s="11">
        <f t="shared" si="471"/>
        <v>2</v>
      </c>
      <c r="J1091" s="11">
        <f t="shared" si="472"/>
        <v>2</v>
      </c>
      <c r="K1091" s="65">
        <v>42788</v>
      </c>
      <c r="W1091" s="28" t="s">
        <v>41</v>
      </c>
      <c r="X1091" s="8"/>
      <c r="Y1091" s="9">
        <v>50</v>
      </c>
      <c r="Z1091" s="10"/>
      <c r="AA1091" s="11">
        <f t="shared" ref="AA1091:AA1113" si="473">SUM(X1091:Z1091)</f>
        <v>50</v>
      </c>
      <c r="AB1091" s="12"/>
      <c r="AC1091" s="9"/>
      <c r="AD1091" s="10"/>
      <c r="AE1091" s="11">
        <f t="shared" ref="AE1091:AE1113" si="474">SUM(AB1091:AD1091)</f>
        <v>0</v>
      </c>
      <c r="AF1091" s="11">
        <f t="shared" ref="AF1091:AF1113" si="475">AA1091+AE1091</f>
        <v>50</v>
      </c>
      <c r="AG1091" s="65">
        <v>42801</v>
      </c>
    </row>
    <row r="1092" spans="1:33" x14ac:dyDescent="0.15">
      <c r="A1092" s="27" t="s">
        <v>574</v>
      </c>
      <c r="B1092" s="8"/>
      <c r="C1092" s="9"/>
      <c r="D1092" s="10">
        <v>1</v>
      </c>
      <c r="E1092" s="11">
        <f t="shared" si="470"/>
        <v>1</v>
      </c>
      <c r="F1092" s="12"/>
      <c r="G1092" s="9"/>
      <c r="H1092" s="10"/>
      <c r="I1092" s="11">
        <f t="shared" si="471"/>
        <v>0</v>
      </c>
      <c r="J1092" s="11">
        <f t="shared" si="472"/>
        <v>1</v>
      </c>
      <c r="K1092" s="71">
        <v>42788</v>
      </c>
      <c r="W1092" s="29"/>
      <c r="X1092" s="8"/>
      <c r="Y1092" s="9"/>
      <c r="Z1092" s="10"/>
      <c r="AA1092" s="11">
        <f t="shared" si="473"/>
        <v>0</v>
      </c>
      <c r="AB1092" s="12"/>
      <c r="AC1092" s="9"/>
      <c r="AD1092" s="10"/>
      <c r="AE1092" s="11">
        <f t="shared" si="474"/>
        <v>0</v>
      </c>
      <c r="AF1092" s="11">
        <f t="shared" si="475"/>
        <v>0</v>
      </c>
    </row>
    <row r="1093" spans="1:33" x14ac:dyDescent="0.15">
      <c r="A1093" s="27" t="s">
        <v>576</v>
      </c>
      <c r="B1093" s="8"/>
      <c r="C1093" s="9"/>
      <c r="D1093" s="10"/>
      <c r="E1093" s="11">
        <f t="shared" si="470"/>
        <v>0</v>
      </c>
      <c r="F1093" s="12"/>
      <c r="G1093" s="9">
        <v>2</v>
      </c>
      <c r="H1093" s="10">
        <v>3</v>
      </c>
      <c r="I1093" s="11">
        <f t="shared" si="471"/>
        <v>5</v>
      </c>
      <c r="J1093" s="11">
        <f t="shared" si="472"/>
        <v>5</v>
      </c>
      <c r="K1093" s="65">
        <v>42789</v>
      </c>
      <c r="W1093" s="29"/>
      <c r="X1093" s="8"/>
      <c r="Y1093" s="9"/>
      <c r="Z1093" s="10"/>
      <c r="AA1093" s="11">
        <f t="shared" si="473"/>
        <v>0</v>
      </c>
      <c r="AB1093" s="12"/>
      <c r="AC1093" s="9"/>
      <c r="AD1093" s="10"/>
      <c r="AE1093" s="11">
        <f t="shared" si="474"/>
        <v>0</v>
      </c>
      <c r="AF1093" s="11">
        <f t="shared" si="475"/>
        <v>0</v>
      </c>
    </row>
    <row r="1094" spans="1:33" x14ac:dyDescent="0.15">
      <c r="A1094" s="27" t="s">
        <v>386</v>
      </c>
      <c r="B1094" s="8">
        <v>3</v>
      </c>
      <c r="C1094" s="9"/>
      <c r="D1094" s="10"/>
      <c r="E1094" s="11">
        <f t="shared" si="470"/>
        <v>3</v>
      </c>
      <c r="F1094" s="12">
        <v>2</v>
      </c>
      <c r="G1094" s="9"/>
      <c r="H1094" s="10"/>
      <c r="I1094" s="11">
        <f t="shared" si="471"/>
        <v>2</v>
      </c>
      <c r="J1094" s="11">
        <f t="shared" si="472"/>
        <v>5</v>
      </c>
      <c r="K1094" s="65">
        <v>42790</v>
      </c>
      <c r="W1094" s="27"/>
      <c r="X1094" s="8"/>
      <c r="Y1094" s="9"/>
      <c r="Z1094" s="10"/>
      <c r="AA1094" s="11">
        <f t="shared" si="473"/>
        <v>0</v>
      </c>
      <c r="AB1094" s="12"/>
      <c r="AC1094" s="9"/>
      <c r="AD1094" s="10"/>
      <c r="AE1094" s="11">
        <f t="shared" si="474"/>
        <v>0</v>
      </c>
      <c r="AF1094" s="11">
        <f t="shared" si="475"/>
        <v>0</v>
      </c>
    </row>
    <row r="1095" spans="1:33" x14ac:dyDescent="0.15">
      <c r="A1095" s="29" t="s">
        <v>577</v>
      </c>
      <c r="B1095" s="8"/>
      <c r="C1095" s="9">
        <v>1</v>
      </c>
      <c r="D1095" s="10"/>
      <c r="E1095" s="11">
        <f t="shared" si="470"/>
        <v>1</v>
      </c>
      <c r="F1095" s="12"/>
      <c r="G1095" s="9"/>
      <c r="H1095" s="10"/>
      <c r="I1095" s="11">
        <f t="shared" si="471"/>
        <v>0</v>
      </c>
      <c r="J1095" s="11">
        <f t="shared" si="472"/>
        <v>1</v>
      </c>
      <c r="K1095" s="65">
        <v>42791</v>
      </c>
      <c r="W1095" s="29"/>
      <c r="X1095" s="8"/>
      <c r="Y1095" s="9"/>
      <c r="Z1095" s="10"/>
      <c r="AA1095" s="11">
        <f t="shared" si="473"/>
        <v>0</v>
      </c>
      <c r="AB1095" s="12"/>
      <c r="AC1095" s="9"/>
      <c r="AD1095" s="10"/>
      <c r="AE1095" s="11">
        <f t="shared" si="474"/>
        <v>0</v>
      </c>
      <c r="AF1095" s="11">
        <f t="shared" si="475"/>
        <v>0</v>
      </c>
    </row>
    <row r="1096" spans="1:33" x14ac:dyDescent="0.15">
      <c r="A1096" s="29" t="s">
        <v>579</v>
      </c>
      <c r="B1096" s="8"/>
      <c r="C1096" s="9">
        <v>1</v>
      </c>
      <c r="D1096" s="10"/>
      <c r="E1096" s="11">
        <f t="shared" si="470"/>
        <v>1</v>
      </c>
      <c r="F1096" s="12"/>
      <c r="G1096" s="9"/>
      <c r="H1096" s="10"/>
      <c r="I1096" s="11">
        <f t="shared" si="471"/>
        <v>0</v>
      </c>
      <c r="J1096" s="11">
        <f t="shared" si="472"/>
        <v>1</v>
      </c>
      <c r="K1096" s="65">
        <v>42791</v>
      </c>
      <c r="W1096" s="29"/>
      <c r="X1096" s="8"/>
      <c r="Y1096" s="9"/>
      <c r="Z1096" s="10"/>
      <c r="AA1096" s="11">
        <f t="shared" si="473"/>
        <v>0</v>
      </c>
      <c r="AB1096" s="12"/>
      <c r="AC1096" s="9"/>
      <c r="AD1096" s="10"/>
      <c r="AE1096" s="11">
        <f t="shared" si="474"/>
        <v>0</v>
      </c>
      <c r="AF1096" s="11">
        <f t="shared" si="475"/>
        <v>0</v>
      </c>
    </row>
    <row r="1097" spans="1:33" x14ac:dyDescent="0.15">
      <c r="A1097" s="27" t="s">
        <v>578</v>
      </c>
      <c r="B1097" s="13">
        <v>50</v>
      </c>
      <c r="C1097" s="14">
        <v>45</v>
      </c>
      <c r="D1097" s="15">
        <v>70</v>
      </c>
      <c r="E1097" s="11">
        <f t="shared" si="470"/>
        <v>165</v>
      </c>
      <c r="F1097" s="16">
        <v>50</v>
      </c>
      <c r="G1097" s="14">
        <v>60</v>
      </c>
      <c r="H1097" s="15">
        <v>30</v>
      </c>
      <c r="I1097" s="11">
        <f t="shared" si="471"/>
        <v>140</v>
      </c>
      <c r="J1097" s="11">
        <f t="shared" si="472"/>
        <v>305</v>
      </c>
      <c r="K1097" s="65">
        <v>42800</v>
      </c>
      <c r="W1097" s="27"/>
      <c r="X1097" s="8"/>
      <c r="Y1097" s="9"/>
      <c r="Z1097" s="10"/>
      <c r="AA1097" s="11">
        <f t="shared" si="473"/>
        <v>0</v>
      </c>
      <c r="AB1097" s="12"/>
      <c r="AC1097" s="9"/>
      <c r="AD1097" s="10"/>
      <c r="AE1097" s="11">
        <f t="shared" si="474"/>
        <v>0</v>
      </c>
      <c r="AF1097" s="11">
        <f t="shared" si="475"/>
        <v>0</v>
      </c>
    </row>
    <row r="1098" spans="1:33" x14ac:dyDescent="0.15">
      <c r="A1098" s="29" t="s">
        <v>512</v>
      </c>
      <c r="B1098" s="13"/>
      <c r="C1098" s="14"/>
      <c r="D1098" s="15">
        <v>1</v>
      </c>
      <c r="E1098" s="11">
        <f t="shared" si="470"/>
        <v>1</v>
      </c>
      <c r="F1098" s="16"/>
      <c r="G1098" s="14"/>
      <c r="H1098" s="15"/>
      <c r="I1098" s="11">
        <f t="shared" si="471"/>
        <v>0</v>
      </c>
      <c r="J1098" s="11">
        <f t="shared" si="472"/>
        <v>1</v>
      </c>
      <c r="K1098" s="65">
        <v>42794</v>
      </c>
      <c r="W1098" s="29"/>
      <c r="X1098" s="13"/>
      <c r="Y1098" s="14"/>
      <c r="Z1098" s="15"/>
      <c r="AA1098" s="11">
        <f t="shared" si="473"/>
        <v>0</v>
      </c>
      <c r="AB1098" s="16"/>
      <c r="AC1098" s="14"/>
      <c r="AD1098" s="15"/>
      <c r="AE1098" s="11">
        <f t="shared" si="474"/>
        <v>0</v>
      </c>
      <c r="AF1098" s="11">
        <f t="shared" si="475"/>
        <v>0</v>
      </c>
    </row>
    <row r="1099" spans="1:33" x14ac:dyDescent="0.15">
      <c r="A1099" s="29" t="s">
        <v>401</v>
      </c>
      <c r="B1099" s="8">
        <v>15</v>
      </c>
      <c r="C1099" s="9">
        <v>9</v>
      </c>
      <c r="D1099" s="10"/>
      <c r="E1099" s="11">
        <f t="shared" si="470"/>
        <v>24</v>
      </c>
      <c r="F1099" s="12"/>
      <c r="G1099" s="9"/>
      <c r="H1099" s="10"/>
      <c r="I1099" s="11">
        <f t="shared" si="471"/>
        <v>0</v>
      </c>
      <c r="J1099" s="11">
        <f t="shared" si="472"/>
        <v>24</v>
      </c>
      <c r="K1099" s="65">
        <v>42797</v>
      </c>
      <c r="W1099" s="29"/>
      <c r="X1099" s="8"/>
      <c r="Y1099" s="9"/>
      <c r="Z1099" s="10"/>
      <c r="AA1099" s="11">
        <f t="shared" si="473"/>
        <v>0</v>
      </c>
      <c r="AB1099" s="12"/>
      <c r="AC1099" s="9"/>
      <c r="AD1099" s="10"/>
      <c r="AE1099" s="11">
        <f t="shared" si="474"/>
        <v>0</v>
      </c>
      <c r="AF1099" s="11">
        <f t="shared" si="475"/>
        <v>0</v>
      </c>
    </row>
    <row r="1100" spans="1:33" x14ac:dyDescent="0.15">
      <c r="A1100" s="29" t="s">
        <v>580</v>
      </c>
      <c r="B1100" s="8"/>
      <c r="C1100" s="9">
        <v>3</v>
      </c>
      <c r="D1100" s="10">
        <v>9</v>
      </c>
      <c r="E1100" s="11">
        <f t="shared" si="470"/>
        <v>12</v>
      </c>
      <c r="F1100" s="12"/>
      <c r="G1100" s="9"/>
      <c r="H1100" s="10">
        <v>3</v>
      </c>
      <c r="I1100" s="11">
        <f t="shared" si="471"/>
        <v>3</v>
      </c>
      <c r="J1100" s="11">
        <f t="shared" si="472"/>
        <v>15</v>
      </c>
      <c r="K1100" s="65">
        <v>42794</v>
      </c>
      <c r="W1100" s="29"/>
      <c r="X1100" s="8"/>
      <c r="Y1100" s="9"/>
      <c r="Z1100" s="10"/>
      <c r="AA1100" s="11">
        <f t="shared" si="473"/>
        <v>0</v>
      </c>
      <c r="AB1100" s="12"/>
      <c r="AC1100" s="9"/>
      <c r="AD1100" s="10"/>
      <c r="AE1100" s="11">
        <f t="shared" si="474"/>
        <v>0</v>
      </c>
      <c r="AF1100" s="11">
        <f t="shared" si="475"/>
        <v>0</v>
      </c>
    </row>
    <row r="1101" spans="1:33" x14ac:dyDescent="0.15">
      <c r="A1101" s="27" t="s">
        <v>581</v>
      </c>
      <c r="B1101" s="8"/>
      <c r="C1101" s="9">
        <v>8</v>
      </c>
      <c r="D1101" s="10">
        <v>2</v>
      </c>
      <c r="E1101" s="11">
        <f t="shared" si="470"/>
        <v>10</v>
      </c>
      <c r="F1101" s="12">
        <v>6</v>
      </c>
      <c r="G1101" s="9">
        <v>4</v>
      </c>
      <c r="H1101" s="10">
        <v>2</v>
      </c>
      <c r="I1101" s="11">
        <f t="shared" si="471"/>
        <v>12</v>
      </c>
      <c r="J1101" s="11">
        <f t="shared" si="472"/>
        <v>22</v>
      </c>
      <c r="K1101" s="65">
        <v>42796</v>
      </c>
      <c r="W1101" s="27"/>
      <c r="X1101" s="8"/>
      <c r="Y1101" s="9"/>
      <c r="Z1101" s="10"/>
      <c r="AA1101" s="11">
        <f t="shared" si="473"/>
        <v>0</v>
      </c>
      <c r="AB1101" s="12"/>
      <c r="AC1101" s="9"/>
      <c r="AD1101" s="10"/>
      <c r="AE1101" s="11">
        <f t="shared" si="474"/>
        <v>0</v>
      </c>
      <c r="AF1101" s="11">
        <f t="shared" si="475"/>
        <v>0</v>
      </c>
    </row>
    <row r="1102" spans="1:33" x14ac:dyDescent="0.15">
      <c r="A1102" s="27" t="s">
        <v>387</v>
      </c>
      <c r="B1102" s="8"/>
      <c r="C1102" s="9">
        <v>3</v>
      </c>
      <c r="D1102" s="10"/>
      <c r="E1102" s="11">
        <f t="shared" si="470"/>
        <v>3</v>
      </c>
      <c r="F1102" s="12"/>
      <c r="G1102" s="9">
        <v>3</v>
      </c>
      <c r="H1102" s="10"/>
      <c r="I1102" s="11">
        <f t="shared" si="471"/>
        <v>3</v>
      </c>
      <c r="J1102" s="11">
        <f t="shared" si="472"/>
        <v>6</v>
      </c>
      <c r="K1102" s="65">
        <v>42795</v>
      </c>
      <c r="W1102" s="29"/>
      <c r="X1102" s="8"/>
      <c r="Y1102" s="9"/>
      <c r="Z1102" s="10"/>
      <c r="AA1102" s="11">
        <f t="shared" si="473"/>
        <v>0</v>
      </c>
      <c r="AB1102" s="12"/>
      <c r="AC1102" s="9"/>
      <c r="AD1102" s="10"/>
      <c r="AE1102" s="11">
        <f t="shared" si="474"/>
        <v>0</v>
      </c>
      <c r="AF1102" s="11">
        <f t="shared" si="475"/>
        <v>0</v>
      </c>
    </row>
    <row r="1103" spans="1:33" x14ac:dyDescent="0.15">
      <c r="A1103" s="29" t="s">
        <v>512</v>
      </c>
      <c r="B1103" s="8"/>
      <c r="C1103" s="9">
        <v>1</v>
      </c>
      <c r="D1103" s="10"/>
      <c r="E1103" s="11">
        <f t="shared" si="470"/>
        <v>1</v>
      </c>
      <c r="F1103" s="12"/>
      <c r="G1103" s="9"/>
      <c r="H1103" s="10"/>
      <c r="I1103" s="11">
        <f t="shared" si="471"/>
        <v>0</v>
      </c>
      <c r="J1103" s="11">
        <f t="shared" si="472"/>
        <v>1</v>
      </c>
      <c r="K1103" s="65">
        <v>42796</v>
      </c>
      <c r="W1103" s="29"/>
      <c r="X1103" s="8"/>
      <c r="Y1103" s="9"/>
      <c r="Z1103" s="10"/>
      <c r="AA1103" s="11">
        <f t="shared" si="473"/>
        <v>0</v>
      </c>
      <c r="AB1103" s="12"/>
      <c r="AC1103" s="9"/>
      <c r="AD1103" s="10"/>
      <c r="AE1103" s="11">
        <f t="shared" si="474"/>
        <v>0</v>
      </c>
      <c r="AF1103" s="11">
        <f t="shared" si="475"/>
        <v>0</v>
      </c>
    </row>
    <row r="1104" spans="1:33" x14ac:dyDescent="0.15">
      <c r="A1104" s="27" t="s">
        <v>582</v>
      </c>
      <c r="B1104" s="8"/>
      <c r="C1104" s="9"/>
      <c r="D1104" s="10">
        <v>2</v>
      </c>
      <c r="E1104" s="11">
        <f t="shared" si="470"/>
        <v>2</v>
      </c>
      <c r="F1104" s="12"/>
      <c r="G1104" s="9"/>
      <c r="H1104" s="10"/>
      <c r="I1104" s="11">
        <f t="shared" si="471"/>
        <v>0</v>
      </c>
      <c r="J1104" s="11">
        <f t="shared" si="472"/>
        <v>2</v>
      </c>
      <c r="K1104" s="65">
        <v>42796</v>
      </c>
      <c r="W1104" s="27"/>
      <c r="X1104" s="8"/>
      <c r="Y1104" s="9"/>
      <c r="Z1104" s="10"/>
      <c r="AA1104" s="11">
        <f t="shared" si="473"/>
        <v>0</v>
      </c>
      <c r="AB1104" s="12"/>
      <c r="AC1104" s="9"/>
      <c r="AD1104" s="10"/>
      <c r="AE1104" s="11">
        <f t="shared" si="474"/>
        <v>0</v>
      </c>
      <c r="AF1104" s="11">
        <f t="shared" si="475"/>
        <v>0</v>
      </c>
    </row>
    <row r="1105" spans="1:33" x14ac:dyDescent="0.15">
      <c r="A1105" s="27" t="s">
        <v>386</v>
      </c>
      <c r="B1105" s="8">
        <v>2</v>
      </c>
      <c r="C1105" s="9">
        <v>1</v>
      </c>
      <c r="D1105" s="10"/>
      <c r="E1105" s="11">
        <f t="shared" si="470"/>
        <v>3</v>
      </c>
      <c r="F1105" s="12"/>
      <c r="G1105" s="9"/>
      <c r="H1105" s="10"/>
      <c r="I1105" s="11">
        <f t="shared" si="471"/>
        <v>0</v>
      </c>
      <c r="J1105" s="11">
        <f t="shared" si="472"/>
        <v>3</v>
      </c>
      <c r="K1105" s="65">
        <v>42797</v>
      </c>
      <c r="W1105" s="29"/>
      <c r="X1105" s="8"/>
      <c r="Y1105" s="9"/>
      <c r="Z1105" s="10"/>
      <c r="AA1105" s="11">
        <f t="shared" si="473"/>
        <v>0</v>
      </c>
      <c r="AB1105" s="12"/>
      <c r="AC1105" s="9"/>
      <c r="AD1105" s="10"/>
      <c r="AE1105" s="11">
        <f t="shared" si="474"/>
        <v>0</v>
      </c>
      <c r="AF1105" s="11">
        <f t="shared" si="475"/>
        <v>0</v>
      </c>
    </row>
    <row r="1106" spans="1:33" x14ac:dyDescent="0.15">
      <c r="A1106" s="27" t="s">
        <v>583</v>
      </c>
      <c r="B1106" s="8"/>
      <c r="C1106" s="9"/>
      <c r="D1106" s="10"/>
      <c r="E1106" s="11">
        <f t="shared" si="470"/>
        <v>0</v>
      </c>
      <c r="F1106" s="12">
        <v>1</v>
      </c>
      <c r="G1106" s="9"/>
      <c r="H1106" s="10"/>
      <c r="I1106" s="11">
        <f t="shared" si="471"/>
        <v>1</v>
      </c>
      <c r="J1106" s="11">
        <f t="shared" si="472"/>
        <v>1</v>
      </c>
      <c r="K1106" s="65">
        <v>42796</v>
      </c>
      <c r="W1106" s="27"/>
      <c r="X1106" s="8"/>
      <c r="Y1106" s="9"/>
      <c r="Z1106" s="10"/>
      <c r="AA1106" s="11">
        <f t="shared" si="473"/>
        <v>0</v>
      </c>
      <c r="AB1106" s="12"/>
      <c r="AC1106" s="9"/>
      <c r="AD1106" s="10"/>
      <c r="AE1106" s="11">
        <f t="shared" si="474"/>
        <v>0</v>
      </c>
      <c r="AF1106" s="11">
        <f t="shared" si="475"/>
        <v>0</v>
      </c>
    </row>
    <row r="1107" spans="1:33" x14ac:dyDescent="0.15">
      <c r="A1107" s="26" t="s">
        <v>584</v>
      </c>
      <c r="B1107" s="8">
        <v>6</v>
      </c>
      <c r="C1107" s="9">
        <v>6</v>
      </c>
      <c r="D1107" s="10">
        <v>6</v>
      </c>
      <c r="E1107" s="11">
        <f t="shared" si="470"/>
        <v>18</v>
      </c>
      <c r="F1107" s="12">
        <v>6</v>
      </c>
      <c r="G1107" s="9">
        <v>6</v>
      </c>
      <c r="H1107" s="10">
        <v>6</v>
      </c>
      <c r="I1107" s="11">
        <f t="shared" si="471"/>
        <v>18</v>
      </c>
      <c r="J1107" s="11">
        <f t="shared" si="472"/>
        <v>36</v>
      </c>
      <c r="K1107" s="65">
        <v>42800</v>
      </c>
      <c r="W1107" s="26"/>
      <c r="X1107" s="8"/>
      <c r="Y1107" s="9"/>
      <c r="Z1107" s="10"/>
      <c r="AA1107" s="11">
        <f t="shared" si="473"/>
        <v>0</v>
      </c>
      <c r="AB1107" s="12"/>
      <c r="AC1107" s="9"/>
      <c r="AD1107" s="10"/>
      <c r="AE1107" s="11">
        <f t="shared" si="474"/>
        <v>0</v>
      </c>
      <c r="AF1107" s="11">
        <f t="shared" si="475"/>
        <v>0</v>
      </c>
    </row>
    <row r="1108" spans="1:33" x14ac:dyDescent="0.15">
      <c r="A1108" s="29" t="s">
        <v>401</v>
      </c>
      <c r="B1108" s="8"/>
      <c r="C1108" s="9">
        <v>30</v>
      </c>
      <c r="D1108" s="10"/>
      <c r="E1108" s="11">
        <f t="shared" si="470"/>
        <v>30</v>
      </c>
      <c r="F1108" s="12"/>
      <c r="G1108" s="9"/>
      <c r="H1108" s="10"/>
      <c r="I1108" s="11">
        <f t="shared" si="471"/>
        <v>0</v>
      </c>
      <c r="J1108" s="11">
        <f t="shared" si="472"/>
        <v>30</v>
      </c>
      <c r="K1108" s="65">
        <v>42804</v>
      </c>
      <c r="W1108" s="26"/>
      <c r="X1108" s="8"/>
      <c r="Y1108" s="9"/>
      <c r="Z1108" s="10"/>
      <c r="AA1108" s="11">
        <f t="shared" si="473"/>
        <v>0</v>
      </c>
      <c r="AB1108" s="12"/>
      <c r="AC1108" s="9"/>
      <c r="AD1108" s="10"/>
      <c r="AE1108" s="11">
        <f t="shared" si="474"/>
        <v>0</v>
      </c>
      <c r="AF1108" s="11">
        <f t="shared" si="475"/>
        <v>0</v>
      </c>
    </row>
    <row r="1109" spans="1:33" x14ac:dyDescent="0.15">
      <c r="A1109" s="27" t="s">
        <v>585</v>
      </c>
      <c r="B1109" s="8">
        <v>3</v>
      </c>
      <c r="C1109" s="9"/>
      <c r="D1109" s="10"/>
      <c r="E1109" s="11">
        <f t="shared" si="470"/>
        <v>3</v>
      </c>
      <c r="F1109" s="12">
        <v>1</v>
      </c>
      <c r="G1109" s="9"/>
      <c r="H1109" s="10"/>
      <c r="I1109" s="11">
        <f t="shared" si="471"/>
        <v>1</v>
      </c>
      <c r="J1109" s="11">
        <f t="shared" si="472"/>
        <v>4</v>
      </c>
      <c r="K1109" s="71">
        <v>42800</v>
      </c>
      <c r="W1109" s="27"/>
      <c r="X1109" s="8"/>
      <c r="Y1109" s="9"/>
      <c r="Z1109" s="10"/>
      <c r="AA1109" s="11">
        <f t="shared" si="473"/>
        <v>0</v>
      </c>
      <c r="AB1109" s="12"/>
      <c r="AC1109" s="9"/>
      <c r="AD1109" s="10"/>
      <c r="AE1109" s="11">
        <f t="shared" si="474"/>
        <v>0</v>
      </c>
      <c r="AF1109" s="11">
        <f t="shared" si="475"/>
        <v>0</v>
      </c>
    </row>
    <row r="1110" spans="1:33" x14ac:dyDescent="0.15">
      <c r="A1110" s="29" t="s">
        <v>586</v>
      </c>
      <c r="B1110" s="13">
        <v>1</v>
      </c>
      <c r="C1110" s="14"/>
      <c r="D1110" s="15"/>
      <c r="E1110" s="11">
        <f t="shared" si="470"/>
        <v>1</v>
      </c>
      <c r="F1110" s="16"/>
      <c r="G1110" s="14"/>
      <c r="H1110" s="15"/>
      <c r="I1110" s="11">
        <f t="shared" si="471"/>
        <v>0</v>
      </c>
      <c r="J1110" s="11">
        <f t="shared" si="472"/>
        <v>1</v>
      </c>
      <c r="K1110" s="65">
        <v>42801</v>
      </c>
      <c r="W1110" s="27"/>
      <c r="X1110" s="13"/>
      <c r="Y1110" s="14"/>
      <c r="Z1110" s="15"/>
      <c r="AA1110" s="11">
        <f t="shared" si="473"/>
        <v>0</v>
      </c>
      <c r="AB1110" s="16"/>
      <c r="AC1110" s="14"/>
      <c r="AD1110" s="15"/>
      <c r="AE1110" s="11">
        <f t="shared" si="474"/>
        <v>0</v>
      </c>
      <c r="AF1110" s="11">
        <f t="shared" si="475"/>
        <v>0</v>
      </c>
    </row>
    <row r="1111" spans="1:33" x14ac:dyDescent="0.15">
      <c r="A1111" s="27" t="s">
        <v>587</v>
      </c>
      <c r="B1111" s="8"/>
      <c r="C1111" s="9"/>
      <c r="D1111" s="10">
        <v>1</v>
      </c>
      <c r="E1111" s="11">
        <f t="shared" si="470"/>
        <v>1</v>
      </c>
      <c r="F1111" s="12"/>
      <c r="G1111" s="9"/>
      <c r="H1111" s="10">
        <v>3</v>
      </c>
      <c r="I1111" s="11">
        <f t="shared" si="471"/>
        <v>3</v>
      </c>
      <c r="J1111" s="11">
        <f t="shared" si="472"/>
        <v>4</v>
      </c>
      <c r="K1111" s="65">
        <v>42801</v>
      </c>
      <c r="W1111" s="86"/>
      <c r="X1111" s="13"/>
      <c r="Y1111" s="14"/>
      <c r="Z1111" s="15"/>
      <c r="AA1111" s="11">
        <f t="shared" si="473"/>
        <v>0</v>
      </c>
      <c r="AB1111" s="16"/>
      <c r="AC1111" s="14"/>
      <c r="AD1111" s="15"/>
      <c r="AE1111" s="11">
        <f t="shared" si="474"/>
        <v>0</v>
      </c>
      <c r="AF1111" s="11">
        <f t="shared" si="475"/>
        <v>0</v>
      </c>
    </row>
    <row r="1112" spans="1:33" x14ac:dyDescent="0.15">
      <c r="A1112" s="27" t="s">
        <v>588</v>
      </c>
      <c r="B1112" s="8"/>
      <c r="C1112" s="9"/>
      <c r="D1112" s="10"/>
      <c r="E1112" s="11">
        <f t="shared" si="470"/>
        <v>0</v>
      </c>
      <c r="F1112" s="12">
        <v>1</v>
      </c>
      <c r="G1112" s="9">
        <v>1</v>
      </c>
      <c r="H1112" s="10"/>
      <c r="I1112" s="11">
        <f t="shared" si="471"/>
        <v>2</v>
      </c>
      <c r="J1112" s="11">
        <f t="shared" si="472"/>
        <v>2</v>
      </c>
      <c r="K1112" s="65">
        <v>42802</v>
      </c>
      <c r="W1112" s="27"/>
      <c r="X1112" s="13"/>
      <c r="Y1112" s="14"/>
      <c r="Z1112" s="15"/>
      <c r="AA1112" s="11">
        <f t="shared" si="473"/>
        <v>0</v>
      </c>
      <c r="AB1112" s="16"/>
      <c r="AC1112" s="14"/>
      <c r="AD1112" s="15"/>
      <c r="AE1112" s="11">
        <f t="shared" si="474"/>
        <v>0</v>
      </c>
      <c r="AF1112" s="11">
        <f t="shared" si="475"/>
        <v>0</v>
      </c>
    </row>
    <row r="1113" spans="1:33" x14ac:dyDescent="0.15">
      <c r="A1113" s="29" t="s">
        <v>512</v>
      </c>
      <c r="B1113" s="8"/>
      <c r="C1113" s="9"/>
      <c r="D1113" s="10"/>
      <c r="E1113" s="11">
        <f t="shared" si="470"/>
        <v>0</v>
      </c>
      <c r="F1113" s="12">
        <v>2</v>
      </c>
      <c r="G1113" s="9"/>
      <c r="H1113" s="10"/>
      <c r="I1113" s="11">
        <f t="shared" si="471"/>
        <v>2</v>
      </c>
      <c r="J1113" s="11">
        <f t="shared" si="472"/>
        <v>2</v>
      </c>
      <c r="K1113" s="65">
        <v>42803</v>
      </c>
      <c r="W1113" s="86"/>
      <c r="X1113" s="13"/>
      <c r="Y1113" s="14"/>
      <c r="Z1113" s="15"/>
      <c r="AA1113" s="11">
        <f t="shared" si="473"/>
        <v>0</v>
      </c>
      <c r="AB1113" s="16"/>
      <c r="AC1113" s="14"/>
      <c r="AD1113" s="15"/>
      <c r="AE1113" s="11">
        <f t="shared" si="474"/>
        <v>0</v>
      </c>
      <c r="AF1113" s="11">
        <f t="shared" si="475"/>
        <v>0</v>
      </c>
      <c r="AG1113" s="64"/>
    </row>
    <row r="1114" spans="1:33" ht="14.25" thickBot="1" x14ac:dyDescent="0.2">
      <c r="A1114" s="29" t="s">
        <v>589</v>
      </c>
      <c r="B1114" s="8"/>
      <c r="C1114" s="9"/>
      <c r="D1114" s="10">
        <v>2</v>
      </c>
      <c r="E1114" s="11">
        <f t="shared" si="470"/>
        <v>2</v>
      </c>
      <c r="F1114" s="16">
        <v>1</v>
      </c>
      <c r="G1114" s="14"/>
      <c r="H1114" s="15"/>
      <c r="I1114" s="11">
        <f t="shared" si="471"/>
        <v>1</v>
      </c>
      <c r="J1114" s="11">
        <f t="shared" si="472"/>
        <v>3</v>
      </c>
      <c r="K1114" s="65">
        <v>42803</v>
      </c>
      <c r="W1114" s="86"/>
      <c r="X1114" s="13"/>
      <c r="Y1114" s="14"/>
      <c r="Z1114" s="15"/>
      <c r="AA1114" s="11">
        <f>SUM(X1114:Z1114)</f>
        <v>0</v>
      </c>
      <c r="AB1114" s="16"/>
      <c r="AC1114" s="14"/>
      <c r="AD1114" s="15"/>
      <c r="AE1114" s="11">
        <f>SUM(AB1114:AD1114)</f>
        <v>0</v>
      </c>
      <c r="AF1114" s="11">
        <f>AA1114+AE1114</f>
        <v>0</v>
      </c>
      <c r="AG1114" s="64"/>
    </row>
    <row r="1115" spans="1:33" ht="14.25" thickBot="1" x14ac:dyDescent="0.2">
      <c r="A1115" s="44" t="s">
        <v>13</v>
      </c>
      <c r="B1115" s="48">
        <f t="shared" ref="B1115:I1115" si="476">SUM(B1089:B1114)</f>
        <v>82</v>
      </c>
      <c r="C1115" s="49">
        <f t="shared" si="476"/>
        <v>110</v>
      </c>
      <c r="D1115" s="50">
        <f t="shared" si="476"/>
        <v>97</v>
      </c>
      <c r="E1115" s="46">
        <f t="shared" si="476"/>
        <v>289</v>
      </c>
      <c r="F1115" s="48">
        <f t="shared" si="476"/>
        <v>70</v>
      </c>
      <c r="G1115" s="49">
        <f t="shared" si="476"/>
        <v>94</v>
      </c>
      <c r="H1115" s="50">
        <f t="shared" si="476"/>
        <v>47</v>
      </c>
      <c r="I1115" s="46">
        <f t="shared" si="476"/>
        <v>211</v>
      </c>
      <c r="J1115" s="35">
        <f>E1115+I1115</f>
        <v>500</v>
      </c>
      <c r="W1115" s="44" t="s">
        <v>13</v>
      </c>
      <c r="X1115" s="48">
        <f t="shared" ref="X1115:AE1115" si="477">SUM(X1089:X1114)</f>
        <v>50</v>
      </c>
      <c r="Y1115" s="49">
        <f t="shared" si="477"/>
        <v>100</v>
      </c>
      <c r="Z1115" s="50">
        <f t="shared" si="477"/>
        <v>100</v>
      </c>
      <c r="AA1115" s="46">
        <f t="shared" si="477"/>
        <v>250</v>
      </c>
      <c r="AB1115" s="48">
        <f t="shared" si="477"/>
        <v>50</v>
      </c>
      <c r="AC1115" s="49">
        <f t="shared" si="477"/>
        <v>100</v>
      </c>
      <c r="AD1115" s="50">
        <f t="shared" si="477"/>
        <v>50</v>
      </c>
      <c r="AE1115" s="46">
        <f t="shared" si="477"/>
        <v>200</v>
      </c>
      <c r="AF1115" s="35">
        <f>AA1115+AE1115</f>
        <v>450</v>
      </c>
    </row>
    <row r="1116" spans="1:33" ht="14.25" thickBot="1" x14ac:dyDescent="0.2">
      <c r="A1116" s="23" t="s">
        <v>14</v>
      </c>
      <c r="B1116" s="24">
        <f t="shared" ref="B1116:J1116" si="478">B1088-B1115</f>
        <v>30</v>
      </c>
      <c r="C1116" s="25">
        <f t="shared" si="478"/>
        <v>41</v>
      </c>
      <c r="D1116" s="30">
        <f t="shared" si="478"/>
        <v>18</v>
      </c>
      <c r="E1116" s="51">
        <f t="shared" si="478"/>
        <v>89</v>
      </c>
      <c r="F1116" s="24">
        <f t="shared" si="478"/>
        <v>20</v>
      </c>
      <c r="G1116" s="25">
        <f t="shared" si="478"/>
        <v>38</v>
      </c>
      <c r="H1116" s="30">
        <f t="shared" si="478"/>
        <v>32</v>
      </c>
      <c r="I1116" s="47">
        <f t="shared" si="478"/>
        <v>90</v>
      </c>
      <c r="J1116" s="79">
        <f t="shared" si="478"/>
        <v>179</v>
      </c>
      <c r="W1116" s="23" t="s">
        <v>14</v>
      </c>
      <c r="X1116" s="24">
        <f t="shared" ref="X1116:AF1116" si="479">X1088-X1115</f>
        <v>414</v>
      </c>
      <c r="Y1116" s="25">
        <f t="shared" si="479"/>
        <v>307</v>
      </c>
      <c r="Z1116" s="30">
        <f t="shared" si="479"/>
        <v>633</v>
      </c>
      <c r="AA1116" s="51">
        <f t="shared" si="479"/>
        <v>1354</v>
      </c>
      <c r="AB1116" s="24">
        <f t="shared" si="479"/>
        <v>59</v>
      </c>
      <c r="AC1116" s="25">
        <f t="shared" si="479"/>
        <v>95</v>
      </c>
      <c r="AD1116" s="30">
        <f t="shared" si="479"/>
        <v>63</v>
      </c>
      <c r="AE1116" s="47">
        <f t="shared" si="479"/>
        <v>217</v>
      </c>
      <c r="AF1116" s="79">
        <f t="shared" si="479"/>
        <v>1571</v>
      </c>
    </row>
    <row r="1119" spans="1:33" ht="19.5" thickBot="1" x14ac:dyDescent="0.25">
      <c r="A1119" s="2" t="s">
        <v>21</v>
      </c>
      <c r="B1119" s="1"/>
      <c r="C1119" s="1"/>
      <c r="D1119" s="1"/>
      <c r="E1119" s="1"/>
      <c r="F1119" s="1"/>
      <c r="G1119" s="1"/>
      <c r="H1119" s="1"/>
      <c r="I1119" s="1"/>
      <c r="J1119" s="1"/>
      <c r="W1119" s="93" t="s">
        <v>136</v>
      </c>
      <c r="X1119" s="94"/>
      <c r="Y1119" s="94"/>
      <c r="Z1119" s="94"/>
      <c r="AA1119" s="106" t="s">
        <v>299</v>
      </c>
      <c r="AB1119" s="1"/>
      <c r="AC1119" s="1"/>
      <c r="AD1119" s="1"/>
      <c r="AE1119" s="1"/>
      <c r="AF1119" s="1"/>
    </row>
    <row r="1120" spans="1:33" ht="14.25" thickBot="1" x14ac:dyDescent="0.2">
      <c r="A1120" s="7" t="s">
        <v>0</v>
      </c>
      <c r="B1120" s="168" t="s">
        <v>1</v>
      </c>
      <c r="C1120" s="169"/>
      <c r="D1120" s="169"/>
      <c r="E1120" s="170"/>
      <c r="F1120" s="168" t="s">
        <v>2</v>
      </c>
      <c r="G1120" s="169"/>
      <c r="H1120" s="169"/>
      <c r="I1120" s="171"/>
      <c r="J1120" s="172" t="s">
        <v>3</v>
      </c>
      <c r="W1120" s="7" t="s">
        <v>0</v>
      </c>
      <c r="X1120" s="174" t="s">
        <v>1</v>
      </c>
      <c r="Y1120" s="175"/>
      <c r="Z1120" s="176"/>
      <c r="AA1120" s="101"/>
      <c r="AB1120" s="174" t="s">
        <v>2</v>
      </c>
      <c r="AC1120" s="175"/>
      <c r="AD1120" s="176"/>
      <c r="AE1120" s="102"/>
      <c r="AF1120" s="103" t="s">
        <v>3</v>
      </c>
    </row>
    <row r="1121" spans="1:33" ht="14.25" thickBot="1" x14ac:dyDescent="0.2">
      <c r="A1121" s="7" t="s">
        <v>4</v>
      </c>
      <c r="B1121" s="3" t="s">
        <v>5</v>
      </c>
      <c r="C1121" s="4" t="s">
        <v>6</v>
      </c>
      <c r="D1121" s="5" t="s">
        <v>7</v>
      </c>
      <c r="E1121" s="7" t="s">
        <v>8</v>
      </c>
      <c r="F1121" s="3" t="s">
        <v>5</v>
      </c>
      <c r="G1121" s="4" t="s">
        <v>6</v>
      </c>
      <c r="H1121" s="5" t="s">
        <v>7</v>
      </c>
      <c r="I1121" s="7" t="s">
        <v>8</v>
      </c>
      <c r="J1121" s="173"/>
      <c r="W1121" s="7" t="s">
        <v>4</v>
      </c>
      <c r="X1121" s="3" t="s">
        <v>5</v>
      </c>
      <c r="Y1121" s="4" t="s">
        <v>6</v>
      </c>
      <c r="Z1121" s="5" t="s">
        <v>7</v>
      </c>
      <c r="AA1121" s="7" t="s">
        <v>8</v>
      </c>
      <c r="AB1121" s="107" t="s">
        <v>5</v>
      </c>
      <c r="AC1121" s="108" t="s">
        <v>6</v>
      </c>
      <c r="AD1121" s="109" t="s">
        <v>7</v>
      </c>
      <c r="AE1121" s="7" t="s">
        <v>8</v>
      </c>
      <c r="AF1121" s="104"/>
    </row>
    <row r="1122" spans="1:33" ht="14.25" thickBot="1" x14ac:dyDescent="0.2">
      <c r="A1122" s="31" t="s">
        <v>14</v>
      </c>
      <c r="B1122" s="32">
        <f>B1116</f>
        <v>30</v>
      </c>
      <c r="C1122" s="33">
        <f>C1116</f>
        <v>41</v>
      </c>
      <c r="D1122" s="34">
        <f>D1116</f>
        <v>18</v>
      </c>
      <c r="E1122" s="41">
        <f>SUM(B1122:D1122)</f>
        <v>89</v>
      </c>
      <c r="F1122" s="32">
        <f>F1116</f>
        <v>20</v>
      </c>
      <c r="G1122" s="33">
        <f>G1116</f>
        <v>38</v>
      </c>
      <c r="H1122" s="34">
        <f>H1116</f>
        <v>32</v>
      </c>
      <c r="I1122" s="41">
        <f>SUM(F1122:H1122)</f>
        <v>90</v>
      </c>
      <c r="J1122" s="41">
        <f>E1122+I1122</f>
        <v>179</v>
      </c>
      <c r="W1122" s="31" t="s">
        <v>14</v>
      </c>
      <c r="X1122" s="32">
        <f>X1116</f>
        <v>414</v>
      </c>
      <c r="Y1122" s="33">
        <f>Y1116</f>
        <v>307</v>
      </c>
      <c r="Z1122" s="33">
        <f>Z1116</f>
        <v>633</v>
      </c>
      <c r="AA1122" s="111">
        <f>SUM(X1122:Z1122)</f>
        <v>1354</v>
      </c>
      <c r="AB1122" s="32">
        <f>AB1116</f>
        <v>59</v>
      </c>
      <c r="AC1122" s="33">
        <f>AC1116</f>
        <v>95</v>
      </c>
      <c r="AD1122" s="95">
        <f>AD1116</f>
        <v>63</v>
      </c>
      <c r="AE1122" s="46">
        <f>SUM(AB1122:AD1122)</f>
        <v>217</v>
      </c>
      <c r="AF1122" s="35">
        <f>AA1122+AE1122</f>
        <v>1571</v>
      </c>
    </row>
    <row r="1123" spans="1:33" x14ac:dyDescent="0.15">
      <c r="A1123" s="28" t="s">
        <v>9</v>
      </c>
      <c r="B1123" s="17"/>
      <c r="C1123" s="18"/>
      <c r="D1123" s="19">
        <v>50</v>
      </c>
      <c r="E1123" s="20">
        <f t="shared" ref="E1123:E1130" si="480">SUM(B1123:D1123)</f>
        <v>50</v>
      </c>
      <c r="F1123" s="21">
        <v>59</v>
      </c>
      <c r="G1123" s="18"/>
      <c r="H1123" s="19"/>
      <c r="I1123" s="20">
        <f t="shared" ref="I1123:I1130" si="481">SUM(F1123:H1123)</f>
        <v>59</v>
      </c>
      <c r="J1123" s="20">
        <f t="shared" ref="J1123:J1130" si="482">E1123+I1123</f>
        <v>109</v>
      </c>
      <c r="K1123" s="65">
        <v>42807</v>
      </c>
      <c r="W1123" s="28" t="s">
        <v>9</v>
      </c>
      <c r="X1123" s="8"/>
      <c r="Y1123" s="9"/>
      <c r="Z1123" s="10"/>
      <c r="AA1123" s="78">
        <f t="shared" ref="AA1123:AA1130" si="483">SUM(X1123:Z1123)</f>
        <v>0</v>
      </c>
      <c r="AB1123" s="21"/>
      <c r="AC1123" s="18"/>
      <c r="AD1123" s="19"/>
      <c r="AE1123" s="78">
        <f t="shared" ref="AE1123:AE1130" si="484">SUM(AB1123:AD1123)</f>
        <v>0</v>
      </c>
      <c r="AF1123" s="78">
        <f t="shared" ref="AF1123:AF1130" si="485">AA1123+AE1123</f>
        <v>0</v>
      </c>
    </row>
    <row r="1124" spans="1:33" x14ac:dyDescent="0.15">
      <c r="A1124" s="28" t="s">
        <v>10</v>
      </c>
      <c r="B1124" s="8"/>
      <c r="C1124" s="9"/>
      <c r="D1124" s="10"/>
      <c r="E1124" s="11">
        <f t="shared" si="480"/>
        <v>0</v>
      </c>
      <c r="F1124" s="12"/>
      <c r="G1124" s="9">
        <v>50</v>
      </c>
      <c r="H1124" s="10"/>
      <c r="I1124" s="11">
        <f t="shared" si="481"/>
        <v>50</v>
      </c>
      <c r="J1124" s="11">
        <f t="shared" si="482"/>
        <v>50</v>
      </c>
      <c r="K1124" s="65">
        <v>42809</v>
      </c>
      <c r="W1124" s="28" t="s">
        <v>10</v>
      </c>
      <c r="X1124" s="8"/>
      <c r="Y1124" s="9"/>
      <c r="Z1124" s="10"/>
      <c r="AA1124" s="11">
        <f t="shared" si="483"/>
        <v>0</v>
      </c>
      <c r="AB1124" s="12"/>
      <c r="AC1124" s="9"/>
      <c r="AD1124" s="10"/>
      <c r="AE1124" s="11">
        <f t="shared" si="484"/>
        <v>0</v>
      </c>
      <c r="AF1124" s="11">
        <f t="shared" si="485"/>
        <v>0</v>
      </c>
    </row>
    <row r="1125" spans="1:33" x14ac:dyDescent="0.15">
      <c r="A1125" s="28" t="s">
        <v>104</v>
      </c>
      <c r="B1125" s="8">
        <v>24</v>
      </c>
      <c r="C1125" s="9"/>
      <c r="D1125" s="10"/>
      <c r="E1125" s="11">
        <f t="shared" si="480"/>
        <v>24</v>
      </c>
      <c r="F1125" s="12"/>
      <c r="G1125" s="9"/>
      <c r="H1125" s="10">
        <v>51</v>
      </c>
      <c r="I1125" s="11">
        <f t="shared" si="481"/>
        <v>51</v>
      </c>
      <c r="J1125" s="11">
        <f t="shared" si="482"/>
        <v>75</v>
      </c>
      <c r="K1125" s="71">
        <v>42809</v>
      </c>
      <c r="W1125" s="28" t="s">
        <v>11</v>
      </c>
      <c r="X1125" s="8"/>
      <c r="Y1125" s="9"/>
      <c r="Z1125" s="10"/>
      <c r="AA1125" s="11">
        <f t="shared" si="483"/>
        <v>0</v>
      </c>
      <c r="AB1125" s="12"/>
      <c r="AC1125" s="9"/>
      <c r="AD1125" s="10"/>
      <c r="AE1125" s="11">
        <f t="shared" si="484"/>
        <v>0</v>
      </c>
      <c r="AF1125" s="11">
        <f t="shared" si="485"/>
        <v>0</v>
      </c>
    </row>
    <row r="1126" spans="1:33" x14ac:dyDescent="0.15">
      <c r="A1126" s="28" t="s">
        <v>104</v>
      </c>
      <c r="B1126" s="8"/>
      <c r="C1126" s="9"/>
      <c r="D1126" s="10"/>
      <c r="E1126" s="11">
        <f t="shared" si="480"/>
        <v>0</v>
      </c>
      <c r="F1126" s="12">
        <v>1</v>
      </c>
      <c r="G1126" s="9">
        <v>1</v>
      </c>
      <c r="H1126" s="10"/>
      <c r="I1126" s="11">
        <f t="shared" si="481"/>
        <v>2</v>
      </c>
      <c r="J1126" s="11">
        <f t="shared" si="482"/>
        <v>2</v>
      </c>
      <c r="K1126" s="71">
        <v>42815</v>
      </c>
      <c r="W1126" s="28" t="s">
        <v>12</v>
      </c>
      <c r="X1126" s="8"/>
      <c r="Y1126" s="9"/>
      <c r="Z1126" s="10"/>
      <c r="AA1126" s="11">
        <f t="shared" si="483"/>
        <v>0</v>
      </c>
      <c r="AB1126" s="12"/>
      <c r="AC1126" s="9"/>
      <c r="AD1126" s="10"/>
      <c r="AE1126" s="11">
        <f t="shared" si="484"/>
        <v>0</v>
      </c>
      <c r="AF1126" s="11">
        <f t="shared" si="485"/>
        <v>0</v>
      </c>
    </row>
    <row r="1127" spans="1:33" x14ac:dyDescent="0.15">
      <c r="A1127" s="28" t="s">
        <v>15</v>
      </c>
      <c r="B1127" s="8"/>
      <c r="C1127" s="9">
        <v>50</v>
      </c>
      <c r="D1127" s="10"/>
      <c r="E1127" s="11">
        <f t="shared" si="480"/>
        <v>50</v>
      </c>
      <c r="F1127" s="12"/>
      <c r="G1127" s="9"/>
      <c r="H1127" s="10"/>
      <c r="I1127" s="11">
        <f t="shared" si="481"/>
        <v>0</v>
      </c>
      <c r="J1127" s="11">
        <f t="shared" si="482"/>
        <v>50</v>
      </c>
      <c r="K1127" s="65">
        <v>42817</v>
      </c>
      <c r="W1127" s="28" t="s">
        <v>15</v>
      </c>
      <c r="X1127" s="8"/>
      <c r="Y1127" s="9"/>
      <c r="Z1127" s="10"/>
      <c r="AA1127" s="11">
        <f t="shared" si="483"/>
        <v>0</v>
      </c>
      <c r="AB1127" s="12"/>
      <c r="AC1127" s="9"/>
      <c r="AD1127" s="10"/>
      <c r="AE1127" s="11">
        <f t="shared" si="484"/>
        <v>0</v>
      </c>
      <c r="AF1127" s="11">
        <f t="shared" si="485"/>
        <v>0</v>
      </c>
      <c r="AG1127" s="65"/>
    </row>
    <row r="1128" spans="1:33" x14ac:dyDescent="0.15">
      <c r="A1128" s="28" t="s">
        <v>228</v>
      </c>
      <c r="B1128" s="8">
        <v>3</v>
      </c>
      <c r="C1128" s="9">
        <v>3</v>
      </c>
      <c r="D1128" s="10"/>
      <c r="E1128" s="11">
        <f t="shared" si="480"/>
        <v>6</v>
      </c>
      <c r="F1128" s="12"/>
      <c r="G1128" s="9"/>
      <c r="H1128" s="10"/>
      <c r="I1128" s="11">
        <f t="shared" si="481"/>
        <v>0</v>
      </c>
      <c r="J1128" s="11">
        <f t="shared" si="482"/>
        <v>6</v>
      </c>
      <c r="K1128" s="71">
        <v>42817</v>
      </c>
      <c r="W1128" s="28" t="s">
        <v>16</v>
      </c>
      <c r="X1128" s="8"/>
      <c r="Y1128" s="9"/>
      <c r="Z1128" s="10"/>
      <c r="AA1128" s="11">
        <f t="shared" si="483"/>
        <v>0</v>
      </c>
      <c r="AB1128" s="12"/>
      <c r="AC1128" s="9"/>
      <c r="AD1128" s="10"/>
      <c r="AE1128" s="11">
        <f t="shared" si="484"/>
        <v>0</v>
      </c>
      <c r="AF1128" s="11">
        <f t="shared" si="485"/>
        <v>0</v>
      </c>
    </row>
    <row r="1129" spans="1:33" x14ac:dyDescent="0.15">
      <c r="A1129" s="28" t="s">
        <v>17</v>
      </c>
      <c r="B1129" s="13">
        <v>50</v>
      </c>
      <c r="C1129" s="14">
        <v>50</v>
      </c>
      <c r="D1129" s="15"/>
      <c r="E1129" s="11">
        <f t="shared" si="480"/>
        <v>100</v>
      </c>
      <c r="F1129" s="16"/>
      <c r="G1129" s="14"/>
      <c r="H1129" s="15"/>
      <c r="I1129" s="11">
        <f t="shared" si="481"/>
        <v>0</v>
      </c>
      <c r="J1129" s="11">
        <f t="shared" si="482"/>
        <v>100</v>
      </c>
      <c r="K1129" s="65">
        <v>42823</v>
      </c>
      <c r="W1129" s="28" t="s">
        <v>17</v>
      </c>
      <c r="X1129" s="8"/>
      <c r="Y1129" s="9"/>
      <c r="Z1129" s="10"/>
      <c r="AA1129" s="11">
        <f t="shared" si="483"/>
        <v>0</v>
      </c>
      <c r="AB1129" s="12"/>
      <c r="AC1129" s="9"/>
      <c r="AD1129" s="10"/>
      <c r="AE1129" s="11">
        <f t="shared" si="484"/>
        <v>0</v>
      </c>
      <c r="AF1129" s="11">
        <f t="shared" si="485"/>
        <v>0</v>
      </c>
      <c r="AG1129" s="71"/>
    </row>
    <row r="1130" spans="1:33" ht="14.25" thickBot="1" x14ac:dyDescent="0.2">
      <c r="A1130" s="28" t="s">
        <v>38</v>
      </c>
      <c r="B1130" s="36"/>
      <c r="C1130" s="37">
        <v>1</v>
      </c>
      <c r="D1130" s="40"/>
      <c r="E1130" s="22">
        <f t="shared" si="480"/>
        <v>1</v>
      </c>
      <c r="F1130" s="38"/>
      <c r="G1130" s="38">
        <v>1</v>
      </c>
      <c r="H1130" s="43"/>
      <c r="I1130" s="22">
        <f t="shared" si="481"/>
        <v>1</v>
      </c>
      <c r="J1130" s="22">
        <f t="shared" si="482"/>
        <v>2</v>
      </c>
      <c r="K1130" s="71">
        <v>42823</v>
      </c>
      <c r="W1130" s="28" t="s">
        <v>18</v>
      </c>
      <c r="X1130" s="36"/>
      <c r="Y1130" s="37"/>
      <c r="Z1130" s="40"/>
      <c r="AA1130" s="22">
        <f t="shared" si="483"/>
        <v>0</v>
      </c>
      <c r="AB1130" s="38"/>
      <c r="AC1130" s="38"/>
      <c r="AD1130" s="43"/>
      <c r="AE1130" s="22">
        <f t="shared" si="484"/>
        <v>0</v>
      </c>
      <c r="AF1130" s="22">
        <f t="shared" si="485"/>
        <v>0</v>
      </c>
      <c r="AG1130" s="64"/>
    </row>
    <row r="1131" spans="1:33" ht="14.25" thickBot="1" x14ac:dyDescent="0.2">
      <c r="A1131" s="39" t="s">
        <v>20</v>
      </c>
      <c r="B1131" s="32">
        <f t="shared" ref="B1131:J1131" si="486">SUM(B1122:B1130)</f>
        <v>107</v>
      </c>
      <c r="C1131" s="33">
        <f t="shared" si="486"/>
        <v>145</v>
      </c>
      <c r="D1131" s="34">
        <f t="shared" si="486"/>
        <v>68</v>
      </c>
      <c r="E1131" s="42">
        <f t="shared" si="486"/>
        <v>320</v>
      </c>
      <c r="F1131" s="32">
        <f t="shared" si="486"/>
        <v>80</v>
      </c>
      <c r="G1131" s="33">
        <f t="shared" si="486"/>
        <v>90</v>
      </c>
      <c r="H1131" s="34">
        <f t="shared" si="486"/>
        <v>83</v>
      </c>
      <c r="I1131" s="42">
        <f t="shared" si="486"/>
        <v>253</v>
      </c>
      <c r="J1131" s="42">
        <f t="shared" si="486"/>
        <v>573</v>
      </c>
      <c r="W1131" s="39" t="s">
        <v>20</v>
      </c>
      <c r="X1131" s="32">
        <f t="shared" ref="X1131:AF1131" si="487">SUM(X1122:X1130)</f>
        <v>414</v>
      </c>
      <c r="Y1131" s="33">
        <f t="shared" si="487"/>
        <v>307</v>
      </c>
      <c r="Z1131" s="34">
        <f t="shared" si="487"/>
        <v>633</v>
      </c>
      <c r="AA1131" s="42">
        <f t="shared" si="487"/>
        <v>1354</v>
      </c>
      <c r="AB1131" s="32">
        <f t="shared" si="487"/>
        <v>59</v>
      </c>
      <c r="AC1131" s="33">
        <f t="shared" si="487"/>
        <v>95</v>
      </c>
      <c r="AD1131" s="34">
        <f t="shared" si="487"/>
        <v>63</v>
      </c>
      <c r="AE1131" s="42">
        <f t="shared" si="487"/>
        <v>217</v>
      </c>
      <c r="AF1131" s="42">
        <f t="shared" si="487"/>
        <v>1571</v>
      </c>
    </row>
    <row r="1132" spans="1:33" x14ac:dyDescent="0.15">
      <c r="A1132" s="27" t="s">
        <v>591</v>
      </c>
      <c r="B1132" s="13">
        <v>10</v>
      </c>
      <c r="C1132" s="14">
        <v>10</v>
      </c>
      <c r="D1132" s="15">
        <v>10</v>
      </c>
      <c r="E1132" s="11">
        <f>SUM(B1132:D1132)</f>
        <v>30</v>
      </c>
      <c r="F1132" s="16">
        <v>10</v>
      </c>
      <c r="G1132" s="14">
        <v>10</v>
      </c>
      <c r="H1132" s="15">
        <v>10</v>
      </c>
      <c r="I1132" s="11">
        <f>SUM(F1132:H1132)</f>
        <v>30</v>
      </c>
      <c r="J1132" s="11">
        <f>E1132+I1132</f>
        <v>60</v>
      </c>
      <c r="K1132" s="65">
        <v>42804</v>
      </c>
      <c r="W1132" s="28" t="s">
        <v>590</v>
      </c>
      <c r="X1132" s="13"/>
      <c r="Y1132" s="14"/>
      <c r="Z1132" s="15">
        <v>50</v>
      </c>
      <c r="AA1132" s="11">
        <f>SUM(X1132:Z1132)</f>
        <v>50</v>
      </c>
      <c r="AB1132" s="16">
        <v>59</v>
      </c>
      <c r="AC1132" s="14"/>
      <c r="AD1132" s="15"/>
      <c r="AE1132" s="11">
        <f>SUM(AB1132:AD1132)</f>
        <v>59</v>
      </c>
      <c r="AF1132" s="11">
        <f>AA1132+AE1132</f>
        <v>109</v>
      </c>
      <c r="AG1132" s="65">
        <v>42807</v>
      </c>
    </row>
    <row r="1133" spans="1:33" x14ac:dyDescent="0.15">
      <c r="A1133" s="29" t="s">
        <v>386</v>
      </c>
      <c r="B1133" s="13"/>
      <c r="C1133" s="14">
        <v>5</v>
      </c>
      <c r="D1133" s="15"/>
      <c r="E1133" s="11">
        <f t="shared" ref="E1133:E1157" si="488">SUM(B1133:D1133)</f>
        <v>5</v>
      </c>
      <c r="F1133" s="16"/>
      <c r="G1133" s="14">
        <v>3</v>
      </c>
      <c r="H1133" s="15"/>
      <c r="I1133" s="11">
        <f t="shared" ref="I1133:I1157" si="489">SUM(F1133:H1133)</f>
        <v>3</v>
      </c>
      <c r="J1133" s="11">
        <f t="shared" ref="J1133:J1157" si="490">E1133+I1133</f>
        <v>8</v>
      </c>
      <c r="K1133" s="65">
        <v>42805</v>
      </c>
      <c r="W1133" s="28" t="s">
        <v>41</v>
      </c>
      <c r="X1133" s="8"/>
      <c r="Y1133" s="9"/>
      <c r="Z1133" s="10"/>
      <c r="AA1133" s="11">
        <f>SUM(X1133:Z1133)</f>
        <v>0</v>
      </c>
      <c r="AB1133" s="12"/>
      <c r="AC1133" s="9">
        <v>50</v>
      </c>
      <c r="AD1133" s="10"/>
      <c r="AE1133" s="11">
        <f>SUM(AB1133:AD1133)</f>
        <v>50</v>
      </c>
      <c r="AF1133" s="11">
        <f>AA1133+AE1133</f>
        <v>50</v>
      </c>
      <c r="AG1133" s="65">
        <v>42809</v>
      </c>
    </row>
    <row r="1134" spans="1:33" x14ac:dyDescent="0.15">
      <c r="A1134" s="29" t="s">
        <v>401</v>
      </c>
      <c r="B1134" s="8"/>
      <c r="C1134" s="9"/>
      <c r="D1134" s="10"/>
      <c r="E1134" s="11">
        <f t="shared" si="488"/>
        <v>0</v>
      </c>
      <c r="F1134" s="12"/>
      <c r="G1134" s="9">
        <v>30</v>
      </c>
      <c r="H1134" s="10"/>
      <c r="I1134" s="11">
        <f t="shared" si="489"/>
        <v>30</v>
      </c>
      <c r="J1134" s="11">
        <f t="shared" si="490"/>
        <v>30</v>
      </c>
      <c r="K1134" s="65">
        <v>42811</v>
      </c>
      <c r="W1134" s="28" t="s">
        <v>41</v>
      </c>
      <c r="X1134" s="8"/>
      <c r="Y1134" s="9">
        <v>50</v>
      </c>
      <c r="Z1134" s="10"/>
      <c r="AA1134" s="11">
        <f t="shared" ref="AA1134:AA1157" si="491">SUM(X1134:Z1134)</f>
        <v>50</v>
      </c>
      <c r="AB1134" s="12"/>
      <c r="AC1134" s="9"/>
      <c r="AD1134" s="10"/>
      <c r="AE1134" s="11">
        <f t="shared" ref="AE1134:AE1157" si="492">SUM(AB1134:AD1134)</f>
        <v>0</v>
      </c>
      <c r="AF1134" s="11">
        <f t="shared" ref="AF1134:AF1157" si="493">AA1134+AE1134</f>
        <v>50</v>
      </c>
      <c r="AG1134" s="65">
        <v>42817</v>
      </c>
    </row>
    <row r="1135" spans="1:33" x14ac:dyDescent="0.15">
      <c r="A1135" s="26" t="s">
        <v>584</v>
      </c>
      <c r="B1135" s="8"/>
      <c r="C1135" s="9">
        <v>1</v>
      </c>
      <c r="D1135" s="10">
        <v>2</v>
      </c>
      <c r="E1135" s="11">
        <f t="shared" si="488"/>
        <v>3</v>
      </c>
      <c r="F1135" s="12"/>
      <c r="G1135" s="9">
        <v>1</v>
      </c>
      <c r="H1135" s="10">
        <v>2</v>
      </c>
      <c r="I1135" s="11">
        <f t="shared" si="489"/>
        <v>3</v>
      </c>
      <c r="J1135" s="11">
        <f t="shared" si="490"/>
        <v>6</v>
      </c>
      <c r="K1135" s="65">
        <v>42810</v>
      </c>
      <c r="W1135" s="28" t="s">
        <v>41</v>
      </c>
      <c r="X1135" s="13">
        <v>50</v>
      </c>
      <c r="Y1135" s="14">
        <v>50</v>
      </c>
      <c r="Z1135" s="15"/>
      <c r="AA1135" s="11">
        <f t="shared" si="491"/>
        <v>100</v>
      </c>
      <c r="AB1135" s="16"/>
      <c r="AC1135" s="14"/>
      <c r="AD1135" s="15"/>
      <c r="AE1135" s="11">
        <f t="shared" si="492"/>
        <v>0</v>
      </c>
      <c r="AF1135" s="11">
        <f t="shared" si="493"/>
        <v>100</v>
      </c>
      <c r="AG1135" s="65">
        <v>42823</v>
      </c>
    </row>
    <row r="1136" spans="1:33" x14ac:dyDescent="0.15">
      <c r="A1136" s="27" t="s">
        <v>595</v>
      </c>
      <c r="B1136" s="8"/>
      <c r="C1136" s="9"/>
      <c r="D1136" s="10"/>
      <c r="E1136" s="11">
        <f t="shared" si="488"/>
        <v>0</v>
      </c>
      <c r="F1136" s="12">
        <v>1</v>
      </c>
      <c r="G1136" s="9">
        <v>2</v>
      </c>
      <c r="H1136" s="10"/>
      <c r="I1136" s="11">
        <f>SUM(F1136:H1136)</f>
        <v>3</v>
      </c>
      <c r="J1136" s="11">
        <f t="shared" si="490"/>
        <v>3</v>
      </c>
      <c r="K1136" s="71">
        <v>42809</v>
      </c>
      <c r="W1136" s="29"/>
      <c r="X1136" s="8"/>
      <c r="Y1136" s="9"/>
      <c r="Z1136" s="10"/>
      <c r="AA1136" s="11">
        <f t="shared" si="491"/>
        <v>0</v>
      </c>
      <c r="AB1136" s="12"/>
      <c r="AC1136" s="9"/>
      <c r="AD1136" s="10"/>
      <c r="AE1136" s="11">
        <f t="shared" si="492"/>
        <v>0</v>
      </c>
      <c r="AF1136" s="11">
        <f t="shared" si="493"/>
        <v>0</v>
      </c>
    </row>
    <row r="1137" spans="1:32" x14ac:dyDescent="0.15">
      <c r="A1137" s="29" t="s">
        <v>401</v>
      </c>
      <c r="B1137" s="8"/>
      <c r="C1137" s="9"/>
      <c r="D1137" s="10">
        <v>15</v>
      </c>
      <c r="E1137" s="139">
        <f t="shared" si="488"/>
        <v>15</v>
      </c>
      <c r="F1137" s="140"/>
      <c r="G1137" s="140"/>
      <c r="H1137" s="10"/>
      <c r="I1137" s="11">
        <f t="shared" si="489"/>
        <v>0</v>
      </c>
      <c r="J1137" s="11">
        <f t="shared" si="490"/>
        <v>15</v>
      </c>
      <c r="K1137" s="65">
        <v>42816</v>
      </c>
      <c r="W1137" s="27"/>
      <c r="X1137" s="8"/>
      <c r="Y1137" s="9"/>
      <c r="Z1137" s="10"/>
      <c r="AA1137" s="11">
        <f t="shared" si="491"/>
        <v>0</v>
      </c>
      <c r="AB1137" s="12"/>
      <c r="AC1137" s="9"/>
      <c r="AD1137" s="10"/>
      <c r="AE1137" s="11">
        <f t="shared" si="492"/>
        <v>0</v>
      </c>
      <c r="AF1137" s="11">
        <f t="shared" si="493"/>
        <v>0</v>
      </c>
    </row>
    <row r="1138" spans="1:32" x14ac:dyDescent="0.15">
      <c r="A1138" s="29" t="s">
        <v>592</v>
      </c>
      <c r="B1138" s="8"/>
      <c r="C1138" s="9"/>
      <c r="D1138" s="10"/>
      <c r="E1138" s="11">
        <f t="shared" si="488"/>
        <v>0</v>
      </c>
      <c r="F1138" s="12"/>
      <c r="G1138" s="9">
        <v>1</v>
      </c>
      <c r="H1138" s="10"/>
      <c r="I1138" s="11">
        <f t="shared" si="489"/>
        <v>1</v>
      </c>
      <c r="J1138" s="11">
        <f t="shared" si="490"/>
        <v>1</v>
      </c>
      <c r="K1138" s="71">
        <v>42810</v>
      </c>
      <c r="W1138" s="29"/>
      <c r="X1138" s="8"/>
      <c r="Y1138" s="9"/>
      <c r="Z1138" s="10"/>
      <c r="AA1138" s="11">
        <f t="shared" si="491"/>
        <v>0</v>
      </c>
      <c r="AB1138" s="12"/>
      <c r="AC1138" s="9"/>
      <c r="AD1138" s="10"/>
      <c r="AE1138" s="11">
        <f t="shared" si="492"/>
        <v>0</v>
      </c>
      <c r="AF1138" s="11">
        <f t="shared" si="493"/>
        <v>0</v>
      </c>
    </row>
    <row r="1139" spans="1:32" x14ac:dyDescent="0.15">
      <c r="A1139" s="26" t="s">
        <v>584</v>
      </c>
      <c r="B1139" s="8"/>
      <c r="C1139" s="9"/>
      <c r="D1139" s="10">
        <v>1</v>
      </c>
      <c r="E1139" s="11">
        <f t="shared" si="488"/>
        <v>1</v>
      </c>
      <c r="F1139" s="12"/>
      <c r="G1139" s="9"/>
      <c r="H1139" s="10">
        <v>1</v>
      </c>
      <c r="I1139" s="11">
        <f t="shared" si="489"/>
        <v>1</v>
      </c>
      <c r="J1139" s="11">
        <f t="shared" si="490"/>
        <v>2</v>
      </c>
      <c r="K1139" s="65">
        <v>42816</v>
      </c>
      <c r="W1139" s="29"/>
      <c r="X1139" s="8"/>
      <c r="Y1139" s="9"/>
      <c r="Z1139" s="10"/>
      <c r="AA1139" s="11">
        <f t="shared" si="491"/>
        <v>0</v>
      </c>
      <c r="AB1139" s="12"/>
      <c r="AC1139" s="9"/>
      <c r="AD1139" s="10"/>
      <c r="AE1139" s="11">
        <f t="shared" si="492"/>
        <v>0</v>
      </c>
      <c r="AF1139" s="11">
        <f t="shared" si="493"/>
        <v>0</v>
      </c>
    </row>
    <row r="1140" spans="1:32" x14ac:dyDescent="0.15">
      <c r="A1140" s="27" t="s">
        <v>593</v>
      </c>
      <c r="B1140" s="13"/>
      <c r="C1140" s="14">
        <v>10</v>
      </c>
      <c r="D1140" s="15"/>
      <c r="E1140" s="11">
        <f t="shared" si="488"/>
        <v>10</v>
      </c>
      <c r="F1140" s="16"/>
      <c r="G1140" s="14"/>
      <c r="H1140" s="15"/>
      <c r="I1140" s="11">
        <f t="shared" si="489"/>
        <v>0</v>
      </c>
      <c r="J1140" s="11">
        <f t="shared" si="490"/>
        <v>10</v>
      </c>
      <c r="K1140" s="65">
        <v>42816</v>
      </c>
      <c r="W1140" s="27"/>
      <c r="X1140" s="8"/>
      <c r="Y1140" s="9"/>
      <c r="Z1140" s="10"/>
      <c r="AA1140" s="11">
        <f t="shared" si="491"/>
        <v>0</v>
      </c>
      <c r="AB1140" s="12"/>
      <c r="AC1140" s="9"/>
      <c r="AD1140" s="10"/>
      <c r="AE1140" s="11">
        <f t="shared" si="492"/>
        <v>0</v>
      </c>
      <c r="AF1140" s="11">
        <f t="shared" si="493"/>
        <v>0</v>
      </c>
    </row>
    <row r="1141" spans="1:32" x14ac:dyDescent="0.15">
      <c r="A1141" s="29" t="s">
        <v>594</v>
      </c>
      <c r="B1141" s="13"/>
      <c r="C1141" s="14"/>
      <c r="D1141" s="15">
        <v>1</v>
      </c>
      <c r="E1141" s="11">
        <f t="shared" si="488"/>
        <v>1</v>
      </c>
      <c r="F1141" s="16"/>
      <c r="G1141" s="14"/>
      <c r="H1141" s="15"/>
      <c r="I1141" s="11">
        <f t="shared" si="489"/>
        <v>0</v>
      </c>
      <c r="J1141" s="11">
        <f t="shared" si="490"/>
        <v>1</v>
      </c>
      <c r="K1141" s="71">
        <v>42817</v>
      </c>
      <c r="W1141" s="29"/>
      <c r="X1141" s="13"/>
      <c r="Y1141" s="14"/>
      <c r="Z1141" s="15"/>
      <c r="AA1141" s="11">
        <f t="shared" si="491"/>
        <v>0</v>
      </c>
      <c r="AB1141" s="16"/>
      <c r="AC1141" s="14"/>
      <c r="AD1141" s="15"/>
      <c r="AE1141" s="11">
        <f t="shared" si="492"/>
        <v>0</v>
      </c>
      <c r="AF1141" s="11">
        <f t="shared" si="493"/>
        <v>0</v>
      </c>
    </row>
    <row r="1142" spans="1:32" x14ac:dyDescent="0.15">
      <c r="A1142" s="29" t="s">
        <v>67</v>
      </c>
      <c r="B1142" s="8"/>
      <c r="C1142" s="9">
        <v>2</v>
      </c>
      <c r="D1142" s="10"/>
      <c r="E1142" s="11">
        <f t="shared" si="488"/>
        <v>2</v>
      </c>
      <c r="F1142" s="12"/>
      <c r="G1142" s="9"/>
      <c r="H1142" s="10"/>
      <c r="I1142" s="11">
        <f t="shared" si="489"/>
        <v>0</v>
      </c>
      <c r="J1142" s="11">
        <f t="shared" si="490"/>
        <v>2</v>
      </c>
      <c r="K1142" s="71">
        <v>42815</v>
      </c>
      <c r="W1142" s="29"/>
      <c r="X1142" s="8"/>
      <c r="Y1142" s="9"/>
      <c r="Z1142" s="10"/>
      <c r="AA1142" s="11">
        <f t="shared" si="491"/>
        <v>0</v>
      </c>
      <c r="AB1142" s="12"/>
      <c r="AC1142" s="9"/>
      <c r="AD1142" s="10"/>
      <c r="AE1142" s="11">
        <f t="shared" si="492"/>
        <v>0</v>
      </c>
      <c r="AF1142" s="11">
        <f t="shared" si="493"/>
        <v>0</v>
      </c>
    </row>
    <row r="1143" spans="1:32" x14ac:dyDescent="0.15">
      <c r="A1143" s="29" t="s">
        <v>32</v>
      </c>
      <c r="B1143" s="8"/>
      <c r="C1143" s="9">
        <v>3</v>
      </c>
      <c r="D1143" s="10"/>
      <c r="E1143" s="11">
        <f t="shared" si="488"/>
        <v>3</v>
      </c>
      <c r="F1143" s="12"/>
      <c r="G1143" s="9"/>
      <c r="H1143" s="10"/>
      <c r="I1143" s="11">
        <f t="shared" si="489"/>
        <v>0</v>
      </c>
      <c r="J1143" s="11">
        <f t="shared" si="490"/>
        <v>3</v>
      </c>
      <c r="K1143" s="65">
        <v>42818</v>
      </c>
      <c r="W1143" s="29"/>
      <c r="X1143" s="8"/>
      <c r="Y1143" s="9"/>
      <c r="Z1143" s="10"/>
      <c r="AA1143" s="11">
        <f t="shared" si="491"/>
        <v>0</v>
      </c>
      <c r="AB1143" s="12"/>
      <c r="AC1143" s="9"/>
      <c r="AD1143" s="10"/>
      <c r="AE1143" s="11">
        <f t="shared" si="492"/>
        <v>0</v>
      </c>
      <c r="AF1143" s="11">
        <f t="shared" si="493"/>
        <v>0</v>
      </c>
    </row>
    <row r="1144" spans="1:32" x14ac:dyDescent="0.15">
      <c r="A1144" s="27" t="s">
        <v>596</v>
      </c>
      <c r="B1144" s="8"/>
      <c r="C1144" s="9">
        <v>5</v>
      </c>
      <c r="D1144" s="10"/>
      <c r="E1144" s="11">
        <f t="shared" si="488"/>
        <v>5</v>
      </c>
      <c r="F1144" s="12"/>
      <c r="G1144" s="9"/>
      <c r="H1144" s="10"/>
      <c r="I1144" s="11">
        <f t="shared" si="489"/>
        <v>0</v>
      </c>
      <c r="J1144" s="11">
        <f t="shared" si="490"/>
        <v>5</v>
      </c>
      <c r="K1144" s="65">
        <v>42819</v>
      </c>
      <c r="W1144" s="27"/>
      <c r="X1144" s="8"/>
      <c r="Y1144" s="9"/>
      <c r="Z1144" s="10"/>
      <c r="AA1144" s="11">
        <f t="shared" si="491"/>
        <v>0</v>
      </c>
      <c r="AB1144" s="12"/>
      <c r="AC1144" s="9"/>
      <c r="AD1144" s="10"/>
      <c r="AE1144" s="11">
        <f t="shared" si="492"/>
        <v>0</v>
      </c>
      <c r="AF1144" s="11">
        <f t="shared" si="493"/>
        <v>0</v>
      </c>
    </row>
    <row r="1145" spans="1:32" x14ac:dyDescent="0.15">
      <c r="A1145" s="27" t="s">
        <v>597</v>
      </c>
      <c r="B1145" s="8">
        <v>20</v>
      </c>
      <c r="C1145" s="9">
        <v>30</v>
      </c>
      <c r="D1145" s="10"/>
      <c r="E1145" s="11">
        <f t="shared" si="488"/>
        <v>50</v>
      </c>
      <c r="F1145" s="12"/>
      <c r="G1145" s="9"/>
      <c r="H1145" s="10"/>
      <c r="I1145" s="11">
        <f t="shared" si="489"/>
        <v>0</v>
      </c>
      <c r="J1145" s="11">
        <f t="shared" si="490"/>
        <v>50</v>
      </c>
      <c r="K1145" s="65">
        <v>42829</v>
      </c>
      <c r="N1145">
        <v>0</v>
      </c>
      <c r="W1145" s="29"/>
      <c r="X1145" s="8"/>
      <c r="Y1145" s="9"/>
      <c r="Z1145" s="10"/>
      <c r="AA1145" s="11">
        <f t="shared" si="491"/>
        <v>0</v>
      </c>
      <c r="AB1145" s="12"/>
      <c r="AC1145" s="9"/>
      <c r="AD1145" s="10"/>
      <c r="AE1145" s="11">
        <f t="shared" si="492"/>
        <v>0</v>
      </c>
      <c r="AF1145" s="11">
        <f t="shared" si="493"/>
        <v>0</v>
      </c>
    </row>
    <row r="1146" spans="1:32" x14ac:dyDescent="0.15">
      <c r="A1146" s="29" t="s">
        <v>512</v>
      </c>
      <c r="B1146" s="8"/>
      <c r="C1146" s="9">
        <v>1</v>
      </c>
      <c r="D1146" s="10"/>
      <c r="E1146" s="11">
        <f t="shared" si="488"/>
        <v>1</v>
      </c>
      <c r="F1146" s="12"/>
      <c r="G1146" s="9">
        <v>2</v>
      </c>
      <c r="H1146" s="10"/>
      <c r="I1146" s="11">
        <f t="shared" si="489"/>
        <v>2</v>
      </c>
      <c r="J1146" s="11">
        <f t="shared" si="490"/>
        <v>3</v>
      </c>
      <c r="K1146" s="65">
        <v>42822</v>
      </c>
      <c r="W1146" s="29"/>
      <c r="X1146" s="8"/>
      <c r="Y1146" s="9"/>
      <c r="Z1146" s="10"/>
      <c r="AA1146" s="11">
        <f t="shared" si="491"/>
        <v>0</v>
      </c>
      <c r="AB1146" s="12"/>
      <c r="AC1146" s="9"/>
      <c r="AD1146" s="10"/>
      <c r="AE1146" s="11">
        <f t="shared" si="492"/>
        <v>0</v>
      </c>
      <c r="AF1146" s="11">
        <f t="shared" si="493"/>
        <v>0</v>
      </c>
    </row>
    <row r="1147" spans="1:32" x14ac:dyDescent="0.15">
      <c r="A1147" s="27" t="s">
        <v>386</v>
      </c>
      <c r="B1147" s="8">
        <v>3</v>
      </c>
      <c r="C1147" s="9">
        <v>5</v>
      </c>
      <c r="D1147" s="10">
        <v>2</v>
      </c>
      <c r="E1147" s="11">
        <f t="shared" si="488"/>
        <v>10</v>
      </c>
      <c r="F1147" s="12"/>
      <c r="G1147" s="9">
        <v>4</v>
      </c>
      <c r="H1147" s="10">
        <v>1</v>
      </c>
      <c r="I1147" s="11">
        <f t="shared" si="489"/>
        <v>5</v>
      </c>
      <c r="J1147" s="11">
        <f t="shared" si="490"/>
        <v>15</v>
      </c>
      <c r="K1147" s="65">
        <v>42822</v>
      </c>
      <c r="W1147" s="27"/>
      <c r="X1147" s="8"/>
      <c r="Y1147" s="9"/>
      <c r="Z1147" s="10"/>
      <c r="AA1147" s="11">
        <f t="shared" si="491"/>
        <v>0</v>
      </c>
      <c r="AB1147" s="12"/>
      <c r="AC1147" s="9"/>
      <c r="AD1147" s="10"/>
      <c r="AE1147" s="11">
        <f t="shared" si="492"/>
        <v>0</v>
      </c>
      <c r="AF1147" s="11">
        <f t="shared" si="493"/>
        <v>0</v>
      </c>
    </row>
    <row r="1148" spans="1:32" x14ac:dyDescent="0.15">
      <c r="A1148" s="29" t="s">
        <v>401</v>
      </c>
      <c r="B1148" s="8">
        <v>15</v>
      </c>
      <c r="C1148" s="9"/>
      <c r="D1148" s="10"/>
      <c r="E1148" s="11">
        <f t="shared" si="488"/>
        <v>15</v>
      </c>
      <c r="F1148" s="12"/>
      <c r="G1148" s="9"/>
      <c r="H1148" s="10"/>
      <c r="I1148" s="11">
        <f t="shared" si="489"/>
        <v>0</v>
      </c>
      <c r="J1148" s="11">
        <f t="shared" si="490"/>
        <v>15</v>
      </c>
      <c r="K1148" s="65">
        <v>42823</v>
      </c>
      <c r="W1148" s="29"/>
      <c r="X1148" s="8"/>
      <c r="Y1148" s="9"/>
      <c r="Z1148" s="10"/>
      <c r="AA1148" s="11">
        <f t="shared" si="491"/>
        <v>0</v>
      </c>
      <c r="AB1148" s="12"/>
      <c r="AC1148" s="9"/>
      <c r="AD1148" s="10"/>
      <c r="AE1148" s="11">
        <f t="shared" si="492"/>
        <v>0</v>
      </c>
      <c r="AF1148" s="11">
        <f t="shared" si="493"/>
        <v>0</v>
      </c>
    </row>
    <row r="1149" spans="1:32" x14ac:dyDescent="0.15">
      <c r="A1149" s="86" t="s">
        <v>601</v>
      </c>
      <c r="B1149" s="8">
        <v>20</v>
      </c>
      <c r="C1149" s="9">
        <v>20</v>
      </c>
      <c r="D1149" s="10">
        <v>10</v>
      </c>
      <c r="E1149" s="11">
        <f t="shared" si="488"/>
        <v>50</v>
      </c>
      <c r="F1149" s="12">
        <v>10</v>
      </c>
      <c r="G1149" s="9">
        <v>10</v>
      </c>
      <c r="H1149" s="10">
        <v>5</v>
      </c>
      <c r="I1149" s="11">
        <f t="shared" si="489"/>
        <v>25</v>
      </c>
      <c r="J1149" s="11">
        <f t="shared" si="490"/>
        <v>75</v>
      </c>
      <c r="K1149" s="65">
        <v>42824</v>
      </c>
      <c r="W1149" s="27"/>
      <c r="X1149" s="8"/>
      <c r="Y1149" s="9"/>
      <c r="Z1149" s="10"/>
      <c r="AA1149" s="11">
        <f t="shared" si="491"/>
        <v>0</v>
      </c>
      <c r="AB1149" s="12"/>
      <c r="AC1149" s="9"/>
      <c r="AD1149" s="10"/>
      <c r="AE1149" s="11">
        <f t="shared" si="492"/>
        <v>0</v>
      </c>
      <c r="AF1149" s="11">
        <f t="shared" si="493"/>
        <v>0</v>
      </c>
    </row>
    <row r="1150" spans="1:32" x14ac:dyDescent="0.15">
      <c r="A1150" s="86" t="s">
        <v>602</v>
      </c>
      <c r="B1150" s="8">
        <v>30</v>
      </c>
      <c r="C1150" s="9">
        <v>30</v>
      </c>
      <c r="D1150" s="10">
        <v>15</v>
      </c>
      <c r="E1150" s="11">
        <f t="shared" si="488"/>
        <v>75</v>
      </c>
      <c r="F1150" s="12">
        <v>20</v>
      </c>
      <c r="G1150" s="9">
        <v>20</v>
      </c>
      <c r="H1150" s="10">
        <v>10</v>
      </c>
      <c r="I1150" s="11">
        <f t="shared" si="489"/>
        <v>50</v>
      </c>
      <c r="J1150" s="11">
        <f t="shared" si="490"/>
        <v>125</v>
      </c>
      <c r="K1150" s="65">
        <v>42825</v>
      </c>
      <c r="W1150" s="26"/>
      <c r="X1150" s="8"/>
      <c r="Y1150" s="9"/>
      <c r="Z1150" s="10"/>
      <c r="AA1150" s="11">
        <f t="shared" si="491"/>
        <v>0</v>
      </c>
      <c r="AB1150" s="12"/>
      <c r="AC1150" s="9"/>
      <c r="AD1150" s="10"/>
      <c r="AE1150" s="11">
        <f t="shared" si="492"/>
        <v>0</v>
      </c>
      <c r="AF1150" s="11">
        <f t="shared" si="493"/>
        <v>0</v>
      </c>
    </row>
    <row r="1151" spans="1:32" x14ac:dyDescent="0.15">
      <c r="A1151" s="27" t="s">
        <v>599</v>
      </c>
      <c r="B1151" s="8">
        <v>1</v>
      </c>
      <c r="C1151" s="9"/>
      <c r="D1151" s="10"/>
      <c r="E1151" s="11">
        <f t="shared" si="488"/>
        <v>1</v>
      </c>
      <c r="F1151" s="12"/>
      <c r="G1151" s="9"/>
      <c r="H1151" s="10"/>
      <c r="I1151" s="11">
        <f t="shared" si="489"/>
        <v>0</v>
      </c>
      <c r="J1151" s="11">
        <f t="shared" si="490"/>
        <v>1</v>
      </c>
      <c r="K1151" s="71">
        <v>42828</v>
      </c>
      <c r="W1151" s="26"/>
      <c r="X1151" s="8"/>
      <c r="Y1151" s="9"/>
      <c r="Z1151" s="10"/>
      <c r="AA1151" s="11">
        <f t="shared" si="491"/>
        <v>0</v>
      </c>
      <c r="AB1151" s="12"/>
      <c r="AC1151" s="9"/>
      <c r="AD1151" s="10"/>
      <c r="AE1151" s="11">
        <f t="shared" si="492"/>
        <v>0</v>
      </c>
      <c r="AF1151" s="11">
        <f t="shared" si="493"/>
        <v>0</v>
      </c>
    </row>
    <row r="1152" spans="1:32" x14ac:dyDescent="0.15">
      <c r="A1152" s="27" t="s">
        <v>600</v>
      </c>
      <c r="B1152" s="8"/>
      <c r="C1152" s="9"/>
      <c r="D1152" s="10"/>
      <c r="E1152" s="11">
        <f t="shared" si="488"/>
        <v>0</v>
      </c>
      <c r="F1152" s="12"/>
      <c r="G1152" s="9"/>
      <c r="H1152" s="10">
        <v>2</v>
      </c>
      <c r="I1152" s="11">
        <f t="shared" si="489"/>
        <v>2</v>
      </c>
      <c r="J1152" s="11">
        <f t="shared" si="490"/>
        <v>2</v>
      </c>
      <c r="K1152" s="71">
        <v>42825</v>
      </c>
      <c r="W1152" s="27"/>
      <c r="X1152" s="8"/>
      <c r="Y1152" s="9"/>
      <c r="Z1152" s="10"/>
      <c r="AA1152" s="11">
        <f t="shared" si="491"/>
        <v>0</v>
      </c>
      <c r="AB1152" s="12"/>
      <c r="AC1152" s="9"/>
      <c r="AD1152" s="10"/>
      <c r="AE1152" s="11">
        <f t="shared" si="492"/>
        <v>0</v>
      </c>
      <c r="AF1152" s="11">
        <f t="shared" si="493"/>
        <v>0</v>
      </c>
    </row>
    <row r="1153" spans="1:33" x14ac:dyDescent="0.15">
      <c r="A1153" s="27" t="s">
        <v>603</v>
      </c>
      <c r="B1153" s="13">
        <v>1</v>
      </c>
      <c r="C1153" s="14"/>
      <c r="D1153" s="15"/>
      <c r="E1153" s="11">
        <f t="shared" si="488"/>
        <v>1</v>
      </c>
      <c r="F1153" s="16"/>
      <c r="G1153" s="14"/>
      <c r="H1153" s="15"/>
      <c r="I1153" s="11">
        <f t="shared" si="489"/>
        <v>0</v>
      </c>
      <c r="J1153" s="11">
        <f t="shared" si="490"/>
        <v>1</v>
      </c>
      <c r="K1153" s="71">
        <v>42828</v>
      </c>
      <c r="W1153" s="27"/>
      <c r="X1153" s="13"/>
      <c r="Y1153" s="14"/>
      <c r="Z1153" s="15"/>
      <c r="AA1153" s="11">
        <f t="shared" si="491"/>
        <v>0</v>
      </c>
      <c r="AB1153" s="16"/>
      <c r="AC1153" s="14"/>
      <c r="AD1153" s="15"/>
      <c r="AE1153" s="11">
        <f t="shared" si="492"/>
        <v>0</v>
      </c>
      <c r="AF1153" s="11">
        <f t="shared" si="493"/>
        <v>0</v>
      </c>
    </row>
    <row r="1154" spans="1:33" x14ac:dyDescent="0.15">
      <c r="A1154" s="27" t="s">
        <v>604</v>
      </c>
      <c r="B1154" s="8"/>
      <c r="C1154" s="9">
        <v>1</v>
      </c>
      <c r="D1154" s="10">
        <v>1</v>
      </c>
      <c r="E1154" s="11">
        <f t="shared" si="488"/>
        <v>2</v>
      </c>
      <c r="F1154" s="12"/>
      <c r="G1154" s="9">
        <v>1</v>
      </c>
      <c r="H1154" s="10">
        <v>1</v>
      </c>
      <c r="I1154" s="11">
        <f t="shared" si="489"/>
        <v>2</v>
      </c>
      <c r="J1154" s="11">
        <f t="shared" si="490"/>
        <v>4</v>
      </c>
      <c r="K1154" s="65">
        <v>42830</v>
      </c>
      <c r="W1154" s="86"/>
      <c r="X1154" s="13"/>
      <c r="Y1154" s="14"/>
      <c r="Z1154" s="15"/>
      <c r="AA1154" s="11">
        <f t="shared" si="491"/>
        <v>0</v>
      </c>
      <c r="AB1154" s="16"/>
      <c r="AC1154" s="14"/>
      <c r="AD1154" s="15"/>
      <c r="AE1154" s="11">
        <f t="shared" si="492"/>
        <v>0</v>
      </c>
      <c r="AF1154" s="11">
        <f t="shared" si="493"/>
        <v>0</v>
      </c>
    </row>
    <row r="1155" spans="1:33" x14ac:dyDescent="0.15">
      <c r="A1155" s="27" t="s">
        <v>606</v>
      </c>
      <c r="B1155" s="8"/>
      <c r="C1155" s="9"/>
      <c r="D1155" s="10"/>
      <c r="E1155" s="11">
        <f t="shared" si="488"/>
        <v>0</v>
      </c>
      <c r="F1155" s="12"/>
      <c r="G1155" s="9">
        <v>2</v>
      </c>
      <c r="H1155" s="10"/>
      <c r="I1155" s="11">
        <f t="shared" si="489"/>
        <v>2</v>
      </c>
      <c r="J1155" s="11">
        <f t="shared" si="490"/>
        <v>2</v>
      </c>
      <c r="K1155" s="65">
        <v>42839</v>
      </c>
      <c r="W1155" s="27"/>
      <c r="X1155" s="13"/>
      <c r="Y1155" s="14"/>
      <c r="Z1155" s="15"/>
      <c r="AA1155" s="11">
        <f t="shared" si="491"/>
        <v>0</v>
      </c>
      <c r="AB1155" s="16"/>
      <c r="AC1155" s="14"/>
      <c r="AD1155" s="15"/>
      <c r="AE1155" s="11">
        <f t="shared" si="492"/>
        <v>0</v>
      </c>
      <c r="AF1155" s="11">
        <f t="shared" si="493"/>
        <v>0</v>
      </c>
    </row>
    <row r="1156" spans="1:33" x14ac:dyDescent="0.15">
      <c r="A1156" s="29"/>
      <c r="B1156" s="8"/>
      <c r="C1156" s="9"/>
      <c r="D1156" s="10"/>
      <c r="E1156" s="11">
        <f t="shared" si="488"/>
        <v>0</v>
      </c>
      <c r="F1156" s="12"/>
      <c r="G1156" s="9"/>
      <c r="H1156" s="10"/>
      <c r="I1156" s="11">
        <f t="shared" si="489"/>
        <v>0</v>
      </c>
      <c r="J1156" s="11">
        <f t="shared" si="490"/>
        <v>0</v>
      </c>
      <c r="W1156" s="86"/>
      <c r="X1156" s="13"/>
      <c r="Y1156" s="14"/>
      <c r="Z1156" s="15"/>
      <c r="AA1156" s="11">
        <f t="shared" si="491"/>
        <v>0</v>
      </c>
      <c r="AB1156" s="16"/>
      <c r="AC1156" s="14"/>
      <c r="AD1156" s="15"/>
      <c r="AE1156" s="11">
        <f t="shared" si="492"/>
        <v>0</v>
      </c>
      <c r="AF1156" s="11">
        <f t="shared" si="493"/>
        <v>0</v>
      </c>
    </row>
    <row r="1157" spans="1:33" ht="14.25" thickBot="1" x14ac:dyDescent="0.2">
      <c r="A1157" s="29"/>
      <c r="B1157" s="8"/>
      <c r="C1157" s="9"/>
      <c r="D1157" s="10"/>
      <c r="E1157" s="11">
        <f t="shared" si="488"/>
        <v>0</v>
      </c>
      <c r="F1157" s="16"/>
      <c r="G1157" s="14"/>
      <c r="H1157" s="15"/>
      <c r="I1157" s="11">
        <f t="shared" si="489"/>
        <v>0</v>
      </c>
      <c r="J1157" s="11">
        <f t="shared" si="490"/>
        <v>0</v>
      </c>
      <c r="W1157" s="86"/>
      <c r="X1157" s="13"/>
      <c r="Y1157" s="14"/>
      <c r="Z1157" s="15"/>
      <c r="AA1157" s="11">
        <f t="shared" si="491"/>
        <v>0</v>
      </c>
      <c r="AB1157" s="16"/>
      <c r="AC1157" s="14"/>
      <c r="AD1157" s="15"/>
      <c r="AE1157" s="11">
        <f t="shared" si="492"/>
        <v>0</v>
      </c>
      <c r="AF1157" s="11">
        <f t="shared" si="493"/>
        <v>0</v>
      </c>
      <c r="AG1157" s="65"/>
    </row>
    <row r="1158" spans="1:33" ht="14.25" thickBot="1" x14ac:dyDescent="0.2">
      <c r="A1158" s="44" t="s">
        <v>13</v>
      </c>
      <c r="B1158" s="48">
        <f t="shared" ref="B1158:I1158" si="494">SUM(B1132:B1157)</f>
        <v>100</v>
      </c>
      <c r="C1158" s="49">
        <f t="shared" si="494"/>
        <v>123</v>
      </c>
      <c r="D1158" s="50">
        <f t="shared" si="494"/>
        <v>57</v>
      </c>
      <c r="E1158" s="46">
        <f t="shared" si="494"/>
        <v>280</v>
      </c>
      <c r="F1158" s="48">
        <f t="shared" si="494"/>
        <v>41</v>
      </c>
      <c r="G1158" s="49">
        <f t="shared" si="494"/>
        <v>86</v>
      </c>
      <c r="H1158" s="50">
        <f t="shared" si="494"/>
        <v>32</v>
      </c>
      <c r="I1158" s="46">
        <f t="shared" si="494"/>
        <v>159</v>
      </c>
      <c r="J1158" s="35">
        <f>E1158+I1158</f>
        <v>439</v>
      </c>
      <c r="W1158" s="44" t="s">
        <v>13</v>
      </c>
      <c r="X1158" s="48">
        <f t="shared" ref="X1158:AE1158" si="495">SUM(X1132:X1157)</f>
        <v>50</v>
      </c>
      <c r="Y1158" s="49">
        <f t="shared" si="495"/>
        <v>100</v>
      </c>
      <c r="Z1158" s="50">
        <f t="shared" si="495"/>
        <v>50</v>
      </c>
      <c r="AA1158" s="46">
        <f t="shared" si="495"/>
        <v>200</v>
      </c>
      <c r="AB1158" s="48">
        <f t="shared" si="495"/>
        <v>59</v>
      </c>
      <c r="AC1158" s="49">
        <f t="shared" si="495"/>
        <v>50</v>
      </c>
      <c r="AD1158" s="50">
        <f t="shared" si="495"/>
        <v>0</v>
      </c>
      <c r="AE1158" s="46">
        <f t="shared" si="495"/>
        <v>109</v>
      </c>
      <c r="AF1158" s="35">
        <f>AA1158+AE1158</f>
        <v>309</v>
      </c>
    </row>
    <row r="1159" spans="1:33" ht="14.25" thickBot="1" x14ac:dyDescent="0.2">
      <c r="A1159" s="23" t="s">
        <v>14</v>
      </c>
      <c r="B1159" s="24">
        <f t="shared" ref="B1159:J1159" si="496">B1131-B1158</f>
        <v>7</v>
      </c>
      <c r="C1159" s="25">
        <f t="shared" si="496"/>
        <v>22</v>
      </c>
      <c r="D1159" s="30">
        <f t="shared" si="496"/>
        <v>11</v>
      </c>
      <c r="E1159" s="51">
        <f t="shared" si="496"/>
        <v>40</v>
      </c>
      <c r="F1159" s="24">
        <f t="shared" si="496"/>
        <v>39</v>
      </c>
      <c r="G1159" s="25">
        <f t="shared" si="496"/>
        <v>4</v>
      </c>
      <c r="H1159" s="30">
        <f t="shared" si="496"/>
        <v>51</v>
      </c>
      <c r="I1159" s="47">
        <f t="shared" si="496"/>
        <v>94</v>
      </c>
      <c r="J1159" s="79">
        <f t="shared" si="496"/>
        <v>134</v>
      </c>
      <c r="W1159" s="23" t="s">
        <v>14</v>
      </c>
      <c r="X1159" s="24">
        <f t="shared" ref="X1159:AF1159" si="497">X1131-X1158</f>
        <v>364</v>
      </c>
      <c r="Y1159" s="25">
        <f t="shared" si="497"/>
        <v>207</v>
      </c>
      <c r="Z1159" s="30">
        <f t="shared" si="497"/>
        <v>583</v>
      </c>
      <c r="AA1159" s="51">
        <f t="shared" si="497"/>
        <v>1154</v>
      </c>
      <c r="AB1159" s="24">
        <f t="shared" si="497"/>
        <v>0</v>
      </c>
      <c r="AC1159" s="25">
        <f t="shared" si="497"/>
        <v>45</v>
      </c>
      <c r="AD1159" s="30">
        <f t="shared" si="497"/>
        <v>63</v>
      </c>
      <c r="AE1159" s="47">
        <f t="shared" si="497"/>
        <v>108</v>
      </c>
      <c r="AF1159" s="79">
        <f t="shared" si="497"/>
        <v>1262</v>
      </c>
    </row>
    <row r="1162" spans="1:33" ht="19.5" thickBot="1" x14ac:dyDescent="0.25">
      <c r="A1162" s="93" t="s">
        <v>21</v>
      </c>
      <c r="B1162" s="94"/>
      <c r="C1162" s="94"/>
      <c r="D1162" s="94"/>
      <c r="E1162" s="94"/>
      <c r="F1162" s="1"/>
      <c r="G1162" s="1"/>
      <c r="H1162" s="1"/>
      <c r="I1162" s="1"/>
      <c r="J1162" s="1"/>
      <c r="W1162" s="93" t="s">
        <v>136</v>
      </c>
      <c r="X1162" s="94"/>
      <c r="Y1162" s="94"/>
      <c r="Z1162" s="94"/>
      <c r="AA1162" s="141" t="s">
        <v>299</v>
      </c>
      <c r="AB1162" s="94"/>
      <c r="AC1162" s="94"/>
      <c r="AD1162" s="1"/>
      <c r="AE1162" s="1"/>
      <c r="AF1162" s="1"/>
    </row>
    <row r="1163" spans="1:33" ht="14.25" thickBot="1" x14ac:dyDescent="0.2">
      <c r="A1163" s="7" t="s">
        <v>0</v>
      </c>
      <c r="B1163" s="168" t="s">
        <v>1</v>
      </c>
      <c r="C1163" s="169"/>
      <c r="D1163" s="169"/>
      <c r="E1163" s="170"/>
      <c r="F1163" s="168" t="s">
        <v>2</v>
      </c>
      <c r="G1163" s="169"/>
      <c r="H1163" s="169"/>
      <c r="I1163" s="171"/>
      <c r="J1163" s="172" t="s">
        <v>3</v>
      </c>
      <c r="W1163" s="7" t="s">
        <v>0</v>
      </c>
      <c r="X1163" s="174" t="s">
        <v>1</v>
      </c>
      <c r="Y1163" s="175"/>
      <c r="Z1163" s="176"/>
      <c r="AA1163" s="101"/>
      <c r="AB1163" s="174" t="s">
        <v>2</v>
      </c>
      <c r="AC1163" s="175"/>
      <c r="AD1163" s="176"/>
      <c r="AE1163" s="102"/>
      <c r="AF1163" s="103" t="s">
        <v>3</v>
      </c>
    </row>
    <row r="1164" spans="1:33" ht="14.25" thickBot="1" x14ac:dyDescent="0.2">
      <c r="A1164" s="7" t="s">
        <v>4</v>
      </c>
      <c r="B1164" s="3" t="s">
        <v>5</v>
      </c>
      <c r="C1164" s="4" t="s">
        <v>6</v>
      </c>
      <c r="D1164" s="5" t="s">
        <v>7</v>
      </c>
      <c r="E1164" s="7" t="s">
        <v>8</v>
      </c>
      <c r="F1164" s="3" t="s">
        <v>5</v>
      </c>
      <c r="G1164" s="4" t="s">
        <v>6</v>
      </c>
      <c r="H1164" s="5" t="s">
        <v>7</v>
      </c>
      <c r="I1164" s="7" t="s">
        <v>8</v>
      </c>
      <c r="J1164" s="173"/>
      <c r="W1164" s="7" t="s">
        <v>4</v>
      </c>
      <c r="X1164" s="3" t="s">
        <v>5</v>
      </c>
      <c r="Y1164" s="4" t="s">
        <v>6</v>
      </c>
      <c r="Z1164" s="5" t="s">
        <v>7</v>
      </c>
      <c r="AA1164" s="7" t="s">
        <v>8</v>
      </c>
      <c r="AB1164" s="107" t="s">
        <v>5</v>
      </c>
      <c r="AC1164" s="108" t="s">
        <v>6</v>
      </c>
      <c r="AD1164" s="109" t="s">
        <v>7</v>
      </c>
      <c r="AE1164" s="7" t="s">
        <v>8</v>
      </c>
      <c r="AF1164" s="104"/>
    </row>
    <row r="1165" spans="1:33" ht="14.25" thickBot="1" x14ac:dyDescent="0.2">
      <c r="A1165" s="31" t="s">
        <v>14</v>
      </c>
      <c r="B1165" s="32">
        <f>B1159</f>
        <v>7</v>
      </c>
      <c r="C1165" s="33">
        <f>C1159</f>
        <v>22</v>
      </c>
      <c r="D1165" s="34">
        <f>D1159</f>
        <v>11</v>
      </c>
      <c r="E1165" s="41">
        <f>SUM(B1165:D1165)</f>
        <v>40</v>
      </c>
      <c r="F1165" s="32">
        <f>F1159</f>
        <v>39</v>
      </c>
      <c r="G1165" s="33">
        <f>G1159</f>
        <v>4</v>
      </c>
      <c r="H1165" s="34">
        <f>H1159</f>
        <v>51</v>
      </c>
      <c r="I1165" s="41">
        <f>SUM(F1165:H1165)</f>
        <v>94</v>
      </c>
      <c r="J1165" s="41">
        <f>E1165+I1165</f>
        <v>134</v>
      </c>
      <c r="W1165" s="31" t="s">
        <v>14</v>
      </c>
      <c r="X1165" s="32">
        <f>X1159</f>
        <v>364</v>
      </c>
      <c r="Y1165" s="33">
        <f>Y1159</f>
        <v>207</v>
      </c>
      <c r="Z1165" s="33">
        <f>Z1159</f>
        <v>583</v>
      </c>
      <c r="AA1165" s="111">
        <f>SUM(X1165:Z1165)</f>
        <v>1154</v>
      </c>
      <c r="AB1165" s="32">
        <f>AB1159</f>
        <v>0</v>
      </c>
      <c r="AC1165" s="33">
        <f>AC1159</f>
        <v>45</v>
      </c>
      <c r="AD1165" s="95">
        <f>AD1159</f>
        <v>63</v>
      </c>
      <c r="AE1165" s="46">
        <f>SUM(AB1165:AD1165)</f>
        <v>108</v>
      </c>
      <c r="AF1165" s="35">
        <f>AA1165+AE1165</f>
        <v>1262</v>
      </c>
    </row>
    <row r="1166" spans="1:33" x14ac:dyDescent="0.15">
      <c r="A1166" s="28" t="s">
        <v>9</v>
      </c>
      <c r="B1166" s="17">
        <v>50</v>
      </c>
      <c r="C1166" s="18">
        <v>50</v>
      </c>
      <c r="D1166" s="19">
        <v>50</v>
      </c>
      <c r="E1166" s="20">
        <f t="shared" ref="E1166:E1173" si="498">SUM(B1166:D1166)</f>
        <v>150</v>
      </c>
      <c r="F1166" s="21"/>
      <c r="G1166" s="18">
        <v>50</v>
      </c>
      <c r="H1166" s="19"/>
      <c r="I1166" s="20">
        <f t="shared" ref="I1166:I1173" si="499">SUM(F1166:H1166)</f>
        <v>50</v>
      </c>
      <c r="J1166" s="20">
        <f t="shared" ref="J1166:J1173" si="500">E1166+I1166</f>
        <v>200</v>
      </c>
      <c r="K1166" s="65">
        <v>42828</v>
      </c>
      <c r="W1166" s="28" t="s">
        <v>9</v>
      </c>
      <c r="X1166" s="8"/>
      <c r="Y1166" s="9"/>
      <c r="Z1166" s="10"/>
      <c r="AA1166" s="78">
        <f t="shared" ref="AA1166:AA1173" si="501">SUM(X1166:Z1166)</f>
        <v>0</v>
      </c>
      <c r="AB1166" s="21"/>
      <c r="AC1166" s="18"/>
      <c r="AD1166" s="19"/>
      <c r="AE1166" s="78">
        <f t="shared" ref="AE1166:AE1173" si="502">SUM(AB1166:AD1166)</f>
        <v>0</v>
      </c>
      <c r="AF1166" s="78">
        <f t="shared" ref="AF1166:AF1173" si="503">AA1166+AE1166</f>
        <v>0</v>
      </c>
    </row>
    <row r="1167" spans="1:33" x14ac:dyDescent="0.15">
      <c r="A1167" s="28" t="s">
        <v>38</v>
      </c>
      <c r="B1167" s="8">
        <v>1</v>
      </c>
      <c r="C1167" s="9"/>
      <c r="D1167" s="10"/>
      <c r="E1167" s="11">
        <f t="shared" si="498"/>
        <v>1</v>
      </c>
      <c r="F1167" s="12">
        <v>1</v>
      </c>
      <c r="G1167" s="9"/>
      <c r="H1167" s="10"/>
      <c r="I1167" s="11">
        <f t="shared" si="499"/>
        <v>1</v>
      </c>
      <c r="J1167" s="11">
        <f t="shared" si="500"/>
        <v>2</v>
      </c>
      <c r="K1167" s="71">
        <v>42830</v>
      </c>
      <c r="W1167" s="28" t="s">
        <v>617</v>
      </c>
      <c r="X1167" s="8"/>
      <c r="Y1167" s="9"/>
      <c r="Z1167" s="10"/>
      <c r="AA1167" s="11">
        <f>SUM(X1167:Z1167)</f>
        <v>0</v>
      </c>
      <c r="AB1167" s="12">
        <v>150</v>
      </c>
      <c r="AC1167" s="9">
        <v>150</v>
      </c>
      <c r="AD1167" s="10">
        <v>50</v>
      </c>
      <c r="AE1167" s="11">
        <f>SUM(AB1167:AD1167)</f>
        <v>350</v>
      </c>
      <c r="AF1167" s="11">
        <f>AA1167+AE1167</f>
        <v>350</v>
      </c>
      <c r="AG1167" s="65">
        <v>42826</v>
      </c>
    </row>
    <row r="1168" spans="1:33" x14ac:dyDescent="0.15">
      <c r="A1168" s="28" t="s">
        <v>104</v>
      </c>
      <c r="B1168" s="8">
        <v>16</v>
      </c>
      <c r="C1168" s="9">
        <v>11</v>
      </c>
      <c r="D1168" s="10">
        <v>9</v>
      </c>
      <c r="E1168" s="11">
        <f t="shared" si="498"/>
        <v>36</v>
      </c>
      <c r="F1168" s="12">
        <v>7</v>
      </c>
      <c r="G1168" s="9">
        <v>3</v>
      </c>
      <c r="H1168" s="10">
        <v>5</v>
      </c>
      <c r="I1168" s="11">
        <f t="shared" si="499"/>
        <v>15</v>
      </c>
      <c r="J1168" s="11">
        <f t="shared" si="500"/>
        <v>51</v>
      </c>
      <c r="K1168" s="71">
        <v>42837</v>
      </c>
      <c r="W1168" s="28" t="s">
        <v>11</v>
      </c>
      <c r="X1168" s="8"/>
      <c r="Y1168" s="9"/>
      <c r="Z1168" s="10"/>
      <c r="AA1168" s="11">
        <f>SUM(X1168:Z1168)</f>
        <v>0</v>
      </c>
      <c r="AB1168" s="12"/>
      <c r="AC1168" s="9"/>
      <c r="AD1168" s="10"/>
      <c r="AE1168" s="11">
        <f>SUM(AB1168:AD1168)</f>
        <v>0</v>
      </c>
      <c r="AF1168" s="11">
        <f>AA1168+AE1168</f>
        <v>0</v>
      </c>
      <c r="AG1168" s="65"/>
    </row>
    <row r="1169" spans="1:33" x14ac:dyDescent="0.15">
      <c r="A1169" s="28" t="s">
        <v>38</v>
      </c>
      <c r="B1169" s="8">
        <v>2</v>
      </c>
      <c r="C1169" s="9"/>
      <c r="D1169" s="10">
        <v>1</v>
      </c>
      <c r="E1169" s="11">
        <f t="shared" si="498"/>
        <v>3</v>
      </c>
      <c r="F1169" s="12"/>
      <c r="G1169" s="9"/>
      <c r="H1169" s="10"/>
      <c r="I1169" s="11">
        <f t="shared" si="499"/>
        <v>0</v>
      </c>
      <c r="J1169" s="11">
        <f t="shared" si="500"/>
        <v>3</v>
      </c>
      <c r="K1169" s="71">
        <v>42851</v>
      </c>
      <c r="W1169" s="28" t="s">
        <v>12</v>
      </c>
      <c r="X1169" s="8"/>
      <c r="Y1169" s="9"/>
      <c r="Z1169" s="10"/>
      <c r="AA1169" s="11">
        <f t="shared" si="501"/>
        <v>0</v>
      </c>
      <c r="AB1169" s="12"/>
      <c r="AC1169" s="9"/>
      <c r="AD1169" s="10"/>
      <c r="AE1169" s="11">
        <f t="shared" si="502"/>
        <v>0</v>
      </c>
      <c r="AF1169" s="11">
        <f t="shared" si="503"/>
        <v>0</v>
      </c>
    </row>
    <row r="1170" spans="1:33" x14ac:dyDescent="0.15">
      <c r="A1170" s="28" t="s">
        <v>15</v>
      </c>
      <c r="B1170" s="8"/>
      <c r="C1170" s="9"/>
      <c r="D1170" s="10">
        <v>50</v>
      </c>
      <c r="E1170" s="11">
        <f t="shared" si="498"/>
        <v>50</v>
      </c>
      <c r="F1170" s="12"/>
      <c r="G1170" s="9"/>
      <c r="H1170" s="10"/>
      <c r="I1170" s="11">
        <f t="shared" si="499"/>
        <v>0</v>
      </c>
      <c r="J1170" s="11">
        <f t="shared" si="500"/>
        <v>50</v>
      </c>
      <c r="K1170" s="65">
        <v>42861</v>
      </c>
      <c r="W1170" s="28" t="s">
        <v>15</v>
      </c>
      <c r="X1170" s="8"/>
      <c r="Y1170" s="9"/>
      <c r="Z1170" s="10"/>
      <c r="AA1170" s="11">
        <f t="shared" si="501"/>
        <v>0</v>
      </c>
      <c r="AB1170" s="12"/>
      <c r="AC1170" s="9"/>
      <c r="AD1170" s="10"/>
      <c r="AE1170" s="11">
        <f t="shared" si="502"/>
        <v>0</v>
      </c>
      <c r="AF1170" s="11">
        <f t="shared" si="503"/>
        <v>0</v>
      </c>
      <c r="AG1170" s="65"/>
    </row>
    <row r="1171" spans="1:33" x14ac:dyDescent="0.15">
      <c r="A1171" s="28" t="s">
        <v>16</v>
      </c>
      <c r="B1171" s="8">
        <v>50</v>
      </c>
      <c r="C1171" s="9">
        <v>50</v>
      </c>
      <c r="D1171" s="10"/>
      <c r="E1171" s="11">
        <f t="shared" si="498"/>
        <v>100</v>
      </c>
      <c r="F1171" s="12"/>
      <c r="G1171" s="9"/>
      <c r="H1171" s="10">
        <v>50</v>
      </c>
      <c r="I1171" s="11">
        <f t="shared" si="499"/>
        <v>50</v>
      </c>
      <c r="J1171" s="11">
        <f t="shared" si="500"/>
        <v>150</v>
      </c>
      <c r="K1171" s="65">
        <v>42864</v>
      </c>
      <c r="W1171" s="28" t="s">
        <v>16</v>
      </c>
      <c r="X1171" s="8"/>
      <c r="Y1171" s="9"/>
      <c r="Z1171" s="10"/>
      <c r="AA1171" s="11">
        <f t="shared" si="501"/>
        <v>0</v>
      </c>
      <c r="AB1171" s="12"/>
      <c r="AC1171" s="9"/>
      <c r="AD1171" s="10"/>
      <c r="AE1171" s="11">
        <f t="shared" si="502"/>
        <v>0</v>
      </c>
      <c r="AF1171" s="11">
        <f t="shared" si="503"/>
        <v>0</v>
      </c>
      <c r="AG1171" s="65"/>
    </row>
    <row r="1172" spans="1:33" x14ac:dyDescent="0.15">
      <c r="A1172" s="28" t="s">
        <v>104</v>
      </c>
      <c r="B1172" s="13">
        <v>3</v>
      </c>
      <c r="C1172" s="14"/>
      <c r="D1172" s="15"/>
      <c r="E1172" s="11">
        <f t="shared" si="498"/>
        <v>3</v>
      </c>
      <c r="F1172" s="16">
        <v>3</v>
      </c>
      <c r="G1172" s="14"/>
      <c r="H1172" s="15"/>
      <c r="I1172" s="11">
        <f t="shared" si="499"/>
        <v>3</v>
      </c>
      <c r="J1172" s="11">
        <f t="shared" si="500"/>
        <v>6</v>
      </c>
      <c r="K1172" s="71">
        <v>42867</v>
      </c>
      <c r="W1172" s="28" t="s">
        <v>17</v>
      </c>
      <c r="X1172" s="8"/>
      <c r="Y1172" s="9"/>
      <c r="Z1172" s="10"/>
      <c r="AA1172" s="11">
        <f>SUM(X1172:Z1172)</f>
        <v>0</v>
      </c>
      <c r="AB1172" s="12"/>
      <c r="AC1172" s="12"/>
      <c r="AD1172" s="87"/>
      <c r="AE1172" s="11">
        <f>SUM(AB1172:AD1172)</f>
        <v>0</v>
      </c>
      <c r="AF1172" s="11">
        <f>AA1172+AE1172</f>
        <v>0</v>
      </c>
      <c r="AG1172" s="65"/>
    </row>
    <row r="1173" spans="1:33" ht="14.25" thickBot="1" x14ac:dyDescent="0.2">
      <c r="A1173" s="28" t="s">
        <v>622</v>
      </c>
      <c r="B1173" s="36"/>
      <c r="C1173" s="37"/>
      <c r="D1173" s="40">
        <v>2</v>
      </c>
      <c r="E1173" s="22">
        <f t="shared" si="498"/>
        <v>2</v>
      </c>
      <c r="F1173" s="38"/>
      <c r="G1173" s="38"/>
      <c r="H1173" s="43"/>
      <c r="I1173" s="22">
        <f t="shared" si="499"/>
        <v>0</v>
      </c>
      <c r="J1173" s="22">
        <f t="shared" si="500"/>
        <v>2</v>
      </c>
      <c r="K1173" s="71">
        <v>42867</v>
      </c>
      <c r="W1173" s="28" t="s">
        <v>18</v>
      </c>
      <c r="X1173" s="127"/>
      <c r="Y1173" s="128"/>
      <c r="Z1173" s="129"/>
      <c r="AA1173" s="130">
        <f t="shared" si="501"/>
        <v>0</v>
      </c>
      <c r="AB1173" s="131"/>
      <c r="AC1173" s="131"/>
      <c r="AD1173" s="132"/>
      <c r="AE1173" s="130">
        <f t="shared" si="502"/>
        <v>0</v>
      </c>
      <c r="AF1173" s="130">
        <f t="shared" si="503"/>
        <v>0</v>
      </c>
      <c r="AG1173" s="65"/>
    </row>
    <row r="1174" spans="1:33" ht="14.25" thickBot="1" x14ac:dyDescent="0.2">
      <c r="A1174" s="39" t="s">
        <v>20</v>
      </c>
      <c r="B1174" s="32">
        <f t="shared" ref="B1174:J1174" si="504">SUM(B1165:B1173)</f>
        <v>129</v>
      </c>
      <c r="C1174" s="33">
        <f t="shared" si="504"/>
        <v>133</v>
      </c>
      <c r="D1174" s="34">
        <f t="shared" si="504"/>
        <v>123</v>
      </c>
      <c r="E1174" s="42">
        <f t="shared" si="504"/>
        <v>385</v>
      </c>
      <c r="F1174" s="32">
        <f t="shared" si="504"/>
        <v>50</v>
      </c>
      <c r="G1174" s="33">
        <f t="shared" si="504"/>
        <v>57</v>
      </c>
      <c r="H1174" s="34">
        <f t="shared" si="504"/>
        <v>106</v>
      </c>
      <c r="I1174" s="42">
        <f t="shared" si="504"/>
        <v>213</v>
      </c>
      <c r="J1174" s="42">
        <f t="shared" si="504"/>
        <v>598</v>
      </c>
      <c r="W1174" s="39" t="s">
        <v>20</v>
      </c>
      <c r="X1174" s="32">
        <f t="shared" ref="X1174:AF1174" si="505">SUM(X1165:X1173)</f>
        <v>364</v>
      </c>
      <c r="Y1174" s="33">
        <f t="shared" si="505"/>
        <v>207</v>
      </c>
      <c r="Z1174" s="34">
        <f t="shared" si="505"/>
        <v>583</v>
      </c>
      <c r="AA1174" s="42">
        <f t="shared" si="505"/>
        <v>1154</v>
      </c>
      <c r="AB1174" s="32">
        <f t="shared" si="505"/>
        <v>150</v>
      </c>
      <c r="AC1174" s="33">
        <f t="shared" si="505"/>
        <v>195</v>
      </c>
      <c r="AD1174" s="34">
        <f t="shared" si="505"/>
        <v>113</v>
      </c>
      <c r="AE1174" s="42">
        <f t="shared" si="505"/>
        <v>458</v>
      </c>
      <c r="AF1174" s="42">
        <f t="shared" si="505"/>
        <v>1612</v>
      </c>
    </row>
    <row r="1175" spans="1:33" x14ac:dyDescent="0.15">
      <c r="A1175" s="27" t="s">
        <v>635</v>
      </c>
      <c r="B1175" s="13">
        <v>8</v>
      </c>
      <c r="C1175" s="14">
        <v>8</v>
      </c>
      <c r="D1175" s="15">
        <v>8</v>
      </c>
      <c r="E1175" s="11">
        <f>SUM(B1175:D1175)</f>
        <v>24</v>
      </c>
      <c r="F1175" s="16">
        <v>8</v>
      </c>
      <c r="G1175" s="14">
        <v>8</v>
      </c>
      <c r="H1175" s="15">
        <v>8</v>
      </c>
      <c r="I1175" s="11">
        <f>SUM(F1175:H1175)</f>
        <v>24</v>
      </c>
      <c r="J1175" s="11">
        <f>E1175+I1175</f>
        <v>48</v>
      </c>
      <c r="K1175" s="65">
        <v>42844</v>
      </c>
      <c r="W1175" s="28" t="s">
        <v>598</v>
      </c>
      <c r="X1175" s="17">
        <v>50</v>
      </c>
      <c r="Y1175" s="18">
        <v>50</v>
      </c>
      <c r="Z1175" s="19">
        <v>50</v>
      </c>
      <c r="AA1175" s="20">
        <f>SUM(X1175:Z1175)</f>
        <v>150</v>
      </c>
      <c r="AB1175" s="21"/>
      <c r="AC1175" s="18">
        <v>50</v>
      </c>
      <c r="AD1175" s="19"/>
      <c r="AE1175" s="20">
        <f>SUM(AB1175:AD1175)</f>
        <v>50</v>
      </c>
      <c r="AF1175" s="20">
        <f>AA1175+AE1175</f>
        <v>200</v>
      </c>
      <c r="AG1175" s="65">
        <v>42828</v>
      </c>
    </row>
    <row r="1176" spans="1:33" x14ac:dyDescent="0.15">
      <c r="A1176" s="29" t="s">
        <v>605</v>
      </c>
      <c r="B1176" s="13"/>
      <c r="C1176" s="14">
        <v>1</v>
      </c>
      <c r="D1176" s="15"/>
      <c r="E1176" s="11">
        <f t="shared" ref="E1176:E1200" si="506">SUM(B1176:D1176)</f>
        <v>1</v>
      </c>
      <c r="F1176" s="16"/>
      <c r="G1176" s="14">
        <v>1</v>
      </c>
      <c r="H1176" s="15"/>
      <c r="I1176" s="11">
        <f>SUM(F1176:H1176)</f>
        <v>1</v>
      </c>
      <c r="J1176" s="11">
        <f t="shared" ref="J1176:J1200" si="507">E1176+I1176</f>
        <v>2</v>
      </c>
      <c r="K1176" s="65">
        <v>42832</v>
      </c>
      <c r="W1176" s="28" t="s">
        <v>23</v>
      </c>
      <c r="X1176" s="8"/>
      <c r="Y1176" s="9"/>
      <c r="Z1176" s="10">
        <v>50</v>
      </c>
      <c r="AA1176" s="11">
        <f>SUM(X1176:Z1176)</f>
        <v>50</v>
      </c>
      <c r="AB1176" s="12"/>
      <c r="AC1176" s="9"/>
      <c r="AD1176" s="10"/>
      <c r="AE1176" s="11">
        <f>SUM(AB1176:AD1176)</f>
        <v>0</v>
      </c>
      <c r="AF1176" s="11">
        <f t="shared" ref="AF1176:AF1199" si="508">AA1176+AE1176</f>
        <v>50</v>
      </c>
      <c r="AG1176" s="65">
        <v>42861</v>
      </c>
    </row>
    <row r="1177" spans="1:33" x14ac:dyDescent="0.15">
      <c r="A1177" s="29" t="s">
        <v>607</v>
      </c>
      <c r="B1177" s="8"/>
      <c r="C1177" s="9"/>
      <c r="D1177" s="10"/>
      <c r="E1177" s="11">
        <f t="shared" si="506"/>
        <v>0</v>
      </c>
      <c r="F1177" s="12"/>
      <c r="G1177" s="9"/>
      <c r="H1177" s="10">
        <v>1</v>
      </c>
      <c r="I1177" s="11">
        <f>SUM(F1177:H1177)</f>
        <v>1</v>
      </c>
      <c r="J1177" s="11">
        <f t="shared" si="507"/>
        <v>1</v>
      </c>
      <c r="K1177" s="71">
        <v>42836</v>
      </c>
      <c r="W1177" s="28" t="s">
        <v>23</v>
      </c>
      <c r="X1177" s="8">
        <v>50</v>
      </c>
      <c r="Y1177" s="9">
        <v>50</v>
      </c>
      <c r="Z1177" s="10"/>
      <c r="AA1177" s="11">
        <f t="shared" ref="AA1177:AA1199" si="509">SUM(X1177:Z1177)</f>
        <v>100</v>
      </c>
      <c r="AB1177" s="12"/>
      <c r="AC1177" s="9"/>
      <c r="AD1177" s="10">
        <v>50</v>
      </c>
      <c r="AE1177" s="11">
        <f t="shared" ref="AE1177:AE1199" si="510">SUM(AB1177:AD1177)</f>
        <v>50</v>
      </c>
      <c r="AF1177" s="11">
        <f t="shared" si="508"/>
        <v>150</v>
      </c>
      <c r="AG1177" s="65">
        <v>42864</v>
      </c>
    </row>
    <row r="1178" spans="1:33" x14ac:dyDescent="0.15">
      <c r="A1178" s="29" t="s">
        <v>611</v>
      </c>
      <c r="B1178" s="8"/>
      <c r="C1178" s="9"/>
      <c r="D1178" s="10">
        <v>20</v>
      </c>
      <c r="E1178" s="11">
        <f t="shared" si="506"/>
        <v>20</v>
      </c>
      <c r="F1178" s="12"/>
      <c r="G1178" s="9"/>
      <c r="H1178" s="10"/>
      <c r="I1178" s="11">
        <f>SUM(F1178:H1178)</f>
        <v>0</v>
      </c>
      <c r="J1178" s="11">
        <f t="shared" si="507"/>
        <v>20</v>
      </c>
      <c r="K1178" s="65">
        <v>42840</v>
      </c>
      <c r="W1178" s="29"/>
      <c r="X1178" s="8"/>
      <c r="Y1178" s="9"/>
      <c r="Z1178" s="10"/>
      <c r="AA1178" s="11">
        <f t="shared" si="509"/>
        <v>0</v>
      </c>
      <c r="AB1178" s="12"/>
      <c r="AC1178" s="9"/>
      <c r="AD1178" s="10"/>
      <c r="AE1178" s="11">
        <f t="shared" si="510"/>
        <v>0</v>
      </c>
      <c r="AF1178" s="11">
        <f t="shared" si="508"/>
        <v>0</v>
      </c>
      <c r="AG1178" s="64"/>
    </row>
    <row r="1179" spans="1:33" x14ac:dyDescent="0.15">
      <c r="A1179" s="27" t="s">
        <v>608</v>
      </c>
      <c r="B1179" s="8"/>
      <c r="C1179" s="9"/>
      <c r="D1179" s="10"/>
      <c r="E1179" s="11">
        <f t="shared" si="506"/>
        <v>0</v>
      </c>
      <c r="F1179" s="12"/>
      <c r="G1179" s="9">
        <v>1</v>
      </c>
      <c r="H1179" s="10"/>
      <c r="I1179" s="11">
        <f>SUM(F1179:H1179)</f>
        <v>1</v>
      </c>
      <c r="J1179" s="11">
        <f t="shared" si="507"/>
        <v>1</v>
      </c>
      <c r="K1179" s="71">
        <v>42839</v>
      </c>
      <c r="W1179" s="29"/>
      <c r="X1179" s="8"/>
      <c r="Y1179" s="9"/>
      <c r="Z1179" s="10"/>
      <c r="AA1179" s="11">
        <f t="shared" si="509"/>
        <v>0</v>
      </c>
      <c r="AB1179" s="12"/>
      <c r="AC1179" s="9"/>
      <c r="AD1179" s="10"/>
      <c r="AE1179" s="11">
        <f t="shared" si="510"/>
        <v>0</v>
      </c>
      <c r="AF1179" s="11">
        <f t="shared" si="508"/>
        <v>0</v>
      </c>
    </row>
    <row r="1180" spans="1:33" x14ac:dyDescent="0.15">
      <c r="A1180" s="27" t="s">
        <v>354</v>
      </c>
      <c r="B1180" s="8">
        <v>20</v>
      </c>
      <c r="C1180" s="9">
        <v>15</v>
      </c>
      <c r="D1180" s="10">
        <v>20</v>
      </c>
      <c r="E1180" s="139">
        <f t="shared" si="506"/>
        <v>55</v>
      </c>
      <c r="F1180" s="140">
        <v>5</v>
      </c>
      <c r="G1180" s="140"/>
      <c r="H1180" s="10">
        <v>10</v>
      </c>
      <c r="I1180" s="11">
        <f t="shared" ref="I1180:I1200" si="511">SUM(F1180:H1180)</f>
        <v>15</v>
      </c>
      <c r="J1180" s="11">
        <f t="shared" si="507"/>
        <v>70</v>
      </c>
      <c r="K1180" s="65">
        <v>42850</v>
      </c>
      <c r="W1180" s="27"/>
      <c r="X1180" s="8"/>
      <c r="Y1180" s="9"/>
      <c r="Z1180" s="10"/>
      <c r="AA1180" s="11">
        <f t="shared" si="509"/>
        <v>0</v>
      </c>
      <c r="AB1180" s="12"/>
      <c r="AC1180" s="9"/>
      <c r="AD1180" s="10"/>
      <c r="AE1180" s="11">
        <f t="shared" si="510"/>
        <v>0</v>
      </c>
      <c r="AF1180" s="11">
        <f t="shared" si="508"/>
        <v>0</v>
      </c>
    </row>
    <row r="1181" spans="1:33" x14ac:dyDescent="0.15">
      <c r="A1181" s="29" t="s">
        <v>24</v>
      </c>
      <c r="B1181" s="8"/>
      <c r="C1181" s="9">
        <v>1</v>
      </c>
      <c r="D1181" s="10"/>
      <c r="E1181" s="11">
        <f t="shared" si="506"/>
        <v>1</v>
      </c>
      <c r="F1181" s="12"/>
      <c r="G1181" s="9">
        <v>1</v>
      </c>
      <c r="H1181" s="10"/>
      <c r="I1181" s="11">
        <f t="shared" si="511"/>
        <v>1</v>
      </c>
      <c r="J1181" s="11">
        <f t="shared" si="507"/>
        <v>2</v>
      </c>
      <c r="K1181" s="65">
        <v>42845</v>
      </c>
      <c r="W1181" s="29"/>
      <c r="X1181" s="8"/>
      <c r="Y1181" s="9"/>
      <c r="Z1181" s="10"/>
      <c r="AA1181" s="11">
        <f t="shared" si="509"/>
        <v>0</v>
      </c>
      <c r="AB1181" s="12"/>
      <c r="AC1181" s="9"/>
      <c r="AD1181" s="10"/>
      <c r="AE1181" s="11">
        <f t="shared" si="510"/>
        <v>0</v>
      </c>
      <c r="AF1181" s="11">
        <f t="shared" si="508"/>
        <v>0</v>
      </c>
    </row>
    <row r="1182" spans="1:33" x14ac:dyDescent="0.15">
      <c r="A1182" s="26" t="s">
        <v>609</v>
      </c>
      <c r="B1182" s="8"/>
      <c r="C1182" s="9">
        <v>15</v>
      </c>
      <c r="D1182" s="10"/>
      <c r="E1182" s="11">
        <f t="shared" si="506"/>
        <v>15</v>
      </c>
      <c r="F1182" s="12"/>
      <c r="G1182" s="9"/>
      <c r="H1182" s="10"/>
      <c r="I1182" s="11">
        <f t="shared" si="511"/>
        <v>0</v>
      </c>
      <c r="J1182" s="11">
        <f t="shared" si="507"/>
        <v>15</v>
      </c>
      <c r="K1182" s="71">
        <v>42846</v>
      </c>
      <c r="W1182" s="29"/>
      <c r="X1182" s="8"/>
      <c r="Y1182" s="9"/>
      <c r="Z1182" s="10"/>
      <c r="AA1182" s="11">
        <f t="shared" si="509"/>
        <v>0</v>
      </c>
      <c r="AB1182" s="12"/>
      <c r="AC1182" s="9"/>
      <c r="AD1182" s="10"/>
      <c r="AE1182" s="11">
        <f t="shared" si="510"/>
        <v>0</v>
      </c>
      <c r="AF1182" s="11">
        <f t="shared" si="508"/>
        <v>0</v>
      </c>
    </row>
    <row r="1183" spans="1:33" x14ac:dyDescent="0.15">
      <c r="A1183" s="27" t="s">
        <v>610</v>
      </c>
      <c r="B1183" s="13"/>
      <c r="C1183" s="14"/>
      <c r="D1183" s="15">
        <v>2</v>
      </c>
      <c r="E1183" s="11">
        <f t="shared" si="506"/>
        <v>2</v>
      </c>
      <c r="F1183" s="16"/>
      <c r="G1183" s="14"/>
      <c r="H1183" s="15">
        <v>2</v>
      </c>
      <c r="I1183" s="11">
        <f t="shared" si="511"/>
        <v>2</v>
      </c>
      <c r="J1183" s="11">
        <f t="shared" si="507"/>
        <v>4</v>
      </c>
      <c r="K1183" s="65">
        <v>42849</v>
      </c>
      <c r="W1183" s="27"/>
      <c r="X1183" s="8"/>
      <c r="Y1183" s="9"/>
      <c r="Z1183" s="10"/>
      <c r="AA1183" s="11">
        <f t="shared" si="509"/>
        <v>0</v>
      </c>
      <c r="AB1183" s="12"/>
      <c r="AC1183" s="9"/>
      <c r="AD1183" s="10"/>
      <c r="AE1183" s="11">
        <f t="shared" si="510"/>
        <v>0</v>
      </c>
      <c r="AF1183" s="11">
        <f t="shared" si="508"/>
        <v>0</v>
      </c>
    </row>
    <row r="1184" spans="1:33" x14ac:dyDescent="0.15">
      <c r="A1184" s="29" t="s">
        <v>612</v>
      </c>
      <c r="B1184" s="13"/>
      <c r="C1184" s="14">
        <v>15</v>
      </c>
      <c r="D1184" s="15"/>
      <c r="E1184" s="11">
        <f t="shared" si="506"/>
        <v>15</v>
      </c>
      <c r="F1184" s="16"/>
      <c r="G1184" s="14"/>
      <c r="H1184" s="15">
        <v>3</v>
      </c>
      <c r="I1184" s="11">
        <f t="shared" si="511"/>
        <v>3</v>
      </c>
      <c r="J1184" s="11">
        <f t="shared" si="507"/>
        <v>18</v>
      </c>
      <c r="K1184" s="65">
        <v>42850</v>
      </c>
      <c r="W1184" s="29"/>
      <c r="X1184" s="13"/>
      <c r="Y1184" s="14"/>
      <c r="Z1184" s="15"/>
      <c r="AA1184" s="11">
        <f t="shared" si="509"/>
        <v>0</v>
      </c>
      <c r="AB1184" s="16"/>
      <c r="AC1184" s="14"/>
      <c r="AD1184" s="15"/>
      <c r="AE1184" s="11">
        <f t="shared" si="510"/>
        <v>0</v>
      </c>
      <c r="AF1184" s="11">
        <f t="shared" si="508"/>
        <v>0</v>
      </c>
    </row>
    <row r="1185" spans="1:33" x14ac:dyDescent="0.15">
      <c r="A1185" s="29" t="s">
        <v>613</v>
      </c>
      <c r="B1185" s="8"/>
      <c r="C1185" s="9"/>
      <c r="D1185" s="10"/>
      <c r="E1185" s="11">
        <f t="shared" si="506"/>
        <v>0</v>
      </c>
      <c r="F1185" s="12"/>
      <c r="G1185" s="9">
        <v>3</v>
      </c>
      <c r="H1185" s="10">
        <v>1</v>
      </c>
      <c r="I1185" s="11">
        <f t="shared" si="511"/>
        <v>4</v>
      </c>
      <c r="J1185" s="11">
        <f t="shared" si="507"/>
        <v>4</v>
      </c>
      <c r="K1185" s="71">
        <v>42850</v>
      </c>
      <c r="W1185" s="29"/>
      <c r="X1185" s="8"/>
      <c r="Y1185" s="9"/>
      <c r="Z1185" s="10"/>
      <c r="AA1185" s="11">
        <f t="shared" si="509"/>
        <v>0</v>
      </c>
      <c r="AB1185" s="12"/>
      <c r="AC1185" s="9"/>
      <c r="AD1185" s="10"/>
      <c r="AE1185" s="11">
        <f t="shared" si="510"/>
        <v>0</v>
      </c>
      <c r="AF1185" s="11">
        <f t="shared" si="508"/>
        <v>0</v>
      </c>
    </row>
    <row r="1186" spans="1:33" x14ac:dyDescent="0.15">
      <c r="A1186" s="27" t="s">
        <v>67</v>
      </c>
      <c r="B1186" s="8"/>
      <c r="C1186" s="9"/>
      <c r="D1186" s="10"/>
      <c r="E1186" s="11">
        <f t="shared" si="506"/>
        <v>0</v>
      </c>
      <c r="F1186" s="12"/>
      <c r="G1186" s="9">
        <v>1</v>
      </c>
      <c r="H1186" s="10"/>
      <c r="I1186" s="11">
        <f t="shared" si="511"/>
        <v>1</v>
      </c>
      <c r="J1186" s="11">
        <f t="shared" si="507"/>
        <v>1</v>
      </c>
      <c r="K1186" s="133">
        <v>42850</v>
      </c>
      <c r="W1186" s="29"/>
      <c r="X1186" s="8"/>
      <c r="Y1186" s="9"/>
      <c r="Z1186" s="10"/>
      <c r="AA1186" s="11">
        <f t="shared" si="509"/>
        <v>0</v>
      </c>
      <c r="AB1186" s="12"/>
      <c r="AC1186" s="9"/>
      <c r="AD1186" s="10"/>
      <c r="AE1186" s="11">
        <f t="shared" si="510"/>
        <v>0</v>
      </c>
      <c r="AF1186" s="11">
        <f t="shared" si="508"/>
        <v>0</v>
      </c>
    </row>
    <row r="1187" spans="1:33" x14ac:dyDescent="0.15">
      <c r="A1187" s="27" t="s">
        <v>615</v>
      </c>
      <c r="B1187" s="8"/>
      <c r="C1187" s="9">
        <v>2</v>
      </c>
      <c r="D1187" s="10">
        <v>2</v>
      </c>
      <c r="E1187" s="11">
        <f t="shared" si="506"/>
        <v>4</v>
      </c>
      <c r="F1187" s="12"/>
      <c r="G1187" s="9"/>
      <c r="H1187" s="10"/>
      <c r="I1187" s="11">
        <f t="shared" si="511"/>
        <v>0</v>
      </c>
      <c r="J1187" s="11">
        <f t="shared" si="507"/>
        <v>4</v>
      </c>
      <c r="K1187" s="65">
        <v>42853</v>
      </c>
      <c r="W1187" s="27"/>
      <c r="X1187" s="8"/>
      <c r="Y1187" s="9"/>
      <c r="Z1187" s="10"/>
      <c r="AA1187" s="11">
        <f t="shared" si="509"/>
        <v>0</v>
      </c>
      <c r="AB1187" s="12"/>
      <c r="AC1187" s="9"/>
      <c r="AD1187" s="10"/>
      <c r="AE1187" s="11">
        <f t="shared" si="510"/>
        <v>0</v>
      </c>
      <c r="AF1187" s="11">
        <f t="shared" si="508"/>
        <v>0</v>
      </c>
    </row>
    <row r="1188" spans="1:33" x14ac:dyDescent="0.15">
      <c r="A1188" s="86" t="s">
        <v>614</v>
      </c>
      <c r="B1188" s="8">
        <v>10</v>
      </c>
      <c r="C1188" s="9">
        <v>10</v>
      </c>
      <c r="D1188" s="10">
        <v>10</v>
      </c>
      <c r="E1188" s="11">
        <f t="shared" si="506"/>
        <v>30</v>
      </c>
      <c r="F1188" s="12">
        <v>10</v>
      </c>
      <c r="G1188" s="9">
        <v>10</v>
      </c>
      <c r="H1188" s="10">
        <v>10</v>
      </c>
      <c r="I1188" s="11">
        <f t="shared" si="511"/>
        <v>30</v>
      </c>
      <c r="J1188" s="11">
        <f t="shared" si="507"/>
        <v>60</v>
      </c>
      <c r="K1188" s="65">
        <v>42867</v>
      </c>
      <c r="W1188" s="29"/>
      <c r="X1188" s="8"/>
      <c r="Y1188" s="9"/>
      <c r="Z1188" s="10"/>
      <c r="AA1188" s="11">
        <f t="shared" si="509"/>
        <v>0</v>
      </c>
      <c r="AB1188" s="12"/>
      <c r="AD1188" s="10"/>
      <c r="AE1188" s="11">
        <f t="shared" si="510"/>
        <v>0</v>
      </c>
      <c r="AF1188" s="11">
        <f t="shared" si="508"/>
        <v>0</v>
      </c>
    </row>
    <row r="1189" spans="1:33" x14ac:dyDescent="0.15">
      <c r="A1189" s="29" t="s">
        <v>616</v>
      </c>
      <c r="B1189" s="8"/>
      <c r="C1189" s="9">
        <v>10</v>
      </c>
      <c r="D1189" s="10">
        <v>7</v>
      </c>
      <c r="E1189" s="11">
        <f t="shared" si="506"/>
        <v>17</v>
      </c>
      <c r="F1189" s="12"/>
      <c r="G1189" s="9">
        <v>3</v>
      </c>
      <c r="H1189" s="10">
        <v>3</v>
      </c>
      <c r="I1189" s="11">
        <f t="shared" si="511"/>
        <v>6</v>
      </c>
      <c r="J1189" s="11">
        <f t="shared" si="507"/>
        <v>23</v>
      </c>
      <c r="K1189" s="65">
        <v>42857</v>
      </c>
      <c r="W1189" s="29"/>
      <c r="X1189" s="8"/>
      <c r="Y1189" s="9"/>
      <c r="Z1189" s="10"/>
      <c r="AA1189" s="11">
        <f t="shared" si="509"/>
        <v>0</v>
      </c>
      <c r="AB1189" s="12"/>
      <c r="AC1189" s="9"/>
      <c r="AD1189" s="10"/>
      <c r="AE1189" s="11">
        <f t="shared" si="510"/>
        <v>0</v>
      </c>
      <c r="AF1189" s="11">
        <f t="shared" si="508"/>
        <v>0</v>
      </c>
    </row>
    <row r="1190" spans="1:33" x14ac:dyDescent="0.15">
      <c r="A1190" s="29" t="s">
        <v>386</v>
      </c>
      <c r="B1190" s="8">
        <v>5</v>
      </c>
      <c r="C1190" s="9"/>
      <c r="D1190" s="10"/>
      <c r="E1190" s="11">
        <f t="shared" si="506"/>
        <v>5</v>
      </c>
      <c r="F1190" s="12">
        <v>1</v>
      </c>
      <c r="G1190" s="9"/>
      <c r="H1190" s="10"/>
      <c r="I1190" s="11">
        <f t="shared" si="511"/>
        <v>1</v>
      </c>
      <c r="J1190" s="11">
        <f t="shared" si="507"/>
        <v>6</v>
      </c>
      <c r="K1190" s="65">
        <v>42858</v>
      </c>
      <c r="W1190" s="27"/>
      <c r="X1190" s="8"/>
      <c r="Y1190" s="9"/>
      <c r="Z1190" s="10"/>
      <c r="AA1190" s="11">
        <f t="shared" si="509"/>
        <v>0</v>
      </c>
      <c r="AB1190" s="12"/>
      <c r="AC1190" s="9"/>
      <c r="AD1190" s="10"/>
      <c r="AE1190" s="11">
        <f t="shared" si="510"/>
        <v>0</v>
      </c>
      <c r="AF1190" s="11">
        <f t="shared" si="508"/>
        <v>0</v>
      </c>
    </row>
    <row r="1191" spans="1:33" x14ac:dyDescent="0.15">
      <c r="A1191" s="26" t="s">
        <v>517</v>
      </c>
      <c r="B1191" s="8"/>
      <c r="C1191" s="9"/>
      <c r="D1191" s="10"/>
      <c r="E1191" s="11">
        <f t="shared" si="506"/>
        <v>0</v>
      </c>
      <c r="F1191" s="12">
        <v>9</v>
      </c>
      <c r="G1191" s="9"/>
      <c r="H1191" s="10"/>
      <c r="I1191" s="11">
        <f t="shared" si="511"/>
        <v>9</v>
      </c>
      <c r="J1191" s="11">
        <f t="shared" si="507"/>
        <v>9</v>
      </c>
      <c r="K1191" s="65">
        <v>42866</v>
      </c>
      <c r="W1191" s="29"/>
      <c r="X1191" s="8"/>
      <c r="Y1191" s="9"/>
      <c r="Z1191" s="10"/>
      <c r="AA1191" s="11">
        <f t="shared" si="509"/>
        <v>0</v>
      </c>
      <c r="AB1191" s="12"/>
      <c r="AC1191" s="9"/>
      <c r="AD1191" s="10"/>
      <c r="AE1191" s="11">
        <f t="shared" si="510"/>
        <v>0</v>
      </c>
      <c r="AF1191" s="11">
        <f t="shared" si="508"/>
        <v>0</v>
      </c>
    </row>
    <row r="1192" spans="1:33" x14ac:dyDescent="0.15">
      <c r="A1192" s="27" t="s">
        <v>618</v>
      </c>
      <c r="B1192" s="8"/>
      <c r="C1192" s="9"/>
      <c r="D1192" s="10"/>
      <c r="E1192" s="11">
        <f t="shared" si="506"/>
        <v>0</v>
      </c>
      <c r="F1192" s="12"/>
      <c r="G1192" s="9"/>
      <c r="H1192" s="10">
        <v>2</v>
      </c>
      <c r="I1192" s="11">
        <f t="shared" si="511"/>
        <v>2</v>
      </c>
      <c r="J1192" s="11">
        <f t="shared" si="507"/>
        <v>2</v>
      </c>
      <c r="K1192" s="65">
        <v>42864</v>
      </c>
      <c r="W1192" s="27"/>
      <c r="X1192" s="8"/>
      <c r="Y1192" s="9"/>
      <c r="Z1192" s="10"/>
      <c r="AA1192" s="11">
        <f t="shared" si="509"/>
        <v>0</v>
      </c>
      <c r="AB1192" s="12"/>
      <c r="AC1192" s="9"/>
      <c r="AD1192" s="10"/>
      <c r="AE1192" s="11">
        <f t="shared" si="510"/>
        <v>0</v>
      </c>
      <c r="AF1192" s="11">
        <f t="shared" si="508"/>
        <v>0</v>
      </c>
    </row>
    <row r="1193" spans="1:33" x14ac:dyDescent="0.15">
      <c r="A1193" s="26" t="s">
        <v>620</v>
      </c>
      <c r="B1193" s="8">
        <v>35</v>
      </c>
      <c r="C1193" s="9">
        <v>15</v>
      </c>
      <c r="D1193" s="10">
        <v>30</v>
      </c>
      <c r="E1193" s="11">
        <f t="shared" si="506"/>
        <v>80</v>
      </c>
      <c r="F1193" s="12"/>
      <c r="G1193" s="9"/>
      <c r="H1193" s="10">
        <v>8</v>
      </c>
      <c r="I1193" s="11">
        <f t="shared" si="511"/>
        <v>8</v>
      </c>
      <c r="J1193" s="11">
        <f t="shared" si="507"/>
        <v>88</v>
      </c>
      <c r="K1193" s="65">
        <v>42864</v>
      </c>
      <c r="W1193" s="26"/>
      <c r="X1193" s="8"/>
      <c r="Y1193" s="9"/>
      <c r="Z1193" s="10"/>
      <c r="AA1193" s="11">
        <f t="shared" si="509"/>
        <v>0</v>
      </c>
      <c r="AB1193" s="12"/>
      <c r="AC1193" s="9"/>
      <c r="AD1193" s="10"/>
      <c r="AE1193" s="11">
        <f t="shared" si="510"/>
        <v>0</v>
      </c>
      <c r="AF1193" s="11">
        <f t="shared" si="508"/>
        <v>0</v>
      </c>
    </row>
    <row r="1194" spans="1:33" x14ac:dyDescent="0.15">
      <c r="A1194" s="26" t="s">
        <v>619</v>
      </c>
      <c r="B1194" s="8"/>
      <c r="C1194" s="9">
        <v>25</v>
      </c>
      <c r="D1194" s="10"/>
      <c r="E1194" s="11">
        <f t="shared" si="506"/>
        <v>25</v>
      </c>
      <c r="F1194" s="12"/>
      <c r="G1194" s="9"/>
      <c r="H1194" s="10"/>
      <c r="I1194" s="11">
        <f t="shared" si="511"/>
        <v>0</v>
      </c>
      <c r="J1194" s="11">
        <f t="shared" si="507"/>
        <v>25</v>
      </c>
      <c r="K1194" s="65">
        <v>42865</v>
      </c>
      <c r="W1194" s="26"/>
      <c r="X1194" s="8"/>
      <c r="Y1194" s="9"/>
      <c r="Z1194" s="10"/>
      <c r="AA1194" s="11">
        <f t="shared" si="509"/>
        <v>0</v>
      </c>
      <c r="AB1194" s="12"/>
      <c r="AC1194" s="9"/>
      <c r="AD1194" s="10"/>
      <c r="AE1194" s="11">
        <f t="shared" si="510"/>
        <v>0</v>
      </c>
      <c r="AF1194" s="11">
        <f t="shared" si="508"/>
        <v>0</v>
      </c>
    </row>
    <row r="1195" spans="1:33" x14ac:dyDescent="0.15">
      <c r="A1195" s="29" t="s">
        <v>24</v>
      </c>
      <c r="B1195" s="8"/>
      <c r="C1195" s="9">
        <v>1</v>
      </c>
      <c r="D1195" s="10"/>
      <c r="E1195" s="11">
        <f t="shared" si="506"/>
        <v>1</v>
      </c>
      <c r="F1195" s="12"/>
      <c r="G1195" s="9">
        <v>1</v>
      </c>
      <c r="H1195" s="10"/>
      <c r="I1195" s="11">
        <f t="shared" si="511"/>
        <v>1</v>
      </c>
      <c r="J1195" s="11">
        <f t="shared" si="507"/>
        <v>2</v>
      </c>
      <c r="K1195" s="65">
        <v>42866</v>
      </c>
      <c r="W1195" s="27"/>
      <c r="X1195" s="8"/>
      <c r="Y1195" s="9"/>
      <c r="Z1195" s="10"/>
      <c r="AA1195" s="11">
        <f t="shared" si="509"/>
        <v>0</v>
      </c>
      <c r="AB1195" s="12"/>
      <c r="AC1195" s="9"/>
      <c r="AD1195" s="10"/>
      <c r="AE1195" s="11">
        <f t="shared" si="510"/>
        <v>0</v>
      </c>
      <c r="AF1195" s="11">
        <f t="shared" si="508"/>
        <v>0</v>
      </c>
    </row>
    <row r="1196" spans="1:33" x14ac:dyDescent="0.15">
      <c r="A1196" s="29" t="s">
        <v>24</v>
      </c>
      <c r="B1196" s="13">
        <v>1</v>
      </c>
      <c r="C1196" s="14"/>
      <c r="D1196" s="15"/>
      <c r="E1196" s="11">
        <f t="shared" si="506"/>
        <v>1</v>
      </c>
      <c r="F1196" s="16">
        <v>1</v>
      </c>
      <c r="G1196" s="14"/>
      <c r="H1196" s="15"/>
      <c r="I1196" s="11">
        <f t="shared" si="511"/>
        <v>1</v>
      </c>
      <c r="J1196" s="11">
        <f t="shared" si="507"/>
        <v>2</v>
      </c>
      <c r="K1196" s="65">
        <v>42867</v>
      </c>
      <c r="W1196" s="27"/>
      <c r="X1196" s="13"/>
      <c r="Y1196" s="14"/>
      <c r="Z1196" s="15"/>
      <c r="AA1196" s="11">
        <f t="shared" si="509"/>
        <v>0</v>
      </c>
      <c r="AB1196" s="16"/>
      <c r="AC1196" s="14"/>
      <c r="AD1196" s="15"/>
      <c r="AE1196" s="11">
        <f t="shared" si="510"/>
        <v>0</v>
      </c>
      <c r="AF1196" s="11">
        <f t="shared" si="508"/>
        <v>0</v>
      </c>
    </row>
    <row r="1197" spans="1:33" x14ac:dyDescent="0.15">
      <c r="A1197" s="27" t="s">
        <v>621</v>
      </c>
      <c r="B1197" s="8"/>
      <c r="C1197" s="9">
        <v>5</v>
      </c>
      <c r="D1197" s="10"/>
      <c r="E1197" s="11">
        <f t="shared" si="506"/>
        <v>5</v>
      </c>
      <c r="F1197" s="12"/>
      <c r="G1197" s="9"/>
      <c r="H1197" s="10">
        <v>5</v>
      </c>
      <c r="I1197" s="11">
        <f t="shared" si="511"/>
        <v>5</v>
      </c>
      <c r="J1197" s="11">
        <f t="shared" si="507"/>
        <v>10</v>
      </c>
      <c r="K1197" s="65">
        <v>42867</v>
      </c>
      <c r="W1197" s="86"/>
      <c r="X1197" s="13"/>
      <c r="Y1197" s="14"/>
      <c r="Z1197" s="15"/>
      <c r="AA1197" s="11">
        <f t="shared" si="509"/>
        <v>0</v>
      </c>
      <c r="AB1197" s="16"/>
      <c r="AC1197" s="14"/>
      <c r="AD1197" s="15"/>
      <c r="AE1197" s="11">
        <f t="shared" si="510"/>
        <v>0</v>
      </c>
      <c r="AF1197" s="11">
        <f t="shared" si="508"/>
        <v>0</v>
      </c>
      <c r="AG1197" s="65"/>
    </row>
    <row r="1198" spans="1:33" x14ac:dyDescent="0.15">
      <c r="A1198" s="29" t="s">
        <v>624</v>
      </c>
      <c r="B1198" s="8"/>
      <c r="C1198" s="9">
        <v>10</v>
      </c>
      <c r="D1198" s="10"/>
      <c r="E1198" s="11">
        <f t="shared" si="506"/>
        <v>10</v>
      </c>
      <c r="F1198" s="12">
        <v>6</v>
      </c>
      <c r="G1198" s="9"/>
      <c r="H1198" s="10"/>
      <c r="I1198" s="11">
        <f t="shared" si="511"/>
        <v>6</v>
      </c>
      <c r="J1198" s="11">
        <f t="shared" si="507"/>
        <v>16</v>
      </c>
      <c r="K1198" s="65">
        <v>42868</v>
      </c>
      <c r="W1198" s="27"/>
      <c r="X1198" s="13"/>
      <c r="Y1198" s="14"/>
      <c r="Z1198" s="15"/>
      <c r="AA1198" s="11">
        <f t="shared" si="509"/>
        <v>0</v>
      </c>
      <c r="AB1198" s="16"/>
      <c r="AC1198" s="14"/>
      <c r="AD1198" s="15"/>
      <c r="AE1198" s="11">
        <f t="shared" si="510"/>
        <v>0</v>
      </c>
      <c r="AF1198" s="11">
        <f t="shared" si="508"/>
        <v>0</v>
      </c>
      <c r="AG1198" s="64"/>
    </row>
    <row r="1199" spans="1:33" x14ac:dyDescent="0.15">
      <c r="A1199" s="29"/>
      <c r="B1199" s="8"/>
      <c r="C1199" s="9"/>
      <c r="D1199" s="10"/>
      <c r="E1199" s="11">
        <f t="shared" si="506"/>
        <v>0</v>
      </c>
      <c r="F1199" s="12"/>
      <c r="G1199" s="9"/>
      <c r="H1199" s="10"/>
      <c r="I1199" s="11">
        <f t="shared" si="511"/>
        <v>0</v>
      </c>
      <c r="J1199" s="11">
        <f t="shared" si="507"/>
        <v>0</v>
      </c>
      <c r="W1199" s="86"/>
      <c r="X1199" s="13"/>
      <c r="Y1199" s="14"/>
      <c r="Z1199" s="15"/>
      <c r="AA1199" s="11">
        <f t="shared" si="509"/>
        <v>0</v>
      </c>
      <c r="AB1199" s="16"/>
      <c r="AC1199" s="14"/>
      <c r="AD1199" s="15"/>
      <c r="AE1199" s="11">
        <f t="shared" si="510"/>
        <v>0</v>
      </c>
      <c r="AF1199" s="11">
        <f t="shared" si="508"/>
        <v>0</v>
      </c>
      <c r="AG1199" s="64"/>
    </row>
    <row r="1200" spans="1:33" ht="14.25" thickBot="1" x14ac:dyDescent="0.2">
      <c r="A1200" s="29"/>
      <c r="B1200" s="8"/>
      <c r="C1200" s="9"/>
      <c r="D1200" s="10"/>
      <c r="E1200" s="11">
        <f t="shared" si="506"/>
        <v>0</v>
      </c>
      <c r="F1200" s="16"/>
      <c r="G1200" s="14"/>
      <c r="H1200" s="15"/>
      <c r="I1200" s="11">
        <f t="shared" si="511"/>
        <v>0</v>
      </c>
      <c r="J1200" s="11">
        <f t="shared" si="507"/>
        <v>0</v>
      </c>
      <c r="W1200" s="86"/>
      <c r="X1200" s="13"/>
      <c r="Y1200" s="14"/>
      <c r="Z1200" s="15"/>
      <c r="AA1200" s="11">
        <f>SUM(X1200:Z1200)</f>
        <v>0</v>
      </c>
      <c r="AB1200" s="16"/>
      <c r="AC1200" s="14"/>
      <c r="AD1200" s="15"/>
      <c r="AE1200" s="11">
        <f>SUM(AB1200:AD1200)</f>
        <v>0</v>
      </c>
      <c r="AF1200" s="11">
        <f>AA1200+AE1200</f>
        <v>0</v>
      </c>
      <c r="AG1200" s="65"/>
    </row>
    <row r="1201" spans="1:33" ht="14.25" thickBot="1" x14ac:dyDescent="0.2">
      <c r="A1201" s="44" t="s">
        <v>13</v>
      </c>
      <c r="B1201" s="48">
        <f t="shared" ref="B1201:I1201" si="512">SUM(B1175:B1200)</f>
        <v>79</v>
      </c>
      <c r="C1201" s="49">
        <f t="shared" si="512"/>
        <v>133</v>
      </c>
      <c r="D1201" s="50">
        <f t="shared" si="512"/>
        <v>99</v>
      </c>
      <c r="E1201" s="46">
        <f t="shared" si="512"/>
        <v>311</v>
      </c>
      <c r="F1201" s="48">
        <f t="shared" si="512"/>
        <v>40</v>
      </c>
      <c r="G1201" s="49">
        <f t="shared" si="512"/>
        <v>29</v>
      </c>
      <c r="H1201" s="50">
        <f t="shared" si="512"/>
        <v>53</v>
      </c>
      <c r="I1201" s="46">
        <f t="shared" si="512"/>
        <v>122</v>
      </c>
      <c r="J1201" s="35">
        <f>E1201+I1201</f>
        <v>433</v>
      </c>
      <c r="W1201" s="44" t="s">
        <v>13</v>
      </c>
      <c r="X1201" s="48">
        <f t="shared" ref="X1201:AE1201" si="513">SUM(X1175:X1200)</f>
        <v>100</v>
      </c>
      <c r="Y1201" s="49">
        <f t="shared" si="513"/>
        <v>100</v>
      </c>
      <c r="Z1201" s="50">
        <f t="shared" si="513"/>
        <v>100</v>
      </c>
      <c r="AA1201" s="46">
        <f t="shared" si="513"/>
        <v>300</v>
      </c>
      <c r="AB1201" s="48">
        <f t="shared" si="513"/>
        <v>0</v>
      </c>
      <c r="AC1201" s="49">
        <f t="shared" si="513"/>
        <v>50</v>
      </c>
      <c r="AD1201" s="50">
        <f t="shared" si="513"/>
        <v>50</v>
      </c>
      <c r="AE1201" s="46">
        <f t="shared" si="513"/>
        <v>100</v>
      </c>
      <c r="AF1201" s="35">
        <f>AA1201+AE1201</f>
        <v>400</v>
      </c>
    </row>
    <row r="1202" spans="1:33" ht="14.25" thickBot="1" x14ac:dyDescent="0.2">
      <c r="A1202" s="23" t="s">
        <v>14</v>
      </c>
      <c r="B1202" s="24">
        <f t="shared" ref="B1202:J1202" si="514">B1174-B1201</f>
        <v>50</v>
      </c>
      <c r="C1202" s="25">
        <f t="shared" si="514"/>
        <v>0</v>
      </c>
      <c r="D1202" s="30">
        <f t="shared" si="514"/>
        <v>24</v>
      </c>
      <c r="E1202" s="51">
        <f t="shared" si="514"/>
        <v>74</v>
      </c>
      <c r="F1202" s="24">
        <f t="shared" si="514"/>
        <v>10</v>
      </c>
      <c r="G1202" s="25">
        <f t="shared" si="514"/>
        <v>28</v>
      </c>
      <c r="H1202" s="30">
        <f t="shared" si="514"/>
        <v>53</v>
      </c>
      <c r="I1202" s="47">
        <f t="shared" si="514"/>
        <v>91</v>
      </c>
      <c r="J1202" s="79">
        <f t="shared" si="514"/>
        <v>165</v>
      </c>
      <c r="W1202" s="23" t="s">
        <v>14</v>
      </c>
      <c r="X1202" s="24">
        <f t="shared" ref="X1202:AF1202" si="515">X1174-X1201</f>
        <v>264</v>
      </c>
      <c r="Y1202" s="25">
        <f t="shared" si="515"/>
        <v>107</v>
      </c>
      <c r="Z1202" s="30">
        <f t="shared" si="515"/>
        <v>483</v>
      </c>
      <c r="AA1202" s="51">
        <f t="shared" si="515"/>
        <v>854</v>
      </c>
      <c r="AB1202" s="24">
        <f t="shared" si="515"/>
        <v>150</v>
      </c>
      <c r="AC1202" s="25">
        <f t="shared" si="515"/>
        <v>145</v>
      </c>
      <c r="AD1202" s="30">
        <f t="shared" si="515"/>
        <v>63</v>
      </c>
      <c r="AE1202" s="47">
        <f t="shared" si="515"/>
        <v>358</v>
      </c>
      <c r="AF1202" s="79">
        <f t="shared" si="515"/>
        <v>1212</v>
      </c>
    </row>
    <row r="1205" spans="1:33" ht="19.5" thickBot="1" x14ac:dyDescent="0.25">
      <c r="A1205" s="93" t="s">
        <v>21</v>
      </c>
      <c r="B1205" s="94"/>
      <c r="C1205" s="94"/>
      <c r="D1205" s="94"/>
      <c r="E1205" s="94"/>
      <c r="F1205" s="1"/>
      <c r="G1205" s="1"/>
      <c r="H1205" s="1"/>
      <c r="I1205" s="1"/>
      <c r="J1205" s="1"/>
      <c r="W1205" s="93" t="s">
        <v>136</v>
      </c>
      <c r="X1205" s="94"/>
      <c r="Y1205" s="94"/>
      <c r="Z1205" s="94"/>
      <c r="AA1205" s="106" t="s">
        <v>299</v>
      </c>
      <c r="AB1205" s="1"/>
      <c r="AC1205" s="1"/>
      <c r="AD1205" s="1"/>
      <c r="AE1205" s="1"/>
      <c r="AF1205" s="1"/>
    </row>
    <row r="1206" spans="1:33" ht="14.25" thickBot="1" x14ac:dyDescent="0.2">
      <c r="A1206" s="7" t="s">
        <v>0</v>
      </c>
      <c r="B1206" s="168" t="s">
        <v>1</v>
      </c>
      <c r="C1206" s="169"/>
      <c r="D1206" s="169"/>
      <c r="E1206" s="170"/>
      <c r="F1206" s="168" t="s">
        <v>2</v>
      </c>
      <c r="G1206" s="169"/>
      <c r="H1206" s="169"/>
      <c r="I1206" s="171"/>
      <c r="J1206" s="172" t="s">
        <v>3</v>
      </c>
      <c r="W1206" s="7" t="s">
        <v>0</v>
      </c>
      <c r="X1206" s="174" t="s">
        <v>1</v>
      </c>
      <c r="Y1206" s="175"/>
      <c r="Z1206" s="176"/>
      <c r="AA1206" s="101"/>
      <c r="AB1206" s="174" t="s">
        <v>2</v>
      </c>
      <c r="AC1206" s="175"/>
      <c r="AD1206" s="176"/>
      <c r="AE1206" s="102"/>
      <c r="AF1206" s="103" t="s">
        <v>3</v>
      </c>
    </row>
    <row r="1207" spans="1:33" ht="14.25" thickBot="1" x14ac:dyDescent="0.2">
      <c r="A1207" s="7" t="s">
        <v>4</v>
      </c>
      <c r="B1207" s="3" t="s">
        <v>5</v>
      </c>
      <c r="C1207" s="4" t="s">
        <v>6</v>
      </c>
      <c r="D1207" s="5" t="s">
        <v>7</v>
      </c>
      <c r="E1207" s="7" t="s">
        <v>8</v>
      </c>
      <c r="F1207" s="3" t="s">
        <v>5</v>
      </c>
      <c r="G1207" s="4" t="s">
        <v>6</v>
      </c>
      <c r="H1207" s="5" t="s">
        <v>7</v>
      </c>
      <c r="I1207" s="7" t="s">
        <v>8</v>
      </c>
      <c r="J1207" s="173"/>
      <c r="W1207" s="7" t="s">
        <v>4</v>
      </c>
      <c r="X1207" s="3" t="s">
        <v>5</v>
      </c>
      <c r="Y1207" s="4" t="s">
        <v>6</v>
      </c>
      <c r="Z1207" s="5" t="s">
        <v>7</v>
      </c>
      <c r="AA1207" s="7" t="s">
        <v>8</v>
      </c>
      <c r="AB1207" s="107" t="s">
        <v>5</v>
      </c>
      <c r="AC1207" s="108" t="s">
        <v>6</v>
      </c>
      <c r="AD1207" s="109" t="s">
        <v>7</v>
      </c>
      <c r="AE1207" s="7" t="s">
        <v>8</v>
      </c>
      <c r="AF1207" s="104"/>
    </row>
    <row r="1208" spans="1:33" ht="14.25" thickBot="1" x14ac:dyDescent="0.2">
      <c r="A1208" s="31" t="s">
        <v>14</v>
      </c>
      <c r="B1208" s="32">
        <f>B1202</f>
        <v>50</v>
      </c>
      <c r="C1208" s="33">
        <f>C1202</f>
        <v>0</v>
      </c>
      <c r="D1208" s="34">
        <f>D1202</f>
        <v>24</v>
      </c>
      <c r="E1208" s="41">
        <f>SUM(B1208:D1208)</f>
        <v>74</v>
      </c>
      <c r="F1208" s="32">
        <f>F1202</f>
        <v>10</v>
      </c>
      <c r="G1208" s="33">
        <f>G1202</f>
        <v>28</v>
      </c>
      <c r="H1208" s="34">
        <f>H1202</f>
        <v>53</v>
      </c>
      <c r="I1208" s="41">
        <f>SUM(F1208:H1208)</f>
        <v>91</v>
      </c>
      <c r="J1208" s="41">
        <f>E1208+I1208</f>
        <v>165</v>
      </c>
      <c r="W1208" s="31" t="s">
        <v>14</v>
      </c>
      <c r="X1208" s="32">
        <f>X1202</f>
        <v>264</v>
      </c>
      <c r="Y1208" s="33">
        <f>Y1202</f>
        <v>107</v>
      </c>
      <c r="Z1208" s="33">
        <f>Z1202</f>
        <v>483</v>
      </c>
      <c r="AA1208" s="111">
        <f>SUM(X1208:Z1208)</f>
        <v>854</v>
      </c>
      <c r="AB1208" s="32">
        <f>AB1202</f>
        <v>150</v>
      </c>
      <c r="AC1208" s="33">
        <f>AC1202</f>
        <v>145</v>
      </c>
      <c r="AD1208" s="95">
        <f>AD1202</f>
        <v>63</v>
      </c>
      <c r="AE1208" s="46">
        <f>SUM(AB1208:AD1208)</f>
        <v>358</v>
      </c>
      <c r="AF1208" s="35">
        <f>AA1208+AE1208</f>
        <v>1212</v>
      </c>
    </row>
    <row r="1209" spans="1:33" x14ac:dyDescent="0.15">
      <c r="A1209" s="28" t="s">
        <v>9</v>
      </c>
      <c r="B1209" s="17"/>
      <c r="C1209" s="18">
        <v>50</v>
      </c>
      <c r="D1209" s="19"/>
      <c r="E1209" s="20">
        <f t="shared" ref="E1209:E1216" si="516">SUM(B1209:D1209)</f>
        <v>50</v>
      </c>
      <c r="F1209" s="21"/>
      <c r="G1209" s="18"/>
      <c r="H1209" s="19"/>
      <c r="I1209" s="20">
        <f t="shared" ref="I1209:I1216" si="517">SUM(F1209:H1209)</f>
        <v>0</v>
      </c>
      <c r="J1209" s="20">
        <f t="shared" ref="J1209:J1216" si="518">E1209+I1209</f>
        <v>50</v>
      </c>
      <c r="K1209" s="65">
        <v>42870</v>
      </c>
      <c r="W1209" s="28" t="s">
        <v>9</v>
      </c>
      <c r="X1209" s="8"/>
      <c r="Y1209" s="9"/>
      <c r="Z1209" s="10"/>
      <c r="AA1209" s="78">
        <f t="shared" ref="AA1209:AA1216" si="519">SUM(X1209:Z1209)</f>
        <v>0</v>
      </c>
      <c r="AB1209" s="21"/>
      <c r="AC1209" s="18"/>
      <c r="AD1209" s="19"/>
      <c r="AE1209" s="78">
        <f t="shared" ref="AE1209:AE1216" si="520">SUM(AB1209:AD1209)</f>
        <v>0</v>
      </c>
      <c r="AF1209" s="78">
        <f t="shared" ref="AF1209:AF1216" si="521">AA1209+AE1209</f>
        <v>0</v>
      </c>
    </row>
    <row r="1210" spans="1:33" x14ac:dyDescent="0.15">
      <c r="A1210" s="28" t="s">
        <v>10</v>
      </c>
      <c r="B1210" s="8"/>
      <c r="C1210" s="9"/>
      <c r="D1210" s="10">
        <v>50</v>
      </c>
      <c r="E1210" s="11">
        <f t="shared" si="516"/>
        <v>50</v>
      </c>
      <c r="F1210" s="12">
        <v>50</v>
      </c>
      <c r="G1210" s="9"/>
      <c r="H1210" s="10"/>
      <c r="I1210" s="11">
        <f t="shared" si="517"/>
        <v>50</v>
      </c>
      <c r="J1210" s="11">
        <f t="shared" si="518"/>
        <v>100</v>
      </c>
      <c r="K1210" s="65">
        <v>42872</v>
      </c>
      <c r="W1210" s="28" t="s">
        <v>10</v>
      </c>
      <c r="X1210" s="8">
        <v>800</v>
      </c>
      <c r="Y1210" s="9">
        <v>1200</v>
      </c>
      <c r="Z1210" s="10">
        <v>500</v>
      </c>
      <c r="AA1210" s="11">
        <f t="shared" si="519"/>
        <v>2500</v>
      </c>
      <c r="AB1210" s="12"/>
      <c r="AC1210" s="9"/>
      <c r="AD1210" s="10"/>
      <c r="AE1210" s="11">
        <f>SUM(AB1210:AD1210)</f>
        <v>0</v>
      </c>
      <c r="AF1210" s="11">
        <f>AA1210+AE1210</f>
        <v>2500</v>
      </c>
      <c r="AG1210" s="65">
        <v>42867</v>
      </c>
    </row>
    <row r="1211" spans="1:33" x14ac:dyDescent="0.15">
      <c r="A1211" s="28" t="s">
        <v>11</v>
      </c>
      <c r="B1211" s="8">
        <v>50</v>
      </c>
      <c r="C1211" s="9"/>
      <c r="D1211" s="10"/>
      <c r="E1211" s="11">
        <f t="shared" si="516"/>
        <v>50</v>
      </c>
      <c r="F1211" s="12"/>
      <c r="G1211" s="9"/>
      <c r="H1211" s="10"/>
      <c r="I1211" s="11">
        <f t="shared" si="517"/>
        <v>0</v>
      </c>
      <c r="J1211" s="11">
        <f t="shared" si="518"/>
        <v>50</v>
      </c>
      <c r="K1211" s="65">
        <v>42874</v>
      </c>
      <c r="W1211" s="28" t="s">
        <v>11</v>
      </c>
      <c r="X1211" s="8"/>
      <c r="Y1211" s="9"/>
      <c r="Z1211" s="10"/>
      <c r="AA1211" s="11">
        <f t="shared" si="519"/>
        <v>0</v>
      </c>
      <c r="AB1211" s="12"/>
      <c r="AC1211" s="9"/>
      <c r="AD1211" s="10"/>
      <c r="AE1211" s="11">
        <f t="shared" si="520"/>
        <v>0</v>
      </c>
      <c r="AF1211" s="11">
        <f t="shared" si="521"/>
        <v>0</v>
      </c>
      <c r="AG1211" s="64"/>
    </row>
    <row r="1212" spans="1:33" x14ac:dyDescent="0.15">
      <c r="A1212" s="28" t="s">
        <v>12</v>
      </c>
      <c r="B1212" s="8"/>
      <c r="C1212" s="9">
        <v>50</v>
      </c>
      <c r="D1212" s="10"/>
      <c r="E1212" s="11">
        <f t="shared" si="516"/>
        <v>50</v>
      </c>
      <c r="F1212" s="12"/>
      <c r="G1212" s="9"/>
      <c r="H1212" s="10"/>
      <c r="I1212" s="11">
        <f t="shared" si="517"/>
        <v>0</v>
      </c>
      <c r="J1212" s="11">
        <f t="shared" si="518"/>
        <v>50</v>
      </c>
      <c r="K1212" s="65">
        <v>42880</v>
      </c>
      <c r="W1212" s="28" t="s">
        <v>12</v>
      </c>
      <c r="X1212" s="8"/>
      <c r="Y1212" s="9"/>
      <c r="Z1212" s="10"/>
      <c r="AA1212" s="11">
        <f t="shared" si="519"/>
        <v>0</v>
      </c>
      <c r="AB1212" s="12">
        <v>50</v>
      </c>
      <c r="AC1212" s="9">
        <v>50</v>
      </c>
      <c r="AD1212" s="10">
        <v>50</v>
      </c>
      <c r="AE1212" s="11">
        <f t="shared" si="520"/>
        <v>150</v>
      </c>
      <c r="AF1212" s="11">
        <f t="shared" si="521"/>
        <v>150</v>
      </c>
      <c r="AG1212" s="65">
        <v>42887</v>
      </c>
    </row>
    <row r="1213" spans="1:33" x14ac:dyDescent="0.15">
      <c r="A1213" s="28" t="s">
        <v>15</v>
      </c>
      <c r="B1213" s="8"/>
      <c r="C1213" s="9"/>
      <c r="D1213" s="10">
        <v>50</v>
      </c>
      <c r="E1213" s="11">
        <f t="shared" si="516"/>
        <v>50</v>
      </c>
      <c r="F1213" s="12"/>
      <c r="G1213" s="9">
        <v>50</v>
      </c>
      <c r="H1213" s="10"/>
      <c r="I1213" s="11">
        <f t="shared" si="517"/>
        <v>50</v>
      </c>
      <c r="J1213" s="11">
        <f t="shared" si="518"/>
        <v>100</v>
      </c>
      <c r="K1213" s="65">
        <v>42881</v>
      </c>
      <c r="W1213" s="28" t="s">
        <v>15</v>
      </c>
      <c r="X1213" s="8"/>
      <c r="Y1213" s="9"/>
      <c r="Z1213" s="10"/>
      <c r="AA1213" s="11">
        <f>SUM(X1213:Z1213)</f>
        <v>0</v>
      </c>
      <c r="AB1213" s="12"/>
      <c r="AC1213" s="9"/>
      <c r="AD1213" s="10"/>
      <c r="AE1213" s="11">
        <f>SUM(AB1213:AD1213)</f>
        <v>0</v>
      </c>
      <c r="AF1213" s="11">
        <f>AA1213+AE1213</f>
        <v>0</v>
      </c>
      <c r="AG1213" s="65"/>
    </row>
    <row r="1214" spans="1:33" x14ac:dyDescent="0.15">
      <c r="A1214" s="28" t="s">
        <v>46</v>
      </c>
      <c r="B1214" s="8">
        <v>2</v>
      </c>
      <c r="C1214" s="9"/>
      <c r="D1214" s="10"/>
      <c r="E1214" s="11">
        <f t="shared" si="516"/>
        <v>2</v>
      </c>
      <c r="F1214" s="12"/>
      <c r="G1214" s="9"/>
      <c r="H1214" s="10"/>
      <c r="I1214" s="11">
        <f t="shared" si="517"/>
        <v>0</v>
      </c>
      <c r="J1214" s="11">
        <f t="shared" si="518"/>
        <v>2</v>
      </c>
      <c r="K1214" s="71">
        <v>42881</v>
      </c>
      <c r="W1214" s="28" t="s">
        <v>16</v>
      </c>
      <c r="X1214" s="8"/>
      <c r="Y1214" s="9"/>
      <c r="Z1214" s="10"/>
      <c r="AA1214" s="11">
        <f t="shared" si="519"/>
        <v>0</v>
      </c>
      <c r="AB1214" s="12"/>
      <c r="AC1214" s="9"/>
      <c r="AD1214" s="10"/>
      <c r="AE1214" s="11">
        <f t="shared" si="520"/>
        <v>0</v>
      </c>
      <c r="AF1214" s="11">
        <f t="shared" si="521"/>
        <v>0</v>
      </c>
    </row>
    <row r="1215" spans="1:33" x14ac:dyDescent="0.15">
      <c r="A1215" s="28" t="s">
        <v>17</v>
      </c>
      <c r="B1215" s="13"/>
      <c r="C1215" s="14"/>
      <c r="D1215" s="15"/>
      <c r="E1215" s="11">
        <f t="shared" si="516"/>
        <v>0</v>
      </c>
      <c r="F1215" s="16"/>
      <c r="G1215" s="14"/>
      <c r="H1215" s="15">
        <v>50</v>
      </c>
      <c r="I1215" s="11">
        <f t="shared" si="517"/>
        <v>50</v>
      </c>
      <c r="J1215" s="11">
        <f t="shared" si="518"/>
        <v>50</v>
      </c>
      <c r="K1215" s="65">
        <v>42886</v>
      </c>
      <c r="W1215" s="28" t="s">
        <v>17</v>
      </c>
      <c r="X1215" s="8"/>
      <c r="Y1215" s="9"/>
      <c r="Z1215" s="10"/>
      <c r="AA1215" s="11">
        <f t="shared" si="519"/>
        <v>0</v>
      </c>
      <c r="AB1215" s="12"/>
      <c r="AC1215" s="12"/>
      <c r="AD1215" s="87"/>
      <c r="AE1215" s="11">
        <f t="shared" si="520"/>
        <v>0</v>
      </c>
      <c r="AF1215" s="11">
        <f t="shared" si="521"/>
        <v>0</v>
      </c>
      <c r="AG1215" s="65"/>
    </row>
    <row r="1216" spans="1:33" ht="14.25" thickBot="1" x14ac:dyDescent="0.2">
      <c r="A1216" s="28" t="s">
        <v>18</v>
      </c>
      <c r="B1216" s="36">
        <v>50</v>
      </c>
      <c r="C1216" s="37"/>
      <c r="D1216" s="40"/>
      <c r="E1216" s="22">
        <f t="shared" si="516"/>
        <v>50</v>
      </c>
      <c r="F1216" s="38"/>
      <c r="G1216" s="38"/>
      <c r="H1216" s="43"/>
      <c r="I1216" s="22">
        <f t="shared" si="517"/>
        <v>0</v>
      </c>
      <c r="J1216" s="22">
        <f t="shared" si="518"/>
        <v>50</v>
      </c>
      <c r="K1216" s="65">
        <v>42887</v>
      </c>
      <c r="W1216" s="28" t="s">
        <v>18</v>
      </c>
      <c r="X1216" s="127"/>
      <c r="Y1216" s="128"/>
      <c r="Z1216" s="129"/>
      <c r="AA1216" s="130">
        <f t="shared" si="519"/>
        <v>0</v>
      </c>
      <c r="AB1216" s="131"/>
      <c r="AC1216" s="131"/>
      <c r="AD1216" s="132"/>
      <c r="AE1216" s="130">
        <f t="shared" si="520"/>
        <v>0</v>
      </c>
      <c r="AF1216" s="130">
        <f t="shared" si="521"/>
        <v>0</v>
      </c>
    </row>
    <row r="1217" spans="1:33" ht="14.25" thickBot="1" x14ac:dyDescent="0.2">
      <c r="A1217" s="39" t="s">
        <v>20</v>
      </c>
      <c r="B1217" s="32">
        <f t="shared" ref="B1217:J1217" si="522">SUM(B1208:B1216)</f>
        <v>152</v>
      </c>
      <c r="C1217" s="33">
        <f t="shared" si="522"/>
        <v>100</v>
      </c>
      <c r="D1217" s="34">
        <f t="shared" si="522"/>
        <v>124</v>
      </c>
      <c r="E1217" s="42">
        <f t="shared" si="522"/>
        <v>376</v>
      </c>
      <c r="F1217" s="32">
        <f t="shared" si="522"/>
        <v>60</v>
      </c>
      <c r="G1217" s="33">
        <f t="shared" si="522"/>
        <v>78</v>
      </c>
      <c r="H1217" s="34">
        <f t="shared" si="522"/>
        <v>103</v>
      </c>
      <c r="I1217" s="42">
        <f t="shared" si="522"/>
        <v>241</v>
      </c>
      <c r="J1217" s="42">
        <f t="shared" si="522"/>
        <v>617</v>
      </c>
      <c r="W1217" s="39" t="s">
        <v>20</v>
      </c>
      <c r="X1217" s="32">
        <f t="shared" ref="X1217:AF1217" si="523">SUM(X1208:X1216)</f>
        <v>1064</v>
      </c>
      <c r="Y1217" s="33">
        <f t="shared" si="523"/>
        <v>1307</v>
      </c>
      <c r="Z1217" s="34">
        <f t="shared" si="523"/>
        <v>983</v>
      </c>
      <c r="AA1217" s="42">
        <f t="shared" si="523"/>
        <v>3354</v>
      </c>
      <c r="AB1217" s="32">
        <f t="shared" si="523"/>
        <v>200</v>
      </c>
      <c r="AC1217" s="33">
        <f t="shared" si="523"/>
        <v>195</v>
      </c>
      <c r="AD1217" s="34">
        <f t="shared" si="523"/>
        <v>113</v>
      </c>
      <c r="AE1217" s="42">
        <f t="shared" si="523"/>
        <v>508</v>
      </c>
      <c r="AF1217" s="42">
        <f t="shared" si="523"/>
        <v>3862</v>
      </c>
    </row>
    <row r="1218" spans="1:33" x14ac:dyDescent="0.15">
      <c r="A1218" s="29" t="s">
        <v>386</v>
      </c>
      <c r="B1218" s="13">
        <v>10</v>
      </c>
      <c r="C1218" s="14"/>
      <c r="D1218" s="15">
        <v>10</v>
      </c>
      <c r="E1218" s="11">
        <f>SUM(B1218:D1218)</f>
        <v>20</v>
      </c>
      <c r="F1218" s="16"/>
      <c r="G1218" s="14">
        <v>5</v>
      </c>
      <c r="H1218" s="15"/>
      <c r="I1218" s="11">
        <f>SUM(F1218:H1218)</f>
        <v>5</v>
      </c>
      <c r="J1218" s="11">
        <f>E1218+I1218</f>
        <v>25</v>
      </c>
      <c r="K1218" s="65">
        <v>42871</v>
      </c>
      <c r="W1218" s="28" t="s">
        <v>623</v>
      </c>
      <c r="X1218" s="13"/>
      <c r="Y1218" s="14">
        <v>50</v>
      </c>
      <c r="Z1218" s="15"/>
      <c r="AA1218" s="11">
        <f>SUM(X1218:Z1218)</f>
        <v>50</v>
      </c>
      <c r="AB1218" s="16"/>
      <c r="AC1218" s="14"/>
      <c r="AD1218" s="15"/>
      <c r="AE1218" s="11">
        <f>SUM(AB1218:AD1218)</f>
        <v>0</v>
      </c>
      <c r="AF1218" s="11">
        <f t="shared" ref="AF1218:AF1243" si="524">AA1218+AE1218</f>
        <v>50</v>
      </c>
      <c r="AG1218" s="65">
        <v>42870</v>
      </c>
    </row>
    <row r="1219" spans="1:33" x14ac:dyDescent="0.15">
      <c r="A1219" s="29" t="s">
        <v>386</v>
      </c>
      <c r="B1219" s="13">
        <v>5</v>
      </c>
      <c r="C1219" s="14"/>
      <c r="D1219" s="15">
        <v>5</v>
      </c>
      <c r="E1219" s="11">
        <f t="shared" ref="E1219:E1243" si="525">SUM(B1219:D1219)</f>
        <v>10</v>
      </c>
      <c r="F1219" s="16"/>
      <c r="G1219" s="14"/>
      <c r="H1219" s="15"/>
      <c r="I1219" s="11">
        <f>SUM(F1219:H1219)</f>
        <v>0</v>
      </c>
      <c r="J1219" s="11">
        <f t="shared" ref="J1219:J1243" si="526">E1219+I1219</f>
        <v>10</v>
      </c>
      <c r="K1219" s="65">
        <v>42872</v>
      </c>
      <c r="W1219" s="28" t="s">
        <v>41</v>
      </c>
      <c r="X1219" s="8"/>
      <c r="Y1219" s="9"/>
      <c r="Z1219" s="10">
        <v>50</v>
      </c>
      <c r="AA1219" s="11">
        <f>SUM(X1219:Z1219)</f>
        <v>50</v>
      </c>
      <c r="AB1219" s="12">
        <v>50</v>
      </c>
      <c r="AC1219" s="9"/>
      <c r="AD1219" s="10"/>
      <c r="AE1219" s="11">
        <f>SUM(AB1219:AD1219)</f>
        <v>50</v>
      </c>
      <c r="AF1219" s="11">
        <f t="shared" si="524"/>
        <v>100</v>
      </c>
      <c r="AG1219" s="65">
        <v>42872</v>
      </c>
    </row>
    <row r="1220" spans="1:33" x14ac:dyDescent="0.15">
      <c r="A1220" s="27" t="s">
        <v>354</v>
      </c>
      <c r="B1220" s="8">
        <v>15</v>
      </c>
      <c r="C1220" s="9">
        <v>20</v>
      </c>
      <c r="D1220" s="10">
        <v>20</v>
      </c>
      <c r="E1220" s="11">
        <f t="shared" si="525"/>
        <v>55</v>
      </c>
      <c r="F1220" s="12">
        <v>5</v>
      </c>
      <c r="G1220" s="9">
        <v>5</v>
      </c>
      <c r="H1220" s="10">
        <v>10</v>
      </c>
      <c r="I1220" s="11">
        <f>SUM(F1220:H1220)</f>
        <v>20</v>
      </c>
      <c r="J1220" s="11">
        <f t="shared" si="526"/>
        <v>75</v>
      </c>
      <c r="K1220" s="65">
        <v>42880</v>
      </c>
      <c r="W1220" s="28" t="s">
        <v>41</v>
      </c>
      <c r="X1220" s="8">
        <v>50</v>
      </c>
      <c r="Y1220" s="9"/>
      <c r="Z1220" s="10"/>
      <c r="AA1220" s="11">
        <f t="shared" ref="AA1220:AA1243" si="527">SUM(X1220:Z1220)</f>
        <v>50</v>
      </c>
      <c r="AB1220" s="12"/>
      <c r="AC1220" s="9"/>
      <c r="AD1220" s="10"/>
      <c r="AE1220" s="11">
        <f t="shared" ref="AE1220:AE1243" si="528">SUM(AB1220:AD1220)</f>
        <v>0</v>
      </c>
      <c r="AF1220" s="11">
        <f t="shared" si="524"/>
        <v>50</v>
      </c>
      <c r="AG1220" s="65">
        <v>42874</v>
      </c>
    </row>
    <row r="1221" spans="1:33" x14ac:dyDescent="0.15">
      <c r="A1221" s="29" t="s">
        <v>386</v>
      </c>
      <c r="B1221" s="8">
        <v>10</v>
      </c>
      <c r="C1221" s="9"/>
      <c r="D1221" s="10">
        <v>6</v>
      </c>
      <c r="E1221" s="11">
        <f t="shared" si="525"/>
        <v>16</v>
      </c>
      <c r="F1221" s="12"/>
      <c r="G1221" s="9"/>
      <c r="H1221" s="10"/>
      <c r="I1221" s="11">
        <f>SUM(F1221:H1221)</f>
        <v>0</v>
      </c>
      <c r="J1221" s="11">
        <f t="shared" si="526"/>
        <v>16</v>
      </c>
      <c r="K1221" s="65">
        <v>42873</v>
      </c>
      <c r="W1221" s="28" t="s">
        <v>41</v>
      </c>
      <c r="X1221" s="8"/>
      <c r="Y1221" s="9">
        <v>50</v>
      </c>
      <c r="Z1221" s="10"/>
      <c r="AA1221" s="11">
        <f t="shared" si="527"/>
        <v>50</v>
      </c>
      <c r="AB1221" s="12"/>
      <c r="AC1221" s="9"/>
      <c r="AD1221" s="10"/>
      <c r="AE1221" s="11">
        <f t="shared" si="528"/>
        <v>0</v>
      </c>
      <c r="AF1221" s="11">
        <f t="shared" si="524"/>
        <v>50</v>
      </c>
      <c r="AG1221" s="65">
        <v>42880</v>
      </c>
    </row>
    <row r="1222" spans="1:33" x14ac:dyDescent="0.15">
      <c r="A1222" s="27" t="s">
        <v>625</v>
      </c>
      <c r="B1222" s="8">
        <v>2</v>
      </c>
      <c r="C1222" s="9"/>
      <c r="D1222" s="10"/>
      <c r="E1222" s="11">
        <f t="shared" si="525"/>
        <v>2</v>
      </c>
      <c r="F1222" s="12"/>
      <c r="G1222" s="9"/>
      <c r="H1222" s="10"/>
      <c r="I1222" s="11">
        <f>SUM(F1222:H1222)</f>
        <v>0</v>
      </c>
      <c r="J1222" s="11">
        <f t="shared" si="526"/>
        <v>2</v>
      </c>
      <c r="K1222" s="65">
        <v>42874</v>
      </c>
      <c r="W1222" s="86" t="s">
        <v>627</v>
      </c>
      <c r="X1222" s="8">
        <v>55</v>
      </c>
      <c r="Y1222" s="9">
        <v>110</v>
      </c>
      <c r="Z1222" s="10">
        <v>45</v>
      </c>
      <c r="AA1222" s="11">
        <f t="shared" si="527"/>
        <v>210</v>
      </c>
      <c r="AB1222" s="12">
        <v>10</v>
      </c>
      <c r="AC1222" s="9"/>
      <c r="AD1222" s="10">
        <v>5</v>
      </c>
      <c r="AE1222" s="11">
        <f t="shared" si="528"/>
        <v>15</v>
      </c>
      <c r="AF1222" s="11">
        <f t="shared" si="524"/>
        <v>225</v>
      </c>
      <c r="AG1222" s="65">
        <v>42880</v>
      </c>
    </row>
    <row r="1223" spans="1:33" x14ac:dyDescent="0.15">
      <c r="A1223" s="29" t="s">
        <v>24</v>
      </c>
      <c r="B1223" s="8"/>
      <c r="C1223" s="9"/>
      <c r="D1223" s="10">
        <v>1</v>
      </c>
      <c r="E1223" s="139">
        <f t="shared" si="525"/>
        <v>1</v>
      </c>
      <c r="F1223" s="140"/>
      <c r="G1223" s="140"/>
      <c r="H1223" s="10">
        <v>1</v>
      </c>
      <c r="I1223" s="11">
        <f t="shared" ref="I1223:I1243" si="529">SUM(F1223:H1223)</f>
        <v>1</v>
      </c>
      <c r="J1223" s="11">
        <f t="shared" si="526"/>
        <v>2</v>
      </c>
      <c r="K1223" s="65">
        <v>42875</v>
      </c>
      <c r="W1223" s="86" t="s">
        <v>628</v>
      </c>
      <c r="X1223" s="8"/>
      <c r="Y1223" s="9">
        <v>5</v>
      </c>
      <c r="Z1223" s="10"/>
      <c r="AA1223" s="11">
        <f t="shared" si="527"/>
        <v>5</v>
      </c>
      <c r="AB1223" s="12"/>
      <c r="AC1223" s="9">
        <v>10</v>
      </c>
      <c r="AD1223" s="10">
        <v>5</v>
      </c>
      <c r="AE1223" s="11">
        <f t="shared" si="528"/>
        <v>15</v>
      </c>
      <c r="AF1223" s="11">
        <f t="shared" si="524"/>
        <v>20</v>
      </c>
      <c r="AG1223" s="65">
        <v>42880</v>
      </c>
    </row>
    <row r="1224" spans="1:33" x14ac:dyDescent="0.15">
      <c r="A1224" s="29" t="s">
        <v>386</v>
      </c>
      <c r="B1224" s="8"/>
      <c r="C1224" s="9">
        <v>10</v>
      </c>
      <c r="D1224" s="10">
        <v>10</v>
      </c>
      <c r="E1224" s="11">
        <f t="shared" si="525"/>
        <v>20</v>
      </c>
      <c r="F1224" s="12"/>
      <c r="G1224" s="9"/>
      <c r="H1224" s="10"/>
      <c r="I1224" s="11">
        <f t="shared" si="529"/>
        <v>0</v>
      </c>
      <c r="J1224" s="11">
        <f t="shared" si="526"/>
        <v>20</v>
      </c>
      <c r="K1224" s="65">
        <v>42875</v>
      </c>
      <c r="W1224" s="28" t="s">
        <v>41</v>
      </c>
      <c r="X1224" s="8"/>
      <c r="Y1224" s="9"/>
      <c r="Z1224" s="10">
        <v>50</v>
      </c>
      <c r="AA1224" s="11">
        <f t="shared" si="527"/>
        <v>50</v>
      </c>
      <c r="AB1224" s="12"/>
      <c r="AC1224" s="9">
        <v>50</v>
      </c>
      <c r="AD1224" s="10"/>
      <c r="AE1224" s="11">
        <f t="shared" si="528"/>
        <v>50</v>
      </c>
      <c r="AF1224" s="11">
        <f t="shared" si="524"/>
        <v>100</v>
      </c>
      <c r="AG1224" s="65">
        <v>42881</v>
      </c>
    </row>
    <row r="1225" spans="1:33" x14ac:dyDescent="0.15">
      <c r="A1225" s="27" t="s">
        <v>67</v>
      </c>
      <c r="B1225" s="8">
        <v>2</v>
      </c>
      <c r="C1225" s="9"/>
      <c r="D1225" s="10"/>
      <c r="E1225" s="11">
        <f t="shared" si="525"/>
        <v>2</v>
      </c>
      <c r="F1225" s="12"/>
      <c r="G1225" s="9"/>
      <c r="H1225" s="10"/>
      <c r="I1225" s="11">
        <f t="shared" si="529"/>
        <v>0</v>
      </c>
      <c r="J1225" s="11">
        <f t="shared" si="526"/>
        <v>2</v>
      </c>
      <c r="K1225" s="71">
        <v>42874</v>
      </c>
      <c r="W1225" s="28" t="s">
        <v>41</v>
      </c>
      <c r="X1225" s="8"/>
      <c r="Y1225" s="9"/>
      <c r="Z1225" s="10"/>
      <c r="AA1225" s="11">
        <f t="shared" si="527"/>
        <v>0</v>
      </c>
      <c r="AB1225" s="12"/>
      <c r="AC1225" s="9"/>
      <c r="AD1225" s="10">
        <v>50</v>
      </c>
      <c r="AE1225" s="11">
        <f t="shared" si="528"/>
        <v>50</v>
      </c>
      <c r="AF1225" s="11">
        <f t="shared" si="524"/>
        <v>50</v>
      </c>
      <c r="AG1225" s="65">
        <v>42886</v>
      </c>
    </row>
    <row r="1226" spans="1:33" x14ac:dyDescent="0.15">
      <c r="A1226" s="27" t="s">
        <v>67</v>
      </c>
      <c r="B1226" s="13"/>
      <c r="C1226" s="14">
        <v>2</v>
      </c>
      <c r="D1226" s="15"/>
      <c r="E1226" s="11">
        <f t="shared" si="525"/>
        <v>2</v>
      </c>
      <c r="F1226" s="16"/>
      <c r="G1226" s="14"/>
      <c r="H1226" s="15">
        <v>2</v>
      </c>
      <c r="I1226" s="11">
        <f t="shared" si="529"/>
        <v>2</v>
      </c>
      <c r="J1226" s="11">
        <f t="shared" si="526"/>
        <v>4</v>
      </c>
      <c r="K1226" s="71">
        <v>42875</v>
      </c>
      <c r="W1226" s="28" t="s">
        <v>41</v>
      </c>
      <c r="X1226" s="8">
        <v>50</v>
      </c>
      <c r="Y1226" s="9"/>
      <c r="Z1226" s="10"/>
      <c r="AA1226" s="11">
        <f t="shared" si="527"/>
        <v>50</v>
      </c>
      <c r="AB1226" s="12"/>
      <c r="AC1226" s="9"/>
      <c r="AD1226" s="10"/>
      <c r="AE1226" s="11">
        <f t="shared" si="528"/>
        <v>0</v>
      </c>
      <c r="AF1226" s="11">
        <f t="shared" si="524"/>
        <v>50</v>
      </c>
      <c r="AG1226" s="65">
        <v>42887</v>
      </c>
    </row>
    <row r="1227" spans="1:33" x14ac:dyDescent="0.15">
      <c r="A1227" s="29" t="s">
        <v>626</v>
      </c>
      <c r="B1227" s="13">
        <v>20</v>
      </c>
      <c r="C1227" s="14">
        <v>20</v>
      </c>
      <c r="D1227" s="15">
        <v>10</v>
      </c>
      <c r="E1227" s="11">
        <f t="shared" si="525"/>
        <v>50</v>
      </c>
      <c r="F1227" s="16">
        <v>5</v>
      </c>
      <c r="G1227" s="14">
        <v>5</v>
      </c>
      <c r="H1227" s="15">
        <v>5</v>
      </c>
      <c r="I1227" s="11">
        <f t="shared" si="529"/>
        <v>15</v>
      </c>
      <c r="J1227" s="11">
        <f t="shared" si="526"/>
        <v>65</v>
      </c>
      <c r="K1227" s="65">
        <v>42880</v>
      </c>
      <c r="W1227" s="29"/>
      <c r="X1227" s="13"/>
      <c r="Y1227" s="14"/>
      <c r="Z1227" s="15"/>
      <c r="AA1227" s="11">
        <f t="shared" si="527"/>
        <v>0</v>
      </c>
      <c r="AB1227" s="16"/>
      <c r="AC1227" s="14"/>
      <c r="AD1227" s="15"/>
      <c r="AE1227" s="11">
        <f t="shared" si="528"/>
        <v>0</v>
      </c>
      <c r="AF1227" s="11">
        <f t="shared" si="524"/>
        <v>0</v>
      </c>
      <c r="AG1227" s="64"/>
    </row>
    <row r="1228" spans="1:33" x14ac:dyDescent="0.15">
      <c r="A1228" s="86" t="s">
        <v>629</v>
      </c>
      <c r="B1228" s="8">
        <v>10</v>
      </c>
      <c r="C1228" s="9"/>
      <c r="D1228" s="10"/>
      <c r="E1228" s="11">
        <f t="shared" si="525"/>
        <v>10</v>
      </c>
      <c r="F1228" s="12">
        <v>15</v>
      </c>
      <c r="G1228" s="9">
        <v>5</v>
      </c>
      <c r="H1228" s="10">
        <v>15</v>
      </c>
      <c r="I1228" s="11">
        <f t="shared" si="529"/>
        <v>35</v>
      </c>
      <c r="J1228" s="11">
        <f t="shared" si="526"/>
        <v>45</v>
      </c>
      <c r="K1228" s="65">
        <v>42882</v>
      </c>
      <c r="W1228" s="29"/>
      <c r="X1228" s="8"/>
      <c r="Y1228" s="9"/>
      <c r="Z1228" s="10"/>
      <c r="AA1228" s="11">
        <f t="shared" si="527"/>
        <v>0</v>
      </c>
      <c r="AB1228" s="12"/>
      <c r="AC1228" s="9"/>
      <c r="AD1228" s="10"/>
      <c r="AE1228" s="11">
        <f t="shared" si="528"/>
        <v>0</v>
      </c>
      <c r="AF1228" s="11">
        <f t="shared" si="524"/>
        <v>0</v>
      </c>
    </row>
    <row r="1229" spans="1:33" x14ac:dyDescent="0.15">
      <c r="A1229" s="86" t="s">
        <v>630</v>
      </c>
      <c r="B1229" s="8"/>
      <c r="C1229" s="9"/>
      <c r="D1229" s="10">
        <v>6</v>
      </c>
      <c r="E1229" s="11">
        <f t="shared" si="525"/>
        <v>6</v>
      </c>
      <c r="F1229" s="12"/>
      <c r="G1229" s="9"/>
      <c r="H1229" s="10"/>
      <c r="I1229" s="11">
        <f t="shared" si="529"/>
        <v>0</v>
      </c>
      <c r="J1229" s="11">
        <f t="shared" si="526"/>
        <v>6</v>
      </c>
      <c r="K1229" s="65">
        <v>42885</v>
      </c>
      <c r="W1229" s="29"/>
      <c r="X1229" s="8"/>
      <c r="Y1229" s="9"/>
      <c r="Z1229" s="10"/>
      <c r="AA1229" s="11">
        <f t="shared" si="527"/>
        <v>0</v>
      </c>
      <c r="AB1229" s="12"/>
      <c r="AC1229" s="9"/>
      <c r="AD1229" s="10"/>
      <c r="AE1229" s="11">
        <f t="shared" si="528"/>
        <v>0</v>
      </c>
      <c r="AF1229" s="11">
        <f t="shared" si="524"/>
        <v>0</v>
      </c>
    </row>
    <row r="1230" spans="1:33" x14ac:dyDescent="0.15">
      <c r="A1230" s="27" t="s">
        <v>636</v>
      </c>
      <c r="B1230" s="8"/>
      <c r="C1230" s="9">
        <v>10</v>
      </c>
      <c r="D1230" s="10">
        <v>10</v>
      </c>
      <c r="E1230" s="11">
        <f t="shared" si="525"/>
        <v>20</v>
      </c>
      <c r="F1230" s="12">
        <v>10</v>
      </c>
      <c r="G1230" s="9"/>
      <c r="H1230" s="10">
        <v>10</v>
      </c>
      <c r="I1230" s="11">
        <f t="shared" si="529"/>
        <v>20</v>
      </c>
      <c r="J1230" s="11">
        <f t="shared" si="526"/>
        <v>40</v>
      </c>
      <c r="K1230" s="65">
        <v>42891</v>
      </c>
      <c r="W1230" s="27"/>
      <c r="X1230" s="8"/>
      <c r="Y1230" s="9"/>
      <c r="Z1230" s="10"/>
      <c r="AA1230" s="11">
        <f t="shared" si="527"/>
        <v>0</v>
      </c>
      <c r="AB1230" s="12"/>
      <c r="AC1230" s="9"/>
      <c r="AD1230" s="10"/>
      <c r="AE1230" s="11">
        <f t="shared" si="528"/>
        <v>0</v>
      </c>
      <c r="AF1230" s="11">
        <f t="shared" si="524"/>
        <v>0</v>
      </c>
    </row>
    <row r="1231" spans="1:33" x14ac:dyDescent="0.15">
      <c r="A1231" s="27" t="s">
        <v>631</v>
      </c>
      <c r="B1231" s="8">
        <v>5</v>
      </c>
      <c r="C1231" s="9"/>
      <c r="D1231" s="10"/>
      <c r="E1231" s="11">
        <f t="shared" si="525"/>
        <v>5</v>
      </c>
      <c r="F1231" s="12"/>
      <c r="G1231" s="9"/>
      <c r="H1231" s="10">
        <v>5</v>
      </c>
      <c r="I1231" s="11">
        <f t="shared" si="529"/>
        <v>5</v>
      </c>
      <c r="J1231" s="11">
        <f t="shared" si="526"/>
        <v>10</v>
      </c>
      <c r="K1231" s="65">
        <v>42885</v>
      </c>
      <c r="W1231" s="29"/>
      <c r="X1231" s="8"/>
      <c r="Y1231" s="9"/>
      <c r="Z1231" s="10"/>
      <c r="AA1231" s="11">
        <f t="shared" si="527"/>
        <v>0</v>
      </c>
      <c r="AB1231" s="12"/>
      <c r="AC1231" s="9"/>
      <c r="AD1231" s="10"/>
      <c r="AE1231" s="11">
        <f t="shared" si="528"/>
        <v>0</v>
      </c>
      <c r="AF1231" s="11">
        <f t="shared" si="524"/>
        <v>0</v>
      </c>
    </row>
    <row r="1232" spans="1:33" x14ac:dyDescent="0.15">
      <c r="A1232" s="29" t="s">
        <v>626</v>
      </c>
      <c r="B1232" s="8">
        <v>8</v>
      </c>
      <c r="C1232" s="9">
        <v>5</v>
      </c>
      <c r="D1232" s="10">
        <v>10</v>
      </c>
      <c r="E1232" s="11">
        <f t="shared" si="525"/>
        <v>23</v>
      </c>
      <c r="F1232" s="12"/>
      <c r="G1232" s="9">
        <v>4</v>
      </c>
      <c r="H1232" s="10"/>
      <c r="I1232" s="11">
        <f t="shared" si="529"/>
        <v>4</v>
      </c>
      <c r="J1232" s="11">
        <f t="shared" si="526"/>
        <v>27</v>
      </c>
      <c r="K1232" s="65">
        <v>42886</v>
      </c>
      <c r="W1232" s="29"/>
      <c r="X1232" s="8"/>
      <c r="Y1232" s="9"/>
      <c r="Z1232" s="10"/>
      <c r="AA1232" s="11">
        <f t="shared" si="527"/>
        <v>0</v>
      </c>
      <c r="AB1232" s="12"/>
      <c r="AC1232" s="9"/>
      <c r="AD1232" s="10"/>
      <c r="AE1232" s="11">
        <f t="shared" si="528"/>
        <v>0</v>
      </c>
      <c r="AF1232" s="11">
        <f t="shared" si="524"/>
        <v>0</v>
      </c>
    </row>
    <row r="1233" spans="1:33" x14ac:dyDescent="0.15">
      <c r="A1233" s="27" t="s">
        <v>637</v>
      </c>
      <c r="B1233" s="8">
        <v>8</v>
      </c>
      <c r="C1233" s="9"/>
      <c r="D1233" s="10">
        <v>12</v>
      </c>
      <c r="E1233" s="11">
        <f t="shared" si="525"/>
        <v>20</v>
      </c>
      <c r="F1233" s="12"/>
      <c r="G1233" s="9">
        <v>8</v>
      </c>
      <c r="H1233" s="10"/>
      <c r="I1233" s="11">
        <f t="shared" si="529"/>
        <v>8</v>
      </c>
      <c r="J1233" s="11">
        <f t="shared" si="526"/>
        <v>28</v>
      </c>
      <c r="K1233" s="65">
        <v>42891</v>
      </c>
      <c r="W1233" s="27"/>
      <c r="X1233" s="8"/>
      <c r="Y1233" s="9"/>
      <c r="Z1233" s="10"/>
      <c r="AA1233" s="11">
        <f t="shared" si="527"/>
        <v>0</v>
      </c>
      <c r="AB1233" s="12"/>
      <c r="AC1233" s="9"/>
      <c r="AD1233" s="10"/>
      <c r="AE1233" s="11">
        <f t="shared" si="528"/>
        <v>0</v>
      </c>
      <c r="AF1233" s="11">
        <f t="shared" si="524"/>
        <v>0</v>
      </c>
    </row>
    <row r="1234" spans="1:33" x14ac:dyDescent="0.15">
      <c r="A1234" s="27" t="s">
        <v>632</v>
      </c>
      <c r="B1234" s="8"/>
      <c r="C1234" s="9"/>
      <c r="D1234" s="10">
        <v>5</v>
      </c>
      <c r="E1234" s="11">
        <f t="shared" si="525"/>
        <v>5</v>
      </c>
      <c r="F1234" s="12"/>
      <c r="G1234" s="9"/>
      <c r="H1234" s="10"/>
      <c r="I1234" s="11">
        <f t="shared" si="529"/>
        <v>0</v>
      </c>
      <c r="J1234" s="11">
        <f t="shared" si="526"/>
        <v>5</v>
      </c>
      <c r="K1234" s="65">
        <v>42887</v>
      </c>
      <c r="W1234" s="29"/>
      <c r="X1234" s="8"/>
      <c r="Y1234" s="9"/>
      <c r="Z1234" s="10"/>
      <c r="AA1234" s="11">
        <f t="shared" si="527"/>
        <v>0</v>
      </c>
      <c r="AB1234" s="12"/>
      <c r="AC1234" s="9"/>
      <c r="AD1234" s="10"/>
      <c r="AE1234" s="11">
        <f t="shared" si="528"/>
        <v>0</v>
      </c>
      <c r="AF1234" s="11">
        <f t="shared" si="524"/>
        <v>0</v>
      </c>
    </row>
    <row r="1235" spans="1:33" x14ac:dyDescent="0.15">
      <c r="A1235" s="27" t="s">
        <v>67</v>
      </c>
      <c r="B1235" s="8"/>
      <c r="C1235" s="9">
        <v>2</v>
      </c>
      <c r="D1235" s="10"/>
      <c r="E1235" s="11">
        <f t="shared" si="525"/>
        <v>2</v>
      </c>
      <c r="F1235" s="12"/>
      <c r="G1235" s="9">
        <v>1</v>
      </c>
      <c r="H1235" s="10"/>
      <c r="I1235" s="11">
        <f t="shared" si="529"/>
        <v>1</v>
      </c>
      <c r="J1235" s="11">
        <f t="shared" si="526"/>
        <v>3</v>
      </c>
      <c r="K1235" s="71">
        <v>42887</v>
      </c>
      <c r="W1235" s="27"/>
      <c r="X1235" s="8"/>
      <c r="Y1235" s="9"/>
      <c r="Z1235" s="10"/>
      <c r="AA1235" s="11">
        <f t="shared" si="527"/>
        <v>0</v>
      </c>
      <c r="AB1235" s="12"/>
      <c r="AC1235" s="9"/>
      <c r="AD1235" s="10"/>
      <c r="AE1235" s="11">
        <f t="shared" si="528"/>
        <v>0</v>
      </c>
      <c r="AF1235" s="11">
        <f t="shared" si="524"/>
        <v>0</v>
      </c>
    </row>
    <row r="1236" spans="1:33" x14ac:dyDescent="0.15">
      <c r="A1236" s="26" t="s">
        <v>633</v>
      </c>
      <c r="B1236" s="8"/>
      <c r="C1236" s="9">
        <v>1</v>
      </c>
      <c r="D1236" s="10"/>
      <c r="E1236" s="11">
        <f t="shared" si="525"/>
        <v>1</v>
      </c>
      <c r="F1236" s="12"/>
      <c r="G1236" s="9"/>
      <c r="H1236" s="10"/>
      <c r="I1236" s="11">
        <f t="shared" si="529"/>
        <v>0</v>
      </c>
      <c r="J1236" s="11">
        <f t="shared" si="526"/>
        <v>1</v>
      </c>
      <c r="K1236" s="71">
        <v>42891</v>
      </c>
      <c r="W1236" s="26"/>
      <c r="X1236" s="8"/>
      <c r="Y1236" s="9"/>
      <c r="Z1236" s="10"/>
      <c r="AA1236" s="11">
        <f t="shared" si="527"/>
        <v>0</v>
      </c>
      <c r="AB1236" s="12"/>
      <c r="AC1236" s="9"/>
      <c r="AD1236" s="10"/>
      <c r="AE1236" s="11">
        <f t="shared" si="528"/>
        <v>0</v>
      </c>
      <c r="AF1236" s="11">
        <f t="shared" si="524"/>
        <v>0</v>
      </c>
    </row>
    <row r="1237" spans="1:33" x14ac:dyDescent="0.15">
      <c r="A1237" s="29" t="s">
        <v>24</v>
      </c>
      <c r="B1237" s="8">
        <v>1</v>
      </c>
      <c r="C1237" s="9"/>
      <c r="D1237" s="10"/>
      <c r="E1237" s="11">
        <f t="shared" si="525"/>
        <v>1</v>
      </c>
      <c r="F1237" s="12">
        <v>1</v>
      </c>
      <c r="G1237" s="9"/>
      <c r="H1237" s="10"/>
      <c r="I1237" s="11">
        <f t="shared" si="529"/>
        <v>1</v>
      </c>
      <c r="J1237" s="11">
        <f t="shared" si="526"/>
        <v>2</v>
      </c>
      <c r="K1237" s="65">
        <v>42893</v>
      </c>
      <c r="W1237" s="26"/>
      <c r="X1237" s="8"/>
      <c r="Y1237" s="9"/>
      <c r="Z1237" s="10"/>
      <c r="AA1237" s="11">
        <f t="shared" si="527"/>
        <v>0</v>
      </c>
      <c r="AB1237" s="12"/>
      <c r="AC1237" s="9"/>
      <c r="AD1237" s="10"/>
      <c r="AE1237" s="11">
        <f t="shared" si="528"/>
        <v>0</v>
      </c>
      <c r="AF1237" s="11">
        <f t="shared" si="524"/>
        <v>0</v>
      </c>
    </row>
    <row r="1238" spans="1:33" x14ac:dyDescent="0.15">
      <c r="A1238" s="27" t="s">
        <v>639</v>
      </c>
      <c r="B1238" s="8">
        <v>5</v>
      </c>
      <c r="C1238" s="9">
        <v>5</v>
      </c>
      <c r="D1238" s="10">
        <v>3</v>
      </c>
      <c r="E1238" s="11">
        <f t="shared" si="525"/>
        <v>13</v>
      </c>
      <c r="F1238" s="12"/>
      <c r="G1238" s="9"/>
      <c r="H1238" s="10"/>
      <c r="I1238" s="11">
        <f t="shared" si="529"/>
        <v>0</v>
      </c>
      <c r="J1238" s="11">
        <f t="shared" si="526"/>
        <v>13</v>
      </c>
      <c r="K1238" s="65">
        <v>42893</v>
      </c>
      <c r="W1238" s="27"/>
      <c r="X1238" s="8"/>
      <c r="Y1238" s="9"/>
      <c r="Z1238" s="10"/>
      <c r="AA1238" s="11">
        <f t="shared" si="527"/>
        <v>0</v>
      </c>
      <c r="AB1238" s="12"/>
      <c r="AC1238" s="9"/>
      <c r="AD1238" s="10"/>
      <c r="AE1238" s="11">
        <f t="shared" si="528"/>
        <v>0</v>
      </c>
      <c r="AF1238" s="11">
        <f t="shared" si="524"/>
        <v>0</v>
      </c>
    </row>
    <row r="1239" spans="1:33" x14ac:dyDescent="0.15">
      <c r="A1239" s="26" t="s">
        <v>67</v>
      </c>
      <c r="B1239" s="13"/>
      <c r="C1239" s="14"/>
      <c r="D1239" s="15"/>
      <c r="E1239" s="11">
        <f t="shared" si="525"/>
        <v>0</v>
      </c>
      <c r="F1239" s="16"/>
      <c r="G1239" s="14"/>
      <c r="H1239" s="15">
        <v>1</v>
      </c>
      <c r="I1239" s="11">
        <f t="shared" si="529"/>
        <v>1</v>
      </c>
      <c r="J1239" s="11">
        <f t="shared" si="526"/>
        <v>1</v>
      </c>
      <c r="K1239" s="71">
        <v>42892</v>
      </c>
      <c r="W1239" s="27"/>
      <c r="X1239" s="13"/>
      <c r="Y1239" s="14"/>
      <c r="Z1239" s="15"/>
      <c r="AA1239" s="11">
        <f t="shared" si="527"/>
        <v>0</v>
      </c>
      <c r="AB1239" s="16"/>
      <c r="AC1239" s="14"/>
      <c r="AD1239" s="15"/>
      <c r="AE1239" s="11">
        <f t="shared" si="528"/>
        <v>0</v>
      </c>
      <c r="AF1239" s="11">
        <f t="shared" si="524"/>
        <v>0</v>
      </c>
    </row>
    <row r="1240" spans="1:33" x14ac:dyDescent="0.15">
      <c r="A1240" s="27" t="s">
        <v>386</v>
      </c>
      <c r="B1240" s="8"/>
      <c r="C1240" s="9"/>
      <c r="D1240" s="10"/>
      <c r="E1240" s="11">
        <f t="shared" si="525"/>
        <v>0</v>
      </c>
      <c r="F1240" s="12"/>
      <c r="G1240" s="9">
        <v>2</v>
      </c>
      <c r="H1240" s="10">
        <v>2</v>
      </c>
      <c r="I1240" s="11">
        <f t="shared" si="529"/>
        <v>4</v>
      </c>
      <c r="J1240" s="11">
        <f t="shared" si="526"/>
        <v>4</v>
      </c>
      <c r="K1240" s="71">
        <v>42895</v>
      </c>
      <c r="W1240" s="86"/>
      <c r="X1240" s="13"/>
      <c r="Y1240" s="14"/>
      <c r="Z1240" s="15"/>
      <c r="AA1240" s="11">
        <f t="shared" si="527"/>
        <v>0</v>
      </c>
      <c r="AB1240" s="16"/>
      <c r="AC1240" s="14"/>
      <c r="AD1240" s="15"/>
      <c r="AE1240" s="11">
        <f t="shared" si="528"/>
        <v>0</v>
      </c>
      <c r="AF1240" s="11">
        <f t="shared" si="524"/>
        <v>0</v>
      </c>
      <c r="AG1240" s="64"/>
    </row>
    <row r="1241" spans="1:33" x14ac:dyDescent="0.15">
      <c r="A1241" s="29"/>
      <c r="B1241" s="8"/>
      <c r="C1241" s="9"/>
      <c r="D1241" s="10"/>
      <c r="E1241" s="11">
        <f t="shared" si="525"/>
        <v>0</v>
      </c>
      <c r="F1241" s="12"/>
      <c r="G1241" s="9"/>
      <c r="H1241" s="10"/>
      <c r="I1241" s="11">
        <f t="shared" si="529"/>
        <v>0</v>
      </c>
      <c r="J1241" s="11">
        <f t="shared" si="526"/>
        <v>0</v>
      </c>
      <c r="W1241" s="86"/>
      <c r="X1241" s="13"/>
      <c r="Y1241" s="14"/>
      <c r="Z1241" s="15"/>
      <c r="AA1241" s="11">
        <f t="shared" si="527"/>
        <v>0</v>
      </c>
      <c r="AB1241" s="16"/>
      <c r="AC1241" s="14"/>
      <c r="AD1241" s="15"/>
      <c r="AE1241" s="11">
        <f t="shared" si="528"/>
        <v>0</v>
      </c>
      <c r="AF1241" s="11">
        <f t="shared" si="524"/>
        <v>0</v>
      </c>
      <c r="AG1241" s="65"/>
    </row>
    <row r="1242" spans="1:33" x14ac:dyDescent="0.15">
      <c r="A1242" s="29"/>
      <c r="B1242" s="8"/>
      <c r="C1242" s="9"/>
      <c r="D1242" s="10"/>
      <c r="E1242" s="11">
        <f t="shared" si="525"/>
        <v>0</v>
      </c>
      <c r="F1242" s="12"/>
      <c r="G1242" s="9"/>
      <c r="H1242" s="10"/>
      <c r="I1242" s="11">
        <f t="shared" si="529"/>
        <v>0</v>
      </c>
      <c r="J1242" s="11">
        <f t="shared" si="526"/>
        <v>0</v>
      </c>
      <c r="W1242" s="86"/>
      <c r="X1242" s="13"/>
      <c r="Y1242" s="14"/>
      <c r="Z1242" s="15"/>
      <c r="AA1242" s="11">
        <f t="shared" si="527"/>
        <v>0</v>
      </c>
      <c r="AB1242" s="16"/>
      <c r="AC1242" s="14"/>
      <c r="AD1242" s="15"/>
      <c r="AE1242" s="11">
        <f t="shared" si="528"/>
        <v>0</v>
      </c>
      <c r="AF1242" s="11">
        <f t="shared" si="524"/>
        <v>0</v>
      </c>
      <c r="AG1242" s="64"/>
    </row>
    <row r="1243" spans="1:33" ht="14.25" thickBot="1" x14ac:dyDescent="0.2">
      <c r="A1243" s="29"/>
      <c r="B1243" s="8"/>
      <c r="C1243" s="9"/>
      <c r="D1243" s="10"/>
      <c r="E1243" s="11">
        <f t="shared" si="525"/>
        <v>0</v>
      </c>
      <c r="F1243" s="16"/>
      <c r="G1243" s="14"/>
      <c r="H1243" s="15"/>
      <c r="I1243" s="11">
        <f t="shared" si="529"/>
        <v>0</v>
      </c>
      <c r="J1243" s="11">
        <f t="shared" si="526"/>
        <v>0</v>
      </c>
      <c r="W1243" s="86"/>
      <c r="X1243" s="13"/>
      <c r="Y1243" s="14"/>
      <c r="Z1243" s="15"/>
      <c r="AA1243" s="11">
        <f t="shared" si="527"/>
        <v>0</v>
      </c>
      <c r="AB1243" s="16"/>
      <c r="AC1243" s="14"/>
      <c r="AD1243" s="15"/>
      <c r="AE1243" s="11">
        <f t="shared" si="528"/>
        <v>0</v>
      </c>
      <c r="AF1243" s="11">
        <f t="shared" si="524"/>
        <v>0</v>
      </c>
      <c r="AG1243" s="64"/>
    </row>
    <row r="1244" spans="1:33" ht="14.25" thickBot="1" x14ac:dyDescent="0.2">
      <c r="A1244" s="44" t="s">
        <v>13</v>
      </c>
      <c r="B1244" s="48">
        <f t="shared" ref="B1244:I1244" si="530">SUM(B1218:B1243)</f>
        <v>101</v>
      </c>
      <c r="C1244" s="49">
        <f t="shared" si="530"/>
        <v>75</v>
      </c>
      <c r="D1244" s="50">
        <f t="shared" si="530"/>
        <v>108</v>
      </c>
      <c r="E1244" s="46">
        <f t="shared" si="530"/>
        <v>284</v>
      </c>
      <c r="F1244" s="48">
        <f t="shared" si="530"/>
        <v>36</v>
      </c>
      <c r="G1244" s="49">
        <f t="shared" si="530"/>
        <v>35</v>
      </c>
      <c r="H1244" s="50">
        <f t="shared" si="530"/>
        <v>51</v>
      </c>
      <c r="I1244" s="46">
        <f t="shared" si="530"/>
        <v>122</v>
      </c>
      <c r="J1244" s="35">
        <f>E1244+I1244</f>
        <v>406</v>
      </c>
      <c r="W1244" s="44" t="s">
        <v>13</v>
      </c>
      <c r="X1244" s="48">
        <f t="shared" ref="X1244:AE1244" si="531">SUM(X1218:X1243)</f>
        <v>155</v>
      </c>
      <c r="Y1244" s="49">
        <f t="shared" si="531"/>
        <v>215</v>
      </c>
      <c r="Z1244" s="50">
        <f t="shared" si="531"/>
        <v>145</v>
      </c>
      <c r="AA1244" s="46">
        <f t="shared" si="531"/>
        <v>515</v>
      </c>
      <c r="AB1244" s="48">
        <f t="shared" si="531"/>
        <v>60</v>
      </c>
      <c r="AC1244" s="49">
        <f t="shared" si="531"/>
        <v>60</v>
      </c>
      <c r="AD1244" s="50">
        <f t="shared" si="531"/>
        <v>60</v>
      </c>
      <c r="AE1244" s="46">
        <f t="shared" si="531"/>
        <v>180</v>
      </c>
      <c r="AF1244" s="35">
        <f>AA1244+AE1244</f>
        <v>695</v>
      </c>
    </row>
    <row r="1245" spans="1:33" ht="14.25" thickBot="1" x14ac:dyDescent="0.2">
      <c r="A1245" s="23" t="s">
        <v>14</v>
      </c>
      <c r="B1245" s="24">
        <f t="shared" ref="B1245:J1245" si="532">B1217-B1244</f>
        <v>51</v>
      </c>
      <c r="C1245" s="25">
        <f t="shared" si="532"/>
        <v>25</v>
      </c>
      <c r="D1245" s="30">
        <f t="shared" si="532"/>
        <v>16</v>
      </c>
      <c r="E1245" s="51">
        <f t="shared" si="532"/>
        <v>92</v>
      </c>
      <c r="F1245" s="24">
        <f t="shared" si="532"/>
        <v>24</v>
      </c>
      <c r="G1245" s="25">
        <f t="shared" si="532"/>
        <v>43</v>
      </c>
      <c r="H1245" s="30">
        <f t="shared" si="532"/>
        <v>52</v>
      </c>
      <c r="I1245" s="47">
        <f t="shared" si="532"/>
        <v>119</v>
      </c>
      <c r="J1245" s="79">
        <f t="shared" si="532"/>
        <v>211</v>
      </c>
      <c r="W1245" s="23" t="s">
        <v>14</v>
      </c>
      <c r="X1245" s="24">
        <f t="shared" ref="X1245:AF1245" si="533">X1217-X1244</f>
        <v>909</v>
      </c>
      <c r="Y1245" s="25">
        <f t="shared" si="533"/>
        <v>1092</v>
      </c>
      <c r="Z1245" s="30">
        <f t="shared" si="533"/>
        <v>838</v>
      </c>
      <c r="AA1245" s="51">
        <f t="shared" si="533"/>
        <v>2839</v>
      </c>
      <c r="AB1245" s="24">
        <f t="shared" si="533"/>
        <v>140</v>
      </c>
      <c r="AC1245" s="25">
        <f t="shared" si="533"/>
        <v>135</v>
      </c>
      <c r="AD1245" s="30">
        <f t="shared" si="533"/>
        <v>53</v>
      </c>
      <c r="AE1245" s="47">
        <f t="shared" si="533"/>
        <v>328</v>
      </c>
      <c r="AF1245" s="79">
        <f t="shared" si="533"/>
        <v>3167</v>
      </c>
    </row>
    <row r="1248" spans="1:33" ht="19.5" thickBot="1" x14ac:dyDescent="0.25">
      <c r="A1248" s="93" t="s">
        <v>21</v>
      </c>
      <c r="B1248" s="94"/>
      <c r="C1248" s="94"/>
      <c r="D1248" s="94"/>
      <c r="E1248" s="94"/>
      <c r="F1248" s="1"/>
      <c r="G1248" s="1"/>
      <c r="H1248" s="1"/>
      <c r="I1248" s="1"/>
      <c r="J1248" s="1"/>
      <c r="W1248" s="93" t="s">
        <v>136</v>
      </c>
      <c r="X1248" s="94"/>
      <c r="Y1248" s="94"/>
      <c r="Z1248" s="94"/>
      <c r="AA1248" s="106" t="s">
        <v>299</v>
      </c>
      <c r="AB1248" s="1"/>
      <c r="AC1248" s="1"/>
      <c r="AD1248" s="1"/>
      <c r="AE1248" s="1"/>
      <c r="AF1248" s="1"/>
    </row>
    <row r="1249" spans="1:33" ht="14.25" thickBot="1" x14ac:dyDescent="0.2">
      <c r="A1249" s="7" t="s">
        <v>0</v>
      </c>
      <c r="B1249" s="168" t="s">
        <v>1</v>
      </c>
      <c r="C1249" s="169"/>
      <c r="D1249" s="169"/>
      <c r="E1249" s="170"/>
      <c r="F1249" s="168" t="s">
        <v>2</v>
      </c>
      <c r="G1249" s="169"/>
      <c r="H1249" s="169"/>
      <c r="I1249" s="171"/>
      <c r="J1249" s="172" t="s">
        <v>3</v>
      </c>
      <c r="W1249" s="7" t="s">
        <v>0</v>
      </c>
      <c r="X1249" s="174" t="s">
        <v>1</v>
      </c>
      <c r="Y1249" s="175"/>
      <c r="Z1249" s="176"/>
      <c r="AA1249" s="101"/>
      <c r="AB1249" s="174" t="s">
        <v>2</v>
      </c>
      <c r="AC1249" s="175"/>
      <c r="AD1249" s="176"/>
      <c r="AE1249" s="102"/>
      <c r="AF1249" s="103" t="s">
        <v>3</v>
      </c>
    </row>
    <row r="1250" spans="1:33" ht="14.25" thickBot="1" x14ac:dyDescent="0.2">
      <c r="A1250" s="7" t="s">
        <v>4</v>
      </c>
      <c r="B1250" s="3" t="s">
        <v>5</v>
      </c>
      <c r="C1250" s="4" t="s">
        <v>6</v>
      </c>
      <c r="D1250" s="5" t="s">
        <v>7</v>
      </c>
      <c r="E1250" s="7" t="s">
        <v>8</v>
      </c>
      <c r="F1250" s="3" t="s">
        <v>5</v>
      </c>
      <c r="G1250" s="4" t="s">
        <v>6</v>
      </c>
      <c r="H1250" s="5" t="s">
        <v>7</v>
      </c>
      <c r="I1250" s="7" t="s">
        <v>8</v>
      </c>
      <c r="J1250" s="173"/>
      <c r="W1250" s="7" t="s">
        <v>4</v>
      </c>
      <c r="X1250" s="3" t="s">
        <v>5</v>
      </c>
      <c r="Y1250" s="4" t="s">
        <v>6</v>
      </c>
      <c r="Z1250" s="5" t="s">
        <v>7</v>
      </c>
      <c r="AA1250" s="7" t="s">
        <v>8</v>
      </c>
      <c r="AB1250" s="107" t="s">
        <v>5</v>
      </c>
      <c r="AC1250" s="108" t="s">
        <v>6</v>
      </c>
      <c r="AD1250" s="109" t="s">
        <v>7</v>
      </c>
      <c r="AE1250" s="7" t="s">
        <v>8</v>
      </c>
      <c r="AF1250" s="104"/>
    </row>
    <row r="1251" spans="1:33" ht="14.25" thickBot="1" x14ac:dyDescent="0.2">
      <c r="A1251" s="31" t="s">
        <v>14</v>
      </c>
      <c r="B1251" s="32">
        <f>B1245</f>
        <v>51</v>
      </c>
      <c r="C1251" s="33">
        <f>C1245</f>
        <v>25</v>
      </c>
      <c r="D1251" s="34">
        <f>D1245</f>
        <v>16</v>
      </c>
      <c r="E1251" s="41">
        <f>SUM(B1251:D1251)</f>
        <v>92</v>
      </c>
      <c r="F1251" s="32">
        <f>F1245</f>
        <v>24</v>
      </c>
      <c r="G1251" s="33">
        <f>G1245</f>
        <v>43</v>
      </c>
      <c r="H1251" s="34">
        <f>H1245</f>
        <v>52</v>
      </c>
      <c r="I1251" s="41">
        <f>SUM(F1251:H1251)</f>
        <v>119</v>
      </c>
      <c r="J1251" s="41">
        <f>E1251+I1251</f>
        <v>211</v>
      </c>
      <c r="W1251" s="31" t="s">
        <v>14</v>
      </c>
      <c r="X1251" s="32">
        <f>X1245</f>
        <v>909</v>
      </c>
      <c r="Y1251" s="33">
        <f>Y1245</f>
        <v>1092</v>
      </c>
      <c r="Z1251" s="33">
        <f>Z1245</f>
        <v>838</v>
      </c>
      <c r="AA1251" s="111">
        <f>SUM(X1251:Z1251)</f>
        <v>2839</v>
      </c>
      <c r="AB1251" s="32">
        <f>AB1245</f>
        <v>140</v>
      </c>
      <c r="AC1251" s="33">
        <f>AC1245</f>
        <v>135</v>
      </c>
      <c r="AD1251" s="95">
        <f>AD1245</f>
        <v>53</v>
      </c>
      <c r="AE1251" s="46">
        <f>SUM(AB1251:AD1251)</f>
        <v>328</v>
      </c>
      <c r="AF1251" s="35">
        <f>AA1251+AE1251</f>
        <v>3167</v>
      </c>
    </row>
    <row r="1252" spans="1:33" x14ac:dyDescent="0.15">
      <c r="A1252" s="28" t="s">
        <v>9</v>
      </c>
      <c r="B1252" s="17">
        <v>50</v>
      </c>
      <c r="C1252" s="18">
        <v>50</v>
      </c>
      <c r="D1252" s="19">
        <v>100</v>
      </c>
      <c r="E1252" s="20">
        <f t="shared" ref="E1252:E1259" si="534">SUM(B1252:D1252)</f>
        <v>200</v>
      </c>
      <c r="F1252" s="21">
        <v>50</v>
      </c>
      <c r="G1252" s="18">
        <v>50</v>
      </c>
      <c r="H1252" s="19">
        <v>50</v>
      </c>
      <c r="I1252" s="20">
        <f t="shared" ref="I1252:I1259" si="535">SUM(F1252:H1252)</f>
        <v>150</v>
      </c>
      <c r="J1252" s="20">
        <f t="shared" ref="J1252:J1259" si="536">E1252+I1252</f>
        <v>350</v>
      </c>
      <c r="K1252" s="65">
        <v>42894</v>
      </c>
      <c r="W1252" s="28" t="s">
        <v>9</v>
      </c>
      <c r="X1252" s="8"/>
      <c r="Y1252" s="9"/>
      <c r="Z1252" s="10"/>
      <c r="AA1252" s="78">
        <f t="shared" ref="AA1252:AA1259" si="537">SUM(X1252:Z1252)</f>
        <v>0</v>
      </c>
      <c r="AB1252" s="21"/>
      <c r="AC1252" s="18"/>
      <c r="AD1252" s="19"/>
      <c r="AE1252" s="78">
        <f t="shared" ref="AE1252:AE1259" si="538">SUM(AB1252:AD1252)</f>
        <v>0</v>
      </c>
      <c r="AF1252" s="78">
        <f t="shared" ref="AF1252:AF1259" si="539">AA1252+AE1252</f>
        <v>0</v>
      </c>
    </row>
    <row r="1253" spans="1:33" x14ac:dyDescent="0.15">
      <c r="A1253" s="28" t="s">
        <v>10</v>
      </c>
      <c r="B1253" s="8"/>
      <c r="C1253" s="9">
        <v>50</v>
      </c>
      <c r="D1253" s="10"/>
      <c r="E1253" s="11">
        <f t="shared" si="534"/>
        <v>50</v>
      </c>
      <c r="F1253" s="12"/>
      <c r="G1253" s="9"/>
      <c r="H1253" s="10"/>
      <c r="I1253" s="11">
        <f t="shared" si="535"/>
        <v>0</v>
      </c>
      <c r="J1253" s="11">
        <f t="shared" si="536"/>
        <v>50</v>
      </c>
      <c r="K1253" s="65">
        <v>42899</v>
      </c>
      <c r="W1253" s="28" t="s">
        <v>10</v>
      </c>
      <c r="X1253" s="8"/>
      <c r="Y1253" s="9"/>
      <c r="Z1253" s="10"/>
      <c r="AA1253" s="11">
        <f t="shared" si="537"/>
        <v>0</v>
      </c>
      <c r="AB1253" s="12"/>
      <c r="AC1253" s="9"/>
      <c r="AD1253" s="10">
        <v>130</v>
      </c>
      <c r="AE1253" s="11">
        <f t="shared" si="538"/>
        <v>130</v>
      </c>
      <c r="AF1253" s="11">
        <f t="shared" si="539"/>
        <v>130</v>
      </c>
      <c r="AG1253" s="65">
        <v>42893</v>
      </c>
    </row>
    <row r="1254" spans="1:33" x14ac:dyDescent="0.15">
      <c r="A1254" s="28" t="s">
        <v>11</v>
      </c>
      <c r="B1254" s="8">
        <v>50</v>
      </c>
      <c r="C1254" s="9">
        <v>50</v>
      </c>
      <c r="D1254" s="10"/>
      <c r="E1254" s="11">
        <f t="shared" si="534"/>
        <v>100</v>
      </c>
      <c r="F1254" s="12">
        <v>50</v>
      </c>
      <c r="G1254" s="9">
        <v>50</v>
      </c>
      <c r="H1254" s="10"/>
      <c r="I1254" s="11">
        <f t="shared" si="535"/>
        <v>100</v>
      </c>
      <c r="J1254" s="11">
        <f t="shared" si="536"/>
        <v>200</v>
      </c>
      <c r="K1254" s="65">
        <v>42898</v>
      </c>
      <c r="W1254" s="28" t="s">
        <v>11</v>
      </c>
      <c r="X1254" s="8"/>
      <c r="Y1254" s="9"/>
      <c r="Z1254" s="10"/>
      <c r="AA1254" s="11">
        <f t="shared" si="537"/>
        <v>0</v>
      </c>
      <c r="AB1254" s="12"/>
      <c r="AC1254" s="9"/>
      <c r="AD1254" s="10"/>
      <c r="AE1254" s="11">
        <f t="shared" si="538"/>
        <v>0</v>
      </c>
      <c r="AF1254" s="11">
        <f t="shared" si="539"/>
        <v>0</v>
      </c>
    </row>
    <row r="1255" spans="1:33" x14ac:dyDescent="0.15">
      <c r="A1255" s="28" t="s">
        <v>12</v>
      </c>
      <c r="B1255" s="8"/>
      <c r="C1255" s="9"/>
      <c r="D1255" s="10">
        <v>50</v>
      </c>
      <c r="E1255" s="11">
        <f t="shared" si="534"/>
        <v>50</v>
      </c>
      <c r="F1255" s="12"/>
      <c r="G1255" s="9"/>
      <c r="H1255" s="10"/>
      <c r="I1255" s="11">
        <f t="shared" si="535"/>
        <v>0</v>
      </c>
      <c r="J1255" s="11">
        <f t="shared" si="536"/>
        <v>50</v>
      </c>
      <c r="K1255" s="65">
        <v>42899</v>
      </c>
      <c r="W1255" s="28" t="s">
        <v>12</v>
      </c>
      <c r="X1255" s="8"/>
      <c r="Y1255" s="9"/>
      <c r="Z1255" s="10"/>
      <c r="AA1255" s="11">
        <f t="shared" si="537"/>
        <v>0</v>
      </c>
      <c r="AB1255" s="12"/>
      <c r="AC1255" s="9"/>
      <c r="AD1255" s="10"/>
      <c r="AE1255" s="11">
        <f t="shared" si="538"/>
        <v>0</v>
      </c>
      <c r="AF1255" s="11">
        <f t="shared" si="539"/>
        <v>0</v>
      </c>
    </row>
    <row r="1256" spans="1:33" x14ac:dyDescent="0.15">
      <c r="A1256" s="28" t="s">
        <v>15</v>
      </c>
      <c r="B1256" s="8"/>
      <c r="C1256" s="9">
        <v>50</v>
      </c>
      <c r="D1256" s="10"/>
      <c r="E1256" s="11">
        <f t="shared" si="534"/>
        <v>50</v>
      </c>
      <c r="F1256" s="12"/>
      <c r="G1256" s="9"/>
      <c r="H1256" s="10"/>
      <c r="I1256" s="11">
        <f t="shared" si="535"/>
        <v>0</v>
      </c>
      <c r="J1256" s="11">
        <f t="shared" si="536"/>
        <v>50</v>
      </c>
      <c r="K1256" s="65">
        <v>42900</v>
      </c>
      <c r="W1256" s="28" t="s">
        <v>15</v>
      </c>
      <c r="X1256" s="8"/>
      <c r="Y1256" s="9"/>
      <c r="Z1256" s="10"/>
      <c r="AA1256" s="11">
        <f t="shared" si="537"/>
        <v>0</v>
      </c>
      <c r="AB1256" s="12"/>
      <c r="AC1256" s="9"/>
      <c r="AD1256" s="10"/>
      <c r="AE1256" s="11">
        <f t="shared" si="538"/>
        <v>0</v>
      </c>
      <c r="AF1256" s="11">
        <f t="shared" si="539"/>
        <v>0</v>
      </c>
      <c r="AG1256" s="64"/>
    </row>
    <row r="1257" spans="1:33" x14ac:dyDescent="0.15">
      <c r="A1257" s="28" t="s">
        <v>16</v>
      </c>
      <c r="B1257" s="8"/>
      <c r="C1257" s="9">
        <v>50</v>
      </c>
      <c r="D1257" s="10">
        <v>50</v>
      </c>
      <c r="E1257" s="11">
        <f t="shared" si="534"/>
        <v>100</v>
      </c>
      <c r="F1257" s="12"/>
      <c r="G1257" s="9"/>
      <c r="H1257" s="10"/>
      <c r="I1257" s="11">
        <f t="shared" si="535"/>
        <v>0</v>
      </c>
      <c r="J1257" s="11">
        <f t="shared" si="536"/>
        <v>100</v>
      </c>
      <c r="K1257" s="65">
        <v>42903</v>
      </c>
      <c r="W1257" s="28" t="s">
        <v>16</v>
      </c>
      <c r="X1257" s="8"/>
      <c r="Y1257" s="9"/>
      <c r="Z1257" s="10"/>
      <c r="AA1257" s="11">
        <f t="shared" si="537"/>
        <v>0</v>
      </c>
      <c r="AB1257" s="12"/>
      <c r="AC1257" s="9"/>
      <c r="AD1257" s="10"/>
      <c r="AE1257" s="11">
        <f t="shared" si="538"/>
        <v>0</v>
      </c>
      <c r="AF1257" s="11">
        <f t="shared" si="539"/>
        <v>0</v>
      </c>
    </row>
    <row r="1258" spans="1:33" x14ac:dyDescent="0.15">
      <c r="A1258" s="28" t="s">
        <v>104</v>
      </c>
      <c r="B1258" s="13">
        <v>6</v>
      </c>
      <c r="C1258" s="14">
        <v>19</v>
      </c>
      <c r="D1258" s="15"/>
      <c r="E1258" s="11">
        <f t="shared" si="534"/>
        <v>25</v>
      </c>
      <c r="F1258" s="16">
        <v>9</v>
      </c>
      <c r="G1258" s="14">
        <v>2</v>
      </c>
      <c r="H1258" s="15">
        <v>7</v>
      </c>
      <c r="I1258" s="11">
        <f t="shared" si="535"/>
        <v>18</v>
      </c>
      <c r="J1258" s="11">
        <f t="shared" si="536"/>
        <v>43</v>
      </c>
      <c r="K1258" s="71">
        <v>42909</v>
      </c>
      <c r="W1258" s="28" t="s">
        <v>17</v>
      </c>
      <c r="X1258" s="8"/>
      <c r="Y1258" s="9"/>
      <c r="Z1258" s="10"/>
      <c r="AA1258" s="11">
        <f t="shared" si="537"/>
        <v>0</v>
      </c>
      <c r="AB1258" s="12"/>
      <c r="AC1258" s="12"/>
      <c r="AD1258" s="87"/>
      <c r="AE1258" s="11">
        <f t="shared" si="538"/>
        <v>0</v>
      </c>
      <c r="AF1258" s="11">
        <f t="shared" si="539"/>
        <v>0</v>
      </c>
    </row>
    <row r="1259" spans="1:33" ht="14.25" thickBot="1" x14ac:dyDescent="0.2">
      <c r="A1259" s="28" t="s">
        <v>104</v>
      </c>
      <c r="B1259" s="36">
        <v>5</v>
      </c>
      <c r="C1259" s="37">
        <v>8</v>
      </c>
      <c r="D1259" s="40">
        <v>4</v>
      </c>
      <c r="E1259" s="22">
        <f t="shared" si="534"/>
        <v>17</v>
      </c>
      <c r="F1259" s="38">
        <v>1</v>
      </c>
      <c r="G1259" s="38">
        <v>2</v>
      </c>
      <c r="H1259" s="43">
        <v>1</v>
      </c>
      <c r="I1259" s="22">
        <f t="shared" si="535"/>
        <v>4</v>
      </c>
      <c r="J1259" s="22">
        <f t="shared" si="536"/>
        <v>21</v>
      </c>
      <c r="K1259" s="65">
        <v>42929</v>
      </c>
      <c r="W1259" s="28" t="s">
        <v>18</v>
      </c>
      <c r="X1259" s="127"/>
      <c r="Y1259" s="128"/>
      <c r="Z1259" s="129"/>
      <c r="AA1259" s="130">
        <f t="shared" si="537"/>
        <v>0</v>
      </c>
      <c r="AB1259" s="131"/>
      <c r="AC1259" s="131"/>
      <c r="AD1259" s="132"/>
      <c r="AE1259" s="130">
        <f t="shared" si="538"/>
        <v>0</v>
      </c>
      <c r="AF1259" s="130">
        <f t="shared" si="539"/>
        <v>0</v>
      </c>
    </row>
    <row r="1260" spans="1:33" ht="14.25" thickBot="1" x14ac:dyDescent="0.2">
      <c r="A1260" s="39" t="s">
        <v>20</v>
      </c>
      <c r="B1260" s="32">
        <f t="shared" ref="B1260:J1260" si="540">SUM(B1251:B1259)</f>
        <v>162</v>
      </c>
      <c r="C1260" s="33">
        <f t="shared" si="540"/>
        <v>302</v>
      </c>
      <c r="D1260" s="34">
        <f t="shared" si="540"/>
        <v>220</v>
      </c>
      <c r="E1260" s="42">
        <f t="shared" si="540"/>
        <v>684</v>
      </c>
      <c r="F1260" s="32">
        <f t="shared" si="540"/>
        <v>134</v>
      </c>
      <c r="G1260" s="33">
        <f t="shared" si="540"/>
        <v>147</v>
      </c>
      <c r="H1260" s="34">
        <f t="shared" si="540"/>
        <v>110</v>
      </c>
      <c r="I1260" s="42">
        <f t="shared" si="540"/>
        <v>391</v>
      </c>
      <c r="J1260" s="42">
        <f t="shared" si="540"/>
        <v>1075</v>
      </c>
      <c r="W1260" s="39" t="s">
        <v>20</v>
      </c>
      <c r="X1260" s="32">
        <f t="shared" ref="X1260:AF1260" si="541">SUM(X1251:X1259)</f>
        <v>909</v>
      </c>
      <c r="Y1260" s="33">
        <f t="shared" si="541"/>
        <v>1092</v>
      </c>
      <c r="Z1260" s="34">
        <f t="shared" si="541"/>
        <v>838</v>
      </c>
      <c r="AA1260" s="42">
        <f t="shared" si="541"/>
        <v>2839</v>
      </c>
      <c r="AB1260" s="32">
        <f t="shared" si="541"/>
        <v>140</v>
      </c>
      <c r="AC1260" s="33">
        <f t="shared" si="541"/>
        <v>135</v>
      </c>
      <c r="AD1260" s="34">
        <f t="shared" si="541"/>
        <v>183</v>
      </c>
      <c r="AE1260" s="42">
        <f t="shared" si="541"/>
        <v>458</v>
      </c>
      <c r="AF1260" s="42">
        <f t="shared" si="541"/>
        <v>3297</v>
      </c>
    </row>
    <row r="1261" spans="1:33" x14ac:dyDescent="0.15">
      <c r="A1261" s="29" t="s">
        <v>638</v>
      </c>
      <c r="B1261" s="13">
        <v>40</v>
      </c>
      <c r="C1261" s="14">
        <v>60</v>
      </c>
      <c r="D1261" s="15">
        <v>60</v>
      </c>
      <c r="E1261" s="11">
        <f>SUM(B1261:D1261)</f>
        <v>160</v>
      </c>
      <c r="F1261" s="16">
        <v>40</v>
      </c>
      <c r="G1261" s="14">
        <v>60</v>
      </c>
      <c r="H1261" s="15">
        <v>40</v>
      </c>
      <c r="I1261" s="11">
        <f>SUM(F1261:H1261)</f>
        <v>140</v>
      </c>
      <c r="J1261" s="11">
        <f>E1261+I1261</f>
        <v>300</v>
      </c>
      <c r="K1261" s="65">
        <v>42899</v>
      </c>
      <c r="W1261" s="28" t="s">
        <v>634</v>
      </c>
      <c r="X1261" s="13">
        <v>50</v>
      </c>
      <c r="Y1261" s="14">
        <v>50</v>
      </c>
      <c r="Z1261" s="15">
        <v>100</v>
      </c>
      <c r="AA1261" s="11">
        <f>SUM(X1261:Z1261)</f>
        <v>200</v>
      </c>
      <c r="AB1261" s="16">
        <v>50</v>
      </c>
      <c r="AC1261" s="14">
        <v>50</v>
      </c>
      <c r="AD1261" s="15">
        <v>50</v>
      </c>
      <c r="AE1261" s="11">
        <f>SUM(AB1261:AD1261)</f>
        <v>150</v>
      </c>
      <c r="AF1261" s="11">
        <f t="shared" ref="AF1261:AF1285" si="542">AA1261+AE1261</f>
        <v>350</v>
      </c>
      <c r="AG1261" s="65">
        <v>42894</v>
      </c>
    </row>
    <row r="1262" spans="1:33" x14ac:dyDescent="0.15">
      <c r="A1262" s="29" t="s">
        <v>640</v>
      </c>
      <c r="B1262" s="13">
        <v>20</v>
      </c>
      <c r="C1262" s="14">
        <v>20</v>
      </c>
      <c r="D1262" s="15">
        <v>15</v>
      </c>
      <c r="E1262" s="11">
        <f t="shared" ref="E1262:E1286" si="543">SUM(B1262:D1262)</f>
        <v>55</v>
      </c>
      <c r="F1262" s="16">
        <v>15</v>
      </c>
      <c r="G1262" s="14">
        <v>15</v>
      </c>
      <c r="H1262" s="15">
        <v>10</v>
      </c>
      <c r="I1262" s="11">
        <f>SUM(F1262:H1262)</f>
        <v>40</v>
      </c>
      <c r="J1262" s="11">
        <f t="shared" ref="J1262:J1286" si="544">E1262+I1262</f>
        <v>95</v>
      </c>
      <c r="K1262" s="65">
        <v>42902</v>
      </c>
      <c r="W1262" s="28" t="s">
        <v>41</v>
      </c>
      <c r="X1262" s="8"/>
      <c r="Y1262" s="9">
        <v>50</v>
      </c>
      <c r="Z1262" s="10"/>
      <c r="AA1262" s="11">
        <f>SUM(X1262:Z1262)</f>
        <v>50</v>
      </c>
      <c r="AB1262" s="12"/>
      <c r="AC1262" s="9"/>
      <c r="AD1262" s="10"/>
      <c r="AE1262" s="11">
        <f>SUM(AB1262:AD1262)</f>
        <v>0</v>
      </c>
      <c r="AF1262" s="11">
        <f t="shared" si="542"/>
        <v>50</v>
      </c>
      <c r="AG1262" s="65">
        <v>42899</v>
      </c>
    </row>
    <row r="1263" spans="1:33" x14ac:dyDescent="0.15">
      <c r="A1263" s="27" t="s">
        <v>642</v>
      </c>
      <c r="B1263" s="8">
        <v>30</v>
      </c>
      <c r="C1263" s="9">
        <v>15</v>
      </c>
      <c r="D1263" s="10">
        <v>30</v>
      </c>
      <c r="E1263" s="11">
        <f t="shared" si="543"/>
        <v>75</v>
      </c>
      <c r="F1263" s="12">
        <v>15</v>
      </c>
      <c r="G1263" s="9">
        <v>25</v>
      </c>
      <c r="H1263" s="10">
        <v>20</v>
      </c>
      <c r="I1263" s="11">
        <f>SUM(F1263:H1263)</f>
        <v>60</v>
      </c>
      <c r="J1263" s="11">
        <f t="shared" si="544"/>
        <v>135</v>
      </c>
      <c r="K1263" s="65">
        <v>42896</v>
      </c>
      <c r="W1263" s="28" t="s">
        <v>41</v>
      </c>
      <c r="X1263" s="8">
        <v>50</v>
      </c>
      <c r="Y1263" s="9">
        <v>50</v>
      </c>
      <c r="Z1263" s="10"/>
      <c r="AA1263" s="11">
        <f t="shared" ref="AA1263:AA1285" si="545">SUM(X1263:Z1263)</f>
        <v>100</v>
      </c>
      <c r="AB1263" s="12">
        <v>50</v>
      </c>
      <c r="AC1263" s="9">
        <v>50</v>
      </c>
      <c r="AD1263" s="10"/>
      <c r="AE1263" s="11">
        <f t="shared" ref="AE1263:AE1285" si="546">SUM(AB1263:AD1263)</f>
        <v>100</v>
      </c>
      <c r="AF1263" s="11">
        <f t="shared" si="542"/>
        <v>200</v>
      </c>
      <c r="AG1263" s="65">
        <v>42898</v>
      </c>
    </row>
    <row r="1264" spans="1:33" x14ac:dyDescent="0.15">
      <c r="A1264" s="27" t="s">
        <v>641</v>
      </c>
      <c r="B1264" s="8"/>
      <c r="C1264" s="9">
        <v>50</v>
      </c>
      <c r="D1264" s="10"/>
      <c r="E1264" s="11">
        <f t="shared" si="543"/>
        <v>50</v>
      </c>
      <c r="F1264" s="12"/>
      <c r="G1264" s="9"/>
      <c r="H1264" s="10"/>
      <c r="I1264" s="11">
        <f>SUM(F1264:H1264)</f>
        <v>0</v>
      </c>
      <c r="J1264" s="11">
        <f t="shared" si="544"/>
        <v>50</v>
      </c>
      <c r="K1264" s="65">
        <v>42899</v>
      </c>
      <c r="W1264" s="28" t="s">
        <v>41</v>
      </c>
      <c r="X1264" s="8"/>
      <c r="Y1264" s="9"/>
      <c r="Z1264" s="10">
        <v>50</v>
      </c>
      <c r="AA1264" s="11">
        <f t="shared" si="545"/>
        <v>50</v>
      </c>
      <c r="AB1264" s="12"/>
      <c r="AC1264" s="9"/>
      <c r="AD1264" s="10"/>
      <c r="AE1264" s="11">
        <f t="shared" si="546"/>
        <v>0</v>
      </c>
      <c r="AF1264" s="11">
        <f t="shared" si="542"/>
        <v>50</v>
      </c>
      <c r="AG1264" s="65">
        <v>42899</v>
      </c>
    </row>
    <row r="1265" spans="1:33" x14ac:dyDescent="0.15">
      <c r="A1265" s="27" t="s">
        <v>626</v>
      </c>
      <c r="B1265" s="8"/>
      <c r="C1265" s="9"/>
      <c r="D1265" s="10">
        <v>19</v>
      </c>
      <c r="E1265" s="11">
        <f t="shared" si="543"/>
        <v>19</v>
      </c>
      <c r="F1265" s="12">
        <v>3</v>
      </c>
      <c r="G1265" s="9"/>
      <c r="H1265" s="10"/>
      <c r="I1265" s="11">
        <f>SUM(F1265:H1265)</f>
        <v>3</v>
      </c>
      <c r="J1265" s="11">
        <f t="shared" si="544"/>
        <v>22</v>
      </c>
      <c r="K1265" s="65">
        <v>42899</v>
      </c>
      <c r="L1265" s="64"/>
      <c r="W1265" s="28" t="s">
        <v>41</v>
      </c>
      <c r="X1265" s="8"/>
      <c r="Y1265" s="9">
        <v>50</v>
      </c>
      <c r="Z1265" s="10"/>
      <c r="AA1265" s="11">
        <f t="shared" si="545"/>
        <v>50</v>
      </c>
      <c r="AB1265" s="12"/>
      <c r="AC1265" s="9"/>
      <c r="AD1265" s="10"/>
      <c r="AE1265" s="11">
        <f t="shared" si="546"/>
        <v>0</v>
      </c>
      <c r="AF1265" s="11">
        <f t="shared" si="542"/>
        <v>50</v>
      </c>
      <c r="AG1265" s="65">
        <v>42900</v>
      </c>
    </row>
    <row r="1266" spans="1:33" x14ac:dyDescent="0.15">
      <c r="A1266" s="27" t="s">
        <v>386</v>
      </c>
      <c r="B1266" s="8">
        <v>15</v>
      </c>
      <c r="C1266" s="9">
        <v>30</v>
      </c>
      <c r="D1266" s="10">
        <v>15</v>
      </c>
      <c r="E1266" s="139">
        <f t="shared" si="543"/>
        <v>60</v>
      </c>
      <c r="F1266" s="140">
        <v>10</v>
      </c>
      <c r="G1266" s="140">
        <v>10</v>
      </c>
      <c r="H1266" s="10">
        <v>10</v>
      </c>
      <c r="I1266" s="11">
        <f t="shared" ref="I1266:I1286" si="547">SUM(F1266:H1266)</f>
        <v>30</v>
      </c>
      <c r="J1266" s="11">
        <f t="shared" si="544"/>
        <v>90</v>
      </c>
      <c r="K1266" s="65">
        <v>42900</v>
      </c>
      <c r="W1266" s="28" t="s">
        <v>182</v>
      </c>
      <c r="X1266" s="8"/>
      <c r="Y1266" s="9">
        <v>50</v>
      </c>
      <c r="Z1266" s="10">
        <v>50</v>
      </c>
      <c r="AA1266" s="11">
        <f t="shared" si="545"/>
        <v>100</v>
      </c>
      <c r="AB1266" s="12"/>
      <c r="AC1266" s="9"/>
      <c r="AD1266" s="10"/>
      <c r="AE1266" s="11">
        <f t="shared" si="546"/>
        <v>0</v>
      </c>
      <c r="AF1266" s="11">
        <f t="shared" si="542"/>
        <v>100</v>
      </c>
      <c r="AG1266" s="65">
        <v>42903</v>
      </c>
    </row>
    <row r="1267" spans="1:33" x14ac:dyDescent="0.15">
      <c r="A1267" s="29" t="s">
        <v>643</v>
      </c>
      <c r="B1267" s="8"/>
      <c r="C1267" s="9">
        <v>32</v>
      </c>
      <c r="D1267" s="10">
        <v>27</v>
      </c>
      <c r="E1267" s="11">
        <f t="shared" si="543"/>
        <v>59</v>
      </c>
      <c r="F1267" s="12"/>
      <c r="G1267" s="9"/>
      <c r="H1267" s="10"/>
      <c r="I1267" s="11">
        <f t="shared" si="547"/>
        <v>0</v>
      </c>
      <c r="J1267" s="11">
        <f t="shared" si="544"/>
        <v>59</v>
      </c>
      <c r="K1267" s="65">
        <v>42903</v>
      </c>
      <c r="W1267" s="29"/>
      <c r="X1267" s="8"/>
      <c r="Y1267" s="9"/>
      <c r="Z1267" s="10"/>
      <c r="AA1267" s="11">
        <f t="shared" si="545"/>
        <v>0</v>
      </c>
      <c r="AB1267" s="12"/>
      <c r="AC1267" s="9"/>
      <c r="AD1267" s="10"/>
      <c r="AE1267" s="11">
        <f t="shared" si="546"/>
        <v>0</v>
      </c>
      <c r="AF1267" s="11">
        <f t="shared" si="542"/>
        <v>0</v>
      </c>
    </row>
    <row r="1268" spans="1:33" x14ac:dyDescent="0.15">
      <c r="A1268" s="27" t="s">
        <v>644</v>
      </c>
      <c r="B1268" s="8">
        <v>5</v>
      </c>
      <c r="C1268" s="9">
        <v>15</v>
      </c>
      <c r="D1268" s="10"/>
      <c r="E1268" s="11">
        <f t="shared" si="543"/>
        <v>20</v>
      </c>
      <c r="F1268" s="12">
        <v>5</v>
      </c>
      <c r="G1268" s="9">
        <v>5</v>
      </c>
      <c r="H1268" s="10">
        <v>5</v>
      </c>
      <c r="I1268" s="11">
        <f t="shared" si="547"/>
        <v>15</v>
      </c>
      <c r="J1268" s="11">
        <f t="shared" si="544"/>
        <v>35</v>
      </c>
      <c r="K1268" s="65">
        <v>42903</v>
      </c>
      <c r="W1268" s="29"/>
      <c r="X1268" s="8"/>
      <c r="Y1268" s="9"/>
      <c r="Z1268" s="10"/>
      <c r="AA1268" s="11">
        <f t="shared" si="545"/>
        <v>0</v>
      </c>
      <c r="AB1268" s="12"/>
      <c r="AC1268" s="9"/>
      <c r="AD1268" s="10"/>
      <c r="AE1268" s="11">
        <f t="shared" si="546"/>
        <v>0</v>
      </c>
      <c r="AF1268" s="11">
        <f t="shared" si="542"/>
        <v>0</v>
      </c>
    </row>
    <row r="1269" spans="1:33" x14ac:dyDescent="0.15">
      <c r="A1269" s="27" t="s">
        <v>386</v>
      </c>
      <c r="B1269" s="13"/>
      <c r="C1269" s="14"/>
      <c r="D1269" s="10">
        <v>15</v>
      </c>
      <c r="E1269" s="11">
        <f t="shared" si="543"/>
        <v>15</v>
      </c>
      <c r="F1269" s="16"/>
      <c r="G1269" s="14"/>
      <c r="H1269" s="15"/>
      <c r="I1269" s="11">
        <f t="shared" si="547"/>
        <v>0</v>
      </c>
      <c r="J1269" s="11">
        <f t="shared" si="544"/>
        <v>15</v>
      </c>
      <c r="K1269" s="65">
        <v>42905</v>
      </c>
      <c r="W1269" s="27"/>
      <c r="X1269" s="8"/>
      <c r="Y1269" s="9"/>
      <c r="Z1269" s="10"/>
      <c r="AA1269" s="11">
        <f t="shared" si="545"/>
        <v>0</v>
      </c>
      <c r="AB1269" s="12"/>
      <c r="AC1269" s="9"/>
      <c r="AD1269" s="10"/>
      <c r="AE1269" s="11">
        <f t="shared" si="546"/>
        <v>0</v>
      </c>
      <c r="AF1269" s="11">
        <f t="shared" si="542"/>
        <v>0</v>
      </c>
    </row>
    <row r="1270" spans="1:33" x14ac:dyDescent="0.15">
      <c r="A1270" s="27" t="s">
        <v>646</v>
      </c>
      <c r="B1270" s="13"/>
      <c r="C1270" s="14">
        <v>10</v>
      </c>
      <c r="D1270" s="15">
        <v>10</v>
      </c>
      <c r="E1270" s="11">
        <f t="shared" si="543"/>
        <v>20</v>
      </c>
      <c r="F1270" s="16"/>
      <c r="G1270" s="14"/>
      <c r="H1270" s="15"/>
      <c r="I1270" s="11">
        <f t="shared" si="547"/>
        <v>0</v>
      </c>
      <c r="J1270" s="11">
        <f t="shared" si="544"/>
        <v>20</v>
      </c>
      <c r="K1270" s="65">
        <v>42906</v>
      </c>
      <c r="W1270" s="29"/>
      <c r="X1270" s="13"/>
      <c r="Y1270" s="14"/>
      <c r="Z1270" s="15"/>
      <c r="AA1270" s="11">
        <f t="shared" si="545"/>
        <v>0</v>
      </c>
      <c r="AB1270" s="16"/>
      <c r="AC1270" s="14"/>
      <c r="AD1270" s="15"/>
      <c r="AE1270" s="11">
        <f t="shared" si="546"/>
        <v>0</v>
      </c>
      <c r="AF1270" s="11">
        <f t="shared" si="542"/>
        <v>0</v>
      </c>
    </row>
    <row r="1271" spans="1:33" x14ac:dyDescent="0.15">
      <c r="A1271" s="29" t="s">
        <v>648</v>
      </c>
      <c r="B1271" s="8"/>
      <c r="C1271" s="9"/>
      <c r="D1271" s="10"/>
      <c r="E1271" s="11">
        <f t="shared" si="543"/>
        <v>0</v>
      </c>
      <c r="F1271" s="12">
        <v>3</v>
      </c>
      <c r="G1271" s="9"/>
      <c r="H1271" s="10"/>
      <c r="I1271" s="11">
        <f t="shared" si="547"/>
        <v>3</v>
      </c>
      <c r="J1271" s="11">
        <f t="shared" si="544"/>
        <v>3</v>
      </c>
      <c r="K1271" s="65">
        <v>42906</v>
      </c>
      <c r="W1271" s="29"/>
      <c r="X1271" s="8"/>
      <c r="Y1271" s="9"/>
      <c r="Z1271" s="10"/>
      <c r="AA1271" s="11">
        <f t="shared" si="545"/>
        <v>0</v>
      </c>
      <c r="AB1271" s="12"/>
      <c r="AC1271" s="9"/>
      <c r="AD1271" s="10"/>
      <c r="AE1271" s="11">
        <f t="shared" si="546"/>
        <v>0</v>
      </c>
      <c r="AF1271" s="11">
        <f t="shared" si="542"/>
        <v>0</v>
      </c>
    </row>
    <row r="1272" spans="1:33" x14ac:dyDescent="0.15">
      <c r="A1272" s="29" t="s">
        <v>647</v>
      </c>
      <c r="B1272" s="8"/>
      <c r="C1272" s="9"/>
      <c r="D1272" s="10"/>
      <c r="E1272" s="11">
        <f t="shared" si="543"/>
        <v>0</v>
      </c>
      <c r="F1272" s="12"/>
      <c r="G1272" s="9"/>
      <c r="H1272" s="10">
        <v>1</v>
      </c>
      <c r="I1272" s="11">
        <f t="shared" si="547"/>
        <v>1</v>
      </c>
      <c r="J1272" s="11">
        <f t="shared" si="544"/>
        <v>1</v>
      </c>
      <c r="K1272" s="71">
        <v>42907</v>
      </c>
      <c r="W1272" s="29"/>
      <c r="X1272" s="8"/>
      <c r="Y1272" s="9"/>
      <c r="Z1272" s="10"/>
      <c r="AA1272" s="11">
        <f t="shared" si="545"/>
        <v>0</v>
      </c>
      <c r="AB1272" s="12"/>
      <c r="AC1272" s="9"/>
      <c r="AD1272" s="10"/>
      <c r="AE1272" s="11">
        <f t="shared" si="546"/>
        <v>0</v>
      </c>
      <c r="AF1272" s="11">
        <f t="shared" si="542"/>
        <v>0</v>
      </c>
    </row>
    <row r="1273" spans="1:33" x14ac:dyDescent="0.15">
      <c r="A1273" s="27" t="s">
        <v>649</v>
      </c>
      <c r="B1273" s="8">
        <v>4</v>
      </c>
      <c r="C1273" s="9">
        <v>2</v>
      </c>
      <c r="D1273" s="10">
        <v>4</v>
      </c>
      <c r="E1273" s="11">
        <f t="shared" si="543"/>
        <v>10</v>
      </c>
      <c r="F1273" s="12">
        <v>2</v>
      </c>
      <c r="G1273" s="9"/>
      <c r="H1273" s="10">
        <v>4</v>
      </c>
      <c r="I1273" s="11">
        <f t="shared" si="547"/>
        <v>6</v>
      </c>
      <c r="J1273" s="11">
        <f t="shared" si="544"/>
        <v>16</v>
      </c>
      <c r="K1273" s="65">
        <v>42908</v>
      </c>
      <c r="W1273" s="27"/>
      <c r="X1273" s="8"/>
      <c r="Y1273" s="9"/>
      <c r="Z1273" s="10"/>
      <c r="AA1273" s="11">
        <f t="shared" si="545"/>
        <v>0</v>
      </c>
      <c r="AB1273" s="12"/>
      <c r="AC1273" s="9"/>
      <c r="AD1273" s="10"/>
      <c r="AE1273" s="11">
        <f t="shared" si="546"/>
        <v>0</v>
      </c>
      <c r="AF1273" s="11">
        <f t="shared" si="542"/>
        <v>0</v>
      </c>
    </row>
    <row r="1274" spans="1:33" x14ac:dyDescent="0.15">
      <c r="A1274" s="27" t="s">
        <v>650</v>
      </c>
      <c r="B1274" s="8"/>
      <c r="C1274" s="9">
        <v>5</v>
      </c>
      <c r="D1274" s="10"/>
      <c r="E1274" s="11">
        <f t="shared" si="543"/>
        <v>5</v>
      </c>
      <c r="F1274" s="12"/>
      <c r="G1274" s="9"/>
      <c r="H1274" s="10"/>
      <c r="I1274" s="11">
        <f t="shared" si="547"/>
        <v>0</v>
      </c>
      <c r="J1274" s="11">
        <f t="shared" si="544"/>
        <v>5</v>
      </c>
      <c r="K1274" s="65">
        <v>42910</v>
      </c>
      <c r="W1274" s="29"/>
      <c r="X1274" s="8"/>
      <c r="Y1274" s="9"/>
      <c r="Z1274" s="10"/>
      <c r="AA1274" s="11">
        <f t="shared" si="545"/>
        <v>0</v>
      </c>
      <c r="AB1274" s="12"/>
      <c r="AC1274" s="9"/>
      <c r="AD1274" s="10"/>
      <c r="AE1274" s="11">
        <f t="shared" si="546"/>
        <v>0</v>
      </c>
      <c r="AF1274" s="11">
        <f t="shared" si="542"/>
        <v>0</v>
      </c>
    </row>
    <row r="1275" spans="1:33" x14ac:dyDescent="0.15">
      <c r="A1275" s="27" t="s">
        <v>626</v>
      </c>
      <c r="B1275" s="8">
        <v>6</v>
      </c>
      <c r="C1275" s="9"/>
      <c r="D1275" s="10"/>
      <c r="E1275" s="11">
        <f t="shared" si="543"/>
        <v>6</v>
      </c>
      <c r="F1275" s="12">
        <v>4</v>
      </c>
      <c r="G1275" s="9">
        <v>4</v>
      </c>
      <c r="H1275" s="10">
        <v>4</v>
      </c>
      <c r="I1275" s="11">
        <f t="shared" si="547"/>
        <v>12</v>
      </c>
      <c r="J1275" s="11">
        <f t="shared" si="544"/>
        <v>18</v>
      </c>
      <c r="K1275" s="65">
        <v>42913</v>
      </c>
      <c r="W1275" s="29"/>
      <c r="X1275" s="8"/>
      <c r="Y1275" s="9"/>
      <c r="Z1275" s="10"/>
      <c r="AA1275" s="11">
        <f t="shared" si="545"/>
        <v>0</v>
      </c>
      <c r="AB1275" s="12"/>
      <c r="AC1275" s="9"/>
      <c r="AD1275" s="10"/>
      <c r="AE1275" s="11">
        <f t="shared" si="546"/>
        <v>0</v>
      </c>
      <c r="AF1275" s="11">
        <f t="shared" si="542"/>
        <v>0</v>
      </c>
    </row>
    <row r="1276" spans="1:33" x14ac:dyDescent="0.15">
      <c r="A1276" s="27" t="s">
        <v>651</v>
      </c>
      <c r="B1276" s="8"/>
      <c r="C1276" s="9"/>
      <c r="D1276" s="10"/>
      <c r="E1276" s="11">
        <f t="shared" si="543"/>
        <v>0</v>
      </c>
      <c r="F1276" s="12">
        <v>15</v>
      </c>
      <c r="G1276" s="9"/>
      <c r="H1276" s="10"/>
      <c r="I1276" s="11">
        <f t="shared" si="547"/>
        <v>15</v>
      </c>
      <c r="J1276" s="11">
        <f t="shared" si="544"/>
        <v>15</v>
      </c>
      <c r="K1276" s="65">
        <v>42916</v>
      </c>
      <c r="W1276" s="27"/>
      <c r="X1276" s="8"/>
      <c r="Y1276" s="9"/>
      <c r="Z1276" s="10"/>
      <c r="AA1276" s="11">
        <f t="shared" si="545"/>
        <v>0</v>
      </c>
      <c r="AB1276" s="12"/>
      <c r="AC1276" s="9"/>
      <c r="AD1276" s="10"/>
      <c r="AE1276" s="11">
        <f t="shared" si="546"/>
        <v>0</v>
      </c>
      <c r="AF1276" s="11">
        <f t="shared" si="542"/>
        <v>0</v>
      </c>
    </row>
    <row r="1277" spans="1:33" x14ac:dyDescent="0.15">
      <c r="A1277" s="27" t="s">
        <v>652</v>
      </c>
      <c r="B1277" s="8">
        <v>1</v>
      </c>
      <c r="C1277" s="9"/>
      <c r="D1277" s="10"/>
      <c r="E1277" s="11">
        <f t="shared" si="543"/>
        <v>1</v>
      </c>
      <c r="F1277" s="12">
        <v>1</v>
      </c>
      <c r="G1277" s="9"/>
      <c r="H1277" s="10"/>
      <c r="I1277" s="11">
        <f t="shared" si="547"/>
        <v>1</v>
      </c>
      <c r="J1277" s="11">
        <f t="shared" si="544"/>
        <v>2</v>
      </c>
      <c r="K1277" s="65">
        <v>42916</v>
      </c>
      <c r="W1277" s="29"/>
      <c r="X1277" s="8"/>
      <c r="Y1277" s="9"/>
      <c r="Z1277" s="10"/>
      <c r="AA1277" s="11">
        <f t="shared" si="545"/>
        <v>0</v>
      </c>
      <c r="AB1277" s="12"/>
      <c r="AC1277" s="9"/>
      <c r="AD1277" s="10"/>
      <c r="AE1277" s="11">
        <f t="shared" si="546"/>
        <v>0</v>
      </c>
      <c r="AF1277" s="11">
        <f t="shared" si="542"/>
        <v>0</v>
      </c>
    </row>
    <row r="1278" spans="1:33" x14ac:dyDescent="0.15">
      <c r="A1278" s="27" t="s">
        <v>653</v>
      </c>
      <c r="B1278" s="8">
        <v>10</v>
      </c>
      <c r="C1278" s="9"/>
      <c r="D1278" s="10"/>
      <c r="E1278" s="11">
        <f t="shared" si="543"/>
        <v>10</v>
      </c>
      <c r="F1278" s="12"/>
      <c r="G1278" s="9">
        <v>12</v>
      </c>
      <c r="H1278" s="10"/>
      <c r="I1278" s="11">
        <f t="shared" si="547"/>
        <v>12</v>
      </c>
      <c r="J1278" s="11">
        <f t="shared" si="544"/>
        <v>22</v>
      </c>
      <c r="K1278" s="65">
        <v>42922</v>
      </c>
      <c r="W1278" s="27"/>
      <c r="X1278" s="8"/>
      <c r="Y1278" s="9"/>
      <c r="Z1278" s="10"/>
      <c r="AA1278" s="11">
        <f t="shared" si="545"/>
        <v>0</v>
      </c>
      <c r="AB1278" s="12"/>
      <c r="AC1278" s="9"/>
      <c r="AD1278" s="10"/>
      <c r="AE1278" s="11">
        <f t="shared" si="546"/>
        <v>0</v>
      </c>
      <c r="AF1278" s="11">
        <f t="shared" si="542"/>
        <v>0</v>
      </c>
    </row>
    <row r="1279" spans="1:33" x14ac:dyDescent="0.15">
      <c r="A1279" s="29" t="s">
        <v>67</v>
      </c>
      <c r="B1279" s="8"/>
      <c r="C1279" s="9"/>
      <c r="D1279" s="10">
        <v>1</v>
      </c>
      <c r="E1279" s="11">
        <f t="shared" si="543"/>
        <v>1</v>
      </c>
      <c r="F1279" s="12"/>
      <c r="G1279" s="9"/>
      <c r="H1279" s="10"/>
      <c r="I1279" s="11">
        <f t="shared" si="547"/>
        <v>0</v>
      </c>
      <c r="J1279" s="11">
        <f t="shared" si="544"/>
        <v>1</v>
      </c>
      <c r="K1279" s="71">
        <v>42922</v>
      </c>
      <c r="W1279" s="26"/>
      <c r="X1279" s="8"/>
      <c r="Y1279" s="9"/>
      <c r="Z1279" s="10"/>
      <c r="AA1279" s="11">
        <f t="shared" si="545"/>
        <v>0</v>
      </c>
      <c r="AB1279" s="12"/>
      <c r="AC1279" s="9"/>
      <c r="AD1279" s="10"/>
      <c r="AE1279" s="11">
        <f t="shared" si="546"/>
        <v>0</v>
      </c>
      <c r="AF1279" s="11">
        <f t="shared" si="542"/>
        <v>0</v>
      </c>
    </row>
    <row r="1280" spans="1:33" x14ac:dyDescent="0.15">
      <c r="A1280" s="29" t="s">
        <v>67</v>
      </c>
      <c r="B1280" s="8"/>
      <c r="C1280" s="9"/>
      <c r="D1280" s="10"/>
      <c r="E1280" s="11">
        <f t="shared" si="543"/>
        <v>0</v>
      </c>
      <c r="F1280" s="12"/>
      <c r="G1280" s="9">
        <v>1</v>
      </c>
      <c r="H1280" s="10"/>
      <c r="I1280" s="11">
        <f t="shared" si="547"/>
        <v>1</v>
      </c>
      <c r="J1280" s="11">
        <f t="shared" si="544"/>
        <v>1</v>
      </c>
      <c r="K1280" s="71">
        <v>42923</v>
      </c>
      <c r="W1280" s="26"/>
      <c r="X1280" s="8"/>
      <c r="Y1280" s="9"/>
      <c r="Z1280" s="10"/>
      <c r="AA1280" s="11">
        <f t="shared" si="545"/>
        <v>0</v>
      </c>
      <c r="AB1280" s="12"/>
      <c r="AC1280" s="9"/>
      <c r="AD1280" s="10"/>
      <c r="AE1280" s="11">
        <f t="shared" si="546"/>
        <v>0</v>
      </c>
      <c r="AF1280" s="11">
        <f t="shared" si="542"/>
        <v>0</v>
      </c>
    </row>
    <row r="1281" spans="1:33" x14ac:dyDescent="0.15">
      <c r="A1281" s="29" t="s">
        <v>67</v>
      </c>
      <c r="B1281" s="8"/>
      <c r="C1281" s="9"/>
      <c r="D1281" s="10"/>
      <c r="E1281" s="11">
        <f t="shared" si="543"/>
        <v>0</v>
      </c>
      <c r="F1281" s="12"/>
      <c r="G1281" s="9">
        <v>1</v>
      </c>
      <c r="H1281" s="10"/>
      <c r="I1281" s="11">
        <f t="shared" si="547"/>
        <v>1</v>
      </c>
      <c r="J1281" s="11">
        <f t="shared" si="544"/>
        <v>1</v>
      </c>
      <c r="K1281" s="71">
        <v>42926</v>
      </c>
      <c r="W1281" s="27"/>
      <c r="X1281" s="8"/>
      <c r="Y1281" s="9"/>
      <c r="Z1281" s="10"/>
      <c r="AA1281" s="11">
        <f t="shared" si="545"/>
        <v>0</v>
      </c>
      <c r="AB1281" s="12"/>
      <c r="AC1281" s="9"/>
      <c r="AD1281" s="10"/>
      <c r="AE1281" s="11">
        <f t="shared" si="546"/>
        <v>0</v>
      </c>
      <c r="AF1281" s="11">
        <f t="shared" si="542"/>
        <v>0</v>
      </c>
    </row>
    <row r="1282" spans="1:33" x14ac:dyDescent="0.15">
      <c r="A1282" s="29" t="s">
        <v>67</v>
      </c>
      <c r="B1282" s="13"/>
      <c r="C1282" s="14"/>
      <c r="D1282" s="15"/>
      <c r="E1282" s="11">
        <f t="shared" si="543"/>
        <v>0</v>
      </c>
      <c r="F1282" s="16"/>
      <c r="G1282" s="14"/>
      <c r="H1282" s="15">
        <v>2</v>
      </c>
      <c r="I1282" s="11">
        <f t="shared" si="547"/>
        <v>2</v>
      </c>
      <c r="J1282" s="11">
        <f t="shared" si="544"/>
        <v>2</v>
      </c>
      <c r="K1282" s="71">
        <v>42927</v>
      </c>
      <c r="W1282" s="27"/>
      <c r="X1282" s="13"/>
      <c r="Y1282" s="14"/>
      <c r="Z1282" s="15"/>
      <c r="AA1282" s="11">
        <f t="shared" si="545"/>
        <v>0</v>
      </c>
      <c r="AB1282" s="16"/>
      <c r="AC1282" s="14"/>
      <c r="AD1282" s="15"/>
      <c r="AE1282" s="11">
        <f t="shared" si="546"/>
        <v>0</v>
      </c>
      <c r="AF1282" s="11">
        <f t="shared" si="542"/>
        <v>0</v>
      </c>
    </row>
    <row r="1283" spans="1:33" x14ac:dyDescent="0.15">
      <c r="A1283" s="29" t="s">
        <v>67</v>
      </c>
      <c r="B1283" s="8"/>
      <c r="C1283" s="9"/>
      <c r="D1283" s="10">
        <v>2</v>
      </c>
      <c r="E1283" s="11">
        <f t="shared" si="543"/>
        <v>2</v>
      </c>
      <c r="F1283" s="12"/>
      <c r="G1283" s="9"/>
      <c r="H1283" s="10"/>
      <c r="I1283" s="11">
        <f t="shared" si="547"/>
        <v>0</v>
      </c>
      <c r="J1283" s="11">
        <f t="shared" si="544"/>
        <v>2</v>
      </c>
      <c r="K1283" s="71">
        <v>42929</v>
      </c>
      <c r="W1283" s="86"/>
      <c r="X1283" s="13"/>
      <c r="Y1283" s="14"/>
      <c r="Z1283" s="15"/>
      <c r="AA1283" s="11">
        <f t="shared" si="545"/>
        <v>0</v>
      </c>
      <c r="AB1283" s="16"/>
      <c r="AC1283" s="14"/>
      <c r="AD1283" s="15"/>
      <c r="AE1283" s="11">
        <f t="shared" si="546"/>
        <v>0</v>
      </c>
      <c r="AF1283" s="11">
        <f t="shared" si="542"/>
        <v>0</v>
      </c>
    </row>
    <row r="1284" spans="1:33" x14ac:dyDescent="0.15">
      <c r="A1284" s="29" t="s">
        <v>654</v>
      </c>
      <c r="B1284" s="8"/>
      <c r="C1284" s="9"/>
      <c r="D1284" s="10"/>
      <c r="E1284" s="11">
        <f t="shared" si="543"/>
        <v>0</v>
      </c>
      <c r="F1284" s="12">
        <v>3</v>
      </c>
      <c r="G1284" s="9"/>
      <c r="H1284" s="10">
        <v>10</v>
      </c>
      <c r="I1284" s="11">
        <f t="shared" si="547"/>
        <v>13</v>
      </c>
      <c r="J1284" s="11">
        <f t="shared" si="544"/>
        <v>13</v>
      </c>
      <c r="K1284" s="65">
        <v>42934</v>
      </c>
      <c r="W1284" s="86"/>
      <c r="X1284" s="13"/>
      <c r="Y1284" s="14"/>
      <c r="Z1284" s="15"/>
      <c r="AA1284" s="11">
        <f t="shared" si="545"/>
        <v>0</v>
      </c>
      <c r="AB1284" s="16"/>
      <c r="AC1284" s="14"/>
      <c r="AD1284" s="15"/>
      <c r="AE1284" s="11">
        <f t="shared" si="546"/>
        <v>0</v>
      </c>
      <c r="AF1284" s="11">
        <f t="shared" si="542"/>
        <v>0</v>
      </c>
    </row>
    <row r="1285" spans="1:33" x14ac:dyDescent="0.15">
      <c r="A1285" s="29" t="s">
        <v>67</v>
      </c>
      <c r="B1285" s="8"/>
      <c r="C1285" s="9"/>
      <c r="D1285" s="10"/>
      <c r="E1285" s="11">
        <f t="shared" si="543"/>
        <v>0</v>
      </c>
      <c r="F1285" s="12">
        <v>3</v>
      </c>
      <c r="G1285" s="9"/>
      <c r="H1285" s="10"/>
      <c r="I1285" s="11">
        <f t="shared" si="547"/>
        <v>3</v>
      </c>
      <c r="J1285" s="11">
        <f t="shared" si="544"/>
        <v>3</v>
      </c>
      <c r="K1285" s="71">
        <v>42931</v>
      </c>
      <c r="W1285" s="86"/>
      <c r="X1285" s="13"/>
      <c r="Y1285" s="14"/>
      <c r="Z1285" s="15"/>
      <c r="AA1285" s="11">
        <f t="shared" si="545"/>
        <v>0</v>
      </c>
      <c r="AB1285" s="16"/>
      <c r="AC1285" s="14"/>
      <c r="AD1285" s="15"/>
      <c r="AE1285" s="11">
        <f t="shared" si="546"/>
        <v>0</v>
      </c>
      <c r="AF1285" s="11">
        <f t="shared" si="542"/>
        <v>0</v>
      </c>
      <c r="AG1285" s="64"/>
    </row>
    <row r="1286" spans="1:33" ht="14.25" thickBot="1" x14ac:dyDescent="0.2">
      <c r="A1286" s="29"/>
      <c r="B1286" s="8"/>
      <c r="C1286" s="9"/>
      <c r="D1286" s="10"/>
      <c r="E1286" s="11">
        <f t="shared" si="543"/>
        <v>0</v>
      </c>
      <c r="F1286" s="16"/>
      <c r="G1286" s="14"/>
      <c r="H1286" s="15"/>
      <c r="I1286" s="11">
        <f t="shared" si="547"/>
        <v>0</v>
      </c>
      <c r="J1286" s="11">
        <f t="shared" si="544"/>
        <v>0</v>
      </c>
      <c r="W1286" s="86"/>
      <c r="X1286" s="13"/>
      <c r="Y1286" s="14"/>
      <c r="Z1286" s="15"/>
      <c r="AA1286" s="11">
        <f>SUM(X1286:Z1286)</f>
        <v>0</v>
      </c>
      <c r="AB1286" s="16"/>
      <c r="AC1286" s="14"/>
      <c r="AD1286" s="15"/>
      <c r="AE1286" s="11">
        <f>SUM(AB1286:AD1286)</f>
        <v>0</v>
      </c>
      <c r="AF1286" s="11">
        <f>AA1286+AE1286</f>
        <v>0</v>
      </c>
      <c r="AG1286" s="64"/>
    </row>
    <row r="1287" spans="1:33" ht="14.25" thickBot="1" x14ac:dyDescent="0.2">
      <c r="A1287" s="44" t="s">
        <v>13</v>
      </c>
      <c r="B1287" s="48">
        <f t="shared" ref="B1287:I1287" si="548">SUM(B1261:B1286)</f>
        <v>131</v>
      </c>
      <c r="C1287" s="49">
        <f t="shared" si="548"/>
        <v>239</v>
      </c>
      <c r="D1287" s="50">
        <f t="shared" si="548"/>
        <v>198</v>
      </c>
      <c r="E1287" s="46">
        <f t="shared" si="548"/>
        <v>568</v>
      </c>
      <c r="F1287" s="48">
        <f t="shared" si="548"/>
        <v>119</v>
      </c>
      <c r="G1287" s="49">
        <f t="shared" si="548"/>
        <v>133</v>
      </c>
      <c r="H1287" s="50">
        <f t="shared" si="548"/>
        <v>106</v>
      </c>
      <c r="I1287" s="46">
        <f t="shared" si="548"/>
        <v>358</v>
      </c>
      <c r="J1287" s="35">
        <f>E1287+I1287</f>
        <v>926</v>
      </c>
      <c r="W1287" s="44" t="s">
        <v>13</v>
      </c>
      <c r="X1287" s="48">
        <f t="shared" ref="X1287:AE1287" si="549">SUM(X1261:X1286)</f>
        <v>100</v>
      </c>
      <c r="Y1287" s="49">
        <f t="shared" si="549"/>
        <v>250</v>
      </c>
      <c r="Z1287" s="50">
        <f t="shared" si="549"/>
        <v>200</v>
      </c>
      <c r="AA1287" s="46">
        <f t="shared" si="549"/>
        <v>550</v>
      </c>
      <c r="AB1287" s="48">
        <f t="shared" si="549"/>
        <v>100</v>
      </c>
      <c r="AC1287" s="49">
        <f t="shared" si="549"/>
        <v>100</v>
      </c>
      <c r="AD1287" s="50">
        <f t="shared" si="549"/>
        <v>50</v>
      </c>
      <c r="AE1287" s="46">
        <f t="shared" si="549"/>
        <v>250</v>
      </c>
      <c r="AF1287" s="35">
        <f>AA1287+AE1287</f>
        <v>800</v>
      </c>
    </row>
    <row r="1288" spans="1:33" ht="14.25" thickBot="1" x14ac:dyDescent="0.2">
      <c r="A1288" s="23" t="s">
        <v>14</v>
      </c>
      <c r="B1288" s="24">
        <f t="shared" ref="B1288:J1288" si="550">B1260-B1287</f>
        <v>31</v>
      </c>
      <c r="C1288" s="25">
        <f t="shared" si="550"/>
        <v>63</v>
      </c>
      <c r="D1288" s="30">
        <f t="shared" si="550"/>
        <v>22</v>
      </c>
      <c r="E1288" s="51">
        <f t="shared" si="550"/>
        <v>116</v>
      </c>
      <c r="F1288" s="24">
        <f t="shared" si="550"/>
        <v>15</v>
      </c>
      <c r="G1288" s="25">
        <f t="shared" si="550"/>
        <v>14</v>
      </c>
      <c r="H1288" s="30">
        <f t="shared" si="550"/>
        <v>4</v>
      </c>
      <c r="I1288" s="47">
        <f t="shared" si="550"/>
        <v>33</v>
      </c>
      <c r="J1288" s="79">
        <f t="shared" si="550"/>
        <v>149</v>
      </c>
      <c r="W1288" s="23" t="s">
        <v>14</v>
      </c>
      <c r="X1288" s="24">
        <f t="shared" ref="X1288:AF1288" si="551">X1260-X1287</f>
        <v>809</v>
      </c>
      <c r="Y1288" s="25">
        <f t="shared" si="551"/>
        <v>842</v>
      </c>
      <c r="Z1288" s="30">
        <f t="shared" si="551"/>
        <v>638</v>
      </c>
      <c r="AA1288" s="51">
        <f t="shared" si="551"/>
        <v>2289</v>
      </c>
      <c r="AB1288" s="24">
        <f t="shared" si="551"/>
        <v>40</v>
      </c>
      <c r="AC1288" s="25">
        <f t="shared" si="551"/>
        <v>35</v>
      </c>
      <c r="AD1288" s="30">
        <f t="shared" si="551"/>
        <v>133</v>
      </c>
      <c r="AE1288" s="47">
        <f t="shared" si="551"/>
        <v>208</v>
      </c>
      <c r="AF1288" s="79">
        <f t="shared" si="551"/>
        <v>2497</v>
      </c>
    </row>
    <row r="1291" spans="1:33" ht="19.5" thickBot="1" x14ac:dyDescent="0.25">
      <c r="A1291" s="93" t="s">
        <v>21</v>
      </c>
      <c r="B1291" s="94"/>
      <c r="C1291" s="94"/>
      <c r="D1291" s="94"/>
      <c r="E1291" s="94"/>
      <c r="F1291" s="1"/>
      <c r="G1291" s="1"/>
      <c r="H1291" s="1"/>
      <c r="I1291" s="1"/>
      <c r="J1291" s="1"/>
      <c r="W1291" s="93" t="s">
        <v>136</v>
      </c>
      <c r="X1291" s="94"/>
      <c r="Y1291" s="94"/>
      <c r="Z1291" s="94"/>
      <c r="AA1291" s="106" t="s">
        <v>299</v>
      </c>
      <c r="AB1291" s="1"/>
      <c r="AC1291" s="1"/>
      <c r="AD1291" s="1"/>
      <c r="AE1291" s="1"/>
      <c r="AF1291" s="1"/>
    </row>
    <row r="1292" spans="1:33" ht="14.25" thickBot="1" x14ac:dyDescent="0.2">
      <c r="A1292" s="7" t="s">
        <v>0</v>
      </c>
      <c r="B1292" s="168" t="s">
        <v>1</v>
      </c>
      <c r="C1292" s="169"/>
      <c r="D1292" s="169"/>
      <c r="E1292" s="170"/>
      <c r="F1292" s="168" t="s">
        <v>2</v>
      </c>
      <c r="G1292" s="169"/>
      <c r="H1292" s="169"/>
      <c r="I1292" s="171"/>
      <c r="J1292" s="172" t="s">
        <v>3</v>
      </c>
      <c r="W1292" s="7" t="s">
        <v>0</v>
      </c>
      <c r="X1292" s="174" t="s">
        <v>1</v>
      </c>
      <c r="Y1292" s="175"/>
      <c r="Z1292" s="176"/>
      <c r="AA1292" s="101"/>
      <c r="AB1292" s="174" t="s">
        <v>2</v>
      </c>
      <c r="AC1292" s="175"/>
      <c r="AD1292" s="176"/>
      <c r="AE1292" s="102"/>
      <c r="AF1292" s="103" t="s">
        <v>3</v>
      </c>
    </row>
    <row r="1293" spans="1:33" ht="14.25" thickBot="1" x14ac:dyDescent="0.2">
      <c r="A1293" s="7" t="s">
        <v>4</v>
      </c>
      <c r="B1293" s="3" t="s">
        <v>5</v>
      </c>
      <c r="C1293" s="4" t="s">
        <v>6</v>
      </c>
      <c r="D1293" s="5" t="s">
        <v>7</v>
      </c>
      <c r="E1293" s="7" t="s">
        <v>8</v>
      </c>
      <c r="F1293" s="3" t="s">
        <v>5</v>
      </c>
      <c r="G1293" s="4" t="s">
        <v>6</v>
      </c>
      <c r="H1293" s="5" t="s">
        <v>7</v>
      </c>
      <c r="I1293" s="7" t="s">
        <v>8</v>
      </c>
      <c r="J1293" s="173"/>
      <c r="W1293" s="7" t="s">
        <v>4</v>
      </c>
      <c r="X1293" s="3" t="s">
        <v>5</v>
      </c>
      <c r="Y1293" s="4" t="s">
        <v>6</v>
      </c>
      <c r="Z1293" s="5" t="s">
        <v>7</v>
      </c>
      <c r="AA1293" s="7" t="s">
        <v>8</v>
      </c>
      <c r="AB1293" s="107" t="s">
        <v>5</v>
      </c>
      <c r="AC1293" s="108" t="s">
        <v>6</v>
      </c>
      <c r="AD1293" s="109" t="s">
        <v>7</v>
      </c>
      <c r="AE1293" s="7" t="s">
        <v>8</v>
      </c>
      <c r="AF1293" s="104"/>
    </row>
    <row r="1294" spans="1:33" ht="14.25" thickBot="1" x14ac:dyDescent="0.2">
      <c r="A1294" s="31" t="s">
        <v>14</v>
      </c>
      <c r="B1294" s="32">
        <f>B1288</f>
        <v>31</v>
      </c>
      <c r="C1294" s="33">
        <f>C1288</f>
        <v>63</v>
      </c>
      <c r="D1294" s="34">
        <f>D1288</f>
        <v>22</v>
      </c>
      <c r="E1294" s="41">
        <f>SUM(B1294:D1294)</f>
        <v>116</v>
      </c>
      <c r="F1294" s="32">
        <f>F1288</f>
        <v>15</v>
      </c>
      <c r="G1294" s="33">
        <f>G1288</f>
        <v>14</v>
      </c>
      <c r="H1294" s="34">
        <f>H1288</f>
        <v>4</v>
      </c>
      <c r="I1294" s="41">
        <f>SUM(F1294:H1294)</f>
        <v>33</v>
      </c>
      <c r="J1294" s="41">
        <f>E1294+I1294</f>
        <v>149</v>
      </c>
      <c r="W1294" s="31" t="s">
        <v>14</v>
      </c>
      <c r="X1294" s="32">
        <f>X1288</f>
        <v>809</v>
      </c>
      <c r="Y1294" s="33">
        <f>Y1288</f>
        <v>842</v>
      </c>
      <c r="Z1294" s="33">
        <f>Z1288</f>
        <v>638</v>
      </c>
      <c r="AA1294" s="111">
        <f>SUM(X1294:Z1294)</f>
        <v>2289</v>
      </c>
      <c r="AB1294" s="32">
        <f>AB1288</f>
        <v>40</v>
      </c>
      <c r="AC1294" s="33">
        <f>AC1288</f>
        <v>35</v>
      </c>
      <c r="AD1294" s="95">
        <f>AD1288</f>
        <v>133</v>
      </c>
      <c r="AE1294" s="46">
        <f>SUM(AB1294:AD1294)</f>
        <v>208</v>
      </c>
      <c r="AF1294" s="35">
        <f>AA1294+AE1294</f>
        <v>2497</v>
      </c>
    </row>
    <row r="1295" spans="1:33" x14ac:dyDescent="0.15">
      <c r="A1295" s="28" t="s">
        <v>9</v>
      </c>
      <c r="B1295" s="17"/>
      <c r="C1295" s="18"/>
      <c r="D1295" s="19"/>
      <c r="E1295" s="20">
        <f t="shared" ref="E1295:E1302" si="552">SUM(B1295:D1295)</f>
        <v>0</v>
      </c>
      <c r="F1295" s="21"/>
      <c r="G1295" s="18"/>
      <c r="H1295" s="19">
        <v>50</v>
      </c>
      <c r="I1295" s="20">
        <f t="shared" ref="I1295:I1302" si="553">SUM(F1295:H1295)</f>
        <v>50</v>
      </c>
      <c r="J1295" s="20">
        <f t="shared" ref="J1295:J1302" si="554">E1295+I1295</f>
        <v>50</v>
      </c>
      <c r="K1295" s="65">
        <v>42936</v>
      </c>
      <c r="W1295" s="28" t="s">
        <v>9</v>
      </c>
      <c r="X1295" s="8"/>
      <c r="Y1295" s="9"/>
      <c r="Z1295" s="10"/>
      <c r="AA1295" s="78">
        <f t="shared" ref="AA1295:AA1302" si="555">SUM(X1295:Z1295)</f>
        <v>0</v>
      </c>
      <c r="AB1295" s="21">
        <v>50</v>
      </c>
      <c r="AC1295" s="18">
        <v>50</v>
      </c>
      <c r="AD1295" s="19"/>
      <c r="AE1295" s="78">
        <f t="shared" ref="AE1295:AE1302" si="556">SUM(AB1295:AD1295)</f>
        <v>100</v>
      </c>
      <c r="AF1295" s="78">
        <f t="shared" ref="AF1295:AF1302" si="557">AA1295+AE1295</f>
        <v>100</v>
      </c>
      <c r="AG1295" s="65">
        <v>43013</v>
      </c>
    </row>
    <row r="1296" spans="1:33" x14ac:dyDescent="0.15">
      <c r="A1296" s="28" t="s">
        <v>228</v>
      </c>
      <c r="B1296" s="8">
        <v>3</v>
      </c>
      <c r="C1296" s="9">
        <v>12</v>
      </c>
      <c r="D1296" s="10">
        <v>6</v>
      </c>
      <c r="E1296" s="11">
        <f t="shared" si="552"/>
        <v>21</v>
      </c>
      <c r="F1296" s="12">
        <v>15</v>
      </c>
      <c r="G1296" s="9">
        <v>21</v>
      </c>
      <c r="H1296" s="10">
        <v>21</v>
      </c>
      <c r="I1296" s="11">
        <f t="shared" si="553"/>
        <v>57</v>
      </c>
      <c r="J1296" s="11">
        <f t="shared" si="554"/>
        <v>78</v>
      </c>
      <c r="K1296" s="65">
        <v>42949</v>
      </c>
      <c r="W1296" s="28" t="s">
        <v>10</v>
      </c>
      <c r="X1296" s="8"/>
      <c r="Y1296" s="9"/>
      <c r="Z1296" s="10"/>
      <c r="AA1296" s="11">
        <f t="shared" si="555"/>
        <v>0</v>
      </c>
      <c r="AB1296" s="12"/>
      <c r="AC1296" s="9"/>
      <c r="AD1296" s="10"/>
      <c r="AE1296" s="11">
        <f t="shared" si="556"/>
        <v>0</v>
      </c>
      <c r="AF1296" s="11">
        <f t="shared" si="557"/>
        <v>0</v>
      </c>
      <c r="AG1296" s="64"/>
    </row>
    <row r="1297" spans="1:33" x14ac:dyDescent="0.15">
      <c r="A1297" s="28" t="s">
        <v>104</v>
      </c>
      <c r="B1297" s="8">
        <v>4</v>
      </c>
      <c r="C1297" s="9">
        <v>1</v>
      </c>
      <c r="D1297" s="10"/>
      <c r="E1297" s="11">
        <f t="shared" si="552"/>
        <v>5</v>
      </c>
      <c r="F1297" s="12"/>
      <c r="G1297" s="9"/>
      <c r="H1297" s="10"/>
      <c r="I1297" s="11">
        <f t="shared" si="553"/>
        <v>0</v>
      </c>
      <c r="J1297" s="11">
        <f t="shared" si="554"/>
        <v>5</v>
      </c>
      <c r="K1297" s="65">
        <v>42956</v>
      </c>
      <c r="W1297" s="28" t="s">
        <v>11</v>
      </c>
      <c r="X1297" s="8"/>
      <c r="Y1297" s="9"/>
      <c r="Z1297" s="10"/>
      <c r="AA1297" s="11">
        <f t="shared" si="555"/>
        <v>0</v>
      </c>
      <c r="AB1297" s="12"/>
      <c r="AC1297" s="9"/>
      <c r="AD1297" s="10"/>
      <c r="AE1297" s="11">
        <f t="shared" si="556"/>
        <v>0</v>
      </c>
      <c r="AF1297" s="11">
        <f t="shared" si="557"/>
        <v>0</v>
      </c>
      <c r="AG1297" s="64"/>
    </row>
    <row r="1298" spans="1:33" x14ac:dyDescent="0.15">
      <c r="A1298" s="28" t="s">
        <v>41</v>
      </c>
      <c r="B1298" s="8">
        <v>30</v>
      </c>
      <c r="C1298" s="9">
        <v>30</v>
      </c>
      <c r="D1298" s="10">
        <v>20</v>
      </c>
      <c r="E1298" s="11">
        <f>SUM(B1298:D1298)</f>
        <v>80</v>
      </c>
      <c r="F1298" s="12">
        <v>30</v>
      </c>
      <c r="G1298" s="9">
        <v>30</v>
      </c>
      <c r="H1298" s="10">
        <v>20</v>
      </c>
      <c r="I1298" s="11">
        <f>SUM(F1298:H1298)</f>
        <v>80</v>
      </c>
      <c r="J1298" s="11">
        <f t="shared" si="554"/>
        <v>160</v>
      </c>
      <c r="K1298" s="65">
        <v>42961</v>
      </c>
      <c r="W1298" s="28" t="s">
        <v>12</v>
      </c>
      <c r="X1298" s="8"/>
      <c r="Y1298" s="9"/>
      <c r="Z1298" s="10"/>
      <c r="AA1298" s="11">
        <f t="shared" si="555"/>
        <v>0</v>
      </c>
      <c r="AB1298" s="12"/>
      <c r="AC1298" s="9"/>
      <c r="AD1298" s="10"/>
      <c r="AE1298" s="11">
        <f t="shared" si="556"/>
        <v>0</v>
      </c>
      <c r="AF1298" s="11">
        <f t="shared" si="557"/>
        <v>0</v>
      </c>
    </row>
    <row r="1299" spans="1:33" x14ac:dyDescent="0.15">
      <c r="A1299" s="28" t="s">
        <v>15</v>
      </c>
      <c r="B1299" s="8"/>
      <c r="C1299" s="9"/>
      <c r="D1299" s="10">
        <v>50</v>
      </c>
      <c r="E1299" s="11">
        <f t="shared" si="552"/>
        <v>50</v>
      </c>
      <c r="F1299" s="12"/>
      <c r="G1299" s="9"/>
      <c r="H1299" s="10"/>
      <c r="I1299" s="11">
        <f t="shared" si="553"/>
        <v>0</v>
      </c>
      <c r="J1299" s="11">
        <f t="shared" si="554"/>
        <v>50</v>
      </c>
      <c r="K1299" s="65">
        <v>42966</v>
      </c>
      <c r="W1299" s="28" t="s">
        <v>15</v>
      </c>
      <c r="X1299" s="8"/>
      <c r="Y1299" s="9"/>
      <c r="Z1299" s="10"/>
      <c r="AA1299" s="11">
        <f t="shared" si="555"/>
        <v>0</v>
      </c>
      <c r="AB1299" s="12"/>
      <c r="AC1299" s="9"/>
      <c r="AD1299" s="10"/>
      <c r="AE1299" s="11">
        <f t="shared" si="556"/>
        <v>0</v>
      </c>
      <c r="AF1299" s="11">
        <f t="shared" si="557"/>
        <v>0</v>
      </c>
      <c r="AG1299" s="64"/>
    </row>
    <row r="1300" spans="1:33" x14ac:dyDescent="0.15">
      <c r="A1300" s="28" t="s">
        <v>16</v>
      </c>
      <c r="B1300" s="8">
        <v>50</v>
      </c>
      <c r="C1300" s="9"/>
      <c r="D1300" s="10"/>
      <c r="E1300" s="11">
        <f t="shared" si="552"/>
        <v>50</v>
      </c>
      <c r="F1300" s="12">
        <v>10</v>
      </c>
      <c r="G1300" s="9">
        <v>5</v>
      </c>
      <c r="H1300" s="10"/>
      <c r="I1300" s="11">
        <f t="shared" si="553"/>
        <v>15</v>
      </c>
      <c r="J1300" s="11">
        <f t="shared" si="554"/>
        <v>65</v>
      </c>
      <c r="K1300" s="65">
        <v>42970</v>
      </c>
      <c r="W1300" s="28" t="s">
        <v>16</v>
      </c>
      <c r="X1300" s="8"/>
      <c r="Y1300" s="9"/>
      <c r="Z1300" s="10"/>
      <c r="AA1300" s="11">
        <f t="shared" si="555"/>
        <v>0</v>
      </c>
      <c r="AB1300" s="12"/>
      <c r="AC1300" s="9"/>
      <c r="AD1300" s="10"/>
      <c r="AE1300" s="11">
        <f t="shared" si="556"/>
        <v>0</v>
      </c>
      <c r="AF1300" s="11">
        <f t="shared" si="557"/>
        <v>0</v>
      </c>
      <c r="AG1300" s="64"/>
    </row>
    <row r="1301" spans="1:33" x14ac:dyDescent="0.15">
      <c r="A1301" s="28" t="s">
        <v>17</v>
      </c>
      <c r="B1301" s="13"/>
      <c r="C1301" s="14">
        <v>50</v>
      </c>
      <c r="D1301" s="15"/>
      <c r="E1301" s="11">
        <f t="shared" si="552"/>
        <v>50</v>
      </c>
      <c r="F1301" s="16"/>
      <c r="G1301" s="14"/>
      <c r="H1301" s="15"/>
      <c r="I1301" s="11">
        <f t="shared" si="553"/>
        <v>0</v>
      </c>
      <c r="J1301" s="11">
        <f t="shared" si="554"/>
        <v>50</v>
      </c>
      <c r="K1301" s="65">
        <v>42977</v>
      </c>
      <c r="W1301" s="28" t="s">
        <v>17</v>
      </c>
      <c r="X1301" s="8"/>
      <c r="Y1301" s="9"/>
      <c r="Z1301" s="10"/>
      <c r="AA1301" s="11">
        <f t="shared" si="555"/>
        <v>0</v>
      </c>
      <c r="AB1301" s="12"/>
      <c r="AC1301" s="12"/>
      <c r="AD1301" s="87"/>
      <c r="AE1301" s="11">
        <f t="shared" si="556"/>
        <v>0</v>
      </c>
      <c r="AF1301" s="11">
        <f t="shared" si="557"/>
        <v>0</v>
      </c>
    </row>
    <row r="1302" spans="1:33" ht="14.25" thickBot="1" x14ac:dyDescent="0.2">
      <c r="A1302" s="28" t="s">
        <v>18</v>
      </c>
      <c r="B1302" s="36"/>
      <c r="C1302" s="37"/>
      <c r="D1302" s="40"/>
      <c r="E1302" s="22">
        <f t="shared" si="552"/>
        <v>0</v>
      </c>
      <c r="F1302" s="38">
        <v>50</v>
      </c>
      <c r="G1302" s="38">
        <v>50</v>
      </c>
      <c r="H1302" s="43"/>
      <c r="I1302" s="22">
        <f t="shared" si="553"/>
        <v>100</v>
      </c>
      <c r="J1302" s="22">
        <f t="shared" si="554"/>
        <v>100</v>
      </c>
      <c r="K1302" s="65">
        <v>43013</v>
      </c>
      <c r="W1302" s="28" t="s">
        <v>18</v>
      </c>
      <c r="X1302" s="127"/>
      <c r="Y1302" s="128"/>
      <c r="Z1302" s="129"/>
      <c r="AA1302" s="130">
        <f t="shared" si="555"/>
        <v>0</v>
      </c>
      <c r="AB1302" s="131"/>
      <c r="AC1302" s="131"/>
      <c r="AD1302" s="132"/>
      <c r="AE1302" s="130">
        <f t="shared" si="556"/>
        <v>0</v>
      </c>
      <c r="AF1302" s="130">
        <f t="shared" si="557"/>
        <v>0</v>
      </c>
    </row>
    <row r="1303" spans="1:33" ht="14.25" thickBot="1" x14ac:dyDescent="0.2">
      <c r="A1303" s="39" t="s">
        <v>20</v>
      </c>
      <c r="B1303" s="32">
        <f t="shared" ref="B1303:J1303" si="558">SUM(B1294:B1302)</f>
        <v>118</v>
      </c>
      <c r="C1303" s="33">
        <f t="shared" si="558"/>
        <v>156</v>
      </c>
      <c r="D1303" s="34">
        <f t="shared" si="558"/>
        <v>98</v>
      </c>
      <c r="E1303" s="42">
        <f t="shared" si="558"/>
        <v>372</v>
      </c>
      <c r="F1303" s="32">
        <f t="shared" si="558"/>
        <v>120</v>
      </c>
      <c r="G1303" s="33">
        <f t="shared" si="558"/>
        <v>120</v>
      </c>
      <c r="H1303" s="34">
        <f t="shared" si="558"/>
        <v>95</v>
      </c>
      <c r="I1303" s="42">
        <f t="shared" si="558"/>
        <v>335</v>
      </c>
      <c r="J1303" s="42">
        <f t="shared" si="558"/>
        <v>707</v>
      </c>
      <c r="W1303" s="39" t="s">
        <v>20</v>
      </c>
      <c r="X1303" s="32">
        <f t="shared" ref="X1303:AF1303" si="559">SUM(X1294:X1302)</f>
        <v>809</v>
      </c>
      <c r="Y1303" s="33">
        <f t="shared" si="559"/>
        <v>842</v>
      </c>
      <c r="Z1303" s="34">
        <f t="shared" si="559"/>
        <v>638</v>
      </c>
      <c r="AA1303" s="42">
        <f t="shared" si="559"/>
        <v>2289</v>
      </c>
      <c r="AB1303" s="32">
        <f t="shared" si="559"/>
        <v>90</v>
      </c>
      <c r="AC1303" s="33">
        <f t="shared" si="559"/>
        <v>85</v>
      </c>
      <c r="AD1303" s="34">
        <f t="shared" si="559"/>
        <v>133</v>
      </c>
      <c r="AE1303" s="42">
        <f t="shared" si="559"/>
        <v>308</v>
      </c>
      <c r="AF1303" s="42">
        <f t="shared" si="559"/>
        <v>2597</v>
      </c>
    </row>
    <row r="1304" spans="1:33" x14ac:dyDescent="0.15">
      <c r="A1304" s="29" t="s">
        <v>656</v>
      </c>
      <c r="B1304" s="13">
        <v>1</v>
      </c>
      <c r="C1304" s="14"/>
      <c r="D1304" s="15"/>
      <c r="E1304" s="11">
        <f>SUM(B1304:D1304)</f>
        <v>1</v>
      </c>
      <c r="F1304" s="16">
        <v>1</v>
      </c>
      <c r="G1304" s="14"/>
      <c r="H1304" s="15"/>
      <c r="I1304" s="11">
        <f>SUM(F1304:H1304)</f>
        <v>1</v>
      </c>
      <c r="J1304" s="11">
        <f>E1304+I1304</f>
        <v>2</v>
      </c>
      <c r="K1304" s="65">
        <v>42941</v>
      </c>
      <c r="W1304" s="28" t="s">
        <v>655</v>
      </c>
      <c r="X1304" s="13"/>
      <c r="Y1304" s="14"/>
      <c r="Z1304" s="15"/>
      <c r="AA1304" s="11">
        <f>SUM(X1304:Z1304)</f>
        <v>0</v>
      </c>
      <c r="AB1304" s="16"/>
      <c r="AC1304" s="14"/>
      <c r="AD1304" s="15">
        <v>50</v>
      </c>
      <c r="AE1304" s="11">
        <f>SUM(AB1304:AD1304)</f>
        <v>50</v>
      </c>
      <c r="AF1304" s="11">
        <f t="shared" ref="AF1304:AF1329" si="560">AA1304+AE1304</f>
        <v>50</v>
      </c>
      <c r="AG1304" s="65">
        <v>42936</v>
      </c>
    </row>
    <row r="1305" spans="1:33" x14ac:dyDescent="0.15">
      <c r="A1305" s="29" t="s">
        <v>658</v>
      </c>
      <c r="B1305" s="13"/>
      <c r="C1305" s="14"/>
      <c r="D1305" s="15"/>
      <c r="E1305" s="11">
        <f t="shared" ref="E1305:E1329" si="561">SUM(B1305:D1305)</f>
        <v>0</v>
      </c>
      <c r="F1305" s="16"/>
      <c r="G1305" s="14">
        <v>3</v>
      </c>
      <c r="H1305" s="15"/>
      <c r="I1305" s="11">
        <f>SUM(F1305:H1305)</f>
        <v>3</v>
      </c>
      <c r="J1305" s="11">
        <f t="shared" ref="J1305:J1329" si="562">E1305+I1305</f>
        <v>3</v>
      </c>
      <c r="K1305" s="65">
        <v>42943</v>
      </c>
      <c r="W1305" s="28" t="s">
        <v>41</v>
      </c>
      <c r="X1305" s="8">
        <v>30</v>
      </c>
      <c r="Y1305" s="9">
        <v>30</v>
      </c>
      <c r="Z1305" s="10">
        <v>20</v>
      </c>
      <c r="AA1305" s="11">
        <f>SUM(X1305:Z1305)</f>
        <v>80</v>
      </c>
      <c r="AB1305" s="12">
        <v>30</v>
      </c>
      <c r="AC1305" s="9">
        <v>30</v>
      </c>
      <c r="AD1305" s="10">
        <v>20</v>
      </c>
      <c r="AE1305" s="11">
        <f>SUM(AB1305:AD1305)</f>
        <v>80</v>
      </c>
      <c r="AF1305" s="11">
        <f t="shared" si="560"/>
        <v>160</v>
      </c>
      <c r="AG1305" s="65">
        <v>42961</v>
      </c>
    </row>
    <row r="1306" spans="1:33" x14ac:dyDescent="0.15">
      <c r="A1306" s="27" t="s">
        <v>657</v>
      </c>
      <c r="B1306" s="8"/>
      <c r="C1306" s="9"/>
      <c r="D1306" s="10"/>
      <c r="E1306" s="11">
        <f t="shared" si="561"/>
        <v>0</v>
      </c>
      <c r="F1306" s="12">
        <v>7</v>
      </c>
      <c r="G1306" s="9"/>
      <c r="H1306" s="10"/>
      <c r="I1306" s="11">
        <f>SUM(F1306:H1306)</f>
        <v>7</v>
      </c>
      <c r="J1306" s="11">
        <f t="shared" si="562"/>
        <v>7</v>
      </c>
      <c r="K1306" s="65">
        <v>42950</v>
      </c>
      <c r="W1306" s="28" t="s">
        <v>41</v>
      </c>
      <c r="X1306" s="8"/>
      <c r="Y1306" s="9"/>
      <c r="Z1306" s="10">
        <v>50</v>
      </c>
      <c r="AA1306" s="11">
        <f t="shared" ref="AA1306:AA1329" si="563">SUM(X1306:Z1306)</f>
        <v>50</v>
      </c>
      <c r="AB1306" s="12"/>
      <c r="AC1306" s="9"/>
      <c r="AD1306" s="10"/>
      <c r="AE1306" s="11">
        <f t="shared" ref="AE1306:AE1329" si="564">SUM(AB1306:AD1306)</f>
        <v>0</v>
      </c>
      <c r="AF1306" s="11">
        <f t="shared" si="560"/>
        <v>50</v>
      </c>
      <c r="AG1306" s="65">
        <v>42966</v>
      </c>
    </row>
    <row r="1307" spans="1:33" x14ac:dyDescent="0.15">
      <c r="A1307" s="29" t="s">
        <v>660</v>
      </c>
      <c r="B1307" s="8">
        <v>1</v>
      </c>
      <c r="C1307" s="9"/>
      <c r="D1307" s="10"/>
      <c r="E1307" s="11">
        <f t="shared" si="561"/>
        <v>1</v>
      </c>
      <c r="F1307" s="12">
        <v>1</v>
      </c>
      <c r="G1307" s="9"/>
      <c r="H1307" s="10"/>
      <c r="I1307" s="11">
        <f>SUM(F1307:H1307)</f>
        <v>1</v>
      </c>
      <c r="J1307" s="11">
        <f t="shared" si="562"/>
        <v>2</v>
      </c>
      <c r="K1307" s="71">
        <v>42949</v>
      </c>
      <c r="W1307" s="28" t="s">
        <v>41</v>
      </c>
      <c r="X1307" s="8">
        <v>50</v>
      </c>
      <c r="Y1307" s="9"/>
      <c r="Z1307" s="10"/>
      <c r="AA1307" s="11">
        <f t="shared" si="563"/>
        <v>50</v>
      </c>
      <c r="AB1307" s="12">
        <v>10</v>
      </c>
      <c r="AC1307" s="9">
        <v>5</v>
      </c>
      <c r="AD1307" s="10"/>
      <c r="AE1307" s="11">
        <f t="shared" si="564"/>
        <v>15</v>
      </c>
      <c r="AF1307" s="11">
        <f t="shared" si="560"/>
        <v>65</v>
      </c>
      <c r="AG1307" s="65">
        <v>42970</v>
      </c>
    </row>
    <row r="1308" spans="1:33" x14ac:dyDescent="0.15">
      <c r="A1308" s="29" t="s">
        <v>354</v>
      </c>
      <c r="B1308" s="8">
        <v>20</v>
      </c>
      <c r="C1308" s="9">
        <v>20</v>
      </c>
      <c r="D1308" s="10">
        <v>15</v>
      </c>
      <c r="E1308" s="11">
        <f t="shared" si="561"/>
        <v>55</v>
      </c>
      <c r="F1308" s="12">
        <v>5</v>
      </c>
      <c r="G1308" s="9">
        <v>5</v>
      </c>
      <c r="H1308" s="10"/>
      <c r="I1308" s="11">
        <f>SUM(F1308:H1308)</f>
        <v>10</v>
      </c>
      <c r="J1308" s="11">
        <f t="shared" si="562"/>
        <v>65</v>
      </c>
      <c r="K1308" s="65">
        <v>42961</v>
      </c>
      <c r="W1308" s="28" t="s">
        <v>41</v>
      </c>
      <c r="X1308" s="8"/>
      <c r="Y1308" s="9">
        <v>50</v>
      </c>
      <c r="Z1308" s="10"/>
      <c r="AA1308" s="11">
        <f t="shared" si="563"/>
        <v>50</v>
      </c>
      <c r="AB1308" s="12"/>
      <c r="AC1308" s="9"/>
      <c r="AD1308" s="10"/>
      <c r="AE1308" s="11">
        <f t="shared" si="564"/>
        <v>0</v>
      </c>
      <c r="AF1308" s="11">
        <f t="shared" si="560"/>
        <v>50</v>
      </c>
      <c r="AG1308" s="65">
        <v>42977</v>
      </c>
    </row>
    <row r="1309" spans="1:33" x14ac:dyDescent="0.15">
      <c r="A1309" s="29" t="s">
        <v>661</v>
      </c>
      <c r="B1309" s="8"/>
      <c r="C1309" s="9">
        <v>1</v>
      </c>
      <c r="D1309" s="10"/>
      <c r="E1309" s="139">
        <f t="shared" si="561"/>
        <v>1</v>
      </c>
      <c r="F1309" s="140"/>
      <c r="G1309" s="140">
        <v>1</v>
      </c>
      <c r="H1309" s="10"/>
      <c r="I1309" s="11">
        <f t="shared" ref="I1309:I1329" si="565">SUM(F1309:H1309)</f>
        <v>1</v>
      </c>
      <c r="J1309" s="11">
        <f t="shared" si="562"/>
        <v>2</v>
      </c>
      <c r="K1309" s="71">
        <v>42954</v>
      </c>
      <c r="W1309" s="27" t="s">
        <v>673</v>
      </c>
      <c r="X1309" s="8">
        <v>50</v>
      </c>
      <c r="Y1309" s="9">
        <v>10</v>
      </c>
      <c r="Z1309" s="10">
        <v>20</v>
      </c>
      <c r="AA1309" s="11">
        <f t="shared" si="563"/>
        <v>80</v>
      </c>
      <c r="AB1309" s="12"/>
      <c r="AC1309" s="9"/>
      <c r="AD1309" s="10"/>
      <c r="AE1309" s="11">
        <f t="shared" si="564"/>
        <v>0</v>
      </c>
      <c r="AF1309" s="11">
        <f t="shared" si="560"/>
        <v>80</v>
      </c>
      <c r="AG1309" s="65">
        <v>43006</v>
      </c>
    </row>
    <row r="1310" spans="1:33" x14ac:dyDescent="0.15">
      <c r="A1310" s="29" t="s">
        <v>662</v>
      </c>
      <c r="B1310" s="8">
        <v>30</v>
      </c>
      <c r="C1310" s="9">
        <v>30</v>
      </c>
      <c r="D1310" s="10">
        <v>20</v>
      </c>
      <c r="E1310" s="11">
        <f t="shared" si="561"/>
        <v>80</v>
      </c>
      <c r="F1310" s="12">
        <v>30</v>
      </c>
      <c r="G1310" s="9">
        <v>30</v>
      </c>
      <c r="H1310" s="10">
        <v>20</v>
      </c>
      <c r="I1310" s="11">
        <f t="shared" si="565"/>
        <v>80</v>
      </c>
      <c r="J1310" s="11">
        <f t="shared" si="562"/>
        <v>160</v>
      </c>
      <c r="K1310" s="65">
        <v>42962</v>
      </c>
      <c r="W1310" s="28" t="s">
        <v>41</v>
      </c>
      <c r="X1310" s="8"/>
      <c r="Y1310" s="9"/>
      <c r="Z1310" s="10"/>
      <c r="AA1310" s="11">
        <f t="shared" si="563"/>
        <v>0</v>
      </c>
      <c r="AB1310" s="12">
        <v>50</v>
      </c>
      <c r="AC1310" s="9">
        <v>50</v>
      </c>
      <c r="AD1310" s="10"/>
      <c r="AE1310" s="11">
        <f t="shared" si="564"/>
        <v>100</v>
      </c>
      <c r="AF1310" s="11">
        <f t="shared" si="560"/>
        <v>100</v>
      </c>
      <c r="AG1310" s="65">
        <v>43013</v>
      </c>
    </row>
    <row r="1311" spans="1:33" x14ac:dyDescent="0.15">
      <c r="A1311" s="26" t="s">
        <v>663</v>
      </c>
      <c r="B1311" s="8"/>
      <c r="C1311" s="9"/>
      <c r="D1311" s="10"/>
      <c r="E1311" s="11">
        <f t="shared" si="561"/>
        <v>0</v>
      </c>
      <c r="F1311" s="12">
        <v>3</v>
      </c>
      <c r="G1311" s="9"/>
      <c r="H1311" s="10"/>
      <c r="I1311" s="11">
        <f t="shared" si="565"/>
        <v>3</v>
      </c>
      <c r="J1311" s="11">
        <f t="shared" si="562"/>
        <v>3</v>
      </c>
      <c r="K1311" s="71">
        <v>42961</v>
      </c>
      <c r="W1311" s="29"/>
      <c r="X1311" s="8"/>
      <c r="Y1311" s="9"/>
      <c r="Z1311" s="10"/>
      <c r="AA1311" s="11">
        <f t="shared" si="563"/>
        <v>0</v>
      </c>
      <c r="AB1311" s="12"/>
      <c r="AC1311" s="9"/>
      <c r="AD1311" s="10"/>
      <c r="AE1311" s="11">
        <f t="shared" si="564"/>
        <v>0</v>
      </c>
      <c r="AF1311" s="11">
        <f t="shared" si="560"/>
        <v>0</v>
      </c>
    </row>
    <row r="1312" spans="1:33" x14ac:dyDescent="0.15">
      <c r="A1312" s="27" t="s">
        <v>664</v>
      </c>
      <c r="B1312" s="13">
        <v>-8</v>
      </c>
      <c r="C1312" s="14">
        <v>-19</v>
      </c>
      <c r="D1312" s="15">
        <v>-10</v>
      </c>
      <c r="E1312" s="11">
        <f t="shared" si="561"/>
        <v>-37</v>
      </c>
      <c r="F1312" s="16">
        <v>-5</v>
      </c>
      <c r="G1312" s="14">
        <v>-6</v>
      </c>
      <c r="H1312" s="15">
        <v>-3</v>
      </c>
      <c r="I1312" s="11">
        <f t="shared" si="565"/>
        <v>-14</v>
      </c>
      <c r="J1312" s="11">
        <f t="shared" si="562"/>
        <v>-51</v>
      </c>
      <c r="K1312" s="71">
        <v>42963</v>
      </c>
      <c r="W1312" s="27"/>
      <c r="X1312" s="8"/>
      <c r="Y1312" s="9"/>
      <c r="Z1312" s="10"/>
      <c r="AA1312" s="11">
        <f t="shared" si="563"/>
        <v>0</v>
      </c>
      <c r="AB1312" s="12"/>
      <c r="AC1312" s="9"/>
      <c r="AD1312" s="10"/>
      <c r="AE1312" s="11">
        <f t="shared" si="564"/>
        <v>0</v>
      </c>
      <c r="AF1312" s="11">
        <f t="shared" si="560"/>
        <v>0</v>
      </c>
    </row>
    <row r="1313" spans="1:33" x14ac:dyDescent="0.15">
      <c r="A1313" s="29" t="s">
        <v>665</v>
      </c>
      <c r="B1313" s="13">
        <v>8</v>
      </c>
      <c r="C1313" s="14">
        <v>19</v>
      </c>
      <c r="D1313" s="15">
        <v>10</v>
      </c>
      <c r="E1313" s="11">
        <f t="shared" si="561"/>
        <v>37</v>
      </c>
      <c r="F1313" s="16">
        <v>5</v>
      </c>
      <c r="G1313" s="14">
        <v>6</v>
      </c>
      <c r="H1313" s="15">
        <v>3</v>
      </c>
      <c r="I1313" s="11">
        <f t="shared" si="565"/>
        <v>14</v>
      </c>
      <c r="J1313" s="11">
        <f t="shared" si="562"/>
        <v>51</v>
      </c>
      <c r="K1313" s="65">
        <v>42969</v>
      </c>
      <c r="W1313" s="29"/>
      <c r="X1313" s="13"/>
      <c r="Y1313" s="14"/>
      <c r="Z1313" s="15"/>
      <c r="AA1313" s="11">
        <f t="shared" si="563"/>
        <v>0</v>
      </c>
      <c r="AB1313" s="16"/>
      <c r="AC1313" s="14"/>
      <c r="AD1313" s="15"/>
      <c r="AE1313" s="11">
        <f t="shared" si="564"/>
        <v>0</v>
      </c>
      <c r="AF1313" s="11">
        <f t="shared" si="560"/>
        <v>0</v>
      </c>
    </row>
    <row r="1314" spans="1:33" x14ac:dyDescent="0.15">
      <c r="A1314" s="29" t="s">
        <v>666</v>
      </c>
      <c r="B1314" s="8"/>
      <c r="C1314" s="9"/>
      <c r="D1314" s="10">
        <v>5</v>
      </c>
      <c r="E1314" s="11">
        <f t="shared" si="561"/>
        <v>5</v>
      </c>
      <c r="F1314" s="12"/>
      <c r="G1314" s="9"/>
      <c r="H1314" s="10"/>
      <c r="I1314" s="11">
        <f t="shared" si="565"/>
        <v>0</v>
      </c>
      <c r="J1314" s="11">
        <f t="shared" si="562"/>
        <v>5</v>
      </c>
      <c r="K1314" s="65">
        <v>42965</v>
      </c>
      <c r="W1314" s="29"/>
      <c r="X1314" s="8"/>
      <c r="Y1314" s="9"/>
      <c r="Z1314" s="10"/>
      <c r="AA1314" s="11">
        <f t="shared" si="563"/>
        <v>0</v>
      </c>
      <c r="AB1314" s="12"/>
      <c r="AC1314" s="9"/>
      <c r="AD1314" s="10"/>
      <c r="AE1314" s="11">
        <f t="shared" si="564"/>
        <v>0</v>
      </c>
      <c r="AF1314" s="11">
        <f t="shared" si="560"/>
        <v>0</v>
      </c>
    </row>
    <row r="1315" spans="1:33" x14ac:dyDescent="0.15">
      <c r="A1315" s="29" t="s">
        <v>668</v>
      </c>
      <c r="B1315" s="8">
        <v>11</v>
      </c>
      <c r="C1315" s="9">
        <v>13</v>
      </c>
      <c r="D1315" s="10"/>
      <c r="E1315" s="11">
        <f t="shared" si="561"/>
        <v>24</v>
      </c>
      <c r="F1315" s="12">
        <v>6</v>
      </c>
      <c r="G1315" s="9">
        <v>5</v>
      </c>
      <c r="H1315" s="10"/>
      <c r="I1315" s="11">
        <f t="shared" si="565"/>
        <v>11</v>
      </c>
      <c r="J1315" s="11">
        <f t="shared" si="562"/>
        <v>35</v>
      </c>
      <c r="K1315" s="65">
        <v>42969</v>
      </c>
      <c r="W1315" s="29"/>
      <c r="X1315" s="8"/>
      <c r="Y1315" s="9"/>
      <c r="Z1315" s="10"/>
      <c r="AA1315" s="11">
        <f t="shared" si="563"/>
        <v>0</v>
      </c>
      <c r="AB1315" s="12"/>
      <c r="AC1315" s="9"/>
      <c r="AD1315" s="10"/>
      <c r="AE1315" s="11">
        <f t="shared" si="564"/>
        <v>0</v>
      </c>
      <c r="AF1315" s="11">
        <f t="shared" si="560"/>
        <v>0</v>
      </c>
    </row>
    <row r="1316" spans="1:33" x14ac:dyDescent="0.15">
      <c r="A1316" s="26" t="s">
        <v>67</v>
      </c>
      <c r="B1316" s="8"/>
      <c r="C1316" s="9"/>
      <c r="D1316" s="10"/>
      <c r="E1316" s="11">
        <f t="shared" si="561"/>
        <v>0</v>
      </c>
      <c r="F1316" s="12"/>
      <c r="G1316" s="9">
        <v>1</v>
      </c>
      <c r="H1316" s="10"/>
      <c r="I1316" s="11">
        <f t="shared" si="565"/>
        <v>1</v>
      </c>
      <c r="J1316" s="11">
        <f t="shared" si="562"/>
        <v>1</v>
      </c>
      <c r="K1316" s="71">
        <v>42968</v>
      </c>
      <c r="W1316" s="27"/>
      <c r="X1316" s="8"/>
      <c r="Y1316" s="9"/>
      <c r="Z1316" s="10"/>
      <c r="AA1316" s="11">
        <f t="shared" si="563"/>
        <v>0</v>
      </c>
      <c r="AB1316" s="12"/>
      <c r="AC1316" s="9"/>
      <c r="AD1316" s="10"/>
      <c r="AE1316" s="11">
        <f t="shared" si="564"/>
        <v>0</v>
      </c>
      <c r="AF1316" s="11">
        <f t="shared" si="560"/>
        <v>0</v>
      </c>
    </row>
    <row r="1317" spans="1:33" x14ac:dyDescent="0.15">
      <c r="A1317" s="27" t="s">
        <v>669</v>
      </c>
      <c r="B1317" s="8"/>
      <c r="C1317" s="9"/>
      <c r="D1317" s="10">
        <v>3</v>
      </c>
      <c r="E1317" s="11">
        <f t="shared" si="561"/>
        <v>3</v>
      </c>
      <c r="F1317" s="12"/>
      <c r="G1317" s="9"/>
      <c r="H1317" s="10"/>
      <c r="I1317" s="11">
        <f t="shared" si="565"/>
        <v>0</v>
      </c>
      <c r="J1317" s="11">
        <f t="shared" si="562"/>
        <v>3</v>
      </c>
      <c r="K1317" s="65">
        <v>42971</v>
      </c>
      <c r="W1317" s="29"/>
      <c r="X1317" s="8"/>
      <c r="Y1317" s="9"/>
      <c r="Z1317" s="10"/>
      <c r="AA1317" s="11">
        <f t="shared" si="563"/>
        <v>0</v>
      </c>
      <c r="AB1317" s="12"/>
      <c r="AC1317" s="9"/>
      <c r="AD1317" s="10"/>
      <c r="AE1317" s="11">
        <f t="shared" si="564"/>
        <v>0</v>
      </c>
      <c r="AF1317" s="11">
        <f t="shared" si="560"/>
        <v>0</v>
      </c>
    </row>
    <row r="1318" spans="1:33" x14ac:dyDescent="0.15">
      <c r="A1318" s="29" t="s">
        <v>670</v>
      </c>
      <c r="B1318" s="8">
        <v>24</v>
      </c>
      <c r="C1318" s="9">
        <v>40</v>
      </c>
      <c r="D1318" s="10">
        <v>21</v>
      </c>
      <c r="E1318" s="11">
        <f t="shared" si="561"/>
        <v>85</v>
      </c>
      <c r="F1318" s="12"/>
      <c r="G1318" s="9"/>
      <c r="H1318" s="10"/>
      <c r="I1318" s="11">
        <f t="shared" si="565"/>
        <v>0</v>
      </c>
      <c r="J1318" s="11">
        <f t="shared" si="562"/>
        <v>85</v>
      </c>
      <c r="K1318" s="65">
        <v>42978</v>
      </c>
      <c r="W1318" s="29"/>
      <c r="X1318" s="8"/>
      <c r="Y1318" s="9"/>
      <c r="Z1318" s="10"/>
      <c r="AA1318" s="11">
        <f t="shared" si="563"/>
        <v>0</v>
      </c>
      <c r="AB1318" s="12"/>
      <c r="AC1318" s="9"/>
      <c r="AD1318" s="10"/>
      <c r="AE1318" s="11">
        <f t="shared" si="564"/>
        <v>0</v>
      </c>
      <c r="AF1318" s="11">
        <f t="shared" si="560"/>
        <v>0</v>
      </c>
    </row>
    <row r="1319" spans="1:33" x14ac:dyDescent="0.15">
      <c r="A1319" s="27" t="s">
        <v>671</v>
      </c>
      <c r="B1319" s="8"/>
      <c r="C1319" s="9"/>
      <c r="D1319" s="10"/>
      <c r="E1319" s="11">
        <f t="shared" si="561"/>
        <v>0</v>
      </c>
      <c r="F1319" s="12"/>
      <c r="G1319" s="9">
        <v>5</v>
      </c>
      <c r="H1319" s="10"/>
      <c r="I1319" s="11">
        <f t="shared" si="565"/>
        <v>5</v>
      </c>
      <c r="J1319" s="11">
        <f t="shared" si="562"/>
        <v>5</v>
      </c>
      <c r="K1319" s="65">
        <v>42980</v>
      </c>
      <c r="W1319" s="27"/>
      <c r="X1319" s="8"/>
      <c r="Y1319" s="9"/>
      <c r="Z1319" s="10"/>
      <c r="AA1319" s="11">
        <f t="shared" si="563"/>
        <v>0</v>
      </c>
      <c r="AB1319" s="12"/>
      <c r="AC1319" s="9"/>
      <c r="AD1319" s="10"/>
      <c r="AE1319" s="11">
        <f t="shared" si="564"/>
        <v>0</v>
      </c>
      <c r="AF1319" s="11">
        <f t="shared" si="560"/>
        <v>0</v>
      </c>
    </row>
    <row r="1320" spans="1:33" x14ac:dyDescent="0.15">
      <c r="A1320" s="27" t="s">
        <v>671</v>
      </c>
      <c r="B1320" s="8"/>
      <c r="C1320" s="9">
        <v>5</v>
      </c>
      <c r="D1320" s="10"/>
      <c r="E1320" s="11">
        <f t="shared" si="561"/>
        <v>5</v>
      </c>
      <c r="F1320" s="12"/>
      <c r="G1320" s="9"/>
      <c r="H1320" s="10"/>
      <c r="I1320" s="11">
        <f t="shared" si="565"/>
        <v>0</v>
      </c>
      <c r="J1320" s="11">
        <f t="shared" si="562"/>
        <v>5</v>
      </c>
      <c r="K1320" s="65">
        <v>42993</v>
      </c>
      <c r="W1320" s="29"/>
      <c r="X1320" s="8"/>
      <c r="Y1320" s="9"/>
      <c r="Z1320" s="10"/>
      <c r="AA1320" s="11">
        <f t="shared" si="563"/>
        <v>0</v>
      </c>
      <c r="AB1320" s="12"/>
      <c r="AC1320" s="9"/>
      <c r="AD1320" s="10"/>
      <c r="AE1320" s="11">
        <f t="shared" si="564"/>
        <v>0</v>
      </c>
      <c r="AF1320" s="11">
        <f t="shared" si="560"/>
        <v>0</v>
      </c>
    </row>
    <row r="1321" spans="1:33" x14ac:dyDescent="0.15">
      <c r="A1321" s="27" t="s">
        <v>672</v>
      </c>
      <c r="B1321" s="8"/>
      <c r="C1321" s="9"/>
      <c r="D1321" s="10"/>
      <c r="E1321" s="11">
        <f t="shared" si="561"/>
        <v>0</v>
      </c>
      <c r="F1321" s="12">
        <v>1</v>
      </c>
      <c r="G1321" s="9"/>
      <c r="H1321" s="10"/>
      <c r="I1321" s="11">
        <f t="shared" si="565"/>
        <v>1</v>
      </c>
      <c r="J1321" s="11">
        <f t="shared" si="562"/>
        <v>1</v>
      </c>
      <c r="K1321" s="71">
        <v>42993</v>
      </c>
      <c r="W1321" s="27"/>
      <c r="X1321" s="8"/>
      <c r="Y1321" s="9"/>
      <c r="Z1321" s="10"/>
      <c r="AA1321" s="11">
        <f t="shared" si="563"/>
        <v>0</v>
      </c>
      <c r="AB1321" s="12"/>
      <c r="AC1321" s="9"/>
      <c r="AD1321" s="10"/>
      <c r="AE1321" s="11">
        <f t="shared" si="564"/>
        <v>0</v>
      </c>
      <c r="AF1321" s="11">
        <f t="shared" si="560"/>
        <v>0</v>
      </c>
    </row>
    <row r="1322" spans="1:33" x14ac:dyDescent="0.15">
      <c r="A1322" s="27" t="s">
        <v>67</v>
      </c>
      <c r="B1322" s="8"/>
      <c r="C1322" s="9">
        <v>1</v>
      </c>
      <c r="D1322" s="10"/>
      <c r="E1322" s="11">
        <f t="shared" si="561"/>
        <v>1</v>
      </c>
      <c r="F1322" s="12"/>
      <c r="G1322" s="9"/>
      <c r="H1322" s="10"/>
      <c r="I1322" s="11">
        <f t="shared" si="565"/>
        <v>0</v>
      </c>
      <c r="J1322" s="11">
        <f t="shared" si="562"/>
        <v>1</v>
      </c>
      <c r="K1322" s="71">
        <v>43000</v>
      </c>
      <c r="W1322" s="26"/>
      <c r="X1322" s="8"/>
      <c r="Y1322" s="9"/>
      <c r="Z1322" s="10"/>
      <c r="AA1322" s="11">
        <f t="shared" si="563"/>
        <v>0</v>
      </c>
      <c r="AB1322" s="12"/>
      <c r="AC1322" s="9"/>
      <c r="AD1322" s="10"/>
      <c r="AE1322" s="11">
        <f t="shared" si="564"/>
        <v>0</v>
      </c>
      <c r="AF1322" s="11">
        <f t="shared" si="560"/>
        <v>0</v>
      </c>
    </row>
    <row r="1323" spans="1:33" x14ac:dyDescent="0.15">
      <c r="A1323" s="29" t="s">
        <v>674</v>
      </c>
      <c r="B1323" s="8"/>
      <c r="C1323" s="9"/>
      <c r="D1323" s="10"/>
      <c r="E1323" s="11">
        <f t="shared" si="561"/>
        <v>0</v>
      </c>
      <c r="F1323" s="12"/>
      <c r="G1323" s="9"/>
      <c r="H1323" s="10">
        <v>8</v>
      </c>
      <c r="I1323" s="11">
        <f t="shared" si="565"/>
        <v>8</v>
      </c>
      <c r="J1323" s="11">
        <f t="shared" si="562"/>
        <v>8</v>
      </c>
      <c r="K1323" s="65">
        <v>43011</v>
      </c>
      <c r="W1323" s="26"/>
      <c r="X1323" s="8"/>
      <c r="Y1323" s="9"/>
      <c r="Z1323" s="10"/>
      <c r="AA1323" s="11">
        <f t="shared" si="563"/>
        <v>0</v>
      </c>
      <c r="AB1323" s="12"/>
      <c r="AC1323" s="9"/>
      <c r="AD1323" s="10"/>
      <c r="AE1323" s="11">
        <f t="shared" si="564"/>
        <v>0</v>
      </c>
      <c r="AF1323" s="11">
        <f t="shared" si="560"/>
        <v>0</v>
      </c>
    </row>
    <row r="1324" spans="1:33" x14ac:dyDescent="0.15">
      <c r="A1324" s="27" t="s">
        <v>67</v>
      </c>
      <c r="B1324" s="8"/>
      <c r="C1324" s="9"/>
      <c r="D1324" s="10"/>
      <c r="E1324" s="11">
        <f t="shared" si="561"/>
        <v>0</v>
      </c>
      <c r="F1324" s="12"/>
      <c r="G1324" s="9">
        <v>2</v>
      </c>
      <c r="H1324" s="10"/>
      <c r="I1324" s="11">
        <f t="shared" si="565"/>
        <v>2</v>
      </c>
      <c r="J1324" s="11">
        <f t="shared" si="562"/>
        <v>2</v>
      </c>
      <c r="K1324" s="71">
        <v>43004</v>
      </c>
      <c r="W1324" s="27"/>
      <c r="X1324" s="8"/>
      <c r="Y1324" s="9"/>
      <c r="Z1324" s="10"/>
      <c r="AA1324" s="11">
        <f t="shared" si="563"/>
        <v>0</v>
      </c>
      <c r="AB1324" s="12"/>
      <c r="AC1324" s="9"/>
      <c r="AD1324" s="10"/>
      <c r="AE1324" s="11">
        <f t="shared" si="564"/>
        <v>0</v>
      </c>
      <c r="AF1324" s="11">
        <f t="shared" si="560"/>
        <v>0</v>
      </c>
    </row>
    <row r="1325" spans="1:33" x14ac:dyDescent="0.15">
      <c r="A1325" s="27" t="s">
        <v>67</v>
      </c>
      <c r="B1325" s="13"/>
      <c r="C1325" s="14"/>
      <c r="D1325" s="15"/>
      <c r="E1325" s="11">
        <f t="shared" si="561"/>
        <v>0</v>
      </c>
      <c r="F1325" s="16"/>
      <c r="G1325" s="14">
        <v>1</v>
      </c>
      <c r="H1325" s="15"/>
      <c r="I1325" s="11">
        <f t="shared" si="565"/>
        <v>1</v>
      </c>
      <c r="J1325" s="11">
        <f t="shared" si="562"/>
        <v>1</v>
      </c>
      <c r="K1325" s="71">
        <v>43010</v>
      </c>
      <c r="W1325" s="27"/>
      <c r="X1325" s="13"/>
      <c r="Y1325" s="14"/>
      <c r="Z1325" s="15"/>
      <c r="AA1325" s="11">
        <f t="shared" si="563"/>
        <v>0</v>
      </c>
      <c r="AB1325" s="16"/>
      <c r="AC1325" s="14"/>
      <c r="AD1325" s="15"/>
      <c r="AE1325" s="11">
        <f t="shared" si="564"/>
        <v>0</v>
      </c>
      <c r="AF1325" s="11">
        <f t="shared" si="560"/>
        <v>0</v>
      </c>
    </row>
    <row r="1326" spans="1:33" x14ac:dyDescent="0.15">
      <c r="A1326" s="27" t="s">
        <v>675</v>
      </c>
      <c r="B1326" s="8">
        <v>15</v>
      </c>
      <c r="C1326" s="9">
        <v>10</v>
      </c>
      <c r="D1326" s="10">
        <v>10</v>
      </c>
      <c r="E1326" s="11">
        <f t="shared" si="561"/>
        <v>35</v>
      </c>
      <c r="F1326" s="12">
        <v>10</v>
      </c>
      <c r="G1326" s="9">
        <v>15</v>
      </c>
      <c r="H1326" s="10">
        <v>10</v>
      </c>
      <c r="I1326" s="11">
        <f t="shared" si="565"/>
        <v>35</v>
      </c>
      <c r="J1326" s="11">
        <f t="shared" si="562"/>
        <v>70</v>
      </c>
      <c r="K1326" s="65">
        <v>43012</v>
      </c>
      <c r="W1326" s="86"/>
      <c r="X1326" s="13"/>
      <c r="Y1326" s="14"/>
      <c r="Z1326" s="15"/>
      <c r="AA1326" s="11">
        <f t="shared" si="563"/>
        <v>0</v>
      </c>
      <c r="AB1326" s="16"/>
      <c r="AC1326" s="14"/>
      <c r="AD1326" s="15"/>
      <c r="AE1326" s="11">
        <f t="shared" si="564"/>
        <v>0</v>
      </c>
      <c r="AF1326" s="11">
        <f t="shared" si="560"/>
        <v>0</v>
      </c>
    </row>
    <row r="1327" spans="1:33" x14ac:dyDescent="0.15">
      <c r="A1327" s="27" t="s">
        <v>67</v>
      </c>
      <c r="B1327" s="8"/>
      <c r="C1327" s="9"/>
      <c r="D1327" s="10"/>
      <c r="E1327" s="11">
        <f t="shared" si="561"/>
        <v>0</v>
      </c>
      <c r="F1327" s="12"/>
      <c r="G1327" s="9">
        <v>1</v>
      </c>
      <c r="H1327" s="10"/>
      <c r="I1327" s="11">
        <f t="shared" si="565"/>
        <v>1</v>
      </c>
      <c r="J1327" s="11">
        <f t="shared" si="562"/>
        <v>1</v>
      </c>
      <c r="K1327" s="71">
        <v>43012</v>
      </c>
      <c r="W1327" s="86"/>
      <c r="X1327" s="13"/>
      <c r="Y1327" s="14"/>
      <c r="Z1327" s="15"/>
      <c r="AA1327" s="11">
        <f t="shared" si="563"/>
        <v>0</v>
      </c>
      <c r="AB1327" s="16"/>
      <c r="AC1327" s="14"/>
      <c r="AD1327" s="15"/>
      <c r="AE1327" s="11">
        <f t="shared" si="564"/>
        <v>0</v>
      </c>
      <c r="AF1327" s="11">
        <f t="shared" si="560"/>
        <v>0</v>
      </c>
    </row>
    <row r="1328" spans="1:33" x14ac:dyDescent="0.15">
      <c r="A1328" s="27" t="s">
        <v>667</v>
      </c>
      <c r="B1328" s="8">
        <v>5</v>
      </c>
      <c r="C1328" s="9"/>
      <c r="D1328" s="10"/>
      <c r="E1328" s="11">
        <f t="shared" si="561"/>
        <v>5</v>
      </c>
      <c r="F1328" s="12"/>
      <c r="G1328" s="9"/>
      <c r="H1328" s="10"/>
      <c r="I1328" s="11">
        <f t="shared" si="565"/>
        <v>0</v>
      </c>
      <c r="J1328" s="11">
        <f t="shared" si="562"/>
        <v>5</v>
      </c>
      <c r="K1328" s="65">
        <v>43014</v>
      </c>
      <c r="L1328" s="64"/>
      <c r="M1328" s="64"/>
      <c r="W1328" s="86"/>
      <c r="X1328" s="13"/>
      <c r="Y1328" s="14"/>
      <c r="Z1328" s="15"/>
      <c r="AA1328" s="11">
        <f t="shared" si="563"/>
        <v>0</v>
      </c>
      <c r="AB1328" s="16"/>
      <c r="AC1328" s="14"/>
      <c r="AD1328" s="15"/>
      <c r="AE1328" s="11">
        <f t="shared" si="564"/>
        <v>0</v>
      </c>
      <c r="AF1328" s="11">
        <f t="shared" si="560"/>
        <v>0</v>
      </c>
      <c r="AG1328" s="64"/>
    </row>
    <row r="1329" spans="1:33" ht="14.25" thickBot="1" x14ac:dyDescent="0.2">
      <c r="A1329" s="27" t="s">
        <v>679</v>
      </c>
      <c r="B1329" s="8"/>
      <c r="C1329" s="9"/>
      <c r="D1329" s="10"/>
      <c r="E1329" s="11">
        <f t="shared" si="561"/>
        <v>0</v>
      </c>
      <c r="F1329" s="16"/>
      <c r="G1329" s="14">
        <v>5</v>
      </c>
      <c r="H1329" s="15">
        <v>5</v>
      </c>
      <c r="I1329" s="11">
        <f t="shared" si="565"/>
        <v>10</v>
      </c>
      <c r="J1329" s="11">
        <f t="shared" si="562"/>
        <v>10</v>
      </c>
      <c r="K1329" s="65">
        <v>43015</v>
      </c>
      <c r="W1329" s="86"/>
      <c r="X1329" s="13"/>
      <c r="Y1329" s="14"/>
      <c r="Z1329" s="15"/>
      <c r="AA1329" s="11">
        <f t="shared" si="563"/>
        <v>0</v>
      </c>
      <c r="AB1329" s="16"/>
      <c r="AC1329" s="14"/>
      <c r="AD1329" s="15"/>
      <c r="AE1329" s="11">
        <f t="shared" si="564"/>
        <v>0</v>
      </c>
      <c r="AF1329" s="11">
        <f t="shared" si="560"/>
        <v>0</v>
      </c>
      <c r="AG1329" s="64"/>
    </row>
    <row r="1330" spans="1:33" ht="14.25" thickBot="1" x14ac:dyDescent="0.2">
      <c r="A1330" s="44" t="s">
        <v>13</v>
      </c>
      <c r="B1330" s="48">
        <f t="shared" ref="B1330:I1330" si="566">SUM(B1304:B1329)</f>
        <v>107</v>
      </c>
      <c r="C1330" s="49">
        <f t="shared" si="566"/>
        <v>120</v>
      </c>
      <c r="D1330" s="50">
        <f t="shared" si="566"/>
        <v>74</v>
      </c>
      <c r="E1330" s="46">
        <f t="shared" si="566"/>
        <v>301</v>
      </c>
      <c r="F1330" s="48">
        <f t="shared" si="566"/>
        <v>64</v>
      </c>
      <c r="G1330" s="49">
        <f t="shared" si="566"/>
        <v>74</v>
      </c>
      <c r="H1330" s="50">
        <f t="shared" si="566"/>
        <v>43</v>
      </c>
      <c r="I1330" s="46">
        <f t="shared" si="566"/>
        <v>181</v>
      </c>
      <c r="J1330" s="35">
        <f>E1330+I1330</f>
        <v>482</v>
      </c>
      <c r="W1330" s="44" t="s">
        <v>13</v>
      </c>
      <c r="X1330" s="48">
        <f t="shared" ref="X1330:AE1330" si="567">SUM(X1304:X1329)</f>
        <v>130</v>
      </c>
      <c r="Y1330" s="49">
        <f t="shared" si="567"/>
        <v>90</v>
      </c>
      <c r="Z1330" s="50">
        <f t="shared" si="567"/>
        <v>90</v>
      </c>
      <c r="AA1330" s="46">
        <f t="shared" si="567"/>
        <v>310</v>
      </c>
      <c r="AB1330" s="48">
        <f t="shared" si="567"/>
        <v>90</v>
      </c>
      <c r="AC1330" s="49">
        <f t="shared" si="567"/>
        <v>85</v>
      </c>
      <c r="AD1330" s="50">
        <f t="shared" si="567"/>
        <v>70</v>
      </c>
      <c r="AE1330" s="46">
        <f t="shared" si="567"/>
        <v>245</v>
      </c>
      <c r="AF1330" s="35">
        <f>AA1330+AE1330</f>
        <v>555</v>
      </c>
    </row>
    <row r="1331" spans="1:33" ht="14.25" thickBot="1" x14ac:dyDescent="0.2">
      <c r="A1331" s="23" t="s">
        <v>14</v>
      </c>
      <c r="B1331" s="24">
        <f t="shared" ref="B1331:J1331" si="568">B1303-B1330</f>
        <v>11</v>
      </c>
      <c r="C1331" s="25">
        <f t="shared" si="568"/>
        <v>36</v>
      </c>
      <c r="D1331" s="30">
        <f t="shared" si="568"/>
        <v>24</v>
      </c>
      <c r="E1331" s="51">
        <f t="shared" si="568"/>
        <v>71</v>
      </c>
      <c r="F1331" s="24">
        <f t="shared" si="568"/>
        <v>56</v>
      </c>
      <c r="G1331" s="25">
        <f t="shared" si="568"/>
        <v>46</v>
      </c>
      <c r="H1331" s="30">
        <f t="shared" si="568"/>
        <v>52</v>
      </c>
      <c r="I1331" s="47">
        <f t="shared" si="568"/>
        <v>154</v>
      </c>
      <c r="J1331" s="79">
        <f t="shared" si="568"/>
        <v>225</v>
      </c>
      <c r="W1331" s="23" t="s">
        <v>14</v>
      </c>
      <c r="X1331" s="24">
        <f t="shared" ref="X1331:AF1331" si="569">X1303-X1330</f>
        <v>679</v>
      </c>
      <c r="Y1331" s="25">
        <f t="shared" si="569"/>
        <v>752</v>
      </c>
      <c r="Z1331" s="30">
        <f t="shared" si="569"/>
        <v>548</v>
      </c>
      <c r="AA1331" s="51">
        <f t="shared" si="569"/>
        <v>1979</v>
      </c>
      <c r="AB1331" s="24">
        <f t="shared" si="569"/>
        <v>0</v>
      </c>
      <c r="AC1331" s="25">
        <f t="shared" si="569"/>
        <v>0</v>
      </c>
      <c r="AD1331" s="30">
        <f t="shared" si="569"/>
        <v>63</v>
      </c>
      <c r="AE1331" s="47">
        <f t="shared" si="569"/>
        <v>63</v>
      </c>
      <c r="AF1331" s="79">
        <f t="shared" si="569"/>
        <v>2042</v>
      </c>
    </row>
    <row r="1334" spans="1:33" ht="19.5" thickBot="1" x14ac:dyDescent="0.25">
      <c r="A1334" s="93" t="s">
        <v>21</v>
      </c>
      <c r="B1334" s="94"/>
      <c r="C1334" s="94"/>
      <c r="D1334" s="94"/>
      <c r="E1334" s="94"/>
      <c r="F1334" s="1"/>
      <c r="G1334" s="1"/>
      <c r="H1334" s="1"/>
      <c r="I1334" s="1"/>
      <c r="J1334" s="1"/>
      <c r="W1334" s="93" t="s">
        <v>136</v>
      </c>
      <c r="X1334" s="94"/>
      <c r="Y1334" s="94"/>
      <c r="Z1334" s="94"/>
      <c r="AA1334" s="106" t="s">
        <v>299</v>
      </c>
      <c r="AB1334" s="1"/>
      <c r="AC1334" s="1"/>
      <c r="AD1334" s="1"/>
      <c r="AE1334" s="1"/>
      <c r="AF1334" s="1"/>
    </row>
    <row r="1335" spans="1:33" ht="14.25" thickBot="1" x14ac:dyDescent="0.2">
      <c r="A1335" s="7" t="s">
        <v>0</v>
      </c>
      <c r="B1335" s="168" t="s">
        <v>1</v>
      </c>
      <c r="C1335" s="169"/>
      <c r="D1335" s="169"/>
      <c r="E1335" s="170"/>
      <c r="F1335" s="168" t="s">
        <v>2</v>
      </c>
      <c r="G1335" s="169"/>
      <c r="H1335" s="169"/>
      <c r="I1335" s="171"/>
      <c r="J1335" s="172" t="s">
        <v>3</v>
      </c>
      <c r="W1335" s="7" t="s">
        <v>0</v>
      </c>
      <c r="X1335" s="174" t="s">
        <v>1</v>
      </c>
      <c r="Y1335" s="175"/>
      <c r="Z1335" s="176"/>
      <c r="AA1335" s="101"/>
      <c r="AB1335" s="174" t="s">
        <v>2</v>
      </c>
      <c r="AC1335" s="175"/>
      <c r="AD1335" s="176"/>
      <c r="AE1335" s="102"/>
      <c r="AF1335" s="103" t="s">
        <v>3</v>
      </c>
    </row>
    <row r="1336" spans="1:33" ht="14.25" thickBot="1" x14ac:dyDescent="0.2">
      <c r="A1336" s="7" t="s">
        <v>4</v>
      </c>
      <c r="B1336" s="3" t="s">
        <v>5</v>
      </c>
      <c r="C1336" s="4" t="s">
        <v>6</v>
      </c>
      <c r="D1336" s="5" t="s">
        <v>7</v>
      </c>
      <c r="E1336" s="7" t="s">
        <v>8</v>
      </c>
      <c r="F1336" s="3" t="s">
        <v>5</v>
      </c>
      <c r="G1336" s="4" t="s">
        <v>6</v>
      </c>
      <c r="H1336" s="5" t="s">
        <v>7</v>
      </c>
      <c r="I1336" s="7" t="s">
        <v>8</v>
      </c>
      <c r="J1336" s="173"/>
      <c r="W1336" s="7" t="s">
        <v>4</v>
      </c>
      <c r="X1336" s="3" t="s">
        <v>5</v>
      </c>
      <c r="Y1336" s="4" t="s">
        <v>6</v>
      </c>
      <c r="Z1336" s="5" t="s">
        <v>7</v>
      </c>
      <c r="AA1336" s="7" t="s">
        <v>8</v>
      </c>
      <c r="AB1336" s="107" t="s">
        <v>5</v>
      </c>
      <c r="AC1336" s="108" t="s">
        <v>6</v>
      </c>
      <c r="AD1336" s="109" t="s">
        <v>7</v>
      </c>
      <c r="AE1336" s="7" t="s">
        <v>8</v>
      </c>
      <c r="AF1336" s="104"/>
    </row>
    <row r="1337" spans="1:33" ht="14.25" thickBot="1" x14ac:dyDescent="0.2">
      <c r="A1337" s="31" t="s">
        <v>14</v>
      </c>
      <c r="B1337" s="32">
        <f>B1331</f>
        <v>11</v>
      </c>
      <c r="C1337" s="33">
        <f>C1331</f>
        <v>36</v>
      </c>
      <c r="D1337" s="34">
        <f>D1331</f>
        <v>24</v>
      </c>
      <c r="E1337" s="41">
        <f>SUM(B1337:D1337)</f>
        <v>71</v>
      </c>
      <c r="F1337" s="32">
        <f>F1331</f>
        <v>56</v>
      </c>
      <c r="G1337" s="33">
        <f>G1331</f>
        <v>46</v>
      </c>
      <c r="H1337" s="34">
        <f>H1331</f>
        <v>52</v>
      </c>
      <c r="I1337" s="41">
        <f>SUM(F1337:H1337)</f>
        <v>154</v>
      </c>
      <c r="J1337" s="41">
        <f>E1337+I1337</f>
        <v>225</v>
      </c>
      <c r="W1337" s="31" t="s">
        <v>14</v>
      </c>
      <c r="X1337" s="32">
        <f>X1331</f>
        <v>679</v>
      </c>
      <c r="Y1337" s="33">
        <f>Y1331</f>
        <v>752</v>
      </c>
      <c r="Z1337" s="33">
        <f>Z1331</f>
        <v>548</v>
      </c>
      <c r="AA1337" s="111">
        <f>SUM(X1337:Z1337)</f>
        <v>1979</v>
      </c>
      <c r="AB1337" s="32">
        <f>AB1331</f>
        <v>0</v>
      </c>
      <c r="AC1337" s="33">
        <f>AC1331</f>
        <v>0</v>
      </c>
      <c r="AD1337" s="95">
        <f>AD1331</f>
        <v>63</v>
      </c>
      <c r="AE1337" s="46">
        <f>SUM(AB1337:AD1337)</f>
        <v>63</v>
      </c>
      <c r="AF1337" s="35">
        <f>AA1337+AE1337</f>
        <v>2042</v>
      </c>
    </row>
    <row r="1338" spans="1:33" x14ac:dyDescent="0.15">
      <c r="A1338" s="28" t="s">
        <v>9</v>
      </c>
      <c r="B1338" s="17">
        <v>50</v>
      </c>
      <c r="C1338" s="18"/>
      <c r="D1338" s="19"/>
      <c r="E1338" s="20">
        <f t="shared" ref="E1338:E1345" si="570">SUM(B1338:D1338)</f>
        <v>50</v>
      </c>
      <c r="F1338" s="21"/>
      <c r="G1338" s="18"/>
      <c r="H1338" s="19"/>
      <c r="I1338" s="20">
        <f t="shared" ref="I1338:I1345" si="571">SUM(F1338:H1338)</f>
        <v>0</v>
      </c>
      <c r="J1338" s="20">
        <f t="shared" ref="J1338:J1345" si="572">E1338+I1338</f>
        <v>50</v>
      </c>
      <c r="K1338" s="65">
        <v>43019</v>
      </c>
      <c r="W1338" s="28" t="s">
        <v>9</v>
      </c>
      <c r="X1338" s="8"/>
      <c r="Y1338" s="9"/>
      <c r="Z1338" s="10"/>
      <c r="AA1338" s="78">
        <f t="shared" ref="AA1338:AA1345" si="573">SUM(X1338:Z1338)</f>
        <v>0</v>
      </c>
      <c r="AB1338" s="21">
        <v>50</v>
      </c>
      <c r="AC1338" s="18">
        <v>50</v>
      </c>
      <c r="AD1338" s="19"/>
      <c r="AE1338" s="78">
        <f t="shared" ref="AE1338:AE1345" si="574">SUM(AB1338:AD1338)</f>
        <v>100</v>
      </c>
      <c r="AF1338" s="78">
        <f t="shared" ref="AF1338:AF1345" si="575">AA1338+AE1338</f>
        <v>100</v>
      </c>
      <c r="AG1338" s="65">
        <v>43020</v>
      </c>
    </row>
    <row r="1339" spans="1:33" x14ac:dyDescent="0.15">
      <c r="A1339" s="28" t="s">
        <v>10</v>
      </c>
      <c r="B1339" s="8">
        <v>50</v>
      </c>
      <c r="C1339" s="9">
        <v>100</v>
      </c>
      <c r="D1339" s="10">
        <v>100</v>
      </c>
      <c r="E1339" s="11">
        <f t="shared" si="570"/>
        <v>250</v>
      </c>
      <c r="F1339" s="12">
        <v>50</v>
      </c>
      <c r="G1339" s="9">
        <v>50</v>
      </c>
      <c r="H1339" s="10"/>
      <c r="I1339" s="11">
        <f t="shared" si="571"/>
        <v>100</v>
      </c>
      <c r="J1339" s="11">
        <f t="shared" si="572"/>
        <v>350</v>
      </c>
      <c r="K1339" s="65">
        <v>43020</v>
      </c>
      <c r="W1339" s="28" t="s">
        <v>10</v>
      </c>
      <c r="X1339" s="8"/>
      <c r="Y1339" s="9"/>
      <c r="Z1339" s="10"/>
      <c r="AA1339" s="11">
        <f t="shared" si="573"/>
        <v>0</v>
      </c>
      <c r="AB1339" s="12"/>
      <c r="AC1339" s="9">
        <v>50</v>
      </c>
      <c r="AD1339" s="10"/>
      <c r="AE1339" s="11">
        <f t="shared" si="574"/>
        <v>50</v>
      </c>
      <c r="AF1339" s="11">
        <f t="shared" si="575"/>
        <v>50</v>
      </c>
      <c r="AG1339" s="65">
        <v>43028</v>
      </c>
    </row>
    <row r="1340" spans="1:33" x14ac:dyDescent="0.15">
      <c r="A1340" s="28" t="s">
        <v>11</v>
      </c>
      <c r="B1340" s="8"/>
      <c r="C1340" s="9"/>
      <c r="D1340" s="10"/>
      <c r="E1340" s="11">
        <f t="shared" si="570"/>
        <v>0</v>
      </c>
      <c r="F1340" s="12"/>
      <c r="G1340" s="9">
        <v>50</v>
      </c>
      <c r="H1340" s="10">
        <v>63</v>
      </c>
      <c r="I1340" s="11">
        <f t="shared" si="571"/>
        <v>113</v>
      </c>
      <c r="J1340" s="11">
        <f t="shared" si="572"/>
        <v>113</v>
      </c>
      <c r="K1340" s="65">
        <v>43028</v>
      </c>
      <c r="W1340" s="28" t="s">
        <v>11</v>
      </c>
      <c r="X1340" s="8"/>
      <c r="Y1340" s="9"/>
      <c r="Z1340" s="10"/>
      <c r="AA1340" s="11">
        <f t="shared" si="573"/>
        <v>0</v>
      </c>
      <c r="AB1340" s="12">
        <v>50</v>
      </c>
      <c r="AC1340" s="9">
        <v>50</v>
      </c>
      <c r="AD1340" s="10"/>
      <c r="AE1340" s="11">
        <f t="shared" si="574"/>
        <v>100</v>
      </c>
      <c r="AF1340" s="11">
        <f t="shared" si="575"/>
        <v>100</v>
      </c>
      <c r="AG1340" s="65">
        <v>43033</v>
      </c>
    </row>
    <row r="1341" spans="1:33" x14ac:dyDescent="0.15">
      <c r="A1341" s="28" t="s">
        <v>12</v>
      </c>
      <c r="B1341" s="8"/>
      <c r="C1341" s="9"/>
      <c r="D1341" s="10">
        <v>50</v>
      </c>
      <c r="E1341" s="11">
        <f t="shared" si="570"/>
        <v>50</v>
      </c>
      <c r="F1341" s="12"/>
      <c r="G1341" s="9"/>
      <c r="H1341" s="10"/>
      <c r="I1341" s="11">
        <f t="shared" si="571"/>
        <v>0</v>
      </c>
      <c r="J1341" s="11">
        <f t="shared" si="572"/>
        <v>50</v>
      </c>
      <c r="K1341" s="65">
        <v>43033</v>
      </c>
      <c r="W1341" s="28" t="s">
        <v>12</v>
      </c>
      <c r="X1341" s="8"/>
      <c r="Y1341" s="9"/>
      <c r="Z1341" s="10"/>
      <c r="AA1341" s="11">
        <f t="shared" si="573"/>
        <v>0</v>
      </c>
      <c r="AB1341" s="12"/>
      <c r="AC1341" s="9">
        <v>50</v>
      </c>
      <c r="AD1341" s="10"/>
      <c r="AE1341" s="11">
        <f t="shared" si="574"/>
        <v>50</v>
      </c>
      <c r="AF1341" s="11">
        <f t="shared" si="575"/>
        <v>50</v>
      </c>
      <c r="AG1341" s="65">
        <v>43031</v>
      </c>
    </row>
    <row r="1342" spans="1:33" x14ac:dyDescent="0.15">
      <c r="A1342" s="28" t="s">
        <v>15</v>
      </c>
      <c r="B1342" s="8"/>
      <c r="C1342" s="9">
        <v>50</v>
      </c>
      <c r="D1342" s="10"/>
      <c r="E1342" s="11">
        <f t="shared" si="570"/>
        <v>50</v>
      </c>
      <c r="F1342" s="12"/>
      <c r="G1342" s="9"/>
      <c r="H1342" s="10"/>
      <c r="I1342" s="11">
        <f t="shared" si="571"/>
        <v>0</v>
      </c>
      <c r="J1342" s="11">
        <f t="shared" si="572"/>
        <v>50</v>
      </c>
      <c r="K1342" s="65">
        <v>43041</v>
      </c>
      <c r="L1342" s="64"/>
      <c r="W1342" s="28" t="s">
        <v>15</v>
      </c>
      <c r="X1342" s="8"/>
      <c r="Y1342" s="9"/>
      <c r="Z1342" s="10"/>
      <c r="AA1342" s="11">
        <f t="shared" si="573"/>
        <v>0</v>
      </c>
      <c r="AB1342" s="12">
        <v>50</v>
      </c>
      <c r="AC1342" s="9">
        <v>50</v>
      </c>
      <c r="AD1342" s="10"/>
      <c r="AE1342" s="11">
        <f t="shared" si="574"/>
        <v>100</v>
      </c>
      <c r="AF1342" s="11">
        <f t="shared" si="575"/>
        <v>100</v>
      </c>
      <c r="AG1342" s="65">
        <v>43045</v>
      </c>
    </row>
    <row r="1343" spans="1:33" x14ac:dyDescent="0.15">
      <c r="A1343" s="28" t="s">
        <v>16</v>
      </c>
      <c r="B1343" s="8">
        <v>50</v>
      </c>
      <c r="C1343" s="9"/>
      <c r="D1343" s="10"/>
      <c r="E1343" s="11">
        <f t="shared" si="570"/>
        <v>50</v>
      </c>
      <c r="F1343" s="12"/>
      <c r="G1343" s="9"/>
      <c r="H1343" s="10"/>
      <c r="I1343" s="11">
        <f t="shared" si="571"/>
        <v>0</v>
      </c>
      <c r="J1343" s="11">
        <f t="shared" si="572"/>
        <v>50</v>
      </c>
      <c r="K1343" s="65">
        <v>43049</v>
      </c>
      <c r="L1343" s="64"/>
      <c r="W1343" s="28" t="s">
        <v>16</v>
      </c>
      <c r="X1343" s="8"/>
      <c r="Y1343" s="9"/>
      <c r="Z1343" s="10"/>
      <c r="AA1343" s="11">
        <f t="shared" si="573"/>
        <v>0</v>
      </c>
      <c r="AB1343" s="12">
        <v>50</v>
      </c>
      <c r="AC1343" s="9"/>
      <c r="AD1343" s="10"/>
      <c r="AE1343" s="11">
        <f t="shared" si="574"/>
        <v>50</v>
      </c>
      <c r="AF1343" s="11">
        <f t="shared" si="575"/>
        <v>50</v>
      </c>
      <c r="AG1343" s="65">
        <v>43053</v>
      </c>
    </row>
    <row r="1344" spans="1:33" x14ac:dyDescent="0.15">
      <c r="A1344" s="29" t="s">
        <v>41</v>
      </c>
      <c r="B1344" s="8"/>
      <c r="C1344" s="9"/>
      <c r="D1344" s="10"/>
      <c r="E1344" s="11">
        <f t="shared" si="570"/>
        <v>0</v>
      </c>
      <c r="F1344" s="12">
        <v>30</v>
      </c>
      <c r="G1344" s="9">
        <v>8</v>
      </c>
      <c r="H1344" s="10"/>
      <c r="I1344" s="11">
        <f t="shared" si="571"/>
        <v>38</v>
      </c>
      <c r="J1344" s="11">
        <f t="shared" si="572"/>
        <v>38</v>
      </c>
      <c r="K1344" s="65">
        <v>43057</v>
      </c>
      <c r="W1344" s="28" t="s">
        <v>17</v>
      </c>
      <c r="X1344" s="8"/>
      <c r="Y1344" s="9"/>
      <c r="Z1344" s="10"/>
      <c r="AA1344" s="11">
        <f t="shared" si="573"/>
        <v>0</v>
      </c>
      <c r="AB1344" s="12"/>
      <c r="AC1344" s="9">
        <v>23</v>
      </c>
      <c r="AD1344" s="87"/>
      <c r="AE1344" s="11">
        <f t="shared" si="574"/>
        <v>23</v>
      </c>
      <c r="AF1344" s="11">
        <f t="shared" si="575"/>
        <v>23</v>
      </c>
      <c r="AG1344" s="65">
        <v>43054</v>
      </c>
    </row>
    <row r="1345" spans="1:33" ht="14.25" thickBot="1" x14ac:dyDescent="0.2">
      <c r="A1345" s="28" t="s">
        <v>18</v>
      </c>
      <c r="B1345" s="36"/>
      <c r="C1345" s="37"/>
      <c r="D1345" s="40">
        <v>50</v>
      </c>
      <c r="E1345" s="22">
        <f t="shared" si="570"/>
        <v>50</v>
      </c>
      <c r="F1345" s="38"/>
      <c r="G1345" s="38"/>
      <c r="H1345" s="43"/>
      <c r="I1345" s="22">
        <f t="shared" si="571"/>
        <v>0</v>
      </c>
      <c r="J1345" s="22">
        <f t="shared" si="572"/>
        <v>50</v>
      </c>
      <c r="K1345" s="65">
        <v>43060</v>
      </c>
      <c r="W1345" s="28" t="s">
        <v>18</v>
      </c>
      <c r="X1345" s="127"/>
      <c r="Y1345" s="128"/>
      <c r="Z1345" s="129"/>
      <c r="AA1345" s="130">
        <f t="shared" si="573"/>
        <v>0</v>
      </c>
      <c r="AB1345" s="131">
        <v>100</v>
      </c>
      <c r="AC1345" s="131"/>
      <c r="AD1345" s="132"/>
      <c r="AE1345" s="130">
        <f t="shared" si="574"/>
        <v>100</v>
      </c>
      <c r="AF1345" s="130">
        <f t="shared" si="575"/>
        <v>100</v>
      </c>
      <c r="AG1345" s="65">
        <v>43059</v>
      </c>
    </row>
    <row r="1346" spans="1:33" ht="14.25" thickBot="1" x14ac:dyDescent="0.2">
      <c r="A1346" s="39" t="s">
        <v>20</v>
      </c>
      <c r="B1346" s="32">
        <f t="shared" ref="B1346:J1346" si="576">SUM(B1337:B1345)</f>
        <v>161</v>
      </c>
      <c r="C1346" s="33">
        <f t="shared" si="576"/>
        <v>186</v>
      </c>
      <c r="D1346" s="34">
        <f t="shared" si="576"/>
        <v>224</v>
      </c>
      <c r="E1346" s="42">
        <f t="shared" si="576"/>
        <v>571</v>
      </c>
      <c r="F1346" s="32">
        <f t="shared" si="576"/>
        <v>136</v>
      </c>
      <c r="G1346" s="33">
        <f t="shared" si="576"/>
        <v>154</v>
      </c>
      <c r="H1346" s="34">
        <f t="shared" si="576"/>
        <v>115</v>
      </c>
      <c r="I1346" s="42">
        <f t="shared" si="576"/>
        <v>405</v>
      </c>
      <c r="J1346" s="42">
        <f t="shared" si="576"/>
        <v>976</v>
      </c>
      <c r="W1346" s="39" t="s">
        <v>20</v>
      </c>
      <c r="X1346" s="32">
        <f t="shared" ref="X1346:AF1346" si="577">SUM(X1337:X1345)</f>
        <v>679</v>
      </c>
      <c r="Y1346" s="33">
        <f t="shared" si="577"/>
        <v>752</v>
      </c>
      <c r="Z1346" s="34">
        <f t="shared" si="577"/>
        <v>548</v>
      </c>
      <c r="AA1346" s="42">
        <f t="shared" si="577"/>
        <v>1979</v>
      </c>
      <c r="AB1346" s="32">
        <f t="shared" si="577"/>
        <v>300</v>
      </c>
      <c r="AC1346" s="33">
        <f t="shared" si="577"/>
        <v>273</v>
      </c>
      <c r="AD1346" s="34">
        <f t="shared" si="577"/>
        <v>63</v>
      </c>
      <c r="AE1346" s="42">
        <f t="shared" si="577"/>
        <v>636</v>
      </c>
      <c r="AF1346" s="42">
        <f t="shared" si="577"/>
        <v>2615</v>
      </c>
    </row>
    <row r="1347" spans="1:33" x14ac:dyDescent="0.15">
      <c r="A1347" s="29" t="s">
        <v>677</v>
      </c>
      <c r="B1347" s="13">
        <v>70</v>
      </c>
      <c r="C1347" s="14">
        <v>80</v>
      </c>
      <c r="D1347" s="15">
        <v>80</v>
      </c>
      <c r="E1347" s="11">
        <f>SUM(B1347:D1347)</f>
        <v>230</v>
      </c>
      <c r="F1347" s="16">
        <v>50</v>
      </c>
      <c r="G1347" s="14">
        <v>70</v>
      </c>
      <c r="H1347" s="15">
        <v>40</v>
      </c>
      <c r="I1347" s="11">
        <f>SUM(F1347:H1347)</f>
        <v>160</v>
      </c>
      <c r="J1347" s="11">
        <f>E1347+I1347</f>
        <v>390</v>
      </c>
      <c r="K1347" s="65">
        <v>43024</v>
      </c>
      <c r="W1347" s="28" t="s">
        <v>676</v>
      </c>
      <c r="X1347" s="13">
        <v>50</v>
      </c>
      <c r="Y1347" s="14"/>
      <c r="Z1347" s="15"/>
      <c r="AA1347" s="11">
        <f>SUM(X1347:Z1347)</f>
        <v>50</v>
      </c>
      <c r="AB1347" s="16"/>
      <c r="AC1347" s="14"/>
      <c r="AD1347" s="15"/>
      <c r="AE1347" s="11">
        <f>SUM(AB1347:AD1347)</f>
        <v>0</v>
      </c>
      <c r="AF1347" s="11">
        <f t="shared" ref="AF1347:AF1372" si="578">AA1347+AE1347</f>
        <v>50</v>
      </c>
      <c r="AG1347" s="65">
        <v>43019</v>
      </c>
    </row>
    <row r="1348" spans="1:33" x14ac:dyDescent="0.15">
      <c r="A1348" s="29" t="s">
        <v>678</v>
      </c>
      <c r="B1348" s="13"/>
      <c r="C1348" s="14"/>
      <c r="D1348" s="15"/>
      <c r="E1348" s="11">
        <f t="shared" ref="E1348:E1372" si="579">SUM(B1348:D1348)</f>
        <v>0</v>
      </c>
      <c r="F1348" s="16">
        <v>-1</v>
      </c>
      <c r="G1348" s="14"/>
      <c r="H1348" s="15"/>
      <c r="I1348" s="11">
        <f>SUM(F1348:H1348)</f>
        <v>-1</v>
      </c>
      <c r="J1348" s="11">
        <f t="shared" ref="J1348:J1372" si="580">E1348+I1348</f>
        <v>-1</v>
      </c>
      <c r="K1348" s="71">
        <v>43018</v>
      </c>
      <c r="W1348" s="28" t="s">
        <v>41</v>
      </c>
      <c r="X1348" s="8">
        <v>50</v>
      </c>
      <c r="Y1348" s="9">
        <v>100</v>
      </c>
      <c r="Z1348" s="10">
        <v>100</v>
      </c>
      <c r="AA1348" s="11">
        <f>SUM(X1348:Z1348)</f>
        <v>250</v>
      </c>
      <c r="AB1348" s="12">
        <v>50</v>
      </c>
      <c r="AC1348" s="9">
        <v>50</v>
      </c>
      <c r="AD1348" s="10"/>
      <c r="AE1348" s="11">
        <f>SUM(AB1348:AD1348)</f>
        <v>100</v>
      </c>
      <c r="AF1348" s="11">
        <f t="shared" si="578"/>
        <v>350</v>
      </c>
      <c r="AG1348" s="65">
        <v>43020</v>
      </c>
    </row>
    <row r="1349" spans="1:33" x14ac:dyDescent="0.15">
      <c r="A1349" s="27" t="s">
        <v>680</v>
      </c>
      <c r="B1349" s="8"/>
      <c r="C1349" s="9">
        <v>3</v>
      </c>
      <c r="D1349" s="10">
        <v>7</v>
      </c>
      <c r="E1349" s="11">
        <f t="shared" si="579"/>
        <v>10</v>
      </c>
      <c r="F1349" s="12"/>
      <c r="G1349" s="9">
        <v>2</v>
      </c>
      <c r="H1349" s="10"/>
      <c r="I1349" s="11">
        <f>SUM(F1349:H1349)</f>
        <v>2</v>
      </c>
      <c r="J1349" s="11">
        <f t="shared" si="580"/>
        <v>12</v>
      </c>
      <c r="K1349" s="65">
        <v>43022</v>
      </c>
      <c r="W1349" s="28" t="s">
        <v>41</v>
      </c>
      <c r="X1349" s="8"/>
      <c r="Y1349" s="9"/>
      <c r="Z1349" s="10"/>
      <c r="AA1349" s="11">
        <f t="shared" ref="AA1349:AA1372" si="581">SUM(X1349:Z1349)</f>
        <v>0</v>
      </c>
      <c r="AB1349" s="12"/>
      <c r="AC1349" s="9">
        <v>50</v>
      </c>
      <c r="AD1349" s="10">
        <v>63</v>
      </c>
      <c r="AE1349" s="11">
        <f t="shared" ref="AE1349:AE1372" si="582">SUM(AB1349:AD1349)</f>
        <v>113</v>
      </c>
      <c r="AF1349" s="11">
        <f t="shared" si="578"/>
        <v>113</v>
      </c>
      <c r="AG1349" s="65">
        <v>43028</v>
      </c>
    </row>
    <row r="1350" spans="1:33" x14ac:dyDescent="0.15">
      <c r="A1350" s="27" t="s">
        <v>659</v>
      </c>
      <c r="B1350" s="8"/>
      <c r="C1350" s="9">
        <v>5</v>
      </c>
      <c r="D1350" s="10">
        <v>3</v>
      </c>
      <c r="E1350" s="11">
        <f t="shared" si="579"/>
        <v>8</v>
      </c>
      <c r="F1350" s="12"/>
      <c r="G1350" s="9"/>
      <c r="H1350" s="10"/>
      <c r="I1350" s="11">
        <f>SUM(F1350:H1350)</f>
        <v>0</v>
      </c>
      <c r="J1350" s="11">
        <f t="shared" si="580"/>
        <v>8</v>
      </c>
      <c r="K1350" s="65">
        <v>43025</v>
      </c>
      <c r="W1350" s="29" t="s">
        <v>685</v>
      </c>
      <c r="X1350" s="8">
        <v>30</v>
      </c>
      <c r="Y1350" s="9">
        <v>30</v>
      </c>
      <c r="Z1350" s="10">
        <v>30</v>
      </c>
      <c r="AA1350" s="11">
        <f t="shared" si="581"/>
        <v>90</v>
      </c>
      <c r="AB1350" s="12">
        <v>30</v>
      </c>
      <c r="AC1350" s="9">
        <v>30</v>
      </c>
      <c r="AD1350" s="10"/>
      <c r="AE1350" s="11">
        <f t="shared" si="582"/>
        <v>60</v>
      </c>
      <c r="AF1350" s="11">
        <f t="shared" si="578"/>
        <v>150</v>
      </c>
      <c r="AG1350" s="65">
        <v>43033</v>
      </c>
    </row>
    <row r="1351" spans="1:33" x14ac:dyDescent="0.15">
      <c r="A1351" s="27" t="s">
        <v>681</v>
      </c>
      <c r="B1351" s="8"/>
      <c r="C1351" s="9"/>
      <c r="D1351" s="10"/>
      <c r="E1351" s="11">
        <f t="shared" si="579"/>
        <v>0</v>
      </c>
      <c r="F1351" s="12">
        <v>1</v>
      </c>
      <c r="G1351" s="9"/>
      <c r="H1351" s="10"/>
      <c r="I1351" s="11">
        <f>SUM(F1351:H1351)</f>
        <v>1</v>
      </c>
      <c r="J1351" s="11">
        <f t="shared" si="580"/>
        <v>1</v>
      </c>
      <c r="K1351" s="71">
        <v>43024</v>
      </c>
      <c r="W1351" s="29" t="s">
        <v>686</v>
      </c>
      <c r="X1351" s="8">
        <v>20</v>
      </c>
      <c r="Y1351" s="9">
        <v>40</v>
      </c>
      <c r="Z1351" s="10">
        <v>25</v>
      </c>
      <c r="AA1351" s="11">
        <f t="shared" si="581"/>
        <v>85</v>
      </c>
      <c r="AB1351" s="12">
        <v>20</v>
      </c>
      <c r="AC1351" s="9">
        <v>25</v>
      </c>
      <c r="AD1351" s="10"/>
      <c r="AE1351" s="11">
        <f t="shared" si="582"/>
        <v>45</v>
      </c>
      <c r="AF1351" s="11">
        <f t="shared" si="578"/>
        <v>130</v>
      </c>
      <c r="AG1351" s="65">
        <v>43032</v>
      </c>
    </row>
    <row r="1352" spans="1:33" x14ac:dyDescent="0.15">
      <c r="A1352" s="29" t="s">
        <v>682</v>
      </c>
      <c r="B1352" s="8">
        <v>2</v>
      </c>
      <c r="C1352" s="9">
        <v>5</v>
      </c>
      <c r="D1352" s="10">
        <v>5</v>
      </c>
      <c r="E1352" s="139">
        <f t="shared" si="579"/>
        <v>12</v>
      </c>
      <c r="F1352" s="140">
        <v>2</v>
      </c>
      <c r="G1352" s="140">
        <v>6</v>
      </c>
      <c r="H1352" s="10">
        <v>5</v>
      </c>
      <c r="I1352" s="11">
        <f t="shared" ref="I1352:I1372" si="583">SUM(F1352:H1352)</f>
        <v>13</v>
      </c>
      <c r="J1352" s="11">
        <f t="shared" si="580"/>
        <v>25</v>
      </c>
      <c r="K1352" s="65">
        <v>43027</v>
      </c>
      <c r="W1352" s="28" t="s">
        <v>41</v>
      </c>
      <c r="X1352" s="8"/>
      <c r="Y1352" s="9"/>
      <c r="Z1352" s="10">
        <v>50</v>
      </c>
      <c r="AA1352" s="11">
        <f t="shared" si="581"/>
        <v>50</v>
      </c>
      <c r="AB1352" s="12"/>
      <c r="AC1352" s="9"/>
      <c r="AD1352" s="10"/>
      <c r="AE1352" s="11">
        <f t="shared" si="582"/>
        <v>0</v>
      </c>
      <c r="AF1352" s="11">
        <f t="shared" si="578"/>
        <v>50</v>
      </c>
      <c r="AG1352" s="65">
        <v>43033</v>
      </c>
    </row>
    <row r="1353" spans="1:33" x14ac:dyDescent="0.15">
      <c r="A1353" s="27" t="s">
        <v>67</v>
      </c>
      <c r="B1353" s="8">
        <v>1</v>
      </c>
      <c r="C1353" s="9"/>
      <c r="D1353" s="10"/>
      <c r="E1353" s="11">
        <f t="shared" si="579"/>
        <v>1</v>
      </c>
      <c r="F1353" s="12">
        <v>1</v>
      </c>
      <c r="G1353" s="9"/>
      <c r="H1353" s="10"/>
      <c r="I1353" s="11">
        <f t="shared" si="583"/>
        <v>1</v>
      </c>
      <c r="J1353" s="11">
        <f t="shared" si="580"/>
        <v>2</v>
      </c>
      <c r="K1353" s="71">
        <v>43026</v>
      </c>
      <c r="W1353" s="29" t="s">
        <v>690</v>
      </c>
      <c r="X1353" s="8">
        <v>30</v>
      </c>
      <c r="Y1353" s="9">
        <v>20</v>
      </c>
      <c r="Z1353" s="10">
        <v>10</v>
      </c>
      <c r="AA1353" s="11">
        <f t="shared" si="581"/>
        <v>60</v>
      </c>
      <c r="AB1353" s="12"/>
      <c r="AC1353" s="9"/>
      <c r="AD1353" s="10"/>
      <c r="AE1353" s="11">
        <f t="shared" si="582"/>
        <v>0</v>
      </c>
      <c r="AF1353" s="11">
        <f t="shared" si="578"/>
        <v>60</v>
      </c>
      <c r="AG1353" s="65">
        <v>43045</v>
      </c>
    </row>
    <row r="1354" spans="1:33" x14ac:dyDescent="0.15">
      <c r="A1354" s="26" t="s">
        <v>683</v>
      </c>
      <c r="B1354" s="8">
        <v>10</v>
      </c>
      <c r="C1354" s="9">
        <v>20</v>
      </c>
      <c r="D1354" s="10">
        <v>20</v>
      </c>
      <c r="E1354" s="11">
        <f t="shared" si="579"/>
        <v>50</v>
      </c>
      <c r="F1354" s="12">
        <v>10</v>
      </c>
      <c r="G1354" s="9">
        <v>20</v>
      </c>
      <c r="H1354" s="10">
        <v>20</v>
      </c>
      <c r="I1354" s="11">
        <f t="shared" si="583"/>
        <v>50</v>
      </c>
      <c r="J1354" s="11">
        <f t="shared" si="580"/>
        <v>100</v>
      </c>
      <c r="K1354" s="65">
        <v>43028</v>
      </c>
      <c r="W1354" s="28" t="s">
        <v>41</v>
      </c>
      <c r="X1354" s="8"/>
      <c r="Y1354" s="9">
        <v>50</v>
      </c>
      <c r="Z1354" s="10"/>
      <c r="AA1354" s="11">
        <f t="shared" si="581"/>
        <v>50</v>
      </c>
      <c r="AB1354" s="12"/>
      <c r="AC1354" s="9"/>
      <c r="AD1354" s="10"/>
      <c r="AE1354" s="11">
        <f t="shared" si="582"/>
        <v>0</v>
      </c>
      <c r="AF1354" s="11">
        <f t="shared" si="578"/>
        <v>50</v>
      </c>
      <c r="AG1354" s="65">
        <v>43041</v>
      </c>
    </row>
    <row r="1355" spans="1:33" x14ac:dyDescent="0.15">
      <c r="A1355" s="29" t="s">
        <v>684</v>
      </c>
      <c r="B1355" s="13"/>
      <c r="C1355" s="14"/>
      <c r="D1355" s="15"/>
      <c r="E1355" s="11">
        <f t="shared" si="579"/>
        <v>0</v>
      </c>
      <c r="F1355" s="16"/>
      <c r="G1355" s="14"/>
      <c r="H1355" s="15">
        <v>30</v>
      </c>
      <c r="I1355" s="11">
        <f t="shared" si="583"/>
        <v>30</v>
      </c>
      <c r="J1355" s="11">
        <f t="shared" si="580"/>
        <v>30</v>
      </c>
      <c r="K1355" s="65">
        <v>43033</v>
      </c>
      <c r="W1355" s="29" t="s">
        <v>662</v>
      </c>
      <c r="X1355" s="8">
        <v>30</v>
      </c>
      <c r="Y1355" s="9">
        <v>30</v>
      </c>
      <c r="Z1355" s="10">
        <v>30</v>
      </c>
      <c r="AA1355" s="11">
        <f t="shared" si="581"/>
        <v>90</v>
      </c>
      <c r="AB1355" s="12">
        <v>30</v>
      </c>
      <c r="AC1355" s="9">
        <v>40</v>
      </c>
      <c r="AD1355" s="10"/>
      <c r="AE1355" s="11">
        <f t="shared" si="582"/>
        <v>70</v>
      </c>
      <c r="AF1355" s="11">
        <f t="shared" si="578"/>
        <v>160</v>
      </c>
      <c r="AG1355" s="65">
        <v>43048</v>
      </c>
    </row>
    <row r="1356" spans="1:33" x14ac:dyDescent="0.15">
      <c r="A1356" s="27" t="s">
        <v>67</v>
      </c>
      <c r="B1356" s="13"/>
      <c r="C1356" s="14">
        <v>2</v>
      </c>
      <c r="D1356" s="15"/>
      <c r="E1356" s="11">
        <f t="shared" si="579"/>
        <v>2</v>
      </c>
      <c r="F1356" s="16"/>
      <c r="G1356" s="14"/>
      <c r="H1356" s="15"/>
      <c r="I1356" s="11">
        <f t="shared" si="583"/>
        <v>0</v>
      </c>
      <c r="J1356" s="11">
        <f t="shared" si="580"/>
        <v>2</v>
      </c>
      <c r="K1356" s="71">
        <v>43028</v>
      </c>
      <c r="W1356" s="29" t="s">
        <v>686</v>
      </c>
      <c r="X1356" s="13">
        <v>20</v>
      </c>
      <c r="Y1356" s="14">
        <v>20</v>
      </c>
      <c r="Z1356" s="15">
        <v>20</v>
      </c>
      <c r="AA1356" s="11">
        <f t="shared" si="581"/>
        <v>60</v>
      </c>
      <c r="AB1356" s="16">
        <v>20</v>
      </c>
      <c r="AC1356" s="14">
        <v>20</v>
      </c>
      <c r="AD1356" s="15"/>
      <c r="AE1356" s="11">
        <f t="shared" si="582"/>
        <v>40</v>
      </c>
      <c r="AF1356" s="11">
        <f t="shared" si="578"/>
        <v>100</v>
      </c>
      <c r="AG1356" s="65">
        <v>43047</v>
      </c>
    </row>
    <row r="1357" spans="1:33" x14ac:dyDescent="0.15">
      <c r="A1357" s="29" t="s">
        <v>687</v>
      </c>
      <c r="B1357" s="8">
        <v>5</v>
      </c>
      <c r="C1357" s="9">
        <v>5</v>
      </c>
      <c r="D1357" s="10">
        <v>5</v>
      </c>
      <c r="E1357" s="11">
        <f t="shared" si="579"/>
        <v>15</v>
      </c>
      <c r="F1357" s="12">
        <v>5</v>
      </c>
      <c r="G1357" s="9">
        <v>10</v>
      </c>
      <c r="H1357" s="10"/>
      <c r="I1357" s="11">
        <f t="shared" si="583"/>
        <v>15</v>
      </c>
      <c r="J1357" s="11">
        <f t="shared" si="580"/>
        <v>30</v>
      </c>
      <c r="K1357" s="65">
        <v>43034</v>
      </c>
      <c r="W1357" s="29" t="s">
        <v>694</v>
      </c>
      <c r="X1357" s="8">
        <v>50</v>
      </c>
      <c r="Y1357" s="9"/>
      <c r="Z1357" s="10"/>
      <c r="AA1357" s="11">
        <f t="shared" si="581"/>
        <v>50</v>
      </c>
      <c r="AB1357" s="12"/>
      <c r="AC1357" s="9"/>
      <c r="AD1357" s="10"/>
      <c r="AE1357" s="11">
        <f t="shared" si="582"/>
        <v>0</v>
      </c>
      <c r="AF1357" s="11">
        <f t="shared" si="578"/>
        <v>50</v>
      </c>
      <c r="AG1357" s="65">
        <v>43049</v>
      </c>
    </row>
    <row r="1358" spans="1:33" x14ac:dyDescent="0.15">
      <c r="A1358" s="29" t="s">
        <v>688</v>
      </c>
      <c r="B1358" s="8">
        <v>5</v>
      </c>
      <c r="C1358" s="9">
        <v>5</v>
      </c>
      <c r="D1358" s="10">
        <v>5</v>
      </c>
      <c r="E1358" s="11">
        <f t="shared" si="579"/>
        <v>15</v>
      </c>
      <c r="F1358" s="12">
        <v>5</v>
      </c>
      <c r="G1358" s="9">
        <v>5</v>
      </c>
      <c r="H1358" s="10"/>
      <c r="I1358" s="11">
        <f t="shared" si="583"/>
        <v>10</v>
      </c>
      <c r="J1358" s="11">
        <f t="shared" si="580"/>
        <v>25</v>
      </c>
      <c r="K1358" s="65">
        <v>43035</v>
      </c>
      <c r="W1358" s="29" t="s">
        <v>662</v>
      </c>
      <c r="X1358" s="8">
        <v>30</v>
      </c>
      <c r="Y1358" s="9">
        <v>40</v>
      </c>
      <c r="Z1358" s="10">
        <v>40</v>
      </c>
      <c r="AA1358" s="11">
        <f t="shared" si="581"/>
        <v>110</v>
      </c>
      <c r="AB1358" s="12">
        <v>20</v>
      </c>
      <c r="AC1358" s="9">
        <v>20</v>
      </c>
      <c r="AD1358" s="10">
        <v>0</v>
      </c>
      <c r="AE1358" s="11">
        <f t="shared" si="582"/>
        <v>40</v>
      </c>
      <c r="AF1358" s="11">
        <f t="shared" si="578"/>
        <v>150</v>
      </c>
      <c r="AG1358" s="65">
        <v>43056</v>
      </c>
    </row>
    <row r="1359" spans="1:33" x14ac:dyDescent="0.15">
      <c r="A1359" s="27" t="s">
        <v>689</v>
      </c>
      <c r="B1359" s="8">
        <v>2</v>
      </c>
      <c r="C1359" s="9"/>
      <c r="D1359" s="10"/>
      <c r="E1359" s="11">
        <f t="shared" si="579"/>
        <v>2</v>
      </c>
      <c r="F1359" s="12"/>
      <c r="G1359" s="9"/>
      <c r="H1359" s="10"/>
      <c r="I1359" s="11">
        <f t="shared" si="583"/>
        <v>0</v>
      </c>
      <c r="J1359" s="11">
        <f t="shared" si="580"/>
        <v>2</v>
      </c>
      <c r="K1359" s="65">
        <v>43036</v>
      </c>
      <c r="W1359" s="29" t="s">
        <v>686</v>
      </c>
      <c r="X1359" s="8"/>
      <c r="Y1359" s="9">
        <v>30</v>
      </c>
      <c r="Z1359" s="10">
        <v>30</v>
      </c>
      <c r="AA1359" s="11">
        <f t="shared" si="581"/>
        <v>60</v>
      </c>
      <c r="AB1359" s="12"/>
      <c r="AC1359" s="9">
        <v>30</v>
      </c>
      <c r="AD1359" s="10"/>
      <c r="AE1359" s="11">
        <f t="shared" si="582"/>
        <v>30</v>
      </c>
      <c r="AF1359" s="11">
        <f t="shared" si="578"/>
        <v>90</v>
      </c>
      <c r="AG1359" s="65">
        <v>43055</v>
      </c>
    </row>
    <row r="1360" spans="1:33" x14ac:dyDescent="0.15">
      <c r="A1360" s="27" t="s">
        <v>67</v>
      </c>
      <c r="B1360" s="8"/>
      <c r="C1360" s="9">
        <v>1</v>
      </c>
      <c r="D1360" s="10"/>
      <c r="E1360" s="11">
        <f t="shared" si="579"/>
        <v>1</v>
      </c>
      <c r="F1360" s="12"/>
      <c r="G1360" s="9"/>
      <c r="H1360" s="10">
        <v>1</v>
      </c>
      <c r="I1360" s="11">
        <f t="shared" si="583"/>
        <v>1</v>
      </c>
      <c r="J1360" s="11">
        <f t="shared" si="580"/>
        <v>2</v>
      </c>
      <c r="K1360" s="71">
        <v>43038</v>
      </c>
      <c r="W1360" s="29" t="s">
        <v>687</v>
      </c>
      <c r="X1360" s="13">
        <v>20</v>
      </c>
      <c r="Y1360" s="14">
        <v>20</v>
      </c>
      <c r="Z1360" s="15"/>
      <c r="AA1360" s="11">
        <f t="shared" si="581"/>
        <v>40</v>
      </c>
      <c r="AB1360" s="16"/>
      <c r="AC1360" s="14"/>
      <c r="AD1360" s="15"/>
      <c r="AE1360" s="11">
        <f t="shared" si="582"/>
        <v>0</v>
      </c>
      <c r="AF1360" s="11">
        <f t="shared" si="578"/>
        <v>40</v>
      </c>
      <c r="AG1360" s="65">
        <v>43056</v>
      </c>
    </row>
    <row r="1361" spans="1:33" x14ac:dyDescent="0.15">
      <c r="A1361" s="29" t="s">
        <v>691</v>
      </c>
      <c r="B1361" s="8"/>
      <c r="C1361" s="9"/>
      <c r="D1361" s="10"/>
      <c r="E1361" s="11">
        <f t="shared" si="579"/>
        <v>0</v>
      </c>
      <c r="F1361" s="12">
        <v>10</v>
      </c>
      <c r="G1361" s="9"/>
      <c r="H1361" s="10">
        <v>10</v>
      </c>
      <c r="I1361" s="11">
        <f t="shared" si="583"/>
        <v>20</v>
      </c>
      <c r="J1361" s="11">
        <f t="shared" si="580"/>
        <v>20</v>
      </c>
      <c r="K1361" s="65">
        <v>43045</v>
      </c>
      <c r="W1361" s="29" t="s">
        <v>41</v>
      </c>
      <c r="X1361" s="8"/>
      <c r="Y1361" s="9"/>
      <c r="Z1361" s="10"/>
      <c r="AA1361" s="11">
        <f t="shared" si="581"/>
        <v>0</v>
      </c>
      <c r="AB1361" s="12">
        <v>30</v>
      </c>
      <c r="AC1361" s="9">
        <v>8</v>
      </c>
      <c r="AD1361" s="10"/>
      <c r="AE1361" s="11">
        <f t="shared" si="582"/>
        <v>38</v>
      </c>
      <c r="AF1361" s="11">
        <f t="shared" si="578"/>
        <v>38</v>
      </c>
      <c r="AG1361" s="65">
        <v>43057</v>
      </c>
    </row>
    <row r="1362" spans="1:33" x14ac:dyDescent="0.15">
      <c r="A1362" s="29" t="s">
        <v>687</v>
      </c>
      <c r="B1362" s="8"/>
      <c r="C1362" s="9">
        <v>5</v>
      </c>
      <c r="D1362" s="10">
        <v>5</v>
      </c>
      <c r="E1362" s="11">
        <f t="shared" si="579"/>
        <v>10</v>
      </c>
      <c r="F1362" s="12"/>
      <c r="G1362" s="9">
        <v>5</v>
      </c>
      <c r="H1362" s="10"/>
      <c r="I1362" s="11">
        <f t="shared" si="583"/>
        <v>5</v>
      </c>
      <c r="J1362" s="11">
        <f t="shared" si="580"/>
        <v>15</v>
      </c>
      <c r="K1362" s="65">
        <v>43040</v>
      </c>
      <c r="W1362" s="29" t="s">
        <v>41</v>
      </c>
      <c r="X1362" s="8"/>
      <c r="Y1362" s="9"/>
      <c r="Z1362" s="10">
        <v>50</v>
      </c>
      <c r="AA1362" s="11">
        <f t="shared" si="581"/>
        <v>50</v>
      </c>
      <c r="AB1362" s="12"/>
      <c r="AC1362" s="9"/>
      <c r="AD1362" s="10"/>
      <c r="AE1362" s="11">
        <f t="shared" si="582"/>
        <v>0</v>
      </c>
      <c r="AF1362" s="11">
        <f t="shared" si="578"/>
        <v>50</v>
      </c>
      <c r="AG1362" s="65">
        <v>43060</v>
      </c>
    </row>
    <row r="1363" spans="1:33" x14ac:dyDescent="0.15">
      <c r="A1363" s="29" t="s">
        <v>693</v>
      </c>
      <c r="B1363" s="8">
        <v>8</v>
      </c>
      <c r="C1363" s="9">
        <v>8</v>
      </c>
      <c r="D1363" s="10">
        <v>8</v>
      </c>
      <c r="E1363" s="11">
        <f t="shared" si="579"/>
        <v>24</v>
      </c>
      <c r="F1363" s="12"/>
      <c r="G1363" s="9"/>
      <c r="H1363" s="10"/>
      <c r="I1363" s="11">
        <f t="shared" si="583"/>
        <v>0</v>
      </c>
      <c r="J1363" s="11">
        <f t="shared" si="580"/>
        <v>24</v>
      </c>
      <c r="K1363" s="65">
        <v>43052</v>
      </c>
      <c r="W1363" s="29" t="s">
        <v>696</v>
      </c>
      <c r="X1363" s="8">
        <v>50</v>
      </c>
      <c r="Y1363" s="9">
        <v>100</v>
      </c>
      <c r="Z1363" s="10">
        <v>100</v>
      </c>
      <c r="AA1363" s="11">
        <f t="shared" si="581"/>
        <v>250</v>
      </c>
      <c r="AB1363" s="12">
        <v>50</v>
      </c>
      <c r="AC1363" s="9"/>
      <c r="AD1363" s="10"/>
      <c r="AE1363" s="11">
        <f t="shared" si="582"/>
        <v>50</v>
      </c>
      <c r="AF1363" s="11">
        <f t="shared" si="578"/>
        <v>300</v>
      </c>
      <c r="AG1363" s="65">
        <v>43060</v>
      </c>
    </row>
    <row r="1364" spans="1:33" x14ac:dyDescent="0.15">
      <c r="A1364" s="29" t="s">
        <v>687</v>
      </c>
      <c r="B1364" s="8"/>
      <c r="C1364" s="9"/>
      <c r="D1364" s="10">
        <v>15</v>
      </c>
      <c r="E1364" s="11">
        <f t="shared" si="579"/>
        <v>15</v>
      </c>
      <c r="F1364" s="12"/>
      <c r="G1364" s="9"/>
      <c r="H1364" s="10"/>
      <c r="I1364" s="11">
        <f t="shared" si="583"/>
        <v>0</v>
      </c>
      <c r="J1364" s="11">
        <f t="shared" si="580"/>
        <v>15</v>
      </c>
      <c r="K1364" s="65">
        <v>43049</v>
      </c>
      <c r="W1364" s="29" t="s">
        <v>697</v>
      </c>
      <c r="X1364" s="8">
        <v>20</v>
      </c>
      <c r="Y1364" s="9">
        <v>100</v>
      </c>
      <c r="Z1364" s="10">
        <v>30</v>
      </c>
      <c r="AA1364" s="11">
        <f t="shared" si="581"/>
        <v>150</v>
      </c>
      <c r="AB1364" s="12">
        <v>10</v>
      </c>
      <c r="AC1364" s="9"/>
      <c r="AD1364" s="10"/>
      <c r="AE1364" s="11">
        <f t="shared" si="582"/>
        <v>10</v>
      </c>
      <c r="AF1364" s="11">
        <f t="shared" si="578"/>
        <v>160</v>
      </c>
      <c r="AG1364" s="65">
        <v>43062</v>
      </c>
    </row>
    <row r="1365" spans="1:33" x14ac:dyDescent="0.15">
      <c r="A1365" s="26" t="s">
        <v>695</v>
      </c>
      <c r="B1365" s="8"/>
      <c r="C1365" s="9"/>
      <c r="D1365" s="10"/>
      <c r="E1365" s="11">
        <f t="shared" si="579"/>
        <v>0</v>
      </c>
      <c r="F1365" s="12"/>
      <c r="G1365" s="9">
        <v>2</v>
      </c>
      <c r="H1365" s="10"/>
      <c r="I1365" s="11">
        <f t="shared" si="583"/>
        <v>2</v>
      </c>
      <c r="J1365" s="11">
        <f t="shared" si="580"/>
        <v>2</v>
      </c>
      <c r="K1365" s="71">
        <v>43047</v>
      </c>
      <c r="W1365" s="29" t="s">
        <v>698</v>
      </c>
      <c r="X1365" s="8">
        <v>20</v>
      </c>
      <c r="Y1365" s="9">
        <v>50</v>
      </c>
      <c r="Z1365" s="10">
        <v>30</v>
      </c>
      <c r="AA1365" s="11">
        <f t="shared" si="581"/>
        <v>100</v>
      </c>
      <c r="AB1365" s="12"/>
      <c r="AC1365" s="9"/>
      <c r="AD1365" s="10"/>
      <c r="AE1365" s="11">
        <f t="shared" si="582"/>
        <v>0</v>
      </c>
      <c r="AF1365" s="11">
        <f t="shared" si="578"/>
        <v>100</v>
      </c>
      <c r="AG1365" s="65">
        <v>43064</v>
      </c>
    </row>
    <row r="1366" spans="1:33" x14ac:dyDescent="0.15">
      <c r="A1366" s="29" t="s">
        <v>687</v>
      </c>
      <c r="B1366" s="8"/>
      <c r="C1366" s="9"/>
      <c r="D1366" s="10"/>
      <c r="E1366" s="11">
        <f t="shared" si="579"/>
        <v>0</v>
      </c>
      <c r="F1366" s="12"/>
      <c r="G1366" s="9">
        <v>10</v>
      </c>
      <c r="H1366" s="10"/>
      <c r="I1366" s="11">
        <f t="shared" si="583"/>
        <v>10</v>
      </c>
      <c r="J1366" s="11">
        <f t="shared" si="580"/>
        <v>10</v>
      </c>
      <c r="K1366" s="65">
        <v>43050</v>
      </c>
      <c r="W1366" s="29" t="s">
        <v>699</v>
      </c>
      <c r="X1366" s="8">
        <v>20</v>
      </c>
      <c r="Y1366" s="9">
        <v>30</v>
      </c>
      <c r="Z1366" s="10"/>
      <c r="AA1366" s="11">
        <f t="shared" si="581"/>
        <v>50</v>
      </c>
      <c r="AB1366" s="12"/>
      <c r="AC1366" s="9"/>
      <c r="AD1366" s="10"/>
      <c r="AE1366" s="11">
        <f t="shared" si="582"/>
        <v>0</v>
      </c>
      <c r="AF1366" s="11">
        <f t="shared" si="578"/>
        <v>50</v>
      </c>
      <c r="AG1366" s="65">
        <v>43067</v>
      </c>
    </row>
    <row r="1367" spans="1:33" x14ac:dyDescent="0.15">
      <c r="A1367" s="26" t="s">
        <v>67</v>
      </c>
      <c r="B1367" s="8">
        <v>1</v>
      </c>
      <c r="C1367" s="9"/>
      <c r="D1367" s="10"/>
      <c r="E1367" s="11">
        <f t="shared" si="579"/>
        <v>1</v>
      </c>
      <c r="F1367" s="12"/>
      <c r="G1367" s="9"/>
      <c r="H1367" s="10"/>
      <c r="I1367" s="11">
        <f t="shared" si="583"/>
        <v>0</v>
      </c>
      <c r="J1367" s="11">
        <f t="shared" si="580"/>
        <v>1</v>
      </c>
      <c r="K1367" s="71">
        <v>43052</v>
      </c>
      <c r="W1367" s="29" t="s">
        <v>687</v>
      </c>
      <c r="X1367" s="8">
        <v>50</v>
      </c>
      <c r="Y1367" s="9"/>
      <c r="Z1367" s="10"/>
      <c r="AA1367" s="11">
        <f t="shared" si="581"/>
        <v>50</v>
      </c>
      <c r="AB1367" s="12"/>
      <c r="AC1367" s="9"/>
      <c r="AD1367" s="10"/>
      <c r="AE1367" s="11">
        <f t="shared" si="582"/>
        <v>0</v>
      </c>
      <c r="AF1367" s="11">
        <f t="shared" si="578"/>
        <v>50</v>
      </c>
      <c r="AG1367" s="65">
        <v>43069</v>
      </c>
    </row>
    <row r="1368" spans="1:33" x14ac:dyDescent="0.15">
      <c r="A1368" s="29" t="s">
        <v>687</v>
      </c>
      <c r="B1368" s="13">
        <v>15</v>
      </c>
      <c r="C1368" s="14">
        <v>20</v>
      </c>
      <c r="D1368" s="15">
        <v>20</v>
      </c>
      <c r="E1368" s="11">
        <f t="shared" si="579"/>
        <v>55</v>
      </c>
      <c r="F1368" s="16">
        <v>15</v>
      </c>
      <c r="G1368" s="14"/>
      <c r="H1368" s="15"/>
      <c r="I1368" s="11">
        <f t="shared" si="583"/>
        <v>15</v>
      </c>
      <c r="J1368" s="11">
        <f t="shared" si="580"/>
        <v>70</v>
      </c>
      <c r="K1368" s="65">
        <v>43058</v>
      </c>
      <c r="W1368" s="27"/>
      <c r="X1368" s="13"/>
      <c r="Y1368" s="14"/>
      <c r="Z1368" s="15"/>
      <c r="AA1368" s="11">
        <f t="shared" si="581"/>
        <v>0</v>
      </c>
      <c r="AB1368" s="16"/>
      <c r="AC1368" s="14"/>
      <c r="AD1368" s="15"/>
      <c r="AE1368" s="11">
        <f t="shared" si="582"/>
        <v>0</v>
      </c>
      <c r="AF1368" s="11">
        <f t="shared" si="578"/>
        <v>0</v>
      </c>
    </row>
    <row r="1369" spans="1:33" x14ac:dyDescent="0.15">
      <c r="A1369" s="26" t="s">
        <v>67</v>
      </c>
      <c r="B1369" s="8"/>
      <c r="C1369" s="9"/>
      <c r="D1369" s="10"/>
      <c r="E1369" s="11">
        <f t="shared" si="579"/>
        <v>0</v>
      </c>
      <c r="F1369" s="12"/>
      <c r="G1369" s="9">
        <v>4</v>
      </c>
      <c r="H1369" s="10"/>
      <c r="I1369" s="11">
        <f t="shared" si="583"/>
        <v>4</v>
      </c>
      <c r="J1369" s="11">
        <f t="shared" si="580"/>
        <v>4</v>
      </c>
      <c r="K1369" s="71">
        <v>43060</v>
      </c>
      <c r="W1369" s="86"/>
      <c r="X1369" s="13"/>
      <c r="Y1369" s="14"/>
      <c r="Z1369" s="15"/>
      <c r="AA1369" s="11">
        <f t="shared" si="581"/>
        <v>0</v>
      </c>
      <c r="AB1369" s="16"/>
      <c r="AC1369" s="14"/>
      <c r="AD1369" s="15"/>
      <c r="AE1369" s="11">
        <f t="shared" si="582"/>
        <v>0</v>
      </c>
      <c r="AF1369" s="11">
        <f t="shared" si="578"/>
        <v>0</v>
      </c>
    </row>
    <row r="1370" spans="1:33" x14ac:dyDescent="0.15">
      <c r="A1370" s="29" t="s">
        <v>699</v>
      </c>
      <c r="B1370" s="8"/>
      <c r="C1370" s="9"/>
      <c r="D1370" s="10">
        <v>30</v>
      </c>
      <c r="E1370" s="11">
        <f t="shared" si="579"/>
        <v>30</v>
      </c>
      <c r="F1370" s="12"/>
      <c r="G1370" s="9"/>
      <c r="H1370" s="10"/>
      <c r="I1370" s="11">
        <f t="shared" si="583"/>
        <v>0</v>
      </c>
      <c r="J1370" s="11">
        <f t="shared" si="580"/>
        <v>30</v>
      </c>
      <c r="K1370" s="65">
        <v>43067</v>
      </c>
      <c r="W1370" s="86"/>
      <c r="X1370" s="13"/>
      <c r="Y1370" s="14"/>
      <c r="Z1370" s="15"/>
      <c r="AA1370" s="11">
        <f t="shared" si="581"/>
        <v>0</v>
      </c>
      <c r="AB1370" s="16"/>
      <c r="AC1370" s="14"/>
      <c r="AD1370" s="15"/>
      <c r="AE1370" s="11">
        <f t="shared" si="582"/>
        <v>0</v>
      </c>
      <c r="AF1370" s="11">
        <f t="shared" si="578"/>
        <v>0</v>
      </c>
    </row>
    <row r="1371" spans="1:33" x14ac:dyDescent="0.15">
      <c r="A1371" s="29" t="s">
        <v>700</v>
      </c>
      <c r="B1371" s="8"/>
      <c r="C1371" s="9"/>
      <c r="D1371" s="10">
        <v>2</v>
      </c>
      <c r="E1371" s="11">
        <f t="shared" si="579"/>
        <v>2</v>
      </c>
      <c r="F1371" s="12"/>
      <c r="G1371" s="9"/>
      <c r="H1371" s="10"/>
      <c r="I1371" s="11">
        <f t="shared" si="583"/>
        <v>0</v>
      </c>
      <c r="J1371" s="11">
        <f t="shared" si="580"/>
        <v>2</v>
      </c>
      <c r="K1371" s="65">
        <v>43066</v>
      </c>
      <c r="W1371" s="86"/>
      <c r="X1371" s="13"/>
      <c r="Y1371" s="14"/>
      <c r="Z1371" s="15"/>
      <c r="AA1371" s="11">
        <f t="shared" si="581"/>
        <v>0</v>
      </c>
      <c r="AB1371" s="16"/>
      <c r="AC1371" s="14"/>
      <c r="AD1371" s="15"/>
      <c r="AE1371" s="11">
        <f t="shared" si="582"/>
        <v>0</v>
      </c>
      <c r="AF1371" s="11">
        <f t="shared" si="578"/>
        <v>0</v>
      </c>
    </row>
    <row r="1372" spans="1:33" ht="14.25" thickBot="1" x14ac:dyDescent="0.2">
      <c r="A1372" s="29" t="s">
        <v>67</v>
      </c>
      <c r="B1372" s="8"/>
      <c r="C1372" s="9"/>
      <c r="D1372" s="10">
        <v>2</v>
      </c>
      <c r="E1372" s="11">
        <f t="shared" si="579"/>
        <v>2</v>
      </c>
      <c r="F1372" s="16"/>
      <c r="G1372" s="14"/>
      <c r="H1372" s="15"/>
      <c r="I1372" s="11">
        <f t="shared" si="583"/>
        <v>0</v>
      </c>
      <c r="J1372" s="11">
        <f t="shared" si="580"/>
        <v>2</v>
      </c>
      <c r="K1372" s="65">
        <v>43069</v>
      </c>
      <c r="W1372" s="86"/>
      <c r="X1372" s="13"/>
      <c r="Y1372" s="14"/>
      <c r="Z1372" s="15"/>
      <c r="AA1372" s="11">
        <f t="shared" si="581"/>
        <v>0</v>
      </c>
      <c r="AB1372" s="16"/>
      <c r="AC1372" s="14"/>
      <c r="AD1372" s="15"/>
      <c r="AE1372" s="11">
        <f t="shared" si="582"/>
        <v>0</v>
      </c>
      <c r="AF1372" s="11">
        <f t="shared" si="578"/>
        <v>0</v>
      </c>
    </row>
    <row r="1373" spans="1:33" ht="14.25" thickBot="1" x14ac:dyDescent="0.2">
      <c r="A1373" s="44" t="s">
        <v>13</v>
      </c>
      <c r="B1373" s="48">
        <f t="shared" ref="B1373:I1373" si="584">SUM(B1347:B1372)</f>
        <v>119</v>
      </c>
      <c r="C1373" s="49">
        <f t="shared" si="584"/>
        <v>159</v>
      </c>
      <c r="D1373" s="50">
        <f t="shared" si="584"/>
        <v>207</v>
      </c>
      <c r="E1373" s="46">
        <f t="shared" si="584"/>
        <v>485</v>
      </c>
      <c r="F1373" s="48">
        <f t="shared" si="584"/>
        <v>98</v>
      </c>
      <c r="G1373" s="49">
        <f t="shared" si="584"/>
        <v>134</v>
      </c>
      <c r="H1373" s="50">
        <f t="shared" si="584"/>
        <v>106</v>
      </c>
      <c r="I1373" s="46">
        <f t="shared" si="584"/>
        <v>338</v>
      </c>
      <c r="J1373" s="35">
        <f>E1373+I1373</f>
        <v>823</v>
      </c>
      <c r="W1373" s="44" t="s">
        <v>13</v>
      </c>
      <c r="X1373" s="48">
        <f t="shared" ref="X1373:AE1373" si="585">SUM(X1347:X1372)</f>
        <v>490</v>
      </c>
      <c r="Y1373" s="49">
        <f t="shared" si="585"/>
        <v>660</v>
      </c>
      <c r="Z1373" s="50">
        <f t="shared" si="585"/>
        <v>545</v>
      </c>
      <c r="AA1373" s="46">
        <f t="shared" si="585"/>
        <v>1695</v>
      </c>
      <c r="AB1373" s="48">
        <f t="shared" si="585"/>
        <v>260</v>
      </c>
      <c r="AC1373" s="49">
        <f t="shared" si="585"/>
        <v>273</v>
      </c>
      <c r="AD1373" s="50">
        <f t="shared" si="585"/>
        <v>63</v>
      </c>
      <c r="AE1373" s="46">
        <f t="shared" si="585"/>
        <v>596</v>
      </c>
      <c r="AF1373" s="35">
        <f>AA1373+AE1373</f>
        <v>2291</v>
      </c>
    </row>
    <row r="1374" spans="1:33" ht="14.25" thickBot="1" x14ac:dyDescent="0.2">
      <c r="A1374" s="23" t="s">
        <v>14</v>
      </c>
      <c r="B1374" s="24">
        <f t="shared" ref="B1374:J1374" si="586">B1346-B1373</f>
        <v>42</v>
      </c>
      <c r="C1374" s="25">
        <f t="shared" si="586"/>
        <v>27</v>
      </c>
      <c r="D1374" s="30">
        <f t="shared" si="586"/>
        <v>17</v>
      </c>
      <c r="E1374" s="51">
        <f t="shared" si="586"/>
        <v>86</v>
      </c>
      <c r="F1374" s="24">
        <f t="shared" si="586"/>
        <v>38</v>
      </c>
      <c r="G1374" s="25">
        <f t="shared" si="586"/>
        <v>20</v>
      </c>
      <c r="H1374" s="30">
        <f t="shared" si="586"/>
        <v>9</v>
      </c>
      <c r="I1374" s="47">
        <f t="shared" si="586"/>
        <v>67</v>
      </c>
      <c r="J1374" s="79">
        <f t="shared" si="586"/>
        <v>153</v>
      </c>
      <c r="W1374" s="23" t="s">
        <v>14</v>
      </c>
      <c r="X1374" s="24">
        <f t="shared" ref="X1374:AF1374" si="587">X1346-X1373</f>
        <v>189</v>
      </c>
      <c r="Y1374" s="25">
        <f t="shared" si="587"/>
        <v>92</v>
      </c>
      <c r="Z1374" s="30">
        <f t="shared" si="587"/>
        <v>3</v>
      </c>
      <c r="AA1374" s="51">
        <f t="shared" si="587"/>
        <v>284</v>
      </c>
      <c r="AB1374" s="24">
        <f t="shared" si="587"/>
        <v>40</v>
      </c>
      <c r="AC1374" s="25">
        <f t="shared" si="587"/>
        <v>0</v>
      </c>
      <c r="AD1374" s="30">
        <f t="shared" si="587"/>
        <v>0</v>
      </c>
      <c r="AE1374" s="47">
        <f t="shared" si="587"/>
        <v>40</v>
      </c>
      <c r="AF1374" s="79">
        <f t="shared" si="587"/>
        <v>324</v>
      </c>
    </row>
    <row r="1377" spans="1:33" ht="19.5" thickBot="1" x14ac:dyDescent="0.25">
      <c r="A1377" s="93" t="s">
        <v>21</v>
      </c>
      <c r="B1377" s="94"/>
      <c r="C1377" s="94"/>
      <c r="D1377" s="94"/>
      <c r="E1377" s="94"/>
      <c r="F1377" s="1"/>
      <c r="G1377" s="1"/>
      <c r="H1377" s="1"/>
      <c r="I1377" s="1"/>
      <c r="J1377" s="1"/>
      <c r="W1377" s="93" t="s">
        <v>136</v>
      </c>
      <c r="X1377" s="94"/>
      <c r="Y1377" s="94"/>
      <c r="Z1377" s="94"/>
      <c r="AA1377" s="106" t="s">
        <v>299</v>
      </c>
      <c r="AB1377" s="1"/>
      <c r="AC1377" s="1"/>
      <c r="AD1377" s="1"/>
      <c r="AE1377" s="1"/>
      <c r="AF1377" s="1"/>
    </row>
    <row r="1378" spans="1:33" ht="14.25" thickBot="1" x14ac:dyDescent="0.2">
      <c r="A1378" s="7" t="s">
        <v>0</v>
      </c>
      <c r="B1378" s="168" t="s">
        <v>1</v>
      </c>
      <c r="C1378" s="169"/>
      <c r="D1378" s="169"/>
      <c r="E1378" s="170"/>
      <c r="F1378" s="168" t="s">
        <v>2</v>
      </c>
      <c r="G1378" s="169"/>
      <c r="H1378" s="169"/>
      <c r="I1378" s="171"/>
      <c r="J1378" s="172" t="s">
        <v>3</v>
      </c>
      <c r="W1378" s="7" t="s">
        <v>0</v>
      </c>
      <c r="X1378" s="174" t="s">
        <v>1</v>
      </c>
      <c r="Y1378" s="175"/>
      <c r="Z1378" s="176"/>
      <c r="AA1378" s="101"/>
      <c r="AB1378" s="174" t="s">
        <v>2</v>
      </c>
      <c r="AC1378" s="175"/>
      <c r="AD1378" s="176"/>
      <c r="AE1378" s="102"/>
      <c r="AF1378" s="103" t="s">
        <v>3</v>
      </c>
    </row>
    <row r="1379" spans="1:33" ht="14.25" thickBot="1" x14ac:dyDescent="0.2">
      <c r="A1379" s="7" t="s">
        <v>4</v>
      </c>
      <c r="B1379" s="3" t="s">
        <v>5</v>
      </c>
      <c r="C1379" s="4" t="s">
        <v>6</v>
      </c>
      <c r="D1379" s="5" t="s">
        <v>7</v>
      </c>
      <c r="E1379" s="7" t="s">
        <v>8</v>
      </c>
      <c r="F1379" s="3" t="s">
        <v>5</v>
      </c>
      <c r="G1379" s="4" t="s">
        <v>6</v>
      </c>
      <c r="H1379" s="5" t="s">
        <v>7</v>
      </c>
      <c r="I1379" s="7" t="s">
        <v>8</v>
      </c>
      <c r="J1379" s="173"/>
      <c r="W1379" s="7" t="s">
        <v>4</v>
      </c>
      <c r="X1379" s="3" t="s">
        <v>5</v>
      </c>
      <c r="Y1379" s="4" t="s">
        <v>6</v>
      </c>
      <c r="Z1379" s="5" t="s">
        <v>7</v>
      </c>
      <c r="AA1379" s="7" t="s">
        <v>8</v>
      </c>
      <c r="AB1379" s="107" t="s">
        <v>5</v>
      </c>
      <c r="AC1379" s="108" t="s">
        <v>6</v>
      </c>
      <c r="AD1379" s="109" t="s">
        <v>7</v>
      </c>
      <c r="AE1379" s="7" t="s">
        <v>8</v>
      </c>
      <c r="AF1379" s="104"/>
    </row>
    <row r="1380" spans="1:33" ht="14.25" thickBot="1" x14ac:dyDescent="0.2">
      <c r="A1380" s="31" t="s">
        <v>14</v>
      </c>
      <c r="B1380" s="32">
        <f>B1374</f>
        <v>42</v>
      </c>
      <c r="C1380" s="33">
        <f>C1374</f>
        <v>27</v>
      </c>
      <c r="D1380" s="34">
        <f>D1374</f>
        <v>17</v>
      </c>
      <c r="E1380" s="41">
        <f>SUM(B1380:D1380)</f>
        <v>86</v>
      </c>
      <c r="F1380" s="32">
        <f>F1374</f>
        <v>38</v>
      </c>
      <c r="G1380" s="33">
        <f>G1374</f>
        <v>20</v>
      </c>
      <c r="H1380" s="34">
        <f>H1374</f>
        <v>9</v>
      </c>
      <c r="I1380" s="41">
        <f>SUM(F1380:H1380)</f>
        <v>67</v>
      </c>
      <c r="J1380" s="41">
        <f>E1380+I1380</f>
        <v>153</v>
      </c>
      <c r="W1380" s="31" t="s">
        <v>14</v>
      </c>
      <c r="X1380" s="32">
        <f>X1374</f>
        <v>189</v>
      </c>
      <c r="Y1380" s="33">
        <f>Y1374</f>
        <v>92</v>
      </c>
      <c r="Z1380" s="33">
        <f>Z1374</f>
        <v>3</v>
      </c>
      <c r="AA1380" s="111">
        <f>SUM(X1380:Z1380)</f>
        <v>284</v>
      </c>
      <c r="AB1380" s="32">
        <f>AB1374</f>
        <v>40</v>
      </c>
      <c r="AC1380" s="33">
        <f>AC1374</f>
        <v>0</v>
      </c>
      <c r="AD1380" s="95">
        <f>AD1374</f>
        <v>0</v>
      </c>
      <c r="AE1380" s="46">
        <f>SUM(AB1380:AD1380)</f>
        <v>40</v>
      </c>
      <c r="AF1380" s="35">
        <f>AA1380+AE1380</f>
        <v>324</v>
      </c>
    </row>
    <row r="1381" spans="1:33" x14ac:dyDescent="0.15">
      <c r="A1381" s="28" t="s">
        <v>705</v>
      </c>
      <c r="B1381" s="17"/>
      <c r="C1381" s="18"/>
      <c r="D1381" s="19"/>
      <c r="E1381" s="20">
        <f t="shared" ref="E1381:E1388" si="588">SUM(B1381:D1381)</f>
        <v>0</v>
      </c>
      <c r="F1381" s="21"/>
      <c r="G1381" s="18">
        <v>4</v>
      </c>
      <c r="H1381" s="19"/>
      <c r="I1381" s="20">
        <f t="shared" ref="I1381:I1388" si="589">SUM(F1381:H1381)</f>
        <v>4</v>
      </c>
      <c r="J1381" s="20">
        <f t="shared" ref="J1381:J1388" si="590">E1381+I1381</f>
        <v>4</v>
      </c>
      <c r="K1381" s="65">
        <v>43080</v>
      </c>
      <c r="W1381" s="28" t="s">
        <v>9</v>
      </c>
      <c r="X1381" s="8"/>
      <c r="Y1381" s="9"/>
      <c r="Z1381" s="10"/>
      <c r="AA1381" s="78">
        <f t="shared" ref="AA1381:AA1388" si="591">SUM(X1381:Z1381)</f>
        <v>0</v>
      </c>
      <c r="AB1381" s="21"/>
      <c r="AC1381" s="18"/>
      <c r="AD1381" s="19"/>
      <c r="AE1381" s="78">
        <f t="shared" ref="AE1381:AE1388" si="592">SUM(AB1381:AD1381)</f>
        <v>0</v>
      </c>
      <c r="AF1381" s="78">
        <f t="shared" ref="AF1381:AF1388" si="593">AA1381+AE1381</f>
        <v>0</v>
      </c>
    </row>
    <row r="1382" spans="1:33" x14ac:dyDescent="0.15">
      <c r="A1382" s="28" t="s">
        <v>10</v>
      </c>
      <c r="B1382" s="8"/>
      <c r="C1382" s="9"/>
      <c r="D1382" s="10">
        <v>3</v>
      </c>
      <c r="E1382" s="11">
        <f t="shared" si="588"/>
        <v>3</v>
      </c>
      <c r="F1382" s="12"/>
      <c r="G1382" s="9"/>
      <c r="H1382" s="10"/>
      <c r="I1382" s="11">
        <f t="shared" si="589"/>
        <v>0</v>
      </c>
      <c r="J1382" s="11">
        <f t="shared" si="590"/>
        <v>3</v>
      </c>
      <c r="K1382" s="65">
        <v>43082</v>
      </c>
      <c r="W1382" s="28" t="s">
        <v>10</v>
      </c>
      <c r="X1382" s="8"/>
      <c r="Y1382" s="9"/>
      <c r="Z1382" s="10"/>
      <c r="AA1382" s="11">
        <f t="shared" si="591"/>
        <v>0</v>
      </c>
      <c r="AB1382" s="12"/>
      <c r="AC1382" s="9"/>
      <c r="AD1382" s="10"/>
      <c r="AE1382" s="11">
        <f t="shared" si="592"/>
        <v>0</v>
      </c>
      <c r="AF1382" s="11">
        <f t="shared" si="593"/>
        <v>0</v>
      </c>
    </row>
    <row r="1383" spans="1:33" x14ac:dyDescent="0.15">
      <c r="A1383" s="28" t="s">
        <v>11</v>
      </c>
      <c r="B1383" s="8">
        <v>50</v>
      </c>
      <c r="C1383" s="9"/>
      <c r="D1383" s="10"/>
      <c r="E1383" s="11">
        <f t="shared" si="588"/>
        <v>50</v>
      </c>
      <c r="F1383" s="12"/>
      <c r="G1383" s="9"/>
      <c r="H1383" s="10"/>
      <c r="I1383" s="11">
        <f t="shared" si="589"/>
        <v>0</v>
      </c>
      <c r="J1383" s="11">
        <f t="shared" si="590"/>
        <v>50</v>
      </c>
      <c r="K1383" s="65">
        <v>43089</v>
      </c>
      <c r="W1383" s="28" t="s">
        <v>11</v>
      </c>
      <c r="X1383" s="8"/>
      <c r="Y1383" s="9"/>
      <c r="Z1383" s="10"/>
      <c r="AA1383" s="11">
        <f t="shared" si="591"/>
        <v>0</v>
      </c>
      <c r="AB1383" s="12"/>
      <c r="AC1383" s="9"/>
      <c r="AD1383" s="10"/>
      <c r="AE1383" s="11">
        <f t="shared" si="592"/>
        <v>0</v>
      </c>
      <c r="AF1383" s="11">
        <f t="shared" si="593"/>
        <v>0</v>
      </c>
    </row>
    <row r="1384" spans="1:33" x14ac:dyDescent="0.15">
      <c r="A1384" s="28" t="s">
        <v>12</v>
      </c>
      <c r="B1384" s="8"/>
      <c r="C1384" s="9"/>
      <c r="D1384" s="10">
        <v>50</v>
      </c>
      <c r="E1384" s="11">
        <f t="shared" si="588"/>
        <v>50</v>
      </c>
      <c r="F1384" s="12"/>
      <c r="G1384" s="9"/>
      <c r="H1384" s="10">
        <v>50</v>
      </c>
      <c r="I1384" s="11">
        <f t="shared" si="589"/>
        <v>50</v>
      </c>
      <c r="J1384" s="11">
        <f t="shared" si="590"/>
        <v>100</v>
      </c>
      <c r="K1384" s="65">
        <v>43113</v>
      </c>
      <c r="W1384" s="28" t="s">
        <v>12</v>
      </c>
      <c r="X1384" s="8"/>
      <c r="Y1384" s="9"/>
      <c r="Z1384" s="10"/>
      <c r="AA1384" s="11">
        <f t="shared" si="591"/>
        <v>0</v>
      </c>
      <c r="AB1384" s="12"/>
      <c r="AC1384" s="9"/>
      <c r="AD1384" s="10"/>
      <c r="AE1384" s="11">
        <f t="shared" si="592"/>
        <v>0</v>
      </c>
      <c r="AF1384" s="11">
        <f t="shared" si="593"/>
        <v>0</v>
      </c>
    </row>
    <row r="1385" spans="1:33" x14ac:dyDescent="0.15">
      <c r="A1385" s="28" t="s">
        <v>15</v>
      </c>
      <c r="B1385" s="8"/>
      <c r="C1385" s="9"/>
      <c r="D1385" s="10"/>
      <c r="E1385" s="11">
        <f t="shared" si="588"/>
        <v>0</v>
      </c>
      <c r="F1385" s="12"/>
      <c r="G1385" s="9">
        <v>50</v>
      </c>
      <c r="H1385" s="10"/>
      <c r="I1385" s="11">
        <f t="shared" si="589"/>
        <v>50</v>
      </c>
      <c r="J1385" s="11">
        <f t="shared" si="590"/>
        <v>50</v>
      </c>
      <c r="K1385" s="65">
        <v>43116</v>
      </c>
      <c r="W1385" s="28" t="s">
        <v>15</v>
      </c>
      <c r="X1385" s="8"/>
      <c r="Y1385" s="9"/>
      <c r="Z1385" s="10"/>
      <c r="AA1385" s="11">
        <f t="shared" si="591"/>
        <v>0</v>
      </c>
      <c r="AB1385" s="12"/>
      <c r="AC1385" s="9"/>
      <c r="AD1385" s="10"/>
      <c r="AE1385" s="11">
        <f t="shared" si="592"/>
        <v>0</v>
      </c>
      <c r="AF1385" s="11">
        <f t="shared" si="593"/>
        <v>0</v>
      </c>
      <c r="AG1385" s="65"/>
    </row>
    <row r="1386" spans="1:33" x14ac:dyDescent="0.15">
      <c r="A1386" s="28" t="s">
        <v>16</v>
      </c>
      <c r="B1386" s="8"/>
      <c r="C1386" s="9">
        <v>50</v>
      </c>
      <c r="D1386" s="10"/>
      <c r="E1386" s="11">
        <f t="shared" si="588"/>
        <v>50</v>
      </c>
      <c r="F1386" s="12"/>
      <c r="G1386" s="9"/>
      <c r="H1386" s="10"/>
      <c r="I1386" s="11">
        <f t="shared" si="589"/>
        <v>0</v>
      </c>
      <c r="J1386" s="11">
        <f t="shared" si="590"/>
        <v>50</v>
      </c>
      <c r="K1386" s="65">
        <v>43123</v>
      </c>
      <c r="W1386" s="28" t="s">
        <v>16</v>
      </c>
      <c r="X1386" s="8"/>
      <c r="Y1386" s="9"/>
      <c r="Z1386" s="10"/>
      <c r="AA1386" s="11">
        <f t="shared" si="591"/>
        <v>0</v>
      </c>
      <c r="AB1386" s="12"/>
      <c r="AC1386" s="9"/>
      <c r="AD1386" s="10"/>
      <c r="AE1386" s="11">
        <f t="shared" si="592"/>
        <v>0</v>
      </c>
      <c r="AF1386" s="11">
        <f t="shared" si="593"/>
        <v>0</v>
      </c>
      <c r="AG1386" s="64"/>
    </row>
    <row r="1387" spans="1:33" x14ac:dyDescent="0.15">
      <c r="A1387" s="28" t="s">
        <v>17</v>
      </c>
      <c r="B1387" s="13"/>
      <c r="C1387" s="14"/>
      <c r="D1387" s="15"/>
      <c r="E1387" s="11">
        <f t="shared" si="588"/>
        <v>0</v>
      </c>
      <c r="F1387" s="16">
        <v>50</v>
      </c>
      <c r="G1387" s="14"/>
      <c r="H1387" s="15"/>
      <c r="I1387" s="11">
        <f t="shared" si="589"/>
        <v>50</v>
      </c>
      <c r="J1387" s="11">
        <f t="shared" si="590"/>
        <v>50</v>
      </c>
      <c r="K1387" s="65">
        <v>43147</v>
      </c>
      <c r="W1387" s="28" t="s">
        <v>17</v>
      </c>
      <c r="X1387" s="8">
        <v>600</v>
      </c>
      <c r="Y1387" s="9">
        <v>600</v>
      </c>
      <c r="Z1387" s="10">
        <v>600</v>
      </c>
      <c r="AA1387" s="11">
        <f t="shared" si="591"/>
        <v>1800</v>
      </c>
      <c r="AB1387" s="12">
        <v>500</v>
      </c>
      <c r="AC1387" s="12">
        <v>500</v>
      </c>
      <c r="AD1387" s="87">
        <v>500</v>
      </c>
      <c r="AE1387" s="11">
        <f t="shared" si="592"/>
        <v>1500</v>
      </c>
      <c r="AF1387" s="11">
        <f t="shared" si="593"/>
        <v>3300</v>
      </c>
      <c r="AG1387" s="65">
        <v>43110</v>
      </c>
    </row>
    <row r="1388" spans="1:33" ht="14.25" thickBot="1" x14ac:dyDescent="0.2">
      <c r="A1388" s="28" t="s">
        <v>18</v>
      </c>
      <c r="B1388" s="36">
        <v>50</v>
      </c>
      <c r="C1388" s="37"/>
      <c r="D1388" s="40"/>
      <c r="E1388" s="22">
        <f t="shared" si="588"/>
        <v>50</v>
      </c>
      <c r="F1388" s="38"/>
      <c r="G1388" s="38">
        <v>50</v>
      </c>
      <c r="H1388" s="43"/>
      <c r="I1388" s="22">
        <f t="shared" si="589"/>
        <v>50</v>
      </c>
      <c r="J1388" s="22">
        <f t="shared" si="590"/>
        <v>100</v>
      </c>
      <c r="K1388" s="65">
        <v>43150</v>
      </c>
      <c r="W1388" s="28" t="s">
        <v>18</v>
      </c>
      <c r="X1388" s="127"/>
      <c r="Y1388" s="128"/>
      <c r="Z1388" s="129"/>
      <c r="AA1388" s="130">
        <f t="shared" si="591"/>
        <v>0</v>
      </c>
      <c r="AB1388" s="131"/>
      <c r="AC1388" s="131"/>
      <c r="AD1388" s="132"/>
      <c r="AE1388" s="130">
        <f t="shared" si="592"/>
        <v>0</v>
      </c>
      <c r="AF1388" s="130">
        <f t="shared" si="593"/>
        <v>0</v>
      </c>
      <c r="AG1388" s="65"/>
    </row>
    <row r="1389" spans="1:33" ht="14.25" thickBot="1" x14ac:dyDescent="0.2">
      <c r="A1389" s="39" t="s">
        <v>20</v>
      </c>
      <c r="B1389" s="32">
        <f t="shared" ref="B1389:J1389" si="594">SUM(B1380:B1388)</f>
        <v>142</v>
      </c>
      <c r="C1389" s="33">
        <f t="shared" si="594"/>
        <v>77</v>
      </c>
      <c r="D1389" s="34">
        <f t="shared" si="594"/>
        <v>70</v>
      </c>
      <c r="E1389" s="42">
        <f t="shared" si="594"/>
        <v>289</v>
      </c>
      <c r="F1389" s="32">
        <f t="shared" si="594"/>
        <v>88</v>
      </c>
      <c r="G1389" s="33">
        <f t="shared" si="594"/>
        <v>124</v>
      </c>
      <c r="H1389" s="34">
        <f t="shared" si="594"/>
        <v>59</v>
      </c>
      <c r="I1389" s="42">
        <f t="shared" si="594"/>
        <v>271</v>
      </c>
      <c r="J1389" s="42">
        <f t="shared" si="594"/>
        <v>560</v>
      </c>
      <c r="W1389" s="39" t="s">
        <v>20</v>
      </c>
      <c r="X1389" s="32">
        <f t="shared" ref="X1389:AF1389" si="595">SUM(X1380:X1388)</f>
        <v>789</v>
      </c>
      <c r="Y1389" s="33">
        <f t="shared" si="595"/>
        <v>692</v>
      </c>
      <c r="Z1389" s="34">
        <f t="shared" si="595"/>
        <v>603</v>
      </c>
      <c r="AA1389" s="42">
        <f t="shared" si="595"/>
        <v>2084</v>
      </c>
      <c r="AB1389" s="32">
        <f t="shared" si="595"/>
        <v>540</v>
      </c>
      <c r="AC1389" s="33">
        <f t="shared" si="595"/>
        <v>500</v>
      </c>
      <c r="AD1389" s="34">
        <f t="shared" si="595"/>
        <v>500</v>
      </c>
      <c r="AE1389" s="42">
        <f t="shared" si="595"/>
        <v>1540</v>
      </c>
      <c r="AF1389" s="42">
        <f t="shared" si="595"/>
        <v>3624</v>
      </c>
    </row>
    <row r="1390" spans="1:33" x14ac:dyDescent="0.15">
      <c r="A1390" s="29" t="s">
        <v>687</v>
      </c>
      <c r="B1390" s="13">
        <v>20</v>
      </c>
      <c r="C1390" s="14"/>
      <c r="D1390" s="15"/>
      <c r="E1390" s="11">
        <f>SUM(B1390:D1390)</f>
        <v>20</v>
      </c>
      <c r="F1390" s="16"/>
      <c r="G1390" s="14"/>
      <c r="H1390" s="15"/>
      <c r="I1390" s="11">
        <f>SUM(F1390:H1390)</f>
        <v>0</v>
      </c>
      <c r="J1390" s="11">
        <f>E1390+I1390</f>
        <v>20</v>
      </c>
      <c r="K1390" s="65">
        <v>43071</v>
      </c>
      <c r="W1390" s="29" t="s">
        <v>662</v>
      </c>
      <c r="X1390" s="13">
        <v>10</v>
      </c>
      <c r="Y1390" s="14">
        <v>10</v>
      </c>
      <c r="Z1390" s="15"/>
      <c r="AA1390" s="11">
        <f>SUM(X1390:Z1390)</f>
        <v>20</v>
      </c>
      <c r="AB1390" s="16"/>
      <c r="AC1390" s="14"/>
      <c r="AD1390" s="15"/>
      <c r="AE1390" s="11">
        <f>SUM(AB1390:AD1390)</f>
        <v>0</v>
      </c>
      <c r="AF1390" s="11">
        <f t="shared" ref="AF1390:AF1415" si="596">AA1390+AE1390</f>
        <v>20</v>
      </c>
      <c r="AG1390" s="65">
        <v>43084</v>
      </c>
    </row>
    <row r="1391" spans="1:33" x14ac:dyDescent="0.15">
      <c r="A1391" s="29" t="s">
        <v>701</v>
      </c>
      <c r="B1391" s="13">
        <v>5</v>
      </c>
      <c r="C1391" s="14"/>
      <c r="D1391" s="15">
        <v>5</v>
      </c>
      <c r="E1391" s="11">
        <f t="shared" ref="E1391:E1415" si="597">SUM(B1391:D1391)</f>
        <v>10</v>
      </c>
      <c r="F1391" s="16"/>
      <c r="G1391" s="14"/>
      <c r="H1391" s="15"/>
      <c r="I1391" s="11">
        <f>SUM(F1391:H1391)</f>
        <v>0</v>
      </c>
      <c r="J1391" s="11">
        <f t="shared" ref="J1391:J1415" si="598">E1391+I1391</f>
        <v>10</v>
      </c>
      <c r="K1391" s="65">
        <v>43076</v>
      </c>
      <c r="W1391" s="28" t="s">
        <v>707</v>
      </c>
      <c r="X1391" s="8"/>
      <c r="Y1391" s="9"/>
      <c r="Z1391" s="10">
        <v>3</v>
      </c>
      <c r="AA1391" s="11">
        <f>SUM(X1391:Z1391)</f>
        <v>3</v>
      </c>
      <c r="AB1391" s="12"/>
      <c r="AC1391" s="9"/>
      <c r="AD1391" s="10"/>
      <c r="AE1391" s="11">
        <f>SUM(AB1391:AD1391)</f>
        <v>0</v>
      </c>
      <c r="AF1391" s="11">
        <f t="shared" si="596"/>
        <v>3</v>
      </c>
      <c r="AG1391" s="65">
        <v>43082</v>
      </c>
    </row>
    <row r="1392" spans="1:33" x14ac:dyDescent="0.15">
      <c r="A1392" s="29" t="s">
        <v>662</v>
      </c>
      <c r="B1392" s="8"/>
      <c r="C1392" s="9"/>
      <c r="D1392" s="10">
        <v>13</v>
      </c>
      <c r="E1392" s="11">
        <f t="shared" si="597"/>
        <v>13</v>
      </c>
      <c r="F1392" s="12"/>
      <c r="G1392" s="9"/>
      <c r="H1392" s="10"/>
      <c r="I1392" s="11">
        <f>SUM(F1392:H1392)</f>
        <v>0</v>
      </c>
      <c r="J1392" s="11">
        <f t="shared" si="598"/>
        <v>13</v>
      </c>
      <c r="K1392" s="65">
        <v>43084</v>
      </c>
      <c r="W1392" s="28" t="s">
        <v>41</v>
      </c>
      <c r="X1392" s="8">
        <v>50</v>
      </c>
      <c r="Y1392" s="9"/>
      <c r="Z1392" s="10"/>
      <c r="AA1392" s="11">
        <f t="shared" ref="AA1392:AA1415" si="599">SUM(X1392:Z1392)</f>
        <v>50</v>
      </c>
      <c r="AB1392" s="12"/>
      <c r="AC1392" s="9"/>
      <c r="AD1392" s="10"/>
      <c r="AE1392" s="11">
        <f t="shared" ref="AE1392:AE1415" si="600">SUM(AB1392:AD1392)</f>
        <v>0</v>
      </c>
      <c r="AF1392" s="11">
        <f t="shared" si="596"/>
        <v>50</v>
      </c>
      <c r="AG1392" s="65">
        <v>43089</v>
      </c>
    </row>
    <row r="1393" spans="1:33" x14ac:dyDescent="0.15">
      <c r="A1393" s="29" t="s">
        <v>708</v>
      </c>
      <c r="B1393" s="8"/>
      <c r="C1393" s="9">
        <v>1</v>
      </c>
      <c r="D1393" s="10"/>
      <c r="E1393" s="11">
        <f t="shared" si="597"/>
        <v>1</v>
      </c>
      <c r="F1393" s="12"/>
      <c r="G1393" s="9"/>
      <c r="H1393" s="10"/>
      <c r="I1393" s="11">
        <f>SUM(F1393:H1393)</f>
        <v>0</v>
      </c>
      <c r="J1393" s="11">
        <f t="shared" si="598"/>
        <v>1</v>
      </c>
      <c r="K1393" s="71">
        <v>43095</v>
      </c>
      <c r="W1393" s="28" t="s">
        <v>41</v>
      </c>
      <c r="X1393" s="8"/>
      <c r="Y1393" s="9"/>
      <c r="Z1393" s="10">
        <v>50</v>
      </c>
      <c r="AA1393" s="11">
        <f t="shared" si="599"/>
        <v>50</v>
      </c>
      <c r="AB1393" s="12"/>
      <c r="AC1393" s="9"/>
      <c r="AD1393" s="10">
        <v>50</v>
      </c>
      <c r="AE1393" s="11">
        <f t="shared" si="600"/>
        <v>50</v>
      </c>
      <c r="AF1393" s="11">
        <f t="shared" si="596"/>
        <v>100</v>
      </c>
      <c r="AG1393" s="65">
        <v>43113</v>
      </c>
    </row>
    <row r="1394" spans="1:33" x14ac:dyDescent="0.15">
      <c r="A1394" s="29" t="s">
        <v>67</v>
      </c>
      <c r="B1394" s="8"/>
      <c r="C1394" s="9"/>
      <c r="D1394" s="10"/>
      <c r="E1394" s="11">
        <f t="shared" si="597"/>
        <v>0</v>
      </c>
      <c r="F1394" s="12"/>
      <c r="G1394" s="9">
        <v>1</v>
      </c>
      <c r="H1394" s="10"/>
      <c r="I1394" s="11">
        <f>SUM(F1394:H1394)</f>
        <v>1</v>
      </c>
      <c r="J1394" s="11">
        <f t="shared" si="598"/>
        <v>1</v>
      </c>
      <c r="K1394" s="65">
        <v>43112</v>
      </c>
      <c r="W1394" s="28" t="s">
        <v>41</v>
      </c>
      <c r="X1394" s="8"/>
      <c r="Y1394" s="9"/>
      <c r="Z1394" s="10"/>
      <c r="AA1394" s="11">
        <f t="shared" si="599"/>
        <v>0</v>
      </c>
      <c r="AB1394" s="12"/>
      <c r="AC1394" s="9">
        <v>50</v>
      </c>
      <c r="AD1394" s="10"/>
      <c r="AE1394" s="11">
        <f t="shared" si="600"/>
        <v>50</v>
      </c>
      <c r="AF1394" s="11">
        <f t="shared" si="596"/>
        <v>50</v>
      </c>
      <c r="AG1394" s="65">
        <v>43116</v>
      </c>
    </row>
    <row r="1395" spans="1:33" x14ac:dyDescent="0.15">
      <c r="A1395" s="29" t="s">
        <v>709</v>
      </c>
      <c r="B1395" s="8"/>
      <c r="C1395" s="9"/>
      <c r="D1395" s="10"/>
      <c r="E1395" s="139">
        <f t="shared" si="597"/>
        <v>0</v>
      </c>
      <c r="F1395" s="140"/>
      <c r="G1395" s="140">
        <v>19</v>
      </c>
      <c r="H1395" s="10"/>
      <c r="I1395" s="11">
        <f t="shared" ref="I1395:I1415" si="601">SUM(F1395:H1395)</f>
        <v>19</v>
      </c>
      <c r="J1395" s="11">
        <f t="shared" si="598"/>
        <v>19</v>
      </c>
      <c r="K1395" s="65">
        <v>43116</v>
      </c>
      <c r="W1395" s="29" t="s">
        <v>662</v>
      </c>
      <c r="X1395" s="8">
        <v>50</v>
      </c>
      <c r="Y1395" s="9">
        <v>40</v>
      </c>
      <c r="Z1395" s="10">
        <v>60</v>
      </c>
      <c r="AA1395" s="11">
        <f t="shared" si="599"/>
        <v>150</v>
      </c>
      <c r="AB1395" s="12">
        <v>50</v>
      </c>
      <c r="AC1395" s="9">
        <v>40</v>
      </c>
      <c r="AD1395" s="10">
        <v>50</v>
      </c>
      <c r="AE1395" s="11">
        <f t="shared" si="600"/>
        <v>140</v>
      </c>
      <c r="AF1395" s="11">
        <f t="shared" si="596"/>
        <v>290</v>
      </c>
      <c r="AG1395" s="65">
        <v>43123</v>
      </c>
    </row>
    <row r="1396" spans="1:33" x14ac:dyDescent="0.15">
      <c r="A1396" s="29" t="s">
        <v>709</v>
      </c>
      <c r="B1396" s="8"/>
      <c r="C1396" s="9"/>
      <c r="D1396" s="10"/>
      <c r="E1396" s="11">
        <f t="shared" si="597"/>
        <v>0</v>
      </c>
      <c r="F1396" s="12"/>
      <c r="G1396" s="9">
        <v>5</v>
      </c>
      <c r="H1396" s="10"/>
      <c r="I1396" s="11">
        <f t="shared" si="601"/>
        <v>5</v>
      </c>
      <c r="J1396" s="11">
        <f t="shared" si="598"/>
        <v>5</v>
      </c>
      <c r="K1396" s="65">
        <v>43117</v>
      </c>
      <c r="W1396" s="28" t="s">
        <v>41</v>
      </c>
      <c r="X1396" s="8"/>
      <c r="Y1396" s="9">
        <v>50</v>
      </c>
      <c r="Z1396" s="10"/>
      <c r="AA1396" s="11">
        <f t="shared" si="599"/>
        <v>50</v>
      </c>
      <c r="AB1396" s="12"/>
      <c r="AC1396" s="9"/>
      <c r="AD1396" s="10"/>
      <c r="AE1396" s="11">
        <f t="shared" si="600"/>
        <v>0</v>
      </c>
      <c r="AF1396" s="11">
        <f t="shared" si="596"/>
        <v>50</v>
      </c>
      <c r="AG1396" s="65">
        <v>43123</v>
      </c>
    </row>
    <row r="1397" spans="1:33" x14ac:dyDescent="0.15">
      <c r="A1397" s="26" t="s">
        <v>710</v>
      </c>
      <c r="B1397" s="8"/>
      <c r="C1397" s="9">
        <v>5</v>
      </c>
      <c r="D1397" s="10"/>
      <c r="E1397" s="11">
        <f t="shared" si="597"/>
        <v>5</v>
      </c>
      <c r="F1397" s="12">
        <v>10</v>
      </c>
      <c r="G1397" s="9">
        <v>10</v>
      </c>
      <c r="H1397" s="10">
        <v>10</v>
      </c>
      <c r="I1397" s="11">
        <f t="shared" si="601"/>
        <v>30</v>
      </c>
      <c r="J1397" s="11">
        <f t="shared" si="598"/>
        <v>35</v>
      </c>
      <c r="K1397" s="65">
        <v>43117</v>
      </c>
      <c r="W1397" s="86" t="s">
        <v>712</v>
      </c>
      <c r="X1397" s="8">
        <v>20</v>
      </c>
      <c r="Y1397" s="9">
        <v>20</v>
      </c>
      <c r="Z1397" s="10">
        <v>20</v>
      </c>
      <c r="AA1397" s="11">
        <f t="shared" si="599"/>
        <v>60</v>
      </c>
      <c r="AB1397" s="12">
        <v>20</v>
      </c>
      <c r="AC1397" s="9">
        <v>20</v>
      </c>
      <c r="AD1397" s="10">
        <v>20</v>
      </c>
      <c r="AE1397" s="11">
        <f t="shared" si="600"/>
        <v>60</v>
      </c>
      <c r="AF1397" s="11">
        <f t="shared" si="596"/>
        <v>120</v>
      </c>
      <c r="AG1397" s="65">
        <v>43133</v>
      </c>
    </row>
    <row r="1398" spans="1:33" x14ac:dyDescent="0.15">
      <c r="A1398" s="29" t="s">
        <v>687</v>
      </c>
      <c r="B1398" s="13">
        <v>13</v>
      </c>
      <c r="C1398" s="14">
        <v>15</v>
      </c>
      <c r="D1398" s="15">
        <v>13</v>
      </c>
      <c r="E1398" s="11">
        <f t="shared" si="597"/>
        <v>41</v>
      </c>
      <c r="F1398" s="16">
        <v>12</v>
      </c>
      <c r="G1398" s="14">
        <v>13</v>
      </c>
      <c r="H1398" s="15">
        <v>14</v>
      </c>
      <c r="I1398" s="11">
        <f t="shared" si="601"/>
        <v>39</v>
      </c>
      <c r="J1398" s="11">
        <f t="shared" si="598"/>
        <v>80</v>
      </c>
      <c r="K1398" s="65">
        <v>43120</v>
      </c>
      <c r="W1398" s="86" t="s">
        <v>713</v>
      </c>
      <c r="X1398" s="8">
        <v>10</v>
      </c>
      <c r="Y1398" s="9">
        <v>10</v>
      </c>
      <c r="Z1398" s="10">
        <v>10</v>
      </c>
      <c r="AA1398" s="11">
        <f t="shared" si="599"/>
        <v>30</v>
      </c>
      <c r="AB1398" s="12">
        <v>10</v>
      </c>
      <c r="AC1398" s="9">
        <v>10</v>
      </c>
      <c r="AD1398" s="10">
        <v>10</v>
      </c>
      <c r="AE1398" s="11">
        <f t="shared" si="600"/>
        <v>30</v>
      </c>
      <c r="AF1398" s="11">
        <f t="shared" si="596"/>
        <v>60</v>
      </c>
      <c r="AG1398" s="65">
        <v>43133</v>
      </c>
    </row>
    <row r="1399" spans="1:33" x14ac:dyDescent="0.15">
      <c r="A1399" s="29" t="s">
        <v>711</v>
      </c>
      <c r="B1399" s="13"/>
      <c r="C1399" s="14">
        <v>3</v>
      </c>
      <c r="D1399" s="15"/>
      <c r="E1399" s="11">
        <f t="shared" si="597"/>
        <v>3</v>
      </c>
      <c r="F1399" s="16"/>
      <c r="G1399" s="14"/>
      <c r="H1399" s="15"/>
      <c r="I1399" s="11">
        <f t="shared" si="601"/>
        <v>0</v>
      </c>
      <c r="J1399" s="11">
        <f t="shared" si="598"/>
        <v>3</v>
      </c>
      <c r="K1399" s="65">
        <v>43124</v>
      </c>
      <c r="W1399" s="29" t="s">
        <v>715</v>
      </c>
      <c r="X1399" s="13">
        <v>7</v>
      </c>
      <c r="Y1399" s="14">
        <v>20</v>
      </c>
      <c r="Z1399" s="15"/>
      <c r="AA1399" s="11">
        <f t="shared" si="599"/>
        <v>27</v>
      </c>
      <c r="AB1399" s="16">
        <v>2</v>
      </c>
      <c r="AC1399" s="14">
        <v>34</v>
      </c>
      <c r="AD1399" s="15"/>
      <c r="AE1399" s="11">
        <f t="shared" si="600"/>
        <v>36</v>
      </c>
      <c r="AF1399" s="11">
        <f t="shared" si="596"/>
        <v>63</v>
      </c>
      <c r="AG1399" s="65">
        <v>43137</v>
      </c>
    </row>
    <row r="1400" spans="1:33" x14ac:dyDescent="0.15">
      <c r="A1400" s="29" t="s">
        <v>67</v>
      </c>
      <c r="B1400" s="8"/>
      <c r="C1400" s="9"/>
      <c r="D1400" s="10">
        <v>1</v>
      </c>
      <c r="E1400" s="11">
        <f t="shared" si="597"/>
        <v>1</v>
      </c>
      <c r="F1400" s="12"/>
      <c r="G1400" s="9"/>
      <c r="H1400" s="10"/>
      <c r="I1400" s="11">
        <f t="shared" si="601"/>
        <v>0</v>
      </c>
      <c r="J1400" s="11">
        <f t="shared" si="598"/>
        <v>1</v>
      </c>
      <c r="K1400" s="65">
        <v>43126</v>
      </c>
      <c r="W1400" s="29" t="s">
        <v>662</v>
      </c>
      <c r="X1400" s="8">
        <v>50</v>
      </c>
      <c r="Y1400" s="9">
        <v>50</v>
      </c>
      <c r="Z1400" s="10">
        <v>10</v>
      </c>
      <c r="AA1400" s="11">
        <f t="shared" si="599"/>
        <v>110</v>
      </c>
      <c r="AB1400" s="12"/>
      <c r="AC1400" s="9"/>
      <c r="AD1400" s="10"/>
      <c r="AE1400" s="11">
        <f t="shared" si="600"/>
        <v>0</v>
      </c>
      <c r="AF1400" s="11">
        <f t="shared" si="596"/>
        <v>110</v>
      </c>
      <c r="AG1400" s="65">
        <v>43145</v>
      </c>
    </row>
    <row r="1401" spans="1:33" x14ac:dyDescent="0.15">
      <c r="A1401" s="29" t="s">
        <v>714</v>
      </c>
      <c r="B1401" s="8">
        <v>10</v>
      </c>
      <c r="C1401" s="9">
        <v>5</v>
      </c>
      <c r="D1401" s="10"/>
      <c r="E1401" s="11">
        <f t="shared" si="597"/>
        <v>15</v>
      </c>
      <c r="F1401" s="12">
        <v>10</v>
      </c>
      <c r="G1401" s="9">
        <v>10</v>
      </c>
      <c r="H1401" s="10"/>
      <c r="I1401" s="11">
        <f t="shared" si="601"/>
        <v>20</v>
      </c>
      <c r="J1401" s="11">
        <f t="shared" si="598"/>
        <v>35</v>
      </c>
      <c r="K1401" s="65">
        <v>43134</v>
      </c>
      <c r="W1401" s="86" t="s">
        <v>716</v>
      </c>
      <c r="X1401" s="8"/>
      <c r="Y1401" s="9">
        <v>150</v>
      </c>
      <c r="Z1401" s="10">
        <v>30</v>
      </c>
      <c r="AA1401" s="11">
        <f t="shared" si="599"/>
        <v>180</v>
      </c>
      <c r="AB1401" s="12">
        <v>30</v>
      </c>
      <c r="AC1401" s="9">
        <v>60</v>
      </c>
      <c r="AD1401" s="10">
        <v>5</v>
      </c>
      <c r="AE1401" s="11">
        <f t="shared" si="600"/>
        <v>95</v>
      </c>
      <c r="AF1401" s="11">
        <f t="shared" si="596"/>
        <v>275</v>
      </c>
      <c r="AG1401" s="65">
        <v>43146</v>
      </c>
    </row>
    <row r="1402" spans="1:33" x14ac:dyDescent="0.15">
      <c r="A1402" s="86" t="s">
        <v>719</v>
      </c>
      <c r="B1402" s="8">
        <v>10</v>
      </c>
      <c r="C1402" s="9"/>
      <c r="D1402" s="10"/>
      <c r="E1402" s="11">
        <f t="shared" si="597"/>
        <v>10</v>
      </c>
      <c r="F1402" s="12"/>
      <c r="G1402" s="9"/>
      <c r="H1402" s="10"/>
      <c r="I1402" s="11">
        <f t="shared" si="601"/>
        <v>0</v>
      </c>
      <c r="J1402" s="11">
        <f t="shared" si="598"/>
        <v>10</v>
      </c>
      <c r="K1402" s="65">
        <v>43147</v>
      </c>
      <c r="W1402" s="86" t="s">
        <v>717</v>
      </c>
      <c r="X1402" s="8">
        <v>20</v>
      </c>
      <c r="Y1402" s="9">
        <v>70</v>
      </c>
      <c r="Z1402" s="10">
        <v>50</v>
      </c>
      <c r="AA1402" s="11">
        <f t="shared" si="599"/>
        <v>140</v>
      </c>
      <c r="AB1402" s="12">
        <v>20</v>
      </c>
      <c r="AC1402" s="9"/>
      <c r="AD1402" s="10">
        <v>10</v>
      </c>
      <c r="AE1402" s="11">
        <f t="shared" si="600"/>
        <v>30</v>
      </c>
      <c r="AF1402" s="11">
        <f t="shared" si="596"/>
        <v>170</v>
      </c>
      <c r="AG1402" s="65">
        <v>43146</v>
      </c>
    </row>
    <row r="1403" spans="1:33" x14ac:dyDescent="0.15">
      <c r="A1403" s="86" t="s">
        <v>720</v>
      </c>
      <c r="B1403" s="8">
        <v>10</v>
      </c>
      <c r="C1403" s="9"/>
      <c r="D1403" s="10"/>
      <c r="E1403" s="11">
        <f t="shared" si="597"/>
        <v>10</v>
      </c>
      <c r="F1403" s="12"/>
      <c r="G1403" s="9"/>
      <c r="H1403" s="10">
        <v>6</v>
      </c>
      <c r="I1403" s="11">
        <f t="shared" si="601"/>
        <v>6</v>
      </c>
      <c r="J1403" s="11">
        <f t="shared" si="598"/>
        <v>16</v>
      </c>
      <c r="K1403" s="65">
        <v>43148</v>
      </c>
      <c r="W1403" s="86" t="s">
        <v>718</v>
      </c>
      <c r="X1403" s="8">
        <v>65</v>
      </c>
      <c r="Y1403" s="9"/>
      <c r="Z1403" s="10"/>
      <c r="AA1403" s="11">
        <f t="shared" si="599"/>
        <v>65</v>
      </c>
      <c r="AB1403" s="12"/>
      <c r="AC1403" s="9"/>
      <c r="AD1403" s="10">
        <v>10</v>
      </c>
      <c r="AE1403" s="11">
        <f t="shared" si="600"/>
        <v>10</v>
      </c>
      <c r="AF1403" s="11">
        <f t="shared" si="596"/>
        <v>75</v>
      </c>
      <c r="AG1403" s="65">
        <v>43146</v>
      </c>
    </row>
    <row r="1404" spans="1:33" x14ac:dyDescent="0.15">
      <c r="A1404" s="86" t="s">
        <v>721</v>
      </c>
      <c r="B1404" s="8">
        <v>20</v>
      </c>
      <c r="C1404" s="9"/>
      <c r="D1404" s="10"/>
      <c r="E1404" s="11">
        <f t="shared" si="597"/>
        <v>20</v>
      </c>
      <c r="F1404" s="12"/>
      <c r="G1404" s="9"/>
      <c r="H1404" s="10"/>
      <c r="I1404" s="11">
        <f t="shared" si="601"/>
        <v>0</v>
      </c>
      <c r="J1404" s="11">
        <f t="shared" si="598"/>
        <v>20</v>
      </c>
      <c r="K1404" s="65">
        <v>43148</v>
      </c>
      <c r="W1404" s="28" t="s">
        <v>41</v>
      </c>
      <c r="X1404" s="8"/>
      <c r="Y1404" s="9"/>
      <c r="Z1404" s="10"/>
      <c r="AA1404" s="11">
        <f t="shared" si="599"/>
        <v>0</v>
      </c>
      <c r="AB1404" s="12">
        <v>50</v>
      </c>
      <c r="AC1404" s="9"/>
      <c r="AD1404" s="10"/>
      <c r="AE1404" s="11">
        <f t="shared" si="600"/>
        <v>50</v>
      </c>
      <c r="AF1404" s="11">
        <f t="shared" si="596"/>
        <v>50</v>
      </c>
      <c r="AG1404" s="65">
        <v>43147</v>
      </c>
    </row>
    <row r="1405" spans="1:33" x14ac:dyDescent="0.15">
      <c r="A1405" s="27" t="s">
        <v>722</v>
      </c>
      <c r="B1405" s="8">
        <v>-4</v>
      </c>
      <c r="C1405" s="9">
        <v>-9</v>
      </c>
      <c r="D1405" s="10">
        <v>-3</v>
      </c>
      <c r="E1405" s="11">
        <f t="shared" si="597"/>
        <v>-16</v>
      </c>
      <c r="F1405" s="12">
        <v>-3</v>
      </c>
      <c r="G1405" s="9">
        <v>-5</v>
      </c>
      <c r="H1405" s="10">
        <v>0</v>
      </c>
      <c r="I1405" s="11">
        <f t="shared" si="601"/>
        <v>-8</v>
      </c>
      <c r="J1405" s="11">
        <f t="shared" si="598"/>
        <v>-24</v>
      </c>
      <c r="K1405" s="65">
        <v>43147</v>
      </c>
      <c r="W1405" s="28" t="s">
        <v>41</v>
      </c>
      <c r="X1405" s="8">
        <v>50</v>
      </c>
      <c r="Y1405" s="9"/>
      <c r="Z1405" s="10"/>
      <c r="AA1405" s="11">
        <f t="shared" si="599"/>
        <v>50</v>
      </c>
      <c r="AB1405" s="12"/>
      <c r="AC1405" s="9">
        <v>50</v>
      </c>
      <c r="AD1405" s="10"/>
      <c r="AE1405" s="11">
        <f t="shared" si="600"/>
        <v>50</v>
      </c>
      <c r="AF1405" s="11">
        <f t="shared" si="596"/>
        <v>100</v>
      </c>
      <c r="AG1405" s="65">
        <v>43150</v>
      </c>
    </row>
    <row r="1406" spans="1:33" x14ac:dyDescent="0.15">
      <c r="A1406" s="27" t="s">
        <v>723</v>
      </c>
      <c r="B1406" s="8">
        <v>4</v>
      </c>
      <c r="C1406" s="9">
        <v>9</v>
      </c>
      <c r="D1406" s="10">
        <v>3</v>
      </c>
      <c r="E1406" s="11">
        <f t="shared" si="597"/>
        <v>16</v>
      </c>
      <c r="F1406" s="12">
        <v>3</v>
      </c>
      <c r="G1406" s="9">
        <v>5</v>
      </c>
      <c r="H1406" s="10">
        <v>0</v>
      </c>
      <c r="I1406" s="11">
        <f t="shared" si="601"/>
        <v>8</v>
      </c>
      <c r="J1406" s="11">
        <f t="shared" si="598"/>
        <v>24</v>
      </c>
      <c r="K1406" s="65">
        <v>43154</v>
      </c>
      <c r="W1406" s="28" t="s">
        <v>41</v>
      </c>
      <c r="X1406" s="8"/>
      <c r="Y1406" s="9"/>
      <c r="Z1406" s="10">
        <v>50</v>
      </c>
      <c r="AA1406" s="11">
        <f t="shared" si="599"/>
        <v>50</v>
      </c>
      <c r="AB1406" s="12"/>
      <c r="AC1406" s="9"/>
      <c r="AD1406" s="10"/>
      <c r="AE1406" s="11">
        <f t="shared" si="600"/>
        <v>0</v>
      </c>
      <c r="AF1406" s="11">
        <f t="shared" si="596"/>
        <v>50</v>
      </c>
      <c r="AG1406" s="65">
        <v>43159</v>
      </c>
    </row>
    <row r="1407" spans="1:33" x14ac:dyDescent="0.15">
      <c r="A1407" s="29" t="s">
        <v>687</v>
      </c>
      <c r="B1407" s="8"/>
      <c r="C1407" s="9"/>
      <c r="D1407" s="10"/>
      <c r="E1407" s="11">
        <f t="shared" si="597"/>
        <v>0</v>
      </c>
      <c r="F1407" s="12"/>
      <c r="G1407" s="9">
        <v>4</v>
      </c>
      <c r="H1407" s="10"/>
      <c r="I1407" s="11">
        <f t="shared" si="601"/>
        <v>4</v>
      </c>
      <c r="J1407" s="11">
        <f t="shared" si="598"/>
        <v>4</v>
      </c>
      <c r="K1407" s="65">
        <v>43148</v>
      </c>
      <c r="W1407" s="29" t="s">
        <v>662</v>
      </c>
      <c r="X1407" s="8">
        <v>200</v>
      </c>
      <c r="Y1407" s="9">
        <v>200</v>
      </c>
      <c r="Z1407" s="10">
        <v>100</v>
      </c>
      <c r="AA1407" s="11">
        <f t="shared" si="599"/>
        <v>500</v>
      </c>
      <c r="AB1407" s="12">
        <v>120</v>
      </c>
      <c r="AC1407" s="9">
        <v>60</v>
      </c>
      <c r="AD1407" s="10">
        <v>120</v>
      </c>
      <c r="AE1407" s="11">
        <f t="shared" si="600"/>
        <v>300</v>
      </c>
      <c r="AF1407" s="11">
        <f t="shared" si="596"/>
        <v>800</v>
      </c>
      <c r="AG1407" s="65">
        <v>43165</v>
      </c>
    </row>
    <row r="1408" spans="1:33" x14ac:dyDescent="0.15">
      <c r="A1408" s="86" t="s">
        <v>724</v>
      </c>
      <c r="B1408" s="8"/>
      <c r="C1408" s="9"/>
      <c r="D1408" s="10">
        <v>10</v>
      </c>
      <c r="E1408" s="11">
        <f t="shared" si="597"/>
        <v>10</v>
      </c>
      <c r="F1408" s="12"/>
      <c r="G1408" s="9"/>
      <c r="H1408" s="10"/>
      <c r="I1408" s="11">
        <f t="shared" si="601"/>
        <v>0</v>
      </c>
      <c r="J1408" s="11">
        <f t="shared" si="598"/>
        <v>10</v>
      </c>
      <c r="K1408" s="65">
        <v>43151</v>
      </c>
      <c r="W1408" s="26" t="s">
        <v>732</v>
      </c>
      <c r="X1408" s="8"/>
      <c r="Y1408" s="9">
        <v>10</v>
      </c>
      <c r="Z1408" s="10">
        <v>20</v>
      </c>
      <c r="AA1408" s="11">
        <f t="shared" si="599"/>
        <v>30</v>
      </c>
      <c r="AB1408" s="12"/>
      <c r="AC1408" s="9">
        <v>20</v>
      </c>
      <c r="AD1408" s="10">
        <v>20</v>
      </c>
      <c r="AE1408" s="11">
        <f t="shared" si="600"/>
        <v>40</v>
      </c>
      <c r="AF1408" s="11">
        <f t="shared" si="596"/>
        <v>70</v>
      </c>
      <c r="AG1408" s="65">
        <v>43166</v>
      </c>
    </row>
    <row r="1409" spans="1:33" x14ac:dyDescent="0.15">
      <c r="A1409" s="86" t="s">
        <v>725</v>
      </c>
      <c r="B1409" s="8"/>
      <c r="C1409" s="9"/>
      <c r="D1409" s="10">
        <v>18</v>
      </c>
      <c r="E1409" s="11">
        <f t="shared" si="597"/>
        <v>18</v>
      </c>
      <c r="F1409" s="12"/>
      <c r="G1409" s="9"/>
      <c r="H1409" s="10">
        <v>13</v>
      </c>
      <c r="I1409" s="11">
        <f t="shared" si="601"/>
        <v>13</v>
      </c>
      <c r="J1409" s="11">
        <f t="shared" si="598"/>
        <v>31</v>
      </c>
      <c r="K1409" s="65">
        <v>43151</v>
      </c>
      <c r="W1409" s="26"/>
      <c r="X1409" s="8"/>
      <c r="Y1409" s="9"/>
      <c r="Z1409" s="10"/>
      <c r="AA1409" s="11">
        <f t="shared" si="599"/>
        <v>0</v>
      </c>
      <c r="AB1409" s="12"/>
      <c r="AC1409" s="9"/>
      <c r="AD1409" s="10"/>
      <c r="AE1409" s="11">
        <f t="shared" si="600"/>
        <v>0</v>
      </c>
      <c r="AF1409" s="11">
        <f t="shared" si="596"/>
        <v>0</v>
      </c>
    </row>
    <row r="1410" spans="1:33" x14ac:dyDescent="0.15">
      <c r="A1410" s="29" t="s">
        <v>706</v>
      </c>
      <c r="B1410" s="8"/>
      <c r="C1410" s="9">
        <v>1</v>
      </c>
      <c r="D1410" s="10"/>
      <c r="E1410" s="11">
        <f t="shared" si="597"/>
        <v>1</v>
      </c>
      <c r="F1410" s="12"/>
      <c r="G1410" s="9"/>
      <c r="H1410" s="10">
        <v>1</v>
      </c>
      <c r="I1410" s="11">
        <f t="shared" si="601"/>
        <v>1</v>
      </c>
      <c r="J1410" s="11">
        <f t="shared" si="598"/>
        <v>2</v>
      </c>
      <c r="K1410" s="71">
        <v>43151</v>
      </c>
      <c r="W1410" s="27"/>
      <c r="X1410" s="8"/>
      <c r="Y1410" s="9"/>
      <c r="Z1410" s="10"/>
      <c r="AA1410" s="11">
        <f t="shared" si="599"/>
        <v>0</v>
      </c>
      <c r="AB1410" s="12"/>
      <c r="AC1410" s="9"/>
      <c r="AD1410" s="10"/>
      <c r="AE1410" s="11">
        <f t="shared" si="600"/>
        <v>0</v>
      </c>
      <c r="AF1410" s="11">
        <f t="shared" si="596"/>
        <v>0</v>
      </c>
    </row>
    <row r="1411" spans="1:33" x14ac:dyDescent="0.15">
      <c r="A1411" s="29" t="s">
        <v>726</v>
      </c>
      <c r="B1411" s="13"/>
      <c r="C1411" s="14">
        <v>3</v>
      </c>
      <c r="D1411" s="15"/>
      <c r="E1411" s="11">
        <f t="shared" si="597"/>
        <v>3</v>
      </c>
      <c r="F1411" s="16"/>
      <c r="G1411" s="14"/>
      <c r="H1411" s="15"/>
      <c r="I1411" s="11">
        <f t="shared" si="601"/>
        <v>0</v>
      </c>
      <c r="J1411" s="11">
        <f t="shared" si="598"/>
        <v>3</v>
      </c>
      <c r="K1411" s="65">
        <v>43152</v>
      </c>
      <c r="W1411" s="27"/>
      <c r="X1411" s="13"/>
      <c r="Y1411" s="14"/>
      <c r="Z1411" s="15"/>
      <c r="AA1411" s="11">
        <f t="shared" si="599"/>
        <v>0</v>
      </c>
      <c r="AB1411" s="16"/>
      <c r="AC1411" s="14"/>
      <c r="AD1411" s="15"/>
      <c r="AE1411" s="11">
        <f t="shared" si="600"/>
        <v>0</v>
      </c>
      <c r="AF1411" s="11">
        <f t="shared" si="596"/>
        <v>0</v>
      </c>
    </row>
    <row r="1412" spans="1:33" x14ac:dyDescent="0.15">
      <c r="A1412" s="86" t="s">
        <v>727</v>
      </c>
      <c r="B1412" s="8">
        <v>2</v>
      </c>
      <c r="C1412" s="9"/>
      <c r="D1412" s="10"/>
      <c r="E1412" s="11">
        <f t="shared" si="597"/>
        <v>2</v>
      </c>
      <c r="F1412" s="12"/>
      <c r="G1412" s="9"/>
      <c r="H1412" s="10"/>
      <c r="I1412" s="11">
        <f t="shared" si="601"/>
        <v>0</v>
      </c>
      <c r="J1412" s="11">
        <f t="shared" si="598"/>
        <v>2</v>
      </c>
      <c r="K1412" s="65">
        <v>43154</v>
      </c>
      <c r="W1412" s="86"/>
      <c r="X1412" s="13"/>
      <c r="Y1412" s="14"/>
      <c r="Z1412" s="15"/>
      <c r="AA1412" s="11">
        <f t="shared" si="599"/>
        <v>0</v>
      </c>
      <c r="AB1412" s="16"/>
      <c r="AC1412" s="14"/>
      <c r="AD1412" s="15"/>
      <c r="AE1412" s="11">
        <f t="shared" si="600"/>
        <v>0</v>
      </c>
      <c r="AF1412" s="11">
        <f t="shared" si="596"/>
        <v>0</v>
      </c>
    </row>
    <row r="1413" spans="1:33" x14ac:dyDescent="0.15">
      <c r="A1413" s="29" t="s">
        <v>728</v>
      </c>
      <c r="B1413" s="8">
        <v>10</v>
      </c>
      <c r="C1413" s="9">
        <v>10</v>
      </c>
      <c r="D1413" s="10">
        <v>2</v>
      </c>
      <c r="E1413" s="11">
        <f t="shared" si="597"/>
        <v>22</v>
      </c>
      <c r="F1413" s="12">
        <v>10</v>
      </c>
      <c r="G1413" s="9">
        <v>10</v>
      </c>
      <c r="H1413" s="10">
        <v>2</v>
      </c>
      <c r="I1413" s="11">
        <f t="shared" si="601"/>
        <v>22</v>
      </c>
      <c r="J1413" s="11">
        <f t="shared" si="598"/>
        <v>44</v>
      </c>
      <c r="K1413" s="65">
        <v>43154</v>
      </c>
      <c r="W1413" s="86"/>
      <c r="X1413" s="13"/>
      <c r="Y1413" s="14"/>
      <c r="Z1413" s="15"/>
      <c r="AA1413" s="11">
        <f t="shared" si="599"/>
        <v>0</v>
      </c>
      <c r="AB1413" s="16"/>
      <c r="AC1413" s="14"/>
      <c r="AD1413" s="15"/>
      <c r="AE1413" s="11">
        <f t="shared" si="600"/>
        <v>0</v>
      </c>
      <c r="AF1413" s="11">
        <f t="shared" si="596"/>
        <v>0</v>
      </c>
    </row>
    <row r="1414" spans="1:33" x14ac:dyDescent="0.15">
      <c r="A1414" s="29" t="s">
        <v>729</v>
      </c>
      <c r="B1414" s="8"/>
      <c r="C1414" s="9"/>
      <c r="D1414" s="10">
        <v>-50</v>
      </c>
      <c r="E1414" s="11">
        <f t="shared" si="597"/>
        <v>-50</v>
      </c>
      <c r="F1414" s="12"/>
      <c r="G1414" s="9"/>
      <c r="H1414" s="10"/>
      <c r="I1414" s="11">
        <f t="shared" si="601"/>
        <v>0</v>
      </c>
      <c r="J1414" s="11">
        <f t="shared" si="598"/>
        <v>-50</v>
      </c>
      <c r="K1414" s="65">
        <v>43159</v>
      </c>
      <c r="W1414" s="86"/>
      <c r="X1414" s="13"/>
      <c r="Y1414" s="14"/>
      <c r="Z1414" s="15"/>
      <c r="AA1414" s="11">
        <f t="shared" si="599"/>
        <v>0</v>
      </c>
      <c r="AB1414" s="16"/>
      <c r="AC1414" s="14"/>
      <c r="AD1414" s="15"/>
      <c r="AE1414" s="11">
        <f t="shared" si="600"/>
        <v>0</v>
      </c>
      <c r="AF1414" s="11">
        <f t="shared" si="596"/>
        <v>0</v>
      </c>
      <c r="AG1414" s="64"/>
    </row>
    <row r="1415" spans="1:33" ht="14.25" thickBot="1" x14ac:dyDescent="0.2">
      <c r="A1415" s="29" t="s">
        <v>730</v>
      </c>
      <c r="B1415" s="8"/>
      <c r="C1415" s="9">
        <v>13</v>
      </c>
      <c r="D1415" s="10"/>
      <c r="E1415" s="11">
        <f t="shared" si="597"/>
        <v>13</v>
      </c>
      <c r="F1415" s="16"/>
      <c r="G1415" s="14">
        <v>19</v>
      </c>
      <c r="H1415" s="15"/>
      <c r="I1415" s="11">
        <f t="shared" si="601"/>
        <v>19</v>
      </c>
      <c r="J1415" s="11">
        <f t="shared" si="598"/>
        <v>32</v>
      </c>
      <c r="K1415" s="65">
        <v>43165</v>
      </c>
      <c r="W1415" s="86"/>
      <c r="X1415" s="13"/>
      <c r="Y1415" s="14"/>
      <c r="Z1415" s="15"/>
      <c r="AA1415" s="11">
        <f t="shared" si="599"/>
        <v>0</v>
      </c>
      <c r="AB1415" s="16"/>
      <c r="AC1415" s="14"/>
      <c r="AD1415" s="15"/>
      <c r="AE1415" s="11">
        <f t="shared" si="600"/>
        <v>0</v>
      </c>
      <c r="AF1415" s="11">
        <f t="shared" si="596"/>
        <v>0</v>
      </c>
      <c r="AG1415" s="65"/>
    </row>
    <row r="1416" spans="1:33" ht="14.25" thickBot="1" x14ac:dyDescent="0.2">
      <c r="A1416" s="44" t="s">
        <v>13</v>
      </c>
      <c r="B1416" s="48">
        <f t="shared" ref="B1416:I1416" si="602">SUM(B1390:B1415)</f>
        <v>100</v>
      </c>
      <c r="C1416" s="49">
        <f t="shared" si="602"/>
        <v>56</v>
      </c>
      <c r="D1416" s="50">
        <f t="shared" si="602"/>
        <v>12</v>
      </c>
      <c r="E1416" s="46">
        <f t="shared" si="602"/>
        <v>168</v>
      </c>
      <c r="F1416" s="48">
        <f t="shared" si="602"/>
        <v>42</v>
      </c>
      <c r="G1416" s="49">
        <f t="shared" si="602"/>
        <v>91</v>
      </c>
      <c r="H1416" s="50">
        <f t="shared" si="602"/>
        <v>46</v>
      </c>
      <c r="I1416" s="46">
        <f t="shared" si="602"/>
        <v>179</v>
      </c>
      <c r="J1416" s="35">
        <f>E1416+I1416</f>
        <v>347</v>
      </c>
      <c r="W1416" s="44" t="s">
        <v>13</v>
      </c>
      <c r="X1416" s="48">
        <f t="shared" ref="X1416:AE1416" si="603">SUM(X1390:X1415)</f>
        <v>532</v>
      </c>
      <c r="Y1416" s="49">
        <f t="shared" si="603"/>
        <v>630</v>
      </c>
      <c r="Z1416" s="50">
        <f t="shared" si="603"/>
        <v>403</v>
      </c>
      <c r="AA1416" s="46">
        <f t="shared" si="603"/>
        <v>1565</v>
      </c>
      <c r="AB1416" s="48">
        <f t="shared" si="603"/>
        <v>302</v>
      </c>
      <c r="AC1416" s="49">
        <f t="shared" si="603"/>
        <v>344</v>
      </c>
      <c r="AD1416" s="50">
        <f t="shared" si="603"/>
        <v>295</v>
      </c>
      <c r="AE1416" s="46">
        <f t="shared" si="603"/>
        <v>941</v>
      </c>
      <c r="AF1416" s="35">
        <f>AA1416+AE1416</f>
        <v>2506</v>
      </c>
    </row>
    <row r="1417" spans="1:33" ht="14.25" thickBot="1" x14ac:dyDescent="0.2">
      <c r="A1417" s="23" t="s">
        <v>14</v>
      </c>
      <c r="B1417" s="24">
        <f t="shared" ref="B1417:J1417" si="604">B1389-B1416</f>
        <v>42</v>
      </c>
      <c r="C1417" s="25">
        <f t="shared" si="604"/>
        <v>21</v>
      </c>
      <c r="D1417" s="30">
        <f t="shared" si="604"/>
        <v>58</v>
      </c>
      <c r="E1417" s="51">
        <f t="shared" si="604"/>
        <v>121</v>
      </c>
      <c r="F1417" s="24">
        <f t="shared" si="604"/>
        <v>46</v>
      </c>
      <c r="G1417" s="25">
        <f t="shared" si="604"/>
        <v>33</v>
      </c>
      <c r="H1417" s="30">
        <f t="shared" si="604"/>
        <v>13</v>
      </c>
      <c r="I1417" s="47">
        <f t="shared" si="604"/>
        <v>92</v>
      </c>
      <c r="J1417" s="79">
        <f t="shared" si="604"/>
        <v>213</v>
      </c>
      <c r="W1417" s="23" t="s">
        <v>14</v>
      </c>
      <c r="X1417" s="24">
        <f t="shared" ref="X1417:AF1417" si="605">X1389-X1416</f>
        <v>257</v>
      </c>
      <c r="Y1417" s="25">
        <f t="shared" si="605"/>
        <v>62</v>
      </c>
      <c r="Z1417" s="30">
        <f t="shared" si="605"/>
        <v>200</v>
      </c>
      <c r="AA1417" s="51">
        <f t="shared" si="605"/>
        <v>519</v>
      </c>
      <c r="AB1417" s="24">
        <f t="shared" si="605"/>
        <v>238</v>
      </c>
      <c r="AC1417" s="25">
        <f t="shared" si="605"/>
        <v>156</v>
      </c>
      <c r="AD1417" s="30">
        <f t="shared" si="605"/>
        <v>205</v>
      </c>
      <c r="AE1417" s="47">
        <f t="shared" si="605"/>
        <v>599</v>
      </c>
      <c r="AF1417" s="79">
        <f t="shared" si="605"/>
        <v>1118</v>
      </c>
    </row>
    <row r="1420" spans="1:33" ht="19.5" thickBot="1" x14ac:dyDescent="0.25">
      <c r="A1420" s="93" t="s">
        <v>21</v>
      </c>
      <c r="B1420" s="94"/>
      <c r="C1420" s="94"/>
      <c r="D1420" s="94"/>
      <c r="E1420" s="94"/>
      <c r="F1420" s="1"/>
      <c r="G1420" s="1"/>
      <c r="H1420" s="1"/>
      <c r="I1420" s="1"/>
      <c r="J1420" s="1"/>
      <c r="W1420" s="93" t="s">
        <v>136</v>
      </c>
      <c r="X1420" s="94"/>
      <c r="Y1420" s="94"/>
      <c r="Z1420" s="94"/>
      <c r="AA1420" s="106" t="s">
        <v>299</v>
      </c>
      <c r="AB1420" s="1"/>
      <c r="AC1420" s="1"/>
      <c r="AD1420" s="1"/>
      <c r="AE1420" s="1"/>
      <c r="AF1420" s="1"/>
    </row>
    <row r="1421" spans="1:33" ht="14.25" thickBot="1" x14ac:dyDescent="0.2">
      <c r="A1421" s="7" t="s">
        <v>0</v>
      </c>
      <c r="B1421" s="168" t="s">
        <v>1</v>
      </c>
      <c r="C1421" s="169"/>
      <c r="D1421" s="169"/>
      <c r="E1421" s="170"/>
      <c r="F1421" s="168" t="s">
        <v>2</v>
      </c>
      <c r="G1421" s="169"/>
      <c r="H1421" s="169"/>
      <c r="I1421" s="171"/>
      <c r="J1421" s="172" t="s">
        <v>3</v>
      </c>
      <c r="W1421" s="7" t="s">
        <v>0</v>
      </c>
      <c r="X1421" s="174" t="s">
        <v>1</v>
      </c>
      <c r="Y1421" s="175"/>
      <c r="Z1421" s="176"/>
      <c r="AA1421" s="101"/>
      <c r="AB1421" s="174" t="s">
        <v>2</v>
      </c>
      <c r="AC1421" s="175"/>
      <c r="AD1421" s="176"/>
      <c r="AE1421" s="102"/>
      <c r="AF1421" s="103" t="s">
        <v>3</v>
      </c>
    </row>
    <row r="1422" spans="1:33" ht="14.25" thickBot="1" x14ac:dyDescent="0.2">
      <c r="A1422" s="7" t="s">
        <v>4</v>
      </c>
      <c r="B1422" s="3" t="s">
        <v>5</v>
      </c>
      <c r="C1422" s="4" t="s">
        <v>6</v>
      </c>
      <c r="D1422" s="5" t="s">
        <v>7</v>
      </c>
      <c r="E1422" s="7" t="s">
        <v>8</v>
      </c>
      <c r="F1422" s="3" t="s">
        <v>5</v>
      </c>
      <c r="G1422" s="4" t="s">
        <v>6</v>
      </c>
      <c r="H1422" s="5" t="s">
        <v>7</v>
      </c>
      <c r="I1422" s="7" t="s">
        <v>8</v>
      </c>
      <c r="J1422" s="173"/>
      <c r="W1422" s="7" t="s">
        <v>4</v>
      </c>
      <c r="X1422" s="3" t="s">
        <v>5</v>
      </c>
      <c r="Y1422" s="4" t="s">
        <v>6</v>
      </c>
      <c r="Z1422" s="5" t="s">
        <v>7</v>
      </c>
      <c r="AA1422" s="7" t="s">
        <v>8</v>
      </c>
      <c r="AB1422" s="107" t="s">
        <v>5</v>
      </c>
      <c r="AC1422" s="108" t="s">
        <v>6</v>
      </c>
      <c r="AD1422" s="109" t="s">
        <v>7</v>
      </c>
      <c r="AE1422" s="7" t="s">
        <v>8</v>
      </c>
      <c r="AF1422" s="104"/>
    </row>
    <row r="1423" spans="1:33" ht="14.25" thickBot="1" x14ac:dyDescent="0.2">
      <c r="A1423" s="31" t="s">
        <v>14</v>
      </c>
      <c r="B1423" s="32">
        <f>B1417</f>
        <v>42</v>
      </c>
      <c r="C1423" s="33">
        <f>C1417</f>
        <v>21</v>
      </c>
      <c r="D1423" s="34">
        <f>D1417</f>
        <v>58</v>
      </c>
      <c r="E1423" s="41">
        <f>SUM(B1423:D1423)</f>
        <v>121</v>
      </c>
      <c r="F1423" s="32">
        <f>F1417</f>
        <v>46</v>
      </c>
      <c r="G1423" s="33">
        <f>G1417</f>
        <v>33</v>
      </c>
      <c r="H1423" s="34">
        <f>H1417</f>
        <v>13</v>
      </c>
      <c r="I1423" s="41">
        <f>SUM(F1423:H1423)</f>
        <v>92</v>
      </c>
      <c r="J1423" s="41">
        <f>E1423+I1423</f>
        <v>213</v>
      </c>
      <c r="W1423" s="31" t="s">
        <v>14</v>
      </c>
      <c r="X1423" s="32">
        <f>X1417</f>
        <v>257</v>
      </c>
      <c r="Y1423" s="33">
        <f>Y1417</f>
        <v>62</v>
      </c>
      <c r="Z1423" s="33">
        <f>Z1417</f>
        <v>200</v>
      </c>
      <c r="AA1423" s="111">
        <f>SUM(X1423:Z1423)</f>
        <v>519</v>
      </c>
      <c r="AB1423" s="32">
        <f>AB1417</f>
        <v>238</v>
      </c>
      <c r="AC1423" s="33">
        <f>AC1417</f>
        <v>156</v>
      </c>
      <c r="AD1423" s="95">
        <f>AD1417</f>
        <v>205</v>
      </c>
      <c r="AE1423" s="46">
        <f>SUM(AB1423:AD1423)</f>
        <v>599</v>
      </c>
      <c r="AF1423" s="35">
        <f>AA1423+AE1423</f>
        <v>1118</v>
      </c>
    </row>
    <row r="1424" spans="1:33" x14ac:dyDescent="0.15">
      <c r="A1424" s="28" t="s">
        <v>9</v>
      </c>
      <c r="B1424" s="17"/>
      <c r="C1424" s="18">
        <v>50</v>
      </c>
      <c r="D1424" s="19"/>
      <c r="E1424" s="20">
        <f t="shared" ref="E1424:E1431" si="606">SUM(B1424:D1424)</f>
        <v>50</v>
      </c>
      <c r="F1424" s="21"/>
      <c r="G1424" s="18"/>
      <c r="H1424" s="19"/>
      <c r="I1424" s="20">
        <f t="shared" ref="I1424:I1431" si="607">SUM(F1424:H1424)</f>
        <v>0</v>
      </c>
      <c r="J1424" s="20">
        <f t="shared" ref="J1424:J1431" si="608">E1424+I1424</f>
        <v>50</v>
      </c>
      <c r="K1424" s="65">
        <v>43175</v>
      </c>
      <c r="W1424" s="28" t="s">
        <v>9</v>
      </c>
      <c r="X1424" s="8"/>
      <c r="Y1424" s="9"/>
      <c r="Z1424" s="10"/>
      <c r="AA1424" s="78">
        <f t="shared" ref="AA1424:AA1431" si="609">SUM(X1424:Z1424)</f>
        <v>0</v>
      </c>
      <c r="AB1424" s="21"/>
      <c r="AC1424" s="18"/>
      <c r="AD1424" s="19"/>
      <c r="AE1424" s="78">
        <f t="shared" ref="AE1424:AE1431" si="610">SUM(AB1424:AD1424)</f>
        <v>0</v>
      </c>
      <c r="AF1424" s="78">
        <f t="shared" ref="AF1424:AF1431" si="611">AA1424+AE1424</f>
        <v>0</v>
      </c>
    </row>
    <row r="1425" spans="1:33" x14ac:dyDescent="0.15">
      <c r="A1425" s="28" t="s">
        <v>10</v>
      </c>
      <c r="B1425" s="8"/>
      <c r="C1425" s="9"/>
      <c r="D1425" s="10"/>
      <c r="E1425" s="11">
        <f t="shared" si="606"/>
        <v>0</v>
      </c>
      <c r="F1425" s="12"/>
      <c r="G1425" s="9"/>
      <c r="H1425" s="10">
        <v>50</v>
      </c>
      <c r="I1425" s="11">
        <f t="shared" si="607"/>
        <v>50</v>
      </c>
      <c r="J1425" s="11">
        <f t="shared" si="608"/>
        <v>50</v>
      </c>
      <c r="K1425" s="65">
        <v>43182</v>
      </c>
      <c r="W1425" s="28" t="s">
        <v>10</v>
      </c>
      <c r="X1425" s="8"/>
      <c r="Y1425" s="9"/>
      <c r="Z1425" s="10"/>
      <c r="AA1425" s="11">
        <f t="shared" si="609"/>
        <v>0</v>
      </c>
      <c r="AB1425" s="12"/>
      <c r="AC1425" s="9"/>
      <c r="AD1425" s="10"/>
      <c r="AE1425" s="11">
        <f t="shared" si="610"/>
        <v>0</v>
      </c>
      <c r="AF1425" s="11">
        <f t="shared" si="611"/>
        <v>0</v>
      </c>
    </row>
    <row r="1426" spans="1:33" x14ac:dyDescent="0.15">
      <c r="A1426" s="28" t="s">
        <v>11</v>
      </c>
      <c r="B1426" s="8">
        <v>17</v>
      </c>
      <c r="C1426" s="9"/>
      <c r="D1426" s="10"/>
      <c r="E1426" s="11">
        <f t="shared" si="606"/>
        <v>17</v>
      </c>
      <c r="F1426" s="12">
        <v>50</v>
      </c>
      <c r="G1426" s="9">
        <v>36</v>
      </c>
      <c r="H1426" s="10"/>
      <c r="I1426" s="11">
        <f t="shared" si="607"/>
        <v>86</v>
      </c>
      <c r="J1426" s="11">
        <f t="shared" si="608"/>
        <v>103</v>
      </c>
      <c r="K1426" s="65">
        <v>43202</v>
      </c>
      <c r="W1426" s="28" t="s">
        <v>11</v>
      </c>
      <c r="X1426" s="8">
        <v>500</v>
      </c>
      <c r="Y1426" s="9">
        <v>800</v>
      </c>
      <c r="Z1426" s="10">
        <v>500</v>
      </c>
      <c r="AA1426" s="11">
        <f t="shared" si="609"/>
        <v>1800</v>
      </c>
      <c r="AB1426" s="12"/>
      <c r="AC1426" s="9">
        <v>495</v>
      </c>
      <c r="AD1426" s="10"/>
      <c r="AE1426" s="11">
        <f t="shared" si="610"/>
        <v>495</v>
      </c>
      <c r="AF1426" s="11">
        <f t="shared" si="611"/>
        <v>2295</v>
      </c>
      <c r="AG1426" s="65">
        <v>43206</v>
      </c>
    </row>
    <row r="1427" spans="1:33" x14ac:dyDescent="0.15">
      <c r="A1427" s="28" t="s">
        <v>104</v>
      </c>
      <c r="B1427" s="8">
        <v>10</v>
      </c>
      <c r="C1427" s="9">
        <v>15</v>
      </c>
      <c r="D1427" s="10">
        <v>10</v>
      </c>
      <c r="E1427" s="11">
        <f t="shared" si="606"/>
        <v>35</v>
      </c>
      <c r="F1427" s="12">
        <v>15</v>
      </c>
      <c r="G1427" s="9">
        <v>2</v>
      </c>
      <c r="H1427" s="10">
        <v>7</v>
      </c>
      <c r="I1427" s="11">
        <f t="shared" si="607"/>
        <v>24</v>
      </c>
      <c r="J1427" s="11">
        <f t="shared" si="608"/>
        <v>59</v>
      </c>
      <c r="K1427" s="71">
        <v>43202</v>
      </c>
      <c r="W1427" s="28" t="s">
        <v>12</v>
      </c>
      <c r="X1427" s="8"/>
      <c r="Y1427" s="9"/>
      <c r="Z1427" s="10"/>
      <c r="AA1427" s="11">
        <f t="shared" si="609"/>
        <v>0</v>
      </c>
      <c r="AB1427" s="12">
        <v>375</v>
      </c>
      <c r="AC1427" s="9"/>
      <c r="AD1427" s="10"/>
      <c r="AE1427" s="11">
        <f t="shared" si="610"/>
        <v>375</v>
      </c>
      <c r="AF1427" s="11">
        <f t="shared" si="611"/>
        <v>375</v>
      </c>
      <c r="AG1427" s="65">
        <v>43200</v>
      </c>
    </row>
    <row r="1428" spans="1:33" x14ac:dyDescent="0.15">
      <c r="A1428" s="28" t="s">
        <v>15</v>
      </c>
      <c r="B1428" s="8"/>
      <c r="C1428" s="9">
        <v>50</v>
      </c>
      <c r="D1428" s="10"/>
      <c r="E1428" s="11">
        <f t="shared" si="606"/>
        <v>50</v>
      </c>
      <c r="F1428" s="12"/>
      <c r="G1428" s="9"/>
      <c r="H1428" s="10"/>
      <c r="I1428" s="11">
        <f t="shared" si="607"/>
        <v>0</v>
      </c>
      <c r="J1428" s="11">
        <f t="shared" si="608"/>
        <v>50</v>
      </c>
      <c r="K1428" s="65">
        <v>43211</v>
      </c>
      <c r="L1428" s="64"/>
      <c r="W1428" s="28" t="s">
        <v>15</v>
      </c>
      <c r="X1428" s="8"/>
      <c r="Y1428" s="9"/>
      <c r="Z1428" s="10"/>
      <c r="AA1428" s="11">
        <f t="shared" si="609"/>
        <v>0</v>
      </c>
      <c r="AB1428" s="12"/>
      <c r="AC1428" s="9"/>
      <c r="AD1428" s="10"/>
      <c r="AE1428" s="11">
        <f t="shared" si="610"/>
        <v>0</v>
      </c>
      <c r="AF1428" s="11">
        <f t="shared" si="611"/>
        <v>0</v>
      </c>
      <c r="AG1428" s="65"/>
    </row>
    <row r="1429" spans="1:33" x14ac:dyDescent="0.15">
      <c r="A1429" s="28" t="s">
        <v>16</v>
      </c>
      <c r="B1429" s="8"/>
      <c r="C1429" s="9"/>
      <c r="D1429" s="10">
        <v>50</v>
      </c>
      <c r="E1429" s="11">
        <f t="shared" si="606"/>
        <v>50</v>
      </c>
      <c r="F1429" s="12"/>
      <c r="G1429" s="9"/>
      <c r="H1429" s="10"/>
      <c r="I1429" s="11">
        <f t="shared" si="607"/>
        <v>0</v>
      </c>
      <c r="J1429" s="11">
        <f t="shared" si="608"/>
        <v>50</v>
      </c>
      <c r="K1429" s="65">
        <v>43215</v>
      </c>
      <c r="L1429" s="64"/>
      <c r="W1429" s="28" t="s">
        <v>16</v>
      </c>
      <c r="X1429" s="8"/>
      <c r="Y1429" s="9"/>
      <c r="Z1429" s="10"/>
      <c r="AA1429" s="11">
        <f t="shared" si="609"/>
        <v>0</v>
      </c>
      <c r="AB1429" s="12"/>
      <c r="AC1429" s="9"/>
      <c r="AD1429" s="10"/>
      <c r="AE1429" s="11">
        <f t="shared" si="610"/>
        <v>0</v>
      </c>
      <c r="AF1429" s="11">
        <f t="shared" si="611"/>
        <v>0</v>
      </c>
      <c r="AG1429" s="65"/>
    </row>
    <row r="1430" spans="1:33" x14ac:dyDescent="0.15">
      <c r="A1430" s="28" t="s">
        <v>360</v>
      </c>
      <c r="B1430" s="13"/>
      <c r="C1430" s="14"/>
      <c r="D1430" s="15">
        <v>2</v>
      </c>
      <c r="E1430" s="11">
        <f t="shared" si="606"/>
        <v>2</v>
      </c>
      <c r="F1430" s="16"/>
      <c r="G1430" s="14"/>
      <c r="H1430" s="15">
        <v>1</v>
      </c>
      <c r="I1430" s="11">
        <f t="shared" si="607"/>
        <v>1</v>
      </c>
      <c r="J1430" s="11">
        <f t="shared" si="608"/>
        <v>3</v>
      </c>
      <c r="K1430" s="71">
        <v>43214</v>
      </c>
      <c r="L1430" s="64"/>
      <c r="W1430" s="28" t="s">
        <v>17</v>
      </c>
      <c r="X1430" s="8"/>
      <c r="Y1430" s="9"/>
      <c r="Z1430" s="10"/>
      <c r="AA1430" s="11">
        <f t="shared" si="609"/>
        <v>0</v>
      </c>
      <c r="AB1430" s="12"/>
      <c r="AC1430" s="12"/>
      <c r="AD1430" s="87"/>
      <c r="AE1430" s="11">
        <f t="shared" si="610"/>
        <v>0</v>
      </c>
      <c r="AF1430" s="11">
        <f t="shared" si="611"/>
        <v>0</v>
      </c>
      <c r="AG1430" s="65"/>
    </row>
    <row r="1431" spans="1:33" ht="14.25" thickBot="1" x14ac:dyDescent="0.2">
      <c r="A1431" s="28" t="s">
        <v>18</v>
      </c>
      <c r="B1431" s="36"/>
      <c r="C1431" s="37"/>
      <c r="D1431" s="40"/>
      <c r="E1431" s="22">
        <f t="shared" si="606"/>
        <v>0</v>
      </c>
      <c r="F1431" s="38"/>
      <c r="G1431" s="38"/>
      <c r="H1431" s="43"/>
      <c r="I1431" s="22">
        <f t="shared" si="607"/>
        <v>0</v>
      </c>
      <c r="J1431" s="22">
        <f t="shared" si="608"/>
        <v>0</v>
      </c>
      <c r="W1431" s="28" t="s">
        <v>18</v>
      </c>
      <c r="X1431" s="127"/>
      <c r="Y1431" s="128"/>
      <c r="Z1431" s="129"/>
      <c r="AA1431" s="130">
        <f t="shared" si="609"/>
        <v>0</v>
      </c>
      <c r="AB1431" s="131"/>
      <c r="AC1431" s="131"/>
      <c r="AD1431" s="132"/>
      <c r="AE1431" s="130">
        <f t="shared" si="610"/>
        <v>0</v>
      </c>
      <c r="AF1431" s="130">
        <f t="shared" si="611"/>
        <v>0</v>
      </c>
      <c r="AG1431" s="65"/>
    </row>
    <row r="1432" spans="1:33" ht="14.25" thickBot="1" x14ac:dyDescent="0.2">
      <c r="A1432" s="39" t="s">
        <v>20</v>
      </c>
      <c r="B1432" s="32">
        <f t="shared" ref="B1432:J1432" si="612">SUM(B1423:B1431)</f>
        <v>69</v>
      </c>
      <c r="C1432" s="33">
        <f t="shared" si="612"/>
        <v>136</v>
      </c>
      <c r="D1432" s="34">
        <f t="shared" si="612"/>
        <v>120</v>
      </c>
      <c r="E1432" s="42">
        <f t="shared" si="612"/>
        <v>325</v>
      </c>
      <c r="F1432" s="32">
        <f t="shared" si="612"/>
        <v>111</v>
      </c>
      <c r="G1432" s="33">
        <f t="shared" si="612"/>
        <v>71</v>
      </c>
      <c r="H1432" s="34">
        <f t="shared" si="612"/>
        <v>71</v>
      </c>
      <c r="I1432" s="42">
        <f t="shared" si="612"/>
        <v>253</v>
      </c>
      <c r="J1432" s="42">
        <f t="shared" si="612"/>
        <v>578</v>
      </c>
      <c r="W1432" s="39" t="s">
        <v>20</v>
      </c>
      <c r="X1432" s="32">
        <f t="shared" ref="X1432:AF1432" si="613">SUM(X1423:X1431)</f>
        <v>757</v>
      </c>
      <c r="Y1432" s="33">
        <f t="shared" si="613"/>
        <v>862</v>
      </c>
      <c r="Z1432" s="34">
        <f t="shared" si="613"/>
        <v>700</v>
      </c>
      <c r="AA1432" s="42">
        <f t="shared" si="613"/>
        <v>2319</v>
      </c>
      <c r="AB1432" s="32">
        <f t="shared" si="613"/>
        <v>613</v>
      </c>
      <c r="AC1432" s="33">
        <f t="shared" si="613"/>
        <v>651</v>
      </c>
      <c r="AD1432" s="34">
        <f t="shared" si="613"/>
        <v>205</v>
      </c>
      <c r="AE1432" s="42">
        <f t="shared" si="613"/>
        <v>1469</v>
      </c>
      <c r="AF1432" s="42">
        <f t="shared" si="613"/>
        <v>3788</v>
      </c>
    </row>
    <row r="1433" spans="1:33" x14ac:dyDescent="0.15">
      <c r="A1433" s="29" t="s">
        <v>731</v>
      </c>
      <c r="B1433" s="13">
        <v>5</v>
      </c>
      <c r="C1433" s="14">
        <v>5</v>
      </c>
      <c r="D1433" s="15"/>
      <c r="E1433" s="11">
        <f>SUM(B1433:D1433)</f>
        <v>10</v>
      </c>
      <c r="F1433" s="16"/>
      <c r="G1433" s="14"/>
      <c r="H1433" s="15"/>
      <c r="I1433" s="11">
        <f>SUM(F1433:H1433)</f>
        <v>0</v>
      </c>
      <c r="J1433" s="11">
        <f>E1433+I1433</f>
        <v>10</v>
      </c>
      <c r="K1433" s="65">
        <v>43166</v>
      </c>
      <c r="W1433" s="28" t="s">
        <v>735</v>
      </c>
      <c r="X1433" s="13"/>
      <c r="Y1433" s="14">
        <v>50</v>
      </c>
      <c r="Z1433" s="15"/>
      <c r="AA1433" s="11">
        <f>SUM(X1433:Z1433)</f>
        <v>50</v>
      </c>
      <c r="AB1433" s="16"/>
      <c r="AC1433" s="14"/>
      <c r="AD1433" s="15"/>
      <c r="AE1433" s="11">
        <f>SUM(AB1433:AD1433)</f>
        <v>0</v>
      </c>
      <c r="AF1433" s="11">
        <f t="shared" ref="AF1433:AF1458" si="614">AA1433+AE1433</f>
        <v>50</v>
      </c>
      <c r="AG1433" s="65">
        <v>43175</v>
      </c>
    </row>
    <row r="1434" spans="1:33" x14ac:dyDescent="0.15">
      <c r="A1434" s="29" t="s">
        <v>733</v>
      </c>
      <c r="B1434" s="13">
        <v>4</v>
      </c>
      <c r="C1434" s="14"/>
      <c r="D1434" s="15"/>
      <c r="E1434" s="11">
        <f t="shared" ref="E1434:E1458" si="615">SUM(B1434:D1434)</f>
        <v>4</v>
      </c>
      <c r="F1434" s="16">
        <v>4</v>
      </c>
      <c r="G1434" s="14"/>
      <c r="H1434" s="15"/>
      <c r="I1434" s="11">
        <f>SUM(F1434:H1434)</f>
        <v>4</v>
      </c>
      <c r="J1434" s="11">
        <f t="shared" ref="J1434:J1458" si="616">E1434+I1434</f>
        <v>8</v>
      </c>
      <c r="K1434" s="65">
        <v>43167</v>
      </c>
      <c r="W1434" s="29" t="s">
        <v>736</v>
      </c>
      <c r="X1434" s="8">
        <v>20</v>
      </c>
      <c r="Y1434" s="9">
        <v>10</v>
      </c>
      <c r="Z1434" s="10">
        <v>20</v>
      </c>
      <c r="AA1434" s="11">
        <f>SUM(X1434:Z1434)</f>
        <v>50</v>
      </c>
      <c r="AB1434" s="12"/>
      <c r="AC1434" s="9">
        <v>50</v>
      </c>
      <c r="AD1434" s="10"/>
      <c r="AE1434" s="11">
        <f>SUM(AB1434:AD1434)</f>
        <v>50</v>
      </c>
      <c r="AF1434" s="11">
        <f t="shared" si="614"/>
        <v>100</v>
      </c>
      <c r="AG1434" s="65">
        <v>43181</v>
      </c>
    </row>
    <row r="1435" spans="1:33" x14ac:dyDescent="0.15">
      <c r="A1435" s="29" t="s">
        <v>67</v>
      </c>
      <c r="B1435" s="8">
        <v>1</v>
      </c>
      <c r="C1435" s="9"/>
      <c r="D1435" s="10"/>
      <c r="E1435" s="11">
        <f t="shared" si="615"/>
        <v>1</v>
      </c>
      <c r="F1435" s="12"/>
      <c r="G1435" s="9"/>
      <c r="H1435" s="10"/>
      <c r="I1435" s="11">
        <f>SUM(F1435:H1435)</f>
        <v>0</v>
      </c>
      <c r="J1435" s="11">
        <f t="shared" si="616"/>
        <v>1</v>
      </c>
      <c r="K1435" s="71">
        <v>43168</v>
      </c>
      <c r="W1435" s="28" t="s">
        <v>41</v>
      </c>
      <c r="X1435" s="8"/>
      <c r="Y1435" s="9"/>
      <c r="Z1435" s="10"/>
      <c r="AA1435" s="11">
        <f t="shared" ref="AA1435:AA1458" si="617">SUM(X1435:Z1435)</f>
        <v>0</v>
      </c>
      <c r="AB1435" s="12"/>
      <c r="AC1435" s="9"/>
      <c r="AD1435" s="10">
        <v>50</v>
      </c>
      <c r="AE1435" s="11">
        <f t="shared" ref="AE1435:AE1458" si="618">SUM(AB1435:AD1435)</f>
        <v>50</v>
      </c>
      <c r="AF1435" s="11">
        <f t="shared" si="614"/>
        <v>50</v>
      </c>
      <c r="AG1435" s="65">
        <v>43182</v>
      </c>
    </row>
    <row r="1436" spans="1:33" x14ac:dyDescent="0.15">
      <c r="A1436" s="29" t="s">
        <v>67</v>
      </c>
      <c r="B1436" s="8"/>
      <c r="C1436" s="9"/>
      <c r="D1436" s="10"/>
      <c r="E1436" s="11">
        <f t="shared" si="615"/>
        <v>0</v>
      </c>
      <c r="F1436" s="12">
        <v>1</v>
      </c>
      <c r="G1436" s="9"/>
      <c r="H1436" s="10"/>
      <c r="I1436" s="11">
        <f>SUM(F1436:H1436)</f>
        <v>1</v>
      </c>
      <c r="J1436" s="11">
        <f t="shared" si="616"/>
        <v>1</v>
      </c>
      <c r="K1436" s="71">
        <v>43171</v>
      </c>
      <c r="W1436" s="29"/>
      <c r="X1436" s="8"/>
      <c r="Y1436" s="9"/>
      <c r="Z1436" s="10"/>
      <c r="AA1436" s="11">
        <f t="shared" si="617"/>
        <v>0</v>
      </c>
      <c r="AB1436" s="12"/>
      <c r="AC1436" s="9"/>
      <c r="AD1436" s="10"/>
      <c r="AE1436" s="11">
        <f t="shared" si="618"/>
        <v>0</v>
      </c>
      <c r="AF1436" s="11">
        <f t="shared" si="614"/>
        <v>0</v>
      </c>
      <c r="AG1436" s="64"/>
    </row>
    <row r="1437" spans="1:33" x14ac:dyDescent="0.15">
      <c r="A1437" s="29" t="s">
        <v>687</v>
      </c>
      <c r="B1437" s="8"/>
      <c r="C1437" s="9">
        <v>15</v>
      </c>
      <c r="D1437" s="10"/>
      <c r="E1437" s="11">
        <f t="shared" si="615"/>
        <v>15</v>
      </c>
      <c r="F1437" s="12"/>
      <c r="G1437" s="9"/>
      <c r="H1437" s="10">
        <v>5</v>
      </c>
      <c r="I1437" s="11">
        <f>SUM(F1437:H1437)</f>
        <v>5</v>
      </c>
      <c r="J1437" s="11">
        <f t="shared" si="616"/>
        <v>20</v>
      </c>
      <c r="K1437" s="65">
        <v>43174</v>
      </c>
      <c r="W1437" s="29" t="s">
        <v>662</v>
      </c>
      <c r="X1437" s="8">
        <v>200</v>
      </c>
      <c r="Y1437" s="9"/>
      <c r="Z1437" s="10">
        <v>170</v>
      </c>
      <c r="AA1437" s="11">
        <f t="shared" si="617"/>
        <v>370</v>
      </c>
      <c r="AB1437" s="12">
        <v>50</v>
      </c>
      <c r="AC1437" s="9">
        <v>50</v>
      </c>
      <c r="AD1437" s="10"/>
      <c r="AE1437" s="11">
        <f t="shared" si="618"/>
        <v>100</v>
      </c>
      <c r="AF1437" s="11">
        <f t="shared" si="614"/>
        <v>470</v>
      </c>
      <c r="AG1437" s="65">
        <v>43193</v>
      </c>
    </row>
    <row r="1438" spans="1:33" x14ac:dyDescent="0.15">
      <c r="A1438" s="29" t="s">
        <v>737</v>
      </c>
      <c r="B1438" s="8"/>
      <c r="C1438" s="9">
        <v>10</v>
      </c>
      <c r="D1438" s="10"/>
      <c r="E1438" s="139">
        <f t="shared" si="615"/>
        <v>10</v>
      </c>
      <c r="F1438" s="140"/>
      <c r="G1438" s="140"/>
      <c r="H1438" s="10"/>
      <c r="I1438" s="11">
        <f t="shared" ref="I1438:I1458" si="619">SUM(F1438:H1438)</f>
        <v>0</v>
      </c>
      <c r="J1438" s="11">
        <f t="shared" si="616"/>
        <v>10</v>
      </c>
      <c r="K1438" s="65">
        <v>43181</v>
      </c>
      <c r="W1438" s="27" t="s">
        <v>753</v>
      </c>
      <c r="X1438" s="8">
        <v>10</v>
      </c>
      <c r="Y1438" s="9">
        <v>2</v>
      </c>
      <c r="Z1438" s="10"/>
      <c r="AA1438" s="11">
        <f t="shared" si="617"/>
        <v>12</v>
      </c>
      <c r="AB1438" s="12">
        <v>10</v>
      </c>
      <c r="AC1438" s="9">
        <v>10</v>
      </c>
      <c r="AD1438" s="10"/>
      <c r="AE1438" s="11">
        <f t="shared" si="618"/>
        <v>20</v>
      </c>
      <c r="AF1438" s="11">
        <f t="shared" si="614"/>
        <v>32</v>
      </c>
      <c r="AG1438" s="65">
        <v>43186</v>
      </c>
    </row>
    <row r="1439" spans="1:33" x14ac:dyDescent="0.15">
      <c r="A1439" s="29" t="s">
        <v>738</v>
      </c>
      <c r="B1439" s="8">
        <v>6</v>
      </c>
      <c r="C1439" s="9"/>
      <c r="D1439" s="10"/>
      <c r="E1439" s="11">
        <f t="shared" si="615"/>
        <v>6</v>
      </c>
      <c r="F1439" s="12">
        <v>10</v>
      </c>
      <c r="G1439" s="9"/>
      <c r="H1439" s="10"/>
      <c r="I1439" s="11">
        <f t="shared" si="619"/>
        <v>10</v>
      </c>
      <c r="J1439" s="11">
        <f t="shared" si="616"/>
        <v>16</v>
      </c>
      <c r="K1439" s="65">
        <v>43180</v>
      </c>
      <c r="W1439" s="86" t="s">
        <v>741</v>
      </c>
      <c r="X1439" s="8">
        <v>10</v>
      </c>
      <c r="Y1439" s="9"/>
      <c r="Z1439" s="10">
        <v>10</v>
      </c>
      <c r="AA1439" s="11">
        <f t="shared" si="617"/>
        <v>20</v>
      </c>
      <c r="AB1439" s="12">
        <v>10</v>
      </c>
      <c r="AC1439" s="9">
        <v>10</v>
      </c>
      <c r="AD1439" s="10">
        <v>10</v>
      </c>
      <c r="AE1439" s="11">
        <f t="shared" si="618"/>
        <v>30</v>
      </c>
      <c r="AF1439" s="11">
        <f t="shared" si="614"/>
        <v>50</v>
      </c>
      <c r="AG1439" s="65">
        <v>43196</v>
      </c>
    </row>
    <row r="1440" spans="1:33" x14ac:dyDescent="0.15">
      <c r="A1440" s="26" t="s">
        <v>739</v>
      </c>
      <c r="B1440" s="8">
        <v>10</v>
      </c>
      <c r="C1440" s="9">
        <v>15</v>
      </c>
      <c r="D1440" s="10">
        <v>8</v>
      </c>
      <c r="E1440" s="11">
        <f t="shared" si="615"/>
        <v>33</v>
      </c>
      <c r="F1440" s="12">
        <v>15</v>
      </c>
      <c r="G1440" s="9">
        <v>5</v>
      </c>
      <c r="H1440" s="10">
        <v>5</v>
      </c>
      <c r="I1440" s="11">
        <f t="shared" si="619"/>
        <v>25</v>
      </c>
      <c r="J1440" s="11">
        <f t="shared" si="616"/>
        <v>58</v>
      </c>
      <c r="K1440" s="65">
        <v>43182</v>
      </c>
      <c r="W1440" s="29" t="s">
        <v>41</v>
      </c>
      <c r="X1440" s="13">
        <v>17</v>
      </c>
      <c r="Y1440" s="14"/>
      <c r="Z1440" s="15"/>
      <c r="AA1440" s="11">
        <f>SUM(X1440:Z1440)</f>
        <v>17</v>
      </c>
      <c r="AB1440" s="16">
        <v>50</v>
      </c>
      <c r="AC1440" s="14">
        <v>36</v>
      </c>
      <c r="AD1440" s="15"/>
      <c r="AE1440" s="11">
        <f>SUM(AB1440:AD1440)</f>
        <v>86</v>
      </c>
      <c r="AF1440" s="11">
        <f>AA1440+AE1440</f>
        <v>103</v>
      </c>
      <c r="AG1440" s="65">
        <v>43202</v>
      </c>
    </row>
    <row r="1441" spans="1:33" x14ac:dyDescent="0.15">
      <c r="A1441" s="29" t="s">
        <v>687</v>
      </c>
      <c r="B1441" s="13"/>
      <c r="C1441" s="14"/>
      <c r="D1441" s="15"/>
      <c r="E1441" s="11">
        <f t="shared" si="615"/>
        <v>0</v>
      </c>
      <c r="F1441" s="16"/>
      <c r="G1441" s="14">
        <v>7</v>
      </c>
      <c r="H1441" s="15">
        <v>5</v>
      </c>
      <c r="I1441" s="11">
        <f t="shared" si="619"/>
        <v>12</v>
      </c>
      <c r="J1441" s="11">
        <f t="shared" si="616"/>
        <v>12</v>
      </c>
      <c r="K1441" s="65">
        <v>43183</v>
      </c>
      <c r="W1441" s="29" t="s">
        <v>662</v>
      </c>
      <c r="X1441" s="8">
        <v>250</v>
      </c>
      <c r="Y1441" s="9">
        <v>400</v>
      </c>
      <c r="Z1441" s="10">
        <v>80</v>
      </c>
      <c r="AA1441" s="11">
        <f t="shared" si="617"/>
        <v>730</v>
      </c>
      <c r="AB1441" s="12">
        <v>150</v>
      </c>
      <c r="AC1441" s="9">
        <v>150</v>
      </c>
      <c r="AD1441" s="10">
        <v>35</v>
      </c>
      <c r="AE1441" s="11">
        <f t="shared" si="618"/>
        <v>335</v>
      </c>
      <c r="AF1441" s="11">
        <f t="shared" si="614"/>
        <v>1065</v>
      </c>
      <c r="AG1441" s="65">
        <v>43207</v>
      </c>
    </row>
    <row r="1442" spans="1:33" x14ac:dyDescent="0.15">
      <c r="A1442" s="29" t="s">
        <v>740</v>
      </c>
      <c r="B1442" s="13"/>
      <c r="C1442" s="14">
        <v>12</v>
      </c>
      <c r="D1442" s="15">
        <v>2</v>
      </c>
      <c r="E1442" s="11">
        <f t="shared" si="615"/>
        <v>14</v>
      </c>
      <c r="F1442" s="16"/>
      <c r="G1442" s="14"/>
      <c r="H1442" s="15">
        <v>2</v>
      </c>
      <c r="I1442" s="11">
        <f t="shared" si="619"/>
        <v>2</v>
      </c>
      <c r="J1442" s="11">
        <f t="shared" si="616"/>
        <v>16</v>
      </c>
      <c r="K1442" s="65">
        <v>43186</v>
      </c>
      <c r="W1442" s="86" t="s">
        <v>747</v>
      </c>
      <c r="X1442" s="13">
        <v>25</v>
      </c>
      <c r="Y1442" s="14">
        <v>30</v>
      </c>
      <c r="Z1442" s="15">
        <v>50</v>
      </c>
      <c r="AA1442" s="11">
        <f t="shared" si="617"/>
        <v>105</v>
      </c>
      <c r="AB1442" s="16">
        <v>50</v>
      </c>
      <c r="AC1442" s="14">
        <v>30</v>
      </c>
      <c r="AD1442" s="15">
        <v>10</v>
      </c>
      <c r="AE1442" s="11">
        <f t="shared" si="618"/>
        <v>90</v>
      </c>
      <c r="AF1442" s="11">
        <f t="shared" si="614"/>
        <v>195</v>
      </c>
      <c r="AG1442" s="65">
        <v>43209</v>
      </c>
    </row>
    <row r="1443" spans="1:33" x14ac:dyDescent="0.15">
      <c r="A1443" s="29" t="s">
        <v>67</v>
      </c>
      <c r="B1443" s="8">
        <v>1</v>
      </c>
      <c r="C1443" s="9"/>
      <c r="D1443" s="10"/>
      <c r="E1443" s="11">
        <f t="shared" si="615"/>
        <v>1</v>
      </c>
      <c r="F1443" s="12">
        <v>1</v>
      </c>
      <c r="G1443" s="9"/>
      <c r="H1443" s="10"/>
      <c r="I1443" s="11">
        <f t="shared" si="619"/>
        <v>1</v>
      </c>
      <c r="J1443" s="11">
        <f t="shared" si="616"/>
        <v>2</v>
      </c>
      <c r="K1443" s="65">
        <v>43185</v>
      </c>
      <c r="W1443" s="86" t="s">
        <v>748</v>
      </c>
      <c r="X1443" s="8">
        <v>20</v>
      </c>
      <c r="Y1443" s="9"/>
      <c r="Z1443" s="10"/>
      <c r="AA1443" s="11">
        <f t="shared" si="617"/>
        <v>20</v>
      </c>
      <c r="AB1443" s="12"/>
      <c r="AC1443" s="9">
        <v>10</v>
      </c>
      <c r="AD1443" s="10">
        <v>10</v>
      </c>
      <c r="AE1443" s="11">
        <f t="shared" si="618"/>
        <v>20</v>
      </c>
      <c r="AF1443" s="11">
        <f t="shared" si="614"/>
        <v>40</v>
      </c>
      <c r="AG1443" s="65">
        <v>43209</v>
      </c>
    </row>
    <row r="1444" spans="1:33" x14ac:dyDescent="0.15">
      <c r="A1444" s="29" t="s">
        <v>67</v>
      </c>
      <c r="B1444" s="8"/>
      <c r="C1444" s="9"/>
      <c r="D1444" s="10">
        <v>1</v>
      </c>
      <c r="E1444" s="11">
        <f t="shared" si="615"/>
        <v>1</v>
      </c>
      <c r="F1444" s="12"/>
      <c r="G1444" s="9"/>
      <c r="H1444" s="10">
        <v>1</v>
      </c>
      <c r="I1444" s="11">
        <f t="shared" si="619"/>
        <v>1</v>
      </c>
      <c r="J1444" s="11">
        <f t="shared" si="616"/>
        <v>2</v>
      </c>
      <c r="K1444" s="65">
        <v>43186</v>
      </c>
      <c r="W1444" s="29" t="s">
        <v>41</v>
      </c>
      <c r="X1444" s="8"/>
      <c r="Y1444" s="9">
        <v>50</v>
      </c>
      <c r="Z1444" s="10"/>
      <c r="AA1444" s="11">
        <f t="shared" si="617"/>
        <v>50</v>
      </c>
      <c r="AB1444" s="12"/>
      <c r="AC1444" s="9"/>
      <c r="AD1444" s="10"/>
      <c r="AE1444" s="11">
        <f t="shared" si="618"/>
        <v>0</v>
      </c>
      <c r="AF1444" s="11">
        <f t="shared" si="614"/>
        <v>50</v>
      </c>
      <c r="AG1444" s="65">
        <v>43211</v>
      </c>
    </row>
    <row r="1445" spans="1:33" x14ac:dyDescent="0.15">
      <c r="A1445" s="27" t="s">
        <v>742</v>
      </c>
      <c r="B1445" s="8"/>
      <c r="C1445" s="9"/>
      <c r="D1445" s="10"/>
      <c r="E1445" s="11">
        <f t="shared" si="615"/>
        <v>0</v>
      </c>
      <c r="F1445" s="12"/>
      <c r="G1445" s="9">
        <v>5</v>
      </c>
      <c r="H1445" s="10"/>
      <c r="I1445" s="11">
        <f t="shared" si="619"/>
        <v>5</v>
      </c>
      <c r="J1445" s="11">
        <f t="shared" si="616"/>
        <v>5</v>
      </c>
      <c r="K1445" s="65">
        <v>43189</v>
      </c>
      <c r="W1445" s="29" t="s">
        <v>41</v>
      </c>
      <c r="X1445" s="8"/>
      <c r="Y1445" s="9"/>
      <c r="Z1445" s="10">
        <v>50</v>
      </c>
      <c r="AA1445" s="11">
        <f t="shared" si="617"/>
        <v>50</v>
      </c>
      <c r="AB1445" s="12"/>
      <c r="AC1445" s="9"/>
      <c r="AD1445" s="10"/>
      <c r="AE1445" s="11">
        <f t="shared" si="618"/>
        <v>0</v>
      </c>
      <c r="AF1445" s="11">
        <f t="shared" si="614"/>
        <v>50</v>
      </c>
      <c r="AG1445" s="65">
        <v>43215</v>
      </c>
    </row>
    <row r="1446" spans="1:33" x14ac:dyDescent="0.15">
      <c r="A1446" s="27" t="s">
        <v>743</v>
      </c>
      <c r="B1446" s="8">
        <v>7</v>
      </c>
      <c r="C1446" s="9">
        <v>10</v>
      </c>
      <c r="D1446" s="10">
        <v>5</v>
      </c>
      <c r="E1446" s="11">
        <f t="shared" si="615"/>
        <v>22</v>
      </c>
      <c r="F1446" s="12">
        <v>4</v>
      </c>
      <c r="G1446" s="9">
        <v>10</v>
      </c>
      <c r="H1446" s="10">
        <v>4</v>
      </c>
      <c r="I1446" s="11">
        <f t="shared" si="619"/>
        <v>18</v>
      </c>
      <c r="J1446" s="11">
        <f t="shared" si="616"/>
        <v>40</v>
      </c>
      <c r="K1446" s="65">
        <v>43194</v>
      </c>
      <c r="W1446" s="29" t="s">
        <v>754</v>
      </c>
      <c r="X1446" s="8">
        <v>20</v>
      </c>
      <c r="Y1446" s="9">
        <v>20</v>
      </c>
      <c r="Z1446" s="10">
        <v>30</v>
      </c>
      <c r="AA1446" s="11">
        <f t="shared" si="617"/>
        <v>70</v>
      </c>
      <c r="AB1446" s="12">
        <v>20</v>
      </c>
      <c r="AC1446" s="9">
        <v>20</v>
      </c>
      <c r="AD1446" s="10">
        <v>30</v>
      </c>
      <c r="AE1446" s="11">
        <f t="shared" si="618"/>
        <v>70</v>
      </c>
      <c r="AF1446" s="11">
        <f t="shared" si="614"/>
        <v>140</v>
      </c>
      <c r="AG1446" s="65">
        <v>43215</v>
      </c>
    </row>
    <row r="1447" spans="1:33" x14ac:dyDescent="0.15">
      <c r="A1447" s="29" t="s">
        <v>67</v>
      </c>
      <c r="B1447" s="8"/>
      <c r="C1447" s="9"/>
      <c r="D1447" s="10"/>
      <c r="E1447" s="11">
        <f t="shared" si="615"/>
        <v>0</v>
      </c>
      <c r="F1447" s="12"/>
      <c r="G1447" s="9">
        <v>2</v>
      </c>
      <c r="H1447" s="10"/>
      <c r="I1447" s="11">
        <f t="shared" si="619"/>
        <v>2</v>
      </c>
      <c r="J1447" s="11">
        <f t="shared" si="616"/>
        <v>2</v>
      </c>
      <c r="K1447" s="71">
        <v>43193</v>
      </c>
      <c r="W1447" s="29"/>
      <c r="X1447" s="8"/>
      <c r="Y1447" s="9"/>
      <c r="Z1447" s="10"/>
      <c r="AA1447" s="11">
        <f t="shared" si="617"/>
        <v>0</v>
      </c>
      <c r="AB1447" s="12"/>
      <c r="AC1447" s="9"/>
      <c r="AD1447" s="10"/>
      <c r="AE1447" s="11">
        <f t="shared" si="618"/>
        <v>0</v>
      </c>
      <c r="AF1447" s="11">
        <f t="shared" si="614"/>
        <v>0</v>
      </c>
      <c r="AG1447" s="64"/>
    </row>
    <row r="1448" spans="1:33" x14ac:dyDescent="0.15">
      <c r="A1448" s="29" t="s">
        <v>745</v>
      </c>
      <c r="B1448" s="8"/>
      <c r="C1448" s="9"/>
      <c r="D1448" s="10"/>
      <c r="E1448" s="11">
        <f t="shared" si="615"/>
        <v>0</v>
      </c>
      <c r="F1448" s="12">
        <v>1</v>
      </c>
      <c r="G1448" s="9"/>
      <c r="H1448" s="10"/>
      <c r="I1448" s="11">
        <f t="shared" si="619"/>
        <v>1</v>
      </c>
      <c r="J1448" s="11">
        <f t="shared" si="616"/>
        <v>1</v>
      </c>
      <c r="K1448" s="71">
        <v>43194</v>
      </c>
      <c r="W1448" s="27"/>
      <c r="X1448" s="8"/>
      <c r="Y1448" s="9"/>
      <c r="Z1448" s="10"/>
      <c r="AA1448" s="11">
        <f t="shared" si="617"/>
        <v>0</v>
      </c>
      <c r="AB1448" s="12"/>
      <c r="AC1448" s="9"/>
      <c r="AD1448" s="10"/>
      <c r="AE1448" s="11">
        <f t="shared" si="618"/>
        <v>0</v>
      </c>
      <c r="AF1448" s="11">
        <f t="shared" si="614"/>
        <v>0</v>
      </c>
      <c r="AG1448" s="64"/>
    </row>
    <row r="1449" spans="1:33" x14ac:dyDescent="0.15">
      <c r="A1449" s="27" t="s">
        <v>744</v>
      </c>
      <c r="B1449" s="8"/>
      <c r="C1449" s="9"/>
      <c r="D1449" s="10">
        <v>4</v>
      </c>
      <c r="E1449" s="11">
        <f t="shared" si="615"/>
        <v>4</v>
      </c>
      <c r="F1449" s="12"/>
      <c r="G1449" s="9"/>
      <c r="H1449" s="10">
        <v>4</v>
      </c>
      <c r="I1449" s="11">
        <f t="shared" si="619"/>
        <v>4</v>
      </c>
      <c r="J1449" s="11">
        <f t="shared" si="616"/>
        <v>8</v>
      </c>
      <c r="K1449" s="65">
        <v>43196</v>
      </c>
      <c r="W1449" s="29"/>
      <c r="X1449" s="8"/>
      <c r="Y1449" s="9"/>
      <c r="Z1449" s="10"/>
      <c r="AA1449" s="11">
        <f t="shared" si="617"/>
        <v>0</v>
      </c>
      <c r="AB1449" s="12"/>
      <c r="AC1449" s="9"/>
      <c r="AD1449" s="10"/>
      <c r="AE1449" s="11">
        <f t="shared" si="618"/>
        <v>0</v>
      </c>
      <c r="AF1449" s="11">
        <f t="shared" si="614"/>
        <v>0</v>
      </c>
    </row>
    <row r="1450" spans="1:33" x14ac:dyDescent="0.15">
      <c r="A1450" s="27" t="s">
        <v>687</v>
      </c>
      <c r="B1450" s="8">
        <v>4</v>
      </c>
      <c r="C1450" s="9">
        <v>4</v>
      </c>
      <c r="D1450" s="10">
        <v>4</v>
      </c>
      <c r="E1450" s="11">
        <f t="shared" si="615"/>
        <v>12</v>
      </c>
      <c r="F1450" s="12">
        <v>4</v>
      </c>
      <c r="G1450" s="9">
        <v>4</v>
      </c>
      <c r="H1450" s="10">
        <v>4</v>
      </c>
      <c r="I1450" s="11">
        <f t="shared" si="619"/>
        <v>12</v>
      </c>
      <c r="J1450" s="11">
        <f t="shared" si="616"/>
        <v>24</v>
      </c>
      <c r="K1450" s="65">
        <v>43201</v>
      </c>
      <c r="W1450" s="27"/>
      <c r="X1450" s="8"/>
      <c r="Y1450" s="9"/>
      <c r="Z1450" s="10"/>
      <c r="AA1450" s="11">
        <f t="shared" si="617"/>
        <v>0</v>
      </c>
      <c r="AB1450" s="12"/>
      <c r="AC1450" s="9"/>
      <c r="AD1450" s="10"/>
      <c r="AE1450" s="11">
        <f t="shared" si="618"/>
        <v>0</v>
      </c>
      <c r="AF1450" s="11">
        <f t="shared" si="614"/>
        <v>0</v>
      </c>
    </row>
    <row r="1451" spans="1:33" x14ac:dyDescent="0.15">
      <c r="A1451" s="27" t="s">
        <v>687</v>
      </c>
      <c r="B1451" s="8"/>
      <c r="C1451" s="9"/>
      <c r="D1451" s="10">
        <v>4</v>
      </c>
      <c r="E1451" s="11">
        <f t="shared" si="615"/>
        <v>4</v>
      </c>
      <c r="F1451" s="12"/>
      <c r="G1451" s="9"/>
      <c r="H1451" s="10">
        <v>2</v>
      </c>
      <c r="I1451" s="11">
        <f t="shared" si="619"/>
        <v>2</v>
      </c>
      <c r="J1451" s="11">
        <f t="shared" si="616"/>
        <v>6</v>
      </c>
      <c r="K1451" s="65">
        <v>43207</v>
      </c>
      <c r="W1451" s="26"/>
      <c r="X1451" s="8"/>
      <c r="Y1451" s="9"/>
      <c r="Z1451" s="10"/>
      <c r="AA1451" s="11">
        <f t="shared" si="617"/>
        <v>0</v>
      </c>
      <c r="AB1451" s="12"/>
      <c r="AC1451" s="9"/>
      <c r="AD1451" s="10"/>
      <c r="AE1451" s="11">
        <f t="shared" si="618"/>
        <v>0</v>
      </c>
      <c r="AF1451" s="11">
        <f t="shared" si="614"/>
        <v>0</v>
      </c>
    </row>
    <row r="1452" spans="1:33" x14ac:dyDescent="0.15">
      <c r="A1452" s="29" t="s">
        <v>745</v>
      </c>
      <c r="B1452" s="8"/>
      <c r="C1452" s="9"/>
      <c r="D1452" s="10">
        <v>2</v>
      </c>
      <c r="E1452" s="11">
        <f t="shared" si="615"/>
        <v>2</v>
      </c>
      <c r="F1452" s="12">
        <v>3</v>
      </c>
      <c r="G1452" s="9"/>
      <c r="H1452" s="10">
        <v>1</v>
      </c>
      <c r="I1452" s="11">
        <f t="shared" si="619"/>
        <v>4</v>
      </c>
      <c r="J1452" s="11">
        <f t="shared" si="616"/>
        <v>6</v>
      </c>
      <c r="K1452" s="71">
        <v>43206</v>
      </c>
      <c r="W1452" s="26"/>
      <c r="X1452" s="8"/>
      <c r="Y1452" s="9"/>
      <c r="Z1452" s="10"/>
      <c r="AA1452" s="11">
        <f t="shared" si="617"/>
        <v>0</v>
      </c>
      <c r="AB1452" s="12"/>
      <c r="AC1452" s="9"/>
      <c r="AD1452" s="10"/>
      <c r="AE1452" s="11">
        <f t="shared" si="618"/>
        <v>0</v>
      </c>
      <c r="AF1452" s="11">
        <f t="shared" si="614"/>
        <v>0</v>
      </c>
    </row>
    <row r="1453" spans="1:33" x14ac:dyDescent="0.15">
      <c r="A1453" s="27" t="s">
        <v>746</v>
      </c>
      <c r="B1453" s="8"/>
      <c r="C1453" s="9"/>
      <c r="D1453" s="10"/>
      <c r="E1453" s="11">
        <f t="shared" si="615"/>
        <v>0</v>
      </c>
      <c r="F1453" s="12"/>
      <c r="G1453" s="9">
        <v>5</v>
      </c>
      <c r="H1453" s="10"/>
      <c r="I1453" s="11">
        <f t="shared" si="619"/>
        <v>5</v>
      </c>
      <c r="J1453" s="11">
        <f t="shared" si="616"/>
        <v>5</v>
      </c>
      <c r="K1453" s="65">
        <v>43209</v>
      </c>
      <c r="W1453" s="27"/>
      <c r="X1453" s="8"/>
      <c r="Y1453" s="9"/>
      <c r="Z1453" s="10"/>
      <c r="AA1453" s="11">
        <f t="shared" si="617"/>
        <v>0</v>
      </c>
      <c r="AB1453" s="12"/>
      <c r="AC1453" s="9"/>
      <c r="AD1453" s="10"/>
      <c r="AE1453" s="11">
        <f t="shared" si="618"/>
        <v>0</v>
      </c>
      <c r="AF1453" s="11">
        <f t="shared" si="614"/>
        <v>0</v>
      </c>
    </row>
    <row r="1454" spans="1:33" x14ac:dyDescent="0.15">
      <c r="A1454" s="29" t="s">
        <v>745</v>
      </c>
      <c r="B1454" s="13"/>
      <c r="C1454" s="14">
        <v>1</v>
      </c>
      <c r="D1454" s="15"/>
      <c r="E1454" s="11">
        <f t="shared" si="615"/>
        <v>1</v>
      </c>
      <c r="F1454" s="16">
        <v>1</v>
      </c>
      <c r="G1454" s="14"/>
      <c r="H1454" s="15"/>
      <c r="I1454" s="11">
        <f t="shared" si="619"/>
        <v>1</v>
      </c>
      <c r="J1454" s="11">
        <f t="shared" si="616"/>
        <v>2</v>
      </c>
      <c r="K1454" s="71">
        <v>43207</v>
      </c>
      <c r="W1454" s="27"/>
      <c r="X1454" s="13"/>
      <c r="Y1454" s="14"/>
      <c r="Z1454" s="15"/>
      <c r="AA1454" s="11">
        <f t="shared" si="617"/>
        <v>0</v>
      </c>
      <c r="AB1454" s="16"/>
      <c r="AC1454" s="14"/>
      <c r="AD1454" s="15"/>
      <c r="AE1454" s="11">
        <f t="shared" si="618"/>
        <v>0</v>
      </c>
      <c r="AF1454" s="11">
        <f t="shared" si="614"/>
        <v>0</v>
      </c>
    </row>
    <row r="1455" spans="1:33" x14ac:dyDescent="0.15">
      <c r="A1455" s="27" t="s">
        <v>749</v>
      </c>
      <c r="B1455" s="8"/>
      <c r="C1455" s="9"/>
      <c r="D1455" s="10"/>
      <c r="E1455" s="11">
        <f t="shared" si="615"/>
        <v>0</v>
      </c>
      <c r="F1455" s="12"/>
      <c r="G1455" s="9">
        <v>1</v>
      </c>
      <c r="H1455" s="10"/>
      <c r="I1455" s="11">
        <f t="shared" si="619"/>
        <v>1</v>
      </c>
      <c r="J1455" s="11">
        <f t="shared" si="616"/>
        <v>1</v>
      </c>
      <c r="K1455" s="65">
        <v>43210</v>
      </c>
      <c r="W1455" s="86"/>
      <c r="X1455" s="13"/>
      <c r="Y1455" s="14"/>
      <c r="Z1455" s="15"/>
      <c r="AA1455" s="11">
        <f t="shared" si="617"/>
        <v>0</v>
      </c>
      <c r="AB1455" s="16"/>
      <c r="AC1455" s="14"/>
      <c r="AD1455" s="15"/>
      <c r="AE1455" s="11">
        <f t="shared" si="618"/>
        <v>0</v>
      </c>
      <c r="AF1455" s="11">
        <f t="shared" si="614"/>
        <v>0</v>
      </c>
    </row>
    <row r="1456" spans="1:33" x14ac:dyDescent="0.15">
      <c r="A1456" s="86" t="s">
        <v>750</v>
      </c>
      <c r="B1456" s="8">
        <v>15</v>
      </c>
      <c r="C1456" s="9">
        <v>10</v>
      </c>
      <c r="D1456" s="10"/>
      <c r="E1456" s="11">
        <f t="shared" si="615"/>
        <v>25</v>
      </c>
      <c r="F1456" s="12"/>
      <c r="G1456" s="9"/>
      <c r="H1456" s="10"/>
      <c r="I1456" s="11">
        <f t="shared" si="619"/>
        <v>0</v>
      </c>
      <c r="J1456" s="11">
        <f t="shared" si="616"/>
        <v>25</v>
      </c>
      <c r="K1456" s="65">
        <v>43211</v>
      </c>
      <c r="W1456" s="86"/>
      <c r="X1456" s="13"/>
      <c r="Y1456" s="14"/>
      <c r="Z1456" s="15"/>
      <c r="AA1456" s="11">
        <f t="shared" si="617"/>
        <v>0</v>
      </c>
      <c r="AB1456" s="16"/>
      <c r="AC1456" s="14"/>
      <c r="AD1456" s="15"/>
      <c r="AE1456" s="11">
        <f t="shared" si="618"/>
        <v>0</v>
      </c>
      <c r="AF1456" s="11">
        <f t="shared" si="614"/>
        <v>0</v>
      </c>
    </row>
    <row r="1457" spans="1:33" x14ac:dyDescent="0.15">
      <c r="A1457" s="86" t="s">
        <v>751</v>
      </c>
      <c r="B1457" s="8"/>
      <c r="C1457" s="9">
        <v>4</v>
      </c>
      <c r="D1457" s="10">
        <v>12</v>
      </c>
      <c r="E1457" s="11">
        <f t="shared" si="615"/>
        <v>16</v>
      </c>
      <c r="F1457" s="12"/>
      <c r="G1457" s="9"/>
      <c r="H1457" s="10"/>
      <c r="I1457" s="11">
        <f t="shared" si="619"/>
        <v>0</v>
      </c>
      <c r="J1457" s="11">
        <f t="shared" si="616"/>
        <v>16</v>
      </c>
      <c r="K1457" s="65">
        <v>43214</v>
      </c>
      <c r="W1457" s="86"/>
      <c r="X1457" s="13"/>
      <c r="Y1457" s="14"/>
      <c r="Z1457" s="15"/>
      <c r="AA1457" s="11">
        <f t="shared" si="617"/>
        <v>0</v>
      </c>
      <c r="AB1457" s="16"/>
      <c r="AC1457" s="14"/>
      <c r="AD1457" s="15"/>
      <c r="AE1457" s="11">
        <f t="shared" si="618"/>
        <v>0</v>
      </c>
      <c r="AF1457" s="11">
        <f t="shared" si="614"/>
        <v>0</v>
      </c>
      <c r="AG1457" s="64"/>
    </row>
    <row r="1458" spans="1:33" ht="14.25" thickBot="1" x14ac:dyDescent="0.2">
      <c r="A1458" s="27" t="s">
        <v>752</v>
      </c>
      <c r="B1458" s="8"/>
      <c r="C1458" s="9">
        <v>20</v>
      </c>
      <c r="D1458" s="10">
        <v>20</v>
      </c>
      <c r="E1458" s="11">
        <f t="shared" si="615"/>
        <v>40</v>
      </c>
      <c r="F1458" s="16"/>
      <c r="G1458" s="14">
        <v>10</v>
      </c>
      <c r="H1458" s="15">
        <v>20</v>
      </c>
      <c r="I1458" s="11">
        <f t="shared" si="619"/>
        <v>30</v>
      </c>
      <c r="J1458" s="11">
        <f t="shared" si="616"/>
        <v>70</v>
      </c>
      <c r="K1458" s="65">
        <v>43214</v>
      </c>
      <c r="L1458" s="57"/>
      <c r="M1458" s="57"/>
      <c r="W1458" s="86"/>
      <c r="X1458" s="13"/>
      <c r="Y1458" s="14"/>
      <c r="Z1458" s="15"/>
      <c r="AA1458" s="11">
        <f t="shared" si="617"/>
        <v>0</v>
      </c>
      <c r="AB1458" s="16"/>
      <c r="AC1458" s="14"/>
      <c r="AD1458" s="15"/>
      <c r="AE1458" s="11">
        <f t="shared" si="618"/>
        <v>0</v>
      </c>
      <c r="AF1458" s="11">
        <f t="shared" si="614"/>
        <v>0</v>
      </c>
      <c r="AG1458" s="65"/>
    </row>
    <row r="1459" spans="1:33" ht="14.25" thickBot="1" x14ac:dyDescent="0.2">
      <c r="A1459" s="44" t="s">
        <v>13</v>
      </c>
      <c r="B1459" s="48">
        <f t="shared" ref="B1459:I1459" si="620">SUM(B1433:B1458)</f>
        <v>53</v>
      </c>
      <c r="C1459" s="49">
        <f t="shared" si="620"/>
        <v>106</v>
      </c>
      <c r="D1459" s="50">
        <f t="shared" si="620"/>
        <v>62</v>
      </c>
      <c r="E1459" s="46">
        <f t="shared" si="620"/>
        <v>221</v>
      </c>
      <c r="F1459" s="48">
        <f t="shared" si="620"/>
        <v>44</v>
      </c>
      <c r="G1459" s="49">
        <f t="shared" si="620"/>
        <v>49</v>
      </c>
      <c r="H1459" s="50">
        <f t="shared" si="620"/>
        <v>53</v>
      </c>
      <c r="I1459" s="46">
        <f t="shared" si="620"/>
        <v>146</v>
      </c>
      <c r="J1459" s="35">
        <f>E1459+I1459</f>
        <v>367</v>
      </c>
      <c r="W1459" s="44" t="s">
        <v>13</v>
      </c>
      <c r="X1459" s="48">
        <f t="shared" ref="X1459:AE1459" si="621">SUM(X1433:X1458)</f>
        <v>572</v>
      </c>
      <c r="Y1459" s="49">
        <f t="shared" si="621"/>
        <v>562</v>
      </c>
      <c r="Z1459" s="50">
        <f t="shared" si="621"/>
        <v>410</v>
      </c>
      <c r="AA1459" s="46">
        <f t="shared" si="621"/>
        <v>1544</v>
      </c>
      <c r="AB1459" s="48">
        <f t="shared" si="621"/>
        <v>340</v>
      </c>
      <c r="AC1459" s="49">
        <f t="shared" si="621"/>
        <v>366</v>
      </c>
      <c r="AD1459" s="50">
        <f t="shared" si="621"/>
        <v>145</v>
      </c>
      <c r="AE1459" s="46">
        <f t="shared" si="621"/>
        <v>851</v>
      </c>
      <c r="AF1459" s="35">
        <f>AA1459+AE1459</f>
        <v>2395</v>
      </c>
    </row>
    <row r="1460" spans="1:33" ht="14.25" thickBot="1" x14ac:dyDescent="0.2">
      <c r="A1460" s="23" t="s">
        <v>14</v>
      </c>
      <c r="B1460" s="24">
        <f t="shared" ref="B1460:J1460" si="622">B1432-B1459</f>
        <v>16</v>
      </c>
      <c r="C1460" s="25">
        <f t="shared" si="622"/>
        <v>30</v>
      </c>
      <c r="D1460" s="30">
        <f t="shared" si="622"/>
        <v>58</v>
      </c>
      <c r="E1460" s="51">
        <f t="shared" si="622"/>
        <v>104</v>
      </c>
      <c r="F1460" s="24">
        <f t="shared" si="622"/>
        <v>67</v>
      </c>
      <c r="G1460" s="25">
        <f t="shared" si="622"/>
        <v>22</v>
      </c>
      <c r="H1460" s="30">
        <f t="shared" si="622"/>
        <v>18</v>
      </c>
      <c r="I1460" s="47">
        <f t="shared" si="622"/>
        <v>107</v>
      </c>
      <c r="J1460" s="79">
        <f t="shared" si="622"/>
        <v>211</v>
      </c>
      <c r="W1460" s="23" t="s">
        <v>14</v>
      </c>
      <c r="X1460" s="24">
        <f t="shared" ref="X1460:AF1460" si="623">X1432-X1459</f>
        <v>185</v>
      </c>
      <c r="Y1460" s="25">
        <f t="shared" si="623"/>
        <v>300</v>
      </c>
      <c r="Z1460" s="30">
        <f t="shared" si="623"/>
        <v>290</v>
      </c>
      <c r="AA1460" s="51">
        <f t="shared" si="623"/>
        <v>775</v>
      </c>
      <c r="AB1460" s="24">
        <f t="shared" si="623"/>
        <v>273</v>
      </c>
      <c r="AC1460" s="25">
        <f t="shared" si="623"/>
        <v>285</v>
      </c>
      <c r="AD1460" s="30">
        <f t="shared" si="623"/>
        <v>60</v>
      </c>
      <c r="AE1460" s="47">
        <f t="shared" si="623"/>
        <v>618</v>
      </c>
      <c r="AF1460" s="79">
        <f t="shared" si="623"/>
        <v>1393</v>
      </c>
    </row>
    <row r="1463" spans="1:33" ht="19.5" thickBot="1" x14ac:dyDescent="0.25">
      <c r="A1463" s="93" t="s">
        <v>21</v>
      </c>
      <c r="B1463" s="94"/>
      <c r="C1463" s="94"/>
      <c r="D1463" s="94"/>
      <c r="E1463" s="94"/>
      <c r="F1463" s="1"/>
      <c r="G1463" s="1"/>
      <c r="H1463" s="1"/>
      <c r="I1463" s="1"/>
      <c r="J1463" s="1"/>
      <c r="W1463" s="93" t="s">
        <v>136</v>
      </c>
      <c r="X1463" s="94"/>
      <c r="Y1463" s="94"/>
      <c r="Z1463" s="94"/>
      <c r="AA1463" s="106" t="s">
        <v>299</v>
      </c>
      <c r="AB1463" s="1"/>
      <c r="AC1463" s="1"/>
      <c r="AD1463" s="1"/>
      <c r="AE1463" s="1"/>
      <c r="AF1463" s="1"/>
    </row>
    <row r="1464" spans="1:33" ht="14.25" thickBot="1" x14ac:dyDescent="0.2">
      <c r="A1464" s="7" t="s">
        <v>0</v>
      </c>
      <c r="B1464" s="168" t="s">
        <v>1</v>
      </c>
      <c r="C1464" s="169"/>
      <c r="D1464" s="169"/>
      <c r="E1464" s="170"/>
      <c r="F1464" s="168" t="s">
        <v>2</v>
      </c>
      <c r="G1464" s="169"/>
      <c r="H1464" s="169"/>
      <c r="I1464" s="171"/>
      <c r="J1464" s="172" t="s">
        <v>3</v>
      </c>
      <c r="W1464" s="7" t="s">
        <v>0</v>
      </c>
      <c r="X1464" s="174" t="s">
        <v>1</v>
      </c>
      <c r="Y1464" s="175"/>
      <c r="Z1464" s="176"/>
      <c r="AA1464" s="101"/>
      <c r="AB1464" s="174" t="s">
        <v>2</v>
      </c>
      <c r="AC1464" s="175"/>
      <c r="AD1464" s="176"/>
      <c r="AE1464" s="102"/>
      <c r="AF1464" s="103" t="s">
        <v>3</v>
      </c>
    </row>
    <row r="1465" spans="1:33" ht="14.25" thickBot="1" x14ac:dyDescent="0.2">
      <c r="A1465" s="7" t="s">
        <v>4</v>
      </c>
      <c r="B1465" s="3" t="s">
        <v>5</v>
      </c>
      <c r="C1465" s="4" t="s">
        <v>6</v>
      </c>
      <c r="D1465" s="5" t="s">
        <v>7</v>
      </c>
      <c r="E1465" s="7" t="s">
        <v>8</v>
      </c>
      <c r="F1465" s="3" t="s">
        <v>5</v>
      </c>
      <c r="G1465" s="4" t="s">
        <v>6</v>
      </c>
      <c r="H1465" s="5" t="s">
        <v>7</v>
      </c>
      <c r="I1465" s="7" t="s">
        <v>8</v>
      </c>
      <c r="J1465" s="173"/>
      <c r="W1465" s="7" t="s">
        <v>4</v>
      </c>
      <c r="X1465" s="3" t="s">
        <v>5</v>
      </c>
      <c r="Y1465" s="4" t="s">
        <v>6</v>
      </c>
      <c r="Z1465" s="5" t="s">
        <v>7</v>
      </c>
      <c r="AA1465" s="7" t="s">
        <v>8</v>
      </c>
      <c r="AB1465" s="107" t="s">
        <v>5</v>
      </c>
      <c r="AC1465" s="108" t="s">
        <v>6</v>
      </c>
      <c r="AD1465" s="109" t="s">
        <v>7</v>
      </c>
      <c r="AE1465" s="7" t="s">
        <v>8</v>
      </c>
      <c r="AF1465" s="104"/>
    </row>
    <row r="1466" spans="1:33" ht="14.25" thickBot="1" x14ac:dyDescent="0.2">
      <c r="A1466" s="31" t="s">
        <v>14</v>
      </c>
      <c r="B1466" s="32">
        <f>B1460</f>
        <v>16</v>
      </c>
      <c r="C1466" s="33">
        <f>C1460</f>
        <v>30</v>
      </c>
      <c r="D1466" s="34">
        <f>D1460</f>
        <v>58</v>
      </c>
      <c r="E1466" s="41">
        <f>SUM(B1466:D1466)</f>
        <v>104</v>
      </c>
      <c r="F1466" s="32">
        <f>F1460</f>
        <v>67</v>
      </c>
      <c r="G1466" s="33">
        <f>G1460</f>
        <v>22</v>
      </c>
      <c r="H1466" s="34">
        <f>H1460</f>
        <v>18</v>
      </c>
      <c r="I1466" s="41">
        <f>SUM(F1466:H1466)</f>
        <v>107</v>
      </c>
      <c r="J1466" s="41">
        <f>E1466+I1466</f>
        <v>211</v>
      </c>
      <c r="W1466" s="31" t="s">
        <v>14</v>
      </c>
      <c r="X1466" s="32">
        <f>X1460</f>
        <v>185</v>
      </c>
      <c r="Y1466" s="33">
        <f>Y1460</f>
        <v>300</v>
      </c>
      <c r="Z1466" s="33">
        <f>Z1460</f>
        <v>290</v>
      </c>
      <c r="AA1466" s="111">
        <f>SUM(X1466:Z1466)</f>
        <v>775</v>
      </c>
      <c r="AB1466" s="32">
        <f>AB1460</f>
        <v>273</v>
      </c>
      <c r="AC1466" s="33">
        <f>AC1460</f>
        <v>285</v>
      </c>
      <c r="AD1466" s="95">
        <f>AD1460</f>
        <v>60</v>
      </c>
      <c r="AE1466" s="46">
        <f>SUM(AB1466:AD1466)</f>
        <v>618</v>
      </c>
      <c r="AF1466" s="35">
        <f>AA1466+AE1466</f>
        <v>1393</v>
      </c>
    </row>
    <row r="1467" spans="1:33" x14ac:dyDescent="0.15">
      <c r="A1467" s="28" t="s">
        <v>9</v>
      </c>
      <c r="B1467" s="17">
        <v>50</v>
      </c>
      <c r="C1467" s="18">
        <v>50</v>
      </c>
      <c r="D1467" s="19"/>
      <c r="E1467" s="20">
        <f t="shared" ref="E1467:E1474" si="624">SUM(B1467:D1467)</f>
        <v>100</v>
      </c>
      <c r="F1467" s="21"/>
      <c r="G1467" s="18">
        <v>50</v>
      </c>
      <c r="H1467" s="19"/>
      <c r="I1467" s="20">
        <f t="shared" ref="I1467:I1474" si="625">SUM(F1467:H1467)</f>
        <v>50</v>
      </c>
      <c r="J1467" s="20">
        <f t="shared" ref="J1467:J1474" si="626">E1467+I1467</f>
        <v>150</v>
      </c>
      <c r="K1467" s="65">
        <v>43227</v>
      </c>
      <c r="W1467" s="28" t="s">
        <v>9</v>
      </c>
      <c r="X1467" s="8"/>
      <c r="Y1467" s="9"/>
      <c r="Z1467" s="10"/>
      <c r="AA1467" s="78">
        <f t="shared" ref="AA1467:AA1474" si="627">SUM(X1467:Z1467)</f>
        <v>0</v>
      </c>
      <c r="AB1467" s="21"/>
      <c r="AC1467" s="18"/>
      <c r="AD1467" s="19"/>
      <c r="AE1467" s="78">
        <f t="shared" ref="AE1467:AE1474" si="628">SUM(AB1467:AD1467)</f>
        <v>0</v>
      </c>
      <c r="AF1467" s="78">
        <f t="shared" ref="AF1467:AF1474" si="629">AA1467+AE1467</f>
        <v>0</v>
      </c>
    </row>
    <row r="1468" spans="1:33" x14ac:dyDescent="0.15">
      <c r="A1468" s="28" t="s">
        <v>235</v>
      </c>
      <c r="B1468" s="8"/>
      <c r="C1468" s="9">
        <v>2</v>
      </c>
      <c r="D1468" s="10"/>
      <c r="E1468" s="11">
        <f t="shared" si="624"/>
        <v>2</v>
      </c>
      <c r="F1468" s="12"/>
      <c r="G1468" s="9"/>
      <c r="H1468" s="10"/>
      <c r="I1468" s="11">
        <f t="shared" si="625"/>
        <v>0</v>
      </c>
      <c r="J1468" s="11">
        <f t="shared" si="626"/>
        <v>2</v>
      </c>
      <c r="K1468" s="65">
        <v>43229</v>
      </c>
      <c r="W1468" s="28" t="s">
        <v>10</v>
      </c>
      <c r="X1468" s="8"/>
      <c r="Y1468" s="9"/>
      <c r="Z1468" s="10"/>
      <c r="AA1468" s="11">
        <f t="shared" si="627"/>
        <v>0</v>
      </c>
      <c r="AB1468" s="12"/>
      <c r="AC1468" s="9"/>
      <c r="AD1468" s="10"/>
      <c r="AE1468" s="11">
        <f t="shared" si="628"/>
        <v>0</v>
      </c>
      <c r="AF1468" s="11">
        <f t="shared" si="629"/>
        <v>0</v>
      </c>
    </row>
    <row r="1469" spans="1:33" x14ac:dyDescent="0.15">
      <c r="A1469" s="28" t="s">
        <v>182</v>
      </c>
      <c r="B1469" s="8">
        <v>50</v>
      </c>
      <c r="C1469" s="9">
        <v>100</v>
      </c>
      <c r="D1469" s="10">
        <v>50</v>
      </c>
      <c r="E1469" s="11">
        <f t="shared" si="624"/>
        <v>200</v>
      </c>
      <c r="F1469" s="12">
        <v>50</v>
      </c>
      <c r="G1469" s="9">
        <v>25</v>
      </c>
      <c r="H1469" s="10">
        <v>50</v>
      </c>
      <c r="I1469" s="11">
        <f t="shared" si="625"/>
        <v>125</v>
      </c>
      <c r="J1469" s="11">
        <f t="shared" si="626"/>
        <v>325</v>
      </c>
      <c r="K1469" s="65">
        <v>43239</v>
      </c>
      <c r="W1469" s="28" t="s">
        <v>11</v>
      </c>
      <c r="X1469" s="8">
        <v>600</v>
      </c>
      <c r="Y1469" s="9">
        <v>800</v>
      </c>
      <c r="Z1469" s="10">
        <v>500</v>
      </c>
      <c r="AA1469" s="11">
        <f>SUM(X1469:Z1469)</f>
        <v>1900</v>
      </c>
      <c r="AB1469" s="12"/>
      <c r="AC1469" s="9"/>
      <c r="AD1469" s="10">
        <v>500</v>
      </c>
      <c r="AE1469" s="11">
        <f>SUM(AB1469:AD1469)</f>
        <v>500</v>
      </c>
      <c r="AF1469" s="11">
        <f>AA1469+AE1469</f>
        <v>2400</v>
      </c>
      <c r="AG1469" s="65">
        <v>43238</v>
      </c>
    </row>
    <row r="1470" spans="1:33" x14ac:dyDescent="0.15">
      <c r="A1470" s="28" t="s">
        <v>104</v>
      </c>
      <c r="B1470" s="8">
        <v>3</v>
      </c>
      <c r="C1470" s="9"/>
      <c r="D1470" s="10"/>
      <c r="E1470" s="11">
        <f t="shared" si="624"/>
        <v>3</v>
      </c>
      <c r="F1470" s="12">
        <v>31</v>
      </c>
      <c r="G1470" s="9">
        <v>10</v>
      </c>
      <c r="H1470" s="10">
        <v>1</v>
      </c>
      <c r="I1470" s="11">
        <f t="shared" si="625"/>
        <v>42</v>
      </c>
      <c r="J1470" s="11">
        <f t="shared" si="626"/>
        <v>45</v>
      </c>
      <c r="K1470" s="65">
        <v>43235</v>
      </c>
      <c r="W1470" s="28" t="s">
        <v>12</v>
      </c>
      <c r="X1470" s="8"/>
      <c r="Y1470" s="9"/>
      <c r="Z1470" s="10"/>
      <c r="AA1470" s="11">
        <f>SUM(X1470:Z1470)</f>
        <v>0</v>
      </c>
      <c r="AB1470" s="12"/>
      <c r="AC1470" s="9"/>
      <c r="AD1470" s="10"/>
      <c r="AE1470" s="11">
        <f>SUM(AB1470:AD1470)</f>
        <v>0</v>
      </c>
      <c r="AF1470" s="11">
        <f>AA1470+AE1470</f>
        <v>0</v>
      </c>
      <c r="AG1470" s="65"/>
    </row>
    <row r="1471" spans="1:33" x14ac:dyDescent="0.15">
      <c r="A1471" s="28" t="s">
        <v>182</v>
      </c>
      <c r="B1471" s="8">
        <v>50</v>
      </c>
      <c r="C1471" s="9"/>
      <c r="D1471" s="10">
        <v>50</v>
      </c>
      <c r="E1471" s="11">
        <f t="shared" si="624"/>
        <v>100</v>
      </c>
      <c r="F1471" s="12"/>
      <c r="G1471" s="9"/>
      <c r="H1471" s="10">
        <v>50</v>
      </c>
      <c r="I1471" s="11">
        <f t="shared" si="625"/>
        <v>50</v>
      </c>
      <c r="J1471" s="11">
        <f t="shared" si="626"/>
        <v>150</v>
      </c>
      <c r="K1471" s="65">
        <v>43239</v>
      </c>
      <c r="W1471" s="28" t="s">
        <v>11</v>
      </c>
      <c r="X1471" s="8"/>
      <c r="Y1471" s="9"/>
      <c r="Z1471" s="10"/>
      <c r="AA1471" s="11">
        <f>SUM(X1471:Z1471)</f>
        <v>0</v>
      </c>
      <c r="AB1471" s="12">
        <v>500</v>
      </c>
      <c r="AC1471" s="9">
        <v>700</v>
      </c>
      <c r="AD1471" s="10"/>
      <c r="AE1471" s="11">
        <f>SUM(AB1471:AD1471)</f>
        <v>1200</v>
      </c>
      <c r="AF1471" s="11">
        <f>AA1471+AE1471</f>
        <v>1200</v>
      </c>
      <c r="AG1471" s="65">
        <v>43273</v>
      </c>
    </row>
    <row r="1472" spans="1:33" x14ac:dyDescent="0.15">
      <c r="A1472" s="28" t="s">
        <v>210</v>
      </c>
      <c r="B1472" s="8"/>
      <c r="C1472" s="9"/>
      <c r="D1472" s="10"/>
      <c r="E1472" s="11">
        <f t="shared" si="624"/>
        <v>0</v>
      </c>
      <c r="F1472" s="12"/>
      <c r="G1472" s="9">
        <v>2</v>
      </c>
      <c r="H1472" s="10"/>
      <c r="I1472" s="11">
        <f t="shared" si="625"/>
        <v>2</v>
      </c>
      <c r="J1472" s="11">
        <f t="shared" si="626"/>
        <v>2</v>
      </c>
      <c r="K1472" s="71">
        <v>43236</v>
      </c>
      <c r="W1472" s="28" t="s">
        <v>12</v>
      </c>
      <c r="X1472" s="8">
        <v>700</v>
      </c>
      <c r="Y1472" s="9">
        <v>500</v>
      </c>
      <c r="Z1472" s="10">
        <v>500</v>
      </c>
      <c r="AA1472" s="11">
        <f>SUM(X1472:Z1472)</f>
        <v>1700</v>
      </c>
      <c r="AB1472" s="12"/>
      <c r="AC1472" s="9"/>
      <c r="AD1472" s="10">
        <v>500</v>
      </c>
      <c r="AE1472" s="11">
        <f>SUM(AB1472:AD1472)</f>
        <v>500</v>
      </c>
      <c r="AF1472" s="11">
        <f>AA1472+AE1472</f>
        <v>2200</v>
      </c>
      <c r="AG1472" s="65">
        <v>43273</v>
      </c>
    </row>
    <row r="1473" spans="1:33" x14ac:dyDescent="0.15">
      <c r="A1473" s="28" t="s">
        <v>17</v>
      </c>
      <c r="B1473" s="13"/>
      <c r="C1473" s="14">
        <v>50</v>
      </c>
      <c r="D1473" s="15"/>
      <c r="E1473" s="11">
        <f t="shared" si="624"/>
        <v>50</v>
      </c>
      <c r="F1473" s="16"/>
      <c r="G1473" s="14"/>
      <c r="H1473" s="15"/>
      <c r="I1473" s="11">
        <f t="shared" si="625"/>
        <v>0</v>
      </c>
      <c r="J1473" s="11">
        <f t="shared" si="626"/>
        <v>50</v>
      </c>
      <c r="K1473" s="65">
        <v>43245</v>
      </c>
      <c r="W1473" s="28" t="s">
        <v>17</v>
      </c>
      <c r="X1473" s="8"/>
      <c r="Y1473" s="9"/>
      <c r="Z1473" s="10"/>
      <c r="AA1473" s="11">
        <f t="shared" si="627"/>
        <v>0</v>
      </c>
      <c r="AB1473" s="12"/>
      <c r="AC1473" s="12"/>
      <c r="AD1473" s="87"/>
      <c r="AE1473" s="11">
        <f t="shared" si="628"/>
        <v>0</v>
      </c>
      <c r="AF1473" s="11">
        <f t="shared" si="629"/>
        <v>0</v>
      </c>
      <c r="AG1473" s="65"/>
    </row>
    <row r="1474" spans="1:33" ht="14.25" thickBot="1" x14ac:dyDescent="0.2">
      <c r="A1474" s="28" t="s">
        <v>104</v>
      </c>
      <c r="B1474" s="36">
        <v>6</v>
      </c>
      <c r="C1474" s="37">
        <v>5</v>
      </c>
      <c r="D1474" s="40">
        <v>5</v>
      </c>
      <c r="E1474" s="22">
        <f t="shared" si="624"/>
        <v>16</v>
      </c>
      <c r="F1474" s="38">
        <v>4</v>
      </c>
      <c r="G1474" s="38"/>
      <c r="H1474" s="43">
        <v>3</v>
      </c>
      <c r="I1474" s="22">
        <f t="shared" si="625"/>
        <v>7</v>
      </c>
      <c r="J1474" s="22">
        <f t="shared" si="626"/>
        <v>23</v>
      </c>
      <c r="K1474" s="65">
        <v>43263</v>
      </c>
      <c r="W1474" s="28" t="s">
        <v>18</v>
      </c>
      <c r="X1474" s="127"/>
      <c r="Y1474" s="128"/>
      <c r="Z1474" s="129"/>
      <c r="AA1474" s="130">
        <f t="shared" si="627"/>
        <v>0</v>
      </c>
      <c r="AB1474" s="131"/>
      <c r="AC1474" s="131"/>
      <c r="AD1474" s="132"/>
      <c r="AE1474" s="130">
        <f t="shared" si="628"/>
        <v>0</v>
      </c>
      <c r="AF1474" s="130">
        <f t="shared" si="629"/>
        <v>0</v>
      </c>
      <c r="AG1474" s="65"/>
    </row>
    <row r="1475" spans="1:33" ht="14.25" thickBot="1" x14ac:dyDescent="0.2">
      <c r="A1475" s="39" t="s">
        <v>20</v>
      </c>
      <c r="B1475" s="32">
        <f t="shared" ref="B1475:J1475" si="630">SUM(B1466:B1474)</f>
        <v>175</v>
      </c>
      <c r="C1475" s="33">
        <f t="shared" si="630"/>
        <v>237</v>
      </c>
      <c r="D1475" s="34">
        <f t="shared" si="630"/>
        <v>163</v>
      </c>
      <c r="E1475" s="42">
        <f t="shared" si="630"/>
        <v>575</v>
      </c>
      <c r="F1475" s="32">
        <f t="shared" si="630"/>
        <v>152</v>
      </c>
      <c r="G1475" s="33">
        <f t="shared" si="630"/>
        <v>109</v>
      </c>
      <c r="H1475" s="34">
        <f t="shared" si="630"/>
        <v>122</v>
      </c>
      <c r="I1475" s="42">
        <f t="shared" si="630"/>
        <v>383</v>
      </c>
      <c r="J1475" s="42">
        <f t="shared" si="630"/>
        <v>958</v>
      </c>
      <c r="W1475" s="39" t="s">
        <v>20</v>
      </c>
      <c r="X1475" s="32">
        <f t="shared" ref="X1475:AF1475" si="631">SUM(X1466:X1474)</f>
        <v>1485</v>
      </c>
      <c r="Y1475" s="33">
        <f t="shared" si="631"/>
        <v>1600</v>
      </c>
      <c r="Z1475" s="34">
        <f t="shared" si="631"/>
        <v>1290</v>
      </c>
      <c r="AA1475" s="42">
        <f t="shared" si="631"/>
        <v>4375</v>
      </c>
      <c r="AB1475" s="32">
        <f t="shared" si="631"/>
        <v>773</v>
      </c>
      <c r="AC1475" s="33">
        <f t="shared" si="631"/>
        <v>985</v>
      </c>
      <c r="AD1475" s="34">
        <f t="shared" si="631"/>
        <v>1060</v>
      </c>
      <c r="AE1475" s="42">
        <f t="shared" si="631"/>
        <v>2818</v>
      </c>
      <c r="AF1475" s="42">
        <f t="shared" si="631"/>
        <v>7193</v>
      </c>
    </row>
    <row r="1476" spans="1:33" x14ac:dyDescent="0.15">
      <c r="A1476" s="27" t="s">
        <v>433</v>
      </c>
      <c r="B1476" s="13"/>
      <c r="C1476" s="14">
        <v>1</v>
      </c>
      <c r="D1476" s="15"/>
      <c r="E1476" s="11">
        <f>SUM(B1476:D1476)</f>
        <v>1</v>
      </c>
      <c r="F1476" s="16"/>
      <c r="G1476" s="14"/>
      <c r="H1476" s="15"/>
      <c r="I1476" s="11">
        <f t="shared" ref="I1476:I1481" si="632">SUM(F1476:H1476)</f>
        <v>0</v>
      </c>
      <c r="J1476" s="11">
        <f>E1476+I1476</f>
        <v>1</v>
      </c>
      <c r="K1476" s="65">
        <v>43217</v>
      </c>
      <c r="W1476" s="29" t="s">
        <v>662</v>
      </c>
      <c r="X1476" s="8"/>
      <c r="Y1476" s="9"/>
      <c r="Z1476" s="10">
        <v>80</v>
      </c>
      <c r="AA1476" s="11">
        <f>SUM(X1476:Z1476)</f>
        <v>80</v>
      </c>
      <c r="AB1476" s="12"/>
      <c r="AC1476" s="9">
        <v>60</v>
      </c>
      <c r="AD1476" s="10">
        <v>60</v>
      </c>
      <c r="AE1476" s="11">
        <f>SUM(AB1476:AD1476)</f>
        <v>120</v>
      </c>
      <c r="AF1476" s="11">
        <f>AA1476+AE1476</f>
        <v>200</v>
      </c>
      <c r="AG1476" s="65">
        <v>43228</v>
      </c>
    </row>
    <row r="1477" spans="1:33" x14ac:dyDescent="0.15">
      <c r="A1477" s="29" t="s">
        <v>755</v>
      </c>
      <c r="B1477" s="13"/>
      <c r="C1477" s="14"/>
      <c r="D1477" s="15">
        <v>10</v>
      </c>
      <c r="E1477" s="11">
        <f t="shared" ref="E1477:E1501" si="633">SUM(B1477:D1477)</f>
        <v>10</v>
      </c>
      <c r="F1477" s="16"/>
      <c r="G1477" s="14"/>
      <c r="H1477" s="15"/>
      <c r="I1477" s="11">
        <f t="shared" si="632"/>
        <v>0</v>
      </c>
      <c r="J1477" s="11">
        <f t="shared" ref="J1477:J1501" si="634">E1477+I1477</f>
        <v>10</v>
      </c>
      <c r="K1477" s="65">
        <v>43228</v>
      </c>
      <c r="W1477" s="29" t="s">
        <v>757</v>
      </c>
      <c r="X1477" s="8">
        <v>50</v>
      </c>
      <c r="Y1477" s="9">
        <v>50</v>
      </c>
      <c r="Z1477" s="10"/>
      <c r="AA1477" s="11">
        <f>SUM(X1477:Z1477)</f>
        <v>100</v>
      </c>
      <c r="AB1477" s="12"/>
      <c r="AC1477" s="9">
        <v>50</v>
      </c>
      <c r="AD1477" s="10"/>
      <c r="AE1477" s="11">
        <f>SUM(AB1477:AD1477)</f>
        <v>50</v>
      </c>
      <c r="AF1477" s="11">
        <f t="shared" ref="AF1477:AF1501" si="635">AA1477+AE1477</f>
        <v>150</v>
      </c>
      <c r="AG1477" s="65">
        <v>43227</v>
      </c>
    </row>
    <row r="1478" spans="1:33" x14ac:dyDescent="0.15">
      <c r="A1478" s="27" t="s">
        <v>687</v>
      </c>
      <c r="B1478" s="8"/>
      <c r="C1478" s="9">
        <v>14</v>
      </c>
      <c r="D1478" s="10"/>
      <c r="E1478" s="11">
        <f t="shared" si="633"/>
        <v>14</v>
      </c>
      <c r="F1478" s="12"/>
      <c r="G1478" s="9">
        <v>8</v>
      </c>
      <c r="H1478" s="10"/>
      <c r="I1478" s="11">
        <f t="shared" si="632"/>
        <v>8</v>
      </c>
      <c r="J1478" s="11">
        <f t="shared" si="634"/>
        <v>22</v>
      </c>
      <c r="K1478" s="65">
        <v>43222</v>
      </c>
      <c r="W1478" s="28"/>
      <c r="X1478" s="8"/>
      <c r="Y1478" s="9"/>
      <c r="Z1478" s="10"/>
      <c r="AA1478" s="11">
        <f t="shared" ref="AA1478:AA1501" si="636">SUM(X1478:Z1478)</f>
        <v>0</v>
      </c>
      <c r="AB1478" s="12"/>
      <c r="AC1478" s="9"/>
      <c r="AD1478" s="10"/>
      <c r="AE1478" s="11">
        <f t="shared" ref="AE1478:AE1501" si="637">SUM(AB1478:AD1478)</f>
        <v>0</v>
      </c>
      <c r="AF1478" s="11">
        <f t="shared" si="635"/>
        <v>0</v>
      </c>
      <c r="AG1478" s="65"/>
    </row>
    <row r="1479" spans="1:33" x14ac:dyDescent="0.15">
      <c r="A1479" s="29" t="s">
        <v>756</v>
      </c>
      <c r="B1479" s="8"/>
      <c r="C1479" s="9">
        <v>2</v>
      </c>
      <c r="D1479" s="10"/>
      <c r="E1479" s="11">
        <f t="shared" si="633"/>
        <v>2</v>
      </c>
      <c r="F1479" s="12"/>
      <c r="G1479" s="9"/>
      <c r="H1479" s="10"/>
      <c r="I1479" s="11">
        <f t="shared" si="632"/>
        <v>0</v>
      </c>
      <c r="J1479" s="11">
        <f t="shared" si="634"/>
        <v>2</v>
      </c>
      <c r="K1479" s="65">
        <v>43223</v>
      </c>
      <c r="W1479" s="29" t="s">
        <v>759</v>
      </c>
      <c r="X1479" s="8">
        <v>100</v>
      </c>
      <c r="Y1479" s="9">
        <v>250</v>
      </c>
      <c r="Z1479" s="10">
        <v>200</v>
      </c>
      <c r="AA1479" s="11">
        <f t="shared" si="636"/>
        <v>550</v>
      </c>
      <c r="AB1479" s="12">
        <v>100</v>
      </c>
      <c r="AC1479" s="9">
        <v>150</v>
      </c>
      <c r="AD1479" s="10">
        <v>0</v>
      </c>
      <c r="AE1479" s="11">
        <f t="shared" si="637"/>
        <v>250</v>
      </c>
      <c r="AF1479" s="11">
        <f t="shared" si="635"/>
        <v>800</v>
      </c>
      <c r="AG1479" s="65">
        <v>43234</v>
      </c>
    </row>
    <row r="1480" spans="1:33" x14ac:dyDescent="0.15">
      <c r="A1480" s="27" t="s">
        <v>758</v>
      </c>
      <c r="B1480" s="8">
        <v>10</v>
      </c>
      <c r="C1480" s="9">
        <v>12</v>
      </c>
      <c r="D1480" s="10"/>
      <c r="E1480" s="11">
        <f t="shared" si="633"/>
        <v>22</v>
      </c>
      <c r="F1480" s="12">
        <v>10</v>
      </c>
      <c r="G1480" s="9">
        <v>6</v>
      </c>
      <c r="H1480" s="10"/>
      <c r="I1480" s="11">
        <f t="shared" si="632"/>
        <v>16</v>
      </c>
      <c r="J1480" s="11">
        <f t="shared" si="634"/>
        <v>38</v>
      </c>
      <c r="K1480" s="65">
        <v>43223</v>
      </c>
      <c r="W1480" s="29"/>
      <c r="X1480" s="8"/>
      <c r="Y1480" s="9"/>
      <c r="Z1480" s="10"/>
      <c r="AA1480" s="11">
        <f t="shared" si="636"/>
        <v>0</v>
      </c>
      <c r="AB1480" s="12"/>
      <c r="AC1480" s="9"/>
      <c r="AD1480" s="10"/>
      <c r="AE1480" s="11">
        <f t="shared" si="637"/>
        <v>0</v>
      </c>
      <c r="AF1480" s="11">
        <f t="shared" si="635"/>
        <v>0</v>
      </c>
      <c r="AG1480" s="65"/>
    </row>
    <row r="1481" spans="1:33" x14ac:dyDescent="0.15">
      <c r="A1481" s="29" t="s">
        <v>734</v>
      </c>
      <c r="B1481" s="8">
        <v>100</v>
      </c>
      <c r="C1481" s="9">
        <v>110</v>
      </c>
      <c r="D1481" s="10">
        <v>90</v>
      </c>
      <c r="E1481" s="11">
        <f>SUM(B1481:D1481)</f>
        <v>300</v>
      </c>
      <c r="F1481" s="12">
        <v>60</v>
      </c>
      <c r="G1481" s="9">
        <v>60</v>
      </c>
      <c r="H1481" s="10">
        <v>50</v>
      </c>
      <c r="I1481" s="11">
        <f t="shared" si="632"/>
        <v>170</v>
      </c>
      <c r="J1481" s="11">
        <f>E1481+I1481</f>
        <v>470</v>
      </c>
      <c r="K1481" s="65">
        <v>43241</v>
      </c>
      <c r="W1481" s="27"/>
      <c r="X1481" s="8"/>
      <c r="Y1481" s="9"/>
      <c r="Z1481" s="10"/>
      <c r="AA1481" s="11">
        <f t="shared" si="636"/>
        <v>0</v>
      </c>
      <c r="AB1481" s="12"/>
      <c r="AC1481" s="9"/>
      <c r="AD1481" s="10"/>
      <c r="AE1481" s="11">
        <f t="shared" si="637"/>
        <v>0</v>
      </c>
      <c r="AF1481" s="11">
        <f t="shared" si="635"/>
        <v>0</v>
      </c>
      <c r="AG1481" s="64"/>
    </row>
    <row r="1482" spans="1:33" x14ac:dyDescent="0.15">
      <c r="A1482" s="27" t="s">
        <v>687</v>
      </c>
      <c r="B1482" s="8">
        <v>5</v>
      </c>
      <c r="C1482" s="9">
        <v>20</v>
      </c>
      <c r="D1482" s="10">
        <v>5</v>
      </c>
      <c r="E1482" s="11">
        <f t="shared" si="633"/>
        <v>30</v>
      </c>
      <c r="F1482" s="12">
        <v>3</v>
      </c>
      <c r="G1482" s="9">
        <v>15</v>
      </c>
      <c r="H1482" s="10">
        <v>11</v>
      </c>
      <c r="I1482" s="11">
        <f t="shared" ref="I1482:I1501" si="638">SUM(F1482:H1482)</f>
        <v>29</v>
      </c>
      <c r="J1482" s="11">
        <f t="shared" si="634"/>
        <v>59</v>
      </c>
      <c r="K1482" s="65">
        <v>43229</v>
      </c>
      <c r="W1482" s="28" t="s">
        <v>182</v>
      </c>
      <c r="X1482" s="8">
        <v>50</v>
      </c>
      <c r="Y1482" s="9">
        <v>100</v>
      </c>
      <c r="Z1482" s="10">
        <v>50</v>
      </c>
      <c r="AA1482" s="11">
        <f t="shared" si="636"/>
        <v>200</v>
      </c>
      <c r="AB1482" s="12">
        <v>50</v>
      </c>
      <c r="AC1482" s="9">
        <v>25</v>
      </c>
      <c r="AD1482" s="10">
        <v>50</v>
      </c>
      <c r="AE1482" s="11">
        <f t="shared" si="637"/>
        <v>125</v>
      </c>
      <c r="AF1482" s="11">
        <f t="shared" si="635"/>
        <v>325</v>
      </c>
      <c r="AG1482" s="65">
        <v>43239</v>
      </c>
    </row>
    <row r="1483" spans="1:33" x14ac:dyDescent="0.15">
      <c r="A1483" s="26" t="s">
        <v>760</v>
      </c>
      <c r="B1483" s="8">
        <v>10</v>
      </c>
      <c r="C1483" s="9"/>
      <c r="D1483" s="10"/>
      <c r="E1483" s="11">
        <f t="shared" si="633"/>
        <v>10</v>
      </c>
      <c r="F1483" s="12"/>
      <c r="G1483" s="9">
        <v>5</v>
      </c>
      <c r="H1483" s="10">
        <v>5</v>
      </c>
      <c r="I1483" s="11">
        <f t="shared" si="638"/>
        <v>10</v>
      </c>
      <c r="J1483" s="11">
        <f t="shared" si="634"/>
        <v>20</v>
      </c>
      <c r="K1483" s="65">
        <v>43235</v>
      </c>
      <c r="W1483" s="28" t="s">
        <v>182</v>
      </c>
      <c r="X1483" s="8">
        <v>50</v>
      </c>
      <c r="Y1483" s="9"/>
      <c r="Z1483" s="10">
        <v>50</v>
      </c>
      <c r="AA1483" s="11">
        <f t="shared" si="636"/>
        <v>100</v>
      </c>
      <c r="AB1483" s="12"/>
      <c r="AC1483" s="9"/>
      <c r="AD1483" s="10">
        <v>50</v>
      </c>
      <c r="AE1483" s="11">
        <f t="shared" si="637"/>
        <v>50</v>
      </c>
      <c r="AF1483" s="11">
        <f t="shared" si="635"/>
        <v>150</v>
      </c>
      <c r="AG1483" s="65">
        <v>43239</v>
      </c>
    </row>
    <row r="1484" spans="1:33" x14ac:dyDescent="0.15">
      <c r="A1484" s="29" t="s">
        <v>67</v>
      </c>
      <c r="B1484" s="13"/>
      <c r="C1484" s="14">
        <v>2</v>
      </c>
      <c r="D1484" s="15">
        <v>1</v>
      </c>
      <c r="E1484" s="11">
        <f t="shared" si="633"/>
        <v>3</v>
      </c>
      <c r="F1484" s="16"/>
      <c r="G1484" s="14"/>
      <c r="H1484" s="15">
        <v>1</v>
      </c>
      <c r="I1484" s="11">
        <f t="shared" si="638"/>
        <v>1</v>
      </c>
      <c r="J1484" s="11">
        <f t="shared" si="634"/>
        <v>4</v>
      </c>
      <c r="K1484" s="65">
        <v>43234</v>
      </c>
      <c r="W1484" s="27"/>
      <c r="X1484" s="8"/>
      <c r="Y1484" s="9"/>
      <c r="Z1484" s="10"/>
      <c r="AA1484" s="11">
        <f t="shared" si="636"/>
        <v>0</v>
      </c>
      <c r="AB1484" s="12"/>
      <c r="AC1484" s="9"/>
      <c r="AD1484" s="10"/>
      <c r="AE1484" s="11">
        <f t="shared" si="637"/>
        <v>0</v>
      </c>
      <c r="AF1484" s="11">
        <f t="shared" si="635"/>
        <v>0</v>
      </c>
    </row>
    <row r="1485" spans="1:33" x14ac:dyDescent="0.15">
      <c r="A1485" s="27" t="s">
        <v>761</v>
      </c>
      <c r="B1485" s="13">
        <v>12</v>
      </c>
      <c r="C1485" s="14"/>
      <c r="D1485" s="15">
        <v>10</v>
      </c>
      <c r="E1485" s="11">
        <f t="shared" si="633"/>
        <v>22</v>
      </c>
      <c r="F1485" s="16"/>
      <c r="G1485" s="14"/>
      <c r="H1485" s="15"/>
      <c r="I1485" s="11">
        <f t="shared" si="638"/>
        <v>0</v>
      </c>
      <c r="J1485" s="11">
        <f t="shared" si="634"/>
        <v>22</v>
      </c>
      <c r="K1485" s="65">
        <v>43235</v>
      </c>
      <c r="W1485" s="29" t="s">
        <v>662</v>
      </c>
      <c r="X1485" s="13">
        <v>500</v>
      </c>
      <c r="Y1485" s="14">
        <v>550</v>
      </c>
      <c r="Z1485" s="15">
        <v>320</v>
      </c>
      <c r="AA1485" s="11">
        <f t="shared" si="636"/>
        <v>1370</v>
      </c>
      <c r="AB1485" s="16">
        <v>120</v>
      </c>
      <c r="AC1485" s="14">
        <v>0</v>
      </c>
      <c r="AD1485" s="15">
        <v>100</v>
      </c>
      <c r="AE1485" s="11">
        <f t="shared" si="637"/>
        <v>220</v>
      </c>
      <c r="AF1485" s="11">
        <f t="shared" si="635"/>
        <v>1590</v>
      </c>
      <c r="AG1485" s="65">
        <v>43248</v>
      </c>
    </row>
    <row r="1486" spans="1:33" x14ac:dyDescent="0.15">
      <c r="A1486" s="29" t="s">
        <v>762</v>
      </c>
      <c r="B1486" s="8">
        <v>2</v>
      </c>
      <c r="C1486" s="9">
        <v>6</v>
      </c>
      <c r="D1486" s="10"/>
      <c r="E1486" s="11">
        <f t="shared" si="633"/>
        <v>8</v>
      </c>
      <c r="F1486" s="12">
        <v>2</v>
      </c>
      <c r="G1486" s="9"/>
      <c r="H1486" s="10">
        <v>2</v>
      </c>
      <c r="I1486" s="11">
        <f t="shared" si="638"/>
        <v>4</v>
      </c>
      <c r="J1486" s="11">
        <f t="shared" si="634"/>
        <v>12</v>
      </c>
      <c r="K1486" s="65">
        <v>43238</v>
      </c>
      <c r="W1486" s="29"/>
      <c r="X1486" s="8"/>
      <c r="Y1486" s="9"/>
      <c r="Z1486" s="10"/>
      <c r="AA1486" s="11">
        <f>SUM(X1486:Z1486)</f>
        <v>0</v>
      </c>
      <c r="AB1486" s="12"/>
      <c r="AC1486" s="9"/>
      <c r="AD1486" s="10"/>
      <c r="AE1486" s="11">
        <f t="shared" si="637"/>
        <v>0</v>
      </c>
      <c r="AF1486" s="11">
        <f t="shared" si="635"/>
        <v>0</v>
      </c>
    </row>
    <row r="1487" spans="1:33" x14ac:dyDescent="0.15">
      <c r="A1487" s="29" t="s">
        <v>662</v>
      </c>
      <c r="B1487" s="8"/>
      <c r="C1487" s="9"/>
      <c r="D1487" s="10"/>
      <c r="E1487" s="11">
        <f t="shared" si="633"/>
        <v>0</v>
      </c>
      <c r="F1487" s="12">
        <v>20</v>
      </c>
      <c r="G1487" s="9"/>
      <c r="H1487" s="10"/>
      <c r="I1487" s="11">
        <f t="shared" si="638"/>
        <v>20</v>
      </c>
      <c r="J1487" s="11">
        <f t="shared" si="634"/>
        <v>20</v>
      </c>
      <c r="K1487" s="65">
        <v>43248</v>
      </c>
      <c r="W1487" s="28" t="s">
        <v>182</v>
      </c>
      <c r="X1487" s="8"/>
      <c r="Y1487" s="9">
        <v>50</v>
      </c>
      <c r="Z1487" s="10"/>
      <c r="AA1487" s="11">
        <f t="shared" si="636"/>
        <v>50</v>
      </c>
      <c r="AB1487" s="12"/>
      <c r="AC1487" s="9"/>
      <c r="AD1487" s="10"/>
      <c r="AE1487" s="11">
        <f t="shared" si="637"/>
        <v>0</v>
      </c>
      <c r="AF1487" s="11">
        <f t="shared" si="635"/>
        <v>50</v>
      </c>
      <c r="AG1487" s="65">
        <v>43245</v>
      </c>
    </row>
    <row r="1488" spans="1:33" x14ac:dyDescent="0.15">
      <c r="A1488" s="29" t="s">
        <v>67</v>
      </c>
      <c r="B1488" s="8"/>
      <c r="C1488" s="9"/>
      <c r="D1488" s="10">
        <v>1</v>
      </c>
      <c r="E1488" s="11">
        <f t="shared" si="633"/>
        <v>1</v>
      </c>
      <c r="F1488" s="12"/>
      <c r="G1488" s="9"/>
      <c r="H1488" s="10"/>
      <c r="I1488" s="11">
        <f t="shared" si="638"/>
        <v>0</v>
      </c>
      <c r="J1488" s="11">
        <f t="shared" si="634"/>
        <v>1</v>
      </c>
      <c r="K1488" s="65">
        <v>43239</v>
      </c>
      <c r="W1488" s="27"/>
      <c r="X1488" s="8"/>
      <c r="Y1488" s="9"/>
      <c r="Z1488" s="10"/>
      <c r="AA1488" s="11">
        <f t="shared" si="636"/>
        <v>0</v>
      </c>
      <c r="AB1488" s="12"/>
      <c r="AC1488" s="9"/>
      <c r="AD1488" s="10"/>
      <c r="AE1488" s="11">
        <f t="shared" si="637"/>
        <v>0</v>
      </c>
      <c r="AF1488" s="11">
        <f t="shared" si="635"/>
        <v>0</v>
      </c>
    </row>
    <row r="1489" spans="1:33" x14ac:dyDescent="0.15">
      <c r="A1489" s="29" t="s">
        <v>687</v>
      </c>
      <c r="B1489" s="8"/>
      <c r="C1489" s="9">
        <v>4</v>
      </c>
      <c r="D1489" s="10">
        <v>2</v>
      </c>
      <c r="E1489" s="11">
        <f t="shared" si="633"/>
        <v>6</v>
      </c>
      <c r="F1489" s="12"/>
      <c r="G1489" s="9"/>
      <c r="H1489" s="10"/>
      <c r="I1489" s="11">
        <f t="shared" si="638"/>
        <v>0</v>
      </c>
      <c r="J1489" s="11">
        <f t="shared" si="634"/>
        <v>6</v>
      </c>
      <c r="K1489" s="65">
        <v>43243</v>
      </c>
      <c r="W1489" s="29"/>
      <c r="X1489" s="8"/>
      <c r="Y1489" s="9"/>
      <c r="Z1489" s="10"/>
      <c r="AA1489" s="11">
        <f t="shared" si="636"/>
        <v>0</v>
      </c>
      <c r="AB1489" s="12"/>
      <c r="AC1489" s="9"/>
      <c r="AD1489" s="10"/>
      <c r="AE1489" s="11">
        <f t="shared" si="637"/>
        <v>0</v>
      </c>
      <c r="AF1489" s="11">
        <f t="shared" si="635"/>
        <v>0</v>
      </c>
    </row>
    <row r="1490" spans="1:33" x14ac:dyDescent="0.15">
      <c r="A1490" s="29" t="s">
        <v>687</v>
      </c>
      <c r="B1490" s="8"/>
      <c r="C1490" s="9">
        <v>10</v>
      </c>
      <c r="D1490" s="10">
        <v>10</v>
      </c>
      <c r="E1490" s="11">
        <f t="shared" si="633"/>
        <v>20</v>
      </c>
      <c r="F1490" s="12"/>
      <c r="G1490" s="9"/>
      <c r="H1490" s="10"/>
      <c r="I1490" s="11">
        <f t="shared" si="638"/>
        <v>0</v>
      </c>
      <c r="J1490" s="11">
        <f t="shared" si="634"/>
        <v>20</v>
      </c>
      <c r="K1490" s="65">
        <v>43245</v>
      </c>
      <c r="W1490" s="29" t="s">
        <v>662</v>
      </c>
      <c r="X1490" s="8">
        <v>35</v>
      </c>
      <c r="Y1490" s="9">
        <v>100</v>
      </c>
      <c r="Z1490" s="10">
        <v>90</v>
      </c>
      <c r="AA1490" s="11">
        <f t="shared" si="636"/>
        <v>225</v>
      </c>
      <c r="AB1490" s="12">
        <v>3</v>
      </c>
      <c r="AC1490" s="9"/>
      <c r="AD1490" s="10">
        <v>300</v>
      </c>
      <c r="AE1490" s="11">
        <f t="shared" si="637"/>
        <v>303</v>
      </c>
      <c r="AF1490" s="11">
        <f t="shared" si="635"/>
        <v>528</v>
      </c>
      <c r="AG1490" s="65">
        <v>43269</v>
      </c>
    </row>
    <row r="1491" spans="1:33" x14ac:dyDescent="0.15">
      <c r="A1491" s="27" t="s">
        <v>763</v>
      </c>
      <c r="B1491" s="8"/>
      <c r="C1491" s="9">
        <v>10</v>
      </c>
      <c r="D1491" s="10"/>
      <c r="E1491" s="11">
        <f t="shared" si="633"/>
        <v>10</v>
      </c>
      <c r="F1491" s="12"/>
      <c r="G1491" s="9"/>
      <c r="H1491" s="10"/>
      <c r="I1491" s="11">
        <f t="shared" si="638"/>
        <v>0</v>
      </c>
      <c r="J1491" s="11">
        <f t="shared" si="634"/>
        <v>10</v>
      </c>
      <c r="K1491" s="65">
        <v>43249</v>
      </c>
      <c r="W1491" s="80"/>
      <c r="X1491" s="8"/>
      <c r="Y1491" s="9"/>
      <c r="Z1491" s="10"/>
      <c r="AA1491" s="11">
        <f t="shared" si="636"/>
        <v>0</v>
      </c>
      <c r="AB1491" s="12"/>
      <c r="AC1491" s="9"/>
      <c r="AD1491" s="10"/>
      <c r="AE1491" s="11">
        <f t="shared" si="637"/>
        <v>0</v>
      </c>
      <c r="AF1491" s="11">
        <f t="shared" si="635"/>
        <v>0</v>
      </c>
    </row>
    <row r="1492" spans="1:33" x14ac:dyDescent="0.15">
      <c r="A1492" s="29" t="s">
        <v>687</v>
      </c>
      <c r="B1492" s="8">
        <v>6</v>
      </c>
      <c r="C1492" s="9">
        <v>6</v>
      </c>
      <c r="D1492" s="10"/>
      <c r="E1492" s="11">
        <f t="shared" si="633"/>
        <v>12</v>
      </c>
      <c r="F1492" s="12">
        <v>6</v>
      </c>
      <c r="G1492" s="9"/>
      <c r="H1492" s="10">
        <v>6</v>
      </c>
      <c r="I1492" s="11">
        <f t="shared" si="638"/>
        <v>12</v>
      </c>
      <c r="J1492" s="11">
        <f t="shared" si="634"/>
        <v>24</v>
      </c>
      <c r="K1492" s="65">
        <v>43251</v>
      </c>
      <c r="W1492" s="29"/>
      <c r="X1492" s="8"/>
      <c r="Y1492" s="9"/>
      <c r="Z1492" s="10"/>
      <c r="AA1492" s="11">
        <f t="shared" si="636"/>
        <v>0</v>
      </c>
      <c r="AB1492" s="12"/>
      <c r="AC1492" s="9"/>
      <c r="AD1492" s="10"/>
      <c r="AE1492" s="11">
        <f t="shared" si="637"/>
        <v>0</v>
      </c>
      <c r="AF1492" s="11">
        <f t="shared" si="635"/>
        <v>0</v>
      </c>
    </row>
    <row r="1493" spans="1:33" x14ac:dyDescent="0.15">
      <c r="A1493" s="29" t="s">
        <v>687</v>
      </c>
      <c r="B1493" s="8"/>
      <c r="C1493" s="9"/>
      <c r="D1493" s="10"/>
      <c r="E1493" s="11">
        <f t="shared" si="633"/>
        <v>0</v>
      </c>
      <c r="F1493" s="12"/>
      <c r="G1493" s="9">
        <v>10</v>
      </c>
      <c r="H1493" s="10"/>
      <c r="I1493" s="11">
        <f t="shared" si="638"/>
        <v>10</v>
      </c>
      <c r="J1493" s="11">
        <f t="shared" si="634"/>
        <v>10</v>
      </c>
      <c r="K1493" s="65">
        <v>43256</v>
      </c>
      <c r="W1493" s="27"/>
      <c r="X1493" s="8"/>
      <c r="Y1493" s="9"/>
      <c r="Z1493" s="10"/>
      <c r="AA1493" s="11">
        <f t="shared" si="636"/>
        <v>0</v>
      </c>
      <c r="AB1493" s="12"/>
      <c r="AC1493" s="9"/>
      <c r="AD1493" s="10"/>
      <c r="AE1493" s="11">
        <f t="shared" si="637"/>
        <v>0</v>
      </c>
      <c r="AF1493" s="11">
        <f t="shared" si="635"/>
        <v>0</v>
      </c>
    </row>
    <row r="1494" spans="1:33" x14ac:dyDescent="0.15">
      <c r="A1494" s="29" t="s">
        <v>67</v>
      </c>
      <c r="B1494" s="8">
        <v>1</v>
      </c>
      <c r="C1494" s="9">
        <v>1</v>
      </c>
      <c r="D1494" s="10"/>
      <c r="E1494" s="11">
        <f t="shared" si="633"/>
        <v>2</v>
      </c>
      <c r="F1494" s="12">
        <v>1</v>
      </c>
      <c r="G1494" s="9"/>
      <c r="H1494" s="10"/>
      <c r="I1494" s="11">
        <f t="shared" si="638"/>
        <v>1</v>
      </c>
      <c r="J1494" s="11">
        <f t="shared" si="634"/>
        <v>3</v>
      </c>
      <c r="K1494" s="65">
        <v>43255</v>
      </c>
      <c r="W1494" s="26"/>
      <c r="X1494" s="8"/>
      <c r="Y1494" s="9"/>
      <c r="Z1494" s="10"/>
      <c r="AA1494" s="11">
        <f t="shared" si="636"/>
        <v>0</v>
      </c>
      <c r="AB1494" s="12"/>
      <c r="AC1494" s="9"/>
      <c r="AD1494" s="10"/>
      <c r="AE1494" s="11">
        <f t="shared" si="637"/>
        <v>0</v>
      </c>
      <c r="AF1494" s="11">
        <f t="shared" si="635"/>
        <v>0</v>
      </c>
    </row>
    <row r="1495" spans="1:33" x14ac:dyDescent="0.15">
      <c r="A1495" s="29" t="s">
        <v>687</v>
      </c>
      <c r="B1495" s="8"/>
      <c r="C1495" s="9"/>
      <c r="D1495" s="10"/>
      <c r="E1495" s="11">
        <f t="shared" si="633"/>
        <v>0</v>
      </c>
      <c r="F1495" s="12"/>
      <c r="G1495" s="9"/>
      <c r="H1495" s="10">
        <v>5</v>
      </c>
      <c r="I1495" s="11">
        <f t="shared" si="638"/>
        <v>5</v>
      </c>
      <c r="J1495" s="11">
        <f t="shared" si="634"/>
        <v>5</v>
      </c>
      <c r="K1495" s="65">
        <v>43260</v>
      </c>
      <c r="W1495" s="26"/>
      <c r="X1495" s="8"/>
      <c r="Y1495" s="9"/>
      <c r="Z1495" s="10"/>
      <c r="AA1495" s="11">
        <f t="shared" si="636"/>
        <v>0</v>
      </c>
      <c r="AB1495" s="12"/>
      <c r="AC1495" s="9"/>
      <c r="AD1495" s="10"/>
      <c r="AE1495" s="11">
        <f t="shared" si="637"/>
        <v>0</v>
      </c>
      <c r="AF1495" s="11">
        <f t="shared" si="635"/>
        <v>0</v>
      </c>
    </row>
    <row r="1496" spans="1:33" x14ac:dyDescent="0.15">
      <c r="A1496" s="29" t="s">
        <v>67</v>
      </c>
      <c r="B1496" s="8">
        <v>1</v>
      </c>
      <c r="C1496" s="9"/>
      <c r="D1496" s="10"/>
      <c r="E1496" s="11">
        <f t="shared" si="633"/>
        <v>1</v>
      </c>
      <c r="F1496" s="12"/>
      <c r="G1496" s="9"/>
      <c r="H1496" s="10"/>
      <c r="I1496" s="11">
        <f t="shared" si="638"/>
        <v>0</v>
      </c>
      <c r="J1496" s="11">
        <f t="shared" si="634"/>
        <v>1</v>
      </c>
      <c r="K1496" s="71">
        <v>43262</v>
      </c>
      <c r="W1496" s="27"/>
      <c r="X1496" s="8"/>
      <c r="Y1496" s="9"/>
      <c r="Z1496" s="10"/>
      <c r="AA1496" s="11">
        <f t="shared" si="636"/>
        <v>0</v>
      </c>
      <c r="AB1496" s="12"/>
      <c r="AC1496" s="9"/>
      <c r="AD1496" s="10"/>
      <c r="AE1496" s="11">
        <f t="shared" si="637"/>
        <v>0</v>
      </c>
      <c r="AF1496" s="11">
        <f t="shared" si="635"/>
        <v>0</v>
      </c>
    </row>
    <row r="1497" spans="1:33" x14ac:dyDescent="0.15">
      <c r="A1497" s="29"/>
      <c r="B1497" s="13"/>
      <c r="C1497" s="14"/>
      <c r="D1497" s="15"/>
      <c r="E1497" s="11">
        <f t="shared" si="633"/>
        <v>0</v>
      </c>
      <c r="F1497" s="16"/>
      <c r="G1497" s="14"/>
      <c r="H1497" s="15"/>
      <c r="I1497" s="11">
        <f t="shared" si="638"/>
        <v>0</v>
      </c>
      <c r="J1497" s="11">
        <f t="shared" si="634"/>
        <v>0</v>
      </c>
      <c r="W1497" s="27"/>
      <c r="X1497" s="13"/>
      <c r="Y1497" s="14"/>
      <c r="Z1497" s="15"/>
      <c r="AA1497" s="11">
        <f t="shared" si="636"/>
        <v>0</v>
      </c>
      <c r="AB1497" s="16"/>
      <c r="AC1497" s="14"/>
      <c r="AD1497" s="15"/>
      <c r="AE1497" s="11">
        <f t="shared" si="637"/>
        <v>0</v>
      </c>
      <c r="AF1497" s="11">
        <f t="shared" si="635"/>
        <v>0</v>
      </c>
    </row>
    <row r="1498" spans="1:33" x14ac:dyDescent="0.15">
      <c r="A1498" s="29" t="s">
        <v>766</v>
      </c>
      <c r="B1498" s="8">
        <v>25</v>
      </c>
      <c r="C1498" s="9">
        <v>30</v>
      </c>
      <c r="D1498" s="10">
        <v>25</v>
      </c>
      <c r="E1498" s="11">
        <f t="shared" si="633"/>
        <v>80</v>
      </c>
      <c r="F1498" s="12">
        <v>50</v>
      </c>
      <c r="G1498" s="9">
        <v>5</v>
      </c>
      <c r="H1498" s="10"/>
      <c r="I1498" s="11">
        <f t="shared" si="638"/>
        <v>55</v>
      </c>
      <c r="J1498" s="11">
        <f t="shared" si="634"/>
        <v>135</v>
      </c>
      <c r="K1498" s="65">
        <v>43269</v>
      </c>
      <c r="W1498" s="86"/>
      <c r="X1498" s="13"/>
      <c r="Y1498" s="14"/>
      <c r="Z1498" s="15"/>
      <c r="AA1498" s="11">
        <f t="shared" si="636"/>
        <v>0</v>
      </c>
      <c r="AB1498" s="16"/>
      <c r="AC1498" s="14"/>
      <c r="AD1498" s="15"/>
      <c r="AE1498" s="11">
        <f t="shared" si="637"/>
        <v>0</v>
      </c>
      <c r="AF1498" s="11">
        <f t="shared" si="635"/>
        <v>0</v>
      </c>
    </row>
    <row r="1499" spans="1:33" x14ac:dyDescent="0.15">
      <c r="A1499" s="29" t="s">
        <v>767</v>
      </c>
      <c r="B1499" s="8">
        <v>-3</v>
      </c>
      <c r="C1499" s="9"/>
      <c r="D1499" s="10">
        <v>7</v>
      </c>
      <c r="E1499" s="11">
        <f t="shared" si="633"/>
        <v>4</v>
      </c>
      <c r="F1499" s="12"/>
      <c r="G1499" s="9"/>
      <c r="H1499" s="10"/>
      <c r="I1499" s="11">
        <f t="shared" si="638"/>
        <v>0</v>
      </c>
      <c r="J1499" s="11">
        <f t="shared" si="634"/>
        <v>4</v>
      </c>
      <c r="K1499" s="71">
        <v>43265</v>
      </c>
      <c r="W1499" s="86"/>
      <c r="X1499" s="13"/>
      <c r="Y1499" s="14"/>
      <c r="Z1499" s="15"/>
      <c r="AA1499" s="11">
        <f t="shared" si="636"/>
        <v>0</v>
      </c>
      <c r="AB1499" s="16"/>
      <c r="AC1499" s="14"/>
      <c r="AD1499" s="15"/>
      <c r="AE1499" s="11">
        <f t="shared" si="637"/>
        <v>0</v>
      </c>
      <c r="AF1499" s="11">
        <f t="shared" si="635"/>
        <v>0</v>
      </c>
    </row>
    <row r="1500" spans="1:33" x14ac:dyDescent="0.15">
      <c r="A1500" s="29" t="s">
        <v>687</v>
      </c>
      <c r="B1500" s="8"/>
      <c r="C1500" s="9">
        <v>6</v>
      </c>
      <c r="D1500" s="10">
        <v>2</v>
      </c>
      <c r="E1500" s="11">
        <f t="shared" si="633"/>
        <v>8</v>
      </c>
      <c r="F1500" s="12"/>
      <c r="G1500" s="9"/>
      <c r="H1500" s="10">
        <v>4</v>
      </c>
      <c r="I1500" s="11">
        <f t="shared" si="638"/>
        <v>4</v>
      </c>
      <c r="J1500" s="11">
        <f t="shared" si="634"/>
        <v>12</v>
      </c>
      <c r="K1500" s="65">
        <v>43271</v>
      </c>
      <c r="W1500" s="86"/>
      <c r="X1500" s="13"/>
      <c r="Y1500" s="14"/>
      <c r="Z1500" s="15"/>
      <c r="AA1500" s="11">
        <f t="shared" si="636"/>
        <v>0</v>
      </c>
      <c r="AB1500" s="16"/>
      <c r="AC1500" s="14"/>
      <c r="AD1500" s="15"/>
      <c r="AE1500" s="11">
        <f t="shared" si="637"/>
        <v>0</v>
      </c>
      <c r="AF1500" s="11">
        <f t="shared" si="635"/>
        <v>0</v>
      </c>
      <c r="AG1500" s="64"/>
    </row>
    <row r="1501" spans="1:33" ht="14.25" thickBot="1" x14ac:dyDescent="0.2">
      <c r="A1501" s="29" t="s">
        <v>770</v>
      </c>
      <c r="B1501" s="8">
        <v>4</v>
      </c>
      <c r="C1501" s="9"/>
      <c r="D1501" s="10"/>
      <c r="E1501" s="11">
        <f t="shared" si="633"/>
        <v>4</v>
      </c>
      <c r="F1501" s="12"/>
      <c r="G1501" s="9"/>
      <c r="H1501" s="10"/>
      <c r="I1501" s="11">
        <f t="shared" si="638"/>
        <v>0</v>
      </c>
      <c r="J1501" s="11">
        <f t="shared" si="634"/>
        <v>4</v>
      </c>
      <c r="K1501" s="65">
        <v>43274</v>
      </c>
      <c r="W1501" s="29"/>
      <c r="X1501" s="13"/>
      <c r="Y1501" s="14"/>
      <c r="Z1501" s="15"/>
      <c r="AA1501" s="11">
        <f t="shared" si="636"/>
        <v>0</v>
      </c>
      <c r="AB1501" s="16"/>
      <c r="AC1501" s="14"/>
      <c r="AD1501" s="15"/>
      <c r="AE1501" s="11">
        <f t="shared" si="637"/>
        <v>0</v>
      </c>
      <c r="AF1501" s="11">
        <f t="shared" si="635"/>
        <v>0</v>
      </c>
      <c r="AG1501" s="65"/>
    </row>
    <row r="1502" spans="1:33" ht="14.25" thickBot="1" x14ac:dyDescent="0.2">
      <c r="A1502" s="44" t="s">
        <v>13</v>
      </c>
      <c r="B1502" s="48">
        <f t="shared" ref="B1502:I1502" si="639">SUM(B1476:B1501)</f>
        <v>173</v>
      </c>
      <c r="C1502" s="49">
        <f t="shared" si="639"/>
        <v>234</v>
      </c>
      <c r="D1502" s="50">
        <f t="shared" si="639"/>
        <v>163</v>
      </c>
      <c r="E1502" s="46">
        <f t="shared" si="639"/>
        <v>570</v>
      </c>
      <c r="F1502" s="48">
        <f t="shared" si="639"/>
        <v>152</v>
      </c>
      <c r="G1502" s="49">
        <f t="shared" si="639"/>
        <v>109</v>
      </c>
      <c r="H1502" s="50">
        <f t="shared" si="639"/>
        <v>84</v>
      </c>
      <c r="I1502" s="46">
        <f t="shared" si="639"/>
        <v>345</v>
      </c>
      <c r="J1502" s="35">
        <f>E1502+I1502</f>
        <v>915</v>
      </c>
      <c r="W1502" s="44" t="s">
        <v>13</v>
      </c>
      <c r="X1502" s="48">
        <f t="shared" ref="X1502:AE1502" si="640">SUM(X1476:X1501)</f>
        <v>785</v>
      </c>
      <c r="Y1502" s="49">
        <f t="shared" si="640"/>
        <v>1100</v>
      </c>
      <c r="Z1502" s="50">
        <f t="shared" si="640"/>
        <v>790</v>
      </c>
      <c r="AA1502" s="46">
        <f t="shared" si="640"/>
        <v>2675</v>
      </c>
      <c r="AB1502" s="48">
        <f t="shared" si="640"/>
        <v>273</v>
      </c>
      <c r="AC1502" s="49">
        <f t="shared" si="640"/>
        <v>285</v>
      </c>
      <c r="AD1502" s="50">
        <f t="shared" si="640"/>
        <v>560</v>
      </c>
      <c r="AE1502" s="46">
        <f t="shared" si="640"/>
        <v>1118</v>
      </c>
      <c r="AF1502" s="35">
        <f>AA1502+AE1502</f>
        <v>3793</v>
      </c>
    </row>
    <row r="1503" spans="1:33" ht="14.25" thickBot="1" x14ac:dyDescent="0.2">
      <c r="A1503" s="23" t="s">
        <v>14</v>
      </c>
      <c r="B1503" s="24">
        <f t="shared" ref="B1503:J1503" si="641">B1475-B1502</f>
        <v>2</v>
      </c>
      <c r="C1503" s="25">
        <f t="shared" si="641"/>
        <v>3</v>
      </c>
      <c r="D1503" s="30">
        <f t="shared" si="641"/>
        <v>0</v>
      </c>
      <c r="E1503" s="51">
        <f t="shared" si="641"/>
        <v>5</v>
      </c>
      <c r="F1503" s="24">
        <f t="shared" si="641"/>
        <v>0</v>
      </c>
      <c r="G1503" s="25">
        <f t="shared" si="641"/>
        <v>0</v>
      </c>
      <c r="H1503" s="30">
        <f t="shared" si="641"/>
        <v>38</v>
      </c>
      <c r="I1503" s="47">
        <f t="shared" si="641"/>
        <v>38</v>
      </c>
      <c r="J1503" s="79">
        <f t="shared" si="641"/>
        <v>43</v>
      </c>
      <c r="W1503" s="23" t="s">
        <v>14</v>
      </c>
      <c r="X1503" s="24">
        <f t="shared" ref="X1503:AF1503" si="642">X1475-X1502</f>
        <v>700</v>
      </c>
      <c r="Y1503" s="25">
        <f t="shared" si="642"/>
        <v>500</v>
      </c>
      <c r="Z1503" s="30">
        <f t="shared" si="642"/>
        <v>500</v>
      </c>
      <c r="AA1503" s="51">
        <f t="shared" si="642"/>
        <v>1700</v>
      </c>
      <c r="AB1503" s="24">
        <f t="shared" si="642"/>
        <v>500</v>
      </c>
      <c r="AC1503" s="25">
        <f t="shared" si="642"/>
        <v>700</v>
      </c>
      <c r="AD1503" s="30">
        <f t="shared" si="642"/>
        <v>500</v>
      </c>
      <c r="AE1503" s="47">
        <f t="shared" si="642"/>
        <v>1700</v>
      </c>
      <c r="AF1503" s="79">
        <f t="shared" si="642"/>
        <v>3400</v>
      </c>
    </row>
    <row r="1506" spans="1:33" ht="19.5" thickBot="1" x14ac:dyDescent="0.25">
      <c r="A1506" s="93" t="s">
        <v>21</v>
      </c>
      <c r="B1506" s="94"/>
      <c r="C1506" s="94"/>
      <c r="D1506" s="94"/>
      <c r="E1506" s="94"/>
      <c r="F1506" s="1"/>
      <c r="G1506" s="1"/>
      <c r="H1506" s="1"/>
      <c r="I1506" s="1"/>
      <c r="J1506" s="1"/>
      <c r="W1506" s="93" t="s">
        <v>136</v>
      </c>
      <c r="X1506" s="94"/>
      <c r="Y1506" s="94"/>
      <c r="Z1506" s="94"/>
      <c r="AA1506" s="106" t="s">
        <v>299</v>
      </c>
      <c r="AB1506" s="1"/>
      <c r="AC1506" s="1"/>
      <c r="AD1506" s="1"/>
      <c r="AE1506" s="1"/>
      <c r="AF1506" s="1"/>
    </row>
    <row r="1507" spans="1:33" ht="14.25" thickBot="1" x14ac:dyDescent="0.2">
      <c r="A1507" s="7" t="s">
        <v>0</v>
      </c>
      <c r="B1507" s="168" t="s">
        <v>1</v>
      </c>
      <c r="C1507" s="169"/>
      <c r="D1507" s="169"/>
      <c r="E1507" s="170"/>
      <c r="F1507" s="168" t="s">
        <v>2</v>
      </c>
      <c r="G1507" s="169"/>
      <c r="H1507" s="169"/>
      <c r="I1507" s="171"/>
      <c r="J1507" s="172" t="s">
        <v>3</v>
      </c>
      <c r="W1507" s="7" t="s">
        <v>0</v>
      </c>
      <c r="X1507" s="174" t="s">
        <v>1</v>
      </c>
      <c r="Y1507" s="175"/>
      <c r="Z1507" s="176"/>
      <c r="AA1507" s="101"/>
      <c r="AB1507" s="174" t="s">
        <v>2</v>
      </c>
      <c r="AC1507" s="175"/>
      <c r="AD1507" s="176"/>
      <c r="AE1507" s="102"/>
      <c r="AF1507" s="103" t="s">
        <v>3</v>
      </c>
    </row>
    <row r="1508" spans="1:33" ht="14.25" thickBot="1" x14ac:dyDescent="0.2">
      <c r="A1508" s="7" t="s">
        <v>4</v>
      </c>
      <c r="B1508" s="3" t="s">
        <v>5</v>
      </c>
      <c r="C1508" s="4" t="s">
        <v>6</v>
      </c>
      <c r="D1508" s="5" t="s">
        <v>7</v>
      </c>
      <c r="E1508" s="7" t="s">
        <v>8</v>
      </c>
      <c r="F1508" s="3" t="s">
        <v>5</v>
      </c>
      <c r="G1508" s="4" t="s">
        <v>6</v>
      </c>
      <c r="H1508" s="5" t="s">
        <v>7</v>
      </c>
      <c r="I1508" s="7" t="s">
        <v>8</v>
      </c>
      <c r="J1508" s="173"/>
      <c r="W1508" s="7" t="s">
        <v>4</v>
      </c>
      <c r="X1508" s="3" t="s">
        <v>5</v>
      </c>
      <c r="Y1508" s="4" t="s">
        <v>6</v>
      </c>
      <c r="Z1508" s="5" t="s">
        <v>7</v>
      </c>
      <c r="AA1508" s="7" t="s">
        <v>8</v>
      </c>
      <c r="AB1508" s="107" t="s">
        <v>5</v>
      </c>
      <c r="AC1508" s="108" t="s">
        <v>6</v>
      </c>
      <c r="AD1508" s="109" t="s">
        <v>7</v>
      </c>
      <c r="AE1508" s="7" t="s">
        <v>8</v>
      </c>
      <c r="AF1508" s="104"/>
    </row>
    <row r="1509" spans="1:33" ht="14.25" thickBot="1" x14ac:dyDescent="0.2">
      <c r="A1509" s="31" t="s">
        <v>14</v>
      </c>
      <c r="B1509" s="32">
        <f>B1503</f>
        <v>2</v>
      </c>
      <c r="C1509" s="33">
        <f>C1503</f>
        <v>3</v>
      </c>
      <c r="D1509" s="34">
        <f>D1503</f>
        <v>0</v>
      </c>
      <c r="E1509" s="41">
        <f>SUM(B1509:D1509)</f>
        <v>5</v>
      </c>
      <c r="F1509" s="32">
        <f>F1503</f>
        <v>0</v>
      </c>
      <c r="G1509" s="33">
        <f>G1503</f>
        <v>0</v>
      </c>
      <c r="H1509" s="34">
        <f>H1503</f>
        <v>38</v>
      </c>
      <c r="I1509" s="41">
        <f>SUM(F1509:H1509)</f>
        <v>38</v>
      </c>
      <c r="J1509" s="41">
        <f>E1509+I1509</f>
        <v>43</v>
      </c>
      <c r="W1509" s="31" t="s">
        <v>14</v>
      </c>
      <c r="X1509" s="32">
        <f>X1503</f>
        <v>700</v>
      </c>
      <c r="Y1509" s="33">
        <f>Y1503</f>
        <v>500</v>
      </c>
      <c r="Z1509" s="33">
        <f>Z1503</f>
        <v>500</v>
      </c>
      <c r="AA1509" s="111">
        <f>SUM(X1509:Z1509)</f>
        <v>1700</v>
      </c>
      <c r="AB1509" s="32">
        <f>AB1503</f>
        <v>500</v>
      </c>
      <c r="AC1509" s="33">
        <f>AC1503</f>
        <v>700</v>
      </c>
      <c r="AD1509" s="95">
        <f>AD1503</f>
        <v>500</v>
      </c>
      <c r="AE1509" s="46">
        <f>SUM(AB1509:AD1509)</f>
        <v>1700</v>
      </c>
      <c r="AF1509" s="35">
        <f>AA1509+AE1509</f>
        <v>3400</v>
      </c>
    </row>
    <row r="1510" spans="1:33" x14ac:dyDescent="0.15">
      <c r="A1510" s="28" t="s">
        <v>9</v>
      </c>
      <c r="B1510" s="17">
        <v>50</v>
      </c>
      <c r="C1510" s="18">
        <v>50</v>
      </c>
      <c r="D1510" s="19">
        <v>50</v>
      </c>
      <c r="E1510" s="20">
        <f t="shared" ref="E1510:E1517" si="643">SUM(B1510:D1510)</f>
        <v>150</v>
      </c>
      <c r="F1510" s="21">
        <v>50</v>
      </c>
      <c r="G1510" s="18">
        <v>50</v>
      </c>
      <c r="H1510" s="19"/>
      <c r="I1510" s="20">
        <f t="shared" ref="I1510:I1517" si="644">SUM(F1510:H1510)</f>
        <v>100</v>
      </c>
      <c r="J1510" s="20">
        <f t="shared" ref="J1510:J1517" si="645">E1510+I1510</f>
        <v>250</v>
      </c>
      <c r="K1510" s="65">
        <v>43276</v>
      </c>
      <c r="W1510" s="28" t="s">
        <v>9</v>
      </c>
      <c r="X1510" s="8"/>
      <c r="Y1510" s="9"/>
      <c r="Z1510" s="10"/>
      <c r="AA1510" s="78">
        <f t="shared" ref="AA1510:AA1517" si="646">SUM(X1510:Z1510)</f>
        <v>0</v>
      </c>
      <c r="AB1510" s="21"/>
      <c r="AC1510" s="18"/>
      <c r="AD1510" s="19"/>
      <c r="AE1510" s="78">
        <f t="shared" ref="AE1510:AE1517" si="647">SUM(AB1510:AD1510)</f>
        <v>0</v>
      </c>
      <c r="AF1510" s="78">
        <f t="shared" ref="AF1510:AF1517" si="648">AA1510+AE1510</f>
        <v>0</v>
      </c>
    </row>
    <row r="1511" spans="1:33" x14ac:dyDescent="0.15">
      <c r="A1511" s="28" t="s">
        <v>104</v>
      </c>
      <c r="B1511" s="8"/>
      <c r="C1511" s="9">
        <v>1</v>
      </c>
      <c r="D1511" s="10">
        <v>5</v>
      </c>
      <c r="E1511" s="11">
        <f t="shared" si="643"/>
        <v>6</v>
      </c>
      <c r="F1511" s="12">
        <v>1</v>
      </c>
      <c r="G1511" s="9"/>
      <c r="H1511" s="10"/>
      <c r="I1511" s="11">
        <f t="shared" si="644"/>
        <v>1</v>
      </c>
      <c r="J1511" s="11">
        <f t="shared" si="645"/>
        <v>7</v>
      </c>
      <c r="K1511" s="71">
        <v>43290</v>
      </c>
      <c r="W1511" s="28" t="s">
        <v>10</v>
      </c>
      <c r="X1511" s="8"/>
      <c r="Y1511" s="9"/>
      <c r="Z1511" s="10"/>
      <c r="AA1511" s="11">
        <f t="shared" si="646"/>
        <v>0</v>
      </c>
      <c r="AB1511" s="12"/>
      <c r="AC1511" s="9"/>
      <c r="AD1511" s="10"/>
      <c r="AE1511" s="11">
        <f t="shared" si="647"/>
        <v>0</v>
      </c>
      <c r="AF1511" s="11">
        <f t="shared" si="648"/>
        <v>0</v>
      </c>
    </row>
    <row r="1512" spans="1:33" x14ac:dyDescent="0.15">
      <c r="A1512" s="28" t="s">
        <v>11</v>
      </c>
      <c r="B1512" s="8"/>
      <c r="C1512" s="9"/>
      <c r="D1512" s="10"/>
      <c r="E1512" s="11">
        <f t="shared" si="643"/>
        <v>0</v>
      </c>
      <c r="F1512" s="12"/>
      <c r="G1512" s="9"/>
      <c r="H1512" s="10"/>
      <c r="I1512" s="11">
        <f t="shared" si="644"/>
        <v>0</v>
      </c>
      <c r="J1512" s="11">
        <f t="shared" si="645"/>
        <v>0</v>
      </c>
      <c r="L1512" s="126"/>
      <c r="W1512" s="28" t="s">
        <v>11</v>
      </c>
      <c r="X1512" s="8"/>
      <c r="Y1512" s="9"/>
      <c r="Z1512" s="10"/>
      <c r="AA1512" s="11">
        <f t="shared" si="646"/>
        <v>0</v>
      </c>
      <c r="AB1512" s="12"/>
      <c r="AC1512" s="9"/>
      <c r="AD1512" s="10"/>
      <c r="AE1512" s="11">
        <f t="shared" si="647"/>
        <v>0</v>
      </c>
      <c r="AF1512" s="11">
        <f t="shared" si="648"/>
        <v>0</v>
      </c>
      <c r="AG1512" s="65"/>
    </row>
    <row r="1513" spans="1:33" x14ac:dyDescent="0.15">
      <c r="A1513" s="28" t="s">
        <v>12</v>
      </c>
      <c r="B1513" s="8"/>
      <c r="C1513" s="9"/>
      <c r="D1513" s="10"/>
      <c r="E1513" s="11">
        <f t="shared" si="643"/>
        <v>0</v>
      </c>
      <c r="F1513" s="12"/>
      <c r="G1513" s="9"/>
      <c r="H1513" s="10"/>
      <c r="I1513" s="11">
        <f t="shared" si="644"/>
        <v>0</v>
      </c>
      <c r="J1513" s="11">
        <f t="shared" si="645"/>
        <v>0</v>
      </c>
      <c r="W1513" s="28" t="s">
        <v>12</v>
      </c>
      <c r="X1513" s="8"/>
      <c r="Y1513" s="9"/>
      <c r="Z1513" s="10"/>
      <c r="AA1513" s="11">
        <f t="shared" si="646"/>
        <v>0</v>
      </c>
      <c r="AB1513" s="12"/>
      <c r="AC1513" s="9"/>
      <c r="AD1513" s="10"/>
      <c r="AE1513" s="11">
        <f t="shared" si="647"/>
        <v>0</v>
      </c>
      <c r="AF1513" s="11">
        <f t="shared" si="648"/>
        <v>0</v>
      </c>
      <c r="AG1513" s="65"/>
    </row>
    <row r="1514" spans="1:33" x14ac:dyDescent="0.15">
      <c r="A1514" s="28" t="s">
        <v>15</v>
      </c>
      <c r="B1514" s="8"/>
      <c r="C1514" s="9"/>
      <c r="D1514" s="10"/>
      <c r="E1514" s="11">
        <f t="shared" si="643"/>
        <v>0</v>
      </c>
      <c r="F1514" s="12"/>
      <c r="G1514" s="9"/>
      <c r="H1514" s="10"/>
      <c r="I1514" s="11">
        <f t="shared" si="644"/>
        <v>0</v>
      </c>
      <c r="J1514" s="11">
        <f t="shared" si="645"/>
        <v>0</v>
      </c>
      <c r="W1514" s="28" t="s">
        <v>15</v>
      </c>
      <c r="X1514" s="8"/>
      <c r="Y1514" s="9"/>
      <c r="Z1514" s="10"/>
      <c r="AA1514" s="11">
        <f t="shared" si="646"/>
        <v>0</v>
      </c>
      <c r="AB1514" s="12"/>
      <c r="AC1514" s="9"/>
      <c r="AD1514" s="10"/>
      <c r="AE1514" s="11">
        <f t="shared" si="647"/>
        <v>0</v>
      </c>
      <c r="AF1514" s="11">
        <f t="shared" si="648"/>
        <v>0</v>
      </c>
    </row>
    <row r="1515" spans="1:33" x14ac:dyDescent="0.15">
      <c r="A1515" s="28" t="s">
        <v>16</v>
      </c>
      <c r="B1515" s="8"/>
      <c r="C1515" s="9"/>
      <c r="D1515" s="10"/>
      <c r="E1515" s="11">
        <f t="shared" si="643"/>
        <v>0</v>
      </c>
      <c r="F1515" s="12"/>
      <c r="G1515" s="9"/>
      <c r="H1515" s="10"/>
      <c r="I1515" s="11">
        <f t="shared" si="644"/>
        <v>0</v>
      </c>
      <c r="J1515" s="11">
        <f t="shared" si="645"/>
        <v>0</v>
      </c>
      <c r="W1515" s="28" t="s">
        <v>16</v>
      </c>
      <c r="X1515" s="8"/>
      <c r="Y1515" s="9"/>
      <c r="Z1515" s="10"/>
      <c r="AA1515" s="11">
        <f t="shared" si="646"/>
        <v>0</v>
      </c>
      <c r="AB1515" s="12"/>
      <c r="AC1515" s="9"/>
      <c r="AD1515" s="10"/>
      <c r="AE1515" s="11">
        <f t="shared" si="647"/>
        <v>0</v>
      </c>
      <c r="AF1515" s="11">
        <f t="shared" si="648"/>
        <v>0</v>
      </c>
    </row>
    <row r="1516" spans="1:33" x14ac:dyDescent="0.15">
      <c r="A1516" s="28" t="s">
        <v>17</v>
      </c>
      <c r="B1516" s="13"/>
      <c r="C1516" s="14"/>
      <c r="D1516" s="15"/>
      <c r="E1516" s="11">
        <f t="shared" si="643"/>
        <v>0</v>
      </c>
      <c r="F1516" s="16"/>
      <c r="G1516" s="14"/>
      <c r="H1516" s="15"/>
      <c r="I1516" s="11">
        <f t="shared" si="644"/>
        <v>0</v>
      </c>
      <c r="J1516" s="11">
        <f t="shared" si="645"/>
        <v>0</v>
      </c>
      <c r="W1516" s="28" t="s">
        <v>17</v>
      </c>
      <c r="X1516" s="8"/>
      <c r="Y1516" s="9"/>
      <c r="Z1516" s="10"/>
      <c r="AA1516" s="11">
        <f t="shared" si="646"/>
        <v>0</v>
      </c>
      <c r="AB1516" s="12"/>
      <c r="AC1516" s="12"/>
      <c r="AD1516" s="87"/>
      <c r="AE1516" s="11">
        <f t="shared" si="647"/>
        <v>0</v>
      </c>
      <c r="AF1516" s="11">
        <f t="shared" si="648"/>
        <v>0</v>
      </c>
    </row>
    <row r="1517" spans="1:33" ht="14.25" thickBot="1" x14ac:dyDescent="0.2">
      <c r="A1517" s="28" t="s">
        <v>18</v>
      </c>
      <c r="B1517" s="36"/>
      <c r="C1517" s="37"/>
      <c r="D1517" s="40"/>
      <c r="E1517" s="22">
        <f t="shared" si="643"/>
        <v>0</v>
      </c>
      <c r="F1517" s="38"/>
      <c r="G1517" s="38"/>
      <c r="H1517" s="43"/>
      <c r="I1517" s="22">
        <f t="shared" si="644"/>
        <v>0</v>
      </c>
      <c r="J1517" s="22">
        <f t="shared" si="645"/>
        <v>0</v>
      </c>
      <c r="W1517" s="28" t="s">
        <v>18</v>
      </c>
      <c r="X1517" s="127"/>
      <c r="Y1517" s="128"/>
      <c r="Z1517" s="129"/>
      <c r="AA1517" s="130">
        <f t="shared" si="646"/>
        <v>0</v>
      </c>
      <c r="AB1517" s="131"/>
      <c r="AC1517" s="131"/>
      <c r="AD1517" s="132"/>
      <c r="AE1517" s="130">
        <f t="shared" si="647"/>
        <v>0</v>
      </c>
      <c r="AF1517" s="130">
        <f t="shared" si="648"/>
        <v>0</v>
      </c>
    </row>
    <row r="1518" spans="1:33" ht="14.25" thickBot="1" x14ac:dyDescent="0.2">
      <c r="A1518" s="39" t="s">
        <v>20</v>
      </c>
      <c r="B1518" s="32">
        <f t="shared" ref="B1518:J1518" si="649">SUM(B1509:B1517)</f>
        <v>52</v>
      </c>
      <c r="C1518" s="33">
        <f t="shared" si="649"/>
        <v>54</v>
      </c>
      <c r="D1518" s="34">
        <f t="shared" si="649"/>
        <v>55</v>
      </c>
      <c r="E1518" s="42">
        <f t="shared" si="649"/>
        <v>161</v>
      </c>
      <c r="F1518" s="32">
        <f t="shared" si="649"/>
        <v>51</v>
      </c>
      <c r="G1518" s="33">
        <f t="shared" si="649"/>
        <v>50</v>
      </c>
      <c r="H1518" s="34">
        <f t="shared" si="649"/>
        <v>38</v>
      </c>
      <c r="I1518" s="42">
        <f t="shared" si="649"/>
        <v>139</v>
      </c>
      <c r="J1518" s="42">
        <f t="shared" si="649"/>
        <v>300</v>
      </c>
      <c r="W1518" s="39" t="s">
        <v>20</v>
      </c>
      <c r="X1518" s="32">
        <f t="shared" ref="X1518:AF1518" si="650">SUM(X1509:X1517)</f>
        <v>700</v>
      </c>
      <c r="Y1518" s="33">
        <f t="shared" si="650"/>
        <v>500</v>
      </c>
      <c r="Z1518" s="34">
        <f t="shared" si="650"/>
        <v>500</v>
      </c>
      <c r="AA1518" s="42">
        <f t="shared" si="650"/>
        <v>1700</v>
      </c>
      <c r="AB1518" s="32">
        <f t="shared" si="650"/>
        <v>500</v>
      </c>
      <c r="AC1518" s="33">
        <f t="shared" si="650"/>
        <v>700</v>
      </c>
      <c r="AD1518" s="34">
        <f t="shared" si="650"/>
        <v>500</v>
      </c>
      <c r="AE1518" s="42">
        <f t="shared" si="650"/>
        <v>1700</v>
      </c>
      <c r="AF1518" s="42">
        <f t="shared" si="650"/>
        <v>3400</v>
      </c>
    </row>
    <row r="1519" spans="1:33" x14ac:dyDescent="0.15">
      <c r="A1519" s="27" t="s">
        <v>769</v>
      </c>
      <c r="B1519" s="13"/>
      <c r="C1519" s="14"/>
      <c r="D1519" s="15"/>
      <c r="E1519" s="11">
        <f>SUM(B1519:D1519)</f>
        <v>0</v>
      </c>
      <c r="F1519" s="16">
        <v>4</v>
      </c>
      <c r="G1519" s="14">
        <v>16</v>
      </c>
      <c r="H1519" s="15"/>
      <c r="I1519" s="11">
        <f>SUM(F1519:H1519)</f>
        <v>20</v>
      </c>
      <c r="J1519" s="11">
        <f>E1519+I1519</f>
        <v>20</v>
      </c>
      <c r="K1519" s="65">
        <v>43277</v>
      </c>
      <c r="W1519" s="29" t="s">
        <v>768</v>
      </c>
      <c r="X1519" s="8">
        <v>50</v>
      </c>
      <c r="Y1519" s="9">
        <v>50</v>
      </c>
      <c r="Z1519" s="10">
        <v>50</v>
      </c>
      <c r="AA1519" s="11">
        <f>SUM(X1519:Z1519)</f>
        <v>150</v>
      </c>
      <c r="AB1519" s="12">
        <v>50</v>
      </c>
      <c r="AC1519" s="9">
        <v>50</v>
      </c>
      <c r="AD1519" s="10"/>
      <c r="AE1519" s="11">
        <f>SUM(AB1519:AD1519)</f>
        <v>100</v>
      </c>
      <c r="AF1519" s="11">
        <f t="shared" ref="AF1519:AF1544" si="651">AA1519+AE1519</f>
        <v>250</v>
      </c>
      <c r="AG1519" s="65">
        <v>43276</v>
      </c>
    </row>
    <row r="1520" spans="1:33" x14ac:dyDescent="0.15">
      <c r="A1520" s="27" t="s">
        <v>687</v>
      </c>
      <c r="B1520" s="13"/>
      <c r="C1520" s="14"/>
      <c r="D1520" s="15"/>
      <c r="E1520" s="11">
        <f t="shared" ref="E1520:E1544" si="652">SUM(B1520:D1520)</f>
        <v>0</v>
      </c>
      <c r="F1520" s="16">
        <v>4</v>
      </c>
      <c r="G1520" s="14"/>
      <c r="H1520" s="15"/>
      <c r="I1520" s="11">
        <f>SUM(F1520:H1520)</f>
        <v>4</v>
      </c>
      <c r="J1520" s="11">
        <f t="shared" ref="J1520:J1544" si="653">E1520+I1520</f>
        <v>4</v>
      </c>
      <c r="K1520" s="65">
        <v>43277</v>
      </c>
      <c r="W1520" s="29"/>
      <c r="X1520" s="8"/>
      <c r="Y1520" s="9"/>
      <c r="Z1520" s="10"/>
      <c r="AA1520" s="11">
        <f>SUM(X1520:Z1520)</f>
        <v>0</v>
      </c>
      <c r="AB1520" s="12"/>
      <c r="AC1520" s="9"/>
      <c r="AD1520" s="10"/>
      <c r="AE1520" s="11">
        <f>SUM(AB1520:AD1520)</f>
        <v>0</v>
      </c>
      <c r="AF1520" s="11">
        <f t="shared" si="651"/>
        <v>0</v>
      </c>
    </row>
    <row r="1521" spans="1:33" x14ac:dyDescent="0.15">
      <c r="A1521" s="27" t="s">
        <v>772</v>
      </c>
      <c r="B1521" s="8"/>
      <c r="C1521" s="9"/>
      <c r="D1521" s="10">
        <v>2</v>
      </c>
      <c r="E1521" s="11">
        <f t="shared" si="652"/>
        <v>2</v>
      </c>
      <c r="F1521" s="12"/>
      <c r="G1521" s="9"/>
      <c r="H1521" s="10"/>
      <c r="I1521" s="11">
        <f>SUM(F1521:H1521)</f>
        <v>0</v>
      </c>
      <c r="J1521" s="11">
        <f t="shared" si="653"/>
        <v>2</v>
      </c>
      <c r="K1521" s="65">
        <v>43283</v>
      </c>
      <c r="W1521" s="29" t="s">
        <v>662</v>
      </c>
      <c r="X1521" s="8">
        <v>650</v>
      </c>
      <c r="Y1521" s="9">
        <v>450</v>
      </c>
      <c r="Z1521" s="10">
        <v>450</v>
      </c>
      <c r="AA1521" s="11">
        <f t="shared" ref="AA1521:AA1544" si="654">SUM(X1521:Z1521)</f>
        <v>1550</v>
      </c>
      <c r="AB1521" s="12">
        <v>350</v>
      </c>
      <c r="AC1521" s="9">
        <v>400</v>
      </c>
      <c r="AD1521" s="10"/>
      <c r="AE1521" s="11">
        <f t="shared" ref="AE1521:AE1544" si="655">SUM(AB1521:AD1521)</f>
        <v>750</v>
      </c>
      <c r="AF1521" s="11">
        <f t="shared" si="651"/>
        <v>2300</v>
      </c>
      <c r="AG1521" s="65">
        <v>43280</v>
      </c>
    </row>
    <row r="1522" spans="1:33" x14ac:dyDescent="0.15">
      <c r="A1522" s="27" t="s">
        <v>776</v>
      </c>
      <c r="B1522" s="8"/>
      <c r="C1522" s="9">
        <v>6</v>
      </c>
      <c r="D1522" s="10"/>
      <c r="E1522" s="11">
        <f t="shared" si="652"/>
        <v>6</v>
      </c>
      <c r="F1522" s="12"/>
      <c r="G1522" s="9"/>
      <c r="H1522" s="10">
        <v>2</v>
      </c>
      <c r="I1522" s="11">
        <f>SUM(F1522:H1522)</f>
        <v>2</v>
      </c>
      <c r="J1522" s="11">
        <f t="shared" si="653"/>
        <v>8</v>
      </c>
      <c r="K1522" s="65">
        <v>43285</v>
      </c>
      <c r="W1522" s="29"/>
      <c r="X1522" s="8"/>
      <c r="Y1522" s="9"/>
      <c r="Z1522" s="10"/>
      <c r="AA1522" s="11">
        <f t="shared" si="654"/>
        <v>0</v>
      </c>
      <c r="AB1522" s="12"/>
      <c r="AC1522" s="9"/>
      <c r="AD1522" s="10"/>
      <c r="AE1522" s="11">
        <f t="shared" si="655"/>
        <v>0</v>
      </c>
      <c r="AF1522" s="11">
        <f t="shared" si="651"/>
        <v>0</v>
      </c>
    </row>
    <row r="1523" spans="1:33" x14ac:dyDescent="0.15">
      <c r="A1523" s="27" t="s">
        <v>773</v>
      </c>
      <c r="B1523" s="8">
        <v>1</v>
      </c>
      <c r="C1523" s="9">
        <v>1</v>
      </c>
      <c r="D1523" s="10"/>
      <c r="E1523" s="11">
        <f t="shared" si="652"/>
        <v>2</v>
      </c>
      <c r="F1523" s="12"/>
      <c r="G1523" s="9"/>
      <c r="H1523" s="10"/>
      <c r="I1523" s="11">
        <f>SUM(F1523:H1523)</f>
        <v>0</v>
      </c>
      <c r="J1523" s="11">
        <f t="shared" si="653"/>
        <v>2</v>
      </c>
      <c r="K1523" s="65">
        <v>43284</v>
      </c>
      <c r="W1523" s="29" t="s">
        <v>662</v>
      </c>
      <c r="X1523" s="8"/>
      <c r="Y1523" s="9"/>
      <c r="Z1523" s="10"/>
      <c r="AA1523" s="11">
        <f t="shared" si="654"/>
        <v>0</v>
      </c>
      <c r="AB1523" s="12">
        <v>20</v>
      </c>
      <c r="AC1523" s="9"/>
      <c r="AD1523" s="10"/>
      <c r="AE1523" s="11">
        <f t="shared" si="655"/>
        <v>20</v>
      </c>
      <c r="AF1523" s="11">
        <f t="shared" si="651"/>
        <v>20</v>
      </c>
      <c r="AG1523" s="65">
        <v>43294</v>
      </c>
    </row>
    <row r="1524" spans="1:33" x14ac:dyDescent="0.15">
      <c r="A1524" s="27" t="s">
        <v>774</v>
      </c>
      <c r="B1524" s="8">
        <v>1</v>
      </c>
      <c r="C1524" s="9"/>
      <c r="D1524" s="10"/>
      <c r="E1524" s="139">
        <f t="shared" si="652"/>
        <v>1</v>
      </c>
      <c r="F1524" s="140"/>
      <c r="G1524" s="140"/>
      <c r="H1524" s="10"/>
      <c r="I1524" s="11">
        <f t="shared" ref="I1524:I1544" si="656">SUM(F1524:H1524)</f>
        <v>0</v>
      </c>
      <c r="J1524" s="11">
        <f t="shared" si="653"/>
        <v>1</v>
      </c>
      <c r="K1524" s="65">
        <v>43285</v>
      </c>
      <c r="W1524" s="27"/>
      <c r="X1524" s="8"/>
      <c r="Y1524" s="9"/>
      <c r="Z1524" s="10"/>
      <c r="AA1524" s="11">
        <f t="shared" si="654"/>
        <v>0</v>
      </c>
      <c r="AB1524" s="12"/>
      <c r="AC1524" s="9"/>
      <c r="AD1524" s="10"/>
      <c r="AE1524" s="11">
        <f t="shared" si="655"/>
        <v>0</v>
      </c>
      <c r="AF1524" s="11">
        <f t="shared" si="651"/>
        <v>0</v>
      </c>
    </row>
    <row r="1525" spans="1:33" x14ac:dyDescent="0.15">
      <c r="A1525" s="27" t="s">
        <v>667</v>
      </c>
      <c r="B1525" s="8"/>
      <c r="C1525" s="9">
        <v>5</v>
      </c>
      <c r="D1525" s="10"/>
      <c r="E1525" s="11">
        <f t="shared" si="652"/>
        <v>5</v>
      </c>
      <c r="F1525" s="12"/>
      <c r="G1525" s="9">
        <v>5</v>
      </c>
      <c r="H1525" s="10"/>
      <c r="I1525" s="11">
        <f t="shared" si="656"/>
        <v>5</v>
      </c>
      <c r="J1525" s="11">
        <f t="shared" si="653"/>
        <v>10</v>
      </c>
      <c r="K1525" s="65">
        <v>43290</v>
      </c>
      <c r="W1525" s="29"/>
      <c r="X1525" s="8"/>
      <c r="Y1525" s="9"/>
      <c r="Z1525" s="10"/>
      <c r="AA1525" s="11">
        <f t="shared" si="654"/>
        <v>0</v>
      </c>
      <c r="AB1525" s="12"/>
      <c r="AC1525" s="9"/>
      <c r="AD1525" s="10"/>
      <c r="AE1525" s="11">
        <f t="shared" si="655"/>
        <v>0</v>
      </c>
      <c r="AF1525" s="11">
        <f t="shared" si="651"/>
        <v>0</v>
      </c>
    </row>
    <row r="1526" spans="1:33" x14ac:dyDescent="0.15">
      <c r="A1526" s="26" t="s">
        <v>775</v>
      </c>
      <c r="B1526" s="8"/>
      <c r="C1526" s="9"/>
      <c r="D1526" s="10"/>
      <c r="E1526" s="11">
        <f t="shared" si="652"/>
        <v>0</v>
      </c>
      <c r="F1526" s="12">
        <v>2</v>
      </c>
      <c r="G1526" s="9"/>
      <c r="H1526" s="10"/>
      <c r="I1526" s="11">
        <f t="shared" si="656"/>
        <v>2</v>
      </c>
      <c r="J1526" s="11">
        <f t="shared" si="653"/>
        <v>2</v>
      </c>
      <c r="K1526" s="65">
        <v>43290</v>
      </c>
      <c r="W1526" s="29"/>
      <c r="X1526" s="8"/>
      <c r="Y1526" s="9"/>
      <c r="Z1526" s="10"/>
      <c r="AA1526" s="11">
        <f t="shared" si="654"/>
        <v>0</v>
      </c>
      <c r="AB1526" s="12"/>
      <c r="AC1526" s="9"/>
      <c r="AD1526" s="10"/>
      <c r="AE1526" s="11">
        <f t="shared" si="655"/>
        <v>0</v>
      </c>
      <c r="AF1526" s="11">
        <f t="shared" si="651"/>
        <v>0</v>
      </c>
    </row>
    <row r="1527" spans="1:33" x14ac:dyDescent="0.15">
      <c r="A1527" s="27" t="s">
        <v>687</v>
      </c>
      <c r="B1527" s="13">
        <v>2</v>
      </c>
      <c r="C1527" s="14"/>
      <c r="D1527" s="15">
        <v>6</v>
      </c>
      <c r="E1527" s="11">
        <f t="shared" si="652"/>
        <v>8</v>
      </c>
      <c r="F1527" s="16"/>
      <c r="G1527" s="14"/>
      <c r="H1527" s="15">
        <v>2</v>
      </c>
      <c r="I1527" s="11">
        <f t="shared" si="656"/>
        <v>2</v>
      </c>
      <c r="J1527" s="11">
        <f t="shared" si="653"/>
        <v>10</v>
      </c>
      <c r="K1527" s="65">
        <v>43293</v>
      </c>
      <c r="W1527" s="27"/>
      <c r="X1527" s="8"/>
      <c r="Y1527" s="9"/>
      <c r="Z1527" s="10"/>
      <c r="AA1527" s="11">
        <f t="shared" si="654"/>
        <v>0</v>
      </c>
      <c r="AB1527" s="12"/>
      <c r="AC1527" s="9"/>
      <c r="AD1527" s="10"/>
      <c r="AE1527" s="11">
        <f t="shared" si="655"/>
        <v>0</v>
      </c>
      <c r="AF1527" s="11">
        <f t="shared" si="651"/>
        <v>0</v>
      </c>
    </row>
    <row r="1528" spans="1:33" x14ac:dyDescent="0.15">
      <c r="A1528" s="26" t="s">
        <v>67</v>
      </c>
      <c r="B1528" s="13"/>
      <c r="C1528" s="14"/>
      <c r="D1528" s="15"/>
      <c r="E1528" s="11">
        <f t="shared" si="652"/>
        <v>0</v>
      </c>
      <c r="F1528" s="16"/>
      <c r="G1528" s="14"/>
      <c r="H1528" s="15">
        <v>2</v>
      </c>
      <c r="I1528" s="11">
        <f t="shared" si="656"/>
        <v>2</v>
      </c>
      <c r="J1528" s="11">
        <f t="shared" si="653"/>
        <v>2</v>
      </c>
      <c r="K1528" s="65">
        <v>43292</v>
      </c>
      <c r="W1528" s="29"/>
      <c r="X1528" s="13"/>
      <c r="Y1528" s="14"/>
      <c r="Z1528" s="15"/>
      <c r="AA1528" s="11">
        <f t="shared" si="654"/>
        <v>0</v>
      </c>
      <c r="AB1528" s="16"/>
      <c r="AC1528" s="14"/>
      <c r="AD1528" s="15"/>
      <c r="AE1528" s="11">
        <f t="shared" si="655"/>
        <v>0</v>
      </c>
      <c r="AF1528" s="11">
        <f t="shared" si="651"/>
        <v>0</v>
      </c>
    </row>
    <row r="1529" spans="1:33" x14ac:dyDescent="0.15">
      <c r="A1529" s="26" t="s">
        <v>67</v>
      </c>
      <c r="B1529" s="8"/>
      <c r="C1529" s="9"/>
      <c r="D1529" s="10"/>
      <c r="E1529" s="11">
        <f t="shared" si="652"/>
        <v>0</v>
      </c>
      <c r="F1529" s="12"/>
      <c r="G1529" s="9"/>
      <c r="H1529" s="10">
        <v>1</v>
      </c>
      <c r="I1529" s="11">
        <f t="shared" si="656"/>
        <v>1</v>
      </c>
      <c r="J1529" s="11">
        <f t="shared" si="653"/>
        <v>1</v>
      </c>
      <c r="K1529" s="65">
        <v>43298</v>
      </c>
      <c r="W1529" s="29"/>
      <c r="X1529" s="8"/>
      <c r="Y1529" s="9"/>
      <c r="Z1529" s="10"/>
      <c r="AA1529" s="11">
        <f t="shared" si="654"/>
        <v>0</v>
      </c>
      <c r="AB1529" s="12"/>
      <c r="AC1529" s="9"/>
      <c r="AD1529" s="10"/>
      <c r="AE1529" s="11">
        <f t="shared" si="655"/>
        <v>0</v>
      </c>
      <c r="AF1529" s="11">
        <f t="shared" si="651"/>
        <v>0</v>
      </c>
    </row>
    <row r="1530" spans="1:33" x14ac:dyDescent="0.15">
      <c r="A1530" s="29" t="s">
        <v>687</v>
      </c>
      <c r="B1530" s="8">
        <v>2</v>
      </c>
      <c r="C1530" s="9">
        <v>3</v>
      </c>
      <c r="D1530" s="10"/>
      <c r="E1530" s="11">
        <f t="shared" si="652"/>
        <v>5</v>
      </c>
      <c r="F1530" s="12"/>
      <c r="G1530" s="9"/>
      <c r="H1530" s="10"/>
      <c r="I1530" s="11">
        <f t="shared" si="656"/>
        <v>0</v>
      </c>
      <c r="J1530" s="11">
        <f t="shared" si="653"/>
        <v>5</v>
      </c>
      <c r="K1530" s="65">
        <v>43301</v>
      </c>
      <c r="W1530" s="29"/>
      <c r="X1530" s="8"/>
      <c r="Y1530" s="9"/>
      <c r="Z1530" s="10"/>
      <c r="AA1530" s="11">
        <f t="shared" si="654"/>
        <v>0</v>
      </c>
      <c r="AB1530" s="12"/>
      <c r="AC1530" s="9"/>
      <c r="AD1530" s="10"/>
      <c r="AE1530" s="11">
        <f t="shared" si="655"/>
        <v>0</v>
      </c>
      <c r="AF1530" s="11">
        <f t="shared" si="651"/>
        <v>0</v>
      </c>
    </row>
    <row r="1531" spans="1:33" x14ac:dyDescent="0.15">
      <c r="A1531" s="26" t="s">
        <v>67</v>
      </c>
      <c r="B1531" s="8"/>
      <c r="C1531" s="9"/>
      <c r="D1531" s="10"/>
      <c r="E1531" s="11">
        <f t="shared" si="652"/>
        <v>0</v>
      </c>
      <c r="F1531" s="12">
        <v>1</v>
      </c>
      <c r="G1531" s="9"/>
      <c r="H1531" s="10"/>
      <c r="I1531" s="11">
        <f t="shared" si="656"/>
        <v>1</v>
      </c>
      <c r="J1531" s="11">
        <f t="shared" si="653"/>
        <v>1</v>
      </c>
      <c r="K1531" s="65">
        <v>43301</v>
      </c>
      <c r="W1531" s="27"/>
      <c r="X1531" s="8"/>
      <c r="Y1531" s="9"/>
      <c r="Z1531" s="10"/>
      <c r="AA1531" s="11">
        <f t="shared" si="654"/>
        <v>0</v>
      </c>
      <c r="AB1531" s="12"/>
      <c r="AC1531" s="9"/>
      <c r="AD1531" s="10"/>
      <c r="AE1531" s="11">
        <f t="shared" si="655"/>
        <v>0</v>
      </c>
      <c r="AF1531" s="11">
        <f t="shared" si="651"/>
        <v>0</v>
      </c>
    </row>
    <row r="1532" spans="1:33" x14ac:dyDescent="0.15">
      <c r="A1532" s="27" t="s">
        <v>778</v>
      </c>
      <c r="B1532" s="8"/>
      <c r="C1532" s="9"/>
      <c r="D1532" s="10">
        <v>2</v>
      </c>
      <c r="E1532" s="11">
        <f t="shared" si="652"/>
        <v>2</v>
      </c>
      <c r="F1532" s="12"/>
      <c r="G1532" s="9"/>
      <c r="H1532" s="10"/>
      <c r="I1532" s="11">
        <f t="shared" si="656"/>
        <v>0</v>
      </c>
      <c r="J1532" s="11">
        <f t="shared" si="653"/>
        <v>2</v>
      </c>
      <c r="K1532" s="65">
        <v>43302</v>
      </c>
      <c r="W1532" s="29"/>
      <c r="X1532" s="8"/>
      <c r="Y1532" s="9"/>
      <c r="Z1532" s="10"/>
      <c r="AA1532" s="11">
        <f t="shared" si="654"/>
        <v>0</v>
      </c>
      <c r="AB1532" s="12"/>
      <c r="AC1532" s="9"/>
      <c r="AD1532" s="10"/>
      <c r="AE1532" s="11">
        <f t="shared" si="655"/>
        <v>0</v>
      </c>
      <c r="AF1532" s="11">
        <f t="shared" si="651"/>
        <v>0</v>
      </c>
    </row>
    <row r="1533" spans="1:33" x14ac:dyDescent="0.15">
      <c r="A1533" s="29" t="s">
        <v>777</v>
      </c>
      <c r="B1533" s="8"/>
      <c r="C1533" s="9"/>
      <c r="D1533" s="10"/>
      <c r="E1533" s="11">
        <f t="shared" si="652"/>
        <v>0</v>
      </c>
      <c r="F1533" s="12"/>
      <c r="G1533" s="9"/>
      <c r="H1533" s="10">
        <v>2</v>
      </c>
      <c r="I1533" s="11">
        <f t="shared" si="656"/>
        <v>2</v>
      </c>
      <c r="J1533" s="11">
        <f t="shared" si="653"/>
        <v>2</v>
      </c>
      <c r="K1533" s="65">
        <v>43305</v>
      </c>
      <c r="W1533" s="29"/>
      <c r="X1533" s="8"/>
      <c r="Y1533" s="9"/>
      <c r="Z1533" s="10"/>
      <c r="AA1533" s="11">
        <f t="shared" si="654"/>
        <v>0</v>
      </c>
      <c r="AB1533" s="12"/>
      <c r="AC1533" s="9"/>
      <c r="AD1533" s="10"/>
      <c r="AE1533" s="11">
        <f t="shared" si="655"/>
        <v>0</v>
      </c>
      <c r="AF1533" s="11">
        <f t="shared" si="651"/>
        <v>0</v>
      </c>
    </row>
    <row r="1534" spans="1:33" x14ac:dyDescent="0.15">
      <c r="A1534" s="27" t="s">
        <v>779</v>
      </c>
      <c r="B1534" s="8">
        <v>4</v>
      </c>
      <c r="C1534" s="9"/>
      <c r="D1534" s="10"/>
      <c r="E1534" s="11">
        <f t="shared" si="652"/>
        <v>4</v>
      </c>
      <c r="F1534" s="12"/>
      <c r="G1534" s="9"/>
      <c r="H1534" s="10"/>
      <c r="I1534" s="11">
        <f t="shared" si="656"/>
        <v>0</v>
      </c>
      <c r="J1534" s="11">
        <f t="shared" si="653"/>
        <v>4</v>
      </c>
      <c r="K1534" s="65">
        <v>43307</v>
      </c>
      <c r="W1534" s="27"/>
      <c r="X1534" s="8"/>
      <c r="Y1534" s="9"/>
      <c r="Z1534" s="10"/>
      <c r="AA1534" s="11">
        <f t="shared" si="654"/>
        <v>0</v>
      </c>
      <c r="AB1534" s="12"/>
      <c r="AC1534" s="9"/>
      <c r="AD1534" s="10"/>
      <c r="AE1534" s="11">
        <f t="shared" si="655"/>
        <v>0</v>
      </c>
      <c r="AF1534" s="11">
        <f t="shared" si="651"/>
        <v>0</v>
      </c>
    </row>
    <row r="1535" spans="1:33" x14ac:dyDescent="0.15">
      <c r="A1535" s="27" t="s">
        <v>782</v>
      </c>
      <c r="B1535" s="8"/>
      <c r="C1535" s="9"/>
      <c r="D1535" s="10"/>
      <c r="E1535" s="11">
        <f t="shared" si="652"/>
        <v>0</v>
      </c>
      <c r="F1535" s="12">
        <v>1</v>
      </c>
      <c r="G1535" s="9"/>
      <c r="H1535" s="10"/>
      <c r="I1535" s="11">
        <f t="shared" si="656"/>
        <v>1</v>
      </c>
      <c r="J1535" s="11">
        <f t="shared" si="653"/>
        <v>1</v>
      </c>
      <c r="K1535" s="65">
        <v>43311</v>
      </c>
      <c r="W1535" s="29"/>
      <c r="X1535" s="8"/>
      <c r="Y1535" s="9"/>
      <c r="Z1535" s="10"/>
      <c r="AA1535" s="11">
        <f t="shared" si="654"/>
        <v>0</v>
      </c>
      <c r="AB1535" s="12"/>
      <c r="AC1535" s="9"/>
      <c r="AD1535" s="10"/>
      <c r="AE1535" s="11">
        <f t="shared" si="655"/>
        <v>0</v>
      </c>
      <c r="AF1535" s="11">
        <f t="shared" si="651"/>
        <v>0</v>
      </c>
    </row>
    <row r="1536" spans="1:33" x14ac:dyDescent="0.15">
      <c r="A1536" s="27" t="s">
        <v>780</v>
      </c>
      <c r="B1536" s="8">
        <v>4</v>
      </c>
      <c r="C1536" s="9">
        <v>4</v>
      </c>
      <c r="D1536" s="10"/>
      <c r="E1536" s="11">
        <f t="shared" si="652"/>
        <v>8</v>
      </c>
      <c r="F1536" s="12"/>
      <c r="G1536" s="9"/>
      <c r="H1536" s="10"/>
      <c r="I1536" s="11">
        <f t="shared" si="656"/>
        <v>0</v>
      </c>
      <c r="J1536" s="11">
        <f t="shared" si="653"/>
        <v>8</v>
      </c>
      <c r="K1536" s="65">
        <v>43314</v>
      </c>
      <c r="W1536" s="27"/>
      <c r="X1536" s="8"/>
      <c r="Y1536" s="9"/>
      <c r="Z1536" s="10"/>
      <c r="AA1536" s="11">
        <f t="shared" si="654"/>
        <v>0</v>
      </c>
      <c r="AB1536" s="12"/>
      <c r="AC1536" s="9"/>
      <c r="AD1536" s="10"/>
      <c r="AE1536" s="11">
        <f t="shared" si="655"/>
        <v>0</v>
      </c>
      <c r="AF1536" s="11">
        <f t="shared" si="651"/>
        <v>0</v>
      </c>
    </row>
    <row r="1537" spans="1:32" x14ac:dyDescent="0.15">
      <c r="A1537" s="27" t="s">
        <v>781</v>
      </c>
      <c r="B1537" s="8">
        <v>2</v>
      </c>
      <c r="C1537" s="9">
        <v>8</v>
      </c>
      <c r="D1537" s="10"/>
      <c r="E1537" s="11">
        <f t="shared" si="652"/>
        <v>10</v>
      </c>
      <c r="F1537" s="12"/>
      <c r="G1537" s="9"/>
      <c r="H1537" s="10"/>
      <c r="I1537" s="11">
        <f t="shared" si="656"/>
        <v>0</v>
      </c>
      <c r="J1537" s="11">
        <f t="shared" si="653"/>
        <v>10</v>
      </c>
      <c r="K1537" s="65">
        <v>43316</v>
      </c>
      <c r="W1537" s="26"/>
      <c r="X1537" s="8"/>
      <c r="Y1537" s="9"/>
      <c r="Z1537" s="10"/>
      <c r="AA1537" s="11">
        <f t="shared" si="654"/>
        <v>0</v>
      </c>
      <c r="AB1537" s="12"/>
      <c r="AC1537" s="9"/>
      <c r="AD1537" s="10"/>
      <c r="AE1537" s="11">
        <f t="shared" si="655"/>
        <v>0</v>
      </c>
      <c r="AF1537" s="11">
        <f t="shared" si="651"/>
        <v>0</v>
      </c>
    </row>
    <row r="1538" spans="1:32" x14ac:dyDescent="0.15">
      <c r="A1538" s="27" t="s">
        <v>783</v>
      </c>
      <c r="B1538" s="8"/>
      <c r="C1538" s="9">
        <v>1</v>
      </c>
      <c r="D1538" s="10"/>
      <c r="E1538" s="11">
        <f t="shared" si="652"/>
        <v>1</v>
      </c>
      <c r="F1538" s="12"/>
      <c r="G1538" s="9"/>
      <c r="H1538" s="10"/>
      <c r="I1538" s="11">
        <f t="shared" si="656"/>
        <v>0</v>
      </c>
      <c r="J1538" s="11">
        <f t="shared" si="653"/>
        <v>1</v>
      </c>
      <c r="K1538" s="71">
        <v>43315</v>
      </c>
      <c r="W1538" s="26"/>
      <c r="X1538" s="8"/>
      <c r="Y1538" s="9"/>
      <c r="Z1538" s="10"/>
      <c r="AA1538" s="11">
        <f t="shared" si="654"/>
        <v>0</v>
      </c>
      <c r="AB1538" s="12"/>
      <c r="AC1538" s="9"/>
      <c r="AD1538" s="10"/>
      <c r="AE1538" s="11">
        <f t="shared" si="655"/>
        <v>0</v>
      </c>
      <c r="AF1538" s="11">
        <f t="shared" si="651"/>
        <v>0</v>
      </c>
    </row>
    <row r="1539" spans="1:32" x14ac:dyDescent="0.15">
      <c r="A1539" s="27" t="s">
        <v>67</v>
      </c>
      <c r="B1539" s="8"/>
      <c r="C1539" s="9">
        <v>1</v>
      </c>
      <c r="D1539" s="10"/>
      <c r="E1539" s="11">
        <f t="shared" si="652"/>
        <v>1</v>
      </c>
      <c r="F1539" s="12"/>
      <c r="G1539" s="9"/>
      <c r="H1539" s="10"/>
      <c r="I1539" s="11">
        <f t="shared" si="656"/>
        <v>0</v>
      </c>
      <c r="J1539" s="11">
        <f t="shared" si="653"/>
        <v>1</v>
      </c>
      <c r="K1539" s="71">
        <v>43321</v>
      </c>
      <c r="W1539" s="27"/>
      <c r="X1539" s="8"/>
      <c r="Y1539" s="9"/>
      <c r="Z1539" s="10"/>
      <c r="AA1539" s="11">
        <f t="shared" si="654"/>
        <v>0</v>
      </c>
      <c r="AB1539" s="12"/>
      <c r="AC1539" s="9"/>
      <c r="AD1539" s="10"/>
      <c r="AE1539" s="11">
        <f t="shared" si="655"/>
        <v>0</v>
      </c>
      <c r="AF1539" s="11">
        <f t="shared" si="651"/>
        <v>0</v>
      </c>
    </row>
    <row r="1540" spans="1:32" x14ac:dyDescent="0.15">
      <c r="A1540" s="27" t="s">
        <v>67</v>
      </c>
      <c r="B1540" s="13"/>
      <c r="C1540" s="14"/>
      <c r="D1540" s="15">
        <v>2</v>
      </c>
      <c r="E1540" s="11">
        <f t="shared" si="652"/>
        <v>2</v>
      </c>
      <c r="F1540" s="16"/>
      <c r="G1540" s="14"/>
      <c r="H1540" s="15"/>
      <c r="I1540" s="11">
        <f t="shared" si="656"/>
        <v>0</v>
      </c>
      <c r="J1540" s="11">
        <f t="shared" si="653"/>
        <v>2</v>
      </c>
      <c r="K1540" s="71">
        <v>43322</v>
      </c>
      <c r="W1540" s="27"/>
      <c r="X1540" s="13"/>
      <c r="Y1540" s="14"/>
      <c r="Z1540" s="15"/>
      <c r="AA1540" s="11">
        <f t="shared" si="654"/>
        <v>0</v>
      </c>
      <c r="AB1540" s="16"/>
      <c r="AC1540" s="14"/>
      <c r="AD1540" s="15"/>
      <c r="AE1540" s="11">
        <f t="shared" si="655"/>
        <v>0</v>
      </c>
      <c r="AF1540" s="11">
        <f t="shared" si="651"/>
        <v>0</v>
      </c>
    </row>
    <row r="1541" spans="1:32" x14ac:dyDescent="0.15">
      <c r="A1541" s="27" t="s">
        <v>67</v>
      </c>
      <c r="B1541" s="8"/>
      <c r="C1541" s="9"/>
      <c r="D1541" s="10"/>
      <c r="E1541" s="11">
        <f t="shared" si="652"/>
        <v>0</v>
      </c>
      <c r="F1541" s="12">
        <v>1</v>
      </c>
      <c r="G1541" s="9"/>
      <c r="H1541" s="10"/>
      <c r="I1541" s="11">
        <f t="shared" si="656"/>
        <v>1</v>
      </c>
      <c r="J1541" s="11">
        <f t="shared" si="653"/>
        <v>1</v>
      </c>
      <c r="K1541" s="71">
        <v>43326</v>
      </c>
      <c r="W1541" s="86"/>
      <c r="X1541" s="13"/>
      <c r="Y1541" s="14"/>
      <c r="Z1541" s="15"/>
      <c r="AA1541" s="11">
        <f t="shared" si="654"/>
        <v>0</v>
      </c>
      <c r="AB1541" s="16"/>
      <c r="AC1541" s="14"/>
      <c r="AD1541" s="15"/>
      <c r="AE1541" s="11">
        <f t="shared" si="655"/>
        <v>0</v>
      </c>
      <c r="AF1541" s="11">
        <f t="shared" si="651"/>
        <v>0</v>
      </c>
    </row>
    <row r="1542" spans="1:32" x14ac:dyDescent="0.15">
      <c r="A1542" s="27" t="s">
        <v>67</v>
      </c>
      <c r="B1542" s="8"/>
      <c r="C1542" s="9"/>
      <c r="D1542" s="10"/>
      <c r="E1542" s="11">
        <f t="shared" si="652"/>
        <v>0</v>
      </c>
      <c r="F1542" s="12">
        <v>1</v>
      </c>
      <c r="G1542" s="9"/>
      <c r="H1542" s="10"/>
      <c r="I1542" s="11">
        <f t="shared" si="656"/>
        <v>1</v>
      </c>
      <c r="J1542" s="11">
        <f t="shared" si="653"/>
        <v>1</v>
      </c>
      <c r="K1542" s="71">
        <v>43328</v>
      </c>
      <c r="W1542" s="86"/>
      <c r="X1542" s="13"/>
      <c r="Y1542" s="14"/>
      <c r="Z1542" s="15"/>
      <c r="AA1542" s="11">
        <f t="shared" si="654"/>
        <v>0</v>
      </c>
      <c r="AB1542" s="16"/>
      <c r="AC1542" s="14"/>
      <c r="AD1542" s="15"/>
      <c r="AE1542" s="11">
        <f t="shared" si="655"/>
        <v>0</v>
      </c>
      <c r="AF1542" s="11">
        <f t="shared" si="651"/>
        <v>0</v>
      </c>
    </row>
    <row r="1543" spans="1:32" x14ac:dyDescent="0.15">
      <c r="A1543" s="27" t="s">
        <v>67</v>
      </c>
      <c r="B1543" s="8">
        <v>2</v>
      </c>
      <c r="C1543" s="9">
        <v>1</v>
      </c>
      <c r="D1543" s="10">
        <v>5</v>
      </c>
      <c r="E1543" s="11">
        <f t="shared" si="652"/>
        <v>8</v>
      </c>
      <c r="F1543" s="12">
        <v>1</v>
      </c>
      <c r="G1543" s="9">
        <v>3</v>
      </c>
      <c r="H1543" s="10">
        <v>5</v>
      </c>
      <c r="I1543" s="11">
        <f t="shared" si="656"/>
        <v>9</v>
      </c>
      <c r="J1543" s="11">
        <f t="shared" si="653"/>
        <v>17</v>
      </c>
      <c r="K1543" s="71">
        <v>43329</v>
      </c>
      <c r="W1543" s="86"/>
      <c r="X1543" s="13"/>
      <c r="Y1543" s="14"/>
      <c r="Z1543" s="15"/>
      <c r="AA1543" s="11">
        <f t="shared" si="654"/>
        <v>0</v>
      </c>
      <c r="AB1543" s="16"/>
      <c r="AC1543" s="14"/>
      <c r="AD1543" s="15"/>
      <c r="AE1543" s="11">
        <f t="shared" si="655"/>
        <v>0</v>
      </c>
      <c r="AF1543" s="11">
        <f t="shared" si="651"/>
        <v>0</v>
      </c>
    </row>
    <row r="1544" spans="1:32" ht="14.25" thickBot="1" x14ac:dyDescent="0.2">
      <c r="A1544" s="27" t="s">
        <v>67</v>
      </c>
      <c r="B1544" s="8">
        <v>1</v>
      </c>
      <c r="C1544" s="9">
        <v>1</v>
      </c>
      <c r="D1544" s="10"/>
      <c r="E1544" s="11">
        <f t="shared" si="652"/>
        <v>2</v>
      </c>
      <c r="F1544" s="16"/>
      <c r="G1544" s="14">
        <v>2</v>
      </c>
      <c r="H1544" s="15">
        <v>1</v>
      </c>
      <c r="I1544" s="11">
        <f t="shared" si="656"/>
        <v>3</v>
      </c>
      <c r="J1544" s="11">
        <f t="shared" si="653"/>
        <v>5</v>
      </c>
      <c r="K1544" s="71">
        <v>43332</v>
      </c>
      <c r="W1544" s="86"/>
      <c r="X1544" s="13"/>
      <c r="Y1544" s="14"/>
      <c r="Z1544" s="15"/>
      <c r="AA1544" s="11">
        <f t="shared" si="654"/>
        <v>0</v>
      </c>
      <c r="AB1544" s="16"/>
      <c r="AC1544" s="14"/>
      <c r="AD1544" s="15"/>
      <c r="AE1544" s="11">
        <f t="shared" si="655"/>
        <v>0</v>
      </c>
      <c r="AF1544" s="11">
        <f t="shared" si="651"/>
        <v>0</v>
      </c>
    </row>
    <row r="1545" spans="1:32" ht="14.25" thickBot="1" x14ac:dyDescent="0.2">
      <c r="A1545" s="44" t="s">
        <v>13</v>
      </c>
      <c r="B1545" s="48">
        <f t="shared" ref="B1545:I1545" si="657">SUM(B1519:B1544)</f>
        <v>19</v>
      </c>
      <c r="C1545" s="49">
        <f t="shared" si="657"/>
        <v>31</v>
      </c>
      <c r="D1545" s="50">
        <f t="shared" si="657"/>
        <v>17</v>
      </c>
      <c r="E1545" s="46">
        <f t="shared" si="657"/>
        <v>67</v>
      </c>
      <c r="F1545" s="48">
        <f t="shared" si="657"/>
        <v>15</v>
      </c>
      <c r="G1545" s="49">
        <f t="shared" si="657"/>
        <v>26</v>
      </c>
      <c r="H1545" s="50">
        <f t="shared" si="657"/>
        <v>15</v>
      </c>
      <c r="I1545" s="46">
        <f t="shared" si="657"/>
        <v>56</v>
      </c>
      <c r="J1545" s="35">
        <f>E1545+I1545</f>
        <v>123</v>
      </c>
      <c r="W1545" s="44" t="s">
        <v>13</v>
      </c>
      <c r="X1545" s="48">
        <f t="shared" ref="X1545:AE1545" si="658">SUM(X1519:X1544)</f>
        <v>700</v>
      </c>
      <c r="Y1545" s="49">
        <f t="shared" si="658"/>
        <v>500</v>
      </c>
      <c r="Z1545" s="50">
        <f t="shared" si="658"/>
        <v>500</v>
      </c>
      <c r="AA1545" s="46">
        <f t="shared" si="658"/>
        <v>1700</v>
      </c>
      <c r="AB1545" s="48">
        <f t="shared" si="658"/>
        <v>420</v>
      </c>
      <c r="AC1545" s="49">
        <f t="shared" si="658"/>
        <v>450</v>
      </c>
      <c r="AD1545" s="50">
        <f t="shared" si="658"/>
        <v>0</v>
      </c>
      <c r="AE1545" s="46">
        <f t="shared" si="658"/>
        <v>870</v>
      </c>
      <c r="AF1545" s="35">
        <f>AA1545+AE1545</f>
        <v>2570</v>
      </c>
    </row>
    <row r="1546" spans="1:32" ht="14.25" thickBot="1" x14ac:dyDescent="0.2">
      <c r="A1546" s="23" t="s">
        <v>14</v>
      </c>
      <c r="B1546" s="24">
        <f t="shared" ref="B1546:J1546" si="659">B1518-B1545</f>
        <v>33</v>
      </c>
      <c r="C1546" s="25">
        <f t="shared" si="659"/>
        <v>23</v>
      </c>
      <c r="D1546" s="30">
        <f t="shared" si="659"/>
        <v>38</v>
      </c>
      <c r="E1546" s="51">
        <f t="shared" si="659"/>
        <v>94</v>
      </c>
      <c r="F1546" s="24">
        <f t="shared" si="659"/>
        <v>36</v>
      </c>
      <c r="G1546" s="25">
        <f t="shared" si="659"/>
        <v>24</v>
      </c>
      <c r="H1546" s="30">
        <f t="shared" si="659"/>
        <v>23</v>
      </c>
      <c r="I1546" s="47">
        <f t="shared" si="659"/>
        <v>83</v>
      </c>
      <c r="J1546" s="79">
        <f t="shared" si="659"/>
        <v>177</v>
      </c>
      <c r="W1546" s="23" t="s">
        <v>14</v>
      </c>
      <c r="X1546" s="24">
        <f t="shared" ref="X1546:AF1546" si="660">X1518-X1545</f>
        <v>0</v>
      </c>
      <c r="Y1546" s="25">
        <f t="shared" si="660"/>
        <v>0</v>
      </c>
      <c r="Z1546" s="30">
        <f t="shared" si="660"/>
        <v>0</v>
      </c>
      <c r="AA1546" s="51">
        <f t="shared" si="660"/>
        <v>0</v>
      </c>
      <c r="AB1546" s="24">
        <f t="shared" si="660"/>
        <v>80</v>
      </c>
      <c r="AC1546" s="25">
        <f t="shared" si="660"/>
        <v>250</v>
      </c>
      <c r="AD1546" s="30">
        <f t="shared" si="660"/>
        <v>500</v>
      </c>
      <c r="AE1546" s="47">
        <f t="shared" si="660"/>
        <v>830</v>
      </c>
      <c r="AF1546" s="79">
        <f t="shared" si="660"/>
        <v>830</v>
      </c>
    </row>
    <row r="1549" spans="1:32" ht="19.5" thickBot="1" x14ac:dyDescent="0.25">
      <c r="A1549" s="144" t="s">
        <v>21</v>
      </c>
      <c r="B1549" s="145"/>
      <c r="C1549" s="145"/>
      <c r="D1549" s="145"/>
      <c r="E1549" s="145"/>
      <c r="F1549" s="146" t="s">
        <v>764</v>
      </c>
      <c r="G1549" s="145"/>
      <c r="H1549" s="145"/>
      <c r="I1549" s="145"/>
      <c r="J1549" s="145"/>
      <c r="W1549" s="144" t="s">
        <v>765</v>
      </c>
      <c r="X1549" s="145"/>
      <c r="Y1549" s="145"/>
      <c r="Z1549" s="145"/>
      <c r="AA1549" s="146" t="s">
        <v>764</v>
      </c>
      <c r="AB1549" s="145"/>
      <c r="AC1549" s="145"/>
      <c r="AD1549" s="145"/>
      <c r="AE1549" s="1"/>
      <c r="AF1549" s="1"/>
    </row>
    <row r="1550" spans="1:32" ht="14.25" thickBot="1" x14ac:dyDescent="0.2">
      <c r="A1550" s="7" t="s">
        <v>0</v>
      </c>
      <c r="B1550" s="168" t="s">
        <v>1</v>
      </c>
      <c r="C1550" s="169"/>
      <c r="D1550" s="169"/>
      <c r="E1550" s="170"/>
      <c r="F1550" s="168" t="s">
        <v>2</v>
      </c>
      <c r="G1550" s="169"/>
      <c r="H1550" s="169"/>
      <c r="I1550" s="171"/>
      <c r="J1550" s="172" t="s">
        <v>3</v>
      </c>
      <c r="W1550" s="7" t="s">
        <v>0</v>
      </c>
      <c r="X1550" s="174" t="s">
        <v>1</v>
      </c>
      <c r="Y1550" s="175"/>
      <c r="Z1550" s="176"/>
      <c r="AA1550" s="101"/>
      <c r="AB1550" s="174" t="s">
        <v>2</v>
      </c>
      <c r="AC1550" s="175"/>
      <c r="AD1550" s="176"/>
      <c r="AE1550" s="102"/>
      <c r="AF1550" s="103" t="s">
        <v>3</v>
      </c>
    </row>
    <row r="1551" spans="1:32" ht="14.25" thickBot="1" x14ac:dyDescent="0.2">
      <c r="A1551" s="7" t="s">
        <v>4</v>
      </c>
      <c r="B1551" s="3" t="s">
        <v>5</v>
      </c>
      <c r="C1551" s="4" t="s">
        <v>6</v>
      </c>
      <c r="D1551" s="5" t="s">
        <v>7</v>
      </c>
      <c r="E1551" s="7" t="s">
        <v>8</v>
      </c>
      <c r="F1551" s="3" t="s">
        <v>5</v>
      </c>
      <c r="G1551" s="4" t="s">
        <v>6</v>
      </c>
      <c r="H1551" s="5" t="s">
        <v>7</v>
      </c>
      <c r="I1551" s="7" t="s">
        <v>8</v>
      </c>
      <c r="J1551" s="173"/>
      <c r="W1551" s="7" t="s">
        <v>4</v>
      </c>
      <c r="X1551" s="3" t="s">
        <v>5</v>
      </c>
      <c r="Y1551" s="4" t="s">
        <v>6</v>
      </c>
      <c r="Z1551" s="5" t="s">
        <v>7</v>
      </c>
      <c r="AA1551" s="7" t="s">
        <v>8</v>
      </c>
      <c r="AB1551" s="107" t="s">
        <v>5</v>
      </c>
      <c r="AC1551" s="108" t="s">
        <v>6</v>
      </c>
      <c r="AD1551" s="109" t="s">
        <v>7</v>
      </c>
      <c r="AE1551" s="7" t="s">
        <v>8</v>
      </c>
      <c r="AF1551" s="104"/>
    </row>
    <row r="1552" spans="1:32" ht="14.25" thickBot="1" x14ac:dyDescent="0.2">
      <c r="A1552" s="31" t="s">
        <v>14</v>
      </c>
      <c r="B1552" s="32">
        <f>B1546</f>
        <v>33</v>
      </c>
      <c r="C1552" s="33">
        <f>C1546</f>
        <v>23</v>
      </c>
      <c r="D1552" s="34">
        <f>D1546</f>
        <v>38</v>
      </c>
      <c r="E1552" s="41">
        <f>SUM(B1552:D1552)</f>
        <v>94</v>
      </c>
      <c r="F1552" s="32">
        <f>F1546</f>
        <v>36</v>
      </c>
      <c r="G1552" s="33">
        <f>G1546</f>
        <v>24</v>
      </c>
      <c r="H1552" s="34">
        <f>H1546</f>
        <v>23</v>
      </c>
      <c r="I1552" s="41">
        <f>SUM(F1552:H1552)</f>
        <v>83</v>
      </c>
      <c r="J1552" s="41">
        <f>E1552+I1552</f>
        <v>177</v>
      </c>
      <c r="W1552" s="31" t="s">
        <v>14</v>
      </c>
      <c r="X1552" s="32">
        <f>X1546</f>
        <v>0</v>
      </c>
      <c r="Y1552" s="33">
        <f>Y1546</f>
        <v>0</v>
      </c>
      <c r="Z1552" s="33">
        <f>Z1546</f>
        <v>0</v>
      </c>
      <c r="AA1552" s="111">
        <f>SUM(X1552:Z1552)</f>
        <v>0</v>
      </c>
      <c r="AB1552" s="32">
        <f>AB1546</f>
        <v>80</v>
      </c>
      <c r="AC1552" s="33">
        <f>AC1546</f>
        <v>250</v>
      </c>
      <c r="AD1552" s="95">
        <f>AD1546</f>
        <v>500</v>
      </c>
      <c r="AE1552" s="46">
        <f>SUM(AB1552:AD1552)</f>
        <v>830</v>
      </c>
      <c r="AF1552" s="35">
        <f>AA1552+AE1552</f>
        <v>830</v>
      </c>
    </row>
    <row r="1553" spans="1:33" x14ac:dyDescent="0.15">
      <c r="A1553" s="28" t="s">
        <v>9</v>
      </c>
      <c r="B1553" s="17">
        <v>1</v>
      </c>
      <c r="C1553" s="18"/>
      <c r="D1553" s="19"/>
      <c r="E1553" s="20">
        <f t="shared" ref="E1553:E1560" si="661">SUM(B1553:D1553)</f>
        <v>1</v>
      </c>
      <c r="F1553" s="21"/>
      <c r="G1553" s="18">
        <v>1</v>
      </c>
      <c r="H1553" s="19"/>
      <c r="I1553" s="20">
        <f t="shared" ref="I1553:I1560" si="662">SUM(F1553:H1553)</f>
        <v>1</v>
      </c>
      <c r="J1553" s="20">
        <f t="shared" ref="J1553:J1560" si="663">E1553+I1553</f>
        <v>2</v>
      </c>
      <c r="K1553" s="65">
        <v>43336</v>
      </c>
      <c r="W1553" s="28" t="s">
        <v>9</v>
      </c>
      <c r="X1553" s="8"/>
      <c r="Y1553" s="9"/>
      <c r="Z1553" s="10"/>
      <c r="AA1553" s="78">
        <f t="shared" ref="AA1553:AA1560" si="664">SUM(X1553:Z1553)</f>
        <v>0</v>
      </c>
      <c r="AB1553" s="21"/>
      <c r="AC1553" s="18"/>
      <c r="AD1553" s="19"/>
      <c r="AE1553" s="78">
        <f t="shared" ref="AE1553:AE1560" si="665">SUM(AB1553:AD1553)</f>
        <v>0</v>
      </c>
      <c r="AF1553" s="78">
        <f t="shared" ref="AF1553:AF1560" si="666">AA1553+AE1553</f>
        <v>0</v>
      </c>
      <c r="AG1553" s="58" t="s">
        <v>771</v>
      </c>
    </row>
    <row r="1554" spans="1:33" x14ac:dyDescent="0.15">
      <c r="A1554" s="28" t="s">
        <v>10</v>
      </c>
      <c r="B1554" s="8"/>
      <c r="C1554" s="9">
        <v>50</v>
      </c>
      <c r="D1554" s="10"/>
      <c r="E1554" s="11">
        <f t="shared" si="661"/>
        <v>50</v>
      </c>
      <c r="F1554" s="12"/>
      <c r="G1554" s="9"/>
      <c r="H1554" s="10"/>
      <c r="I1554" s="11">
        <f t="shared" si="662"/>
        <v>0</v>
      </c>
      <c r="J1554" s="11">
        <f t="shared" si="663"/>
        <v>50</v>
      </c>
      <c r="K1554" s="65">
        <v>43355</v>
      </c>
      <c r="W1554" s="28" t="s">
        <v>10</v>
      </c>
      <c r="X1554" s="8">
        <v>1500</v>
      </c>
      <c r="Y1554" s="9">
        <v>1500</v>
      </c>
      <c r="Z1554" s="10">
        <v>1000</v>
      </c>
      <c r="AA1554" s="11">
        <f t="shared" si="664"/>
        <v>4000</v>
      </c>
      <c r="AB1554" s="12">
        <v>800</v>
      </c>
      <c r="AC1554" s="9">
        <v>700</v>
      </c>
      <c r="AD1554" s="10">
        <v>500</v>
      </c>
      <c r="AE1554" s="11">
        <f t="shared" si="665"/>
        <v>2000</v>
      </c>
      <c r="AF1554" s="11">
        <f t="shared" si="666"/>
        <v>6000</v>
      </c>
      <c r="AG1554" s="65">
        <v>43336</v>
      </c>
    </row>
    <row r="1555" spans="1:33" x14ac:dyDescent="0.15">
      <c r="A1555" s="28" t="s">
        <v>11</v>
      </c>
      <c r="B1555" s="8"/>
      <c r="C1555" s="9"/>
      <c r="D1555" s="10"/>
      <c r="E1555" s="11">
        <f t="shared" si="661"/>
        <v>0</v>
      </c>
      <c r="F1555" s="12"/>
      <c r="G1555" s="9"/>
      <c r="H1555" s="10">
        <v>50</v>
      </c>
      <c r="I1555" s="11">
        <f t="shared" si="662"/>
        <v>50</v>
      </c>
      <c r="J1555" s="11">
        <f t="shared" si="663"/>
        <v>50</v>
      </c>
      <c r="K1555" s="65">
        <v>43374</v>
      </c>
      <c r="W1555" s="28" t="s">
        <v>11</v>
      </c>
      <c r="X1555" s="8"/>
      <c r="Y1555" s="9"/>
      <c r="Z1555" s="10"/>
      <c r="AA1555" s="11">
        <f t="shared" si="664"/>
        <v>0</v>
      </c>
      <c r="AB1555" s="12"/>
      <c r="AC1555" s="9"/>
      <c r="AD1555" s="10"/>
      <c r="AE1555" s="11">
        <f t="shared" si="665"/>
        <v>0</v>
      </c>
      <c r="AF1555" s="11">
        <f t="shared" si="666"/>
        <v>0</v>
      </c>
      <c r="AG1555" s="64"/>
    </row>
    <row r="1556" spans="1:33" x14ac:dyDescent="0.15">
      <c r="A1556" s="28" t="s">
        <v>12</v>
      </c>
      <c r="B1556" s="8"/>
      <c r="C1556" s="9"/>
      <c r="D1556" s="10">
        <v>50</v>
      </c>
      <c r="E1556" s="11">
        <f t="shared" si="661"/>
        <v>50</v>
      </c>
      <c r="F1556" s="12">
        <v>50</v>
      </c>
      <c r="G1556" s="9">
        <v>50</v>
      </c>
      <c r="H1556" s="10"/>
      <c r="I1556" s="11">
        <f t="shared" si="662"/>
        <v>100</v>
      </c>
      <c r="J1556" s="11">
        <f t="shared" si="663"/>
        <v>150</v>
      </c>
      <c r="K1556" s="65">
        <v>43384</v>
      </c>
      <c r="W1556" s="28" t="s">
        <v>12</v>
      </c>
      <c r="X1556" s="8"/>
      <c r="Y1556" s="9"/>
      <c r="Z1556" s="10"/>
      <c r="AA1556" s="11">
        <f t="shared" si="664"/>
        <v>0</v>
      </c>
      <c r="AB1556" s="12"/>
      <c r="AC1556" s="9"/>
      <c r="AD1556" s="10"/>
      <c r="AE1556" s="11">
        <f t="shared" si="665"/>
        <v>0</v>
      </c>
      <c r="AF1556" s="11">
        <f t="shared" si="666"/>
        <v>0</v>
      </c>
      <c r="AG1556" s="64"/>
    </row>
    <row r="1557" spans="1:33" x14ac:dyDescent="0.15">
      <c r="A1557" s="28" t="s">
        <v>15</v>
      </c>
      <c r="B1557" s="8">
        <v>50</v>
      </c>
      <c r="C1557" s="9">
        <v>50</v>
      </c>
      <c r="D1557" s="10"/>
      <c r="E1557" s="11">
        <f t="shared" si="661"/>
        <v>100</v>
      </c>
      <c r="F1557" s="12">
        <v>50</v>
      </c>
      <c r="G1557" s="9">
        <v>50</v>
      </c>
      <c r="H1557" s="10">
        <v>50</v>
      </c>
      <c r="I1557" s="11">
        <f t="shared" si="662"/>
        <v>150</v>
      </c>
      <c r="J1557" s="11">
        <f t="shared" si="663"/>
        <v>250</v>
      </c>
      <c r="K1557" s="65">
        <v>43395</v>
      </c>
      <c r="W1557" s="28" t="s">
        <v>15</v>
      </c>
      <c r="X1557" s="8"/>
      <c r="Y1557" s="9"/>
      <c r="Z1557" s="10"/>
      <c r="AA1557" s="11">
        <f t="shared" si="664"/>
        <v>0</v>
      </c>
      <c r="AB1557" s="12"/>
      <c r="AC1557" s="9"/>
      <c r="AD1557" s="10"/>
      <c r="AE1557" s="11">
        <f t="shared" si="665"/>
        <v>0</v>
      </c>
      <c r="AF1557" s="11">
        <f t="shared" si="666"/>
        <v>0</v>
      </c>
    </row>
    <row r="1558" spans="1:33" x14ac:dyDescent="0.15">
      <c r="A1558" s="27" t="s">
        <v>799</v>
      </c>
      <c r="B1558" s="8"/>
      <c r="C1558" s="9">
        <v>1</v>
      </c>
      <c r="D1558" s="10"/>
      <c r="E1558" s="11">
        <f t="shared" si="661"/>
        <v>1</v>
      </c>
      <c r="F1558" s="12"/>
      <c r="G1558" s="9"/>
      <c r="H1558" s="10"/>
      <c r="I1558" s="11">
        <f t="shared" si="662"/>
        <v>0</v>
      </c>
      <c r="J1558" s="11">
        <f t="shared" si="663"/>
        <v>1</v>
      </c>
      <c r="K1558" s="71">
        <v>43395</v>
      </c>
      <c r="W1558" s="28" t="s">
        <v>16</v>
      </c>
      <c r="X1558" s="8"/>
      <c r="Y1558" s="9"/>
      <c r="Z1558" s="10"/>
      <c r="AA1558" s="11">
        <f t="shared" si="664"/>
        <v>0</v>
      </c>
      <c r="AB1558" s="12"/>
      <c r="AC1558" s="9"/>
      <c r="AD1558" s="10"/>
      <c r="AE1558" s="11">
        <f t="shared" si="665"/>
        <v>0</v>
      </c>
      <c r="AF1558" s="11">
        <f t="shared" si="666"/>
        <v>0</v>
      </c>
    </row>
    <row r="1559" spans="1:33" x14ac:dyDescent="0.15">
      <c r="A1559" s="28" t="s">
        <v>17</v>
      </c>
      <c r="B1559" s="13"/>
      <c r="C1559" s="14"/>
      <c r="D1559" s="15"/>
      <c r="E1559" s="11">
        <f t="shared" si="661"/>
        <v>0</v>
      </c>
      <c r="F1559" s="16"/>
      <c r="G1559" s="14"/>
      <c r="H1559" s="15"/>
      <c r="I1559" s="11">
        <f t="shared" si="662"/>
        <v>0</v>
      </c>
      <c r="J1559" s="11">
        <f t="shared" si="663"/>
        <v>0</v>
      </c>
      <c r="W1559" s="28" t="s">
        <v>17</v>
      </c>
      <c r="X1559" s="8"/>
      <c r="Y1559" s="9"/>
      <c r="Z1559" s="10"/>
      <c r="AA1559" s="11">
        <f t="shared" si="664"/>
        <v>0</v>
      </c>
      <c r="AB1559" s="12"/>
      <c r="AC1559" s="12"/>
      <c r="AD1559" s="87"/>
      <c r="AE1559" s="11">
        <f t="shared" si="665"/>
        <v>0</v>
      </c>
      <c r="AF1559" s="11">
        <f t="shared" si="666"/>
        <v>0</v>
      </c>
    </row>
    <row r="1560" spans="1:33" ht="14.25" thickBot="1" x14ac:dyDescent="0.2">
      <c r="A1560" s="28" t="s">
        <v>18</v>
      </c>
      <c r="B1560" s="36"/>
      <c r="C1560" s="37"/>
      <c r="D1560" s="40"/>
      <c r="E1560" s="22">
        <f t="shared" si="661"/>
        <v>0</v>
      </c>
      <c r="F1560" s="38"/>
      <c r="G1560" s="38"/>
      <c r="H1560" s="43"/>
      <c r="I1560" s="22">
        <f t="shared" si="662"/>
        <v>0</v>
      </c>
      <c r="J1560" s="22">
        <f t="shared" si="663"/>
        <v>0</v>
      </c>
      <c r="W1560" s="28" t="s">
        <v>18</v>
      </c>
      <c r="X1560" s="127"/>
      <c r="Y1560" s="128"/>
      <c r="Z1560" s="129"/>
      <c r="AA1560" s="130">
        <f t="shared" si="664"/>
        <v>0</v>
      </c>
      <c r="AB1560" s="131"/>
      <c r="AC1560" s="131"/>
      <c r="AD1560" s="132"/>
      <c r="AE1560" s="130">
        <f t="shared" si="665"/>
        <v>0</v>
      </c>
      <c r="AF1560" s="130">
        <f t="shared" si="666"/>
        <v>0</v>
      </c>
    </row>
    <row r="1561" spans="1:33" ht="14.25" thickBot="1" x14ac:dyDescent="0.2">
      <c r="A1561" s="39" t="s">
        <v>20</v>
      </c>
      <c r="B1561" s="32">
        <f t="shared" ref="B1561:J1561" si="667">SUM(B1552:B1560)</f>
        <v>84</v>
      </c>
      <c r="C1561" s="33">
        <f t="shared" si="667"/>
        <v>124</v>
      </c>
      <c r="D1561" s="34">
        <f t="shared" si="667"/>
        <v>88</v>
      </c>
      <c r="E1561" s="42">
        <f t="shared" si="667"/>
        <v>296</v>
      </c>
      <c r="F1561" s="32">
        <f t="shared" si="667"/>
        <v>136</v>
      </c>
      <c r="G1561" s="33">
        <f t="shared" si="667"/>
        <v>125</v>
      </c>
      <c r="H1561" s="34">
        <f t="shared" si="667"/>
        <v>123</v>
      </c>
      <c r="I1561" s="42">
        <f t="shared" si="667"/>
        <v>384</v>
      </c>
      <c r="J1561" s="42">
        <f t="shared" si="667"/>
        <v>680</v>
      </c>
      <c r="W1561" s="39" t="s">
        <v>20</v>
      </c>
      <c r="X1561" s="32">
        <f t="shared" ref="X1561:AF1561" si="668">SUM(X1552:X1560)</f>
        <v>1500</v>
      </c>
      <c r="Y1561" s="33">
        <f t="shared" si="668"/>
        <v>1500</v>
      </c>
      <c r="Z1561" s="34">
        <f t="shared" si="668"/>
        <v>1000</v>
      </c>
      <c r="AA1561" s="42">
        <f t="shared" si="668"/>
        <v>4000</v>
      </c>
      <c r="AB1561" s="32">
        <f t="shared" si="668"/>
        <v>880</v>
      </c>
      <c r="AC1561" s="33">
        <f t="shared" si="668"/>
        <v>950</v>
      </c>
      <c r="AD1561" s="34">
        <f t="shared" si="668"/>
        <v>1000</v>
      </c>
      <c r="AE1561" s="42">
        <f t="shared" si="668"/>
        <v>2830</v>
      </c>
      <c r="AF1561" s="42">
        <f t="shared" si="668"/>
        <v>6830</v>
      </c>
    </row>
    <row r="1562" spans="1:33" x14ac:dyDescent="0.15">
      <c r="A1562" s="27" t="s">
        <v>786</v>
      </c>
      <c r="B1562" s="13"/>
      <c r="C1562" s="14"/>
      <c r="D1562" s="15">
        <v>1</v>
      </c>
      <c r="E1562" s="11">
        <f>SUM(B1562:D1562)</f>
        <v>1</v>
      </c>
      <c r="F1562" s="16"/>
      <c r="G1562" s="14"/>
      <c r="H1562" s="15"/>
      <c r="I1562" s="11">
        <f>SUM(F1562:H1562)</f>
        <v>0</v>
      </c>
      <c r="J1562" s="11">
        <f>E1562+I1562</f>
        <v>1</v>
      </c>
      <c r="K1562" s="65">
        <v>43346</v>
      </c>
      <c r="W1562" s="29" t="s">
        <v>784</v>
      </c>
      <c r="X1562" s="8"/>
      <c r="Y1562" s="9">
        <v>200</v>
      </c>
      <c r="Z1562" s="10"/>
      <c r="AA1562" s="11">
        <f>SUM(X1562:Z1562)</f>
        <v>200</v>
      </c>
      <c r="AB1562" s="12"/>
      <c r="AC1562" s="9"/>
      <c r="AD1562" s="10"/>
      <c r="AE1562" s="11">
        <f>SUM(AB1562:AD1562)</f>
        <v>0</v>
      </c>
      <c r="AF1562" s="11">
        <f t="shared" ref="AF1562:AF1587" si="669">AA1562+AE1562</f>
        <v>200</v>
      </c>
      <c r="AG1562" s="65">
        <v>43339</v>
      </c>
    </row>
    <row r="1563" spans="1:33" x14ac:dyDescent="0.15">
      <c r="A1563" s="27" t="s">
        <v>692</v>
      </c>
      <c r="B1563" s="13"/>
      <c r="C1563" s="14">
        <v>4</v>
      </c>
      <c r="D1563" s="15"/>
      <c r="E1563" s="11">
        <f t="shared" ref="E1563:E1587" si="670">SUM(B1563:D1563)</f>
        <v>4</v>
      </c>
      <c r="F1563" s="16"/>
      <c r="G1563" s="14"/>
      <c r="H1563" s="15"/>
      <c r="I1563" s="11">
        <f>SUM(F1563:H1563)</f>
        <v>0</v>
      </c>
      <c r="J1563" s="11">
        <f t="shared" ref="J1563:J1587" si="671">E1563+I1563</f>
        <v>4</v>
      </c>
      <c r="K1563" s="65">
        <v>43349</v>
      </c>
      <c r="W1563" s="29" t="s">
        <v>41</v>
      </c>
      <c r="X1563" s="8"/>
      <c r="Y1563" s="9">
        <v>50</v>
      </c>
      <c r="Z1563" s="10"/>
      <c r="AA1563" s="11">
        <f>SUM(X1563:Z1563)</f>
        <v>50</v>
      </c>
      <c r="AB1563" s="12"/>
      <c r="AC1563" s="9"/>
      <c r="AD1563" s="10"/>
      <c r="AE1563" s="11">
        <f>SUM(AB1563:AD1563)</f>
        <v>0</v>
      </c>
      <c r="AF1563" s="11">
        <f t="shared" si="669"/>
        <v>50</v>
      </c>
      <c r="AG1563" s="65">
        <v>43355</v>
      </c>
    </row>
    <row r="1564" spans="1:33" x14ac:dyDescent="0.15">
      <c r="A1564" s="27" t="s">
        <v>785</v>
      </c>
      <c r="B1564" s="8"/>
      <c r="C1564" s="9"/>
      <c r="D1564" s="10">
        <v>1</v>
      </c>
      <c r="E1564" s="11">
        <f t="shared" si="670"/>
        <v>1</v>
      </c>
      <c r="F1564" s="12"/>
      <c r="G1564" s="9"/>
      <c r="H1564" s="10"/>
      <c r="I1564" s="11">
        <f>SUM(F1564:H1564)</f>
        <v>0</v>
      </c>
      <c r="J1564" s="11">
        <f t="shared" si="671"/>
        <v>1</v>
      </c>
      <c r="K1564" s="65">
        <v>43348</v>
      </c>
      <c r="W1564" s="29" t="s">
        <v>41</v>
      </c>
      <c r="X1564" s="8"/>
      <c r="Y1564" s="9"/>
      <c r="Z1564" s="10"/>
      <c r="AA1564" s="11">
        <f t="shared" ref="AA1564:AA1587" si="672">SUM(X1564:Z1564)</f>
        <v>0</v>
      </c>
      <c r="AB1564" s="12"/>
      <c r="AC1564" s="9"/>
      <c r="AD1564" s="10">
        <v>50</v>
      </c>
      <c r="AE1564" s="11">
        <f t="shared" ref="AE1564:AE1587" si="673">SUM(AB1564:AD1564)</f>
        <v>50</v>
      </c>
      <c r="AF1564" s="11">
        <f t="shared" si="669"/>
        <v>50</v>
      </c>
      <c r="AG1564" s="65">
        <v>43374</v>
      </c>
    </row>
    <row r="1565" spans="1:33" x14ac:dyDescent="0.15">
      <c r="A1565" s="29" t="s">
        <v>788</v>
      </c>
      <c r="B1565" s="8">
        <v>1</v>
      </c>
      <c r="C1565" s="9"/>
      <c r="D1565" s="10"/>
      <c r="E1565" s="11">
        <f t="shared" si="670"/>
        <v>1</v>
      </c>
      <c r="F1565" s="12"/>
      <c r="G1565" s="9"/>
      <c r="H1565" s="10"/>
      <c r="I1565" s="11">
        <f>SUM(F1565:H1565)</f>
        <v>0</v>
      </c>
      <c r="J1565" s="11">
        <f t="shared" si="671"/>
        <v>1</v>
      </c>
      <c r="K1565" s="65">
        <v>43354</v>
      </c>
      <c r="W1565" s="29" t="s">
        <v>41</v>
      </c>
      <c r="X1565" s="8"/>
      <c r="Y1565" s="9"/>
      <c r="Z1565" s="10">
        <v>50</v>
      </c>
      <c r="AA1565" s="11">
        <f t="shared" si="672"/>
        <v>50</v>
      </c>
      <c r="AB1565" s="12">
        <v>50</v>
      </c>
      <c r="AC1565" s="9">
        <v>50</v>
      </c>
      <c r="AD1565" s="10"/>
      <c r="AE1565" s="11">
        <f t="shared" si="673"/>
        <v>100</v>
      </c>
      <c r="AF1565" s="11">
        <f t="shared" si="669"/>
        <v>150</v>
      </c>
      <c r="AG1565" s="65">
        <v>43384</v>
      </c>
    </row>
    <row r="1566" spans="1:33" x14ac:dyDescent="0.15">
      <c r="A1566" s="27" t="s">
        <v>667</v>
      </c>
      <c r="B1566" s="8"/>
      <c r="C1566" s="9">
        <v>10</v>
      </c>
      <c r="D1566" s="10"/>
      <c r="E1566" s="11">
        <f t="shared" si="670"/>
        <v>10</v>
      </c>
      <c r="F1566" s="12">
        <v>10</v>
      </c>
      <c r="G1566" s="9">
        <v>5</v>
      </c>
      <c r="H1566" s="10"/>
      <c r="I1566" s="11">
        <f>SUM(F1566:H1566)</f>
        <v>15</v>
      </c>
      <c r="J1566" s="11">
        <f t="shared" si="671"/>
        <v>25</v>
      </c>
      <c r="K1566" s="65">
        <v>43357</v>
      </c>
      <c r="W1566" s="29" t="s">
        <v>793</v>
      </c>
      <c r="X1566" s="8"/>
      <c r="Y1566" s="9">
        <v>150</v>
      </c>
      <c r="Z1566" s="10"/>
      <c r="AA1566" s="11">
        <f>SUM(X1566:Z1566)</f>
        <v>150</v>
      </c>
      <c r="AB1566" s="12"/>
      <c r="AC1566" s="9">
        <v>100</v>
      </c>
      <c r="AD1566" s="10">
        <v>50</v>
      </c>
      <c r="AE1566" s="11">
        <f>SUM(AB1566:AD1566)</f>
        <v>150</v>
      </c>
      <c r="AF1566" s="11">
        <f>AA1566+AE1566</f>
        <v>300</v>
      </c>
      <c r="AG1566" s="65">
        <v>43388</v>
      </c>
    </row>
    <row r="1567" spans="1:33" x14ac:dyDescent="0.15">
      <c r="A1567" s="29" t="s">
        <v>789</v>
      </c>
      <c r="B1567" s="8">
        <v>2</v>
      </c>
      <c r="C1567" s="9">
        <v>6</v>
      </c>
      <c r="D1567" s="10">
        <v>4</v>
      </c>
      <c r="E1567" s="139">
        <f t="shared" si="670"/>
        <v>12</v>
      </c>
      <c r="F1567" s="140"/>
      <c r="G1567" s="140"/>
      <c r="H1567" s="10">
        <v>8</v>
      </c>
      <c r="I1567" s="11">
        <f t="shared" ref="I1567:I1587" si="674">SUM(F1567:H1567)</f>
        <v>8</v>
      </c>
      <c r="J1567" s="11">
        <f t="shared" si="671"/>
        <v>20</v>
      </c>
      <c r="K1567" s="65">
        <v>43356</v>
      </c>
      <c r="W1567" s="29" t="s">
        <v>41</v>
      </c>
      <c r="X1567" s="8">
        <v>50</v>
      </c>
      <c r="Y1567" s="9">
        <v>50</v>
      </c>
      <c r="Z1567" s="10"/>
      <c r="AA1567" s="11">
        <f t="shared" si="672"/>
        <v>100</v>
      </c>
      <c r="AB1567" s="12">
        <v>50</v>
      </c>
      <c r="AC1567" s="9">
        <v>50</v>
      </c>
      <c r="AD1567" s="10">
        <v>50</v>
      </c>
      <c r="AE1567" s="11">
        <f t="shared" si="673"/>
        <v>150</v>
      </c>
      <c r="AF1567" s="11">
        <f t="shared" si="669"/>
        <v>250</v>
      </c>
      <c r="AG1567" s="65">
        <v>43395</v>
      </c>
    </row>
    <row r="1568" spans="1:33" x14ac:dyDescent="0.15">
      <c r="A1568" s="29" t="s">
        <v>246</v>
      </c>
      <c r="B1568" s="8">
        <v>2</v>
      </c>
      <c r="C1568" s="9">
        <v>4</v>
      </c>
      <c r="D1568" s="10">
        <v>2</v>
      </c>
      <c r="E1568" s="11">
        <f t="shared" si="670"/>
        <v>8</v>
      </c>
      <c r="F1568" s="12">
        <v>2</v>
      </c>
      <c r="G1568" s="9">
        <v>2</v>
      </c>
      <c r="H1568" s="10"/>
      <c r="I1568" s="11">
        <f t="shared" si="674"/>
        <v>4</v>
      </c>
      <c r="J1568" s="11">
        <f t="shared" si="671"/>
        <v>12</v>
      </c>
      <c r="K1568" s="65">
        <v>43363</v>
      </c>
      <c r="W1568" s="29"/>
      <c r="X1568" s="8"/>
      <c r="Y1568" s="9"/>
      <c r="Z1568" s="10"/>
      <c r="AA1568" s="11">
        <f t="shared" si="672"/>
        <v>0</v>
      </c>
      <c r="AB1568" s="12"/>
      <c r="AC1568" s="9"/>
      <c r="AD1568" s="10"/>
      <c r="AE1568" s="11">
        <f t="shared" si="673"/>
        <v>0</v>
      </c>
      <c r="AF1568" s="11">
        <f t="shared" si="669"/>
        <v>0</v>
      </c>
    </row>
    <row r="1569" spans="1:32" x14ac:dyDescent="0.15">
      <c r="A1569" s="26" t="s">
        <v>790</v>
      </c>
      <c r="B1569" s="8">
        <v>4</v>
      </c>
      <c r="C1569" s="9">
        <v>2</v>
      </c>
      <c r="D1569" s="10"/>
      <c r="E1569" s="11">
        <f t="shared" si="670"/>
        <v>6</v>
      </c>
      <c r="F1569" s="12">
        <v>2</v>
      </c>
      <c r="G1569" s="9">
        <v>2</v>
      </c>
      <c r="H1569" s="10"/>
      <c r="I1569" s="11">
        <f t="shared" si="674"/>
        <v>4</v>
      </c>
      <c r="J1569" s="11">
        <f t="shared" si="671"/>
        <v>10</v>
      </c>
      <c r="K1569" s="65">
        <v>43361</v>
      </c>
      <c r="W1569" s="29"/>
      <c r="X1569" s="8"/>
      <c r="Y1569" s="9"/>
      <c r="Z1569" s="10"/>
      <c r="AA1569" s="11">
        <f t="shared" si="672"/>
        <v>0</v>
      </c>
      <c r="AB1569" s="12"/>
      <c r="AC1569" s="9"/>
      <c r="AD1569" s="10"/>
      <c r="AE1569" s="11">
        <f t="shared" si="673"/>
        <v>0</v>
      </c>
      <c r="AF1569" s="11">
        <f t="shared" si="669"/>
        <v>0</v>
      </c>
    </row>
    <row r="1570" spans="1:32" x14ac:dyDescent="0.15">
      <c r="A1570" s="27" t="s">
        <v>67</v>
      </c>
      <c r="B1570" s="13"/>
      <c r="C1570" s="14"/>
      <c r="D1570" s="15"/>
      <c r="E1570" s="11">
        <f t="shared" si="670"/>
        <v>0</v>
      </c>
      <c r="F1570" s="16">
        <v>1</v>
      </c>
      <c r="G1570" s="14"/>
      <c r="H1570" s="15"/>
      <c r="I1570" s="11">
        <f t="shared" si="674"/>
        <v>1</v>
      </c>
      <c r="J1570" s="11">
        <f t="shared" si="671"/>
        <v>1</v>
      </c>
      <c r="K1570" s="65">
        <v>43361</v>
      </c>
      <c r="W1570" s="27"/>
      <c r="X1570" s="8"/>
      <c r="Y1570" s="9"/>
      <c r="Z1570" s="10"/>
      <c r="AA1570" s="11">
        <f t="shared" si="672"/>
        <v>0</v>
      </c>
      <c r="AB1570" s="12"/>
      <c r="AC1570" s="9"/>
      <c r="AD1570" s="10"/>
      <c r="AE1570" s="11">
        <f t="shared" si="673"/>
        <v>0</v>
      </c>
      <c r="AF1570" s="11">
        <f t="shared" si="669"/>
        <v>0</v>
      </c>
    </row>
    <row r="1571" spans="1:32" x14ac:dyDescent="0.15">
      <c r="A1571" s="29" t="s">
        <v>246</v>
      </c>
      <c r="B1571" s="13">
        <v>2</v>
      </c>
      <c r="C1571" s="14"/>
      <c r="D1571" s="15">
        <v>2</v>
      </c>
      <c r="E1571" s="11">
        <f t="shared" si="670"/>
        <v>4</v>
      </c>
      <c r="F1571" s="16">
        <v>2</v>
      </c>
      <c r="G1571" s="14"/>
      <c r="H1571" s="15">
        <v>2</v>
      </c>
      <c r="I1571" s="11">
        <f t="shared" si="674"/>
        <v>4</v>
      </c>
      <c r="J1571" s="11">
        <f t="shared" si="671"/>
        <v>8</v>
      </c>
      <c r="K1571" s="65">
        <v>43370</v>
      </c>
      <c r="W1571" s="29"/>
      <c r="X1571" s="13"/>
      <c r="Y1571" s="14"/>
      <c r="Z1571" s="15"/>
      <c r="AA1571" s="11">
        <f t="shared" si="672"/>
        <v>0</v>
      </c>
      <c r="AB1571" s="16"/>
      <c r="AC1571" s="14"/>
      <c r="AD1571" s="15"/>
      <c r="AE1571" s="11">
        <f t="shared" si="673"/>
        <v>0</v>
      </c>
      <c r="AF1571" s="11">
        <f t="shared" si="669"/>
        <v>0</v>
      </c>
    </row>
    <row r="1572" spans="1:32" x14ac:dyDescent="0.15">
      <c r="A1572" s="27" t="s">
        <v>667</v>
      </c>
      <c r="B1572" s="8"/>
      <c r="C1572" s="9"/>
      <c r="D1572" s="10"/>
      <c r="E1572" s="11">
        <f t="shared" si="670"/>
        <v>0</v>
      </c>
      <c r="F1572" s="12"/>
      <c r="G1572" s="9"/>
      <c r="H1572" s="10">
        <v>5</v>
      </c>
      <c r="I1572" s="11">
        <f t="shared" si="674"/>
        <v>5</v>
      </c>
      <c r="J1572" s="11">
        <f t="shared" si="671"/>
        <v>5</v>
      </c>
      <c r="K1572" s="65">
        <v>43371</v>
      </c>
      <c r="W1572" s="29"/>
      <c r="X1572" s="8"/>
      <c r="Y1572" s="9"/>
      <c r="Z1572" s="10"/>
      <c r="AA1572" s="11">
        <f t="shared" si="672"/>
        <v>0</v>
      </c>
      <c r="AB1572" s="12"/>
      <c r="AC1572" s="9"/>
      <c r="AD1572" s="10"/>
      <c r="AE1572" s="11">
        <f t="shared" si="673"/>
        <v>0</v>
      </c>
      <c r="AF1572" s="11">
        <f t="shared" si="669"/>
        <v>0</v>
      </c>
    </row>
    <row r="1573" spans="1:32" x14ac:dyDescent="0.15">
      <c r="A1573" s="29" t="s">
        <v>791</v>
      </c>
      <c r="B1573" s="8"/>
      <c r="C1573" s="9">
        <v>6</v>
      </c>
      <c r="D1573" s="10"/>
      <c r="E1573" s="11">
        <f t="shared" si="670"/>
        <v>6</v>
      </c>
      <c r="F1573" s="12"/>
      <c r="G1573" s="9"/>
      <c r="H1573" s="10"/>
      <c r="I1573" s="11">
        <f t="shared" si="674"/>
        <v>0</v>
      </c>
      <c r="J1573" s="11">
        <f t="shared" si="671"/>
        <v>6</v>
      </c>
      <c r="K1573" s="65">
        <v>43383</v>
      </c>
      <c r="W1573" s="29"/>
      <c r="X1573" s="8"/>
      <c r="Y1573" s="9"/>
      <c r="Z1573" s="10"/>
      <c r="AA1573" s="11">
        <f t="shared" si="672"/>
        <v>0</v>
      </c>
      <c r="AB1573" s="12"/>
      <c r="AC1573" s="9"/>
      <c r="AD1573" s="10"/>
      <c r="AE1573" s="11">
        <f t="shared" si="673"/>
        <v>0</v>
      </c>
      <c r="AF1573" s="11">
        <f t="shared" si="669"/>
        <v>0</v>
      </c>
    </row>
    <row r="1574" spans="1:32" x14ac:dyDescent="0.15">
      <c r="A1574" s="27" t="s">
        <v>792</v>
      </c>
      <c r="B1574" s="8"/>
      <c r="C1574" s="9"/>
      <c r="D1574" s="10"/>
      <c r="E1574" s="11">
        <f t="shared" si="670"/>
        <v>0</v>
      </c>
      <c r="F1574" s="12"/>
      <c r="G1574" s="9"/>
      <c r="H1574" s="10">
        <v>2</v>
      </c>
      <c r="I1574" s="11">
        <f t="shared" si="674"/>
        <v>2</v>
      </c>
      <c r="J1574" s="11">
        <f t="shared" si="671"/>
        <v>2</v>
      </c>
      <c r="K1574" s="65">
        <v>43376</v>
      </c>
      <c r="W1574" s="27"/>
      <c r="X1574" s="8"/>
      <c r="Y1574" s="9"/>
      <c r="Z1574" s="10"/>
      <c r="AA1574" s="11">
        <f t="shared" si="672"/>
        <v>0</v>
      </c>
      <c r="AB1574" s="12"/>
      <c r="AC1574" s="9"/>
      <c r="AD1574" s="10"/>
      <c r="AE1574" s="11">
        <f t="shared" si="673"/>
        <v>0</v>
      </c>
      <c r="AF1574" s="11">
        <f t="shared" si="669"/>
        <v>0</v>
      </c>
    </row>
    <row r="1575" spans="1:32" x14ac:dyDescent="0.15">
      <c r="A1575" s="27" t="s">
        <v>794</v>
      </c>
      <c r="B1575" s="8"/>
      <c r="C1575" s="9"/>
      <c r="D1575" s="10">
        <v>20</v>
      </c>
      <c r="E1575" s="11">
        <f t="shared" si="670"/>
        <v>20</v>
      </c>
      <c r="F1575" s="12">
        <v>10</v>
      </c>
      <c r="G1575" s="9">
        <v>10</v>
      </c>
      <c r="H1575" s="10">
        <v>10</v>
      </c>
      <c r="I1575" s="11">
        <f t="shared" si="674"/>
        <v>30</v>
      </c>
      <c r="J1575" s="11">
        <f t="shared" si="671"/>
        <v>50</v>
      </c>
      <c r="K1575" s="65">
        <v>43383</v>
      </c>
      <c r="W1575" s="29"/>
      <c r="X1575" s="8"/>
      <c r="Y1575" s="9"/>
      <c r="Z1575" s="10"/>
      <c r="AA1575" s="11">
        <f t="shared" si="672"/>
        <v>0</v>
      </c>
      <c r="AB1575" s="12"/>
      <c r="AC1575" s="9"/>
      <c r="AD1575" s="10"/>
      <c r="AE1575" s="11">
        <f t="shared" si="673"/>
        <v>0</v>
      </c>
      <c r="AF1575" s="11">
        <f t="shared" si="669"/>
        <v>0</v>
      </c>
    </row>
    <row r="1576" spans="1:32" x14ac:dyDescent="0.15">
      <c r="A1576" s="27" t="s">
        <v>67</v>
      </c>
      <c r="B1576" s="8"/>
      <c r="C1576" s="9">
        <v>2</v>
      </c>
      <c r="D1576" s="10"/>
      <c r="E1576" s="11">
        <f t="shared" si="670"/>
        <v>2</v>
      </c>
      <c r="F1576" s="12"/>
      <c r="G1576" s="9"/>
      <c r="H1576" s="10"/>
      <c r="I1576" s="11">
        <f t="shared" si="674"/>
        <v>0</v>
      </c>
      <c r="J1576" s="11">
        <f t="shared" si="671"/>
        <v>2</v>
      </c>
      <c r="K1576" s="65">
        <v>43382</v>
      </c>
      <c r="W1576" s="29"/>
      <c r="X1576" s="8"/>
      <c r="Y1576" s="9"/>
      <c r="Z1576" s="10"/>
      <c r="AA1576" s="11">
        <f t="shared" si="672"/>
        <v>0</v>
      </c>
      <c r="AB1576" s="12"/>
      <c r="AC1576" s="9"/>
      <c r="AD1576" s="10"/>
      <c r="AE1576" s="11">
        <f t="shared" si="673"/>
        <v>0</v>
      </c>
      <c r="AF1576" s="11">
        <f t="shared" si="669"/>
        <v>0</v>
      </c>
    </row>
    <row r="1577" spans="1:32" x14ac:dyDescent="0.15">
      <c r="A1577" s="27" t="s">
        <v>795</v>
      </c>
      <c r="B1577" s="8"/>
      <c r="C1577" s="9">
        <v>4</v>
      </c>
      <c r="D1577" s="10"/>
      <c r="E1577" s="11">
        <f t="shared" si="670"/>
        <v>4</v>
      </c>
      <c r="F1577" s="12">
        <v>4</v>
      </c>
      <c r="G1577" s="9">
        <v>6</v>
      </c>
      <c r="H1577" s="10">
        <v>6</v>
      </c>
      <c r="I1577" s="11">
        <f t="shared" si="674"/>
        <v>16</v>
      </c>
      <c r="J1577" s="11">
        <f t="shared" si="671"/>
        <v>20</v>
      </c>
      <c r="K1577" s="65">
        <v>43384</v>
      </c>
      <c r="W1577" s="27"/>
      <c r="X1577" s="8"/>
      <c r="Y1577" s="9"/>
      <c r="Z1577" s="10"/>
      <c r="AA1577" s="11">
        <f t="shared" si="672"/>
        <v>0</v>
      </c>
      <c r="AB1577" s="12"/>
      <c r="AC1577" s="9"/>
      <c r="AD1577" s="10"/>
      <c r="AE1577" s="11">
        <f t="shared" si="673"/>
        <v>0</v>
      </c>
      <c r="AF1577" s="11">
        <f t="shared" si="669"/>
        <v>0</v>
      </c>
    </row>
    <row r="1578" spans="1:32" x14ac:dyDescent="0.15">
      <c r="A1578" s="27" t="s">
        <v>687</v>
      </c>
      <c r="B1578" s="8"/>
      <c r="C1578" s="9"/>
      <c r="D1578" s="10"/>
      <c r="E1578" s="11">
        <f t="shared" si="670"/>
        <v>0</v>
      </c>
      <c r="F1578" s="12"/>
      <c r="G1578" s="9">
        <v>2</v>
      </c>
      <c r="H1578" s="10"/>
      <c r="I1578" s="11">
        <f t="shared" si="674"/>
        <v>2</v>
      </c>
      <c r="J1578" s="11">
        <f t="shared" si="671"/>
        <v>2</v>
      </c>
      <c r="K1578" s="65">
        <v>43385</v>
      </c>
      <c r="W1578" s="29"/>
      <c r="X1578" s="8"/>
      <c r="Y1578" s="9"/>
      <c r="Z1578" s="10"/>
      <c r="AA1578" s="11">
        <f t="shared" si="672"/>
        <v>0</v>
      </c>
      <c r="AB1578" s="12"/>
      <c r="AC1578" s="9"/>
      <c r="AD1578" s="10"/>
      <c r="AE1578" s="11">
        <f t="shared" si="673"/>
        <v>0</v>
      </c>
      <c r="AF1578" s="11">
        <f t="shared" si="669"/>
        <v>0</v>
      </c>
    </row>
    <row r="1579" spans="1:32" x14ac:dyDescent="0.15">
      <c r="A1579" s="27" t="s">
        <v>796</v>
      </c>
      <c r="B1579" s="8"/>
      <c r="C1579" s="9"/>
      <c r="D1579" s="10"/>
      <c r="E1579" s="11">
        <f t="shared" si="670"/>
        <v>0</v>
      </c>
      <c r="F1579" s="12">
        <v>4</v>
      </c>
      <c r="G1579" s="9">
        <v>4</v>
      </c>
      <c r="H1579" s="10">
        <v>4</v>
      </c>
      <c r="I1579" s="11">
        <f t="shared" si="674"/>
        <v>12</v>
      </c>
      <c r="J1579" s="11">
        <f t="shared" si="671"/>
        <v>12</v>
      </c>
      <c r="K1579" s="65">
        <v>43385</v>
      </c>
      <c r="W1579" s="27"/>
      <c r="X1579" s="8"/>
      <c r="Y1579" s="9"/>
      <c r="Z1579" s="10"/>
      <c r="AA1579" s="11">
        <f t="shared" si="672"/>
        <v>0</v>
      </c>
      <c r="AB1579" s="12"/>
      <c r="AC1579" s="9"/>
      <c r="AD1579" s="10"/>
      <c r="AE1579" s="11">
        <f t="shared" si="673"/>
        <v>0</v>
      </c>
      <c r="AF1579" s="11">
        <f t="shared" si="669"/>
        <v>0</v>
      </c>
    </row>
    <row r="1580" spans="1:32" x14ac:dyDescent="0.15">
      <c r="A1580" s="26" t="s">
        <v>797</v>
      </c>
      <c r="B1580" s="8"/>
      <c r="C1580" s="9">
        <v>2</v>
      </c>
      <c r="D1580" s="10">
        <v>2</v>
      </c>
      <c r="E1580" s="11">
        <f t="shared" si="670"/>
        <v>4</v>
      </c>
      <c r="F1580" s="12"/>
      <c r="G1580" s="9">
        <v>4</v>
      </c>
      <c r="H1580" s="10">
        <v>6</v>
      </c>
      <c r="I1580" s="11">
        <f t="shared" si="674"/>
        <v>10</v>
      </c>
      <c r="J1580" s="11">
        <f t="shared" si="671"/>
        <v>14</v>
      </c>
      <c r="K1580" s="65">
        <v>43389</v>
      </c>
      <c r="W1580" s="26"/>
      <c r="X1580" s="8"/>
      <c r="Y1580" s="9"/>
      <c r="Z1580" s="10"/>
      <c r="AA1580" s="11">
        <f t="shared" si="672"/>
        <v>0</v>
      </c>
      <c r="AB1580" s="12"/>
      <c r="AC1580" s="9"/>
      <c r="AD1580" s="10"/>
      <c r="AE1580" s="11">
        <f t="shared" si="673"/>
        <v>0</v>
      </c>
      <c r="AF1580" s="11">
        <f t="shared" si="669"/>
        <v>0</v>
      </c>
    </row>
    <row r="1581" spans="1:32" x14ac:dyDescent="0.15">
      <c r="A1581" s="86" t="s">
        <v>798</v>
      </c>
      <c r="B1581" s="8">
        <v>50</v>
      </c>
      <c r="C1581" s="9">
        <v>30</v>
      </c>
      <c r="D1581" s="10">
        <v>30</v>
      </c>
      <c r="E1581" s="11">
        <f t="shared" si="670"/>
        <v>110</v>
      </c>
      <c r="F1581" s="12">
        <v>50</v>
      </c>
      <c r="G1581" s="9">
        <v>30</v>
      </c>
      <c r="H1581" s="10">
        <v>30</v>
      </c>
      <c r="I1581" s="11">
        <f t="shared" si="674"/>
        <v>110</v>
      </c>
      <c r="J1581" s="11">
        <f t="shared" si="671"/>
        <v>220</v>
      </c>
      <c r="K1581" s="65">
        <v>43398</v>
      </c>
      <c r="W1581" s="26"/>
      <c r="X1581" s="8"/>
      <c r="Y1581" s="9"/>
      <c r="Z1581" s="10"/>
      <c r="AA1581" s="11">
        <f t="shared" si="672"/>
        <v>0</v>
      </c>
      <c r="AB1581" s="12"/>
      <c r="AC1581" s="9"/>
      <c r="AD1581" s="10"/>
      <c r="AE1581" s="11">
        <f t="shared" si="673"/>
        <v>0</v>
      </c>
      <c r="AF1581" s="11">
        <f t="shared" si="669"/>
        <v>0</v>
      </c>
    </row>
    <row r="1582" spans="1:32" x14ac:dyDescent="0.15">
      <c r="A1582" s="26" t="s">
        <v>687</v>
      </c>
      <c r="B1582" s="8"/>
      <c r="C1582" s="9">
        <v>3</v>
      </c>
      <c r="D1582" s="10">
        <v>3</v>
      </c>
      <c r="E1582" s="11">
        <f t="shared" si="670"/>
        <v>6</v>
      </c>
      <c r="F1582" s="12"/>
      <c r="G1582" s="9"/>
      <c r="H1582" s="10"/>
      <c r="I1582" s="11">
        <f t="shared" si="674"/>
        <v>0</v>
      </c>
      <c r="J1582" s="11">
        <f t="shared" si="671"/>
        <v>6</v>
      </c>
      <c r="K1582" s="65">
        <v>43391</v>
      </c>
      <c r="W1582" s="27"/>
      <c r="X1582" s="8"/>
      <c r="Y1582" s="9"/>
      <c r="Z1582" s="10"/>
      <c r="AA1582" s="11">
        <f t="shared" si="672"/>
        <v>0</v>
      </c>
      <c r="AB1582" s="12"/>
      <c r="AC1582" s="9"/>
      <c r="AD1582" s="10"/>
      <c r="AE1582" s="11">
        <f t="shared" si="673"/>
        <v>0</v>
      </c>
      <c r="AF1582" s="11">
        <f t="shared" si="669"/>
        <v>0</v>
      </c>
    </row>
    <row r="1583" spans="1:32" x14ac:dyDescent="0.15">
      <c r="A1583" s="27" t="s">
        <v>67</v>
      </c>
      <c r="B1583" s="13"/>
      <c r="C1583" s="14"/>
      <c r="D1583" s="15"/>
      <c r="E1583" s="11">
        <f t="shared" si="670"/>
        <v>0</v>
      </c>
      <c r="F1583" s="16">
        <v>1</v>
      </c>
      <c r="G1583" s="14"/>
      <c r="H1583" s="15"/>
      <c r="I1583" s="11">
        <f t="shared" si="674"/>
        <v>1</v>
      </c>
      <c r="J1583" s="11">
        <f t="shared" si="671"/>
        <v>1</v>
      </c>
      <c r="K1583" s="71">
        <v>43390</v>
      </c>
      <c r="W1583" s="27"/>
      <c r="X1583" s="13"/>
      <c r="Y1583" s="14"/>
      <c r="Z1583" s="15"/>
      <c r="AA1583" s="11">
        <f t="shared" si="672"/>
        <v>0</v>
      </c>
      <c r="AB1583" s="16"/>
      <c r="AC1583" s="14"/>
      <c r="AD1583" s="15"/>
      <c r="AE1583" s="11">
        <f t="shared" si="673"/>
        <v>0</v>
      </c>
      <c r="AF1583" s="11">
        <f t="shared" si="669"/>
        <v>0</v>
      </c>
    </row>
    <row r="1584" spans="1:32" x14ac:dyDescent="0.15">
      <c r="A1584" s="26" t="s">
        <v>687</v>
      </c>
      <c r="B1584" s="8">
        <v>3</v>
      </c>
      <c r="C1584" s="9"/>
      <c r="D1584" s="10"/>
      <c r="E1584" s="11">
        <f t="shared" si="670"/>
        <v>3</v>
      </c>
      <c r="F1584" s="12">
        <v>2</v>
      </c>
      <c r="G1584" s="9">
        <v>2</v>
      </c>
      <c r="H1584" s="10"/>
      <c r="I1584" s="11">
        <f t="shared" si="674"/>
        <v>4</v>
      </c>
      <c r="J1584" s="11">
        <f t="shared" si="671"/>
        <v>7</v>
      </c>
      <c r="K1584" s="65">
        <v>43392</v>
      </c>
      <c r="W1584" s="86"/>
      <c r="X1584" s="13"/>
      <c r="Y1584" s="14"/>
      <c r="Z1584" s="15"/>
      <c r="AA1584" s="11">
        <f t="shared" si="672"/>
        <v>0</v>
      </c>
      <c r="AB1584" s="16"/>
      <c r="AC1584" s="14"/>
      <c r="AD1584" s="15"/>
      <c r="AE1584" s="11">
        <f t="shared" si="673"/>
        <v>0</v>
      </c>
      <c r="AF1584" s="11">
        <f t="shared" si="669"/>
        <v>0</v>
      </c>
    </row>
    <row r="1585" spans="1:33" x14ac:dyDescent="0.15">
      <c r="A1585" s="27" t="s">
        <v>67</v>
      </c>
      <c r="B1585" s="8"/>
      <c r="C1585" s="9"/>
      <c r="D1585" s="10"/>
      <c r="E1585" s="11">
        <f t="shared" si="670"/>
        <v>0</v>
      </c>
      <c r="F1585" s="12">
        <v>2</v>
      </c>
      <c r="G1585" s="9"/>
      <c r="H1585" s="10"/>
      <c r="I1585" s="11">
        <f t="shared" si="674"/>
        <v>2</v>
      </c>
      <c r="J1585" s="11">
        <f t="shared" si="671"/>
        <v>2</v>
      </c>
      <c r="K1585" s="71">
        <v>43395</v>
      </c>
      <c r="W1585" s="86"/>
      <c r="X1585" s="13"/>
      <c r="Y1585" s="14"/>
      <c r="Z1585" s="15"/>
      <c r="AA1585" s="11">
        <f t="shared" si="672"/>
        <v>0</v>
      </c>
      <c r="AB1585" s="16"/>
      <c r="AC1585" s="14"/>
      <c r="AD1585" s="15"/>
      <c r="AE1585" s="11">
        <f t="shared" si="673"/>
        <v>0</v>
      </c>
      <c r="AF1585" s="11">
        <f t="shared" si="669"/>
        <v>0</v>
      </c>
    </row>
    <row r="1586" spans="1:33" x14ac:dyDescent="0.15">
      <c r="A1586" s="29" t="s">
        <v>800</v>
      </c>
      <c r="B1586" s="8">
        <v>2</v>
      </c>
      <c r="C1586" s="9"/>
      <c r="D1586" s="10"/>
      <c r="E1586" s="11">
        <f t="shared" si="670"/>
        <v>2</v>
      </c>
      <c r="F1586" s="12">
        <v>2</v>
      </c>
      <c r="G1586" s="9">
        <v>2</v>
      </c>
      <c r="H1586" s="10">
        <v>2</v>
      </c>
      <c r="I1586" s="11">
        <f t="shared" si="674"/>
        <v>6</v>
      </c>
      <c r="J1586" s="11">
        <f t="shared" si="671"/>
        <v>8</v>
      </c>
      <c r="K1586" s="65">
        <v>43397</v>
      </c>
      <c r="W1586" s="86"/>
      <c r="X1586" s="13"/>
      <c r="Y1586" s="14"/>
      <c r="Z1586" s="15"/>
      <c r="AA1586" s="11">
        <f t="shared" si="672"/>
        <v>0</v>
      </c>
      <c r="AB1586" s="16"/>
      <c r="AC1586" s="14"/>
      <c r="AD1586" s="15"/>
      <c r="AE1586" s="11">
        <f t="shared" si="673"/>
        <v>0</v>
      </c>
      <c r="AF1586" s="11">
        <f t="shared" si="669"/>
        <v>0</v>
      </c>
    </row>
    <row r="1587" spans="1:33" ht="14.25" thickBot="1" x14ac:dyDescent="0.2">
      <c r="A1587" s="29" t="s">
        <v>801</v>
      </c>
      <c r="B1587" s="8">
        <v>5</v>
      </c>
      <c r="C1587" s="9"/>
      <c r="D1587" s="10"/>
      <c r="E1587" s="11">
        <f t="shared" si="670"/>
        <v>5</v>
      </c>
      <c r="F1587" s="16"/>
      <c r="G1587" s="14"/>
      <c r="H1587" s="15"/>
      <c r="I1587" s="11">
        <f t="shared" si="674"/>
        <v>0</v>
      </c>
      <c r="J1587" s="11">
        <f t="shared" si="671"/>
        <v>5</v>
      </c>
      <c r="K1587" s="65">
        <v>43399</v>
      </c>
      <c r="W1587" s="147" t="s">
        <v>787</v>
      </c>
      <c r="X1587" s="52"/>
      <c r="Y1587" s="53"/>
      <c r="Z1587" s="54"/>
      <c r="AA1587" s="55">
        <f t="shared" si="672"/>
        <v>0</v>
      </c>
      <c r="AB1587" s="56"/>
      <c r="AC1587" s="53"/>
      <c r="AD1587" s="54"/>
      <c r="AE1587" s="55">
        <f t="shared" si="673"/>
        <v>0</v>
      </c>
      <c r="AF1587" s="55">
        <f t="shared" si="669"/>
        <v>0</v>
      </c>
      <c r="AG1587" s="57"/>
    </row>
    <row r="1588" spans="1:33" ht="14.25" thickBot="1" x14ac:dyDescent="0.2">
      <c r="A1588" s="44" t="s">
        <v>13</v>
      </c>
      <c r="B1588" s="48">
        <f t="shared" ref="B1588:I1588" si="675">SUM(B1562:B1587)</f>
        <v>71</v>
      </c>
      <c r="C1588" s="49">
        <f t="shared" si="675"/>
        <v>73</v>
      </c>
      <c r="D1588" s="50">
        <f t="shared" si="675"/>
        <v>65</v>
      </c>
      <c r="E1588" s="46">
        <f t="shared" si="675"/>
        <v>209</v>
      </c>
      <c r="F1588" s="48">
        <f t="shared" si="675"/>
        <v>92</v>
      </c>
      <c r="G1588" s="49">
        <f t="shared" si="675"/>
        <v>69</v>
      </c>
      <c r="H1588" s="50">
        <f t="shared" si="675"/>
        <v>75</v>
      </c>
      <c r="I1588" s="46">
        <f t="shared" si="675"/>
        <v>236</v>
      </c>
      <c r="J1588" s="35">
        <f>E1588+I1588</f>
        <v>445</v>
      </c>
      <c r="W1588" s="44" t="s">
        <v>13</v>
      </c>
      <c r="X1588" s="48">
        <f t="shared" ref="X1588:AE1588" si="676">SUM(X1562:X1587)</f>
        <v>50</v>
      </c>
      <c r="Y1588" s="49">
        <f t="shared" si="676"/>
        <v>450</v>
      </c>
      <c r="Z1588" s="50">
        <f t="shared" si="676"/>
        <v>50</v>
      </c>
      <c r="AA1588" s="46">
        <f t="shared" si="676"/>
        <v>550</v>
      </c>
      <c r="AB1588" s="48">
        <f t="shared" si="676"/>
        <v>100</v>
      </c>
      <c r="AC1588" s="49">
        <f t="shared" si="676"/>
        <v>200</v>
      </c>
      <c r="AD1588" s="50">
        <f t="shared" si="676"/>
        <v>150</v>
      </c>
      <c r="AE1588" s="46">
        <f t="shared" si="676"/>
        <v>450</v>
      </c>
      <c r="AF1588" s="35">
        <f>AA1588+AE1588</f>
        <v>1000</v>
      </c>
    </row>
    <row r="1589" spans="1:33" ht="14.25" thickBot="1" x14ac:dyDescent="0.2">
      <c r="A1589" s="23" t="s">
        <v>14</v>
      </c>
      <c r="B1589" s="24">
        <f t="shared" ref="B1589:J1589" si="677">B1561-B1588</f>
        <v>13</v>
      </c>
      <c r="C1589" s="25">
        <f t="shared" si="677"/>
        <v>51</v>
      </c>
      <c r="D1589" s="30">
        <f t="shared" si="677"/>
        <v>23</v>
      </c>
      <c r="E1589" s="51">
        <f t="shared" si="677"/>
        <v>87</v>
      </c>
      <c r="F1589" s="24">
        <f t="shared" si="677"/>
        <v>44</v>
      </c>
      <c r="G1589" s="25">
        <f t="shared" si="677"/>
        <v>56</v>
      </c>
      <c r="H1589" s="30">
        <f t="shared" si="677"/>
        <v>48</v>
      </c>
      <c r="I1589" s="47">
        <f t="shared" si="677"/>
        <v>148</v>
      </c>
      <c r="J1589" s="79">
        <f t="shared" si="677"/>
        <v>235</v>
      </c>
      <c r="W1589" s="23" t="s">
        <v>14</v>
      </c>
      <c r="X1589" s="24">
        <f t="shared" ref="X1589:AF1589" si="678">X1561-X1588</f>
        <v>1450</v>
      </c>
      <c r="Y1589" s="25">
        <f t="shared" si="678"/>
        <v>1050</v>
      </c>
      <c r="Z1589" s="30">
        <f t="shared" si="678"/>
        <v>950</v>
      </c>
      <c r="AA1589" s="51">
        <f t="shared" si="678"/>
        <v>3450</v>
      </c>
      <c r="AB1589" s="24">
        <f t="shared" si="678"/>
        <v>780</v>
      </c>
      <c r="AC1589" s="25">
        <f t="shared" si="678"/>
        <v>750</v>
      </c>
      <c r="AD1589" s="30">
        <f t="shared" si="678"/>
        <v>850</v>
      </c>
      <c r="AE1589" s="47">
        <f t="shared" si="678"/>
        <v>2380</v>
      </c>
      <c r="AF1589" s="79">
        <f t="shared" si="678"/>
        <v>5830</v>
      </c>
    </row>
    <row r="1592" spans="1:33" ht="19.5" thickBot="1" x14ac:dyDescent="0.25">
      <c r="A1592" s="144" t="s">
        <v>21</v>
      </c>
      <c r="B1592" s="145"/>
      <c r="C1592" s="145"/>
      <c r="D1592" s="145"/>
      <c r="E1592" s="145"/>
      <c r="F1592" s="146" t="s">
        <v>764</v>
      </c>
      <c r="G1592" s="145"/>
      <c r="H1592" s="145"/>
      <c r="I1592" s="145"/>
      <c r="J1592" s="145"/>
      <c r="W1592" s="144" t="s">
        <v>765</v>
      </c>
      <c r="X1592" s="145"/>
      <c r="Y1592" s="145"/>
      <c r="Z1592" s="145"/>
      <c r="AA1592" s="146" t="s">
        <v>764</v>
      </c>
      <c r="AB1592" s="145"/>
      <c r="AC1592" s="145"/>
      <c r="AD1592" s="145"/>
      <c r="AE1592" s="1"/>
      <c r="AF1592" s="1"/>
    </row>
    <row r="1593" spans="1:33" ht="14.25" thickBot="1" x14ac:dyDescent="0.2">
      <c r="A1593" s="7" t="s">
        <v>0</v>
      </c>
      <c r="B1593" s="168" t="s">
        <v>1</v>
      </c>
      <c r="C1593" s="169"/>
      <c r="D1593" s="169"/>
      <c r="E1593" s="170"/>
      <c r="F1593" s="168" t="s">
        <v>2</v>
      </c>
      <c r="G1593" s="169"/>
      <c r="H1593" s="169"/>
      <c r="I1593" s="171"/>
      <c r="J1593" s="172" t="s">
        <v>3</v>
      </c>
      <c r="W1593" s="7" t="s">
        <v>0</v>
      </c>
      <c r="X1593" s="174" t="s">
        <v>1</v>
      </c>
      <c r="Y1593" s="175"/>
      <c r="Z1593" s="176"/>
      <c r="AA1593" s="101"/>
      <c r="AB1593" s="174" t="s">
        <v>2</v>
      </c>
      <c r="AC1593" s="175"/>
      <c r="AD1593" s="176"/>
      <c r="AE1593" s="102"/>
      <c r="AF1593" s="103" t="s">
        <v>3</v>
      </c>
    </row>
    <row r="1594" spans="1:33" ht="14.25" thickBot="1" x14ac:dyDescent="0.2">
      <c r="A1594" s="7" t="s">
        <v>4</v>
      </c>
      <c r="B1594" s="3" t="s">
        <v>5</v>
      </c>
      <c r="C1594" s="4" t="s">
        <v>6</v>
      </c>
      <c r="D1594" s="5" t="s">
        <v>7</v>
      </c>
      <c r="E1594" s="7" t="s">
        <v>8</v>
      </c>
      <c r="F1594" s="3" t="s">
        <v>5</v>
      </c>
      <c r="G1594" s="4" t="s">
        <v>6</v>
      </c>
      <c r="H1594" s="5" t="s">
        <v>7</v>
      </c>
      <c r="I1594" s="7" t="s">
        <v>8</v>
      </c>
      <c r="J1594" s="173"/>
      <c r="W1594" s="7" t="s">
        <v>4</v>
      </c>
      <c r="X1594" s="3" t="s">
        <v>5</v>
      </c>
      <c r="Y1594" s="4" t="s">
        <v>6</v>
      </c>
      <c r="Z1594" s="5" t="s">
        <v>7</v>
      </c>
      <c r="AA1594" s="7" t="s">
        <v>8</v>
      </c>
      <c r="AB1594" s="107" t="s">
        <v>5</v>
      </c>
      <c r="AC1594" s="108" t="s">
        <v>6</v>
      </c>
      <c r="AD1594" s="109" t="s">
        <v>7</v>
      </c>
      <c r="AE1594" s="7" t="s">
        <v>8</v>
      </c>
      <c r="AF1594" s="104"/>
    </row>
    <row r="1595" spans="1:33" ht="14.25" thickBot="1" x14ac:dyDescent="0.2">
      <c r="A1595" s="31" t="s">
        <v>14</v>
      </c>
      <c r="B1595" s="32">
        <f>B1589</f>
        <v>13</v>
      </c>
      <c r="C1595" s="33">
        <f>C1589</f>
        <v>51</v>
      </c>
      <c r="D1595" s="34">
        <f>D1589</f>
        <v>23</v>
      </c>
      <c r="E1595" s="41">
        <f>SUM(B1595:D1595)</f>
        <v>87</v>
      </c>
      <c r="F1595" s="32">
        <f>F1589</f>
        <v>44</v>
      </c>
      <c r="G1595" s="33">
        <f>G1589</f>
        <v>56</v>
      </c>
      <c r="H1595" s="34">
        <f>H1589</f>
        <v>48</v>
      </c>
      <c r="I1595" s="41">
        <f>SUM(F1595:H1595)</f>
        <v>148</v>
      </c>
      <c r="J1595" s="41">
        <f>E1595+I1595</f>
        <v>235</v>
      </c>
      <c r="W1595" s="31" t="s">
        <v>14</v>
      </c>
      <c r="X1595" s="32">
        <f>X1589</f>
        <v>1450</v>
      </c>
      <c r="Y1595" s="33">
        <f>Y1589</f>
        <v>1050</v>
      </c>
      <c r="Z1595" s="33">
        <f>Z1589</f>
        <v>950</v>
      </c>
      <c r="AA1595" s="111">
        <f>SUM(X1595:Z1595)</f>
        <v>3450</v>
      </c>
      <c r="AB1595" s="32">
        <f>AB1589</f>
        <v>780</v>
      </c>
      <c r="AC1595" s="33">
        <f>AC1589</f>
        <v>750</v>
      </c>
      <c r="AD1595" s="95">
        <f>AD1589</f>
        <v>850</v>
      </c>
      <c r="AE1595" s="46">
        <f>SUM(AB1595:AD1595)</f>
        <v>2380</v>
      </c>
      <c r="AF1595" s="35">
        <f>AA1595+AE1595</f>
        <v>5830</v>
      </c>
    </row>
    <row r="1596" spans="1:33" x14ac:dyDescent="0.15">
      <c r="A1596" s="28" t="s">
        <v>9</v>
      </c>
      <c r="B1596" s="17">
        <v>50</v>
      </c>
      <c r="C1596" s="18"/>
      <c r="D1596" s="19"/>
      <c r="E1596" s="20">
        <f t="shared" ref="E1596:E1603" si="679">SUM(B1596:D1596)</f>
        <v>50</v>
      </c>
      <c r="F1596" s="21"/>
      <c r="G1596" s="18"/>
      <c r="H1596" s="19"/>
      <c r="I1596" s="20">
        <f t="shared" ref="I1596:I1603" si="680">SUM(F1596:H1596)</f>
        <v>0</v>
      </c>
      <c r="J1596" s="20">
        <f t="shared" ref="J1596:J1603" si="681">E1596+I1596</f>
        <v>50</v>
      </c>
      <c r="K1596" s="65">
        <v>43409</v>
      </c>
      <c r="W1596" s="28" t="s">
        <v>9</v>
      </c>
      <c r="X1596" s="8"/>
      <c r="Y1596" s="9"/>
      <c r="Z1596" s="10"/>
      <c r="AA1596" s="78">
        <f t="shared" ref="AA1596:AA1603" si="682">SUM(X1596:Z1596)</f>
        <v>0</v>
      </c>
      <c r="AB1596" s="21"/>
      <c r="AC1596" s="18"/>
      <c r="AD1596" s="19"/>
      <c r="AE1596" s="78">
        <f t="shared" ref="AE1596:AE1603" si="683">SUM(AB1596:AD1596)</f>
        <v>0</v>
      </c>
      <c r="AF1596" s="78">
        <f t="shared" ref="AF1596:AF1603" si="684">AA1596+AE1596</f>
        <v>0</v>
      </c>
    </row>
    <row r="1597" spans="1:33" x14ac:dyDescent="0.15">
      <c r="A1597" s="28" t="s">
        <v>10</v>
      </c>
      <c r="B1597" s="8"/>
      <c r="C1597" s="9"/>
      <c r="D1597" s="10">
        <v>50</v>
      </c>
      <c r="E1597" s="11">
        <f t="shared" si="679"/>
        <v>50</v>
      </c>
      <c r="F1597" s="12"/>
      <c r="G1597" s="9"/>
      <c r="H1597" s="10"/>
      <c r="I1597" s="11">
        <f t="shared" si="680"/>
        <v>0</v>
      </c>
      <c r="J1597" s="11">
        <f t="shared" si="681"/>
        <v>50</v>
      </c>
      <c r="K1597" s="65">
        <v>43424</v>
      </c>
      <c r="W1597" s="28" t="s">
        <v>10</v>
      </c>
      <c r="X1597" s="8"/>
      <c r="Y1597" s="9"/>
      <c r="Z1597" s="10"/>
      <c r="AA1597" s="11">
        <f t="shared" si="682"/>
        <v>0</v>
      </c>
      <c r="AB1597" s="12"/>
      <c r="AC1597" s="9"/>
      <c r="AD1597" s="10"/>
      <c r="AE1597" s="11">
        <f t="shared" si="683"/>
        <v>0</v>
      </c>
      <c r="AF1597" s="11">
        <f t="shared" si="684"/>
        <v>0</v>
      </c>
      <c r="AG1597" s="64"/>
    </row>
    <row r="1598" spans="1:33" x14ac:dyDescent="0.15">
      <c r="A1598" s="28" t="s">
        <v>11</v>
      </c>
      <c r="B1598" s="8"/>
      <c r="C1598" s="9">
        <v>50</v>
      </c>
      <c r="D1598" s="10"/>
      <c r="E1598" s="11">
        <f t="shared" si="679"/>
        <v>50</v>
      </c>
      <c r="F1598" s="12">
        <v>50</v>
      </c>
      <c r="G1598" s="9"/>
      <c r="H1598" s="10"/>
      <c r="I1598" s="11">
        <f t="shared" si="680"/>
        <v>50</v>
      </c>
      <c r="J1598" s="11">
        <f t="shared" si="681"/>
        <v>100</v>
      </c>
      <c r="K1598" s="65">
        <v>43446</v>
      </c>
      <c r="W1598" s="28" t="s">
        <v>11</v>
      </c>
      <c r="X1598" s="8"/>
      <c r="Y1598" s="9"/>
      <c r="Z1598" s="10"/>
      <c r="AA1598" s="11">
        <f t="shared" si="682"/>
        <v>0</v>
      </c>
      <c r="AB1598" s="12"/>
      <c r="AC1598" s="9"/>
      <c r="AD1598" s="10"/>
      <c r="AE1598" s="11">
        <f t="shared" si="683"/>
        <v>0</v>
      </c>
      <c r="AF1598" s="11">
        <f t="shared" si="684"/>
        <v>0</v>
      </c>
    </row>
    <row r="1599" spans="1:33" x14ac:dyDescent="0.15">
      <c r="A1599" s="28" t="s">
        <v>12</v>
      </c>
      <c r="B1599" s="8"/>
      <c r="C1599" s="9"/>
      <c r="D1599" s="10"/>
      <c r="E1599" s="11">
        <f t="shared" si="679"/>
        <v>0</v>
      </c>
      <c r="F1599" s="12"/>
      <c r="G1599" s="9"/>
      <c r="H1599" s="10"/>
      <c r="I1599" s="11">
        <f t="shared" si="680"/>
        <v>0</v>
      </c>
      <c r="J1599" s="11">
        <f t="shared" si="681"/>
        <v>0</v>
      </c>
      <c r="W1599" s="28" t="s">
        <v>12</v>
      </c>
      <c r="X1599" s="8"/>
      <c r="Y1599" s="9"/>
      <c r="Z1599" s="10"/>
      <c r="AA1599" s="11">
        <f t="shared" si="682"/>
        <v>0</v>
      </c>
      <c r="AB1599" s="12"/>
      <c r="AC1599" s="9"/>
      <c r="AD1599" s="10"/>
      <c r="AE1599" s="11">
        <f t="shared" si="683"/>
        <v>0</v>
      </c>
      <c r="AF1599" s="11">
        <f t="shared" si="684"/>
        <v>0</v>
      </c>
    </row>
    <row r="1600" spans="1:33" x14ac:dyDescent="0.15">
      <c r="A1600" s="28" t="s">
        <v>15</v>
      </c>
      <c r="B1600" s="8"/>
      <c r="C1600" s="9"/>
      <c r="D1600" s="10"/>
      <c r="E1600" s="11">
        <f t="shared" si="679"/>
        <v>0</v>
      </c>
      <c r="F1600" s="12"/>
      <c r="G1600" s="9"/>
      <c r="H1600" s="10"/>
      <c r="I1600" s="11">
        <f t="shared" si="680"/>
        <v>0</v>
      </c>
      <c r="J1600" s="11">
        <f t="shared" si="681"/>
        <v>0</v>
      </c>
      <c r="W1600" s="28" t="s">
        <v>15</v>
      </c>
      <c r="X1600" s="8"/>
      <c r="Y1600" s="9"/>
      <c r="Z1600" s="10"/>
      <c r="AA1600" s="11">
        <f t="shared" si="682"/>
        <v>0</v>
      </c>
      <c r="AB1600" s="12"/>
      <c r="AC1600" s="9"/>
      <c r="AD1600" s="10"/>
      <c r="AE1600" s="11">
        <f t="shared" si="683"/>
        <v>0</v>
      </c>
      <c r="AF1600" s="11">
        <f t="shared" si="684"/>
        <v>0</v>
      </c>
    </row>
    <row r="1601" spans="1:33" x14ac:dyDescent="0.15">
      <c r="A1601" s="28" t="s">
        <v>16</v>
      </c>
      <c r="B1601" s="8"/>
      <c r="C1601" s="9"/>
      <c r="D1601" s="10"/>
      <c r="E1601" s="11">
        <f t="shared" si="679"/>
        <v>0</v>
      </c>
      <c r="F1601" s="12"/>
      <c r="G1601" s="9"/>
      <c r="H1601" s="10"/>
      <c r="I1601" s="11">
        <f t="shared" si="680"/>
        <v>0</v>
      </c>
      <c r="J1601" s="11">
        <f t="shared" si="681"/>
        <v>0</v>
      </c>
      <c r="W1601" s="28" t="s">
        <v>16</v>
      </c>
      <c r="X1601" s="8"/>
      <c r="Y1601" s="9"/>
      <c r="Z1601" s="10"/>
      <c r="AA1601" s="11">
        <f t="shared" si="682"/>
        <v>0</v>
      </c>
      <c r="AB1601" s="12"/>
      <c r="AC1601" s="9"/>
      <c r="AD1601" s="10"/>
      <c r="AE1601" s="11">
        <f t="shared" si="683"/>
        <v>0</v>
      </c>
      <c r="AF1601" s="11">
        <f t="shared" si="684"/>
        <v>0</v>
      </c>
    </row>
    <row r="1602" spans="1:33" x14ac:dyDescent="0.15">
      <c r="A1602" s="28" t="s">
        <v>17</v>
      </c>
      <c r="B1602" s="13"/>
      <c r="C1602" s="14"/>
      <c r="D1602" s="15"/>
      <c r="E1602" s="11">
        <f t="shared" si="679"/>
        <v>0</v>
      </c>
      <c r="F1602" s="16"/>
      <c r="G1602" s="14"/>
      <c r="H1602" s="15"/>
      <c r="I1602" s="11">
        <f t="shared" si="680"/>
        <v>0</v>
      </c>
      <c r="J1602" s="11">
        <f t="shared" si="681"/>
        <v>0</v>
      </c>
      <c r="W1602" s="28" t="s">
        <v>17</v>
      </c>
      <c r="X1602" s="8"/>
      <c r="Y1602" s="9"/>
      <c r="Z1602" s="10"/>
      <c r="AA1602" s="11">
        <f t="shared" si="682"/>
        <v>0</v>
      </c>
      <c r="AB1602" s="12"/>
      <c r="AC1602" s="12"/>
      <c r="AD1602" s="87"/>
      <c r="AE1602" s="11">
        <f t="shared" si="683"/>
        <v>0</v>
      </c>
      <c r="AF1602" s="11">
        <f t="shared" si="684"/>
        <v>0</v>
      </c>
    </row>
    <row r="1603" spans="1:33" ht="14.25" thickBot="1" x14ac:dyDescent="0.2">
      <c r="A1603" s="28" t="s">
        <v>18</v>
      </c>
      <c r="B1603" s="36"/>
      <c r="C1603" s="37"/>
      <c r="D1603" s="40"/>
      <c r="E1603" s="22">
        <f t="shared" si="679"/>
        <v>0</v>
      </c>
      <c r="F1603" s="38"/>
      <c r="G1603" s="38"/>
      <c r="H1603" s="43"/>
      <c r="I1603" s="22">
        <f t="shared" si="680"/>
        <v>0</v>
      </c>
      <c r="J1603" s="22">
        <f t="shared" si="681"/>
        <v>0</v>
      </c>
      <c r="W1603" s="28" t="s">
        <v>18</v>
      </c>
      <c r="X1603" s="127"/>
      <c r="Y1603" s="128"/>
      <c r="Z1603" s="129"/>
      <c r="AA1603" s="130">
        <f t="shared" si="682"/>
        <v>0</v>
      </c>
      <c r="AB1603" s="131"/>
      <c r="AC1603" s="131"/>
      <c r="AD1603" s="132"/>
      <c r="AE1603" s="130">
        <f t="shared" si="683"/>
        <v>0</v>
      </c>
      <c r="AF1603" s="130">
        <f t="shared" si="684"/>
        <v>0</v>
      </c>
    </row>
    <row r="1604" spans="1:33" ht="14.25" thickBot="1" x14ac:dyDescent="0.2">
      <c r="A1604" s="39" t="s">
        <v>20</v>
      </c>
      <c r="B1604" s="32">
        <f t="shared" ref="B1604:J1604" si="685">SUM(B1595:B1603)</f>
        <v>63</v>
      </c>
      <c r="C1604" s="33">
        <f t="shared" si="685"/>
        <v>101</v>
      </c>
      <c r="D1604" s="34">
        <f t="shared" si="685"/>
        <v>73</v>
      </c>
      <c r="E1604" s="42">
        <f t="shared" si="685"/>
        <v>237</v>
      </c>
      <c r="F1604" s="32">
        <f t="shared" si="685"/>
        <v>94</v>
      </c>
      <c r="G1604" s="33">
        <f t="shared" si="685"/>
        <v>56</v>
      </c>
      <c r="H1604" s="34">
        <f t="shared" si="685"/>
        <v>48</v>
      </c>
      <c r="I1604" s="42">
        <f t="shared" si="685"/>
        <v>198</v>
      </c>
      <c r="J1604" s="42">
        <f t="shared" si="685"/>
        <v>435</v>
      </c>
      <c r="W1604" s="39" t="s">
        <v>20</v>
      </c>
      <c r="X1604" s="32">
        <f t="shared" ref="X1604:AF1604" si="686">SUM(X1595:X1603)</f>
        <v>1450</v>
      </c>
      <c r="Y1604" s="33">
        <f t="shared" si="686"/>
        <v>1050</v>
      </c>
      <c r="Z1604" s="34">
        <f t="shared" si="686"/>
        <v>950</v>
      </c>
      <c r="AA1604" s="42">
        <f t="shared" si="686"/>
        <v>3450</v>
      </c>
      <c r="AB1604" s="32">
        <f t="shared" si="686"/>
        <v>780</v>
      </c>
      <c r="AC1604" s="33">
        <f t="shared" si="686"/>
        <v>750</v>
      </c>
      <c r="AD1604" s="34">
        <f t="shared" si="686"/>
        <v>850</v>
      </c>
      <c r="AE1604" s="42">
        <f t="shared" si="686"/>
        <v>2380</v>
      </c>
      <c r="AF1604" s="42">
        <f t="shared" si="686"/>
        <v>5830</v>
      </c>
    </row>
    <row r="1605" spans="1:33" x14ac:dyDescent="0.15">
      <c r="A1605" s="27" t="s">
        <v>802</v>
      </c>
      <c r="B1605" s="13"/>
      <c r="C1605" s="14"/>
      <c r="D1605" s="15">
        <v>2</v>
      </c>
      <c r="E1605" s="11">
        <f>SUM(B1605:D1605)</f>
        <v>2</v>
      </c>
      <c r="F1605" s="16"/>
      <c r="G1605" s="14"/>
      <c r="H1605" s="15">
        <v>3</v>
      </c>
      <c r="I1605" s="11">
        <f>SUM(F1605:H1605)</f>
        <v>3</v>
      </c>
      <c r="J1605" s="11">
        <f>E1605+I1605</f>
        <v>5</v>
      </c>
      <c r="K1605" s="65">
        <v>43400</v>
      </c>
      <c r="W1605" s="29" t="s">
        <v>804</v>
      </c>
      <c r="X1605" s="8">
        <v>50</v>
      </c>
      <c r="Y1605" s="9"/>
      <c r="Z1605" s="10"/>
      <c r="AA1605" s="11">
        <f>SUM(X1605:Z1605)</f>
        <v>50</v>
      </c>
      <c r="AB1605" s="12"/>
      <c r="AC1605" s="9"/>
      <c r="AD1605" s="10"/>
      <c r="AE1605" s="11">
        <f>SUM(AB1605:AD1605)</f>
        <v>0</v>
      </c>
      <c r="AF1605" s="11">
        <f t="shared" ref="AF1605:AF1630" si="687">AA1605+AE1605</f>
        <v>50</v>
      </c>
      <c r="AG1605" s="65">
        <v>43409</v>
      </c>
    </row>
    <row r="1606" spans="1:33" x14ac:dyDescent="0.15">
      <c r="A1606" s="27" t="s">
        <v>687</v>
      </c>
      <c r="B1606" s="13">
        <v>3</v>
      </c>
      <c r="C1606" s="14"/>
      <c r="D1606" s="15"/>
      <c r="E1606" s="11">
        <f t="shared" ref="E1606:E1630" si="688">SUM(B1606:D1606)</f>
        <v>3</v>
      </c>
      <c r="F1606" s="16">
        <v>8</v>
      </c>
      <c r="G1606" s="14"/>
      <c r="H1606" s="15"/>
      <c r="I1606" s="11">
        <f>SUM(F1606:H1606)</f>
        <v>8</v>
      </c>
      <c r="J1606" s="11">
        <f t="shared" ref="J1606:J1630" si="689">E1606+I1606</f>
        <v>11</v>
      </c>
      <c r="K1606" s="65">
        <v>43405</v>
      </c>
      <c r="W1606" s="29"/>
      <c r="X1606" s="8"/>
      <c r="Y1606" s="9"/>
      <c r="Z1606" s="10"/>
      <c r="AA1606" s="11">
        <f>SUM(X1606:Z1606)</f>
        <v>0</v>
      </c>
      <c r="AB1606" s="12"/>
      <c r="AC1606" s="9"/>
      <c r="AD1606" s="10"/>
      <c r="AE1606" s="11">
        <f>SUM(AB1606:AD1606)</f>
        <v>0</v>
      </c>
      <c r="AF1606" s="11">
        <f t="shared" si="687"/>
        <v>0</v>
      </c>
    </row>
    <row r="1607" spans="1:33" x14ac:dyDescent="0.15">
      <c r="A1607" s="29" t="s">
        <v>433</v>
      </c>
      <c r="B1607" s="8"/>
      <c r="C1607" s="9"/>
      <c r="D1607" s="10"/>
      <c r="E1607" s="11">
        <f t="shared" si="688"/>
        <v>0</v>
      </c>
      <c r="F1607" s="12"/>
      <c r="G1607" s="9"/>
      <c r="H1607" s="10">
        <v>2</v>
      </c>
      <c r="I1607" s="11">
        <f>SUM(F1607:H1607)</f>
        <v>2</v>
      </c>
      <c r="J1607" s="11">
        <f t="shared" si="689"/>
        <v>2</v>
      </c>
      <c r="K1607" s="65">
        <v>43406</v>
      </c>
      <c r="W1607" s="29" t="s">
        <v>807</v>
      </c>
      <c r="X1607" s="8">
        <v>220</v>
      </c>
      <c r="Y1607" s="9">
        <v>370</v>
      </c>
      <c r="Z1607" s="10">
        <v>160</v>
      </c>
      <c r="AA1607" s="11">
        <f t="shared" ref="AA1607:AA1630" si="690">SUM(X1607:Z1607)</f>
        <v>750</v>
      </c>
      <c r="AB1607" s="12">
        <v>0</v>
      </c>
      <c r="AC1607" s="9">
        <v>50</v>
      </c>
      <c r="AD1607" s="10">
        <v>50</v>
      </c>
      <c r="AE1607" s="11">
        <f t="shared" ref="AE1607:AE1630" si="691">SUM(AB1607:AD1607)</f>
        <v>100</v>
      </c>
      <c r="AF1607" s="11">
        <f t="shared" si="687"/>
        <v>850</v>
      </c>
      <c r="AG1607" s="65">
        <v>43423</v>
      </c>
    </row>
    <row r="1608" spans="1:33" x14ac:dyDescent="0.15">
      <c r="A1608" s="29" t="s">
        <v>803</v>
      </c>
      <c r="B1608" s="8"/>
      <c r="C1608" s="9"/>
      <c r="D1608" s="10"/>
      <c r="E1608" s="11">
        <f t="shared" si="688"/>
        <v>0</v>
      </c>
      <c r="F1608" s="12"/>
      <c r="G1608" s="9"/>
      <c r="H1608" s="10">
        <v>1</v>
      </c>
      <c r="I1608" s="11">
        <f>SUM(F1608:H1608)</f>
        <v>1</v>
      </c>
      <c r="J1608" s="11">
        <f t="shared" si="689"/>
        <v>1</v>
      </c>
      <c r="K1608" s="65">
        <v>43405</v>
      </c>
      <c r="W1608" s="29" t="s">
        <v>41</v>
      </c>
      <c r="X1608" s="8"/>
      <c r="Y1608" s="9"/>
      <c r="Z1608" s="10">
        <v>50</v>
      </c>
      <c r="AA1608" s="11">
        <f t="shared" si="690"/>
        <v>50</v>
      </c>
      <c r="AB1608" s="12"/>
      <c r="AC1608" s="9"/>
      <c r="AD1608" s="10"/>
      <c r="AE1608" s="11">
        <f t="shared" si="691"/>
        <v>0</v>
      </c>
      <c r="AF1608" s="11">
        <f t="shared" si="687"/>
        <v>50</v>
      </c>
      <c r="AG1608" s="65">
        <v>43424</v>
      </c>
    </row>
    <row r="1609" spans="1:33" x14ac:dyDescent="0.15">
      <c r="A1609" s="27" t="s">
        <v>805</v>
      </c>
      <c r="B1609" s="8">
        <v>2</v>
      </c>
      <c r="C1609" s="9"/>
      <c r="D1609" s="10"/>
      <c r="E1609" s="11">
        <f t="shared" si="688"/>
        <v>2</v>
      </c>
      <c r="F1609" s="12">
        <v>1</v>
      </c>
      <c r="G1609" s="9"/>
      <c r="H1609" s="10"/>
      <c r="I1609" s="11">
        <f>SUM(F1609:H1609)</f>
        <v>1</v>
      </c>
      <c r="J1609" s="11">
        <f t="shared" si="689"/>
        <v>3</v>
      </c>
      <c r="K1609" s="65">
        <v>43409</v>
      </c>
      <c r="W1609" s="29" t="s">
        <v>41</v>
      </c>
      <c r="X1609" s="8"/>
      <c r="Y1609" s="9">
        <v>50</v>
      </c>
      <c r="Z1609" s="10"/>
      <c r="AA1609" s="11">
        <f t="shared" si="690"/>
        <v>50</v>
      </c>
      <c r="AB1609" s="12">
        <v>50</v>
      </c>
      <c r="AC1609" s="9"/>
      <c r="AD1609" s="10"/>
      <c r="AE1609" s="11">
        <f t="shared" si="691"/>
        <v>50</v>
      </c>
      <c r="AF1609" s="11">
        <f t="shared" si="687"/>
        <v>100</v>
      </c>
      <c r="AG1609" s="65">
        <v>43446</v>
      </c>
    </row>
    <row r="1610" spans="1:33" x14ac:dyDescent="0.15">
      <c r="A1610" s="27" t="s">
        <v>687</v>
      </c>
      <c r="B1610" s="8"/>
      <c r="C1610" s="9"/>
      <c r="D1610" s="10">
        <v>4</v>
      </c>
      <c r="E1610" s="139">
        <f t="shared" si="688"/>
        <v>4</v>
      </c>
      <c r="F1610" s="140">
        <v>4</v>
      </c>
      <c r="G1610" s="140">
        <v>4</v>
      </c>
      <c r="H1610" s="10">
        <v>4</v>
      </c>
      <c r="I1610" s="11">
        <f t="shared" ref="I1610:I1630" si="692">SUM(F1610:H1610)</f>
        <v>12</v>
      </c>
      <c r="J1610" s="11">
        <f t="shared" si="689"/>
        <v>16</v>
      </c>
      <c r="K1610" s="65">
        <v>43412</v>
      </c>
      <c r="W1610" s="27" t="s">
        <v>815</v>
      </c>
      <c r="X1610" s="8">
        <v>20</v>
      </c>
      <c r="Y1610" s="9">
        <v>40</v>
      </c>
      <c r="Z1610" s="10">
        <v>20</v>
      </c>
      <c r="AA1610" s="11">
        <f t="shared" si="690"/>
        <v>80</v>
      </c>
      <c r="AB1610" s="12">
        <v>20</v>
      </c>
      <c r="AC1610" s="9">
        <v>20</v>
      </c>
      <c r="AD1610" s="10">
        <v>5</v>
      </c>
      <c r="AE1610" s="11">
        <f t="shared" si="691"/>
        <v>45</v>
      </c>
      <c r="AF1610" s="11">
        <f t="shared" si="687"/>
        <v>125</v>
      </c>
      <c r="AG1610" s="65">
        <v>43447</v>
      </c>
    </row>
    <row r="1611" spans="1:33" x14ac:dyDescent="0.15">
      <c r="A1611" s="86" t="s">
        <v>806</v>
      </c>
      <c r="B1611" s="8">
        <v>15</v>
      </c>
      <c r="C1611" s="9">
        <v>25</v>
      </c>
      <c r="D1611" s="10">
        <v>5</v>
      </c>
      <c r="E1611" s="11">
        <f t="shared" si="688"/>
        <v>45</v>
      </c>
      <c r="F1611" s="12"/>
      <c r="G1611" s="9"/>
      <c r="H1611" s="10"/>
      <c r="I1611" s="11">
        <f t="shared" si="692"/>
        <v>0</v>
      </c>
      <c r="J1611" s="11">
        <f t="shared" si="689"/>
        <v>45</v>
      </c>
      <c r="K1611" s="65">
        <v>43419</v>
      </c>
      <c r="W1611" s="29" t="s">
        <v>662</v>
      </c>
      <c r="X1611" s="8"/>
      <c r="Y1611" s="9"/>
      <c r="Z1611" s="10"/>
      <c r="AA1611" s="11">
        <f t="shared" si="690"/>
        <v>0</v>
      </c>
      <c r="AB1611" s="12">
        <v>100</v>
      </c>
      <c r="AC1611" s="9">
        <v>50</v>
      </c>
      <c r="AD1611" s="10">
        <v>50</v>
      </c>
      <c r="AE1611" s="11">
        <f t="shared" si="691"/>
        <v>200</v>
      </c>
      <c r="AF1611" s="11">
        <f t="shared" si="687"/>
        <v>200</v>
      </c>
      <c r="AG1611" s="65">
        <v>43452</v>
      </c>
    </row>
    <row r="1612" spans="1:33" x14ac:dyDescent="0.15">
      <c r="A1612" s="29" t="s">
        <v>433</v>
      </c>
      <c r="B1612" s="8"/>
      <c r="C1612" s="9"/>
      <c r="D1612" s="10"/>
      <c r="E1612" s="11">
        <f t="shared" si="688"/>
        <v>0</v>
      </c>
      <c r="F1612" s="12"/>
      <c r="G1612" s="9"/>
      <c r="H1612" s="10">
        <v>1</v>
      </c>
      <c r="I1612" s="11">
        <f t="shared" si="692"/>
        <v>1</v>
      </c>
      <c r="J1612" s="11">
        <f t="shared" si="689"/>
        <v>1</v>
      </c>
      <c r="K1612" s="65">
        <v>43417</v>
      </c>
      <c r="W1612" s="29" t="s">
        <v>816</v>
      </c>
      <c r="X1612" s="8">
        <v>100</v>
      </c>
      <c r="Y1612" s="9">
        <v>50</v>
      </c>
      <c r="Z1612" s="10">
        <v>50</v>
      </c>
      <c r="AA1612" s="11">
        <f t="shared" si="690"/>
        <v>200</v>
      </c>
      <c r="AB1612" s="12">
        <v>50</v>
      </c>
      <c r="AC1612" s="9">
        <v>100</v>
      </c>
      <c r="AD1612" s="10">
        <v>50</v>
      </c>
      <c r="AE1612" s="11">
        <f t="shared" si="691"/>
        <v>200</v>
      </c>
      <c r="AF1612" s="11">
        <f t="shared" si="687"/>
        <v>400</v>
      </c>
      <c r="AG1612" s="65">
        <v>43455</v>
      </c>
    </row>
    <row r="1613" spans="1:33" x14ac:dyDescent="0.15">
      <c r="A1613" s="27" t="s">
        <v>808</v>
      </c>
      <c r="B1613" s="13">
        <v>8</v>
      </c>
      <c r="C1613" s="14"/>
      <c r="D1613" s="15">
        <v>4</v>
      </c>
      <c r="E1613" s="11">
        <f t="shared" si="688"/>
        <v>12</v>
      </c>
      <c r="F1613" s="16">
        <v>4</v>
      </c>
      <c r="G1613" s="14">
        <v>2</v>
      </c>
      <c r="H1613" s="15"/>
      <c r="I1613" s="11">
        <f t="shared" si="692"/>
        <v>6</v>
      </c>
      <c r="J1613" s="11">
        <f t="shared" si="689"/>
        <v>18</v>
      </c>
      <c r="K1613" s="65">
        <v>43417</v>
      </c>
      <c r="W1613" s="29"/>
      <c r="X1613" s="8"/>
      <c r="Y1613" s="9"/>
      <c r="Z1613" s="10"/>
      <c r="AA1613" s="11">
        <f t="shared" si="690"/>
        <v>0</v>
      </c>
      <c r="AB1613" s="12">
        <v>1</v>
      </c>
      <c r="AC1613" s="9"/>
      <c r="AD1613" s="10"/>
      <c r="AE1613" s="11">
        <f t="shared" si="691"/>
        <v>1</v>
      </c>
      <c r="AF1613" s="11">
        <f t="shared" si="687"/>
        <v>1</v>
      </c>
    </row>
    <row r="1614" spans="1:33" x14ac:dyDescent="0.15">
      <c r="A1614" s="27" t="s">
        <v>72</v>
      </c>
      <c r="B1614" s="13">
        <v>1</v>
      </c>
      <c r="C1614" s="14"/>
      <c r="D1614" s="15"/>
      <c r="E1614" s="11">
        <f t="shared" si="688"/>
        <v>1</v>
      </c>
      <c r="F1614" s="16">
        <v>1</v>
      </c>
      <c r="G1614" s="14"/>
      <c r="H1614" s="15"/>
      <c r="I1614" s="11">
        <f t="shared" si="692"/>
        <v>1</v>
      </c>
      <c r="J1614" s="11">
        <f t="shared" si="689"/>
        <v>2</v>
      </c>
      <c r="K1614" s="65">
        <v>43416</v>
      </c>
      <c r="W1614" s="29"/>
      <c r="X1614" s="13"/>
      <c r="Y1614" s="14"/>
      <c r="Z1614" s="15"/>
      <c r="AA1614" s="11">
        <f t="shared" si="690"/>
        <v>0</v>
      </c>
      <c r="AB1614" s="16"/>
      <c r="AC1614" s="14"/>
      <c r="AD1614" s="15"/>
      <c r="AE1614" s="11">
        <f t="shared" si="691"/>
        <v>0</v>
      </c>
      <c r="AF1614" s="11">
        <f t="shared" si="687"/>
        <v>0</v>
      </c>
    </row>
    <row r="1615" spans="1:33" x14ac:dyDescent="0.15">
      <c r="A1615" s="29" t="s">
        <v>809</v>
      </c>
      <c r="B1615" s="8"/>
      <c r="C1615" s="9">
        <v>2</v>
      </c>
      <c r="D1615" s="10"/>
      <c r="E1615" s="11">
        <f t="shared" si="688"/>
        <v>2</v>
      </c>
      <c r="F1615" s="12"/>
      <c r="G1615" s="9">
        <v>1</v>
      </c>
      <c r="H1615" s="10">
        <v>3</v>
      </c>
      <c r="I1615" s="11">
        <f t="shared" si="692"/>
        <v>4</v>
      </c>
      <c r="J1615" s="11">
        <f t="shared" si="689"/>
        <v>6</v>
      </c>
      <c r="K1615" s="65">
        <v>43417</v>
      </c>
      <c r="W1615" s="29"/>
      <c r="X1615" s="8"/>
      <c r="Y1615" s="9"/>
      <c r="Z1615" s="10"/>
      <c r="AA1615" s="11">
        <f t="shared" si="690"/>
        <v>0</v>
      </c>
      <c r="AB1615" s="12"/>
      <c r="AC1615" s="9"/>
      <c r="AD1615" s="10"/>
      <c r="AE1615" s="11">
        <f t="shared" si="691"/>
        <v>0</v>
      </c>
      <c r="AF1615" s="11">
        <f t="shared" si="687"/>
        <v>0</v>
      </c>
    </row>
    <row r="1616" spans="1:33" x14ac:dyDescent="0.15">
      <c r="A1616" s="29" t="s">
        <v>810</v>
      </c>
      <c r="B1616" s="8"/>
      <c r="C1616" s="9">
        <v>10</v>
      </c>
      <c r="D1616" s="10">
        <v>20</v>
      </c>
      <c r="E1616" s="11">
        <f t="shared" si="688"/>
        <v>30</v>
      </c>
      <c r="F1616" s="12">
        <v>5</v>
      </c>
      <c r="G1616" s="9">
        <v>5</v>
      </c>
      <c r="H1616" s="10"/>
      <c r="I1616" s="11">
        <f t="shared" si="692"/>
        <v>10</v>
      </c>
      <c r="J1616" s="11">
        <f t="shared" si="689"/>
        <v>40</v>
      </c>
      <c r="K1616" s="65">
        <v>43426</v>
      </c>
      <c r="W1616" s="29"/>
      <c r="X1616" s="8"/>
      <c r="Y1616" s="9"/>
      <c r="Z1616" s="10"/>
      <c r="AA1616" s="11">
        <f t="shared" si="690"/>
        <v>0</v>
      </c>
      <c r="AB1616" s="12"/>
      <c r="AC1616" s="9"/>
      <c r="AD1616" s="10"/>
      <c r="AE1616" s="11">
        <f t="shared" si="691"/>
        <v>0</v>
      </c>
      <c r="AF1616" s="11">
        <f t="shared" si="687"/>
        <v>0</v>
      </c>
    </row>
    <row r="1617" spans="1:33" x14ac:dyDescent="0.15">
      <c r="A1617" s="27" t="s">
        <v>811</v>
      </c>
      <c r="B1617" s="8"/>
      <c r="C1617" s="9"/>
      <c r="D1617" s="10">
        <v>3</v>
      </c>
      <c r="E1617" s="11">
        <f t="shared" si="688"/>
        <v>3</v>
      </c>
      <c r="F1617" s="12"/>
      <c r="G1617" s="9"/>
      <c r="H1617" s="10"/>
      <c r="I1617" s="11">
        <f t="shared" si="692"/>
        <v>0</v>
      </c>
      <c r="J1617" s="11">
        <f t="shared" si="689"/>
        <v>3</v>
      </c>
      <c r="K1617" s="65">
        <v>43431</v>
      </c>
      <c r="W1617" s="27"/>
      <c r="X1617" s="8"/>
      <c r="Y1617" s="9"/>
      <c r="Z1617" s="10"/>
      <c r="AA1617" s="11">
        <f t="shared" si="690"/>
        <v>0</v>
      </c>
      <c r="AB1617" s="12"/>
      <c r="AC1617" s="9"/>
      <c r="AD1617" s="10"/>
      <c r="AE1617" s="11">
        <f t="shared" si="691"/>
        <v>0</v>
      </c>
      <c r="AF1617" s="11">
        <f t="shared" si="687"/>
        <v>0</v>
      </c>
    </row>
    <row r="1618" spans="1:33" x14ac:dyDescent="0.15">
      <c r="A1618" s="27" t="s">
        <v>67</v>
      </c>
      <c r="B1618" s="8">
        <v>1</v>
      </c>
      <c r="C1618" s="9">
        <v>2</v>
      </c>
      <c r="D1618" s="10"/>
      <c r="E1618" s="11">
        <f t="shared" si="688"/>
        <v>3</v>
      </c>
      <c r="F1618" s="12"/>
      <c r="G1618" s="9"/>
      <c r="H1618" s="10"/>
      <c r="I1618" s="11">
        <f t="shared" si="692"/>
        <v>0</v>
      </c>
      <c r="J1618" s="11">
        <f t="shared" si="689"/>
        <v>3</v>
      </c>
      <c r="K1618" s="65">
        <v>43431</v>
      </c>
      <c r="W1618" s="29"/>
      <c r="X1618" s="8"/>
      <c r="Y1618" s="9"/>
      <c r="Z1618" s="10"/>
      <c r="AA1618" s="11">
        <f t="shared" si="690"/>
        <v>0</v>
      </c>
      <c r="AB1618" s="12"/>
      <c r="AC1618" s="9"/>
      <c r="AD1618" s="10"/>
      <c r="AE1618" s="11">
        <f t="shared" si="691"/>
        <v>0</v>
      </c>
      <c r="AF1618" s="11">
        <f t="shared" si="687"/>
        <v>0</v>
      </c>
    </row>
    <row r="1619" spans="1:33" x14ac:dyDescent="0.15">
      <c r="A1619" s="29" t="s">
        <v>814</v>
      </c>
      <c r="B1619" s="8"/>
      <c r="C1619" s="9"/>
      <c r="D1619" s="10"/>
      <c r="E1619" s="11">
        <f t="shared" si="688"/>
        <v>0</v>
      </c>
      <c r="F1619" s="12"/>
      <c r="G1619" s="9">
        <v>3</v>
      </c>
      <c r="H1619" s="10"/>
      <c r="I1619" s="11">
        <f t="shared" si="692"/>
        <v>3</v>
      </c>
      <c r="J1619" s="11">
        <f t="shared" si="689"/>
        <v>3</v>
      </c>
      <c r="K1619" s="65">
        <v>43441</v>
      </c>
      <c r="W1619" s="29"/>
      <c r="X1619" s="8"/>
      <c r="Y1619" s="9"/>
      <c r="Z1619" s="10"/>
      <c r="AA1619" s="11">
        <f t="shared" si="690"/>
        <v>0</v>
      </c>
      <c r="AB1619" s="12"/>
      <c r="AC1619" s="9"/>
      <c r="AD1619" s="10"/>
      <c r="AE1619" s="11">
        <f t="shared" si="691"/>
        <v>0</v>
      </c>
      <c r="AF1619" s="11">
        <f t="shared" si="687"/>
        <v>0</v>
      </c>
    </row>
    <row r="1620" spans="1:33" x14ac:dyDescent="0.15">
      <c r="A1620" s="29" t="s">
        <v>667</v>
      </c>
      <c r="B1620" s="8"/>
      <c r="C1620" s="9"/>
      <c r="D1620" s="10"/>
      <c r="E1620" s="11">
        <f t="shared" si="688"/>
        <v>0</v>
      </c>
      <c r="F1620" s="12">
        <v>5</v>
      </c>
      <c r="G1620" s="9"/>
      <c r="H1620" s="10"/>
      <c r="I1620" s="11">
        <f t="shared" si="692"/>
        <v>5</v>
      </c>
      <c r="J1620" s="11">
        <f t="shared" si="689"/>
        <v>5</v>
      </c>
      <c r="K1620" s="65">
        <v>43445</v>
      </c>
      <c r="W1620" s="27"/>
      <c r="X1620" s="8"/>
      <c r="Y1620" s="9"/>
      <c r="Z1620" s="10"/>
      <c r="AA1620" s="11">
        <f t="shared" si="690"/>
        <v>0</v>
      </c>
      <c r="AB1620" s="12"/>
      <c r="AC1620" s="9"/>
      <c r="AD1620" s="10"/>
      <c r="AE1620" s="11">
        <f t="shared" si="691"/>
        <v>0</v>
      </c>
      <c r="AF1620" s="11">
        <f t="shared" si="687"/>
        <v>0</v>
      </c>
    </row>
    <row r="1621" spans="1:33" x14ac:dyDescent="0.15">
      <c r="A1621" s="29" t="s">
        <v>687</v>
      </c>
      <c r="B1621" s="8">
        <v>3</v>
      </c>
      <c r="C1621" s="9">
        <v>3</v>
      </c>
      <c r="D1621" s="10"/>
      <c r="E1621" s="11">
        <f t="shared" si="688"/>
        <v>6</v>
      </c>
      <c r="F1621" s="12">
        <v>2</v>
      </c>
      <c r="G1621" s="9">
        <v>3</v>
      </c>
      <c r="H1621" s="10"/>
      <c r="I1621" s="11">
        <f t="shared" si="692"/>
        <v>5</v>
      </c>
      <c r="J1621" s="11">
        <f t="shared" si="689"/>
        <v>11</v>
      </c>
      <c r="K1621" s="65">
        <v>43449</v>
      </c>
      <c r="W1621" s="29"/>
      <c r="X1621" s="8"/>
      <c r="Y1621" s="9"/>
      <c r="Z1621" s="10"/>
      <c r="AA1621" s="11">
        <f t="shared" si="690"/>
        <v>0</v>
      </c>
      <c r="AB1621" s="12"/>
      <c r="AC1621" s="9"/>
      <c r="AD1621" s="10"/>
      <c r="AE1621" s="11">
        <f t="shared" si="691"/>
        <v>0</v>
      </c>
      <c r="AF1621" s="11">
        <f t="shared" si="687"/>
        <v>0</v>
      </c>
    </row>
    <row r="1622" spans="1:33" x14ac:dyDescent="0.15">
      <c r="A1622" s="27" t="s">
        <v>67</v>
      </c>
      <c r="B1622" s="8"/>
      <c r="C1622" s="9"/>
      <c r="D1622" s="10"/>
      <c r="E1622" s="11">
        <f t="shared" si="688"/>
        <v>0</v>
      </c>
      <c r="F1622" s="12">
        <v>3</v>
      </c>
      <c r="G1622" s="9"/>
      <c r="H1622" s="10"/>
      <c r="I1622" s="11">
        <f t="shared" si="692"/>
        <v>3</v>
      </c>
      <c r="J1622" s="11">
        <f t="shared" si="689"/>
        <v>3</v>
      </c>
      <c r="K1622" s="71">
        <v>43448</v>
      </c>
      <c r="W1622" s="27"/>
      <c r="X1622" s="8"/>
      <c r="Y1622" s="9"/>
      <c r="Z1622" s="10"/>
      <c r="AA1622" s="11">
        <f t="shared" si="690"/>
        <v>0</v>
      </c>
      <c r="AB1622" s="12"/>
      <c r="AC1622" s="9"/>
      <c r="AD1622" s="10"/>
      <c r="AE1622" s="11">
        <f t="shared" si="691"/>
        <v>0</v>
      </c>
      <c r="AF1622" s="11">
        <f t="shared" si="687"/>
        <v>0</v>
      </c>
    </row>
    <row r="1623" spans="1:33" x14ac:dyDescent="0.15">
      <c r="A1623" s="27" t="s">
        <v>67</v>
      </c>
      <c r="B1623" s="8"/>
      <c r="C1623" s="9"/>
      <c r="D1623" s="10"/>
      <c r="E1623" s="11">
        <f t="shared" si="688"/>
        <v>0</v>
      </c>
      <c r="F1623" s="12">
        <v>1</v>
      </c>
      <c r="G1623" s="9"/>
      <c r="H1623" s="10"/>
      <c r="I1623" s="11">
        <f t="shared" si="692"/>
        <v>1</v>
      </c>
      <c r="J1623" s="11">
        <f t="shared" si="689"/>
        <v>1</v>
      </c>
      <c r="K1623" s="71">
        <v>43451</v>
      </c>
      <c r="W1623" s="26"/>
      <c r="X1623" s="8"/>
      <c r="Y1623" s="9"/>
      <c r="Z1623" s="10"/>
      <c r="AA1623" s="11">
        <f t="shared" si="690"/>
        <v>0</v>
      </c>
      <c r="AB1623" s="12"/>
      <c r="AC1623" s="9"/>
      <c r="AD1623" s="10"/>
      <c r="AE1623" s="11">
        <f t="shared" si="691"/>
        <v>0</v>
      </c>
      <c r="AF1623" s="11">
        <f t="shared" si="687"/>
        <v>0</v>
      </c>
    </row>
    <row r="1624" spans="1:33" x14ac:dyDescent="0.15">
      <c r="A1624" s="27" t="s">
        <v>67</v>
      </c>
      <c r="B1624" s="8"/>
      <c r="C1624" s="9">
        <v>1</v>
      </c>
      <c r="D1624" s="10"/>
      <c r="E1624" s="11">
        <f t="shared" si="688"/>
        <v>1</v>
      </c>
      <c r="F1624" s="12"/>
      <c r="G1624" s="9"/>
      <c r="H1624" s="10"/>
      <c r="I1624" s="11">
        <f t="shared" si="692"/>
        <v>0</v>
      </c>
      <c r="J1624" s="11">
        <f t="shared" si="689"/>
        <v>1</v>
      </c>
      <c r="K1624" s="71">
        <v>43454</v>
      </c>
      <c r="W1624" s="26"/>
      <c r="X1624" s="8"/>
      <c r="Y1624" s="9"/>
      <c r="Z1624" s="10"/>
      <c r="AA1624" s="11">
        <f t="shared" si="690"/>
        <v>0</v>
      </c>
      <c r="AB1624" s="12"/>
      <c r="AC1624" s="9"/>
      <c r="AD1624" s="10"/>
      <c r="AE1624" s="11">
        <f t="shared" si="691"/>
        <v>0</v>
      </c>
      <c r="AF1624" s="11">
        <f t="shared" si="687"/>
        <v>0</v>
      </c>
    </row>
    <row r="1625" spans="1:33" x14ac:dyDescent="0.15">
      <c r="A1625" s="27" t="s">
        <v>67</v>
      </c>
      <c r="B1625" s="8"/>
      <c r="C1625" s="9">
        <v>1</v>
      </c>
      <c r="D1625" s="10"/>
      <c r="E1625" s="11">
        <f t="shared" si="688"/>
        <v>1</v>
      </c>
      <c r="F1625" s="12"/>
      <c r="G1625" s="9"/>
      <c r="H1625" s="10"/>
      <c r="I1625" s="11">
        <f t="shared" si="692"/>
        <v>0</v>
      </c>
      <c r="J1625" s="11">
        <f t="shared" si="689"/>
        <v>1</v>
      </c>
      <c r="K1625" s="71">
        <v>43462</v>
      </c>
      <c r="W1625" s="27"/>
      <c r="X1625" s="8"/>
      <c r="Y1625" s="9"/>
      <c r="Z1625" s="10"/>
      <c r="AA1625" s="11">
        <f t="shared" si="690"/>
        <v>0</v>
      </c>
      <c r="AB1625" s="12"/>
      <c r="AC1625" s="9"/>
      <c r="AD1625" s="10"/>
      <c r="AE1625" s="11">
        <f t="shared" si="691"/>
        <v>0</v>
      </c>
      <c r="AF1625" s="11">
        <f t="shared" si="687"/>
        <v>0</v>
      </c>
    </row>
    <row r="1626" spans="1:33" x14ac:dyDescent="0.15">
      <c r="A1626" s="29" t="s">
        <v>821</v>
      </c>
      <c r="B1626" s="13">
        <v>5</v>
      </c>
      <c r="C1626" s="14">
        <v>5</v>
      </c>
      <c r="D1626" s="15"/>
      <c r="E1626" s="11">
        <f t="shared" si="688"/>
        <v>10</v>
      </c>
      <c r="F1626" s="16"/>
      <c r="G1626" s="14"/>
      <c r="H1626" s="15"/>
      <c r="I1626" s="11">
        <f t="shared" si="692"/>
        <v>0</v>
      </c>
      <c r="J1626" s="11">
        <f t="shared" si="689"/>
        <v>10</v>
      </c>
      <c r="K1626" s="65">
        <v>43475</v>
      </c>
      <c r="W1626" s="27"/>
      <c r="X1626" s="13"/>
      <c r="Y1626" s="14"/>
      <c r="Z1626" s="15"/>
      <c r="AA1626" s="11">
        <f t="shared" si="690"/>
        <v>0</v>
      </c>
      <c r="AB1626" s="16"/>
      <c r="AC1626" s="14"/>
      <c r="AD1626" s="15"/>
      <c r="AE1626" s="11">
        <f t="shared" si="691"/>
        <v>0</v>
      </c>
      <c r="AF1626" s="11">
        <f t="shared" si="687"/>
        <v>0</v>
      </c>
    </row>
    <row r="1627" spans="1:33" x14ac:dyDescent="0.15">
      <c r="A1627" s="27" t="s">
        <v>207</v>
      </c>
      <c r="B1627" s="8"/>
      <c r="C1627" s="9"/>
      <c r="D1627" s="10"/>
      <c r="E1627" s="11">
        <f t="shared" si="688"/>
        <v>0</v>
      </c>
      <c r="F1627" s="12">
        <v>1</v>
      </c>
      <c r="G1627" s="9"/>
      <c r="H1627" s="10"/>
      <c r="I1627" s="11">
        <f t="shared" si="692"/>
        <v>1</v>
      </c>
      <c r="J1627" s="11">
        <f t="shared" si="689"/>
        <v>1</v>
      </c>
      <c r="K1627" s="65">
        <v>43470</v>
      </c>
      <c r="W1627" s="86"/>
      <c r="X1627" s="13"/>
      <c r="Y1627" s="14"/>
      <c r="Z1627" s="15"/>
      <c r="AA1627" s="11">
        <f t="shared" si="690"/>
        <v>0</v>
      </c>
      <c r="AB1627" s="16"/>
      <c r="AC1627" s="14"/>
      <c r="AD1627" s="15"/>
      <c r="AE1627" s="11">
        <f t="shared" si="691"/>
        <v>0</v>
      </c>
      <c r="AF1627" s="11">
        <f t="shared" si="687"/>
        <v>0</v>
      </c>
    </row>
    <row r="1628" spans="1:33" x14ac:dyDescent="0.15">
      <c r="A1628" s="29"/>
      <c r="B1628" s="8"/>
      <c r="C1628" s="9"/>
      <c r="D1628" s="10"/>
      <c r="E1628" s="11">
        <f t="shared" si="688"/>
        <v>0</v>
      </c>
      <c r="F1628" s="12"/>
      <c r="G1628" s="9"/>
      <c r="H1628" s="10"/>
      <c r="I1628" s="11">
        <f t="shared" si="692"/>
        <v>0</v>
      </c>
      <c r="J1628" s="11">
        <f t="shared" si="689"/>
        <v>0</v>
      </c>
      <c r="K1628" s="64"/>
      <c r="W1628" s="86"/>
      <c r="X1628" s="13"/>
      <c r="Y1628" s="14"/>
      <c r="Z1628" s="15"/>
      <c r="AA1628" s="11">
        <f t="shared" si="690"/>
        <v>0</v>
      </c>
      <c r="AB1628" s="16"/>
      <c r="AC1628" s="14"/>
      <c r="AD1628" s="15"/>
      <c r="AE1628" s="11">
        <f t="shared" si="691"/>
        <v>0</v>
      </c>
      <c r="AF1628" s="11">
        <f t="shared" si="687"/>
        <v>0</v>
      </c>
    </row>
    <row r="1629" spans="1:33" x14ac:dyDescent="0.15">
      <c r="A1629" s="27" t="s">
        <v>207</v>
      </c>
      <c r="B1629" s="8"/>
      <c r="C1629" s="9"/>
      <c r="D1629" s="10"/>
      <c r="E1629" s="11">
        <f t="shared" si="688"/>
        <v>0</v>
      </c>
      <c r="F1629" s="12"/>
      <c r="G1629" s="9">
        <v>1</v>
      </c>
      <c r="H1629" s="10"/>
      <c r="I1629" s="11">
        <f t="shared" si="692"/>
        <v>1</v>
      </c>
      <c r="J1629" s="11">
        <f t="shared" si="689"/>
        <v>1</v>
      </c>
      <c r="K1629" s="71">
        <v>43475</v>
      </c>
      <c r="W1629" s="86"/>
      <c r="X1629" s="13"/>
      <c r="Y1629" s="14"/>
      <c r="Z1629" s="15"/>
      <c r="AA1629" s="11">
        <f t="shared" si="690"/>
        <v>0</v>
      </c>
      <c r="AB1629" s="16"/>
      <c r="AC1629" s="14"/>
      <c r="AD1629" s="15"/>
      <c r="AE1629" s="11">
        <f t="shared" si="691"/>
        <v>0</v>
      </c>
      <c r="AF1629" s="11">
        <f t="shared" si="687"/>
        <v>0</v>
      </c>
    </row>
    <row r="1630" spans="1:33" ht="14.25" thickBot="1" x14ac:dyDescent="0.2">
      <c r="A1630" s="29"/>
      <c r="B1630" s="8"/>
      <c r="C1630" s="9"/>
      <c r="D1630" s="10"/>
      <c r="E1630" s="11">
        <f t="shared" si="688"/>
        <v>0</v>
      </c>
      <c r="F1630" s="16"/>
      <c r="G1630" s="14"/>
      <c r="H1630" s="15"/>
      <c r="I1630" s="11">
        <f t="shared" si="692"/>
        <v>0</v>
      </c>
      <c r="J1630" s="11">
        <f t="shared" si="689"/>
        <v>0</v>
      </c>
      <c r="W1630" s="86"/>
      <c r="X1630" s="13"/>
      <c r="Y1630" s="14"/>
      <c r="Z1630" s="15"/>
      <c r="AA1630" s="11">
        <f t="shared" si="690"/>
        <v>0</v>
      </c>
      <c r="AB1630" s="16"/>
      <c r="AC1630" s="14"/>
      <c r="AD1630" s="15"/>
      <c r="AE1630" s="11">
        <f t="shared" si="691"/>
        <v>0</v>
      </c>
      <c r="AF1630" s="11">
        <f t="shared" si="687"/>
        <v>0</v>
      </c>
      <c r="AG1630" s="64"/>
    </row>
    <row r="1631" spans="1:33" ht="14.25" thickBot="1" x14ac:dyDescent="0.2">
      <c r="A1631" s="44" t="s">
        <v>13</v>
      </c>
      <c r="B1631" s="48">
        <f t="shared" ref="B1631:I1631" si="693">SUM(B1605:B1630)</f>
        <v>38</v>
      </c>
      <c r="C1631" s="49">
        <f t="shared" si="693"/>
        <v>49</v>
      </c>
      <c r="D1631" s="50">
        <f t="shared" si="693"/>
        <v>38</v>
      </c>
      <c r="E1631" s="46">
        <f t="shared" si="693"/>
        <v>125</v>
      </c>
      <c r="F1631" s="48">
        <f t="shared" si="693"/>
        <v>35</v>
      </c>
      <c r="G1631" s="49">
        <f t="shared" si="693"/>
        <v>19</v>
      </c>
      <c r="H1631" s="50">
        <f t="shared" si="693"/>
        <v>14</v>
      </c>
      <c r="I1631" s="46">
        <f t="shared" si="693"/>
        <v>68</v>
      </c>
      <c r="J1631" s="35">
        <f>E1631+I1631</f>
        <v>193</v>
      </c>
      <c r="W1631" s="44" t="s">
        <v>13</v>
      </c>
      <c r="X1631" s="48">
        <f t="shared" ref="X1631:AE1631" si="694">SUM(X1605:X1630)</f>
        <v>390</v>
      </c>
      <c r="Y1631" s="49">
        <f t="shared" si="694"/>
        <v>510</v>
      </c>
      <c r="Z1631" s="50">
        <f t="shared" si="694"/>
        <v>280</v>
      </c>
      <c r="AA1631" s="46">
        <f t="shared" si="694"/>
        <v>1180</v>
      </c>
      <c r="AB1631" s="48">
        <f t="shared" si="694"/>
        <v>221</v>
      </c>
      <c r="AC1631" s="49">
        <f t="shared" si="694"/>
        <v>220</v>
      </c>
      <c r="AD1631" s="50">
        <f t="shared" si="694"/>
        <v>155</v>
      </c>
      <c r="AE1631" s="46">
        <f t="shared" si="694"/>
        <v>596</v>
      </c>
      <c r="AF1631" s="35">
        <f>AA1631+AE1631</f>
        <v>1776</v>
      </c>
    </row>
    <row r="1632" spans="1:33" ht="14.25" thickBot="1" x14ac:dyDescent="0.2">
      <c r="A1632" s="23" t="s">
        <v>14</v>
      </c>
      <c r="B1632" s="24">
        <f t="shared" ref="B1632:J1632" si="695">B1604-B1631</f>
        <v>25</v>
      </c>
      <c r="C1632" s="25">
        <f t="shared" si="695"/>
        <v>52</v>
      </c>
      <c r="D1632" s="30">
        <f t="shared" si="695"/>
        <v>35</v>
      </c>
      <c r="E1632" s="51">
        <f t="shared" si="695"/>
        <v>112</v>
      </c>
      <c r="F1632" s="24">
        <f t="shared" si="695"/>
        <v>59</v>
      </c>
      <c r="G1632" s="25">
        <f t="shared" si="695"/>
        <v>37</v>
      </c>
      <c r="H1632" s="30">
        <f t="shared" si="695"/>
        <v>34</v>
      </c>
      <c r="I1632" s="47">
        <f t="shared" si="695"/>
        <v>130</v>
      </c>
      <c r="J1632" s="79">
        <f t="shared" si="695"/>
        <v>242</v>
      </c>
      <c r="W1632" s="23" t="s">
        <v>14</v>
      </c>
      <c r="X1632" s="24">
        <f t="shared" ref="X1632:AF1632" si="696">X1604-X1631</f>
        <v>1060</v>
      </c>
      <c r="Y1632" s="25">
        <f t="shared" si="696"/>
        <v>540</v>
      </c>
      <c r="Z1632" s="30">
        <f t="shared" si="696"/>
        <v>670</v>
      </c>
      <c r="AA1632" s="51">
        <f t="shared" si="696"/>
        <v>2270</v>
      </c>
      <c r="AB1632" s="24">
        <f t="shared" si="696"/>
        <v>559</v>
      </c>
      <c r="AC1632" s="25">
        <f t="shared" si="696"/>
        <v>530</v>
      </c>
      <c r="AD1632" s="30">
        <f t="shared" si="696"/>
        <v>695</v>
      </c>
      <c r="AE1632" s="47">
        <f t="shared" si="696"/>
        <v>1784</v>
      </c>
      <c r="AF1632" s="79">
        <f t="shared" si="696"/>
        <v>4054</v>
      </c>
    </row>
    <row r="1635" spans="1:33" ht="19.5" thickBot="1" x14ac:dyDescent="0.25">
      <c r="A1635" s="144" t="s">
        <v>21</v>
      </c>
      <c r="B1635" s="145"/>
      <c r="C1635" s="145"/>
      <c r="D1635" s="145"/>
      <c r="E1635" s="145"/>
      <c r="F1635" s="146" t="s">
        <v>764</v>
      </c>
      <c r="G1635" s="145"/>
      <c r="H1635" s="145"/>
      <c r="I1635" s="145"/>
      <c r="J1635" s="145"/>
      <c r="W1635" s="144" t="s">
        <v>765</v>
      </c>
      <c r="X1635" s="145"/>
      <c r="Y1635" s="145"/>
      <c r="Z1635" s="145"/>
      <c r="AA1635" s="146" t="s">
        <v>764</v>
      </c>
      <c r="AB1635" s="145"/>
      <c r="AC1635" s="145"/>
      <c r="AD1635" s="145"/>
      <c r="AE1635" s="1"/>
      <c r="AF1635" s="1"/>
    </row>
    <row r="1636" spans="1:33" ht="14.25" thickBot="1" x14ac:dyDescent="0.2">
      <c r="A1636" s="7" t="s">
        <v>0</v>
      </c>
      <c r="B1636" s="168" t="s">
        <v>1</v>
      </c>
      <c r="C1636" s="169"/>
      <c r="D1636" s="169"/>
      <c r="E1636" s="170"/>
      <c r="F1636" s="168" t="s">
        <v>2</v>
      </c>
      <c r="G1636" s="169"/>
      <c r="H1636" s="169"/>
      <c r="I1636" s="171"/>
      <c r="J1636" s="172" t="s">
        <v>3</v>
      </c>
      <c r="W1636" s="7" t="s">
        <v>0</v>
      </c>
      <c r="X1636" s="174" t="s">
        <v>1</v>
      </c>
      <c r="Y1636" s="175"/>
      <c r="Z1636" s="176"/>
      <c r="AA1636" s="101"/>
      <c r="AB1636" s="174" t="s">
        <v>2</v>
      </c>
      <c r="AC1636" s="175"/>
      <c r="AD1636" s="176"/>
      <c r="AE1636" s="102"/>
      <c r="AF1636" s="103" t="s">
        <v>3</v>
      </c>
    </row>
    <row r="1637" spans="1:33" ht="14.25" thickBot="1" x14ac:dyDescent="0.2">
      <c r="A1637" s="7" t="s">
        <v>4</v>
      </c>
      <c r="B1637" s="3" t="s">
        <v>5</v>
      </c>
      <c r="C1637" s="4" t="s">
        <v>6</v>
      </c>
      <c r="D1637" s="5" t="s">
        <v>7</v>
      </c>
      <c r="E1637" s="7" t="s">
        <v>8</v>
      </c>
      <c r="F1637" s="3" t="s">
        <v>5</v>
      </c>
      <c r="G1637" s="4" t="s">
        <v>6</v>
      </c>
      <c r="H1637" s="5" t="s">
        <v>7</v>
      </c>
      <c r="I1637" s="7" t="s">
        <v>8</v>
      </c>
      <c r="J1637" s="173"/>
      <c r="W1637" s="7" t="s">
        <v>4</v>
      </c>
      <c r="X1637" s="3" t="s">
        <v>5</v>
      </c>
      <c r="Y1637" s="4" t="s">
        <v>6</v>
      </c>
      <c r="Z1637" s="5" t="s">
        <v>7</v>
      </c>
      <c r="AA1637" s="7" t="s">
        <v>8</v>
      </c>
      <c r="AB1637" s="107" t="s">
        <v>5</v>
      </c>
      <c r="AC1637" s="108" t="s">
        <v>6</v>
      </c>
      <c r="AD1637" s="109" t="s">
        <v>7</v>
      </c>
      <c r="AE1637" s="7" t="s">
        <v>8</v>
      </c>
      <c r="AF1637" s="104"/>
    </row>
    <row r="1638" spans="1:33" ht="14.25" thickBot="1" x14ac:dyDescent="0.2">
      <c r="A1638" s="31" t="s">
        <v>14</v>
      </c>
      <c r="B1638" s="32">
        <f>B1632</f>
        <v>25</v>
      </c>
      <c r="C1638" s="33">
        <f>C1632</f>
        <v>52</v>
      </c>
      <c r="D1638" s="34">
        <f>D1632</f>
        <v>35</v>
      </c>
      <c r="E1638" s="41">
        <f>SUM(B1638:D1638)</f>
        <v>112</v>
      </c>
      <c r="F1638" s="32">
        <f>F1632</f>
        <v>59</v>
      </c>
      <c r="G1638" s="33">
        <f>G1632</f>
        <v>37</v>
      </c>
      <c r="H1638" s="34">
        <f>H1632</f>
        <v>34</v>
      </c>
      <c r="I1638" s="41">
        <f>SUM(F1638:H1638)</f>
        <v>130</v>
      </c>
      <c r="J1638" s="41">
        <f>E1638+I1638</f>
        <v>242</v>
      </c>
      <c r="W1638" s="31" t="s">
        <v>14</v>
      </c>
      <c r="X1638" s="32">
        <f>X1632</f>
        <v>1060</v>
      </c>
      <c r="Y1638" s="33">
        <f>Y1632</f>
        <v>540</v>
      </c>
      <c r="Z1638" s="33">
        <f>Z1632</f>
        <v>670</v>
      </c>
      <c r="AA1638" s="111">
        <f>SUM(X1638:Z1638)</f>
        <v>2270</v>
      </c>
      <c r="AB1638" s="32">
        <f>AB1632</f>
        <v>559</v>
      </c>
      <c r="AC1638" s="33">
        <f>AC1632</f>
        <v>530</v>
      </c>
      <c r="AD1638" s="95">
        <f>AD1632</f>
        <v>695</v>
      </c>
      <c r="AE1638" s="46">
        <f>SUM(AB1638:AD1638)</f>
        <v>1784</v>
      </c>
      <c r="AF1638" s="35">
        <f>AA1638+AE1638</f>
        <v>4054</v>
      </c>
    </row>
    <row r="1639" spans="1:33" x14ac:dyDescent="0.15">
      <c r="A1639" s="28" t="s">
        <v>9</v>
      </c>
      <c r="B1639" s="17">
        <v>50</v>
      </c>
      <c r="C1639" s="18"/>
      <c r="D1639" s="19">
        <v>50</v>
      </c>
      <c r="E1639" s="20">
        <f t="shared" ref="E1639:E1646" si="697">SUM(B1639:D1639)</f>
        <v>100</v>
      </c>
      <c r="F1639" s="21"/>
      <c r="G1639" s="18"/>
      <c r="H1639" s="19"/>
      <c r="I1639" s="20">
        <f t="shared" ref="I1639:I1646" si="698">SUM(F1639:H1639)</f>
        <v>0</v>
      </c>
      <c r="J1639" s="20">
        <f t="shared" ref="J1639:J1646" si="699">E1639+I1639</f>
        <v>100</v>
      </c>
      <c r="K1639" s="65">
        <v>43117</v>
      </c>
      <c r="W1639" s="28" t="s">
        <v>9</v>
      </c>
      <c r="X1639" s="8"/>
      <c r="Y1639" s="9"/>
      <c r="Z1639" s="10"/>
      <c r="AA1639" s="78">
        <f t="shared" ref="AA1639:AA1646" si="700">SUM(X1639:Z1639)</f>
        <v>0</v>
      </c>
      <c r="AB1639" s="21"/>
      <c r="AC1639" s="18"/>
      <c r="AD1639" s="19"/>
      <c r="AE1639" s="78">
        <f t="shared" ref="AE1639:AE1646" si="701">SUM(AB1639:AD1639)</f>
        <v>0</v>
      </c>
      <c r="AF1639" s="78">
        <f t="shared" ref="AF1639:AF1646" si="702">AA1639+AE1639</f>
        <v>0</v>
      </c>
    </row>
    <row r="1640" spans="1:33" x14ac:dyDescent="0.15">
      <c r="A1640" s="28" t="s">
        <v>10</v>
      </c>
      <c r="B1640" s="8"/>
      <c r="C1640" s="9">
        <v>50</v>
      </c>
      <c r="D1640" s="10"/>
      <c r="E1640" s="11">
        <f t="shared" si="697"/>
        <v>50</v>
      </c>
      <c r="F1640" s="12"/>
      <c r="G1640" s="9">
        <v>50</v>
      </c>
      <c r="H1640" s="10">
        <v>50</v>
      </c>
      <c r="I1640" s="11">
        <f t="shared" si="698"/>
        <v>100</v>
      </c>
      <c r="J1640" s="11">
        <f t="shared" si="699"/>
        <v>150</v>
      </c>
      <c r="K1640" s="65">
        <v>43484</v>
      </c>
      <c r="W1640" s="28" t="s">
        <v>10</v>
      </c>
      <c r="X1640" s="8"/>
      <c r="Y1640" s="9"/>
      <c r="Z1640" s="10"/>
      <c r="AA1640" s="11">
        <f t="shared" si="700"/>
        <v>0</v>
      </c>
      <c r="AB1640" s="12"/>
      <c r="AC1640" s="9"/>
      <c r="AD1640" s="10"/>
      <c r="AE1640" s="11">
        <f t="shared" si="701"/>
        <v>0</v>
      </c>
      <c r="AF1640" s="11">
        <f t="shared" si="702"/>
        <v>0</v>
      </c>
      <c r="AG1640" s="64"/>
    </row>
    <row r="1641" spans="1:33" x14ac:dyDescent="0.15">
      <c r="A1641" s="28" t="s">
        <v>11</v>
      </c>
      <c r="B1641" s="8">
        <v>50</v>
      </c>
      <c r="C1641" s="9"/>
      <c r="D1641" s="10"/>
      <c r="E1641" s="11">
        <f t="shared" si="697"/>
        <v>50</v>
      </c>
      <c r="F1641" s="12"/>
      <c r="G1641" s="9"/>
      <c r="H1641" s="10"/>
      <c r="I1641" s="11">
        <f t="shared" si="698"/>
        <v>0</v>
      </c>
      <c r="J1641" s="11">
        <f t="shared" si="699"/>
        <v>50</v>
      </c>
      <c r="K1641" s="65">
        <v>43501</v>
      </c>
      <c r="W1641" s="28" t="s">
        <v>11</v>
      </c>
      <c r="X1641" s="8"/>
      <c r="Y1641" s="9"/>
      <c r="Z1641" s="10"/>
      <c r="AA1641" s="11">
        <f t="shared" si="700"/>
        <v>0</v>
      </c>
      <c r="AB1641" s="12"/>
      <c r="AC1641" s="9"/>
      <c r="AD1641" s="10"/>
      <c r="AE1641" s="11">
        <f t="shared" si="701"/>
        <v>0</v>
      </c>
      <c r="AF1641" s="11">
        <f t="shared" si="702"/>
        <v>0</v>
      </c>
      <c r="AG1641" s="64"/>
    </row>
    <row r="1642" spans="1:33" x14ac:dyDescent="0.15">
      <c r="A1642" s="28" t="s">
        <v>12</v>
      </c>
      <c r="B1642" s="8"/>
      <c r="C1642" s="9"/>
      <c r="D1642" s="10">
        <v>50</v>
      </c>
      <c r="E1642" s="11">
        <f t="shared" si="697"/>
        <v>50</v>
      </c>
      <c r="F1642" s="12"/>
      <c r="G1642" s="9"/>
      <c r="H1642" s="10"/>
      <c r="I1642" s="11">
        <f t="shared" si="698"/>
        <v>0</v>
      </c>
      <c r="J1642" s="11">
        <f t="shared" si="699"/>
        <v>50</v>
      </c>
      <c r="K1642" s="65">
        <v>43515</v>
      </c>
      <c r="W1642" s="28" t="s">
        <v>12</v>
      </c>
      <c r="X1642" s="8"/>
      <c r="Y1642" s="9"/>
      <c r="Z1642" s="10"/>
      <c r="AA1642" s="11">
        <f t="shared" si="700"/>
        <v>0</v>
      </c>
      <c r="AB1642" s="12"/>
      <c r="AC1642" s="9"/>
      <c r="AD1642" s="10"/>
      <c r="AE1642" s="11">
        <f t="shared" si="701"/>
        <v>0</v>
      </c>
      <c r="AF1642" s="11">
        <f t="shared" si="702"/>
        <v>0</v>
      </c>
    </row>
    <row r="1643" spans="1:33" x14ac:dyDescent="0.15">
      <c r="A1643" s="28" t="s">
        <v>15</v>
      </c>
      <c r="B1643" s="8"/>
      <c r="C1643" s="9">
        <v>13</v>
      </c>
      <c r="D1643" s="10">
        <v>22</v>
      </c>
      <c r="E1643" s="11">
        <f t="shared" si="697"/>
        <v>35</v>
      </c>
      <c r="F1643" s="12"/>
      <c r="G1643" s="9">
        <v>13</v>
      </c>
      <c r="H1643" s="10"/>
      <c r="I1643" s="11">
        <f t="shared" si="698"/>
        <v>13</v>
      </c>
      <c r="J1643" s="11">
        <f t="shared" si="699"/>
        <v>48</v>
      </c>
      <c r="K1643" s="71">
        <v>43517</v>
      </c>
      <c r="W1643" s="28" t="s">
        <v>15</v>
      </c>
      <c r="X1643" s="8"/>
      <c r="Y1643" s="9"/>
      <c r="Z1643" s="10"/>
      <c r="AA1643" s="11">
        <f t="shared" si="700"/>
        <v>0</v>
      </c>
      <c r="AB1643" s="12"/>
      <c r="AC1643" s="9"/>
      <c r="AD1643" s="10"/>
      <c r="AE1643" s="11">
        <f t="shared" si="701"/>
        <v>0</v>
      </c>
      <c r="AF1643" s="11">
        <f t="shared" si="702"/>
        <v>0</v>
      </c>
    </row>
    <row r="1644" spans="1:33" x14ac:dyDescent="0.15">
      <c r="A1644" s="28" t="s">
        <v>104</v>
      </c>
      <c r="B1644" s="8">
        <v>2</v>
      </c>
      <c r="C1644" s="9">
        <v>1</v>
      </c>
      <c r="D1644" s="10"/>
      <c r="E1644" s="11">
        <f t="shared" si="697"/>
        <v>3</v>
      </c>
      <c r="F1644" s="12">
        <v>2</v>
      </c>
      <c r="G1644" s="9"/>
      <c r="H1644" s="10"/>
      <c r="I1644" s="11">
        <f t="shared" si="698"/>
        <v>2</v>
      </c>
      <c r="J1644" s="11">
        <f t="shared" si="699"/>
        <v>5</v>
      </c>
      <c r="K1644" s="71">
        <v>43535</v>
      </c>
      <c r="W1644" s="28" t="s">
        <v>16</v>
      </c>
      <c r="X1644" s="8"/>
      <c r="Y1644" s="9"/>
      <c r="Z1644" s="10"/>
      <c r="AA1644" s="11">
        <f t="shared" si="700"/>
        <v>0</v>
      </c>
      <c r="AB1644" s="12"/>
      <c r="AC1644" s="9"/>
      <c r="AD1644" s="10"/>
      <c r="AE1644" s="11">
        <f t="shared" si="701"/>
        <v>0</v>
      </c>
      <c r="AF1644" s="11">
        <f t="shared" si="702"/>
        <v>0</v>
      </c>
    </row>
    <row r="1645" spans="1:33" x14ac:dyDescent="0.15">
      <c r="A1645" s="28" t="s">
        <v>17</v>
      </c>
      <c r="B1645" s="13"/>
      <c r="C1645" s="14"/>
      <c r="D1645" s="15"/>
      <c r="E1645" s="11">
        <f t="shared" si="697"/>
        <v>0</v>
      </c>
      <c r="F1645" s="16">
        <v>50</v>
      </c>
      <c r="G1645" s="14"/>
      <c r="H1645" s="15"/>
      <c r="I1645" s="11">
        <f t="shared" si="698"/>
        <v>50</v>
      </c>
      <c r="J1645" s="11">
        <f t="shared" si="699"/>
        <v>50</v>
      </c>
      <c r="K1645" s="65">
        <v>43549</v>
      </c>
      <c r="W1645" s="28" t="s">
        <v>17</v>
      </c>
      <c r="X1645" s="8"/>
      <c r="Y1645" s="9"/>
      <c r="Z1645" s="10"/>
      <c r="AA1645" s="11">
        <f t="shared" si="700"/>
        <v>0</v>
      </c>
      <c r="AB1645" s="12"/>
      <c r="AC1645" s="12"/>
      <c r="AD1645" s="87"/>
      <c r="AE1645" s="11">
        <f t="shared" si="701"/>
        <v>0</v>
      </c>
      <c r="AF1645" s="11">
        <f t="shared" si="702"/>
        <v>0</v>
      </c>
    </row>
    <row r="1646" spans="1:33" ht="14.25" thickBot="1" x14ac:dyDescent="0.2">
      <c r="A1646" s="28" t="s">
        <v>18</v>
      </c>
      <c r="B1646" s="36"/>
      <c r="C1646" s="37"/>
      <c r="D1646" s="40"/>
      <c r="E1646" s="22">
        <f t="shared" si="697"/>
        <v>0</v>
      </c>
      <c r="F1646" s="38"/>
      <c r="G1646" s="38"/>
      <c r="H1646" s="43">
        <v>50</v>
      </c>
      <c r="I1646" s="22">
        <f t="shared" si="698"/>
        <v>50</v>
      </c>
      <c r="J1646" s="22">
        <f t="shared" si="699"/>
        <v>50</v>
      </c>
      <c r="K1646" s="65">
        <v>43557</v>
      </c>
      <c r="W1646" s="28" t="s">
        <v>18</v>
      </c>
      <c r="X1646" s="127"/>
      <c r="Y1646" s="128"/>
      <c r="Z1646" s="129"/>
      <c r="AA1646" s="130">
        <f t="shared" si="700"/>
        <v>0</v>
      </c>
      <c r="AB1646" s="131"/>
      <c r="AC1646" s="131"/>
      <c r="AD1646" s="132"/>
      <c r="AE1646" s="130">
        <f t="shared" si="701"/>
        <v>0</v>
      </c>
      <c r="AF1646" s="130">
        <f t="shared" si="702"/>
        <v>0</v>
      </c>
    </row>
    <row r="1647" spans="1:33" ht="14.25" thickBot="1" x14ac:dyDescent="0.2">
      <c r="A1647" s="39" t="s">
        <v>20</v>
      </c>
      <c r="B1647" s="32">
        <f t="shared" ref="B1647:J1647" si="703">SUM(B1638:B1646)</f>
        <v>127</v>
      </c>
      <c r="C1647" s="33">
        <f t="shared" si="703"/>
        <v>116</v>
      </c>
      <c r="D1647" s="34">
        <f t="shared" si="703"/>
        <v>157</v>
      </c>
      <c r="E1647" s="42">
        <f t="shared" si="703"/>
        <v>400</v>
      </c>
      <c r="F1647" s="32">
        <f t="shared" si="703"/>
        <v>111</v>
      </c>
      <c r="G1647" s="33">
        <f t="shared" si="703"/>
        <v>100</v>
      </c>
      <c r="H1647" s="34">
        <f t="shared" si="703"/>
        <v>134</v>
      </c>
      <c r="I1647" s="42">
        <f t="shared" si="703"/>
        <v>345</v>
      </c>
      <c r="J1647" s="42">
        <f t="shared" si="703"/>
        <v>745</v>
      </c>
      <c r="W1647" s="39" t="s">
        <v>20</v>
      </c>
      <c r="X1647" s="32">
        <f t="shared" ref="X1647:AF1647" si="704">SUM(X1638:X1646)</f>
        <v>1060</v>
      </c>
      <c r="Y1647" s="33">
        <f t="shared" si="704"/>
        <v>540</v>
      </c>
      <c r="Z1647" s="34">
        <f t="shared" si="704"/>
        <v>670</v>
      </c>
      <c r="AA1647" s="42">
        <f t="shared" si="704"/>
        <v>2270</v>
      </c>
      <c r="AB1647" s="32">
        <f t="shared" si="704"/>
        <v>559</v>
      </c>
      <c r="AC1647" s="33">
        <f t="shared" si="704"/>
        <v>530</v>
      </c>
      <c r="AD1647" s="34">
        <f t="shared" si="704"/>
        <v>695</v>
      </c>
      <c r="AE1647" s="42">
        <f t="shared" si="704"/>
        <v>1784</v>
      </c>
      <c r="AF1647" s="42">
        <f t="shared" si="704"/>
        <v>4054</v>
      </c>
    </row>
    <row r="1648" spans="1:33" x14ac:dyDescent="0.15">
      <c r="A1648" s="86" t="s">
        <v>819</v>
      </c>
      <c r="B1648" s="13">
        <v>50</v>
      </c>
      <c r="C1648" s="14">
        <v>55</v>
      </c>
      <c r="D1648" s="15">
        <v>40</v>
      </c>
      <c r="E1648" s="11">
        <f>SUM(B1648:D1648)</f>
        <v>145</v>
      </c>
      <c r="F1648" s="16">
        <v>20</v>
      </c>
      <c r="G1648" s="14">
        <v>30</v>
      </c>
      <c r="H1648" s="15">
        <v>25</v>
      </c>
      <c r="I1648" s="11">
        <f>SUM(F1648:H1648)</f>
        <v>75</v>
      </c>
      <c r="J1648" s="11">
        <f>E1648+I1648</f>
        <v>220</v>
      </c>
      <c r="K1648" s="65">
        <v>43121</v>
      </c>
      <c r="W1648" s="29" t="s">
        <v>820</v>
      </c>
      <c r="X1648" s="8">
        <v>50</v>
      </c>
      <c r="Y1648" s="9"/>
      <c r="Z1648" s="10">
        <v>50</v>
      </c>
      <c r="AA1648" s="11">
        <f>SUM(X1648:Z1648)</f>
        <v>100</v>
      </c>
      <c r="AB1648" s="12"/>
      <c r="AC1648" s="9"/>
      <c r="AD1648" s="10"/>
      <c r="AE1648" s="11">
        <f>SUM(AB1648:AD1648)</f>
        <v>0</v>
      </c>
      <c r="AF1648" s="11">
        <f t="shared" ref="AF1648:AF1673" si="705">AA1648+AE1648</f>
        <v>100</v>
      </c>
      <c r="AG1648" s="65">
        <v>43117</v>
      </c>
    </row>
    <row r="1649" spans="1:33" x14ac:dyDescent="0.15">
      <c r="A1649" s="29" t="s">
        <v>687</v>
      </c>
      <c r="B1649" s="13"/>
      <c r="C1649" s="14">
        <v>3</v>
      </c>
      <c r="D1649" s="15"/>
      <c r="E1649" s="11">
        <f t="shared" ref="E1649:E1673" si="706">SUM(B1649:D1649)</f>
        <v>3</v>
      </c>
      <c r="F1649" s="16"/>
      <c r="G1649" s="14"/>
      <c r="H1649" s="15"/>
      <c r="I1649" s="11">
        <f>SUM(F1649:H1649)</f>
        <v>0</v>
      </c>
      <c r="J1649" s="11">
        <f t="shared" ref="J1649:J1673" si="707">E1649+I1649</f>
        <v>3</v>
      </c>
      <c r="K1649" s="65">
        <v>43487</v>
      </c>
      <c r="W1649" s="86" t="s">
        <v>823</v>
      </c>
      <c r="X1649" s="8">
        <v>10</v>
      </c>
      <c r="Y1649" s="9">
        <v>10</v>
      </c>
      <c r="Z1649" s="10">
        <v>10</v>
      </c>
      <c r="AA1649" s="11">
        <f>SUM(X1649:Z1649)</f>
        <v>30</v>
      </c>
      <c r="AB1649" s="12">
        <v>10</v>
      </c>
      <c r="AC1649" s="9">
        <v>10</v>
      </c>
      <c r="AD1649" s="10">
        <v>10</v>
      </c>
      <c r="AE1649" s="11">
        <f>SUM(AB1649:AD1649)</f>
        <v>30</v>
      </c>
      <c r="AF1649" s="11">
        <f t="shared" si="705"/>
        <v>60</v>
      </c>
      <c r="AG1649" s="65">
        <v>43482</v>
      </c>
    </row>
    <row r="1650" spans="1:33" x14ac:dyDescent="0.15">
      <c r="A1650" s="29" t="s">
        <v>822</v>
      </c>
      <c r="B1650" s="8">
        <v>10</v>
      </c>
      <c r="C1650" s="9">
        <v>10</v>
      </c>
      <c r="D1650" s="10">
        <v>10</v>
      </c>
      <c r="E1650" s="11">
        <f t="shared" ref="E1650" si="708">SUM(B1650:D1650)</f>
        <v>30</v>
      </c>
      <c r="F1650" s="12">
        <v>10</v>
      </c>
      <c r="G1650" s="9">
        <v>10</v>
      </c>
      <c r="H1650" s="10">
        <v>10</v>
      </c>
      <c r="I1650" s="11">
        <f t="shared" ref="I1650" si="709">SUM(F1650:H1650)</f>
        <v>30</v>
      </c>
      <c r="J1650" s="11">
        <f t="shared" ref="J1650" si="710">E1650+I1650</f>
        <v>60</v>
      </c>
      <c r="K1650" s="65">
        <v>43493</v>
      </c>
      <c r="W1650" s="29" t="s">
        <v>41</v>
      </c>
      <c r="X1650" s="8"/>
      <c r="Y1650" s="9">
        <v>50</v>
      </c>
      <c r="Z1650" s="10"/>
      <c r="AA1650" s="11">
        <f t="shared" ref="AA1650:AA1673" si="711">SUM(X1650:Z1650)</f>
        <v>50</v>
      </c>
      <c r="AB1650" s="12"/>
      <c r="AC1650" s="9">
        <v>50</v>
      </c>
      <c r="AD1650" s="10">
        <v>50</v>
      </c>
      <c r="AE1650" s="11">
        <f t="shared" ref="AE1650:AE1673" si="712">SUM(AB1650:AD1650)</f>
        <v>100</v>
      </c>
      <c r="AF1650" s="11">
        <f t="shared" si="705"/>
        <v>150</v>
      </c>
      <c r="AG1650" s="65">
        <v>43484</v>
      </c>
    </row>
    <row r="1651" spans="1:33" x14ac:dyDescent="0.15">
      <c r="A1651" s="27" t="s">
        <v>207</v>
      </c>
      <c r="B1651" s="8"/>
      <c r="C1651" s="9"/>
      <c r="D1651" s="10">
        <v>1</v>
      </c>
      <c r="E1651" s="11">
        <f t="shared" si="706"/>
        <v>1</v>
      </c>
      <c r="F1651" s="12"/>
      <c r="G1651" s="9">
        <v>1</v>
      </c>
      <c r="H1651" s="10"/>
      <c r="I1651" s="11">
        <f>SUM(F1651:H1651)</f>
        <v>1</v>
      </c>
      <c r="J1651" s="11">
        <f t="shared" si="707"/>
        <v>2</v>
      </c>
      <c r="K1651" s="65">
        <v>43493</v>
      </c>
      <c r="W1651" s="86" t="s">
        <v>824</v>
      </c>
      <c r="X1651" s="8">
        <v>50</v>
      </c>
      <c r="Y1651" s="9">
        <v>100</v>
      </c>
      <c r="Z1651" s="10">
        <v>50</v>
      </c>
      <c r="AA1651" s="11">
        <f t="shared" si="711"/>
        <v>200</v>
      </c>
      <c r="AB1651" s="12">
        <v>20</v>
      </c>
      <c r="AC1651" s="9">
        <v>30</v>
      </c>
      <c r="AD1651" s="10"/>
      <c r="AE1651" s="11">
        <f t="shared" si="712"/>
        <v>50</v>
      </c>
      <c r="AF1651" s="11">
        <f t="shared" si="705"/>
        <v>250</v>
      </c>
      <c r="AG1651" s="65">
        <v>43496</v>
      </c>
    </row>
    <row r="1652" spans="1:33" x14ac:dyDescent="0.15">
      <c r="A1652" s="86" t="s">
        <v>826</v>
      </c>
      <c r="B1652" s="8"/>
      <c r="C1652" s="9"/>
      <c r="D1652" s="10">
        <v>20</v>
      </c>
      <c r="E1652" s="11">
        <f t="shared" si="706"/>
        <v>20</v>
      </c>
      <c r="F1652" s="12">
        <v>10</v>
      </c>
      <c r="G1652" s="9"/>
      <c r="H1652" s="10">
        <v>10</v>
      </c>
      <c r="I1652" s="11">
        <f>SUM(F1652:H1652)</f>
        <v>20</v>
      </c>
      <c r="J1652" s="11">
        <f t="shared" si="707"/>
        <v>40</v>
      </c>
      <c r="K1652" s="65">
        <v>43498</v>
      </c>
      <c r="W1652" s="86" t="s">
        <v>825</v>
      </c>
      <c r="X1652" s="8"/>
      <c r="Y1652" s="9">
        <v>45</v>
      </c>
      <c r="Z1652" s="10">
        <v>10</v>
      </c>
      <c r="AA1652" s="11">
        <f t="shared" si="711"/>
        <v>55</v>
      </c>
      <c r="AB1652" s="12">
        <v>5</v>
      </c>
      <c r="AC1652" s="9">
        <v>30</v>
      </c>
      <c r="AD1652" s="10">
        <v>20</v>
      </c>
      <c r="AE1652" s="11">
        <f t="shared" si="712"/>
        <v>55</v>
      </c>
      <c r="AF1652" s="11">
        <f t="shared" si="705"/>
        <v>110</v>
      </c>
      <c r="AG1652" s="65">
        <v>43497</v>
      </c>
    </row>
    <row r="1653" spans="1:33" x14ac:dyDescent="0.15">
      <c r="A1653" s="86" t="s">
        <v>827</v>
      </c>
      <c r="B1653" s="8">
        <v>10</v>
      </c>
      <c r="C1653" s="9"/>
      <c r="D1653" s="10"/>
      <c r="E1653" s="11">
        <f t="shared" si="706"/>
        <v>10</v>
      </c>
      <c r="F1653" s="140"/>
      <c r="G1653" s="140"/>
      <c r="H1653" s="10"/>
      <c r="I1653" s="11">
        <f t="shared" ref="I1653:I1673" si="713">SUM(F1653:H1653)</f>
        <v>0</v>
      </c>
      <c r="J1653" s="11">
        <f t="shared" si="707"/>
        <v>10</v>
      </c>
      <c r="K1653" s="65">
        <v>43501</v>
      </c>
      <c r="W1653" s="29" t="s">
        <v>41</v>
      </c>
      <c r="X1653" s="8">
        <v>50</v>
      </c>
      <c r="Y1653" s="9"/>
      <c r="Z1653" s="10"/>
      <c r="AA1653" s="11">
        <f t="shared" si="711"/>
        <v>50</v>
      </c>
      <c r="AB1653" s="12"/>
      <c r="AC1653" s="9"/>
      <c r="AD1653" s="10"/>
      <c r="AE1653" s="11">
        <f t="shared" si="712"/>
        <v>0</v>
      </c>
      <c r="AF1653" s="11">
        <f t="shared" si="705"/>
        <v>50</v>
      </c>
      <c r="AG1653" s="65">
        <v>43501</v>
      </c>
    </row>
    <row r="1654" spans="1:33" x14ac:dyDescent="0.15">
      <c r="A1654" s="27" t="s">
        <v>207</v>
      </c>
      <c r="B1654" s="8"/>
      <c r="C1654" s="9"/>
      <c r="D1654" s="10">
        <v>1</v>
      </c>
      <c r="E1654" s="11">
        <f t="shared" si="706"/>
        <v>1</v>
      </c>
      <c r="F1654" s="12"/>
      <c r="G1654" s="9"/>
      <c r="H1654" s="10"/>
      <c r="I1654" s="11">
        <f t="shared" si="713"/>
        <v>0</v>
      </c>
      <c r="J1654" s="11">
        <f t="shared" si="707"/>
        <v>1</v>
      </c>
      <c r="K1654" s="65">
        <v>43501</v>
      </c>
      <c r="W1654" s="86" t="s">
        <v>828</v>
      </c>
      <c r="X1654" s="8">
        <v>13</v>
      </c>
      <c r="Y1654" s="9"/>
      <c r="Z1654" s="10"/>
      <c r="AA1654" s="11">
        <f t="shared" si="711"/>
        <v>13</v>
      </c>
      <c r="AB1654" s="12"/>
      <c r="AC1654" s="9"/>
      <c r="AD1654" s="10">
        <v>1</v>
      </c>
      <c r="AE1654" s="11">
        <f t="shared" si="712"/>
        <v>1</v>
      </c>
      <c r="AF1654" s="11">
        <f t="shared" si="705"/>
        <v>14</v>
      </c>
      <c r="AG1654" s="65">
        <v>43501</v>
      </c>
    </row>
    <row r="1655" spans="1:33" x14ac:dyDescent="0.15">
      <c r="A1655" s="27" t="s">
        <v>207</v>
      </c>
      <c r="B1655" s="8"/>
      <c r="C1655" s="9"/>
      <c r="D1655" s="10"/>
      <c r="E1655" s="11">
        <f t="shared" si="706"/>
        <v>0</v>
      </c>
      <c r="F1655" s="12"/>
      <c r="G1655" s="9"/>
      <c r="H1655" s="10">
        <v>1</v>
      </c>
      <c r="I1655" s="11">
        <f t="shared" si="713"/>
        <v>1</v>
      </c>
      <c r="J1655" s="11">
        <f t="shared" si="707"/>
        <v>1</v>
      </c>
      <c r="K1655" s="65">
        <v>43502</v>
      </c>
      <c r="W1655" s="29" t="s">
        <v>41</v>
      </c>
      <c r="X1655" s="8"/>
      <c r="Y1655" s="9"/>
      <c r="Z1655" s="10">
        <v>50</v>
      </c>
      <c r="AA1655" s="11">
        <f t="shared" si="711"/>
        <v>50</v>
      </c>
      <c r="AB1655" s="12"/>
      <c r="AC1655" s="9"/>
      <c r="AD1655" s="10"/>
      <c r="AE1655" s="11">
        <f t="shared" si="712"/>
        <v>0</v>
      </c>
      <c r="AF1655" s="11">
        <f t="shared" si="705"/>
        <v>50</v>
      </c>
      <c r="AG1655" s="65">
        <v>43515</v>
      </c>
    </row>
    <row r="1656" spans="1:33" x14ac:dyDescent="0.15">
      <c r="A1656" s="86" t="s">
        <v>829</v>
      </c>
      <c r="B1656" s="13">
        <v>1</v>
      </c>
      <c r="C1656" s="14"/>
      <c r="D1656" s="15"/>
      <c r="E1656" s="11">
        <f t="shared" si="706"/>
        <v>1</v>
      </c>
      <c r="F1656" s="16"/>
      <c r="G1656" s="14"/>
      <c r="H1656" s="15"/>
      <c r="I1656" s="11">
        <f t="shared" si="713"/>
        <v>0</v>
      </c>
      <c r="J1656" s="11">
        <f t="shared" si="707"/>
        <v>1</v>
      </c>
      <c r="K1656" s="65">
        <v>43505</v>
      </c>
      <c r="W1656" s="29" t="s">
        <v>41</v>
      </c>
      <c r="X1656" s="8"/>
      <c r="Y1656" s="9"/>
      <c r="Z1656" s="10"/>
      <c r="AA1656" s="11">
        <f t="shared" si="711"/>
        <v>0</v>
      </c>
      <c r="AB1656" s="12">
        <v>50</v>
      </c>
      <c r="AC1656" s="9"/>
      <c r="AD1656" s="10"/>
      <c r="AE1656" s="11">
        <f t="shared" si="712"/>
        <v>50</v>
      </c>
      <c r="AF1656" s="11">
        <f t="shared" si="705"/>
        <v>50</v>
      </c>
      <c r="AG1656" s="65">
        <v>43549</v>
      </c>
    </row>
    <row r="1657" spans="1:33" x14ac:dyDescent="0.15">
      <c r="A1657" s="27" t="s">
        <v>207</v>
      </c>
      <c r="B1657" s="13"/>
      <c r="C1657" s="14"/>
      <c r="D1657" s="15"/>
      <c r="E1657" s="11">
        <f t="shared" si="706"/>
        <v>0</v>
      </c>
      <c r="F1657" s="16">
        <v>2</v>
      </c>
      <c r="G1657" s="14"/>
      <c r="H1657" s="15"/>
      <c r="I1657" s="11">
        <f t="shared" si="713"/>
        <v>2</v>
      </c>
      <c r="J1657" s="11">
        <f t="shared" si="707"/>
        <v>2</v>
      </c>
      <c r="K1657" s="65">
        <v>43508</v>
      </c>
      <c r="W1657" s="29" t="s">
        <v>41</v>
      </c>
      <c r="X1657" s="13"/>
      <c r="Y1657" s="14"/>
      <c r="Z1657" s="15"/>
      <c r="AA1657" s="11">
        <f t="shared" si="711"/>
        <v>0</v>
      </c>
      <c r="AB1657" s="16"/>
      <c r="AC1657" s="14"/>
      <c r="AD1657" s="15">
        <v>50</v>
      </c>
      <c r="AE1657" s="11">
        <f t="shared" si="712"/>
        <v>50</v>
      </c>
      <c r="AF1657" s="11">
        <f t="shared" si="705"/>
        <v>50</v>
      </c>
      <c r="AG1657" s="65">
        <v>43557</v>
      </c>
    </row>
    <row r="1658" spans="1:33" x14ac:dyDescent="0.15">
      <c r="A1658" s="86" t="s">
        <v>830</v>
      </c>
      <c r="B1658" s="8"/>
      <c r="C1658" s="9"/>
      <c r="D1658" s="10">
        <v>30</v>
      </c>
      <c r="E1658" s="11">
        <f t="shared" si="706"/>
        <v>30</v>
      </c>
      <c r="F1658" s="12"/>
      <c r="G1658" s="9"/>
      <c r="H1658" s="10"/>
      <c r="I1658" s="11">
        <f t="shared" si="713"/>
        <v>0</v>
      </c>
      <c r="J1658" s="11">
        <f t="shared" si="707"/>
        <v>30</v>
      </c>
      <c r="K1658" s="65">
        <v>43517</v>
      </c>
      <c r="W1658" s="29"/>
      <c r="X1658" s="8"/>
      <c r="Y1658" s="9"/>
      <c r="Z1658" s="10"/>
      <c r="AA1658" s="11">
        <f t="shared" si="711"/>
        <v>0</v>
      </c>
      <c r="AB1658" s="12"/>
      <c r="AC1658" s="9"/>
      <c r="AD1658" s="10"/>
      <c r="AE1658" s="11">
        <f t="shared" si="712"/>
        <v>0</v>
      </c>
      <c r="AF1658" s="11">
        <f t="shared" si="705"/>
        <v>0</v>
      </c>
    </row>
    <row r="1659" spans="1:33" x14ac:dyDescent="0.15">
      <c r="A1659" s="27" t="s">
        <v>207</v>
      </c>
      <c r="B1659" s="8"/>
      <c r="C1659" s="9"/>
      <c r="D1659" s="10"/>
      <c r="E1659" s="11">
        <f t="shared" si="706"/>
        <v>0</v>
      </c>
      <c r="F1659" s="12"/>
      <c r="G1659" s="9">
        <v>1</v>
      </c>
      <c r="H1659" s="10"/>
      <c r="I1659" s="11">
        <f t="shared" si="713"/>
        <v>1</v>
      </c>
      <c r="J1659" s="11">
        <f t="shared" si="707"/>
        <v>1</v>
      </c>
      <c r="K1659" s="65">
        <v>43511</v>
      </c>
      <c r="W1659" s="29"/>
      <c r="X1659" s="8"/>
      <c r="Y1659" s="9"/>
      <c r="Z1659" s="10"/>
      <c r="AA1659" s="11">
        <f t="shared" si="711"/>
        <v>0</v>
      </c>
      <c r="AB1659" s="12"/>
      <c r="AC1659" s="9"/>
      <c r="AD1659" s="10"/>
      <c r="AE1659" s="11">
        <f t="shared" si="712"/>
        <v>0</v>
      </c>
      <c r="AF1659" s="11">
        <f t="shared" si="705"/>
        <v>0</v>
      </c>
    </row>
    <row r="1660" spans="1:33" x14ac:dyDescent="0.15">
      <c r="A1660" s="27" t="s">
        <v>207</v>
      </c>
      <c r="B1660" s="8"/>
      <c r="C1660" s="9"/>
      <c r="D1660" s="10"/>
      <c r="E1660" s="11">
        <f t="shared" si="706"/>
        <v>0</v>
      </c>
      <c r="F1660" s="12"/>
      <c r="G1660" s="9">
        <v>1</v>
      </c>
      <c r="H1660" s="10">
        <v>1</v>
      </c>
      <c r="I1660" s="11">
        <f t="shared" si="713"/>
        <v>2</v>
      </c>
      <c r="J1660" s="11">
        <f t="shared" si="707"/>
        <v>2</v>
      </c>
      <c r="K1660" s="65">
        <v>43514</v>
      </c>
      <c r="W1660" s="27"/>
      <c r="X1660" s="8"/>
      <c r="Y1660" s="9"/>
      <c r="Z1660" s="10"/>
      <c r="AA1660" s="11">
        <f t="shared" si="711"/>
        <v>0</v>
      </c>
      <c r="AB1660" s="12"/>
      <c r="AC1660" s="9"/>
      <c r="AD1660" s="10"/>
      <c r="AE1660" s="11">
        <f t="shared" si="712"/>
        <v>0</v>
      </c>
      <c r="AF1660" s="11">
        <f t="shared" si="705"/>
        <v>0</v>
      </c>
    </row>
    <row r="1661" spans="1:33" x14ac:dyDescent="0.15">
      <c r="A1661" s="27" t="s">
        <v>207</v>
      </c>
      <c r="B1661" s="8"/>
      <c r="C1661" s="9"/>
      <c r="D1661" s="10">
        <v>1</v>
      </c>
      <c r="E1661" s="11">
        <f t="shared" si="706"/>
        <v>1</v>
      </c>
      <c r="F1661" s="12"/>
      <c r="G1661" s="9"/>
      <c r="H1661" s="10"/>
      <c r="I1661" s="11">
        <f t="shared" si="713"/>
        <v>0</v>
      </c>
      <c r="J1661" s="11">
        <f t="shared" si="707"/>
        <v>1</v>
      </c>
      <c r="K1661" s="65">
        <v>43515</v>
      </c>
      <c r="W1661" s="29"/>
      <c r="X1661" s="8"/>
      <c r="Y1661" s="9"/>
      <c r="Z1661" s="10"/>
      <c r="AA1661" s="11">
        <f t="shared" si="711"/>
        <v>0</v>
      </c>
      <c r="AB1661" s="12"/>
      <c r="AC1661" s="9"/>
      <c r="AD1661" s="10"/>
      <c r="AE1661" s="11">
        <f t="shared" si="712"/>
        <v>0</v>
      </c>
      <c r="AF1661" s="11">
        <f t="shared" si="705"/>
        <v>0</v>
      </c>
    </row>
    <row r="1662" spans="1:33" x14ac:dyDescent="0.15">
      <c r="A1662" s="27" t="s">
        <v>207</v>
      </c>
      <c r="B1662" s="8"/>
      <c r="C1662" s="9"/>
      <c r="D1662" s="10"/>
      <c r="E1662" s="11">
        <f t="shared" si="706"/>
        <v>0</v>
      </c>
      <c r="F1662" s="12">
        <v>2</v>
      </c>
      <c r="G1662" s="9"/>
      <c r="H1662" s="10"/>
      <c r="I1662" s="11">
        <f t="shared" si="713"/>
        <v>2</v>
      </c>
      <c r="J1662" s="11">
        <f t="shared" si="707"/>
        <v>2</v>
      </c>
      <c r="K1662" s="65">
        <v>43517</v>
      </c>
      <c r="W1662" s="29"/>
      <c r="X1662" s="8"/>
      <c r="Y1662" s="9"/>
      <c r="Z1662" s="10"/>
      <c r="AA1662" s="11">
        <f t="shared" si="711"/>
        <v>0</v>
      </c>
      <c r="AB1662" s="12"/>
      <c r="AC1662" s="9"/>
      <c r="AD1662" s="10"/>
      <c r="AE1662" s="11">
        <f t="shared" si="712"/>
        <v>0</v>
      </c>
      <c r="AF1662" s="11">
        <f t="shared" si="705"/>
        <v>0</v>
      </c>
    </row>
    <row r="1663" spans="1:33" x14ac:dyDescent="0.15">
      <c r="A1663" s="27" t="s">
        <v>207</v>
      </c>
      <c r="B1663" s="8"/>
      <c r="C1663" s="9"/>
      <c r="D1663" s="10">
        <v>1</v>
      </c>
      <c r="E1663" s="11">
        <f t="shared" si="706"/>
        <v>1</v>
      </c>
      <c r="F1663" s="12"/>
      <c r="G1663" s="9"/>
      <c r="H1663" s="10">
        <v>1</v>
      </c>
      <c r="I1663" s="11">
        <f t="shared" si="713"/>
        <v>1</v>
      </c>
      <c r="J1663" s="11">
        <f t="shared" si="707"/>
        <v>2</v>
      </c>
      <c r="K1663" s="65">
        <v>43518</v>
      </c>
      <c r="W1663" s="27"/>
      <c r="X1663" s="8"/>
      <c r="Y1663" s="9"/>
      <c r="Z1663" s="10"/>
      <c r="AA1663" s="11">
        <f t="shared" si="711"/>
        <v>0</v>
      </c>
      <c r="AB1663" s="12"/>
      <c r="AC1663" s="9"/>
      <c r="AD1663" s="10"/>
      <c r="AE1663" s="11">
        <f t="shared" si="712"/>
        <v>0</v>
      </c>
      <c r="AF1663" s="11">
        <f t="shared" si="705"/>
        <v>0</v>
      </c>
    </row>
    <row r="1664" spans="1:33" x14ac:dyDescent="0.15">
      <c r="A1664" s="27" t="s">
        <v>207</v>
      </c>
      <c r="B1664" s="8"/>
      <c r="C1664" s="9"/>
      <c r="D1664" s="10"/>
      <c r="E1664" s="11">
        <f t="shared" si="706"/>
        <v>0</v>
      </c>
      <c r="F1664" s="12"/>
      <c r="G1664" s="9"/>
      <c r="H1664" s="10">
        <v>1</v>
      </c>
      <c r="I1664" s="11">
        <f t="shared" si="713"/>
        <v>1</v>
      </c>
      <c r="J1664" s="11">
        <f t="shared" si="707"/>
        <v>1</v>
      </c>
      <c r="K1664" s="65">
        <v>43529</v>
      </c>
      <c r="W1664" s="29"/>
      <c r="X1664" s="8"/>
      <c r="Y1664" s="9"/>
      <c r="Z1664" s="10"/>
      <c r="AA1664" s="11">
        <f t="shared" si="711"/>
        <v>0</v>
      </c>
      <c r="AB1664" s="12"/>
      <c r="AC1664" s="9"/>
      <c r="AD1664" s="10"/>
      <c r="AE1664" s="11">
        <f t="shared" si="712"/>
        <v>0</v>
      </c>
      <c r="AF1664" s="11">
        <f t="shared" si="705"/>
        <v>0</v>
      </c>
    </row>
    <row r="1665" spans="1:33" x14ac:dyDescent="0.15">
      <c r="A1665" s="86" t="s">
        <v>831</v>
      </c>
      <c r="B1665" s="8"/>
      <c r="C1665" s="9"/>
      <c r="D1665" s="10">
        <v>1</v>
      </c>
      <c r="E1665" s="11">
        <f t="shared" si="706"/>
        <v>1</v>
      </c>
      <c r="F1665" s="12"/>
      <c r="G1665" s="9"/>
      <c r="H1665" s="10"/>
      <c r="I1665" s="11">
        <f t="shared" si="713"/>
        <v>0</v>
      </c>
      <c r="J1665" s="11">
        <f t="shared" si="707"/>
        <v>1</v>
      </c>
      <c r="K1665" s="65">
        <v>43538</v>
      </c>
      <c r="W1665" s="27"/>
      <c r="X1665" s="8"/>
      <c r="Y1665" s="9"/>
      <c r="Z1665" s="10"/>
      <c r="AA1665" s="11">
        <f t="shared" si="711"/>
        <v>0</v>
      </c>
      <c r="AB1665" s="12"/>
      <c r="AC1665" s="9"/>
      <c r="AD1665" s="10"/>
      <c r="AE1665" s="11">
        <f t="shared" si="712"/>
        <v>0</v>
      </c>
      <c r="AF1665" s="11">
        <f t="shared" si="705"/>
        <v>0</v>
      </c>
    </row>
    <row r="1666" spans="1:33" x14ac:dyDescent="0.15">
      <c r="A1666" s="86" t="s">
        <v>832</v>
      </c>
      <c r="B1666" s="8"/>
      <c r="C1666" s="9">
        <v>20</v>
      </c>
      <c r="D1666" s="10"/>
      <c r="E1666" s="11">
        <f t="shared" si="706"/>
        <v>20</v>
      </c>
      <c r="F1666" s="12">
        <v>10</v>
      </c>
      <c r="G1666" s="9">
        <v>20</v>
      </c>
      <c r="H1666" s="10">
        <v>10</v>
      </c>
      <c r="I1666" s="11">
        <f t="shared" si="713"/>
        <v>40</v>
      </c>
      <c r="J1666" s="11">
        <f t="shared" si="707"/>
        <v>60</v>
      </c>
      <c r="K1666" s="65">
        <v>43551</v>
      </c>
      <c r="W1666" s="26"/>
      <c r="X1666" s="8"/>
      <c r="Y1666" s="9"/>
      <c r="Z1666" s="10"/>
      <c r="AA1666" s="11">
        <f t="shared" si="711"/>
        <v>0</v>
      </c>
      <c r="AB1666" s="12"/>
      <c r="AC1666" s="9"/>
      <c r="AD1666" s="10"/>
      <c r="AE1666" s="11">
        <f t="shared" si="712"/>
        <v>0</v>
      </c>
      <c r="AF1666" s="11">
        <f t="shared" si="705"/>
        <v>0</v>
      </c>
    </row>
    <row r="1667" spans="1:33" x14ac:dyDescent="0.15">
      <c r="A1667" s="27" t="s">
        <v>207</v>
      </c>
      <c r="B1667" s="8"/>
      <c r="C1667" s="9"/>
      <c r="D1667" s="10"/>
      <c r="E1667" s="11">
        <f t="shared" si="706"/>
        <v>0</v>
      </c>
      <c r="F1667" s="12">
        <v>1</v>
      </c>
      <c r="G1667" s="9"/>
      <c r="H1667" s="10"/>
      <c r="I1667" s="11">
        <f t="shared" si="713"/>
        <v>1</v>
      </c>
      <c r="J1667" s="11">
        <f t="shared" si="707"/>
        <v>1</v>
      </c>
      <c r="K1667" s="71">
        <v>43542</v>
      </c>
      <c r="W1667" s="26"/>
      <c r="X1667" s="8"/>
      <c r="Y1667" s="9"/>
      <c r="Z1667" s="10"/>
      <c r="AA1667" s="11">
        <f t="shared" si="711"/>
        <v>0</v>
      </c>
      <c r="AB1667" s="12"/>
      <c r="AC1667" s="9"/>
      <c r="AD1667" s="10"/>
      <c r="AE1667" s="11">
        <f t="shared" si="712"/>
        <v>0</v>
      </c>
      <c r="AF1667" s="11">
        <f t="shared" si="705"/>
        <v>0</v>
      </c>
    </row>
    <row r="1668" spans="1:33" x14ac:dyDescent="0.15">
      <c r="A1668" s="27" t="s">
        <v>207</v>
      </c>
      <c r="B1668" s="8"/>
      <c r="C1668" s="9"/>
      <c r="D1668" s="10"/>
      <c r="E1668" s="11">
        <f t="shared" si="706"/>
        <v>0</v>
      </c>
      <c r="F1668" s="12"/>
      <c r="G1668" s="9">
        <v>1</v>
      </c>
      <c r="H1668" s="10"/>
      <c r="I1668" s="11">
        <f t="shared" si="713"/>
        <v>1</v>
      </c>
      <c r="J1668" s="11">
        <f t="shared" si="707"/>
        <v>1</v>
      </c>
      <c r="K1668" s="71">
        <v>43546</v>
      </c>
      <c r="W1668" s="27"/>
      <c r="X1668" s="8"/>
      <c r="Y1668" s="9"/>
      <c r="Z1668" s="10"/>
      <c r="AA1668" s="11">
        <f t="shared" si="711"/>
        <v>0</v>
      </c>
      <c r="AB1668" s="12"/>
      <c r="AC1668" s="9"/>
      <c r="AD1668" s="10"/>
      <c r="AE1668" s="11">
        <f t="shared" si="712"/>
        <v>0</v>
      </c>
      <c r="AF1668" s="11">
        <f t="shared" si="705"/>
        <v>0</v>
      </c>
    </row>
    <row r="1669" spans="1:33" x14ac:dyDescent="0.15">
      <c r="A1669" s="27" t="s">
        <v>207</v>
      </c>
      <c r="B1669" s="13">
        <v>1</v>
      </c>
      <c r="C1669" s="14"/>
      <c r="D1669" s="15"/>
      <c r="E1669" s="11">
        <f t="shared" si="706"/>
        <v>1</v>
      </c>
      <c r="F1669" s="16">
        <v>1</v>
      </c>
      <c r="G1669" s="14"/>
      <c r="H1669" s="15"/>
      <c r="I1669" s="11">
        <f t="shared" si="713"/>
        <v>1</v>
      </c>
      <c r="J1669" s="11">
        <f t="shared" si="707"/>
        <v>2</v>
      </c>
      <c r="K1669" s="71">
        <v>43549</v>
      </c>
      <c r="W1669" s="27"/>
      <c r="X1669" s="13"/>
      <c r="Y1669" s="14"/>
      <c r="Z1669" s="15"/>
      <c r="AA1669" s="11">
        <f t="shared" si="711"/>
        <v>0</v>
      </c>
      <c r="AB1669" s="16"/>
      <c r="AC1669" s="14"/>
      <c r="AD1669" s="15"/>
      <c r="AE1669" s="11">
        <f t="shared" si="712"/>
        <v>0</v>
      </c>
      <c r="AF1669" s="11">
        <f t="shared" si="705"/>
        <v>0</v>
      </c>
    </row>
    <row r="1670" spans="1:33" x14ac:dyDescent="0.15">
      <c r="A1670" s="27" t="s">
        <v>833</v>
      </c>
      <c r="B1670" s="8"/>
      <c r="C1670" s="9"/>
      <c r="D1670" s="10"/>
      <c r="E1670" s="11">
        <f t="shared" si="706"/>
        <v>0</v>
      </c>
      <c r="F1670" s="12">
        <v>10</v>
      </c>
      <c r="G1670" s="9"/>
      <c r="H1670" s="10">
        <v>10</v>
      </c>
      <c r="I1670" s="11">
        <f t="shared" si="713"/>
        <v>20</v>
      </c>
      <c r="J1670" s="11">
        <f t="shared" si="707"/>
        <v>20</v>
      </c>
      <c r="K1670" s="65">
        <v>43552</v>
      </c>
      <c r="W1670" s="86"/>
      <c r="X1670" s="13"/>
      <c r="Y1670" s="14"/>
      <c r="Z1670" s="15"/>
      <c r="AA1670" s="11">
        <f t="shared" si="711"/>
        <v>0</v>
      </c>
      <c r="AB1670" s="16"/>
      <c r="AC1670" s="14"/>
      <c r="AD1670" s="15"/>
      <c r="AE1670" s="11">
        <f t="shared" si="712"/>
        <v>0</v>
      </c>
      <c r="AF1670" s="11">
        <f t="shared" si="705"/>
        <v>0</v>
      </c>
    </row>
    <row r="1671" spans="1:33" x14ac:dyDescent="0.15">
      <c r="A1671" s="27" t="s">
        <v>834</v>
      </c>
      <c r="B1671" s="8">
        <v>4</v>
      </c>
      <c r="C1671" s="9">
        <v>4</v>
      </c>
      <c r="D1671" s="10"/>
      <c r="E1671" s="11">
        <f t="shared" si="706"/>
        <v>8</v>
      </c>
      <c r="F1671" s="12">
        <v>6</v>
      </c>
      <c r="G1671" s="9">
        <v>6</v>
      </c>
      <c r="H1671" s="10">
        <v>6</v>
      </c>
      <c r="I1671" s="11">
        <f t="shared" si="713"/>
        <v>18</v>
      </c>
      <c r="J1671" s="11">
        <f t="shared" si="707"/>
        <v>26</v>
      </c>
      <c r="K1671" s="65">
        <v>43553</v>
      </c>
      <c r="W1671" s="86"/>
      <c r="X1671" s="13"/>
      <c r="Y1671" s="14"/>
      <c r="Z1671" s="15"/>
      <c r="AA1671" s="11">
        <f t="shared" si="711"/>
        <v>0</v>
      </c>
      <c r="AB1671" s="16"/>
      <c r="AC1671" s="14"/>
      <c r="AD1671" s="15"/>
      <c r="AE1671" s="11">
        <f t="shared" si="712"/>
        <v>0</v>
      </c>
      <c r="AF1671" s="11">
        <f t="shared" si="705"/>
        <v>0</v>
      </c>
    </row>
    <row r="1672" spans="1:33" x14ac:dyDescent="0.15">
      <c r="A1672" s="29" t="s">
        <v>835</v>
      </c>
      <c r="B1672" s="8">
        <v>10</v>
      </c>
      <c r="C1672" s="9">
        <v>10</v>
      </c>
      <c r="D1672" s="10"/>
      <c r="E1672" s="11">
        <f t="shared" si="706"/>
        <v>20</v>
      </c>
      <c r="F1672" s="12">
        <v>10</v>
      </c>
      <c r="G1672" s="9">
        <v>10</v>
      </c>
      <c r="H1672" s="10"/>
      <c r="I1672" s="11">
        <f t="shared" si="713"/>
        <v>20</v>
      </c>
      <c r="J1672" s="11">
        <f t="shared" si="707"/>
        <v>40</v>
      </c>
      <c r="K1672" s="65">
        <v>43567</v>
      </c>
      <c r="L1672" s="64"/>
      <c r="M1672" s="64"/>
      <c r="W1672" s="86" t="s">
        <v>818</v>
      </c>
      <c r="X1672" s="13"/>
      <c r="Y1672" s="14"/>
      <c r="Z1672" s="15"/>
      <c r="AA1672" s="11">
        <f t="shared" si="711"/>
        <v>0</v>
      </c>
      <c r="AB1672" s="16"/>
      <c r="AC1672" s="14"/>
      <c r="AD1672" s="15"/>
      <c r="AE1672" s="11">
        <f t="shared" si="712"/>
        <v>0</v>
      </c>
      <c r="AF1672" s="11">
        <f t="shared" si="705"/>
        <v>0</v>
      </c>
      <c r="AG1672" s="64" t="s">
        <v>817</v>
      </c>
    </row>
    <row r="1673" spans="1:33" ht="14.25" thickBot="1" x14ac:dyDescent="0.2">
      <c r="A1673" s="27" t="s">
        <v>207</v>
      </c>
      <c r="B1673" s="8">
        <v>1</v>
      </c>
      <c r="C1673" s="9"/>
      <c r="D1673" s="10"/>
      <c r="E1673" s="11">
        <f t="shared" si="706"/>
        <v>1</v>
      </c>
      <c r="F1673" s="12"/>
      <c r="G1673" s="9"/>
      <c r="H1673" s="10"/>
      <c r="I1673" s="11">
        <f t="shared" si="713"/>
        <v>0</v>
      </c>
      <c r="J1673" s="11">
        <f t="shared" si="707"/>
        <v>1</v>
      </c>
      <c r="K1673" s="65">
        <v>43564</v>
      </c>
      <c r="L1673" s="64"/>
      <c r="W1673" s="86" t="s">
        <v>812</v>
      </c>
      <c r="X1673" s="13"/>
      <c r="Y1673" s="14"/>
      <c r="Z1673" s="15"/>
      <c r="AA1673" s="11">
        <f t="shared" si="711"/>
        <v>0</v>
      </c>
      <c r="AB1673" s="16"/>
      <c r="AC1673" s="14"/>
      <c r="AD1673" s="15"/>
      <c r="AE1673" s="11">
        <f t="shared" si="712"/>
        <v>0</v>
      </c>
      <c r="AF1673" s="11">
        <f t="shared" si="705"/>
        <v>0</v>
      </c>
      <c r="AG1673" s="64" t="s">
        <v>813</v>
      </c>
    </row>
    <row r="1674" spans="1:33" ht="14.25" thickBot="1" x14ac:dyDescent="0.2">
      <c r="A1674" s="44" t="s">
        <v>13</v>
      </c>
      <c r="B1674" s="48">
        <f t="shared" ref="B1674:I1674" si="714">SUM(B1648:B1673)</f>
        <v>87</v>
      </c>
      <c r="C1674" s="49">
        <f t="shared" si="714"/>
        <v>102</v>
      </c>
      <c r="D1674" s="50">
        <f t="shared" si="714"/>
        <v>105</v>
      </c>
      <c r="E1674" s="46">
        <f t="shared" si="714"/>
        <v>294</v>
      </c>
      <c r="F1674" s="48">
        <f t="shared" si="714"/>
        <v>82</v>
      </c>
      <c r="G1674" s="49">
        <f t="shared" si="714"/>
        <v>80</v>
      </c>
      <c r="H1674" s="50">
        <f t="shared" si="714"/>
        <v>75</v>
      </c>
      <c r="I1674" s="46">
        <f t="shared" si="714"/>
        <v>237</v>
      </c>
      <c r="J1674" s="35">
        <f>E1674+I1674</f>
        <v>531</v>
      </c>
      <c r="W1674" s="44" t="s">
        <v>13</v>
      </c>
      <c r="X1674" s="48">
        <f t="shared" ref="X1674:AE1674" si="715">SUM(X1648:X1673)</f>
        <v>173</v>
      </c>
      <c r="Y1674" s="49">
        <f t="shared" si="715"/>
        <v>205</v>
      </c>
      <c r="Z1674" s="50">
        <f t="shared" si="715"/>
        <v>170</v>
      </c>
      <c r="AA1674" s="46">
        <f t="shared" si="715"/>
        <v>548</v>
      </c>
      <c r="AB1674" s="48">
        <f t="shared" si="715"/>
        <v>85</v>
      </c>
      <c r="AC1674" s="49">
        <f t="shared" si="715"/>
        <v>120</v>
      </c>
      <c r="AD1674" s="50">
        <f t="shared" si="715"/>
        <v>131</v>
      </c>
      <c r="AE1674" s="46">
        <f t="shared" si="715"/>
        <v>336</v>
      </c>
      <c r="AF1674" s="35">
        <f>AA1674+AE1674</f>
        <v>884</v>
      </c>
    </row>
    <row r="1675" spans="1:33" ht="14.25" thickBot="1" x14ac:dyDescent="0.2">
      <c r="A1675" s="23" t="s">
        <v>14</v>
      </c>
      <c r="B1675" s="24">
        <f t="shared" ref="B1675:J1675" si="716">B1647-B1674</f>
        <v>40</v>
      </c>
      <c r="C1675" s="25">
        <f t="shared" si="716"/>
        <v>14</v>
      </c>
      <c r="D1675" s="30">
        <f t="shared" si="716"/>
        <v>52</v>
      </c>
      <c r="E1675" s="51">
        <f t="shared" si="716"/>
        <v>106</v>
      </c>
      <c r="F1675" s="24">
        <f t="shared" si="716"/>
        <v>29</v>
      </c>
      <c r="G1675" s="25">
        <f t="shared" si="716"/>
        <v>20</v>
      </c>
      <c r="H1675" s="30">
        <f t="shared" si="716"/>
        <v>59</v>
      </c>
      <c r="I1675" s="47">
        <f t="shared" si="716"/>
        <v>108</v>
      </c>
      <c r="J1675" s="79">
        <f t="shared" si="716"/>
        <v>214</v>
      </c>
      <c r="W1675" s="23" t="s">
        <v>14</v>
      </c>
      <c r="X1675" s="24">
        <f t="shared" ref="X1675:AF1675" si="717">X1647-X1674</f>
        <v>887</v>
      </c>
      <c r="Y1675" s="25">
        <f t="shared" si="717"/>
        <v>335</v>
      </c>
      <c r="Z1675" s="30">
        <f t="shared" si="717"/>
        <v>500</v>
      </c>
      <c r="AA1675" s="51">
        <f t="shared" si="717"/>
        <v>1722</v>
      </c>
      <c r="AB1675" s="24">
        <f t="shared" si="717"/>
        <v>474</v>
      </c>
      <c r="AC1675" s="25">
        <f t="shared" si="717"/>
        <v>410</v>
      </c>
      <c r="AD1675" s="30">
        <f t="shared" si="717"/>
        <v>564</v>
      </c>
      <c r="AE1675" s="47">
        <f t="shared" si="717"/>
        <v>1448</v>
      </c>
      <c r="AF1675" s="79">
        <f t="shared" si="717"/>
        <v>3170</v>
      </c>
    </row>
    <row r="1678" spans="1:33" ht="19.5" thickBot="1" x14ac:dyDescent="0.25">
      <c r="A1678" s="142" t="s">
        <v>850</v>
      </c>
      <c r="B1678" s="143"/>
      <c r="C1678" s="143"/>
      <c r="D1678" s="143"/>
      <c r="E1678" s="143"/>
      <c r="F1678" s="1"/>
      <c r="G1678" s="1"/>
      <c r="H1678" s="1"/>
      <c r="I1678" s="1"/>
      <c r="J1678" s="1"/>
      <c r="L1678" s="148" t="s">
        <v>851</v>
      </c>
      <c r="M1678" s="149"/>
      <c r="N1678" s="149"/>
      <c r="O1678" s="149"/>
      <c r="P1678" s="149"/>
      <c r="Q1678" s="2"/>
      <c r="R1678" s="1"/>
      <c r="S1678" s="1"/>
      <c r="T1678" s="1"/>
      <c r="U1678" s="1"/>
      <c r="W1678" s="150" t="s">
        <v>765</v>
      </c>
      <c r="X1678" s="151"/>
      <c r="Y1678" s="151"/>
      <c r="Z1678" s="151"/>
      <c r="AA1678" s="1"/>
      <c r="AB1678" s="2"/>
      <c r="AC1678" s="1"/>
      <c r="AD1678" s="1"/>
      <c r="AE1678" s="1"/>
      <c r="AF1678" s="1"/>
    </row>
    <row r="1679" spans="1:33" ht="14.25" thickBot="1" x14ac:dyDescent="0.2">
      <c r="A1679" s="7" t="s">
        <v>0</v>
      </c>
      <c r="B1679" s="168" t="s">
        <v>1</v>
      </c>
      <c r="C1679" s="169"/>
      <c r="D1679" s="169"/>
      <c r="E1679" s="170"/>
      <c r="F1679" s="168" t="s">
        <v>2</v>
      </c>
      <c r="G1679" s="169"/>
      <c r="H1679" s="169"/>
      <c r="I1679" s="171"/>
      <c r="J1679" s="172" t="s">
        <v>3</v>
      </c>
      <c r="L1679" s="7" t="s">
        <v>0</v>
      </c>
      <c r="M1679" s="174" t="s">
        <v>1</v>
      </c>
      <c r="N1679" s="175"/>
      <c r="O1679" s="176"/>
      <c r="P1679" s="101"/>
      <c r="Q1679" s="174" t="s">
        <v>2</v>
      </c>
      <c r="R1679" s="175"/>
      <c r="S1679" s="176"/>
      <c r="T1679" s="102"/>
      <c r="U1679" s="103" t="s">
        <v>3</v>
      </c>
      <c r="W1679" s="7" t="s">
        <v>0</v>
      </c>
      <c r="X1679" s="174" t="s">
        <v>1</v>
      </c>
      <c r="Y1679" s="175"/>
      <c r="Z1679" s="176"/>
      <c r="AA1679" s="101"/>
      <c r="AB1679" s="174" t="s">
        <v>2</v>
      </c>
      <c r="AC1679" s="175"/>
      <c r="AD1679" s="176"/>
      <c r="AE1679" s="102"/>
      <c r="AF1679" s="103" t="s">
        <v>3</v>
      </c>
    </row>
    <row r="1680" spans="1:33" ht="14.25" thickBot="1" x14ac:dyDescent="0.2">
      <c r="A1680" s="7" t="s">
        <v>4</v>
      </c>
      <c r="B1680" s="3" t="s">
        <v>5</v>
      </c>
      <c r="C1680" s="4" t="s">
        <v>6</v>
      </c>
      <c r="D1680" s="5" t="s">
        <v>7</v>
      </c>
      <c r="E1680" s="7" t="s">
        <v>8</v>
      </c>
      <c r="F1680" s="3" t="s">
        <v>5</v>
      </c>
      <c r="G1680" s="4" t="s">
        <v>6</v>
      </c>
      <c r="H1680" s="5" t="s">
        <v>7</v>
      </c>
      <c r="I1680" s="7" t="s">
        <v>8</v>
      </c>
      <c r="J1680" s="173"/>
      <c r="L1680" s="7" t="s">
        <v>4</v>
      </c>
      <c r="M1680" s="3" t="s">
        <v>5</v>
      </c>
      <c r="N1680" s="4" t="s">
        <v>6</v>
      </c>
      <c r="O1680" s="5" t="s">
        <v>7</v>
      </c>
      <c r="P1680" s="7" t="s">
        <v>8</v>
      </c>
      <c r="Q1680" s="107" t="s">
        <v>5</v>
      </c>
      <c r="R1680" s="108" t="s">
        <v>6</v>
      </c>
      <c r="S1680" s="109" t="s">
        <v>7</v>
      </c>
      <c r="T1680" s="7" t="s">
        <v>8</v>
      </c>
      <c r="U1680" s="104"/>
      <c r="W1680" s="7" t="s">
        <v>4</v>
      </c>
      <c r="X1680" s="3" t="s">
        <v>5</v>
      </c>
      <c r="Y1680" s="4" t="s">
        <v>6</v>
      </c>
      <c r="Z1680" s="5" t="s">
        <v>7</v>
      </c>
      <c r="AA1680" s="7" t="s">
        <v>8</v>
      </c>
      <c r="AB1680" s="107" t="s">
        <v>5</v>
      </c>
      <c r="AC1680" s="108" t="s">
        <v>6</v>
      </c>
      <c r="AD1680" s="109" t="s">
        <v>7</v>
      </c>
      <c r="AE1680" s="7" t="s">
        <v>8</v>
      </c>
      <c r="AF1680" s="104"/>
    </row>
    <row r="1681" spans="1:33" ht="14.25" thickBot="1" x14ac:dyDescent="0.2">
      <c r="A1681" s="31" t="s">
        <v>14</v>
      </c>
      <c r="B1681" s="32">
        <f>B1675</f>
        <v>40</v>
      </c>
      <c r="C1681" s="33">
        <f>C1675</f>
        <v>14</v>
      </c>
      <c r="D1681" s="34">
        <f>D1675</f>
        <v>52</v>
      </c>
      <c r="E1681" s="41">
        <f>SUM(B1681:D1681)</f>
        <v>106</v>
      </c>
      <c r="F1681" s="32">
        <f>F1675</f>
        <v>29</v>
      </c>
      <c r="G1681" s="33">
        <f>G1675</f>
        <v>20</v>
      </c>
      <c r="H1681" s="34">
        <f>H1675</f>
        <v>59</v>
      </c>
      <c r="I1681" s="41">
        <f>SUM(F1681:H1681)</f>
        <v>108</v>
      </c>
      <c r="J1681" s="41">
        <f>E1681+I1681</f>
        <v>214</v>
      </c>
      <c r="L1681" s="31" t="s">
        <v>645</v>
      </c>
      <c r="M1681" s="32">
        <v>19</v>
      </c>
      <c r="N1681" s="33">
        <v>18</v>
      </c>
      <c r="O1681" s="33">
        <v>9</v>
      </c>
      <c r="P1681" s="111">
        <f>SUM(M1681:O1681)</f>
        <v>46</v>
      </c>
      <c r="Q1681" s="32">
        <v>35</v>
      </c>
      <c r="R1681" s="33">
        <v>20</v>
      </c>
      <c r="S1681" s="95">
        <v>25</v>
      </c>
      <c r="T1681" s="46">
        <f>SUM(Q1681:S1681)</f>
        <v>80</v>
      </c>
      <c r="U1681" s="35">
        <f>P1681+T1681</f>
        <v>126</v>
      </c>
      <c r="V1681" s="71">
        <v>43645</v>
      </c>
      <c r="W1681" s="31" t="s">
        <v>14</v>
      </c>
      <c r="X1681" s="32">
        <f>X1675</f>
        <v>887</v>
      </c>
      <c r="Y1681" s="33">
        <f>Y1675</f>
        <v>335</v>
      </c>
      <c r="Z1681" s="33">
        <f>Z1675</f>
        <v>500</v>
      </c>
      <c r="AA1681" s="111">
        <f>SUM(X1681:Z1681)</f>
        <v>1722</v>
      </c>
      <c r="AB1681" s="32">
        <f>AB1675</f>
        <v>474</v>
      </c>
      <c r="AC1681" s="33">
        <f>AC1675</f>
        <v>410</v>
      </c>
      <c r="AD1681" s="95">
        <f>AD1675</f>
        <v>564</v>
      </c>
      <c r="AE1681" s="46">
        <f>SUM(AB1681:AD1681)</f>
        <v>1448</v>
      </c>
      <c r="AF1681" s="35">
        <f>AA1681+AE1681</f>
        <v>3170</v>
      </c>
    </row>
    <row r="1682" spans="1:33" x14ac:dyDescent="0.15">
      <c r="A1682" s="28" t="s">
        <v>104</v>
      </c>
      <c r="B1682" s="17">
        <v>5</v>
      </c>
      <c r="C1682" s="18">
        <v>4</v>
      </c>
      <c r="D1682" s="19">
        <v>5</v>
      </c>
      <c r="E1682" s="20">
        <v>14</v>
      </c>
      <c r="F1682" s="21"/>
      <c r="G1682" s="18"/>
      <c r="H1682" s="19">
        <v>2</v>
      </c>
      <c r="I1682" s="20">
        <v>2</v>
      </c>
      <c r="J1682" s="20">
        <v>16</v>
      </c>
      <c r="K1682" s="65">
        <v>43566</v>
      </c>
      <c r="L1682" s="28" t="s">
        <v>9</v>
      </c>
      <c r="M1682" s="8"/>
      <c r="N1682" s="9"/>
      <c r="O1682" s="10"/>
      <c r="P1682" s="78">
        <f t="shared" ref="P1682:P1689" si="718">SUM(M1682:O1682)</f>
        <v>0</v>
      </c>
      <c r="Q1682" s="21"/>
      <c r="R1682" s="18"/>
      <c r="S1682" s="19"/>
      <c r="T1682" s="78">
        <f t="shared" ref="T1682:T1689" si="719">SUM(Q1682:S1682)</f>
        <v>0</v>
      </c>
      <c r="U1682" s="78">
        <f t="shared" ref="U1682:U1689" si="720">P1682+T1682</f>
        <v>0</v>
      </c>
      <c r="W1682" s="28" t="s">
        <v>9</v>
      </c>
      <c r="X1682" s="8"/>
      <c r="Y1682" s="9"/>
      <c r="Z1682" s="10"/>
      <c r="AA1682" s="78">
        <f t="shared" ref="AA1682:AA1689" si="721">SUM(X1682:Z1682)</f>
        <v>0</v>
      </c>
      <c r="AB1682" s="21"/>
      <c r="AC1682" s="18"/>
      <c r="AD1682" s="19"/>
      <c r="AE1682" s="78">
        <f t="shared" ref="AE1682:AE1689" si="722">SUM(AB1682:AD1682)</f>
        <v>0</v>
      </c>
      <c r="AF1682" s="78">
        <f t="shared" ref="AF1682:AF1689" si="723">AA1682+AE1682</f>
        <v>0</v>
      </c>
    </row>
    <row r="1683" spans="1:33" x14ac:dyDescent="0.15">
      <c r="A1683" s="28" t="s">
        <v>10</v>
      </c>
      <c r="B1683" s="8"/>
      <c r="C1683" s="9">
        <v>50</v>
      </c>
      <c r="D1683" s="10"/>
      <c r="E1683" s="11">
        <f t="shared" ref="E1683:E1689" si="724">SUM(B1683:D1683)</f>
        <v>50</v>
      </c>
      <c r="F1683" s="12"/>
      <c r="G1683" s="9">
        <v>50</v>
      </c>
      <c r="H1683" s="10"/>
      <c r="I1683" s="11">
        <f t="shared" ref="I1683:I1689" si="725">SUM(F1683:H1683)</f>
        <v>50</v>
      </c>
      <c r="J1683" s="11">
        <f t="shared" ref="J1683:J1689" si="726">E1683+I1683</f>
        <v>100</v>
      </c>
      <c r="K1683" s="65">
        <v>43573</v>
      </c>
      <c r="L1683" s="28" t="s">
        <v>10</v>
      </c>
      <c r="M1683" s="8"/>
      <c r="N1683" s="9"/>
      <c r="O1683" s="10"/>
      <c r="P1683" s="11">
        <f t="shared" si="718"/>
        <v>0</v>
      </c>
      <c r="Q1683" s="12"/>
      <c r="R1683" s="9"/>
      <c r="S1683" s="10"/>
      <c r="T1683" s="11">
        <f t="shared" si="719"/>
        <v>0</v>
      </c>
      <c r="U1683" s="11">
        <f t="shared" si="720"/>
        <v>0</v>
      </c>
      <c r="W1683" s="28" t="s">
        <v>10</v>
      </c>
      <c r="X1683" s="8"/>
      <c r="Y1683" s="9"/>
      <c r="Z1683" s="10"/>
      <c r="AA1683" s="11">
        <f t="shared" si="721"/>
        <v>0</v>
      </c>
      <c r="AB1683" s="12"/>
      <c r="AC1683" s="9"/>
      <c r="AD1683" s="10"/>
      <c r="AE1683" s="11">
        <f t="shared" si="722"/>
        <v>0</v>
      </c>
      <c r="AF1683" s="11">
        <f t="shared" si="723"/>
        <v>0</v>
      </c>
    </row>
    <row r="1684" spans="1:33" x14ac:dyDescent="0.15">
      <c r="A1684" s="28" t="s">
        <v>467</v>
      </c>
      <c r="B1684" s="8"/>
      <c r="C1684" s="9"/>
      <c r="D1684" s="10"/>
      <c r="E1684" s="11">
        <f t="shared" si="724"/>
        <v>0</v>
      </c>
      <c r="F1684" s="12">
        <v>1</v>
      </c>
      <c r="G1684" s="9"/>
      <c r="H1684" s="10"/>
      <c r="I1684" s="11">
        <f t="shared" si="725"/>
        <v>1</v>
      </c>
      <c r="J1684" s="11">
        <f t="shared" si="726"/>
        <v>1</v>
      </c>
      <c r="K1684" s="65">
        <v>43574</v>
      </c>
      <c r="L1684" s="28" t="s">
        <v>11</v>
      </c>
      <c r="M1684" s="8"/>
      <c r="N1684" s="9"/>
      <c r="O1684" s="10"/>
      <c r="P1684" s="11">
        <f t="shared" si="718"/>
        <v>0</v>
      </c>
      <c r="Q1684" s="12"/>
      <c r="R1684" s="9"/>
      <c r="S1684" s="10"/>
      <c r="T1684" s="11">
        <f t="shared" si="719"/>
        <v>0</v>
      </c>
      <c r="U1684" s="11">
        <f t="shared" si="720"/>
        <v>0</v>
      </c>
      <c r="W1684" s="28" t="s">
        <v>11</v>
      </c>
      <c r="X1684" s="8"/>
      <c r="Y1684" s="9"/>
      <c r="Z1684" s="10"/>
      <c r="AA1684" s="11">
        <f t="shared" si="721"/>
        <v>0</v>
      </c>
      <c r="AB1684" s="12"/>
      <c r="AC1684" s="9"/>
      <c r="AD1684" s="10"/>
      <c r="AE1684" s="11">
        <f t="shared" si="722"/>
        <v>0</v>
      </c>
      <c r="AF1684" s="11">
        <f t="shared" si="723"/>
        <v>0</v>
      </c>
    </row>
    <row r="1685" spans="1:33" x14ac:dyDescent="0.15">
      <c r="A1685" s="28" t="s">
        <v>12</v>
      </c>
      <c r="B1685" s="8">
        <v>50</v>
      </c>
      <c r="C1685" s="9"/>
      <c r="D1685" s="10"/>
      <c r="E1685" s="11">
        <f t="shared" si="724"/>
        <v>50</v>
      </c>
      <c r="F1685" s="12"/>
      <c r="G1685" s="9"/>
      <c r="H1685" s="10"/>
      <c r="I1685" s="11">
        <f t="shared" si="725"/>
        <v>0</v>
      </c>
      <c r="J1685" s="11">
        <f t="shared" si="726"/>
        <v>50</v>
      </c>
      <c r="K1685" s="65">
        <v>43596</v>
      </c>
      <c r="L1685" s="28" t="s">
        <v>12</v>
      </c>
      <c r="M1685" s="8"/>
      <c r="N1685" s="9"/>
      <c r="O1685" s="10"/>
      <c r="P1685" s="11">
        <f t="shared" si="718"/>
        <v>0</v>
      </c>
      <c r="Q1685" s="12"/>
      <c r="R1685" s="9"/>
      <c r="S1685" s="10"/>
      <c r="T1685" s="11">
        <f t="shared" si="719"/>
        <v>0</v>
      </c>
      <c r="U1685" s="11">
        <f t="shared" si="720"/>
        <v>0</v>
      </c>
      <c r="W1685" s="28" t="s">
        <v>12</v>
      </c>
      <c r="X1685" s="8"/>
      <c r="Y1685" s="9"/>
      <c r="Z1685" s="10"/>
      <c r="AA1685" s="11">
        <f t="shared" si="721"/>
        <v>0</v>
      </c>
      <c r="AB1685" s="12"/>
      <c r="AC1685" s="9"/>
      <c r="AD1685" s="10"/>
      <c r="AE1685" s="11">
        <f t="shared" si="722"/>
        <v>0</v>
      </c>
      <c r="AF1685" s="11">
        <f t="shared" si="723"/>
        <v>0</v>
      </c>
    </row>
    <row r="1686" spans="1:33" x14ac:dyDescent="0.15">
      <c r="A1686" s="28" t="s">
        <v>104</v>
      </c>
      <c r="B1686" s="8">
        <v>1</v>
      </c>
      <c r="C1686" s="9">
        <v>1</v>
      </c>
      <c r="D1686" s="10"/>
      <c r="E1686" s="11">
        <f t="shared" si="724"/>
        <v>2</v>
      </c>
      <c r="F1686" s="12"/>
      <c r="G1686" s="9"/>
      <c r="H1686" s="10"/>
      <c r="I1686" s="11">
        <f t="shared" si="725"/>
        <v>0</v>
      </c>
      <c r="J1686" s="11">
        <f t="shared" si="726"/>
        <v>2</v>
      </c>
      <c r="K1686" s="71">
        <v>43609</v>
      </c>
      <c r="L1686" s="28" t="s">
        <v>15</v>
      </c>
      <c r="M1686" s="8"/>
      <c r="N1686" s="9"/>
      <c r="O1686" s="10"/>
      <c r="P1686" s="11">
        <f t="shared" si="718"/>
        <v>0</v>
      </c>
      <c r="Q1686" s="12"/>
      <c r="R1686" s="9"/>
      <c r="S1686" s="10"/>
      <c r="T1686" s="11">
        <f t="shared" si="719"/>
        <v>0</v>
      </c>
      <c r="U1686" s="11">
        <f t="shared" si="720"/>
        <v>0</v>
      </c>
      <c r="W1686" s="28" t="s">
        <v>15</v>
      </c>
      <c r="X1686" s="8"/>
      <c r="Y1686" s="9"/>
      <c r="Z1686" s="10"/>
      <c r="AA1686" s="11">
        <f t="shared" si="721"/>
        <v>0</v>
      </c>
      <c r="AB1686" s="12"/>
      <c r="AC1686" s="9"/>
      <c r="AD1686" s="10"/>
      <c r="AE1686" s="11">
        <f t="shared" si="722"/>
        <v>0</v>
      </c>
      <c r="AF1686" s="11">
        <f t="shared" si="723"/>
        <v>0</v>
      </c>
    </row>
    <row r="1687" spans="1:33" x14ac:dyDescent="0.15">
      <c r="A1687" s="28" t="s">
        <v>16</v>
      </c>
      <c r="B1687" s="8"/>
      <c r="C1687" s="9"/>
      <c r="D1687" s="10"/>
      <c r="E1687" s="11">
        <f t="shared" si="724"/>
        <v>0</v>
      </c>
      <c r="F1687" s="12">
        <v>50</v>
      </c>
      <c r="G1687" s="9"/>
      <c r="H1687" s="10"/>
      <c r="I1687" s="11">
        <f t="shared" si="725"/>
        <v>50</v>
      </c>
      <c r="J1687" s="11">
        <f t="shared" si="726"/>
        <v>50</v>
      </c>
      <c r="K1687" s="65">
        <v>43629</v>
      </c>
      <c r="L1687" s="28" t="s">
        <v>16</v>
      </c>
      <c r="M1687" s="8"/>
      <c r="N1687" s="9"/>
      <c r="O1687" s="10"/>
      <c r="P1687" s="11">
        <f t="shared" si="718"/>
        <v>0</v>
      </c>
      <c r="Q1687" s="12"/>
      <c r="R1687" s="9"/>
      <c r="S1687" s="10"/>
      <c r="T1687" s="11">
        <f t="shared" si="719"/>
        <v>0</v>
      </c>
      <c r="U1687" s="11">
        <f t="shared" si="720"/>
        <v>0</v>
      </c>
      <c r="W1687" s="28" t="s">
        <v>16</v>
      </c>
      <c r="X1687" s="8"/>
      <c r="Y1687" s="9"/>
      <c r="Z1687" s="10"/>
      <c r="AA1687" s="11">
        <f t="shared" si="721"/>
        <v>0</v>
      </c>
      <c r="AB1687" s="12"/>
      <c r="AC1687" s="9"/>
      <c r="AD1687" s="10"/>
      <c r="AE1687" s="11">
        <f t="shared" si="722"/>
        <v>0</v>
      </c>
      <c r="AF1687" s="11">
        <f t="shared" si="723"/>
        <v>0</v>
      </c>
    </row>
    <row r="1688" spans="1:33" x14ac:dyDescent="0.15">
      <c r="A1688" s="28" t="s">
        <v>17</v>
      </c>
      <c r="B1688" s="13"/>
      <c r="C1688" s="14"/>
      <c r="D1688" s="15"/>
      <c r="E1688" s="11">
        <f t="shared" si="724"/>
        <v>0</v>
      </c>
      <c r="F1688" s="16"/>
      <c r="G1688" s="14"/>
      <c r="H1688" s="15"/>
      <c r="I1688" s="11">
        <f t="shared" si="725"/>
        <v>0</v>
      </c>
      <c r="J1688" s="11">
        <f t="shared" si="726"/>
        <v>0</v>
      </c>
      <c r="K1688" s="65"/>
      <c r="L1688" s="28" t="s">
        <v>17</v>
      </c>
      <c r="M1688" s="8"/>
      <c r="N1688" s="9"/>
      <c r="O1688" s="10"/>
      <c r="P1688" s="11">
        <f t="shared" si="718"/>
        <v>0</v>
      </c>
      <c r="Q1688" s="12"/>
      <c r="R1688" s="12"/>
      <c r="S1688" s="87"/>
      <c r="T1688" s="11">
        <f t="shared" si="719"/>
        <v>0</v>
      </c>
      <c r="U1688" s="11">
        <f t="shared" si="720"/>
        <v>0</v>
      </c>
      <c r="W1688" s="28" t="s">
        <v>17</v>
      </c>
      <c r="X1688" s="8"/>
      <c r="Y1688" s="9"/>
      <c r="Z1688" s="10"/>
      <c r="AA1688" s="11">
        <f t="shared" si="721"/>
        <v>0</v>
      </c>
      <c r="AB1688" s="12"/>
      <c r="AC1688" s="12"/>
      <c r="AD1688" s="87"/>
      <c r="AE1688" s="11">
        <f t="shared" si="722"/>
        <v>0</v>
      </c>
      <c r="AF1688" s="11">
        <f t="shared" si="723"/>
        <v>0</v>
      </c>
    </row>
    <row r="1689" spans="1:33" ht="14.25" thickBot="1" x14ac:dyDescent="0.2">
      <c r="A1689" s="28" t="s">
        <v>18</v>
      </c>
      <c r="B1689" s="36"/>
      <c r="C1689" s="37"/>
      <c r="D1689" s="40"/>
      <c r="E1689" s="22">
        <f t="shared" si="724"/>
        <v>0</v>
      </c>
      <c r="F1689" s="38"/>
      <c r="G1689" s="38"/>
      <c r="H1689" s="43"/>
      <c r="I1689" s="22">
        <f t="shared" si="725"/>
        <v>0</v>
      </c>
      <c r="J1689" s="22">
        <f t="shared" si="726"/>
        <v>0</v>
      </c>
      <c r="L1689" s="28" t="s">
        <v>18</v>
      </c>
      <c r="M1689" s="127"/>
      <c r="N1689" s="128"/>
      <c r="O1689" s="129"/>
      <c r="P1689" s="130">
        <f t="shared" si="718"/>
        <v>0</v>
      </c>
      <c r="Q1689" s="131"/>
      <c r="R1689" s="131"/>
      <c r="S1689" s="132"/>
      <c r="T1689" s="130">
        <f t="shared" si="719"/>
        <v>0</v>
      </c>
      <c r="U1689" s="130">
        <f t="shared" si="720"/>
        <v>0</v>
      </c>
      <c r="W1689" s="28" t="s">
        <v>18</v>
      </c>
      <c r="X1689" s="127"/>
      <c r="Y1689" s="128"/>
      <c r="Z1689" s="129"/>
      <c r="AA1689" s="130">
        <f t="shared" si="721"/>
        <v>0</v>
      </c>
      <c r="AB1689" s="131"/>
      <c r="AC1689" s="131"/>
      <c r="AD1689" s="132"/>
      <c r="AE1689" s="130">
        <f t="shared" si="722"/>
        <v>0</v>
      </c>
      <c r="AF1689" s="130">
        <f t="shared" si="723"/>
        <v>0</v>
      </c>
    </row>
    <row r="1690" spans="1:33" ht="14.25" thickBot="1" x14ac:dyDescent="0.2">
      <c r="A1690" s="39" t="s">
        <v>20</v>
      </c>
      <c r="B1690" s="32">
        <f t="shared" ref="B1690:J1690" si="727">SUM(B1681:B1689)</f>
        <v>96</v>
      </c>
      <c r="C1690" s="33">
        <f t="shared" si="727"/>
        <v>69</v>
      </c>
      <c r="D1690" s="34">
        <f t="shared" si="727"/>
        <v>57</v>
      </c>
      <c r="E1690" s="42">
        <f t="shared" si="727"/>
        <v>222</v>
      </c>
      <c r="F1690" s="32">
        <f t="shared" si="727"/>
        <v>80</v>
      </c>
      <c r="G1690" s="33">
        <f t="shared" si="727"/>
        <v>70</v>
      </c>
      <c r="H1690" s="34">
        <f t="shared" si="727"/>
        <v>61</v>
      </c>
      <c r="I1690" s="42">
        <f t="shared" si="727"/>
        <v>211</v>
      </c>
      <c r="J1690" s="42">
        <f t="shared" si="727"/>
        <v>433</v>
      </c>
      <c r="L1690" s="39" t="s">
        <v>20</v>
      </c>
      <c r="M1690" s="32">
        <f t="shared" ref="M1690:U1690" si="728">SUM(M1681:M1689)</f>
        <v>19</v>
      </c>
      <c r="N1690" s="33">
        <f t="shared" si="728"/>
        <v>18</v>
      </c>
      <c r="O1690" s="34">
        <f t="shared" si="728"/>
        <v>9</v>
      </c>
      <c r="P1690" s="42">
        <f t="shared" si="728"/>
        <v>46</v>
      </c>
      <c r="Q1690" s="32">
        <f t="shared" si="728"/>
        <v>35</v>
      </c>
      <c r="R1690" s="33">
        <f t="shared" si="728"/>
        <v>20</v>
      </c>
      <c r="S1690" s="34">
        <f t="shared" si="728"/>
        <v>25</v>
      </c>
      <c r="T1690" s="42">
        <f t="shared" si="728"/>
        <v>80</v>
      </c>
      <c r="U1690" s="42">
        <f t="shared" si="728"/>
        <v>126</v>
      </c>
      <c r="W1690" s="39" t="s">
        <v>20</v>
      </c>
      <c r="X1690" s="32">
        <f t="shared" ref="X1690:AF1690" si="729">SUM(X1681:X1689)</f>
        <v>887</v>
      </c>
      <c r="Y1690" s="33">
        <f t="shared" si="729"/>
        <v>335</v>
      </c>
      <c r="Z1690" s="34">
        <f t="shared" si="729"/>
        <v>500</v>
      </c>
      <c r="AA1690" s="42">
        <f t="shared" si="729"/>
        <v>1722</v>
      </c>
      <c r="AB1690" s="32">
        <f t="shared" si="729"/>
        <v>474</v>
      </c>
      <c r="AC1690" s="33">
        <f t="shared" si="729"/>
        <v>410</v>
      </c>
      <c r="AD1690" s="34">
        <f t="shared" si="729"/>
        <v>564</v>
      </c>
      <c r="AE1690" s="42">
        <f t="shared" si="729"/>
        <v>1448</v>
      </c>
      <c r="AF1690" s="42">
        <f t="shared" si="729"/>
        <v>3170</v>
      </c>
    </row>
    <row r="1691" spans="1:33" x14ac:dyDescent="0.15">
      <c r="A1691" s="86" t="s">
        <v>836</v>
      </c>
      <c r="B1691" s="13">
        <v>3</v>
      </c>
      <c r="C1691" s="14"/>
      <c r="D1691" s="15"/>
      <c r="E1691" s="11">
        <f>SUM(B1691:D1691)</f>
        <v>3</v>
      </c>
      <c r="F1691" s="16"/>
      <c r="G1691" s="14">
        <v>10</v>
      </c>
      <c r="H1691" s="15"/>
      <c r="I1691" s="11">
        <f>SUM(F1691:H1691)</f>
        <v>10</v>
      </c>
      <c r="J1691" s="11">
        <f>E1691+I1691</f>
        <v>13</v>
      </c>
      <c r="K1691" s="65">
        <v>43566</v>
      </c>
      <c r="L1691" s="29"/>
      <c r="M1691" s="8"/>
      <c r="N1691" s="9"/>
      <c r="O1691" s="10"/>
      <c r="P1691" s="11">
        <f>SUM(M1691:O1691)</f>
        <v>0</v>
      </c>
      <c r="Q1691" s="12"/>
      <c r="R1691" s="9"/>
      <c r="S1691" s="10"/>
      <c r="T1691" s="11">
        <f>SUM(Q1691:S1691)</f>
        <v>0</v>
      </c>
      <c r="U1691" s="11">
        <f t="shared" ref="U1691:U1716" si="730">P1691+T1691</f>
        <v>0</v>
      </c>
      <c r="W1691" s="29" t="s">
        <v>837</v>
      </c>
      <c r="X1691" s="8"/>
      <c r="Y1691" s="9">
        <v>50</v>
      </c>
      <c r="Z1691" s="10"/>
      <c r="AA1691" s="11">
        <f>SUM(X1691:Z1691)</f>
        <v>50</v>
      </c>
      <c r="AB1691" s="12"/>
      <c r="AC1691" s="9">
        <v>50</v>
      </c>
      <c r="AD1691" s="10"/>
      <c r="AE1691" s="11">
        <f>SUM(AB1691:AD1691)</f>
        <v>50</v>
      </c>
      <c r="AF1691" s="11">
        <f t="shared" ref="AF1691:AF1716" si="731">AA1691+AE1691</f>
        <v>100</v>
      </c>
      <c r="AG1691" s="65">
        <v>43572</v>
      </c>
    </row>
    <row r="1692" spans="1:33" x14ac:dyDescent="0.15">
      <c r="A1692" s="27" t="s">
        <v>207</v>
      </c>
      <c r="B1692" s="13">
        <v>1</v>
      </c>
      <c r="C1692" s="14"/>
      <c r="D1692" s="15"/>
      <c r="E1692" s="11">
        <f t="shared" ref="E1692:E1716" si="732">SUM(B1692:D1692)</f>
        <v>1</v>
      </c>
      <c r="F1692" s="16"/>
      <c r="G1692" s="14"/>
      <c r="H1692" s="15"/>
      <c r="I1692" s="11">
        <f>SUM(F1692:H1692)</f>
        <v>0</v>
      </c>
      <c r="J1692" s="11">
        <f t="shared" ref="J1692:J1716" si="733">E1692+I1692</f>
        <v>1</v>
      </c>
      <c r="K1692" s="65">
        <v>43565</v>
      </c>
      <c r="L1692" s="29"/>
      <c r="M1692" s="8"/>
      <c r="N1692" s="9"/>
      <c r="O1692" s="10"/>
      <c r="P1692" s="11">
        <f>SUM(M1692:O1692)</f>
        <v>0</v>
      </c>
      <c r="Q1692" s="12"/>
      <c r="R1692" s="9"/>
      <c r="S1692" s="10"/>
      <c r="T1692" s="11">
        <f>SUM(Q1692:S1692)</f>
        <v>0</v>
      </c>
      <c r="U1692" s="11">
        <f t="shared" si="730"/>
        <v>0</v>
      </c>
      <c r="W1692" s="29" t="s">
        <v>41</v>
      </c>
      <c r="X1692" s="8">
        <v>50</v>
      </c>
      <c r="Y1692" s="9"/>
      <c r="Z1692" s="10"/>
      <c r="AA1692" s="11">
        <f>SUM(X1692:Z1692)</f>
        <v>50</v>
      </c>
      <c r="AB1692" s="12"/>
      <c r="AC1692" s="9"/>
      <c r="AD1692" s="10"/>
      <c r="AE1692" s="11">
        <f>SUM(AB1692:AD1692)</f>
        <v>0</v>
      </c>
      <c r="AF1692" s="11">
        <f t="shared" si="731"/>
        <v>50</v>
      </c>
      <c r="AG1692" s="65">
        <v>43596</v>
      </c>
    </row>
    <row r="1693" spans="1:33" x14ac:dyDescent="0.15">
      <c r="A1693" s="29" t="s">
        <v>791</v>
      </c>
      <c r="B1693" s="8"/>
      <c r="C1693" s="9"/>
      <c r="D1693" s="10"/>
      <c r="E1693" s="11">
        <f t="shared" si="732"/>
        <v>0</v>
      </c>
      <c r="F1693" s="12"/>
      <c r="G1693" s="9"/>
      <c r="H1693" s="10">
        <v>6</v>
      </c>
      <c r="I1693" s="11">
        <f t="shared" ref="I1693" si="734">SUM(F1693:H1693)</f>
        <v>6</v>
      </c>
      <c r="J1693" s="11">
        <f t="shared" si="733"/>
        <v>6</v>
      </c>
      <c r="K1693" s="65">
        <v>43571</v>
      </c>
      <c r="L1693" s="29"/>
      <c r="M1693" s="8"/>
      <c r="N1693" s="9"/>
      <c r="O1693" s="10"/>
      <c r="P1693" s="11">
        <f t="shared" ref="P1693:P1716" si="735">SUM(M1693:O1693)</f>
        <v>0</v>
      </c>
      <c r="Q1693" s="12"/>
      <c r="R1693" s="9"/>
      <c r="S1693" s="10"/>
      <c r="T1693" s="11">
        <f t="shared" ref="T1693:T1716" si="736">SUM(Q1693:S1693)</f>
        <v>0</v>
      </c>
      <c r="U1693" s="11">
        <f t="shared" si="730"/>
        <v>0</v>
      </c>
      <c r="W1693" s="29" t="s">
        <v>41</v>
      </c>
      <c r="X1693" s="8"/>
      <c r="Y1693" s="9"/>
      <c r="Z1693" s="10"/>
      <c r="AA1693" s="11">
        <f t="shared" ref="AA1693:AA1716" si="737">SUM(X1693:Z1693)</f>
        <v>0</v>
      </c>
      <c r="AB1693" s="12">
        <v>50</v>
      </c>
      <c r="AC1693" s="9"/>
      <c r="AD1693" s="10"/>
      <c r="AE1693" s="11">
        <f t="shared" ref="AE1693:AE1716" si="738">SUM(AB1693:AD1693)</f>
        <v>50</v>
      </c>
      <c r="AF1693" s="11">
        <f t="shared" si="731"/>
        <v>50</v>
      </c>
      <c r="AG1693" s="65">
        <v>43629</v>
      </c>
    </row>
    <row r="1694" spans="1:33" x14ac:dyDescent="0.15">
      <c r="A1694" s="27" t="s">
        <v>207</v>
      </c>
      <c r="B1694" s="8">
        <v>1</v>
      </c>
      <c r="C1694" s="9"/>
      <c r="D1694" s="10">
        <v>1</v>
      </c>
      <c r="E1694" s="11">
        <f t="shared" si="732"/>
        <v>2</v>
      </c>
      <c r="F1694" s="12">
        <v>2</v>
      </c>
      <c r="G1694" s="9"/>
      <c r="H1694" s="10"/>
      <c r="I1694" s="11">
        <f>SUM(F1694:H1694)</f>
        <v>2</v>
      </c>
      <c r="J1694" s="11">
        <f t="shared" si="733"/>
        <v>4</v>
      </c>
      <c r="K1694" s="65">
        <v>43566</v>
      </c>
      <c r="L1694" s="86"/>
      <c r="M1694" s="8"/>
      <c r="N1694" s="9"/>
      <c r="O1694" s="10"/>
      <c r="P1694" s="11">
        <f t="shared" si="735"/>
        <v>0</v>
      </c>
      <c r="Q1694" s="12"/>
      <c r="R1694" s="9"/>
      <c r="S1694" s="10"/>
      <c r="T1694" s="11">
        <f t="shared" si="736"/>
        <v>0</v>
      </c>
      <c r="U1694" s="11">
        <f t="shared" si="730"/>
        <v>0</v>
      </c>
      <c r="W1694" s="86"/>
      <c r="X1694" s="8"/>
      <c r="Y1694" s="9"/>
      <c r="Z1694" s="10"/>
      <c r="AA1694" s="11">
        <f t="shared" si="737"/>
        <v>0</v>
      </c>
      <c r="AB1694" s="12"/>
      <c r="AC1694" s="9"/>
      <c r="AD1694" s="10"/>
      <c r="AE1694" s="11">
        <f t="shared" si="738"/>
        <v>0</v>
      </c>
      <c r="AF1694" s="11">
        <f t="shared" si="731"/>
        <v>0</v>
      </c>
    </row>
    <row r="1695" spans="1:33" x14ac:dyDescent="0.15">
      <c r="A1695" s="27" t="s">
        <v>207</v>
      </c>
      <c r="B1695" s="8">
        <v>2</v>
      </c>
      <c r="C1695" s="9"/>
      <c r="D1695" s="10"/>
      <c r="E1695" s="11">
        <f t="shared" si="732"/>
        <v>2</v>
      </c>
      <c r="F1695" s="12"/>
      <c r="G1695" s="9">
        <v>1</v>
      </c>
      <c r="H1695" s="10">
        <v>4</v>
      </c>
      <c r="I1695" s="11">
        <f>SUM(F1695:H1695)</f>
        <v>5</v>
      </c>
      <c r="J1695" s="11">
        <f t="shared" si="733"/>
        <v>7</v>
      </c>
      <c r="K1695" s="65">
        <v>43570</v>
      </c>
      <c r="L1695" s="86"/>
      <c r="M1695" s="8"/>
      <c r="N1695" s="9"/>
      <c r="O1695" s="10"/>
      <c r="P1695" s="11">
        <f t="shared" si="735"/>
        <v>0</v>
      </c>
      <c r="Q1695" s="12"/>
      <c r="R1695" s="9"/>
      <c r="S1695" s="10"/>
      <c r="T1695" s="11">
        <f t="shared" si="736"/>
        <v>0</v>
      </c>
      <c r="U1695" s="11">
        <f t="shared" si="730"/>
        <v>0</v>
      </c>
      <c r="W1695" s="86"/>
      <c r="X1695" s="8"/>
      <c r="Y1695" s="9"/>
      <c r="Z1695" s="10"/>
      <c r="AA1695" s="11">
        <f t="shared" si="737"/>
        <v>0</v>
      </c>
      <c r="AB1695" s="12"/>
      <c r="AC1695" s="9"/>
      <c r="AD1695" s="10"/>
      <c r="AE1695" s="11">
        <f t="shared" si="738"/>
        <v>0</v>
      </c>
      <c r="AF1695" s="11">
        <f t="shared" si="731"/>
        <v>0</v>
      </c>
    </row>
    <row r="1696" spans="1:33" x14ac:dyDescent="0.15">
      <c r="A1696" s="86" t="s">
        <v>838</v>
      </c>
      <c r="B1696" s="8">
        <v>17</v>
      </c>
      <c r="C1696" s="9">
        <v>15</v>
      </c>
      <c r="D1696" s="10">
        <v>4</v>
      </c>
      <c r="E1696" s="11">
        <f t="shared" si="732"/>
        <v>36</v>
      </c>
      <c r="F1696" s="140">
        <v>4</v>
      </c>
      <c r="G1696" s="140">
        <v>8</v>
      </c>
      <c r="H1696" s="10">
        <v>1</v>
      </c>
      <c r="I1696" s="11">
        <f t="shared" ref="I1696:I1716" si="739">SUM(F1696:H1696)</f>
        <v>13</v>
      </c>
      <c r="J1696" s="11">
        <f t="shared" si="733"/>
        <v>49</v>
      </c>
      <c r="K1696" s="65">
        <v>43572</v>
      </c>
      <c r="L1696" s="29"/>
      <c r="M1696" s="8"/>
      <c r="N1696" s="9"/>
      <c r="O1696" s="10"/>
      <c r="P1696" s="11">
        <f t="shared" si="735"/>
        <v>0</v>
      </c>
      <c r="Q1696" s="12"/>
      <c r="R1696" s="9"/>
      <c r="S1696" s="10"/>
      <c r="T1696" s="11">
        <f t="shared" si="736"/>
        <v>0</v>
      </c>
      <c r="U1696" s="11">
        <f t="shared" si="730"/>
        <v>0</v>
      </c>
      <c r="W1696" s="29"/>
      <c r="X1696" s="8"/>
      <c r="Y1696" s="9"/>
      <c r="Z1696" s="10"/>
      <c r="AA1696" s="11">
        <f t="shared" si="737"/>
        <v>0</v>
      </c>
      <c r="AB1696" s="12"/>
      <c r="AC1696" s="9"/>
      <c r="AD1696" s="10"/>
      <c r="AE1696" s="11">
        <f t="shared" si="738"/>
        <v>0</v>
      </c>
      <c r="AF1696" s="11">
        <f t="shared" si="731"/>
        <v>0</v>
      </c>
    </row>
    <row r="1697" spans="1:32" x14ac:dyDescent="0.15">
      <c r="A1697" s="86" t="s">
        <v>839</v>
      </c>
      <c r="B1697" s="8">
        <v>10</v>
      </c>
      <c r="C1697" s="9">
        <v>10</v>
      </c>
      <c r="D1697" s="10">
        <v>10</v>
      </c>
      <c r="E1697" s="11">
        <f t="shared" si="732"/>
        <v>30</v>
      </c>
      <c r="F1697" s="12">
        <v>10</v>
      </c>
      <c r="G1697" s="9">
        <v>10</v>
      </c>
      <c r="H1697" s="10">
        <v>10</v>
      </c>
      <c r="I1697" s="11">
        <f t="shared" si="739"/>
        <v>30</v>
      </c>
      <c r="J1697" s="11">
        <f t="shared" si="733"/>
        <v>60</v>
      </c>
      <c r="K1697" s="65">
        <v>43573</v>
      </c>
      <c r="L1697" s="86"/>
      <c r="M1697" s="8"/>
      <c r="N1697" s="9"/>
      <c r="O1697" s="10"/>
      <c r="P1697" s="11">
        <f t="shared" si="735"/>
        <v>0</v>
      </c>
      <c r="Q1697" s="12"/>
      <c r="R1697" s="9"/>
      <c r="S1697" s="10"/>
      <c r="T1697" s="11">
        <f t="shared" si="736"/>
        <v>0</v>
      </c>
      <c r="U1697" s="11">
        <f t="shared" si="730"/>
        <v>0</v>
      </c>
      <c r="W1697" s="86"/>
      <c r="X1697" s="8"/>
      <c r="Y1697" s="9"/>
      <c r="Z1697" s="10"/>
      <c r="AA1697" s="11">
        <f t="shared" si="737"/>
        <v>0</v>
      </c>
      <c r="AB1697" s="12"/>
      <c r="AC1697" s="9"/>
      <c r="AD1697" s="10"/>
      <c r="AE1697" s="11">
        <f t="shared" si="738"/>
        <v>0</v>
      </c>
      <c r="AF1697" s="11">
        <f t="shared" si="731"/>
        <v>0</v>
      </c>
    </row>
    <row r="1698" spans="1:32" x14ac:dyDescent="0.15">
      <c r="A1698" s="27" t="s">
        <v>207</v>
      </c>
      <c r="B1698" s="8">
        <v>1</v>
      </c>
      <c r="C1698" s="9"/>
      <c r="D1698" s="10"/>
      <c r="E1698" s="11">
        <f t="shared" si="732"/>
        <v>1</v>
      </c>
      <c r="F1698" s="12">
        <v>1</v>
      </c>
      <c r="G1698" s="9"/>
      <c r="H1698" s="10"/>
      <c r="I1698" s="11">
        <f t="shared" si="739"/>
        <v>1</v>
      </c>
      <c r="J1698" s="11">
        <f t="shared" si="733"/>
        <v>2</v>
      </c>
      <c r="K1698" s="65">
        <v>43571</v>
      </c>
      <c r="L1698" s="29"/>
      <c r="M1698" s="8"/>
      <c r="N1698" s="9"/>
      <c r="O1698" s="10"/>
      <c r="P1698" s="11">
        <f t="shared" si="735"/>
        <v>0</v>
      </c>
      <c r="Q1698" s="12"/>
      <c r="R1698" s="9"/>
      <c r="S1698" s="10"/>
      <c r="T1698" s="11">
        <f t="shared" si="736"/>
        <v>0</v>
      </c>
      <c r="U1698" s="11">
        <f t="shared" si="730"/>
        <v>0</v>
      </c>
      <c r="W1698" s="29"/>
      <c r="X1698" s="8"/>
      <c r="Y1698" s="9"/>
      <c r="Z1698" s="10"/>
      <c r="AA1698" s="11">
        <f t="shared" si="737"/>
        <v>0</v>
      </c>
      <c r="AB1698" s="12"/>
      <c r="AC1698" s="9"/>
      <c r="AD1698" s="10"/>
      <c r="AE1698" s="11">
        <f t="shared" si="738"/>
        <v>0</v>
      </c>
      <c r="AF1698" s="11">
        <f t="shared" si="731"/>
        <v>0</v>
      </c>
    </row>
    <row r="1699" spans="1:32" x14ac:dyDescent="0.15">
      <c r="A1699" s="86" t="s">
        <v>840</v>
      </c>
      <c r="B1699" s="13">
        <v>1</v>
      </c>
      <c r="C1699" s="14"/>
      <c r="D1699" s="15"/>
      <c r="E1699" s="11">
        <f t="shared" si="732"/>
        <v>1</v>
      </c>
      <c r="F1699" s="16"/>
      <c r="G1699" s="14"/>
      <c r="H1699" s="15"/>
      <c r="I1699" s="11">
        <f t="shared" si="739"/>
        <v>0</v>
      </c>
      <c r="J1699" s="11">
        <f t="shared" si="733"/>
        <v>1</v>
      </c>
      <c r="K1699" s="65">
        <v>43571</v>
      </c>
      <c r="L1699" s="29"/>
      <c r="M1699" s="8"/>
      <c r="N1699" s="9"/>
      <c r="O1699" s="10"/>
      <c r="P1699" s="11">
        <f t="shared" si="735"/>
        <v>0</v>
      </c>
      <c r="Q1699" s="12"/>
      <c r="R1699" s="9"/>
      <c r="S1699" s="10"/>
      <c r="T1699" s="11">
        <f t="shared" si="736"/>
        <v>0</v>
      </c>
      <c r="U1699" s="11">
        <f t="shared" si="730"/>
        <v>0</v>
      </c>
      <c r="W1699" s="29"/>
      <c r="X1699" s="8"/>
      <c r="Y1699" s="9"/>
      <c r="Z1699" s="10"/>
      <c r="AA1699" s="11">
        <f t="shared" si="737"/>
        <v>0</v>
      </c>
      <c r="AB1699" s="12"/>
      <c r="AC1699" s="9"/>
      <c r="AD1699" s="10"/>
      <c r="AE1699" s="11">
        <f t="shared" si="738"/>
        <v>0</v>
      </c>
      <c r="AF1699" s="11">
        <f t="shared" si="731"/>
        <v>0</v>
      </c>
    </row>
    <row r="1700" spans="1:32" x14ac:dyDescent="0.15">
      <c r="A1700" s="27" t="s">
        <v>841</v>
      </c>
      <c r="B1700" s="13">
        <v>2</v>
      </c>
      <c r="C1700" s="14">
        <v>2</v>
      </c>
      <c r="D1700" s="15">
        <v>1</v>
      </c>
      <c r="E1700" s="11">
        <f t="shared" si="732"/>
        <v>5</v>
      </c>
      <c r="F1700" s="16"/>
      <c r="G1700" s="14"/>
      <c r="H1700" s="15"/>
      <c r="I1700" s="11">
        <f t="shared" si="739"/>
        <v>0</v>
      </c>
      <c r="J1700" s="11">
        <f t="shared" si="733"/>
        <v>5</v>
      </c>
      <c r="K1700" s="65">
        <v>43581</v>
      </c>
      <c r="L1700" s="29"/>
      <c r="M1700" s="13"/>
      <c r="N1700" s="14"/>
      <c r="O1700" s="15"/>
      <c r="P1700" s="11">
        <f t="shared" si="735"/>
        <v>0</v>
      </c>
      <c r="Q1700" s="16"/>
      <c r="R1700" s="14"/>
      <c r="S1700" s="15"/>
      <c r="T1700" s="11">
        <f t="shared" si="736"/>
        <v>0</v>
      </c>
      <c r="U1700" s="11">
        <f t="shared" si="730"/>
        <v>0</v>
      </c>
      <c r="W1700" s="29"/>
      <c r="X1700" s="13"/>
      <c r="Y1700" s="14"/>
      <c r="Z1700" s="15"/>
      <c r="AA1700" s="11">
        <f t="shared" si="737"/>
        <v>0</v>
      </c>
      <c r="AB1700" s="16"/>
      <c r="AC1700" s="14"/>
      <c r="AD1700" s="15"/>
      <c r="AE1700" s="11">
        <f t="shared" si="738"/>
        <v>0</v>
      </c>
      <c r="AF1700" s="11">
        <f t="shared" si="731"/>
        <v>0</v>
      </c>
    </row>
    <row r="1701" spans="1:32" x14ac:dyDescent="0.15">
      <c r="A1701" s="27" t="s">
        <v>687</v>
      </c>
      <c r="B1701" s="8"/>
      <c r="C1701" s="9"/>
      <c r="D1701" s="10"/>
      <c r="E1701" s="11">
        <f t="shared" si="732"/>
        <v>0</v>
      </c>
      <c r="F1701" s="12"/>
      <c r="G1701" s="9">
        <v>4</v>
      </c>
      <c r="H1701" s="10"/>
      <c r="I1701" s="11">
        <f t="shared" si="739"/>
        <v>4</v>
      </c>
      <c r="J1701" s="11">
        <f t="shared" si="733"/>
        <v>4</v>
      </c>
      <c r="K1701" s="65">
        <v>43593</v>
      </c>
      <c r="L1701" s="29"/>
      <c r="M1701" s="8"/>
      <c r="N1701" s="9"/>
      <c r="O1701" s="10"/>
      <c r="P1701" s="11">
        <f t="shared" si="735"/>
        <v>0</v>
      </c>
      <c r="Q1701" s="12"/>
      <c r="R1701" s="9"/>
      <c r="S1701" s="10"/>
      <c r="T1701" s="11">
        <f t="shared" si="736"/>
        <v>0</v>
      </c>
      <c r="U1701" s="11">
        <f t="shared" si="730"/>
        <v>0</v>
      </c>
      <c r="W1701" s="29"/>
      <c r="X1701" s="8"/>
      <c r="Y1701" s="9"/>
      <c r="Z1701" s="10"/>
      <c r="AA1701" s="11">
        <f t="shared" si="737"/>
        <v>0</v>
      </c>
      <c r="AB1701" s="12"/>
      <c r="AC1701" s="9"/>
      <c r="AD1701" s="10"/>
      <c r="AE1701" s="11">
        <f t="shared" si="738"/>
        <v>0</v>
      </c>
      <c r="AF1701" s="11">
        <f t="shared" si="731"/>
        <v>0</v>
      </c>
    </row>
    <row r="1702" spans="1:32" x14ac:dyDescent="0.15">
      <c r="A1702" s="27" t="s">
        <v>842</v>
      </c>
      <c r="B1702" s="8"/>
      <c r="C1702" s="9"/>
      <c r="D1702" s="10"/>
      <c r="E1702" s="11">
        <f t="shared" si="732"/>
        <v>0</v>
      </c>
      <c r="F1702" s="12"/>
      <c r="G1702" s="9"/>
      <c r="H1702" s="10">
        <v>2</v>
      </c>
      <c r="I1702" s="11">
        <f t="shared" si="739"/>
        <v>2</v>
      </c>
      <c r="J1702" s="11">
        <f t="shared" si="733"/>
        <v>2</v>
      </c>
      <c r="K1702" s="65">
        <v>43594</v>
      </c>
      <c r="L1702" s="29"/>
      <c r="M1702" s="8"/>
      <c r="N1702" s="9"/>
      <c r="O1702" s="10"/>
      <c r="P1702" s="11">
        <f t="shared" si="735"/>
        <v>0</v>
      </c>
      <c r="Q1702" s="12"/>
      <c r="R1702" s="9"/>
      <c r="S1702" s="10"/>
      <c r="T1702" s="11">
        <f t="shared" si="736"/>
        <v>0</v>
      </c>
      <c r="U1702" s="11">
        <f t="shared" si="730"/>
        <v>0</v>
      </c>
      <c r="W1702" s="29"/>
      <c r="X1702" s="8"/>
      <c r="Y1702" s="9"/>
      <c r="Z1702" s="10"/>
      <c r="AA1702" s="11">
        <f t="shared" si="737"/>
        <v>0</v>
      </c>
      <c r="AB1702" s="12"/>
      <c r="AC1702" s="9"/>
      <c r="AD1702" s="10"/>
      <c r="AE1702" s="11">
        <f t="shared" si="738"/>
        <v>0</v>
      </c>
      <c r="AF1702" s="11">
        <f t="shared" si="731"/>
        <v>0</v>
      </c>
    </row>
    <row r="1703" spans="1:32" x14ac:dyDescent="0.15">
      <c r="A1703" s="27" t="s">
        <v>687</v>
      </c>
      <c r="B1703" s="8">
        <v>5</v>
      </c>
      <c r="C1703" s="9">
        <v>4</v>
      </c>
      <c r="D1703" s="10">
        <v>6</v>
      </c>
      <c r="E1703" s="11">
        <f t="shared" si="732"/>
        <v>15</v>
      </c>
      <c r="F1703" s="12"/>
      <c r="G1703" s="9">
        <v>4</v>
      </c>
      <c r="H1703" s="10">
        <v>5</v>
      </c>
      <c r="I1703" s="11">
        <f t="shared" si="739"/>
        <v>9</v>
      </c>
      <c r="J1703" s="11">
        <f t="shared" si="733"/>
        <v>24</v>
      </c>
      <c r="K1703" s="65">
        <v>43596</v>
      </c>
      <c r="L1703" s="27"/>
      <c r="M1703" s="8"/>
      <c r="N1703" s="9"/>
      <c r="O1703" s="10"/>
      <c r="P1703" s="11">
        <f t="shared" si="735"/>
        <v>0</v>
      </c>
      <c r="Q1703" s="12"/>
      <c r="R1703" s="9"/>
      <c r="S1703" s="10"/>
      <c r="T1703" s="11">
        <f t="shared" si="736"/>
        <v>0</v>
      </c>
      <c r="U1703" s="11">
        <f t="shared" si="730"/>
        <v>0</v>
      </c>
      <c r="W1703" s="27"/>
      <c r="X1703" s="8"/>
      <c r="Y1703" s="9"/>
      <c r="Z1703" s="10"/>
      <c r="AA1703" s="11">
        <f t="shared" si="737"/>
        <v>0</v>
      </c>
      <c r="AB1703" s="12"/>
      <c r="AC1703" s="9"/>
      <c r="AD1703" s="10"/>
      <c r="AE1703" s="11">
        <f t="shared" si="738"/>
        <v>0</v>
      </c>
      <c r="AF1703" s="11">
        <f t="shared" si="731"/>
        <v>0</v>
      </c>
    </row>
    <row r="1704" spans="1:32" x14ac:dyDescent="0.15">
      <c r="A1704" s="27" t="s">
        <v>433</v>
      </c>
      <c r="B1704" s="8"/>
      <c r="C1704" s="9"/>
      <c r="D1704" s="10"/>
      <c r="E1704" s="11">
        <f t="shared" si="732"/>
        <v>0</v>
      </c>
      <c r="F1704" s="12"/>
      <c r="G1704" s="9"/>
      <c r="H1704" s="10">
        <v>2</v>
      </c>
      <c r="I1704" s="11">
        <f t="shared" si="739"/>
        <v>2</v>
      </c>
      <c r="J1704" s="11">
        <f t="shared" si="733"/>
        <v>2</v>
      </c>
      <c r="K1704" s="65">
        <v>43607</v>
      </c>
      <c r="L1704" s="29"/>
      <c r="M1704" s="8"/>
      <c r="N1704" s="9"/>
      <c r="O1704" s="10"/>
      <c r="P1704" s="11">
        <f t="shared" si="735"/>
        <v>0</v>
      </c>
      <c r="Q1704" s="12"/>
      <c r="R1704" s="9"/>
      <c r="S1704" s="10"/>
      <c r="T1704" s="11">
        <f t="shared" si="736"/>
        <v>0</v>
      </c>
      <c r="U1704" s="11">
        <f t="shared" si="730"/>
        <v>0</v>
      </c>
      <c r="W1704" s="29"/>
      <c r="X1704" s="8"/>
      <c r="Y1704" s="9"/>
      <c r="Z1704" s="10"/>
      <c r="AA1704" s="11">
        <f t="shared" si="737"/>
        <v>0</v>
      </c>
      <c r="AB1704" s="12"/>
      <c r="AC1704" s="9"/>
      <c r="AD1704" s="10"/>
      <c r="AE1704" s="11">
        <f t="shared" si="738"/>
        <v>0</v>
      </c>
      <c r="AF1704" s="11">
        <f t="shared" si="731"/>
        <v>0</v>
      </c>
    </row>
    <row r="1705" spans="1:32" x14ac:dyDescent="0.15">
      <c r="A1705" s="27" t="s">
        <v>207</v>
      </c>
      <c r="B1705" s="8"/>
      <c r="C1705" s="9"/>
      <c r="D1705" s="10"/>
      <c r="E1705" s="11">
        <f t="shared" si="732"/>
        <v>0</v>
      </c>
      <c r="F1705" s="12">
        <v>1</v>
      </c>
      <c r="G1705" s="9"/>
      <c r="H1705" s="10"/>
      <c r="I1705" s="11">
        <f t="shared" si="739"/>
        <v>1</v>
      </c>
      <c r="J1705" s="11">
        <f t="shared" si="733"/>
        <v>1</v>
      </c>
      <c r="K1705" s="65">
        <v>43606</v>
      </c>
      <c r="L1705" s="29"/>
      <c r="M1705" s="8"/>
      <c r="N1705" s="9"/>
      <c r="O1705" s="10"/>
      <c r="P1705" s="11">
        <f t="shared" si="735"/>
        <v>0</v>
      </c>
      <c r="Q1705" s="12"/>
      <c r="R1705" s="9"/>
      <c r="S1705" s="10"/>
      <c r="T1705" s="11">
        <f t="shared" si="736"/>
        <v>0</v>
      </c>
      <c r="U1705" s="11">
        <f t="shared" si="730"/>
        <v>0</v>
      </c>
      <c r="W1705" s="29"/>
      <c r="X1705" s="8"/>
      <c r="Y1705" s="9"/>
      <c r="Z1705" s="10"/>
      <c r="AA1705" s="11">
        <f t="shared" si="737"/>
        <v>0</v>
      </c>
      <c r="AB1705" s="12"/>
      <c r="AC1705" s="9"/>
      <c r="AD1705" s="10"/>
      <c r="AE1705" s="11">
        <f t="shared" si="738"/>
        <v>0</v>
      </c>
      <c r="AF1705" s="11">
        <f t="shared" si="731"/>
        <v>0</v>
      </c>
    </row>
    <row r="1706" spans="1:32" x14ac:dyDescent="0.15">
      <c r="A1706" s="27" t="s">
        <v>844</v>
      </c>
      <c r="B1706" s="8">
        <v>10</v>
      </c>
      <c r="C1706" s="9">
        <v>2</v>
      </c>
      <c r="D1706" s="10">
        <v>8</v>
      </c>
      <c r="E1706" s="11">
        <f t="shared" si="732"/>
        <v>20</v>
      </c>
      <c r="F1706" s="12">
        <v>10</v>
      </c>
      <c r="G1706" s="9"/>
      <c r="H1706" s="10"/>
      <c r="I1706" s="11">
        <f t="shared" si="739"/>
        <v>10</v>
      </c>
      <c r="J1706" s="11">
        <f t="shared" si="733"/>
        <v>30</v>
      </c>
      <c r="K1706" s="65">
        <v>43613</v>
      </c>
      <c r="L1706" s="27"/>
      <c r="M1706" s="8"/>
      <c r="N1706" s="9"/>
      <c r="O1706" s="10"/>
      <c r="P1706" s="11">
        <f t="shared" si="735"/>
        <v>0</v>
      </c>
      <c r="Q1706" s="12"/>
      <c r="R1706" s="9"/>
      <c r="S1706" s="10"/>
      <c r="T1706" s="11">
        <f t="shared" si="736"/>
        <v>0</v>
      </c>
      <c r="U1706" s="11">
        <f t="shared" si="730"/>
        <v>0</v>
      </c>
      <c r="W1706" s="27"/>
      <c r="X1706" s="8"/>
      <c r="Y1706" s="9"/>
      <c r="Z1706" s="10"/>
      <c r="AA1706" s="11">
        <f t="shared" si="737"/>
        <v>0</v>
      </c>
      <c r="AB1706" s="12"/>
      <c r="AC1706" s="9"/>
      <c r="AD1706" s="10"/>
      <c r="AE1706" s="11">
        <f t="shared" si="738"/>
        <v>0</v>
      </c>
      <c r="AF1706" s="11">
        <f t="shared" si="731"/>
        <v>0</v>
      </c>
    </row>
    <row r="1707" spans="1:32" x14ac:dyDescent="0.15">
      <c r="A1707" s="27" t="s">
        <v>207</v>
      </c>
      <c r="B1707" s="8">
        <v>1</v>
      </c>
      <c r="C1707" s="9"/>
      <c r="D1707" s="10"/>
      <c r="E1707" s="11">
        <f t="shared" si="732"/>
        <v>1</v>
      </c>
      <c r="F1707" s="12"/>
      <c r="G1707" s="9"/>
      <c r="H1707" s="10"/>
      <c r="I1707" s="11">
        <f t="shared" si="739"/>
        <v>0</v>
      </c>
      <c r="J1707" s="11">
        <f t="shared" si="733"/>
        <v>1</v>
      </c>
      <c r="K1707" s="65">
        <v>43612</v>
      </c>
      <c r="L1707" s="29"/>
      <c r="M1707" s="8"/>
      <c r="N1707" s="9"/>
      <c r="O1707" s="10"/>
      <c r="P1707" s="11">
        <f t="shared" si="735"/>
        <v>0</v>
      </c>
      <c r="Q1707" s="12"/>
      <c r="R1707" s="9"/>
      <c r="S1707" s="10"/>
      <c r="T1707" s="11">
        <f t="shared" si="736"/>
        <v>0</v>
      </c>
      <c r="U1707" s="11">
        <f t="shared" si="730"/>
        <v>0</v>
      </c>
      <c r="W1707" s="29"/>
      <c r="X1707" s="8"/>
      <c r="Y1707" s="9"/>
      <c r="Z1707" s="10"/>
      <c r="AA1707" s="11">
        <f t="shared" si="737"/>
        <v>0</v>
      </c>
      <c r="AB1707" s="12"/>
      <c r="AC1707" s="9"/>
      <c r="AD1707" s="10"/>
      <c r="AE1707" s="11">
        <f t="shared" si="738"/>
        <v>0</v>
      </c>
      <c r="AF1707" s="11">
        <f t="shared" si="731"/>
        <v>0</v>
      </c>
    </row>
    <row r="1708" spans="1:32" x14ac:dyDescent="0.15">
      <c r="A1708" s="27" t="s">
        <v>207</v>
      </c>
      <c r="B1708" s="8"/>
      <c r="C1708" s="9"/>
      <c r="D1708" s="10"/>
      <c r="E1708" s="11">
        <f t="shared" si="732"/>
        <v>0</v>
      </c>
      <c r="F1708" s="12"/>
      <c r="G1708" s="9">
        <v>1</v>
      </c>
      <c r="H1708" s="10"/>
      <c r="I1708" s="11">
        <f t="shared" si="739"/>
        <v>1</v>
      </c>
      <c r="J1708" s="11">
        <f t="shared" si="733"/>
        <v>1</v>
      </c>
      <c r="K1708" s="65">
        <v>43613</v>
      </c>
      <c r="L1708" s="27"/>
      <c r="M1708" s="8"/>
      <c r="N1708" s="9"/>
      <c r="O1708" s="10"/>
      <c r="P1708" s="11">
        <f t="shared" si="735"/>
        <v>0</v>
      </c>
      <c r="Q1708" s="12"/>
      <c r="R1708" s="9"/>
      <c r="S1708" s="10"/>
      <c r="T1708" s="11">
        <f t="shared" si="736"/>
        <v>0</v>
      </c>
      <c r="U1708" s="11">
        <f t="shared" si="730"/>
        <v>0</v>
      </c>
      <c r="W1708" s="27"/>
      <c r="X1708" s="8"/>
      <c r="Y1708" s="9"/>
      <c r="Z1708" s="10"/>
      <c r="AA1708" s="11">
        <f t="shared" si="737"/>
        <v>0</v>
      </c>
      <c r="AB1708" s="12"/>
      <c r="AC1708" s="9"/>
      <c r="AD1708" s="10"/>
      <c r="AE1708" s="11">
        <f t="shared" si="738"/>
        <v>0</v>
      </c>
      <c r="AF1708" s="11">
        <f t="shared" si="731"/>
        <v>0</v>
      </c>
    </row>
    <row r="1709" spans="1:32" x14ac:dyDescent="0.15">
      <c r="A1709" s="86" t="s">
        <v>845</v>
      </c>
      <c r="B1709" s="8"/>
      <c r="C1709" s="9"/>
      <c r="D1709" s="10"/>
      <c r="E1709" s="11">
        <f t="shared" si="732"/>
        <v>0</v>
      </c>
      <c r="F1709" s="12">
        <v>2</v>
      </c>
      <c r="G1709" s="9">
        <v>2</v>
      </c>
      <c r="H1709" s="10">
        <v>1</v>
      </c>
      <c r="I1709" s="11">
        <f t="shared" si="739"/>
        <v>5</v>
      </c>
      <c r="J1709" s="11">
        <f t="shared" si="733"/>
        <v>5</v>
      </c>
      <c r="K1709" s="65">
        <v>43621</v>
      </c>
      <c r="L1709" s="26"/>
      <c r="M1709" s="8"/>
      <c r="N1709" s="9"/>
      <c r="O1709" s="10"/>
      <c r="P1709" s="11">
        <f t="shared" si="735"/>
        <v>0</v>
      </c>
      <c r="Q1709" s="12"/>
      <c r="R1709" s="9"/>
      <c r="S1709" s="10"/>
      <c r="T1709" s="11">
        <f t="shared" si="736"/>
        <v>0</v>
      </c>
      <c r="U1709" s="11">
        <f t="shared" si="730"/>
        <v>0</v>
      </c>
      <c r="W1709" s="26"/>
      <c r="X1709" s="8"/>
      <c r="Y1709" s="9"/>
      <c r="Z1709" s="10"/>
      <c r="AA1709" s="11">
        <f t="shared" si="737"/>
        <v>0</v>
      </c>
      <c r="AB1709" s="12"/>
      <c r="AC1709" s="9"/>
      <c r="AD1709" s="10"/>
      <c r="AE1709" s="11">
        <f t="shared" si="738"/>
        <v>0</v>
      </c>
      <c r="AF1709" s="11">
        <f t="shared" si="731"/>
        <v>0</v>
      </c>
    </row>
    <row r="1710" spans="1:32" x14ac:dyDescent="0.15">
      <c r="A1710" s="86" t="s">
        <v>687</v>
      </c>
      <c r="B1710" s="8"/>
      <c r="C1710" s="9"/>
      <c r="D1710" s="10">
        <v>2</v>
      </c>
      <c r="E1710" s="11">
        <f t="shared" si="732"/>
        <v>2</v>
      </c>
      <c r="F1710" s="12"/>
      <c r="G1710" s="9"/>
      <c r="H1710" s="10"/>
      <c r="I1710" s="11">
        <f t="shared" si="739"/>
        <v>0</v>
      </c>
      <c r="J1710" s="11">
        <f t="shared" si="733"/>
        <v>2</v>
      </c>
      <c r="K1710" s="65">
        <v>43627</v>
      </c>
      <c r="L1710" s="26"/>
      <c r="M1710" s="8"/>
      <c r="N1710" s="9"/>
      <c r="O1710" s="10"/>
      <c r="P1710" s="11">
        <f t="shared" si="735"/>
        <v>0</v>
      </c>
      <c r="Q1710" s="12"/>
      <c r="R1710" s="9"/>
      <c r="S1710" s="10"/>
      <c r="T1710" s="11">
        <f t="shared" si="736"/>
        <v>0</v>
      </c>
      <c r="U1710" s="11">
        <f t="shared" si="730"/>
        <v>0</v>
      </c>
      <c r="W1710" s="26"/>
      <c r="X1710" s="8"/>
      <c r="Y1710" s="9"/>
      <c r="Z1710" s="10"/>
      <c r="AA1710" s="11">
        <f t="shared" si="737"/>
        <v>0</v>
      </c>
      <c r="AB1710" s="12"/>
      <c r="AC1710" s="9"/>
      <c r="AD1710" s="10"/>
      <c r="AE1710" s="11">
        <f t="shared" si="738"/>
        <v>0</v>
      </c>
      <c r="AF1710" s="11">
        <f t="shared" si="731"/>
        <v>0</v>
      </c>
    </row>
    <row r="1711" spans="1:32" x14ac:dyDescent="0.15">
      <c r="A1711" s="86" t="s">
        <v>687</v>
      </c>
      <c r="B1711" s="8">
        <v>2</v>
      </c>
      <c r="C1711" s="9">
        <v>3</v>
      </c>
      <c r="D1711" s="10">
        <v>1</v>
      </c>
      <c r="E1711" s="11">
        <f t="shared" si="732"/>
        <v>6</v>
      </c>
      <c r="F1711" s="12">
        <v>2</v>
      </c>
      <c r="G1711" s="9"/>
      <c r="H1711" s="10"/>
      <c r="I1711" s="11">
        <f t="shared" si="739"/>
        <v>2</v>
      </c>
      <c r="J1711" s="11">
        <f t="shared" si="733"/>
        <v>8</v>
      </c>
      <c r="K1711" s="65">
        <v>43630</v>
      </c>
      <c r="L1711" s="27"/>
      <c r="M1711" s="8"/>
      <c r="N1711" s="9"/>
      <c r="O1711" s="10"/>
      <c r="P1711" s="11">
        <f t="shared" si="735"/>
        <v>0</v>
      </c>
      <c r="Q1711" s="12"/>
      <c r="R1711" s="9"/>
      <c r="S1711" s="10"/>
      <c r="T1711" s="11">
        <f t="shared" si="736"/>
        <v>0</v>
      </c>
      <c r="U1711" s="11">
        <f t="shared" si="730"/>
        <v>0</v>
      </c>
      <c r="W1711" s="27"/>
      <c r="X1711" s="8"/>
      <c r="Y1711" s="9"/>
      <c r="Z1711" s="10"/>
      <c r="AA1711" s="11">
        <f t="shared" si="737"/>
        <v>0</v>
      </c>
      <c r="AB1711" s="12"/>
      <c r="AC1711" s="9"/>
      <c r="AD1711" s="10"/>
      <c r="AE1711" s="11">
        <f t="shared" si="738"/>
        <v>0</v>
      </c>
      <c r="AF1711" s="11">
        <f t="shared" si="731"/>
        <v>0</v>
      </c>
    </row>
    <row r="1712" spans="1:32" x14ac:dyDescent="0.15">
      <c r="A1712" s="86" t="s">
        <v>687</v>
      </c>
      <c r="B1712" s="13">
        <v>16</v>
      </c>
      <c r="C1712" s="14">
        <v>10</v>
      </c>
      <c r="D1712" s="15">
        <v>5</v>
      </c>
      <c r="E1712" s="11">
        <f t="shared" si="732"/>
        <v>31</v>
      </c>
      <c r="F1712" s="16"/>
      <c r="G1712" s="14"/>
      <c r="H1712" s="15"/>
      <c r="I1712" s="11">
        <f t="shared" si="739"/>
        <v>0</v>
      </c>
      <c r="J1712" s="11">
        <f t="shared" si="733"/>
        <v>31</v>
      </c>
      <c r="K1712" s="65">
        <v>43635</v>
      </c>
      <c r="L1712" s="27"/>
      <c r="M1712" s="13"/>
      <c r="N1712" s="14"/>
      <c r="O1712" s="15"/>
      <c r="P1712" s="11">
        <f t="shared" si="735"/>
        <v>0</v>
      </c>
      <c r="Q1712" s="16"/>
      <c r="R1712" s="14"/>
      <c r="S1712" s="15"/>
      <c r="T1712" s="11">
        <f t="shared" si="736"/>
        <v>0</v>
      </c>
      <c r="U1712" s="11">
        <f t="shared" si="730"/>
        <v>0</v>
      </c>
      <c r="W1712" s="27"/>
      <c r="X1712" s="13"/>
      <c r="Y1712" s="14"/>
      <c r="Z1712" s="15"/>
      <c r="AA1712" s="11">
        <f t="shared" si="737"/>
        <v>0</v>
      </c>
      <c r="AB1712" s="16"/>
      <c r="AC1712" s="14"/>
      <c r="AD1712" s="15"/>
      <c r="AE1712" s="11">
        <f t="shared" si="738"/>
        <v>0</v>
      </c>
      <c r="AF1712" s="11">
        <f t="shared" si="731"/>
        <v>0</v>
      </c>
    </row>
    <row r="1713" spans="1:33" x14ac:dyDescent="0.15">
      <c r="A1713" s="27" t="s">
        <v>207</v>
      </c>
      <c r="B1713" s="8"/>
      <c r="C1713" s="9"/>
      <c r="D1713" s="10"/>
      <c r="E1713" s="11">
        <f t="shared" si="732"/>
        <v>0</v>
      </c>
      <c r="F1713" s="12"/>
      <c r="G1713" s="9">
        <v>2</v>
      </c>
      <c r="H1713" s="10"/>
      <c r="I1713" s="11">
        <f t="shared" si="739"/>
        <v>2</v>
      </c>
      <c r="J1713" s="11">
        <f t="shared" si="733"/>
        <v>2</v>
      </c>
      <c r="K1713" s="65">
        <v>43637</v>
      </c>
      <c r="L1713" s="86"/>
      <c r="M1713" s="13"/>
      <c r="N1713" s="14"/>
      <c r="O1713" s="15"/>
      <c r="P1713" s="11">
        <f t="shared" si="735"/>
        <v>0</v>
      </c>
      <c r="Q1713" s="16"/>
      <c r="R1713" s="14"/>
      <c r="S1713" s="15"/>
      <c r="T1713" s="11">
        <f t="shared" si="736"/>
        <v>0</v>
      </c>
      <c r="U1713" s="11">
        <f t="shared" si="730"/>
        <v>0</v>
      </c>
      <c r="W1713" s="86"/>
      <c r="X1713" s="13"/>
      <c r="Y1713" s="14"/>
      <c r="Z1713" s="15"/>
      <c r="AA1713" s="11">
        <f t="shared" si="737"/>
        <v>0</v>
      </c>
      <c r="AB1713" s="16"/>
      <c r="AC1713" s="14"/>
      <c r="AD1713" s="15"/>
      <c r="AE1713" s="11">
        <f t="shared" si="738"/>
        <v>0</v>
      </c>
      <c r="AF1713" s="11">
        <f t="shared" si="731"/>
        <v>0</v>
      </c>
    </row>
    <row r="1714" spans="1:33" x14ac:dyDescent="0.15">
      <c r="A1714" s="27" t="s">
        <v>846</v>
      </c>
      <c r="B1714" s="8"/>
      <c r="C1714" s="9"/>
      <c r="D1714" s="10">
        <v>5</v>
      </c>
      <c r="E1714" s="11">
        <f t="shared" si="732"/>
        <v>5</v>
      </c>
      <c r="F1714" s="12">
        <v>4</v>
      </c>
      <c r="G1714" s="9">
        <v>3</v>
      </c>
      <c r="H1714" s="10"/>
      <c r="I1714" s="11">
        <f t="shared" si="739"/>
        <v>7</v>
      </c>
      <c r="J1714" s="11">
        <f t="shared" si="733"/>
        <v>12</v>
      </c>
      <c r="K1714" s="65">
        <v>43643</v>
      </c>
      <c r="L1714" s="86"/>
      <c r="M1714" s="13"/>
      <c r="N1714" s="14"/>
      <c r="O1714" s="15"/>
      <c r="P1714" s="11">
        <f t="shared" si="735"/>
        <v>0</v>
      </c>
      <c r="Q1714" s="16"/>
      <c r="R1714" s="14"/>
      <c r="S1714" s="15"/>
      <c r="T1714" s="11">
        <f t="shared" si="736"/>
        <v>0</v>
      </c>
      <c r="U1714" s="11">
        <f t="shared" si="730"/>
        <v>0</v>
      </c>
      <c r="W1714" s="86"/>
      <c r="X1714" s="13"/>
      <c r="Y1714" s="14"/>
      <c r="Z1714" s="15"/>
      <c r="AA1714" s="11">
        <f t="shared" si="737"/>
        <v>0</v>
      </c>
      <c r="AB1714" s="16"/>
      <c r="AC1714" s="14"/>
      <c r="AD1714" s="15"/>
      <c r="AE1714" s="11">
        <f t="shared" si="738"/>
        <v>0</v>
      </c>
      <c r="AF1714" s="11">
        <f t="shared" si="731"/>
        <v>0</v>
      </c>
    </row>
    <row r="1715" spans="1:33" x14ac:dyDescent="0.15">
      <c r="A1715" s="29" t="s">
        <v>847</v>
      </c>
      <c r="B1715" s="8">
        <v>19</v>
      </c>
      <c r="C1715" s="9">
        <v>18</v>
      </c>
      <c r="D1715" s="10">
        <v>9</v>
      </c>
      <c r="E1715" s="11">
        <f t="shared" si="732"/>
        <v>46</v>
      </c>
      <c r="F1715" s="12">
        <v>39</v>
      </c>
      <c r="G1715" s="9">
        <v>20</v>
      </c>
      <c r="H1715" s="10">
        <v>25</v>
      </c>
      <c r="I1715" s="11">
        <f t="shared" si="739"/>
        <v>84</v>
      </c>
      <c r="J1715" s="11">
        <f t="shared" si="733"/>
        <v>130</v>
      </c>
      <c r="K1715" s="65">
        <v>43645</v>
      </c>
      <c r="L1715" s="86"/>
      <c r="M1715" s="13"/>
      <c r="N1715" s="14"/>
      <c r="O1715" s="15"/>
      <c r="P1715" s="11">
        <f t="shared" si="735"/>
        <v>0</v>
      </c>
      <c r="Q1715" s="16"/>
      <c r="R1715" s="14"/>
      <c r="S1715" s="15"/>
      <c r="T1715" s="11">
        <f t="shared" si="736"/>
        <v>0</v>
      </c>
      <c r="U1715" s="11">
        <f t="shared" si="730"/>
        <v>0</v>
      </c>
      <c r="W1715" s="86"/>
      <c r="X1715" s="13"/>
      <c r="Y1715" s="14"/>
      <c r="Z1715" s="15"/>
      <c r="AA1715" s="11">
        <f t="shared" si="737"/>
        <v>0</v>
      </c>
      <c r="AB1715" s="16"/>
      <c r="AC1715" s="14"/>
      <c r="AD1715" s="15"/>
      <c r="AE1715" s="11">
        <f t="shared" si="738"/>
        <v>0</v>
      </c>
      <c r="AF1715" s="11">
        <f t="shared" si="731"/>
        <v>0</v>
      </c>
    </row>
    <row r="1716" spans="1:33" ht="14.25" thickBot="1" x14ac:dyDescent="0.2">
      <c r="A1716" s="27" t="s">
        <v>207</v>
      </c>
      <c r="B1716" s="8">
        <v>1</v>
      </c>
      <c r="C1716" s="9"/>
      <c r="D1716" s="10">
        <v>1</v>
      </c>
      <c r="E1716" s="11">
        <f t="shared" si="732"/>
        <v>2</v>
      </c>
      <c r="F1716" s="12"/>
      <c r="G1716" s="9"/>
      <c r="H1716" s="10"/>
      <c r="I1716" s="11">
        <f t="shared" si="739"/>
        <v>0</v>
      </c>
      <c r="J1716" s="11">
        <f t="shared" si="733"/>
        <v>2</v>
      </c>
      <c r="K1716" s="65">
        <v>43645</v>
      </c>
      <c r="L1716" s="86"/>
      <c r="M1716" s="13"/>
      <c r="N1716" s="14"/>
      <c r="O1716" s="15"/>
      <c r="P1716" s="11">
        <f t="shared" si="735"/>
        <v>0</v>
      </c>
      <c r="Q1716" s="16"/>
      <c r="R1716" s="14"/>
      <c r="S1716" s="15"/>
      <c r="T1716" s="11">
        <f t="shared" si="736"/>
        <v>0</v>
      </c>
      <c r="U1716" s="11">
        <f t="shared" si="730"/>
        <v>0</v>
      </c>
      <c r="V1716" s="64"/>
      <c r="W1716" s="86"/>
      <c r="X1716" s="13"/>
      <c r="Y1716" s="14"/>
      <c r="Z1716" s="15"/>
      <c r="AA1716" s="11">
        <f t="shared" si="737"/>
        <v>0</v>
      </c>
      <c r="AB1716" s="16"/>
      <c r="AC1716" s="14"/>
      <c r="AD1716" s="15"/>
      <c r="AE1716" s="11">
        <f t="shared" si="738"/>
        <v>0</v>
      </c>
      <c r="AF1716" s="11">
        <f t="shared" si="731"/>
        <v>0</v>
      </c>
      <c r="AG1716" s="64"/>
    </row>
    <row r="1717" spans="1:33" ht="14.25" thickBot="1" x14ac:dyDescent="0.2">
      <c r="A1717" s="44" t="s">
        <v>13</v>
      </c>
      <c r="B1717" s="48">
        <f t="shared" ref="B1717:I1717" si="740">SUM(B1691:B1716)</f>
        <v>92</v>
      </c>
      <c r="C1717" s="49">
        <f t="shared" si="740"/>
        <v>64</v>
      </c>
      <c r="D1717" s="50">
        <f t="shared" si="740"/>
        <v>53</v>
      </c>
      <c r="E1717" s="46">
        <f t="shared" si="740"/>
        <v>209</v>
      </c>
      <c r="F1717" s="48">
        <f t="shared" si="740"/>
        <v>75</v>
      </c>
      <c r="G1717" s="49">
        <f t="shared" si="740"/>
        <v>65</v>
      </c>
      <c r="H1717" s="50">
        <f t="shared" si="740"/>
        <v>56</v>
      </c>
      <c r="I1717" s="46">
        <f t="shared" si="740"/>
        <v>196</v>
      </c>
      <c r="J1717" s="35">
        <f>E1717+I1717</f>
        <v>405</v>
      </c>
      <c r="L1717" s="44" t="s">
        <v>13</v>
      </c>
      <c r="M1717" s="48">
        <f t="shared" ref="M1717:T1717" si="741">SUM(M1691:M1716)</f>
        <v>0</v>
      </c>
      <c r="N1717" s="49">
        <f t="shared" si="741"/>
        <v>0</v>
      </c>
      <c r="O1717" s="50">
        <f t="shared" si="741"/>
        <v>0</v>
      </c>
      <c r="P1717" s="46">
        <f t="shared" si="741"/>
        <v>0</v>
      </c>
      <c r="Q1717" s="48">
        <f t="shared" si="741"/>
        <v>0</v>
      </c>
      <c r="R1717" s="49">
        <f t="shared" si="741"/>
        <v>0</v>
      </c>
      <c r="S1717" s="50">
        <f t="shared" si="741"/>
        <v>0</v>
      </c>
      <c r="T1717" s="46">
        <f t="shared" si="741"/>
        <v>0</v>
      </c>
      <c r="U1717" s="35">
        <f>P1717+T1717</f>
        <v>0</v>
      </c>
      <c r="W1717" s="44" t="s">
        <v>13</v>
      </c>
      <c r="X1717" s="48">
        <f t="shared" ref="X1717:AE1717" si="742">SUM(X1691:X1716)</f>
        <v>50</v>
      </c>
      <c r="Y1717" s="49">
        <f t="shared" si="742"/>
        <v>50</v>
      </c>
      <c r="Z1717" s="50">
        <f t="shared" si="742"/>
        <v>0</v>
      </c>
      <c r="AA1717" s="46">
        <f t="shared" si="742"/>
        <v>100</v>
      </c>
      <c r="AB1717" s="48">
        <f t="shared" si="742"/>
        <v>50</v>
      </c>
      <c r="AC1717" s="49">
        <f t="shared" si="742"/>
        <v>50</v>
      </c>
      <c r="AD1717" s="50">
        <f t="shared" si="742"/>
        <v>0</v>
      </c>
      <c r="AE1717" s="46">
        <f t="shared" si="742"/>
        <v>100</v>
      </c>
      <c r="AF1717" s="35">
        <f>AA1717+AE1717</f>
        <v>200</v>
      </c>
    </row>
    <row r="1718" spans="1:33" ht="14.25" thickBot="1" x14ac:dyDescent="0.2">
      <c r="A1718" s="23" t="s">
        <v>14</v>
      </c>
      <c r="B1718" s="24">
        <f t="shared" ref="B1718:J1718" si="743">B1690-B1717</f>
        <v>4</v>
      </c>
      <c r="C1718" s="25">
        <f t="shared" si="743"/>
        <v>5</v>
      </c>
      <c r="D1718" s="30">
        <f t="shared" si="743"/>
        <v>4</v>
      </c>
      <c r="E1718" s="51">
        <f t="shared" si="743"/>
        <v>13</v>
      </c>
      <c r="F1718" s="24">
        <f t="shared" si="743"/>
        <v>5</v>
      </c>
      <c r="G1718" s="25">
        <f t="shared" si="743"/>
        <v>5</v>
      </c>
      <c r="H1718" s="30">
        <f t="shared" si="743"/>
        <v>5</v>
      </c>
      <c r="I1718" s="47">
        <f t="shared" si="743"/>
        <v>15</v>
      </c>
      <c r="J1718" s="79">
        <f t="shared" si="743"/>
        <v>28</v>
      </c>
      <c r="L1718" s="23" t="s">
        <v>14</v>
      </c>
      <c r="M1718" s="24">
        <f t="shared" ref="M1718:U1718" si="744">M1690-M1717</f>
        <v>19</v>
      </c>
      <c r="N1718" s="25">
        <f t="shared" si="744"/>
        <v>18</v>
      </c>
      <c r="O1718" s="30">
        <f t="shared" si="744"/>
        <v>9</v>
      </c>
      <c r="P1718" s="51">
        <f t="shared" si="744"/>
        <v>46</v>
      </c>
      <c r="Q1718" s="24">
        <f t="shared" si="744"/>
        <v>35</v>
      </c>
      <c r="R1718" s="25">
        <f t="shared" si="744"/>
        <v>20</v>
      </c>
      <c r="S1718" s="30">
        <f t="shared" si="744"/>
        <v>25</v>
      </c>
      <c r="T1718" s="47">
        <f t="shared" si="744"/>
        <v>80</v>
      </c>
      <c r="U1718" s="79">
        <f t="shared" si="744"/>
        <v>126</v>
      </c>
      <c r="W1718" s="23" t="s">
        <v>14</v>
      </c>
      <c r="X1718" s="24">
        <f t="shared" ref="X1718:AF1718" si="745">X1690-X1717</f>
        <v>837</v>
      </c>
      <c r="Y1718" s="25">
        <f t="shared" si="745"/>
        <v>285</v>
      </c>
      <c r="Z1718" s="30">
        <f t="shared" si="745"/>
        <v>500</v>
      </c>
      <c r="AA1718" s="51">
        <f t="shared" si="745"/>
        <v>1622</v>
      </c>
      <c r="AB1718" s="24">
        <f t="shared" si="745"/>
        <v>424</v>
      </c>
      <c r="AC1718" s="25">
        <f t="shared" si="745"/>
        <v>360</v>
      </c>
      <c r="AD1718" s="30">
        <f t="shared" si="745"/>
        <v>564</v>
      </c>
      <c r="AE1718" s="47">
        <f t="shared" si="745"/>
        <v>1348</v>
      </c>
      <c r="AF1718" s="79">
        <f t="shared" si="745"/>
        <v>2970</v>
      </c>
    </row>
    <row r="1721" spans="1:33" ht="19.5" thickBot="1" x14ac:dyDescent="0.25">
      <c r="A1721" s="142" t="s">
        <v>850</v>
      </c>
      <c r="B1721" s="143"/>
      <c r="C1721" s="143"/>
      <c r="D1721" s="143"/>
      <c r="E1721" s="143"/>
      <c r="F1721" s="1"/>
      <c r="G1721" s="1"/>
      <c r="H1721" s="1"/>
      <c r="I1721" s="1"/>
      <c r="J1721" s="1"/>
      <c r="L1721" s="148" t="s">
        <v>851</v>
      </c>
      <c r="M1721" s="149"/>
      <c r="N1721" s="149"/>
      <c r="O1721" s="149"/>
      <c r="P1721" s="149"/>
      <c r="Q1721" s="2"/>
      <c r="R1721" s="1"/>
      <c r="S1721" s="1"/>
      <c r="T1721" s="1"/>
      <c r="U1721" s="1"/>
      <c r="W1721" s="150" t="s">
        <v>765</v>
      </c>
      <c r="X1721" s="151"/>
      <c r="Y1721" s="151"/>
      <c r="Z1721" s="151"/>
      <c r="AA1721" s="106"/>
      <c r="AB1721" s="1"/>
      <c r="AC1721" s="1"/>
      <c r="AD1721" s="1"/>
      <c r="AE1721" s="1"/>
      <c r="AF1721" s="1"/>
    </row>
    <row r="1722" spans="1:33" ht="14.25" thickBot="1" x14ac:dyDescent="0.2">
      <c r="A1722" s="7" t="s">
        <v>0</v>
      </c>
      <c r="B1722" s="168" t="s">
        <v>1</v>
      </c>
      <c r="C1722" s="169"/>
      <c r="D1722" s="169"/>
      <c r="E1722" s="170"/>
      <c r="F1722" s="168" t="s">
        <v>2</v>
      </c>
      <c r="G1722" s="169"/>
      <c r="H1722" s="169"/>
      <c r="I1722" s="171"/>
      <c r="J1722" s="172" t="s">
        <v>3</v>
      </c>
      <c r="L1722" s="7" t="s">
        <v>0</v>
      </c>
      <c r="M1722" s="174" t="s">
        <v>1</v>
      </c>
      <c r="N1722" s="175"/>
      <c r="O1722" s="176"/>
      <c r="P1722" s="101"/>
      <c r="Q1722" s="174" t="s">
        <v>2</v>
      </c>
      <c r="R1722" s="175"/>
      <c r="S1722" s="176"/>
      <c r="T1722" s="102"/>
      <c r="U1722" s="103" t="s">
        <v>3</v>
      </c>
      <c r="W1722" s="7" t="s">
        <v>0</v>
      </c>
      <c r="X1722" s="174" t="s">
        <v>1</v>
      </c>
      <c r="Y1722" s="175"/>
      <c r="Z1722" s="176"/>
      <c r="AA1722" s="101"/>
      <c r="AB1722" s="174" t="s">
        <v>2</v>
      </c>
      <c r="AC1722" s="175"/>
      <c r="AD1722" s="176"/>
      <c r="AE1722" s="102"/>
      <c r="AF1722" s="103" t="s">
        <v>3</v>
      </c>
    </row>
    <row r="1723" spans="1:33" ht="14.25" thickBot="1" x14ac:dyDescent="0.2">
      <c r="A1723" s="7" t="s">
        <v>4</v>
      </c>
      <c r="B1723" s="3" t="s">
        <v>5</v>
      </c>
      <c r="C1723" s="4" t="s">
        <v>6</v>
      </c>
      <c r="D1723" s="5" t="s">
        <v>7</v>
      </c>
      <c r="E1723" s="7" t="s">
        <v>8</v>
      </c>
      <c r="F1723" s="3" t="s">
        <v>5</v>
      </c>
      <c r="G1723" s="4" t="s">
        <v>6</v>
      </c>
      <c r="H1723" s="5" t="s">
        <v>7</v>
      </c>
      <c r="I1723" s="7" t="s">
        <v>8</v>
      </c>
      <c r="J1723" s="173"/>
      <c r="L1723" s="7" t="s">
        <v>4</v>
      </c>
      <c r="M1723" s="3" t="s">
        <v>5</v>
      </c>
      <c r="N1723" s="4" t="s">
        <v>6</v>
      </c>
      <c r="O1723" s="5" t="s">
        <v>7</v>
      </c>
      <c r="P1723" s="7" t="s">
        <v>8</v>
      </c>
      <c r="Q1723" s="107" t="s">
        <v>5</v>
      </c>
      <c r="R1723" s="108" t="s">
        <v>6</v>
      </c>
      <c r="S1723" s="109" t="s">
        <v>7</v>
      </c>
      <c r="T1723" s="7" t="s">
        <v>8</v>
      </c>
      <c r="U1723" s="104"/>
      <c r="W1723" s="7" t="s">
        <v>4</v>
      </c>
      <c r="X1723" s="3" t="s">
        <v>5</v>
      </c>
      <c r="Y1723" s="4" t="s">
        <v>6</v>
      </c>
      <c r="Z1723" s="5" t="s">
        <v>7</v>
      </c>
      <c r="AA1723" s="7" t="s">
        <v>8</v>
      </c>
      <c r="AB1723" s="107" t="s">
        <v>5</v>
      </c>
      <c r="AC1723" s="108" t="s">
        <v>6</v>
      </c>
      <c r="AD1723" s="109" t="s">
        <v>7</v>
      </c>
      <c r="AE1723" s="7" t="s">
        <v>8</v>
      </c>
      <c r="AF1723" s="104"/>
    </row>
    <row r="1724" spans="1:33" ht="14.25" thickBot="1" x14ac:dyDescent="0.2">
      <c r="A1724" s="31" t="s">
        <v>14</v>
      </c>
      <c r="B1724" s="32">
        <f>B1718</f>
        <v>4</v>
      </c>
      <c r="C1724" s="33">
        <f>C1718</f>
        <v>5</v>
      </c>
      <c r="D1724" s="34">
        <f>D1718</f>
        <v>4</v>
      </c>
      <c r="E1724" s="41">
        <f>SUM(B1724:D1724)</f>
        <v>13</v>
      </c>
      <c r="F1724" s="32">
        <f>F1718</f>
        <v>5</v>
      </c>
      <c r="G1724" s="33">
        <f>G1718</f>
        <v>5</v>
      </c>
      <c r="H1724" s="34">
        <f>H1718</f>
        <v>5</v>
      </c>
      <c r="I1724" s="41">
        <f>SUM(F1724:H1724)</f>
        <v>15</v>
      </c>
      <c r="J1724" s="41">
        <f>E1724+I1724</f>
        <v>28</v>
      </c>
      <c r="L1724" s="31" t="s">
        <v>14</v>
      </c>
      <c r="M1724" s="32">
        <f>M1718</f>
        <v>19</v>
      </c>
      <c r="N1724" s="33">
        <f>N1718</f>
        <v>18</v>
      </c>
      <c r="O1724" s="33">
        <f>O1718</f>
        <v>9</v>
      </c>
      <c r="P1724" s="111">
        <f>SUM(M1724:O1724)</f>
        <v>46</v>
      </c>
      <c r="Q1724" s="32">
        <f>Q1718</f>
        <v>35</v>
      </c>
      <c r="R1724" s="33">
        <f>R1718</f>
        <v>20</v>
      </c>
      <c r="S1724" s="95">
        <f>S1718</f>
        <v>25</v>
      </c>
      <c r="T1724" s="46">
        <f>SUM(Q1724:S1724)</f>
        <v>80</v>
      </c>
      <c r="U1724" s="35">
        <f>P1724+T1724</f>
        <v>126</v>
      </c>
      <c r="W1724" s="31" t="s">
        <v>14</v>
      </c>
      <c r="X1724" s="32">
        <f>X1718</f>
        <v>837</v>
      </c>
      <c r="Y1724" s="33">
        <f>Y1718</f>
        <v>285</v>
      </c>
      <c r="Z1724" s="33">
        <f>Z1718</f>
        <v>500</v>
      </c>
      <c r="AA1724" s="111">
        <f>SUM(X1724:Z1724)</f>
        <v>1622</v>
      </c>
      <c r="AB1724" s="32">
        <f>AB1718</f>
        <v>424</v>
      </c>
      <c r="AC1724" s="33">
        <f>AC1718</f>
        <v>360</v>
      </c>
      <c r="AD1724" s="95">
        <f>AD1718</f>
        <v>564</v>
      </c>
      <c r="AE1724" s="46">
        <f>SUM(AB1724:AD1724)</f>
        <v>1348</v>
      </c>
      <c r="AF1724" s="35">
        <f>AA1724+AE1724</f>
        <v>2970</v>
      </c>
    </row>
    <row r="1725" spans="1:33" x14ac:dyDescent="0.15">
      <c r="A1725" s="28" t="s">
        <v>9</v>
      </c>
      <c r="B1725" s="17"/>
      <c r="C1725" s="18"/>
      <c r="D1725" s="19"/>
      <c r="E1725" s="20">
        <f>SUM(B1725:D1725)</f>
        <v>0</v>
      </c>
      <c r="F1725" s="21">
        <v>20</v>
      </c>
      <c r="G1725" s="18">
        <v>15</v>
      </c>
      <c r="H1725" s="19">
        <v>15</v>
      </c>
      <c r="I1725" s="20">
        <f>SUM(F1725:H1725)</f>
        <v>50</v>
      </c>
      <c r="J1725" s="20">
        <f>E1725+I1725</f>
        <v>50</v>
      </c>
      <c r="K1725" s="65">
        <v>43650</v>
      </c>
      <c r="L1725" s="28" t="s">
        <v>9</v>
      </c>
      <c r="M1725" s="8">
        <v>10</v>
      </c>
      <c r="N1725" s="9">
        <v>13</v>
      </c>
      <c r="O1725" s="10">
        <v>20</v>
      </c>
      <c r="P1725" s="78">
        <f t="shared" ref="P1725:P1732" si="746">SUM(M1725:O1725)</f>
        <v>43</v>
      </c>
      <c r="Q1725" s="21"/>
      <c r="R1725" s="18"/>
      <c r="S1725" s="19"/>
      <c r="T1725" s="78">
        <f t="shared" ref="T1725:T1732" si="747">SUM(Q1725:S1725)</f>
        <v>0</v>
      </c>
      <c r="U1725" s="78">
        <f t="shared" ref="U1725:U1732" si="748">P1725+T1725</f>
        <v>43</v>
      </c>
      <c r="V1725" s="71">
        <v>43655</v>
      </c>
      <c r="W1725" s="28" t="s">
        <v>9</v>
      </c>
      <c r="X1725" s="8"/>
      <c r="Y1725" s="9"/>
      <c r="Z1725" s="10"/>
      <c r="AA1725" s="78">
        <f t="shared" ref="AA1725:AA1732" si="749">SUM(X1725:Z1725)</f>
        <v>0</v>
      </c>
      <c r="AB1725" s="21"/>
      <c r="AC1725" s="18"/>
      <c r="AD1725" s="19"/>
      <c r="AE1725" s="78">
        <f t="shared" ref="AE1725:AE1732" si="750">SUM(AB1725:AD1725)</f>
        <v>0</v>
      </c>
      <c r="AF1725" s="78">
        <f t="shared" ref="AF1725:AF1732" si="751">AA1725+AE1725</f>
        <v>0</v>
      </c>
    </row>
    <row r="1726" spans="1:33" x14ac:dyDescent="0.15">
      <c r="A1726" s="28" t="s">
        <v>10</v>
      </c>
      <c r="B1726" s="8">
        <v>50</v>
      </c>
      <c r="C1726" s="9">
        <v>50</v>
      </c>
      <c r="D1726" s="10">
        <v>50</v>
      </c>
      <c r="E1726" s="11">
        <f t="shared" ref="E1726:E1732" si="752">SUM(B1726:D1726)</f>
        <v>150</v>
      </c>
      <c r="F1726" s="12"/>
      <c r="G1726" s="9"/>
      <c r="H1726" s="10"/>
      <c r="I1726" s="11">
        <f t="shared" ref="I1726:I1732" si="753">SUM(F1726:H1726)</f>
        <v>0</v>
      </c>
      <c r="J1726" s="11">
        <f t="shared" ref="J1726:J1732" si="754">E1726+I1726</f>
        <v>150</v>
      </c>
      <c r="K1726" s="65">
        <v>43663</v>
      </c>
      <c r="L1726" s="28" t="s">
        <v>10</v>
      </c>
      <c r="M1726" s="8"/>
      <c r="N1726" s="9"/>
      <c r="O1726" s="10"/>
      <c r="P1726" s="11">
        <f t="shared" si="746"/>
        <v>0</v>
      </c>
      <c r="Q1726" s="12"/>
      <c r="R1726" s="9"/>
      <c r="S1726" s="10"/>
      <c r="T1726" s="11">
        <f t="shared" si="747"/>
        <v>0</v>
      </c>
      <c r="U1726" s="11">
        <f t="shared" si="748"/>
        <v>0</v>
      </c>
      <c r="W1726" s="28" t="s">
        <v>10</v>
      </c>
      <c r="X1726" s="8"/>
      <c r="Y1726" s="9"/>
      <c r="Z1726" s="10"/>
      <c r="AA1726" s="11">
        <f t="shared" si="749"/>
        <v>0</v>
      </c>
      <c r="AB1726" s="12"/>
      <c r="AC1726" s="9"/>
      <c r="AD1726" s="10"/>
      <c r="AE1726" s="11">
        <f t="shared" si="750"/>
        <v>0</v>
      </c>
      <c r="AF1726" s="11">
        <f t="shared" si="751"/>
        <v>0</v>
      </c>
    </row>
    <row r="1727" spans="1:33" x14ac:dyDescent="0.15">
      <c r="A1727" s="28" t="s">
        <v>467</v>
      </c>
      <c r="B1727" s="8"/>
      <c r="C1727" s="9"/>
      <c r="D1727" s="10"/>
      <c r="E1727" s="11">
        <f t="shared" si="752"/>
        <v>0</v>
      </c>
      <c r="F1727" s="12"/>
      <c r="G1727" s="9"/>
      <c r="H1727" s="10">
        <v>1</v>
      </c>
      <c r="I1727" s="11">
        <f t="shared" si="753"/>
        <v>1</v>
      </c>
      <c r="J1727" s="11">
        <f t="shared" si="754"/>
        <v>1</v>
      </c>
      <c r="K1727" s="65">
        <v>43654</v>
      </c>
      <c r="L1727" s="28" t="s">
        <v>11</v>
      </c>
      <c r="M1727" s="8"/>
      <c r="N1727" s="9"/>
      <c r="O1727" s="10"/>
      <c r="P1727" s="11">
        <f t="shared" si="746"/>
        <v>0</v>
      </c>
      <c r="Q1727" s="12"/>
      <c r="R1727" s="9"/>
      <c r="S1727" s="10"/>
      <c r="T1727" s="11">
        <f t="shared" si="747"/>
        <v>0</v>
      </c>
      <c r="U1727" s="11">
        <f t="shared" si="748"/>
        <v>0</v>
      </c>
      <c r="W1727" s="28" t="s">
        <v>11</v>
      </c>
      <c r="X1727" s="8"/>
      <c r="Y1727" s="9"/>
      <c r="Z1727" s="10"/>
      <c r="AA1727" s="11">
        <f t="shared" si="749"/>
        <v>0</v>
      </c>
      <c r="AB1727" s="12"/>
      <c r="AC1727" s="9"/>
      <c r="AD1727" s="10"/>
      <c r="AE1727" s="11">
        <f t="shared" si="750"/>
        <v>0</v>
      </c>
      <c r="AF1727" s="11">
        <f t="shared" si="751"/>
        <v>0</v>
      </c>
    </row>
    <row r="1728" spans="1:33" x14ac:dyDescent="0.15">
      <c r="A1728" s="28" t="s">
        <v>12</v>
      </c>
      <c r="B1728" s="8"/>
      <c r="C1728" s="9"/>
      <c r="D1728" s="10">
        <v>5</v>
      </c>
      <c r="E1728" s="11">
        <f t="shared" si="752"/>
        <v>5</v>
      </c>
      <c r="F1728" s="12"/>
      <c r="G1728" s="9"/>
      <c r="H1728" s="10"/>
      <c r="I1728" s="11">
        <f t="shared" si="753"/>
        <v>0</v>
      </c>
      <c r="J1728" s="11">
        <f t="shared" si="754"/>
        <v>5</v>
      </c>
      <c r="K1728" s="65">
        <v>43711</v>
      </c>
      <c r="L1728" s="28" t="s">
        <v>12</v>
      </c>
      <c r="M1728" s="8"/>
      <c r="N1728" s="9"/>
      <c r="O1728" s="10"/>
      <c r="P1728" s="11">
        <f t="shared" si="746"/>
        <v>0</v>
      </c>
      <c r="Q1728" s="12"/>
      <c r="R1728" s="9"/>
      <c r="S1728" s="10"/>
      <c r="T1728" s="11">
        <f t="shared" si="747"/>
        <v>0</v>
      </c>
      <c r="U1728" s="11">
        <f t="shared" si="748"/>
        <v>0</v>
      </c>
      <c r="W1728" s="28" t="s">
        <v>12</v>
      </c>
      <c r="X1728" s="8"/>
      <c r="Y1728" s="9"/>
      <c r="Z1728" s="10"/>
      <c r="AA1728" s="11">
        <f t="shared" si="749"/>
        <v>0</v>
      </c>
      <c r="AB1728" s="12"/>
      <c r="AC1728" s="9"/>
      <c r="AD1728" s="10"/>
      <c r="AE1728" s="11">
        <f t="shared" si="750"/>
        <v>0</v>
      </c>
      <c r="AF1728" s="11">
        <f t="shared" si="751"/>
        <v>0</v>
      </c>
    </row>
    <row r="1729" spans="1:33" x14ac:dyDescent="0.15">
      <c r="A1729" s="28" t="s">
        <v>15</v>
      </c>
      <c r="B1729" s="8"/>
      <c r="C1729" s="9"/>
      <c r="D1729" s="10"/>
      <c r="E1729" s="11">
        <f t="shared" si="752"/>
        <v>0</v>
      </c>
      <c r="F1729" s="12"/>
      <c r="G1729" s="9"/>
      <c r="H1729" s="10"/>
      <c r="I1729" s="11">
        <f t="shared" si="753"/>
        <v>0</v>
      </c>
      <c r="J1729" s="11">
        <f t="shared" si="754"/>
        <v>0</v>
      </c>
      <c r="K1729" s="71"/>
      <c r="L1729" s="28" t="s">
        <v>15</v>
      </c>
      <c r="M1729" s="8"/>
      <c r="N1729" s="9"/>
      <c r="O1729" s="10"/>
      <c r="P1729" s="11">
        <f t="shared" si="746"/>
        <v>0</v>
      </c>
      <c r="Q1729" s="12"/>
      <c r="R1729" s="9"/>
      <c r="S1729" s="10"/>
      <c r="T1729" s="11">
        <f t="shared" si="747"/>
        <v>0</v>
      </c>
      <c r="U1729" s="11">
        <f t="shared" si="748"/>
        <v>0</v>
      </c>
      <c r="W1729" s="28" t="s">
        <v>15</v>
      </c>
      <c r="X1729" s="8"/>
      <c r="Y1729" s="9"/>
      <c r="Z1729" s="10"/>
      <c r="AA1729" s="11">
        <f t="shared" si="749"/>
        <v>0</v>
      </c>
      <c r="AB1729" s="12"/>
      <c r="AC1729" s="9"/>
      <c r="AD1729" s="10"/>
      <c r="AE1729" s="11">
        <f t="shared" si="750"/>
        <v>0</v>
      </c>
      <c r="AF1729" s="11">
        <f t="shared" si="751"/>
        <v>0</v>
      </c>
    </row>
    <row r="1730" spans="1:33" x14ac:dyDescent="0.15">
      <c r="A1730" s="28" t="s">
        <v>16</v>
      </c>
      <c r="B1730" s="8"/>
      <c r="C1730" s="9"/>
      <c r="D1730" s="10"/>
      <c r="E1730" s="11">
        <f t="shared" si="752"/>
        <v>0</v>
      </c>
      <c r="F1730" s="12"/>
      <c r="G1730" s="9"/>
      <c r="H1730" s="10"/>
      <c r="I1730" s="11">
        <f t="shared" si="753"/>
        <v>0</v>
      </c>
      <c r="J1730" s="11">
        <f t="shared" si="754"/>
        <v>0</v>
      </c>
      <c r="K1730" s="65"/>
      <c r="L1730" s="28" t="s">
        <v>16</v>
      </c>
      <c r="M1730" s="8"/>
      <c r="N1730" s="9"/>
      <c r="O1730" s="10"/>
      <c r="P1730" s="11">
        <f t="shared" si="746"/>
        <v>0</v>
      </c>
      <c r="Q1730" s="12"/>
      <c r="R1730" s="9"/>
      <c r="S1730" s="10"/>
      <c r="T1730" s="11">
        <f t="shared" si="747"/>
        <v>0</v>
      </c>
      <c r="U1730" s="11">
        <f t="shared" si="748"/>
        <v>0</v>
      </c>
      <c r="W1730" s="28" t="s">
        <v>16</v>
      </c>
      <c r="X1730" s="8"/>
      <c r="Y1730" s="9"/>
      <c r="Z1730" s="10"/>
      <c r="AA1730" s="11">
        <f t="shared" si="749"/>
        <v>0</v>
      </c>
      <c r="AB1730" s="12"/>
      <c r="AC1730" s="9"/>
      <c r="AD1730" s="10"/>
      <c r="AE1730" s="11">
        <f t="shared" si="750"/>
        <v>0</v>
      </c>
      <c r="AF1730" s="11">
        <f t="shared" si="751"/>
        <v>0</v>
      </c>
    </row>
    <row r="1731" spans="1:33" x14ac:dyDescent="0.15">
      <c r="A1731" s="28" t="s">
        <v>17</v>
      </c>
      <c r="B1731" s="13"/>
      <c r="C1731" s="14"/>
      <c r="D1731" s="15"/>
      <c r="E1731" s="11">
        <f t="shared" si="752"/>
        <v>0</v>
      </c>
      <c r="F1731" s="16"/>
      <c r="G1731" s="14"/>
      <c r="H1731" s="15"/>
      <c r="I1731" s="11">
        <f t="shared" si="753"/>
        <v>0</v>
      </c>
      <c r="J1731" s="11">
        <f t="shared" si="754"/>
        <v>0</v>
      </c>
      <c r="K1731" s="65"/>
      <c r="L1731" s="28" t="s">
        <v>17</v>
      </c>
      <c r="M1731" s="8"/>
      <c r="N1731" s="9"/>
      <c r="O1731" s="10"/>
      <c r="P1731" s="11">
        <f t="shared" si="746"/>
        <v>0</v>
      </c>
      <c r="Q1731" s="12"/>
      <c r="R1731" s="12"/>
      <c r="S1731" s="87"/>
      <c r="T1731" s="11">
        <f t="shared" si="747"/>
        <v>0</v>
      </c>
      <c r="U1731" s="11">
        <f t="shared" si="748"/>
        <v>0</v>
      </c>
      <c r="W1731" s="28" t="s">
        <v>17</v>
      </c>
      <c r="X1731" s="8"/>
      <c r="Y1731" s="9"/>
      <c r="Z1731" s="10"/>
      <c r="AA1731" s="11">
        <f t="shared" si="749"/>
        <v>0</v>
      </c>
      <c r="AB1731" s="12"/>
      <c r="AC1731" s="12"/>
      <c r="AD1731" s="87"/>
      <c r="AE1731" s="11">
        <f t="shared" si="750"/>
        <v>0</v>
      </c>
      <c r="AF1731" s="11">
        <f t="shared" si="751"/>
        <v>0</v>
      </c>
    </row>
    <row r="1732" spans="1:33" ht="14.25" thickBot="1" x14ac:dyDescent="0.2">
      <c r="A1732" s="28" t="s">
        <v>18</v>
      </c>
      <c r="B1732" s="36"/>
      <c r="C1732" s="37"/>
      <c r="D1732" s="40"/>
      <c r="E1732" s="22">
        <f t="shared" si="752"/>
        <v>0</v>
      </c>
      <c r="F1732" s="38"/>
      <c r="G1732" s="38"/>
      <c r="H1732" s="43"/>
      <c r="I1732" s="22">
        <f t="shared" si="753"/>
        <v>0</v>
      </c>
      <c r="J1732" s="22">
        <f t="shared" si="754"/>
        <v>0</v>
      </c>
      <c r="L1732" s="28" t="s">
        <v>18</v>
      </c>
      <c r="M1732" s="127"/>
      <c r="N1732" s="128"/>
      <c r="O1732" s="129"/>
      <c r="P1732" s="130">
        <f t="shared" si="746"/>
        <v>0</v>
      </c>
      <c r="Q1732" s="131"/>
      <c r="R1732" s="131"/>
      <c r="S1732" s="132"/>
      <c r="T1732" s="130">
        <f t="shared" si="747"/>
        <v>0</v>
      </c>
      <c r="U1732" s="130">
        <f t="shared" si="748"/>
        <v>0</v>
      </c>
      <c r="W1732" s="28" t="s">
        <v>18</v>
      </c>
      <c r="X1732" s="127"/>
      <c r="Y1732" s="128"/>
      <c r="Z1732" s="129"/>
      <c r="AA1732" s="130">
        <f t="shared" si="749"/>
        <v>0</v>
      </c>
      <c r="AB1732" s="131"/>
      <c r="AC1732" s="131"/>
      <c r="AD1732" s="132"/>
      <c r="AE1732" s="130">
        <f t="shared" si="750"/>
        <v>0</v>
      </c>
      <c r="AF1732" s="130">
        <f t="shared" si="751"/>
        <v>0</v>
      </c>
    </row>
    <row r="1733" spans="1:33" ht="14.25" thickBot="1" x14ac:dyDescent="0.2">
      <c r="A1733" s="39" t="s">
        <v>20</v>
      </c>
      <c r="B1733" s="32">
        <f t="shared" ref="B1733:J1733" si="755">SUM(B1724:B1732)</f>
        <v>54</v>
      </c>
      <c r="C1733" s="33">
        <f t="shared" si="755"/>
        <v>55</v>
      </c>
      <c r="D1733" s="34">
        <f t="shared" si="755"/>
        <v>59</v>
      </c>
      <c r="E1733" s="42">
        <f t="shared" si="755"/>
        <v>168</v>
      </c>
      <c r="F1733" s="32">
        <f t="shared" si="755"/>
        <v>25</v>
      </c>
      <c r="G1733" s="33">
        <f t="shared" si="755"/>
        <v>20</v>
      </c>
      <c r="H1733" s="34">
        <f t="shared" si="755"/>
        <v>21</v>
      </c>
      <c r="I1733" s="42">
        <f t="shared" si="755"/>
        <v>66</v>
      </c>
      <c r="J1733" s="42">
        <f t="shared" si="755"/>
        <v>234</v>
      </c>
      <c r="L1733" s="39" t="s">
        <v>20</v>
      </c>
      <c r="M1733" s="32">
        <f t="shared" ref="M1733:U1733" si="756">SUM(M1724:M1732)</f>
        <v>29</v>
      </c>
      <c r="N1733" s="33">
        <f t="shared" si="756"/>
        <v>31</v>
      </c>
      <c r="O1733" s="34">
        <f t="shared" si="756"/>
        <v>29</v>
      </c>
      <c r="P1733" s="42">
        <f t="shared" si="756"/>
        <v>89</v>
      </c>
      <c r="Q1733" s="32">
        <f t="shared" si="756"/>
        <v>35</v>
      </c>
      <c r="R1733" s="33">
        <f t="shared" si="756"/>
        <v>20</v>
      </c>
      <c r="S1733" s="34">
        <f t="shared" si="756"/>
        <v>25</v>
      </c>
      <c r="T1733" s="42">
        <f t="shared" si="756"/>
        <v>80</v>
      </c>
      <c r="U1733" s="42">
        <f t="shared" si="756"/>
        <v>169</v>
      </c>
      <c r="W1733" s="39" t="s">
        <v>20</v>
      </c>
      <c r="X1733" s="32">
        <f t="shared" ref="X1733:AF1733" si="757">SUM(X1724:X1732)</f>
        <v>837</v>
      </c>
      <c r="Y1733" s="33">
        <f t="shared" si="757"/>
        <v>285</v>
      </c>
      <c r="Z1733" s="34">
        <f t="shared" si="757"/>
        <v>500</v>
      </c>
      <c r="AA1733" s="42">
        <f t="shared" si="757"/>
        <v>1622</v>
      </c>
      <c r="AB1733" s="32">
        <f t="shared" si="757"/>
        <v>424</v>
      </c>
      <c r="AC1733" s="33">
        <f t="shared" si="757"/>
        <v>360</v>
      </c>
      <c r="AD1733" s="34">
        <f t="shared" si="757"/>
        <v>564</v>
      </c>
      <c r="AE1733" s="42">
        <f t="shared" si="757"/>
        <v>1348</v>
      </c>
      <c r="AF1733" s="42">
        <f t="shared" si="757"/>
        <v>2970</v>
      </c>
    </row>
    <row r="1734" spans="1:33" x14ac:dyDescent="0.15">
      <c r="A1734" s="86" t="s">
        <v>843</v>
      </c>
      <c r="B1734" s="13">
        <v>40</v>
      </c>
      <c r="C1734" s="14">
        <v>35</v>
      </c>
      <c r="D1734" s="15">
        <v>30</v>
      </c>
      <c r="E1734" s="11">
        <f>SUM(B1734:D1734)</f>
        <v>105</v>
      </c>
      <c r="F1734" s="16">
        <v>20</v>
      </c>
      <c r="G1734" s="14">
        <v>15</v>
      </c>
      <c r="H1734" s="15">
        <v>15</v>
      </c>
      <c r="I1734" s="11">
        <f>SUM(F1734:H1734)</f>
        <v>50</v>
      </c>
      <c r="J1734" s="11">
        <f>E1734+I1734</f>
        <v>155</v>
      </c>
      <c r="K1734" s="65">
        <v>43665</v>
      </c>
      <c r="L1734" s="29" t="s">
        <v>856</v>
      </c>
      <c r="M1734" s="8">
        <v>7</v>
      </c>
      <c r="N1734" s="9"/>
      <c r="O1734" s="10"/>
      <c r="P1734" s="11">
        <f>SUM(M1734:O1734)</f>
        <v>7</v>
      </c>
      <c r="Q1734" s="12"/>
      <c r="R1734" s="9"/>
      <c r="S1734" s="10"/>
      <c r="T1734" s="11">
        <f>SUM(Q1734:S1734)</f>
        <v>0</v>
      </c>
      <c r="U1734" s="11">
        <f t="shared" ref="U1734:U1759" si="758">P1734+T1734</f>
        <v>7</v>
      </c>
      <c r="V1734" s="65">
        <v>43700</v>
      </c>
      <c r="W1734" s="29" t="s">
        <v>41</v>
      </c>
      <c r="X1734" s="8"/>
      <c r="Y1734" s="9"/>
      <c r="Z1734" s="10"/>
      <c r="AA1734" s="11">
        <f>SUM(X1734:Z1734)</f>
        <v>0</v>
      </c>
      <c r="AB1734" s="12">
        <v>20</v>
      </c>
      <c r="AC1734" s="9">
        <v>15</v>
      </c>
      <c r="AD1734" s="10">
        <v>15</v>
      </c>
      <c r="AE1734" s="11">
        <v>50</v>
      </c>
      <c r="AF1734" s="11">
        <v>50</v>
      </c>
      <c r="AG1734" s="65">
        <v>43650</v>
      </c>
    </row>
    <row r="1735" spans="1:33" x14ac:dyDescent="0.15">
      <c r="A1735" s="27" t="s">
        <v>853</v>
      </c>
      <c r="B1735" s="13">
        <v>10</v>
      </c>
      <c r="C1735" s="14">
        <v>13</v>
      </c>
      <c r="D1735" s="15">
        <v>20</v>
      </c>
      <c r="E1735" s="11">
        <f t="shared" ref="E1735:E1759" si="759">SUM(B1735:D1735)</f>
        <v>43</v>
      </c>
      <c r="F1735" s="16"/>
      <c r="G1735" s="14"/>
      <c r="H1735" s="15"/>
      <c r="I1735" s="11">
        <f>SUM(F1735:H1735)</f>
        <v>0</v>
      </c>
      <c r="J1735" s="11">
        <f t="shared" ref="J1735:J1759" si="760">E1735+I1735</f>
        <v>43</v>
      </c>
      <c r="K1735" s="65">
        <v>43655</v>
      </c>
      <c r="L1735" s="29" t="s">
        <v>862</v>
      </c>
      <c r="M1735" s="8"/>
      <c r="N1735" s="9"/>
      <c r="O1735" s="10">
        <v>5</v>
      </c>
      <c r="P1735" s="11">
        <f>SUM(M1735:O1735)</f>
        <v>5</v>
      </c>
      <c r="Q1735" s="12"/>
      <c r="R1735" s="9"/>
      <c r="S1735" s="10"/>
      <c r="T1735" s="11">
        <f>SUM(Q1735:S1735)</f>
        <v>0</v>
      </c>
      <c r="U1735" s="11">
        <f t="shared" si="758"/>
        <v>5</v>
      </c>
      <c r="V1735" s="65">
        <v>43711</v>
      </c>
      <c r="W1735" s="29" t="s">
        <v>41</v>
      </c>
      <c r="X1735" s="8">
        <v>50</v>
      </c>
      <c r="Y1735" s="9">
        <v>50</v>
      </c>
      <c r="Z1735" s="10">
        <v>50</v>
      </c>
      <c r="AA1735" s="11">
        <f>SUM(X1735:Z1735)</f>
        <v>150</v>
      </c>
      <c r="AB1735" s="12"/>
      <c r="AC1735" s="9"/>
      <c r="AD1735" s="10"/>
      <c r="AE1735" s="11">
        <f>SUM(AB1735:AD1735)</f>
        <v>0</v>
      </c>
      <c r="AF1735" s="11">
        <f t="shared" ref="AF1735" si="761">AA1735+AE1735</f>
        <v>150</v>
      </c>
      <c r="AG1735" s="65">
        <v>43663</v>
      </c>
    </row>
    <row r="1736" spans="1:33" x14ac:dyDescent="0.15">
      <c r="A1736" s="29" t="s">
        <v>849</v>
      </c>
      <c r="B1736" s="8"/>
      <c r="C1736" s="9">
        <v>1</v>
      </c>
      <c r="D1736" s="10"/>
      <c r="E1736" s="11">
        <f t="shared" si="759"/>
        <v>1</v>
      </c>
      <c r="F1736" s="12"/>
      <c r="G1736" s="9"/>
      <c r="H1736" s="10"/>
      <c r="I1736" s="11">
        <f t="shared" ref="I1736" si="762">SUM(F1736:H1736)</f>
        <v>0</v>
      </c>
      <c r="J1736" s="11">
        <f t="shared" si="760"/>
        <v>1</v>
      </c>
      <c r="K1736" s="65">
        <v>43656</v>
      </c>
      <c r="L1736" s="29"/>
      <c r="M1736" s="8"/>
      <c r="N1736" s="9"/>
      <c r="O1736" s="10"/>
      <c r="P1736" s="11">
        <f t="shared" ref="P1736:P1759" si="763">SUM(M1736:O1736)</f>
        <v>0</v>
      </c>
      <c r="Q1736" s="12"/>
      <c r="R1736" s="9"/>
      <c r="S1736" s="10"/>
      <c r="T1736" s="11">
        <f t="shared" ref="T1736:T1759" si="764">SUM(Q1736:S1736)</f>
        <v>0</v>
      </c>
      <c r="U1736" s="11">
        <f t="shared" si="758"/>
        <v>0</v>
      </c>
      <c r="W1736" s="29"/>
      <c r="X1736" s="8"/>
      <c r="Y1736" s="9"/>
      <c r="Z1736" s="10"/>
      <c r="AA1736" s="11">
        <f t="shared" ref="AA1736:AA1759" si="765">SUM(X1736:Z1736)</f>
        <v>0</v>
      </c>
      <c r="AB1736" s="12"/>
      <c r="AC1736" s="9"/>
      <c r="AD1736" s="10"/>
      <c r="AE1736" s="11">
        <f t="shared" ref="AE1736:AE1759" si="766">SUM(AB1736:AD1736)</f>
        <v>0</v>
      </c>
      <c r="AF1736" s="11">
        <f t="shared" ref="AF1736:AF1759" si="767">AA1736+AE1736</f>
        <v>0</v>
      </c>
      <c r="AG1736" s="65"/>
    </row>
    <row r="1737" spans="1:33" x14ac:dyDescent="0.15">
      <c r="A1737" s="29" t="s">
        <v>67</v>
      </c>
      <c r="B1737" s="8"/>
      <c r="C1737" s="9">
        <v>1</v>
      </c>
      <c r="D1737" s="10"/>
      <c r="E1737" s="11">
        <f t="shared" ref="E1737:E1741" si="768">SUM(B1737:D1737)</f>
        <v>1</v>
      </c>
      <c r="F1737" s="12"/>
      <c r="G1737" s="9"/>
      <c r="H1737" s="10"/>
      <c r="I1737" s="11">
        <f t="shared" ref="I1737" si="769">SUM(F1737:H1737)</f>
        <v>0</v>
      </c>
      <c r="J1737" s="11">
        <f t="shared" ref="J1737:J1741" si="770">E1737+I1737</f>
        <v>1</v>
      </c>
      <c r="K1737" s="65">
        <v>43656</v>
      </c>
      <c r="L1737" s="86"/>
      <c r="M1737" s="8"/>
      <c r="N1737" s="9"/>
      <c r="O1737" s="10"/>
      <c r="P1737" s="11">
        <f t="shared" si="763"/>
        <v>0</v>
      </c>
      <c r="Q1737" s="12"/>
      <c r="R1737" s="9"/>
      <c r="S1737" s="10"/>
      <c r="T1737" s="11">
        <f t="shared" si="764"/>
        <v>0</v>
      </c>
      <c r="U1737" s="11">
        <f t="shared" si="758"/>
        <v>0</v>
      </c>
      <c r="W1737" s="86"/>
      <c r="X1737" s="8"/>
      <c r="Y1737" s="9"/>
      <c r="Z1737" s="10"/>
      <c r="AA1737" s="11">
        <f t="shared" si="765"/>
        <v>0</v>
      </c>
      <c r="AB1737" s="12"/>
      <c r="AC1737" s="9"/>
      <c r="AD1737" s="10"/>
      <c r="AE1737" s="11">
        <f t="shared" si="766"/>
        <v>0</v>
      </c>
      <c r="AF1737" s="11">
        <f t="shared" si="767"/>
        <v>0</v>
      </c>
    </row>
    <row r="1738" spans="1:33" x14ac:dyDescent="0.15">
      <c r="A1738" s="27" t="s">
        <v>433</v>
      </c>
      <c r="B1738" s="8"/>
      <c r="C1738" s="9">
        <v>1</v>
      </c>
      <c r="D1738" s="10"/>
      <c r="E1738" s="11">
        <f t="shared" si="768"/>
        <v>1</v>
      </c>
      <c r="F1738" s="12"/>
      <c r="G1738" s="9">
        <v>1</v>
      </c>
      <c r="H1738" s="10"/>
      <c r="I1738" s="11">
        <f>SUM(F1738:H1738)</f>
        <v>1</v>
      </c>
      <c r="J1738" s="11">
        <f t="shared" si="770"/>
        <v>2</v>
      </c>
      <c r="K1738" s="65">
        <v>43658</v>
      </c>
      <c r="L1738" s="86"/>
      <c r="M1738" s="8"/>
      <c r="N1738" s="9"/>
      <c r="O1738" s="10"/>
      <c r="P1738" s="11">
        <f t="shared" si="763"/>
        <v>0</v>
      </c>
      <c r="Q1738" s="12"/>
      <c r="R1738" s="9"/>
      <c r="S1738" s="10"/>
      <c r="T1738" s="11">
        <f t="shared" si="764"/>
        <v>0</v>
      </c>
      <c r="U1738" s="11">
        <f t="shared" si="758"/>
        <v>0</v>
      </c>
      <c r="W1738" s="86"/>
      <c r="X1738" s="8"/>
      <c r="Y1738" s="9"/>
      <c r="Z1738" s="10"/>
      <c r="AA1738" s="11">
        <f t="shared" si="765"/>
        <v>0</v>
      </c>
      <c r="AB1738" s="12"/>
      <c r="AC1738" s="9"/>
      <c r="AD1738" s="10"/>
      <c r="AE1738" s="11">
        <f t="shared" si="766"/>
        <v>0</v>
      </c>
      <c r="AF1738" s="11">
        <f t="shared" si="767"/>
        <v>0</v>
      </c>
    </row>
    <row r="1739" spans="1:33" x14ac:dyDescent="0.15">
      <c r="A1739" s="29" t="s">
        <v>67</v>
      </c>
      <c r="B1739" s="8"/>
      <c r="C1739" s="9"/>
      <c r="D1739" s="10"/>
      <c r="E1739" s="11">
        <f t="shared" si="768"/>
        <v>0</v>
      </c>
      <c r="F1739" s="12"/>
      <c r="G1739" s="9"/>
      <c r="H1739" s="10">
        <v>1</v>
      </c>
      <c r="I1739" s="11">
        <f>SUM(F1739:H1739)</f>
        <v>1</v>
      </c>
      <c r="J1739" s="11">
        <f t="shared" si="770"/>
        <v>1</v>
      </c>
      <c r="K1739" s="65">
        <v>43658</v>
      </c>
      <c r="L1739" s="29"/>
      <c r="M1739" s="8"/>
      <c r="N1739" s="9"/>
      <c r="O1739" s="10"/>
      <c r="P1739" s="11">
        <f t="shared" si="763"/>
        <v>0</v>
      </c>
      <c r="Q1739" s="12"/>
      <c r="R1739" s="9"/>
      <c r="S1739" s="10"/>
      <c r="T1739" s="11">
        <f t="shared" si="764"/>
        <v>0</v>
      </c>
      <c r="U1739" s="11">
        <f t="shared" si="758"/>
        <v>0</v>
      </c>
      <c r="W1739" s="29"/>
      <c r="X1739" s="8"/>
      <c r="Y1739" s="9"/>
      <c r="Z1739" s="10"/>
      <c r="AA1739" s="11">
        <f t="shared" si="765"/>
        <v>0</v>
      </c>
      <c r="AB1739" s="12"/>
      <c r="AC1739" s="9"/>
      <c r="AD1739" s="10"/>
      <c r="AE1739" s="11">
        <f t="shared" si="766"/>
        <v>0</v>
      </c>
      <c r="AF1739" s="11">
        <f t="shared" si="767"/>
        <v>0</v>
      </c>
    </row>
    <row r="1740" spans="1:33" x14ac:dyDescent="0.15">
      <c r="A1740" s="86" t="s">
        <v>687</v>
      </c>
      <c r="B1740" s="8"/>
      <c r="C1740" s="9"/>
      <c r="D1740" s="10">
        <v>1</v>
      </c>
      <c r="E1740" s="11">
        <f t="shared" si="768"/>
        <v>1</v>
      </c>
      <c r="F1740" s="140"/>
      <c r="G1740" s="140"/>
      <c r="H1740" s="10"/>
      <c r="I1740" s="11">
        <f t="shared" ref="I1740:I1741" si="771">SUM(F1740:H1740)</f>
        <v>0</v>
      </c>
      <c r="J1740" s="11">
        <f t="shared" si="770"/>
        <v>1</v>
      </c>
      <c r="K1740" s="65">
        <v>43669</v>
      </c>
      <c r="L1740" s="86"/>
      <c r="M1740" s="8"/>
      <c r="N1740" s="9"/>
      <c r="O1740" s="10"/>
      <c r="P1740" s="11">
        <f t="shared" si="763"/>
        <v>0</v>
      </c>
      <c r="Q1740" s="12"/>
      <c r="R1740" s="9"/>
      <c r="S1740" s="10"/>
      <c r="T1740" s="11">
        <f t="shared" si="764"/>
        <v>0</v>
      </c>
      <c r="U1740" s="11">
        <f t="shared" si="758"/>
        <v>0</v>
      </c>
      <c r="W1740" s="86"/>
      <c r="X1740" s="8"/>
      <c r="Y1740" s="9"/>
      <c r="Z1740" s="10"/>
      <c r="AA1740" s="11">
        <f t="shared" si="765"/>
        <v>0</v>
      </c>
      <c r="AB1740" s="12"/>
      <c r="AC1740" s="9"/>
      <c r="AD1740" s="10"/>
      <c r="AE1740" s="11">
        <f t="shared" si="766"/>
        <v>0</v>
      </c>
      <c r="AF1740" s="11">
        <f t="shared" si="767"/>
        <v>0</v>
      </c>
    </row>
    <row r="1741" spans="1:33" x14ac:dyDescent="0.15">
      <c r="A1741" s="29" t="s">
        <v>67</v>
      </c>
      <c r="B1741" s="8"/>
      <c r="C1741" s="9"/>
      <c r="D1741" s="10">
        <v>1</v>
      </c>
      <c r="E1741" s="11">
        <f t="shared" si="768"/>
        <v>1</v>
      </c>
      <c r="F1741" s="12"/>
      <c r="G1741" s="9"/>
      <c r="H1741" s="10">
        <v>1</v>
      </c>
      <c r="I1741" s="11">
        <f t="shared" si="771"/>
        <v>1</v>
      </c>
      <c r="J1741" s="11">
        <f t="shared" si="770"/>
        <v>2</v>
      </c>
      <c r="K1741" s="65">
        <v>43671</v>
      </c>
      <c r="L1741" s="29"/>
      <c r="M1741" s="8"/>
      <c r="N1741" s="9"/>
      <c r="O1741" s="10"/>
      <c r="P1741" s="11">
        <f t="shared" si="763"/>
        <v>0</v>
      </c>
      <c r="Q1741" s="12"/>
      <c r="R1741" s="9"/>
      <c r="S1741" s="10"/>
      <c r="T1741" s="11">
        <f t="shared" si="764"/>
        <v>0</v>
      </c>
      <c r="U1741" s="11">
        <f t="shared" si="758"/>
        <v>0</v>
      </c>
      <c r="W1741" s="29"/>
      <c r="X1741" s="8"/>
      <c r="Y1741" s="9"/>
      <c r="Z1741" s="10"/>
      <c r="AA1741" s="11">
        <f t="shared" si="765"/>
        <v>0</v>
      </c>
      <c r="AB1741" s="12"/>
      <c r="AC1741" s="9"/>
      <c r="AD1741" s="10"/>
      <c r="AE1741" s="11">
        <f t="shared" si="766"/>
        <v>0</v>
      </c>
      <c r="AF1741" s="11">
        <f t="shared" si="767"/>
        <v>0</v>
      </c>
    </row>
    <row r="1742" spans="1:33" x14ac:dyDescent="0.15">
      <c r="A1742" s="29" t="s">
        <v>67</v>
      </c>
      <c r="B1742" s="13"/>
      <c r="C1742" s="14"/>
      <c r="D1742" s="15"/>
      <c r="E1742" s="11">
        <f t="shared" si="759"/>
        <v>0</v>
      </c>
      <c r="F1742" s="16">
        <v>1</v>
      </c>
      <c r="G1742" s="14"/>
      <c r="H1742" s="15"/>
      <c r="I1742" s="11">
        <f t="shared" ref="I1742:I1759" si="772">SUM(F1742:H1742)</f>
        <v>1</v>
      </c>
      <c r="J1742" s="11">
        <f t="shared" si="760"/>
        <v>1</v>
      </c>
      <c r="K1742" s="65">
        <v>43672</v>
      </c>
      <c r="L1742" s="29"/>
      <c r="M1742" s="8"/>
      <c r="N1742" s="9"/>
      <c r="O1742" s="10"/>
      <c r="P1742" s="11">
        <f t="shared" si="763"/>
        <v>0</v>
      </c>
      <c r="Q1742" s="12"/>
      <c r="R1742" s="9"/>
      <c r="S1742" s="10"/>
      <c r="T1742" s="11">
        <f t="shared" si="764"/>
        <v>0</v>
      </c>
      <c r="U1742" s="11">
        <f t="shared" si="758"/>
        <v>0</v>
      </c>
      <c r="W1742" s="29"/>
      <c r="X1742" s="8"/>
      <c r="Y1742" s="9"/>
      <c r="Z1742" s="10"/>
      <c r="AA1742" s="11">
        <f t="shared" si="765"/>
        <v>0</v>
      </c>
      <c r="AB1742" s="12"/>
      <c r="AC1742" s="9"/>
      <c r="AD1742" s="10"/>
      <c r="AE1742" s="11">
        <f t="shared" si="766"/>
        <v>0</v>
      </c>
      <c r="AF1742" s="11">
        <f t="shared" si="767"/>
        <v>0</v>
      </c>
    </row>
    <row r="1743" spans="1:33" x14ac:dyDescent="0.15">
      <c r="A1743" s="29" t="s">
        <v>67</v>
      </c>
      <c r="B1743" s="13"/>
      <c r="C1743" s="14"/>
      <c r="D1743" s="15"/>
      <c r="E1743" s="11">
        <f t="shared" si="759"/>
        <v>0</v>
      </c>
      <c r="F1743" s="16">
        <v>2</v>
      </c>
      <c r="G1743" s="14"/>
      <c r="H1743" s="15"/>
      <c r="I1743" s="11">
        <f t="shared" si="772"/>
        <v>2</v>
      </c>
      <c r="J1743" s="11">
        <f t="shared" si="760"/>
        <v>2</v>
      </c>
      <c r="K1743" s="65">
        <v>43679</v>
      </c>
      <c r="L1743" s="29"/>
      <c r="M1743" s="13"/>
      <c r="N1743" s="14"/>
      <c r="O1743" s="15"/>
      <c r="P1743" s="11">
        <f t="shared" si="763"/>
        <v>0</v>
      </c>
      <c r="Q1743" s="16"/>
      <c r="R1743" s="14"/>
      <c r="S1743" s="15"/>
      <c r="T1743" s="11">
        <f t="shared" si="764"/>
        <v>0</v>
      </c>
      <c r="U1743" s="11">
        <f t="shared" si="758"/>
        <v>0</v>
      </c>
      <c r="W1743" s="29"/>
      <c r="X1743" s="13"/>
      <c r="Y1743" s="14"/>
      <c r="Z1743" s="15"/>
      <c r="AA1743" s="11">
        <f t="shared" si="765"/>
        <v>0</v>
      </c>
      <c r="AB1743" s="16"/>
      <c r="AC1743" s="14"/>
      <c r="AD1743" s="15"/>
      <c r="AE1743" s="11">
        <f t="shared" si="766"/>
        <v>0</v>
      </c>
      <c r="AF1743" s="11">
        <f t="shared" si="767"/>
        <v>0</v>
      </c>
    </row>
    <row r="1744" spans="1:33" x14ac:dyDescent="0.15">
      <c r="A1744" s="29" t="s">
        <v>67</v>
      </c>
      <c r="B1744" s="8"/>
      <c r="C1744" s="9">
        <v>1</v>
      </c>
      <c r="D1744" s="10"/>
      <c r="E1744" s="11">
        <f t="shared" si="759"/>
        <v>1</v>
      </c>
      <c r="F1744" s="12"/>
      <c r="G1744" s="9">
        <v>1</v>
      </c>
      <c r="H1744" s="10"/>
      <c r="I1744" s="11">
        <f t="shared" si="772"/>
        <v>1</v>
      </c>
      <c r="J1744" s="11">
        <f t="shared" si="760"/>
        <v>2</v>
      </c>
      <c r="K1744" s="65">
        <v>43685</v>
      </c>
      <c r="L1744" s="29"/>
      <c r="M1744" s="8"/>
      <c r="N1744" s="9"/>
      <c r="O1744" s="10"/>
      <c r="P1744" s="11">
        <f t="shared" si="763"/>
        <v>0</v>
      </c>
      <c r="Q1744" s="12"/>
      <c r="R1744" s="9"/>
      <c r="S1744" s="10"/>
      <c r="T1744" s="11">
        <f t="shared" si="764"/>
        <v>0</v>
      </c>
      <c r="U1744" s="11">
        <f t="shared" si="758"/>
        <v>0</v>
      </c>
      <c r="W1744" s="29"/>
      <c r="X1744" s="8"/>
      <c r="Y1744" s="9"/>
      <c r="Z1744" s="10"/>
      <c r="AA1744" s="11">
        <f t="shared" si="765"/>
        <v>0</v>
      </c>
      <c r="AB1744" s="12"/>
      <c r="AC1744" s="9"/>
      <c r="AD1744" s="10"/>
      <c r="AE1744" s="11">
        <f t="shared" si="766"/>
        <v>0</v>
      </c>
      <c r="AF1744" s="11">
        <f t="shared" si="767"/>
        <v>0</v>
      </c>
    </row>
    <row r="1745" spans="1:33" x14ac:dyDescent="0.15">
      <c r="A1745" s="29" t="s">
        <v>67</v>
      </c>
      <c r="B1745" s="8"/>
      <c r="C1745" s="9">
        <v>1</v>
      </c>
      <c r="D1745" s="10"/>
      <c r="E1745" s="11">
        <f t="shared" si="759"/>
        <v>1</v>
      </c>
      <c r="F1745" s="12"/>
      <c r="G1745" s="9"/>
      <c r="H1745" s="10"/>
      <c r="I1745" s="11">
        <f t="shared" si="772"/>
        <v>0</v>
      </c>
      <c r="J1745" s="11">
        <f t="shared" si="760"/>
        <v>1</v>
      </c>
      <c r="K1745" s="65">
        <v>43686</v>
      </c>
      <c r="L1745" s="29"/>
      <c r="M1745" s="8"/>
      <c r="N1745" s="9"/>
      <c r="O1745" s="10"/>
      <c r="P1745" s="11">
        <f t="shared" si="763"/>
        <v>0</v>
      </c>
      <c r="Q1745" s="12"/>
      <c r="R1745" s="9"/>
      <c r="S1745" s="10"/>
      <c r="T1745" s="11">
        <f t="shared" si="764"/>
        <v>0</v>
      </c>
      <c r="U1745" s="11">
        <f t="shared" si="758"/>
        <v>0</v>
      </c>
      <c r="W1745" s="29"/>
      <c r="X1745" s="8"/>
      <c r="Y1745" s="9"/>
      <c r="Z1745" s="10"/>
      <c r="AA1745" s="11">
        <f t="shared" si="765"/>
        <v>0</v>
      </c>
      <c r="AB1745" s="12"/>
      <c r="AC1745" s="9"/>
      <c r="AD1745" s="10"/>
      <c r="AE1745" s="11">
        <f t="shared" si="766"/>
        <v>0</v>
      </c>
      <c r="AF1745" s="11">
        <f t="shared" si="767"/>
        <v>0</v>
      </c>
    </row>
    <row r="1746" spans="1:33" x14ac:dyDescent="0.15">
      <c r="A1746" s="29" t="s">
        <v>67</v>
      </c>
      <c r="B1746" s="8"/>
      <c r="C1746" s="9"/>
      <c r="D1746" s="10">
        <v>1</v>
      </c>
      <c r="E1746" s="11">
        <f t="shared" si="759"/>
        <v>1</v>
      </c>
      <c r="F1746" s="12"/>
      <c r="G1746" s="9"/>
      <c r="H1746" s="10">
        <v>1</v>
      </c>
      <c r="I1746" s="11">
        <f t="shared" si="772"/>
        <v>1</v>
      </c>
      <c r="J1746" s="11">
        <f t="shared" si="760"/>
        <v>2</v>
      </c>
      <c r="K1746" s="65">
        <v>43703</v>
      </c>
      <c r="L1746" s="27"/>
      <c r="M1746" s="8"/>
      <c r="N1746" s="9"/>
      <c r="O1746" s="10"/>
      <c r="P1746" s="11">
        <f t="shared" si="763"/>
        <v>0</v>
      </c>
      <c r="Q1746" s="12"/>
      <c r="R1746" s="9"/>
      <c r="S1746" s="10"/>
      <c r="T1746" s="11">
        <f t="shared" si="764"/>
        <v>0</v>
      </c>
      <c r="U1746" s="11">
        <f t="shared" si="758"/>
        <v>0</v>
      </c>
      <c r="W1746" s="27"/>
      <c r="X1746" s="8"/>
      <c r="Y1746" s="9"/>
      <c r="Z1746" s="10"/>
      <c r="AA1746" s="11">
        <f t="shared" si="765"/>
        <v>0</v>
      </c>
      <c r="AB1746" s="12"/>
      <c r="AC1746" s="9"/>
      <c r="AD1746" s="10"/>
      <c r="AE1746" s="11">
        <f t="shared" si="766"/>
        <v>0</v>
      </c>
      <c r="AF1746" s="11">
        <f t="shared" si="767"/>
        <v>0</v>
      </c>
    </row>
    <row r="1747" spans="1:33" x14ac:dyDescent="0.15">
      <c r="A1747" s="29" t="s">
        <v>67</v>
      </c>
      <c r="B1747" s="8"/>
      <c r="C1747" s="9"/>
      <c r="D1747" s="10">
        <v>1</v>
      </c>
      <c r="E1747" s="11">
        <f t="shared" si="759"/>
        <v>1</v>
      </c>
      <c r="F1747" s="12"/>
      <c r="G1747" s="9"/>
      <c r="H1747" s="10"/>
      <c r="I1747" s="11">
        <f t="shared" si="772"/>
        <v>0</v>
      </c>
      <c r="J1747" s="11">
        <f t="shared" si="760"/>
        <v>1</v>
      </c>
      <c r="K1747" s="65">
        <v>43710</v>
      </c>
      <c r="L1747" s="29"/>
      <c r="M1747" s="8"/>
      <c r="N1747" s="9"/>
      <c r="O1747" s="10"/>
      <c r="P1747" s="11">
        <f t="shared" si="763"/>
        <v>0</v>
      </c>
      <c r="Q1747" s="12"/>
      <c r="R1747" s="9"/>
      <c r="S1747" s="10"/>
      <c r="T1747" s="11">
        <f t="shared" si="764"/>
        <v>0</v>
      </c>
      <c r="U1747" s="11">
        <f t="shared" si="758"/>
        <v>0</v>
      </c>
      <c r="W1747" s="29"/>
      <c r="X1747" s="8"/>
      <c r="Y1747" s="9"/>
      <c r="Z1747" s="10"/>
      <c r="AA1747" s="11">
        <f t="shared" si="765"/>
        <v>0</v>
      </c>
      <c r="AB1747" s="12"/>
      <c r="AC1747" s="9"/>
      <c r="AD1747" s="10"/>
      <c r="AE1747" s="11">
        <f t="shared" si="766"/>
        <v>0</v>
      </c>
      <c r="AF1747" s="11">
        <f t="shared" si="767"/>
        <v>0</v>
      </c>
    </row>
    <row r="1748" spans="1:33" x14ac:dyDescent="0.15">
      <c r="A1748" s="27"/>
      <c r="B1748" s="8"/>
      <c r="C1748" s="9"/>
      <c r="D1748" s="10"/>
      <c r="E1748" s="11">
        <f t="shared" si="759"/>
        <v>0</v>
      </c>
      <c r="F1748" s="12"/>
      <c r="G1748" s="9"/>
      <c r="H1748" s="10"/>
      <c r="I1748" s="11">
        <f t="shared" si="772"/>
        <v>0</v>
      </c>
      <c r="J1748" s="11">
        <f t="shared" si="760"/>
        <v>0</v>
      </c>
      <c r="K1748" s="65"/>
      <c r="L1748" s="29"/>
      <c r="M1748" s="8"/>
      <c r="N1748" s="9"/>
      <c r="O1748" s="10"/>
      <c r="P1748" s="11">
        <f t="shared" si="763"/>
        <v>0</v>
      </c>
      <c r="Q1748" s="12"/>
      <c r="R1748" s="9"/>
      <c r="S1748" s="10"/>
      <c r="T1748" s="11">
        <f t="shared" si="764"/>
        <v>0</v>
      </c>
      <c r="U1748" s="11">
        <f t="shared" si="758"/>
        <v>0</v>
      </c>
      <c r="W1748" s="29"/>
      <c r="X1748" s="8"/>
      <c r="Y1748" s="9"/>
      <c r="Z1748" s="10"/>
      <c r="AA1748" s="11">
        <f t="shared" si="765"/>
        <v>0</v>
      </c>
      <c r="AB1748" s="12"/>
      <c r="AC1748" s="9"/>
      <c r="AD1748" s="10"/>
      <c r="AE1748" s="11">
        <f t="shared" si="766"/>
        <v>0</v>
      </c>
      <c r="AF1748" s="11">
        <f t="shared" si="767"/>
        <v>0</v>
      </c>
    </row>
    <row r="1749" spans="1:33" x14ac:dyDescent="0.15">
      <c r="A1749" s="27"/>
      <c r="B1749" s="8"/>
      <c r="C1749" s="9"/>
      <c r="D1749" s="10"/>
      <c r="E1749" s="11">
        <f t="shared" si="759"/>
        <v>0</v>
      </c>
      <c r="F1749" s="12"/>
      <c r="G1749" s="9"/>
      <c r="H1749" s="10"/>
      <c r="I1749" s="11">
        <f t="shared" si="772"/>
        <v>0</v>
      </c>
      <c r="J1749" s="11">
        <f t="shared" si="760"/>
        <v>0</v>
      </c>
      <c r="K1749" s="65"/>
      <c r="L1749" s="27"/>
      <c r="M1749" s="8"/>
      <c r="N1749" s="9"/>
      <c r="O1749" s="10"/>
      <c r="P1749" s="11">
        <f t="shared" si="763"/>
        <v>0</v>
      </c>
      <c r="Q1749" s="12"/>
      <c r="R1749" s="9"/>
      <c r="S1749" s="10"/>
      <c r="T1749" s="11">
        <f t="shared" si="764"/>
        <v>0</v>
      </c>
      <c r="U1749" s="11">
        <f t="shared" si="758"/>
        <v>0</v>
      </c>
      <c r="W1749" s="27"/>
      <c r="X1749" s="8"/>
      <c r="Y1749" s="9"/>
      <c r="Z1749" s="10"/>
      <c r="AA1749" s="11">
        <f t="shared" si="765"/>
        <v>0</v>
      </c>
      <c r="AB1749" s="12"/>
      <c r="AC1749" s="9"/>
      <c r="AD1749" s="10"/>
      <c r="AE1749" s="11">
        <f t="shared" si="766"/>
        <v>0</v>
      </c>
      <c r="AF1749" s="11">
        <f t="shared" si="767"/>
        <v>0</v>
      </c>
    </row>
    <row r="1750" spans="1:33" x14ac:dyDescent="0.15">
      <c r="A1750" s="27"/>
      <c r="B1750" s="8"/>
      <c r="C1750" s="9"/>
      <c r="D1750" s="10"/>
      <c r="E1750" s="11">
        <f t="shared" si="759"/>
        <v>0</v>
      </c>
      <c r="F1750" s="12"/>
      <c r="G1750" s="9"/>
      <c r="H1750" s="10"/>
      <c r="I1750" s="11">
        <f t="shared" si="772"/>
        <v>0</v>
      </c>
      <c r="J1750" s="11">
        <f t="shared" si="760"/>
        <v>0</v>
      </c>
      <c r="K1750" s="65"/>
      <c r="L1750" s="29"/>
      <c r="M1750" s="8"/>
      <c r="N1750" s="9"/>
      <c r="O1750" s="10"/>
      <c r="P1750" s="11">
        <f t="shared" si="763"/>
        <v>0</v>
      </c>
      <c r="Q1750" s="12"/>
      <c r="R1750" s="9"/>
      <c r="S1750" s="10"/>
      <c r="T1750" s="11">
        <f t="shared" si="764"/>
        <v>0</v>
      </c>
      <c r="U1750" s="11">
        <f t="shared" si="758"/>
        <v>0</v>
      </c>
      <c r="W1750" s="29"/>
      <c r="X1750" s="8"/>
      <c r="Y1750" s="9"/>
      <c r="Z1750" s="10"/>
      <c r="AA1750" s="11">
        <f t="shared" si="765"/>
        <v>0</v>
      </c>
      <c r="AB1750" s="12"/>
      <c r="AC1750" s="9"/>
      <c r="AD1750" s="10"/>
      <c r="AE1750" s="11">
        <f t="shared" si="766"/>
        <v>0</v>
      </c>
      <c r="AF1750" s="11">
        <f t="shared" si="767"/>
        <v>0</v>
      </c>
    </row>
    <row r="1751" spans="1:33" x14ac:dyDescent="0.15">
      <c r="A1751" s="27"/>
      <c r="B1751" s="8"/>
      <c r="C1751" s="9"/>
      <c r="D1751" s="10"/>
      <c r="E1751" s="11">
        <f t="shared" si="759"/>
        <v>0</v>
      </c>
      <c r="F1751" s="12"/>
      <c r="G1751" s="9"/>
      <c r="H1751" s="10"/>
      <c r="I1751" s="11">
        <f t="shared" si="772"/>
        <v>0</v>
      </c>
      <c r="J1751" s="11">
        <f t="shared" si="760"/>
        <v>0</v>
      </c>
      <c r="K1751" s="65"/>
      <c r="L1751" s="27"/>
      <c r="M1751" s="8"/>
      <c r="N1751" s="9"/>
      <c r="O1751" s="10"/>
      <c r="P1751" s="11">
        <f t="shared" si="763"/>
        <v>0</v>
      </c>
      <c r="Q1751" s="12"/>
      <c r="R1751" s="9"/>
      <c r="S1751" s="10"/>
      <c r="T1751" s="11">
        <f t="shared" si="764"/>
        <v>0</v>
      </c>
      <c r="U1751" s="11">
        <f t="shared" si="758"/>
        <v>0</v>
      </c>
      <c r="W1751" s="27"/>
      <c r="X1751" s="8"/>
      <c r="Y1751" s="9"/>
      <c r="Z1751" s="10"/>
      <c r="AA1751" s="11">
        <f t="shared" si="765"/>
        <v>0</v>
      </c>
      <c r="AB1751" s="12"/>
      <c r="AC1751" s="9"/>
      <c r="AD1751" s="10"/>
      <c r="AE1751" s="11">
        <f t="shared" si="766"/>
        <v>0</v>
      </c>
      <c r="AF1751" s="11">
        <f t="shared" si="767"/>
        <v>0</v>
      </c>
    </row>
    <row r="1752" spans="1:33" x14ac:dyDescent="0.15">
      <c r="A1752" s="86"/>
      <c r="B1752" s="8"/>
      <c r="C1752" s="9"/>
      <c r="D1752" s="10"/>
      <c r="E1752" s="11">
        <f t="shared" si="759"/>
        <v>0</v>
      </c>
      <c r="F1752" s="12"/>
      <c r="G1752" s="9"/>
      <c r="H1752" s="10"/>
      <c r="I1752" s="11">
        <f t="shared" si="772"/>
        <v>0</v>
      </c>
      <c r="J1752" s="11">
        <f t="shared" si="760"/>
        <v>0</v>
      </c>
      <c r="K1752" s="65"/>
      <c r="L1752" s="26"/>
      <c r="M1752" s="8"/>
      <c r="N1752" s="9"/>
      <c r="O1752" s="10"/>
      <c r="P1752" s="11">
        <f t="shared" si="763"/>
        <v>0</v>
      </c>
      <c r="Q1752" s="12"/>
      <c r="R1752" s="9"/>
      <c r="S1752" s="10"/>
      <c r="T1752" s="11">
        <f t="shared" si="764"/>
        <v>0</v>
      </c>
      <c r="U1752" s="11">
        <f t="shared" si="758"/>
        <v>0</v>
      </c>
      <c r="W1752" s="26"/>
      <c r="X1752" s="8"/>
      <c r="Y1752" s="9"/>
      <c r="Z1752" s="10"/>
      <c r="AA1752" s="11">
        <f t="shared" si="765"/>
        <v>0</v>
      </c>
      <c r="AB1752" s="12"/>
      <c r="AC1752" s="9"/>
      <c r="AD1752" s="10"/>
      <c r="AE1752" s="11">
        <f t="shared" si="766"/>
        <v>0</v>
      </c>
      <c r="AF1752" s="11">
        <f t="shared" si="767"/>
        <v>0</v>
      </c>
    </row>
    <row r="1753" spans="1:33" x14ac:dyDescent="0.15">
      <c r="A1753" s="86"/>
      <c r="B1753" s="8"/>
      <c r="C1753" s="9"/>
      <c r="D1753" s="10"/>
      <c r="E1753" s="11">
        <f t="shared" si="759"/>
        <v>0</v>
      </c>
      <c r="F1753" s="12"/>
      <c r="G1753" s="9"/>
      <c r="H1753" s="10"/>
      <c r="I1753" s="11">
        <f t="shared" si="772"/>
        <v>0</v>
      </c>
      <c r="J1753" s="11">
        <f t="shared" si="760"/>
        <v>0</v>
      </c>
      <c r="K1753" s="65"/>
      <c r="L1753" s="26"/>
      <c r="M1753" s="8"/>
      <c r="N1753" s="9"/>
      <c r="O1753" s="10"/>
      <c r="P1753" s="11">
        <f t="shared" si="763"/>
        <v>0</v>
      </c>
      <c r="Q1753" s="12"/>
      <c r="R1753" s="9"/>
      <c r="S1753" s="10"/>
      <c r="T1753" s="11">
        <f t="shared" si="764"/>
        <v>0</v>
      </c>
      <c r="U1753" s="11">
        <f t="shared" si="758"/>
        <v>0</v>
      </c>
      <c r="W1753" s="26"/>
      <c r="X1753" s="8"/>
      <c r="Y1753" s="9"/>
      <c r="Z1753" s="10"/>
      <c r="AA1753" s="11">
        <f t="shared" si="765"/>
        <v>0</v>
      </c>
      <c r="AB1753" s="12"/>
      <c r="AC1753" s="9"/>
      <c r="AD1753" s="10"/>
      <c r="AE1753" s="11">
        <f t="shared" si="766"/>
        <v>0</v>
      </c>
      <c r="AF1753" s="11">
        <f t="shared" si="767"/>
        <v>0</v>
      </c>
    </row>
    <row r="1754" spans="1:33" x14ac:dyDescent="0.15">
      <c r="A1754" s="86"/>
      <c r="B1754" s="8"/>
      <c r="C1754" s="9"/>
      <c r="D1754" s="10"/>
      <c r="E1754" s="11">
        <f t="shared" si="759"/>
        <v>0</v>
      </c>
      <c r="F1754" s="12"/>
      <c r="G1754" s="9"/>
      <c r="H1754" s="10"/>
      <c r="I1754" s="11">
        <f t="shared" si="772"/>
        <v>0</v>
      </c>
      <c r="J1754" s="11">
        <f t="shared" si="760"/>
        <v>0</v>
      </c>
      <c r="K1754" s="65"/>
      <c r="L1754" s="27"/>
      <c r="M1754" s="8"/>
      <c r="N1754" s="9"/>
      <c r="O1754" s="10"/>
      <c r="P1754" s="11">
        <f t="shared" si="763"/>
        <v>0</v>
      </c>
      <c r="Q1754" s="12"/>
      <c r="R1754" s="9"/>
      <c r="S1754" s="10"/>
      <c r="T1754" s="11">
        <f t="shared" si="764"/>
        <v>0</v>
      </c>
      <c r="U1754" s="11">
        <f t="shared" si="758"/>
        <v>0</v>
      </c>
      <c r="W1754" s="27"/>
      <c r="X1754" s="8"/>
      <c r="Y1754" s="9"/>
      <c r="Z1754" s="10"/>
      <c r="AA1754" s="11">
        <f t="shared" si="765"/>
        <v>0</v>
      </c>
      <c r="AB1754" s="12"/>
      <c r="AC1754" s="9"/>
      <c r="AD1754" s="10"/>
      <c r="AE1754" s="11">
        <f t="shared" si="766"/>
        <v>0</v>
      </c>
      <c r="AF1754" s="11">
        <f t="shared" si="767"/>
        <v>0</v>
      </c>
    </row>
    <row r="1755" spans="1:33" x14ac:dyDescent="0.15">
      <c r="A1755" s="86"/>
      <c r="B1755" s="13"/>
      <c r="C1755" s="14"/>
      <c r="D1755" s="15"/>
      <c r="E1755" s="11">
        <f t="shared" si="759"/>
        <v>0</v>
      </c>
      <c r="F1755" s="16"/>
      <c r="G1755" s="14"/>
      <c r="H1755" s="15"/>
      <c r="I1755" s="11">
        <f t="shared" si="772"/>
        <v>0</v>
      </c>
      <c r="J1755" s="11">
        <f t="shared" si="760"/>
        <v>0</v>
      </c>
      <c r="K1755" s="65"/>
      <c r="L1755" s="27"/>
      <c r="M1755" s="13"/>
      <c r="N1755" s="14"/>
      <c r="O1755" s="15"/>
      <c r="P1755" s="11">
        <f t="shared" si="763"/>
        <v>0</v>
      </c>
      <c r="Q1755" s="16"/>
      <c r="R1755" s="14"/>
      <c r="S1755" s="15"/>
      <c r="T1755" s="11">
        <f t="shared" si="764"/>
        <v>0</v>
      </c>
      <c r="U1755" s="11">
        <f t="shared" si="758"/>
        <v>0</v>
      </c>
      <c r="W1755" s="27"/>
      <c r="X1755" s="13"/>
      <c r="Y1755" s="14"/>
      <c r="Z1755" s="15"/>
      <c r="AA1755" s="11">
        <f t="shared" si="765"/>
        <v>0</v>
      </c>
      <c r="AB1755" s="16"/>
      <c r="AC1755" s="14"/>
      <c r="AD1755" s="15"/>
      <c r="AE1755" s="11">
        <f t="shared" si="766"/>
        <v>0</v>
      </c>
      <c r="AF1755" s="11">
        <f t="shared" si="767"/>
        <v>0</v>
      </c>
    </row>
    <row r="1756" spans="1:33" x14ac:dyDescent="0.15">
      <c r="A1756" s="27"/>
      <c r="B1756" s="8"/>
      <c r="C1756" s="9"/>
      <c r="D1756" s="10"/>
      <c r="E1756" s="11">
        <f t="shared" si="759"/>
        <v>0</v>
      </c>
      <c r="F1756" s="12"/>
      <c r="G1756" s="9"/>
      <c r="H1756" s="10"/>
      <c r="I1756" s="11">
        <f t="shared" si="772"/>
        <v>0</v>
      </c>
      <c r="J1756" s="11">
        <f t="shared" si="760"/>
        <v>0</v>
      </c>
      <c r="K1756" s="65"/>
      <c r="L1756" s="86"/>
      <c r="M1756" s="13"/>
      <c r="N1756" s="14"/>
      <c r="O1756" s="15"/>
      <c r="P1756" s="11">
        <f t="shared" si="763"/>
        <v>0</v>
      </c>
      <c r="Q1756" s="16"/>
      <c r="R1756" s="14"/>
      <c r="S1756" s="15"/>
      <c r="T1756" s="11">
        <f t="shared" si="764"/>
        <v>0</v>
      </c>
      <c r="U1756" s="11">
        <f t="shared" si="758"/>
        <v>0</v>
      </c>
      <c r="W1756" s="86"/>
      <c r="X1756" s="13"/>
      <c r="Y1756" s="14"/>
      <c r="Z1756" s="15"/>
      <c r="AA1756" s="11">
        <f t="shared" si="765"/>
        <v>0</v>
      </c>
      <c r="AB1756" s="16"/>
      <c r="AC1756" s="14"/>
      <c r="AD1756" s="15"/>
      <c r="AE1756" s="11">
        <f t="shared" si="766"/>
        <v>0</v>
      </c>
      <c r="AF1756" s="11">
        <f t="shared" si="767"/>
        <v>0</v>
      </c>
    </row>
    <row r="1757" spans="1:33" x14ac:dyDescent="0.15">
      <c r="A1757" s="27"/>
      <c r="B1757" s="8"/>
      <c r="C1757" s="9"/>
      <c r="D1757" s="10"/>
      <c r="E1757" s="11">
        <f t="shared" si="759"/>
        <v>0</v>
      </c>
      <c r="F1757" s="12"/>
      <c r="G1757" s="9"/>
      <c r="H1757" s="10"/>
      <c r="I1757" s="11">
        <f t="shared" si="772"/>
        <v>0</v>
      </c>
      <c r="J1757" s="11">
        <f t="shared" si="760"/>
        <v>0</v>
      </c>
      <c r="K1757" s="65"/>
      <c r="L1757" s="86"/>
      <c r="M1757" s="13"/>
      <c r="N1757" s="14"/>
      <c r="O1757" s="15"/>
      <c r="P1757" s="11">
        <f t="shared" si="763"/>
        <v>0</v>
      </c>
      <c r="Q1757" s="16"/>
      <c r="R1757" s="14"/>
      <c r="S1757" s="15"/>
      <c r="T1757" s="11">
        <f t="shared" si="764"/>
        <v>0</v>
      </c>
      <c r="U1757" s="11">
        <f t="shared" si="758"/>
        <v>0</v>
      </c>
      <c r="W1757" s="86"/>
      <c r="X1757" s="13"/>
      <c r="Y1757" s="14"/>
      <c r="Z1757" s="15"/>
      <c r="AA1757" s="11">
        <f t="shared" si="765"/>
        <v>0</v>
      </c>
      <c r="AB1757" s="16"/>
      <c r="AC1757" s="14"/>
      <c r="AD1757" s="15"/>
      <c r="AE1757" s="11">
        <f t="shared" si="766"/>
        <v>0</v>
      </c>
      <c r="AF1757" s="11">
        <f t="shared" si="767"/>
        <v>0</v>
      </c>
    </row>
    <row r="1758" spans="1:33" x14ac:dyDescent="0.15">
      <c r="A1758" s="29"/>
      <c r="B1758" s="8"/>
      <c r="C1758" s="9"/>
      <c r="D1758" s="10"/>
      <c r="E1758" s="11">
        <f t="shared" si="759"/>
        <v>0</v>
      </c>
      <c r="F1758" s="12"/>
      <c r="G1758" s="9"/>
      <c r="H1758" s="10"/>
      <c r="I1758" s="11">
        <f t="shared" si="772"/>
        <v>0</v>
      </c>
      <c r="J1758" s="11">
        <f t="shared" si="760"/>
        <v>0</v>
      </c>
      <c r="K1758" s="64"/>
      <c r="L1758" s="86"/>
      <c r="M1758" s="13"/>
      <c r="N1758" s="14"/>
      <c r="O1758" s="15"/>
      <c r="P1758" s="11">
        <f t="shared" si="763"/>
        <v>0</v>
      </c>
      <c r="Q1758" s="16"/>
      <c r="R1758" s="14"/>
      <c r="S1758" s="15"/>
      <c r="T1758" s="11">
        <f t="shared" si="764"/>
        <v>0</v>
      </c>
      <c r="U1758" s="11">
        <f t="shared" si="758"/>
        <v>0</v>
      </c>
      <c r="W1758" s="86"/>
      <c r="X1758" s="13"/>
      <c r="Y1758" s="14"/>
      <c r="Z1758" s="15"/>
      <c r="AA1758" s="11">
        <f t="shared" si="765"/>
        <v>0</v>
      </c>
      <c r="AB1758" s="16"/>
      <c r="AC1758" s="14"/>
      <c r="AD1758" s="15"/>
      <c r="AE1758" s="11">
        <f t="shared" si="766"/>
        <v>0</v>
      </c>
      <c r="AF1758" s="11">
        <f t="shared" si="767"/>
        <v>0</v>
      </c>
      <c r="AG1758" s="64"/>
    </row>
    <row r="1759" spans="1:33" ht="14.25" thickBot="1" x14ac:dyDescent="0.2">
      <c r="A1759" s="29"/>
      <c r="B1759" s="8"/>
      <c r="C1759" s="9"/>
      <c r="D1759" s="10"/>
      <c r="E1759" s="11">
        <f t="shared" si="759"/>
        <v>0</v>
      </c>
      <c r="F1759" s="12"/>
      <c r="G1759" s="9"/>
      <c r="H1759" s="10"/>
      <c r="I1759" s="11">
        <f t="shared" si="772"/>
        <v>0</v>
      </c>
      <c r="J1759" s="11">
        <f t="shared" si="760"/>
        <v>0</v>
      </c>
      <c r="K1759" s="64"/>
      <c r="L1759" s="86"/>
      <c r="M1759" s="13"/>
      <c r="N1759" s="14"/>
      <c r="O1759" s="15"/>
      <c r="P1759" s="11">
        <f t="shared" si="763"/>
        <v>0</v>
      </c>
      <c r="Q1759" s="16"/>
      <c r="R1759" s="14"/>
      <c r="S1759" s="15"/>
      <c r="T1759" s="11">
        <f t="shared" si="764"/>
        <v>0</v>
      </c>
      <c r="U1759" s="11">
        <f t="shared" si="758"/>
        <v>0</v>
      </c>
      <c r="W1759" s="86"/>
      <c r="X1759" s="13"/>
      <c r="Y1759" s="14"/>
      <c r="Z1759" s="15"/>
      <c r="AA1759" s="11">
        <f t="shared" si="765"/>
        <v>0</v>
      </c>
      <c r="AB1759" s="16"/>
      <c r="AC1759" s="14"/>
      <c r="AD1759" s="15"/>
      <c r="AE1759" s="11">
        <f t="shared" si="766"/>
        <v>0</v>
      </c>
      <c r="AF1759" s="11">
        <f t="shared" si="767"/>
        <v>0</v>
      </c>
      <c r="AG1759" s="64"/>
    </row>
    <row r="1760" spans="1:33" ht="14.25" thickBot="1" x14ac:dyDescent="0.2">
      <c r="A1760" s="44" t="s">
        <v>13</v>
      </c>
      <c r="B1760" s="48">
        <f t="shared" ref="B1760:I1760" si="773">SUM(B1734:B1759)</f>
        <v>50</v>
      </c>
      <c r="C1760" s="49">
        <f t="shared" si="773"/>
        <v>53</v>
      </c>
      <c r="D1760" s="50">
        <f t="shared" si="773"/>
        <v>54</v>
      </c>
      <c r="E1760" s="46">
        <f t="shared" si="773"/>
        <v>157</v>
      </c>
      <c r="F1760" s="48">
        <f t="shared" si="773"/>
        <v>23</v>
      </c>
      <c r="G1760" s="49">
        <f t="shared" si="773"/>
        <v>17</v>
      </c>
      <c r="H1760" s="50">
        <f t="shared" si="773"/>
        <v>18</v>
      </c>
      <c r="I1760" s="46">
        <f t="shared" si="773"/>
        <v>58</v>
      </c>
      <c r="J1760" s="35">
        <f>E1760+I1760</f>
        <v>215</v>
      </c>
      <c r="L1760" s="44" t="s">
        <v>13</v>
      </c>
      <c r="M1760" s="48">
        <f t="shared" ref="M1760:T1760" si="774">SUM(M1734:M1759)</f>
        <v>7</v>
      </c>
      <c r="N1760" s="49">
        <f t="shared" si="774"/>
        <v>0</v>
      </c>
      <c r="O1760" s="50">
        <f t="shared" si="774"/>
        <v>5</v>
      </c>
      <c r="P1760" s="46">
        <f t="shared" si="774"/>
        <v>12</v>
      </c>
      <c r="Q1760" s="48">
        <f t="shared" si="774"/>
        <v>0</v>
      </c>
      <c r="R1760" s="49">
        <f t="shared" si="774"/>
        <v>0</v>
      </c>
      <c r="S1760" s="50">
        <f t="shared" si="774"/>
        <v>0</v>
      </c>
      <c r="T1760" s="46">
        <f t="shared" si="774"/>
        <v>0</v>
      </c>
      <c r="U1760" s="35">
        <f>P1760+T1760</f>
        <v>12</v>
      </c>
      <c r="W1760" s="44" t="s">
        <v>13</v>
      </c>
      <c r="X1760" s="48">
        <f t="shared" ref="X1760:AE1760" si="775">SUM(X1734:X1759)</f>
        <v>50</v>
      </c>
      <c r="Y1760" s="49">
        <f t="shared" si="775"/>
        <v>50</v>
      </c>
      <c r="Z1760" s="50">
        <f t="shared" si="775"/>
        <v>50</v>
      </c>
      <c r="AA1760" s="46">
        <f t="shared" si="775"/>
        <v>150</v>
      </c>
      <c r="AB1760" s="48">
        <f t="shared" si="775"/>
        <v>20</v>
      </c>
      <c r="AC1760" s="49">
        <f t="shared" si="775"/>
        <v>15</v>
      </c>
      <c r="AD1760" s="50">
        <f t="shared" si="775"/>
        <v>15</v>
      </c>
      <c r="AE1760" s="46">
        <f t="shared" si="775"/>
        <v>50</v>
      </c>
      <c r="AF1760" s="35">
        <f>AA1760+AE1760</f>
        <v>200</v>
      </c>
    </row>
    <row r="1761" spans="1:32" ht="14.25" thickBot="1" x14ac:dyDescent="0.2">
      <c r="A1761" s="23" t="s">
        <v>14</v>
      </c>
      <c r="B1761" s="24">
        <f t="shared" ref="B1761:J1761" si="776">B1733-B1760</f>
        <v>4</v>
      </c>
      <c r="C1761" s="25">
        <f t="shared" si="776"/>
        <v>2</v>
      </c>
      <c r="D1761" s="30">
        <f t="shared" si="776"/>
        <v>5</v>
      </c>
      <c r="E1761" s="51">
        <f t="shared" si="776"/>
        <v>11</v>
      </c>
      <c r="F1761" s="24">
        <f t="shared" si="776"/>
        <v>2</v>
      </c>
      <c r="G1761" s="25">
        <f t="shared" si="776"/>
        <v>3</v>
      </c>
      <c r="H1761" s="30">
        <f t="shared" si="776"/>
        <v>3</v>
      </c>
      <c r="I1761" s="47">
        <f t="shared" si="776"/>
        <v>8</v>
      </c>
      <c r="J1761" s="79">
        <f t="shared" si="776"/>
        <v>19</v>
      </c>
      <c r="L1761" s="23" t="s">
        <v>14</v>
      </c>
      <c r="M1761" s="24">
        <f t="shared" ref="M1761:U1761" si="777">M1733-M1760</f>
        <v>22</v>
      </c>
      <c r="N1761" s="25">
        <f t="shared" si="777"/>
        <v>31</v>
      </c>
      <c r="O1761" s="30">
        <f t="shared" si="777"/>
        <v>24</v>
      </c>
      <c r="P1761" s="51">
        <f t="shared" si="777"/>
        <v>77</v>
      </c>
      <c r="Q1761" s="24">
        <f t="shared" si="777"/>
        <v>35</v>
      </c>
      <c r="R1761" s="25">
        <f t="shared" si="777"/>
        <v>20</v>
      </c>
      <c r="S1761" s="30">
        <f t="shared" si="777"/>
        <v>25</v>
      </c>
      <c r="T1761" s="47">
        <f t="shared" si="777"/>
        <v>80</v>
      </c>
      <c r="U1761" s="79">
        <f t="shared" si="777"/>
        <v>157</v>
      </c>
      <c r="W1761" s="23" t="s">
        <v>14</v>
      </c>
      <c r="X1761" s="24">
        <f t="shared" ref="X1761:AF1761" si="778">X1733-X1760</f>
        <v>787</v>
      </c>
      <c r="Y1761" s="25">
        <f t="shared" si="778"/>
        <v>235</v>
      </c>
      <c r="Z1761" s="30">
        <f t="shared" si="778"/>
        <v>450</v>
      </c>
      <c r="AA1761" s="51">
        <f t="shared" si="778"/>
        <v>1472</v>
      </c>
      <c r="AB1761" s="24">
        <f t="shared" si="778"/>
        <v>404</v>
      </c>
      <c r="AC1761" s="25">
        <f t="shared" si="778"/>
        <v>345</v>
      </c>
      <c r="AD1761" s="30">
        <f t="shared" si="778"/>
        <v>549</v>
      </c>
      <c r="AE1761" s="47">
        <f t="shared" si="778"/>
        <v>1298</v>
      </c>
      <c r="AF1761" s="79">
        <f t="shared" si="778"/>
        <v>2770</v>
      </c>
    </row>
    <row r="1764" spans="1:32" ht="19.5" thickBot="1" x14ac:dyDescent="0.25">
      <c r="A1764" s="142" t="s">
        <v>850</v>
      </c>
      <c r="B1764" s="143"/>
      <c r="C1764" s="143"/>
      <c r="D1764" s="143"/>
      <c r="E1764" s="143"/>
      <c r="F1764" s="1"/>
      <c r="G1764" s="1"/>
      <c r="H1764" s="1"/>
      <c r="I1764" s="1"/>
      <c r="J1764" s="1"/>
      <c r="L1764" s="148" t="s">
        <v>851</v>
      </c>
      <c r="M1764" s="149"/>
      <c r="N1764" s="149"/>
      <c r="O1764" s="149"/>
      <c r="P1764" s="149"/>
      <c r="Q1764" s="2"/>
      <c r="R1764" s="1"/>
      <c r="S1764" s="1"/>
      <c r="T1764" s="1"/>
      <c r="U1764" s="1"/>
      <c r="W1764" s="150" t="s">
        <v>765</v>
      </c>
      <c r="X1764" s="151"/>
      <c r="Y1764" s="151"/>
      <c r="Z1764" s="151"/>
      <c r="AA1764" s="106"/>
      <c r="AB1764" s="1"/>
      <c r="AC1764" s="1"/>
      <c r="AD1764" s="1"/>
      <c r="AE1764" s="1"/>
      <c r="AF1764" s="1"/>
    </row>
    <row r="1765" spans="1:32" ht="14.25" thickBot="1" x14ac:dyDescent="0.2">
      <c r="A1765" s="7" t="s">
        <v>0</v>
      </c>
      <c r="B1765" s="168" t="s">
        <v>1</v>
      </c>
      <c r="C1765" s="169"/>
      <c r="D1765" s="169"/>
      <c r="E1765" s="170"/>
      <c r="F1765" s="168" t="s">
        <v>2</v>
      </c>
      <c r="G1765" s="169"/>
      <c r="H1765" s="169"/>
      <c r="I1765" s="171"/>
      <c r="J1765" s="172" t="s">
        <v>3</v>
      </c>
      <c r="L1765" s="7" t="s">
        <v>0</v>
      </c>
      <c r="M1765" s="174" t="s">
        <v>1</v>
      </c>
      <c r="N1765" s="175"/>
      <c r="O1765" s="176"/>
      <c r="P1765" s="101"/>
      <c r="Q1765" s="174" t="s">
        <v>2</v>
      </c>
      <c r="R1765" s="175"/>
      <c r="S1765" s="176"/>
      <c r="T1765" s="102"/>
      <c r="U1765" s="103" t="s">
        <v>3</v>
      </c>
      <c r="W1765" s="7" t="s">
        <v>0</v>
      </c>
      <c r="X1765" s="174" t="s">
        <v>1</v>
      </c>
      <c r="Y1765" s="175"/>
      <c r="Z1765" s="176"/>
      <c r="AA1765" s="101"/>
      <c r="AB1765" s="174" t="s">
        <v>2</v>
      </c>
      <c r="AC1765" s="175"/>
      <c r="AD1765" s="176"/>
      <c r="AE1765" s="102"/>
      <c r="AF1765" s="103" t="s">
        <v>3</v>
      </c>
    </row>
    <row r="1766" spans="1:32" ht="14.25" thickBot="1" x14ac:dyDescent="0.2">
      <c r="A1766" s="7" t="s">
        <v>4</v>
      </c>
      <c r="B1766" s="3" t="s">
        <v>5</v>
      </c>
      <c r="C1766" s="4" t="s">
        <v>6</v>
      </c>
      <c r="D1766" s="5" t="s">
        <v>7</v>
      </c>
      <c r="E1766" s="7" t="s">
        <v>8</v>
      </c>
      <c r="F1766" s="3" t="s">
        <v>5</v>
      </c>
      <c r="G1766" s="4" t="s">
        <v>6</v>
      </c>
      <c r="H1766" s="5" t="s">
        <v>7</v>
      </c>
      <c r="I1766" s="7" t="s">
        <v>8</v>
      </c>
      <c r="J1766" s="173"/>
      <c r="L1766" s="7" t="s">
        <v>4</v>
      </c>
      <c r="M1766" s="3" t="s">
        <v>5</v>
      </c>
      <c r="N1766" s="4" t="s">
        <v>6</v>
      </c>
      <c r="O1766" s="5" t="s">
        <v>7</v>
      </c>
      <c r="P1766" s="7" t="s">
        <v>8</v>
      </c>
      <c r="Q1766" s="107" t="s">
        <v>5</v>
      </c>
      <c r="R1766" s="108" t="s">
        <v>6</v>
      </c>
      <c r="S1766" s="109" t="s">
        <v>7</v>
      </c>
      <c r="T1766" s="7" t="s">
        <v>8</v>
      </c>
      <c r="U1766" s="104"/>
      <c r="W1766" s="7" t="s">
        <v>4</v>
      </c>
      <c r="X1766" s="3" t="s">
        <v>5</v>
      </c>
      <c r="Y1766" s="4" t="s">
        <v>6</v>
      </c>
      <c r="Z1766" s="5" t="s">
        <v>7</v>
      </c>
      <c r="AA1766" s="7" t="s">
        <v>8</v>
      </c>
      <c r="AB1766" s="107" t="s">
        <v>5</v>
      </c>
      <c r="AC1766" s="108" t="s">
        <v>6</v>
      </c>
      <c r="AD1766" s="109" t="s">
        <v>7</v>
      </c>
      <c r="AE1766" s="7" t="s">
        <v>8</v>
      </c>
      <c r="AF1766" s="104"/>
    </row>
    <row r="1767" spans="1:32" ht="14.25" thickBot="1" x14ac:dyDescent="0.2">
      <c r="A1767" s="31" t="s">
        <v>14</v>
      </c>
      <c r="B1767" s="32">
        <f>B1761</f>
        <v>4</v>
      </c>
      <c r="C1767" s="33">
        <f>C1761</f>
        <v>2</v>
      </c>
      <c r="D1767" s="34">
        <f>D1761</f>
        <v>5</v>
      </c>
      <c r="E1767" s="41">
        <f>SUM(B1767:D1767)</f>
        <v>11</v>
      </c>
      <c r="F1767" s="32">
        <f>F1761</f>
        <v>2</v>
      </c>
      <c r="G1767" s="33">
        <f>G1761</f>
        <v>3</v>
      </c>
      <c r="H1767" s="34">
        <f>H1761</f>
        <v>3</v>
      </c>
      <c r="I1767" s="41">
        <f>SUM(F1767:H1767)</f>
        <v>8</v>
      </c>
      <c r="J1767" s="41">
        <f>E1767+I1767</f>
        <v>19</v>
      </c>
      <c r="L1767" s="31" t="s">
        <v>14</v>
      </c>
      <c r="M1767" s="32">
        <f>M1761</f>
        <v>22</v>
      </c>
      <c r="N1767" s="33">
        <f>N1761</f>
        <v>31</v>
      </c>
      <c r="O1767" s="33">
        <f>O1761</f>
        <v>24</v>
      </c>
      <c r="P1767" s="111">
        <f>SUM(M1767:O1767)</f>
        <v>77</v>
      </c>
      <c r="Q1767" s="32">
        <f>Q1761</f>
        <v>35</v>
      </c>
      <c r="R1767" s="33">
        <f>R1761</f>
        <v>20</v>
      </c>
      <c r="S1767" s="95">
        <f>S1761</f>
        <v>25</v>
      </c>
      <c r="T1767" s="46">
        <f>SUM(Q1767:S1767)</f>
        <v>80</v>
      </c>
      <c r="U1767" s="35">
        <f>P1767+T1767</f>
        <v>157</v>
      </c>
      <c r="W1767" s="31" t="s">
        <v>14</v>
      </c>
      <c r="X1767" s="32">
        <f>X1761</f>
        <v>787</v>
      </c>
      <c r="Y1767" s="33">
        <f>Y1761</f>
        <v>235</v>
      </c>
      <c r="Z1767" s="33">
        <f>Z1761</f>
        <v>450</v>
      </c>
      <c r="AA1767" s="111">
        <f>SUM(X1767:Z1767)</f>
        <v>1472</v>
      </c>
      <c r="AB1767" s="32">
        <f>AB1761</f>
        <v>404</v>
      </c>
      <c r="AC1767" s="33">
        <f>AC1761</f>
        <v>345</v>
      </c>
      <c r="AD1767" s="95">
        <f>AD1761</f>
        <v>549</v>
      </c>
      <c r="AE1767" s="46">
        <f>SUM(AB1767:AD1767)</f>
        <v>1298</v>
      </c>
      <c r="AF1767" s="35">
        <f>AA1767+AE1767</f>
        <v>2770</v>
      </c>
    </row>
    <row r="1768" spans="1:32" x14ac:dyDescent="0.15">
      <c r="A1768" s="28" t="s">
        <v>418</v>
      </c>
      <c r="B1768" s="17">
        <v>22</v>
      </c>
      <c r="C1768" s="18">
        <v>24</v>
      </c>
      <c r="D1768" s="19">
        <v>17</v>
      </c>
      <c r="E1768" s="20">
        <f>SUM(B1768:D1768)</f>
        <v>63</v>
      </c>
      <c r="F1768" s="21">
        <v>8</v>
      </c>
      <c r="G1768" s="18">
        <v>12</v>
      </c>
      <c r="H1768" s="19">
        <v>11</v>
      </c>
      <c r="I1768" s="20">
        <f>SUM(F1768:H1768)</f>
        <v>31</v>
      </c>
      <c r="J1768" s="20">
        <f>E1768+I1768</f>
        <v>94</v>
      </c>
      <c r="K1768" s="65">
        <v>43711</v>
      </c>
      <c r="L1768" s="28" t="s">
        <v>9</v>
      </c>
      <c r="M1768" s="8"/>
      <c r="N1768" s="9"/>
      <c r="O1768" s="10"/>
      <c r="P1768" s="78">
        <f t="shared" ref="P1768:P1775" si="779">SUM(M1768:O1768)</f>
        <v>0</v>
      </c>
      <c r="Q1768" s="21"/>
      <c r="R1768" s="18"/>
      <c r="S1768" s="19"/>
      <c r="T1768" s="78">
        <f t="shared" ref="T1768:T1775" si="780">SUM(Q1768:S1768)</f>
        <v>0</v>
      </c>
      <c r="U1768" s="78">
        <f t="shared" ref="U1768:U1775" si="781">P1768+T1768</f>
        <v>0</v>
      </c>
      <c r="V1768" s="71"/>
      <c r="W1768" s="28" t="s">
        <v>9</v>
      </c>
      <c r="X1768" s="8"/>
      <c r="Y1768" s="9"/>
      <c r="Z1768" s="10"/>
      <c r="AA1768" s="78">
        <f t="shared" ref="AA1768:AA1775" si="782">SUM(X1768:Z1768)</f>
        <v>0</v>
      </c>
      <c r="AB1768" s="21"/>
      <c r="AC1768" s="18"/>
      <c r="AD1768" s="19"/>
      <c r="AE1768" s="78">
        <f t="shared" ref="AE1768:AE1775" si="783">SUM(AB1768:AD1768)</f>
        <v>0</v>
      </c>
      <c r="AF1768" s="78">
        <f t="shared" ref="AF1768:AF1775" si="784">AA1768+AE1768</f>
        <v>0</v>
      </c>
    </row>
    <row r="1769" spans="1:32" x14ac:dyDescent="0.15">
      <c r="A1769" s="28" t="s">
        <v>10</v>
      </c>
      <c r="B1769" s="8"/>
      <c r="C1769" s="9">
        <v>31</v>
      </c>
      <c r="D1769" s="10"/>
      <c r="E1769" s="11">
        <f t="shared" ref="E1769:E1775" si="785">SUM(B1769:D1769)</f>
        <v>31</v>
      </c>
      <c r="F1769" s="12">
        <v>30</v>
      </c>
      <c r="G1769" s="9"/>
      <c r="H1769" s="10">
        <v>20</v>
      </c>
      <c r="I1769" s="11">
        <f t="shared" ref="I1769:I1775" si="786">SUM(F1769:H1769)</f>
        <v>50</v>
      </c>
      <c r="J1769" s="11">
        <f t="shared" ref="J1769:J1775" si="787">E1769+I1769</f>
        <v>81</v>
      </c>
      <c r="K1769" s="65">
        <v>43712</v>
      </c>
      <c r="L1769" s="28" t="s">
        <v>10</v>
      </c>
      <c r="M1769" s="8"/>
      <c r="N1769" s="9"/>
      <c r="O1769" s="10"/>
      <c r="P1769" s="11">
        <f t="shared" si="779"/>
        <v>0</v>
      </c>
      <c r="Q1769" s="12"/>
      <c r="R1769" s="9"/>
      <c r="S1769" s="10"/>
      <c r="T1769" s="11">
        <f t="shared" si="780"/>
        <v>0</v>
      </c>
      <c r="U1769" s="11">
        <f t="shared" si="781"/>
        <v>0</v>
      </c>
      <c r="W1769" s="28" t="s">
        <v>10</v>
      </c>
      <c r="X1769" s="8"/>
      <c r="Y1769" s="9"/>
      <c r="Z1769" s="10"/>
      <c r="AA1769" s="11">
        <f t="shared" si="782"/>
        <v>0</v>
      </c>
      <c r="AB1769" s="12"/>
      <c r="AC1769" s="9"/>
      <c r="AD1769" s="10"/>
      <c r="AE1769" s="11">
        <f t="shared" si="783"/>
        <v>0</v>
      </c>
      <c r="AF1769" s="11">
        <f t="shared" si="784"/>
        <v>0</v>
      </c>
    </row>
    <row r="1770" spans="1:32" x14ac:dyDescent="0.15">
      <c r="A1770" s="28" t="s">
        <v>11</v>
      </c>
      <c r="B1770" s="8">
        <v>50</v>
      </c>
      <c r="C1770" s="9"/>
      <c r="D1770" s="10">
        <v>50</v>
      </c>
      <c r="E1770" s="11">
        <f t="shared" si="785"/>
        <v>100</v>
      </c>
      <c r="F1770" s="12"/>
      <c r="G1770" s="9">
        <v>50</v>
      </c>
      <c r="H1770" s="10"/>
      <c r="I1770" s="11">
        <f t="shared" si="786"/>
        <v>50</v>
      </c>
      <c r="J1770" s="11">
        <f t="shared" si="787"/>
        <v>150</v>
      </c>
      <c r="K1770" s="65">
        <v>43712</v>
      </c>
      <c r="L1770" s="28" t="s">
        <v>11</v>
      </c>
      <c r="M1770" s="8"/>
      <c r="N1770" s="9"/>
      <c r="O1770" s="10"/>
      <c r="P1770" s="11">
        <f t="shared" si="779"/>
        <v>0</v>
      </c>
      <c r="Q1770" s="12"/>
      <c r="R1770" s="9"/>
      <c r="S1770" s="10"/>
      <c r="T1770" s="11">
        <f t="shared" si="780"/>
        <v>0</v>
      </c>
      <c r="U1770" s="11">
        <f t="shared" si="781"/>
        <v>0</v>
      </c>
      <c r="W1770" s="28" t="s">
        <v>11</v>
      </c>
      <c r="X1770" s="8"/>
      <c r="Y1770" s="9"/>
      <c r="Z1770" s="10"/>
      <c r="AA1770" s="11">
        <f t="shared" si="782"/>
        <v>0</v>
      </c>
      <c r="AB1770" s="12"/>
      <c r="AC1770" s="9"/>
      <c r="AD1770" s="10"/>
      <c r="AE1770" s="11">
        <f t="shared" si="783"/>
        <v>0</v>
      </c>
      <c r="AF1770" s="11">
        <f t="shared" si="784"/>
        <v>0</v>
      </c>
    </row>
    <row r="1771" spans="1:32" x14ac:dyDescent="0.15">
      <c r="A1771" s="28" t="s">
        <v>12</v>
      </c>
      <c r="B1771" s="8"/>
      <c r="C1771" s="9">
        <v>50</v>
      </c>
      <c r="D1771" s="10"/>
      <c r="E1771" s="11">
        <f t="shared" si="785"/>
        <v>50</v>
      </c>
      <c r="F1771" s="12">
        <v>50</v>
      </c>
      <c r="G1771" s="9"/>
      <c r="H1771" s="10">
        <v>49</v>
      </c>
      <c r="I1771" s="11">
        <f t="shared" si="786"/>
        <v>99</v>
      </c>
      <c r="J1771" s="11">
        <f t="shared" si="787"/>
        <v>149</v>
      </c>
      <c r="K1771" s="65">
        <v>43713</v>
      </c>
      <c r="L1771" s="28" t="s">
        <v>12</v>
      </c>
      <c r="M1771" s="8"/>
      <c r="N1771" s="9"/>
      <c r="O1771" s="10"/>
      <c r="P1771" s="11">
        <f t="shared" si="779"/>
        <v>0</v>
      </c>
      <c r="Q1771" s="12"/>
      <c r="R1771" s="9"/>
      <c r="S1771" s="10"/>
      <c r="T1771" s="11">
        <f t="shared" si="780"/>
        <v>0</v>
      </c>
      <c r="U1771" s="11">
        <f t="shared" si="781"/>
        <v>0</v>
      </c>
      <c r="W1771" s="28" t="s">
        <v>12</v>
      </c>
      <c r="X1771" s="8"/>
      <c r="Y1771" s="9"/>
      <c r="Z1771" s="10"/>
      <c r="AA1771" s="11">
        <f t="shared" si="782"/>
        <v>0</v>
      </c>
      <c r="AB1771" s="12"/>
      <c r="AC1771" s="9"/>
      <c r="AD1771" s="10"/>
      <c r="AE1771" s="11">
        <f t="shared" si="783"/>
        <v>0</v>
      </c>
      <c r="AF1771" s="11">
        <f t="shared" si="784"/>
        <v>0</v>
      </c>
    </row>
    <row r="1772" spans="1:32" x14ac:dyDescent="0.15">
      <c r="A1772" s="28" t="s">
        <v>15</v>
      </c>
      <c r="B1772" s="8">
        <v>15</v>
      </c>
      <c r="C1772" s="9"/>
      <c r="D1772" s="10">
        <v>10</v>
      </c>
      <c r="E1772" s="11">
        <f t="shared" si="785"/>
        <v>25</v>
      </c>
      <c r="F1772" s="12"/>
      <c r="G1772" s="9"/>
      <c r="H1772" s="10"/>
      <c r="I1772" s="11">
        <f t="shared" si="786"/>
        <v>0</v>
      </c>
      <c r="J1772" s="11">
        <f t="shared" si="787"/>
        <v>25</v>
      </c>
      <c r="K1772" s="65">
        <v>43713</v>
      </c>
      <c r="L1772" s="28" t="s">
        <v>15</v>
      </c>
      <c r="M1772" s="8"/>
      <c r="N1772" s="9"/>
      <c r="O1772" s="10"/>
      <c r="P1772" s="11">
        <f t="shared" si="779"/>
        <v>0</v>
      </c>
      <c r="Q1772" s="12"/>
      <c r="R1772" s="9"/>
      <c r="S1772" s="10"/>
      <c r="T1772" s="11">
        <f t="shared" si="780"/>
        <v>0</v>
      </c>
      <c r="U1772" s="11">
        <f t="shared" si="781"/>
        <v>0</v>
      </c>
      <c r="W1772" s="28" t="s">
        <v>15</v>
      </c>
      <c r="X1772" s="8"/>
      <c r="Y1772" s="9"/>
      <c r="Z1772" s="10"/>
      <c r="AA1772" s="11">
        <f t="shared" si="782"/>
        <v>0</v>
      </c>
      <c r="AB1772" s="12"/>
      <c r="AC1772" s="9"/>
      <c r="AD1772" s="10"/>
      <c r="AE1772" s="11">
        <f t="shared" si="783"/>
        <v>0</v>
      </c>
      <c r="AF1772" s="11">
        <f t="shared" si="784"/>
        <v>0</v>
      </c>
    </row>
    <row r="1773" spans="1:32" x14ac:dyDescent="0.15">
      <c r="A1773" s="28" t="s">
        <v>16</v>
      </c>
      <c r="B1773" s="8"/>
      <c r="C1773" s="9"/>
      <c r="D1773" s="10"/>
      <c r="E1773" s="11">
        <f t="shared" si="785"/>
        <v>0</v>
      </c>
      <c r="F1773" s="12"/>
      <c r="G1773" s="9"/>
      <c r="H1773" s="10"/>
      <c r="I1773" s="11">
        <f t="shared" si="786"/>
        <v>0</v>
      </c>
      <c r="J1773" s="11">
        <f t="shared" si="787"/>
        <v>0</v>
      </c>
      <c r="K1773" s="65"/>
      <c r="L1773" s="28" t="s">
        <v>16</v>
      </c>
      <c r="M1773" s="8"/>
      <c r="N1773" s="9"/>
      <c r="O1773" s="10"/>
      <c r="P1773" s="11">
        <f t="shared" si="779"/>
        <v>0</v>
      </c>
      <c r="Q1773" s="12"/>
      <c r="R1773" s="9"/>
      <c r="S1773" s="10"/>
      <c r="T1773" s="11">
        <f t="shared" si="780"/>
        <v>0</v>
      </c>
      <c r="U1773" s="11">
        <f t="shared" si="781"/>
        <v>0</v>
      </c>
      <c r="W1773" s="28" t="s">
        <v>16</v>
      </c>
      <c r="X1773" s="8"/>
      <c r="Y1773" s="9"/>
      <c r="Z1773" s="10"/>
      <c r="AA1773" s="11">
        <f t="shared" si="782"/>
        <v>0</v>
      </c>
      <c r="AB1773" s="12"/>
      <c r="AC1773" s="9"/>
      <c r="AD1773" s="10"/>
      <c r="AE1773" s="11">
        <f t="shared" si="783"/>
        <v>0</v>
      </c>
      <c r="AF1773" s="11">
        <f t="shared" si="784"/>
        <v>0</v>
      </c>
    </row>
    <row r="1774" spans="1:32" x14ac:dyDescent="0.15">
      <c r="A1774" s="28" t="s">
        <v>17</v>
      </c>
      <c r="B1774" s="13"/>
      <c r="C1774" s="14"/>
      <c r="D1774" s="15"/>
      <c r="E1774" s="11">
        <f t="shared" si="785"/>
        <v>0</v>
      </c>
      <c r="F1774" s="16"/>
      <c r="G1774" s="14"/>
      <c r="H1774" s="15"/>
      <c r="I1774" s="11">
        <f t="shared" si="786"/>
        <v>0</v>
      </c>
      <c r="J1774" s="11">
        <f t="shared" si="787"/>
        <v>0</v>
      </c>
      <c r="K1774" s="65"/>
      <c r="L1774" s="28" t="s">
        <v>17</v>
      </c>
      <c r="M1774" s="8"/>
      <c r="N1774" s="9"/>
      <c r="O1774" s="10"/>
      <c r="P1774" s="11">
        <f t="shared" si="779"/>
        <v>0</v>
      </c>
      <c r="Q1774" s="12"/>
      <c r="R1774" s="12"/>
      <c r="S1774" s="87"/>
      <c r="T1774" s="11">
        <f t="shared" si="780"/>
        <v>0</v>
      </c>
      <c r="U1774" s="11">
        <f t="shared" si="781"/>
        <v>0</v>
      </c>
      <c r="W1774" s="28" t="s">
        <v>17</v>
      </c>
      <c r="X1774" s="8"/>
      <c r="Y1774" s="9"/>
      <c r="Z1774" s="10"/>
      <c r="AA1774" s="11">
        <f t="shared" si="782"/>
        <v>0</v>
      </c>
      <c r="AB1774" s="12"/>
      <c r="AC1774" s="12"/>
      <c r="AD1774" s="87"/>
      <c r="AE1774" s="11">
        <f t="shared" si="783"/>
        <v>0</v>
      </c>
      <c r="AF1774" s="11">
        <f t="shared" si="784"/>
        <v>0</v>
      </c>
    </row>
    <row r="1775" spans="1:32" ht="14.25" thickBot="1" x14ac:dyDescent="0.2">
      <c r="A1775" s="28" t="s">
        <v>18</v>
      </c>
      <c r="B1775" s="36"/>
      <c r="C1775" s="37"/>
      <c r="D1775" s="40"/>
      <c r="E1775" s="22">
        <f t="shared" si="785"/>
        <v>0</v>
      </c>
      <c r="F1775" s="38"/>
      <c r="G1775" s="38"/>
      <c r="H1775" s="43"/>
      <c r="I1775" s="22">
        <f t="shared" si="786"/>
        <v>0</v>
      </c>
      <c r="J1775" s="22">
        <f t="shared" si="787"/>
        <v>0</v>
      </c>
      <c r="L1775" s="28" t="s">
        <v>18</v>
      </c>
      <c r="M1775" s="127"/>
      <c r="N1775" s="128"/>
      <c r="O1775" s="129"/>
      <c r="P1775" s="130">
        <f t="shared" si="779"/>
        <v>0</v>
      </c>
      <c r="Q1775" s="131"/>
      <c r="R1775" s="131"/>
      <c r="S1775" s="132"/>
      <c r="T1775" s="130">
        <f t="shared" si="780"/>
        <v>0</v>
      </c>
      <c r="U1775" s="130">
        <f t="shared" si="781"/>
        <v>0</v>
      </c>
      <c r="W1775" s="28" t="s">
        <v>18</v>
      </c>
      <c r="X1775" s="127"/>
      <c r="Y1775" s="128"/>
      <c r="Z1775" s="129"/>
      <c r="AA1775" s="130">
        <f t="shared" si="782"/>
        <v>0</v>
      </c>
      <c r="AB1775" s="131"/>
      <c r="AC1775" s="131"/>
      <c r="AD1775" s="132"/>
      <c r="AE1775" s="130">
        <f t="shared" si="783"/>
        <v>0</v>
      </c>
      <c r="AF1775" s="130">
        <f t="shared" si="784"/>
        <v>0</v>
      </c>
    </row>
    <row r="1776" spans="1:32" ht="14.25" thickBot="1" x14ac:dyDescent="0.2">
      <c r="A1776" s="39" t="s">
        <v>20</v>
      </c>
      <c r="B1776" s="32">
        <f t="shared" ref="B1776:J1776" si="788">SUM(B1767:B1775)</f>
        <v>91</v>
      </c>
      <c r="C1776" s="33">
        <f t="shared" si="788"/>
        <v>107</v>
      </c>
      <c r="D1776" s="34">
        <f t="shared" si="788"/>
        <v>82</v>
      </c>
      <c r="E1776" s="42">
        <f t="shared" si="788"/>
        <v>280</v>
      </c>
      <c r="F1776" s="32">
        <f t="shared" si="788"/>
        <v>90</v>
      </c>
      <c r="G1776" s="33">
        <f t="shared" si="788"/>
        <v>65</v>
      </c>
      <c r="H1776" s="34">
        <f t="shared" si="788"/>
        <v>83</v>
      </c>
      <c r="I1776" s="42">
        <f t="shared" si="788"/>
        <v>238</v>
      </c>
      <c r="J1776" s="42">
        <f t="shared" si="788"/>
        <v>518</v>
      </c>
      <c r="L1776" s="39" t="s">
        <v>20</v>
      </c>
      <c r="M1776" s="32">
        <f t="shared" ref="M1776:U1776" si="789">SUM(M1767:M1775)</f>
        <v>22</v>
      </c>
      <c r="N1776" s="33">
        <f t="shared" si="789"/>
        <v>31</v>
      </c>
      <c r="O1776" s="34">
        <f t="shared" si="789"/>
        <v>24</v>
      </c>
      <c r="P1776" s="42">
        <f t="shared" si="789"/>
        <v>77</v>
      </c>
      <c r="Q1776" s="32">
        <f t="shared" si="789"/>
        <v>35</v>
      </c>
      <c r="R1776" s="33">
        <f t="shared" si="789"/>
        <v>20</v>
      </c>
      <c r="S1776" s="34">
        <f t="shared" si="789"/>
        <v>25</v>
      </c>
      <c r="T1776" s="42">
        <f t="shared" si="789"/>
        <v>80</v>
      </c>
      <c r="U1776" s="42">
        <f t="shared" si="789"/>
        <v>157</v>
      </c>
      <c r="W1776" s="39" t="s">
        <v>20</v>
      </c>
      <c r="X1776" s="32">
        <f t="shared" ref="X1776:AF1776" si="790">SUM(X1767:X1775)</f>
        <v>787</v>
      </c>
      <c r="Y1776" s="33">
        <f t="shared" si="790"/>
        <v>235</v>
      </c>
      <c r="Z1776" s="34">
        <f t="shared" si="790"/>
        <v>450</v>
      </c>
      <c r="AA1776" s="42">
        <f t="shared" si="790"/>
        <v>1472</v>
      </c>
      <c r="AB1776" s="32">
        <f t="shared" si="790"/>
        <v>404</v>
      </c>
      <c r="AC1776" s="33">
        <f t="shared" si="790"/>
        <v>345</v>
      </c>
      <c r="AD1776" s="34">
        <f t="shared" si="790"/>
        <v>549</v>
      </c>
      <c r="AE1776" s="42">
        <f t="shared" si="790"/>
        <v>1298</v>
      </c>
      <c r="AF1776" s="42">
        <f t="shared" si="790"/>
        <v>2770</v>
      </c>
    </row>
    <row r="1777" spans="1:33" x14ac:dyDescent="0.15">
      <c r="A1777" s="86" t="s">
        <v>858</v>
      </c>
      <c r="B1777" s="13">
        <v>22</v>
      </c>
      <c r="C1777" s="14">
        <v>24</v>
      </c>
      <c r="D1777" s="15">
        <v>17</v>
      </c>
      <c r="E1777" s="11">
        <f>SUM(B1777:D1777)</f>
        <v>63</v>
      </c>
      <c r="F1777" s="16">
        <v>8</v>
      </c>
      <c r="G1777" s="14">
        <v>12</v>
      </c>
      <c r="H1777" s="15">
        <v>11</v>
      </c>
      <c r="I1777" s="11">
        <f>SUM(F1777:H1777)</f>
        <v>31</v>
      </c>
      <c r="J1777" s="11">
        <f>E1777+I1777</f>
        <v>94</v>
      </c>
      <c r="K1777" s="65">
        <v>43717</v>
      </c>
      <c r="L1777" s="29" t="s">
        <v>860</v>
      </c>
      <c r="M1777" s="8"/>
      <c r="N1777" s="9">
        <v>31</v>
      </c>
      <c r="O1777" s="10"/>
      <c r="P1777" s="11">
        <f>SUM(M1777:O1777)</f>
        <v>31</v>
      </c>
      <c r="Q1777" s="12">
        <v>30</v>
      </c>
      <c r="R1777" s="9"/>
      <c r="S1777" s="10">
        <v>20</v>
      </c>
      <c r="T1777" s="11">
        <f>SUM(Q1777:S1777)</f>
        <v>50</v>
      </c>
      <c r="U1777" s="11">
        <f t="shared" ref="U1777:U1802" si="791">P1777+T1777</f>
        <v>81</v>
      </c>
      <c r="V1777" s="65">
        <v>43712</v>
      </c>
      <c r="W1777" s="29" t="s">
        <v>860</v>
      </c>
      <c r="X1777" s="8">
        <v>50</v>
      </c>
      <c r="Y1777" s="9"/>
      <c r="Z1777" s="10">
        <v>50</v>
      </c>
      <c r="AA1777" s="11">
        <f>SUM(X1777:Z1777)</f>
        <v>100</v>
      </c>
      <c r="AB1777" s="12"/>
      <c r="AC1777" s="9">
        <v>50</v>
      </c>
      <c r="AD1777" s="10"/>
      <c r="AE1777" s="11">
        <v>50</v>
      </c>
      <c r="AF1777" s="11">
        <v>50</v>
      </c>
      <c r="AG1777" s="65">
        <v>43712</v>
      </c>
    </row>
    <row r="1778" spans="1:33" x14ac:dyDescent="0.15">
      <c r="A1778" s="27" t="s">
        <v>859</v>
      </c>
      <c r="B1778" s="13">
        <v>30</v>
      </c>
      <c r="C1778" s="14">
        <v>30</v>
      </c>
      <c r="D1778" s="15">
        <v>40</v>
      </c>
      <c r="E1778" s="11">
        <f t="shared" ref="E1778:E1802" si="792">SUM(B1778:D1778)</f>
        <v>100</v>
      </c>
      <c r="F1778" s="16">
        <v>30</v>
      </c>
      <c r="G1778" s="14">
        <v>30</v>
      </c>
      <c r="H1778" s="15">
        <v>20</v>
      </c>
      <c r="I1778" s="11">
        <f>SUM(F1778:H1778)</f>
        <v>80</v>
      </c>
      <c r="J1778" s="11">
        <f t="shared" ref="J1778:J1802" si="793">E1778+I1778</f>
        <v>180</v>
      </c>
      <c r="K1778" s="65">
        <v>43715</v>
      </c>
      <c r="L1778" s="29" t="s">
        <v>41</v>
      </c>
      <c r="M1778" s="8">
        <v>15</v>
      </c>
      <c r="N1778" s="9"/>
      <c r="O1778" s="10">
        <v>10</v>
      </c>
      <c r="P1778" s="11">
        <f>SUM(M1778:O1778)</f>
        <v>25</v>
      </c>
      <c r="Q1778" s="12"/>
      <c r="R1778" s="9"/>
      <c r="S1778" s="10"/>
      <c r="T1778" s="11">
        <f>SUM(Q1778:S1778)</f>
        <v>0</v>
      </c>
      <c r="U1778" s="11">
        <f t="shared" si="791"/>
        <v>25</v>
      </c>
      <c r="V1778" s="65">
        <v>43713</v>
      </c>
      <c r="W1778" s="29" t="s">
        <v>41</v>
      </c>
      <c r="X1778" s="8"/>
      <c r="Y1778" s="9">
        <v>50</v>
      </c>
      <c r="Z1778" s="10"/>
      <c r="AA1778" s="11">
        <f>SUM(X1778:Z1778)</f>
        <v>50</v>
      </c>
      <c r="AB1778" s="12">
        <v>50</v>
      </c>
      <c r="AC1778" s="9"/>
      <c r="AD1778" s="10">
        <v>49</v>
      </c>
      <c r="AE1778" s="11">
        <f>SUM(AB1778:AD1778)</f>
        <v>99</v>
      </c>
      <c r="AF1778" s="11">
        <f t="shared" ref="AF1778:AF1802" si="794">AA1778+AE1778</f>
        <v>149</v>
      </c>
      <c r="AG1778" s="65">
        <v>43713</v>
      </c>
    </row>
    <row r="1779" spans="1:33" x14ac:dyDescent="0.15">
      <c r="A1779" s="29" t="s">
        <v>863</v>
      </c>
      <c r="B1779" s="8">
        <v>1</v>
      </c>
      <c r="C1779" s="9"/>
      <c r="D1779" s="10"/>
      <c r="E1779" s="11">
        <f t="shared" si="792"/>
        <v>1</v>
      </c>
      <c r="F1779" s="12"/>
      <c r="G1779" s="9"/>
      <c r="H1779" s="10"/>
      <c r="I1779" s="11">
        <f t="shared" ref="I1779:I1780" si="795">SUM(F1779:H1779)</f>
        <v>0</v>
      </c>
      <c r="J1779" s="11">
        <f t="shared" si="793"/>
        <v>1</v>
      </c>
      <c r="K1779" s="65">
        <v>43713</v>
      </c>
      <c r="L1779" s="29" t="s">
        <v>874</v>
      </c>
      <c r="M1779" s="8"/>
      <c r="N1779" s="9"/>
      <c r="O1779" s="10">
        <v>10</v>
      </c>
      <c r="P1779" s="11">
        <f t="shared" ref="P1779:P1802" si="796">SUM(M1779:O1779)</f>
        <v>10</v>
      </c>
      <c r="Q1779" s="12"/>
      <c r="R1779" s="9"/>
      <c r="S1779" s="10"/>
      <c r="T1779" s="11">
        <f t="shared" ref="T1779:T1802" si="797">SUM(Q1779:S1779)</f>
        <v>0</v>
      </c>
      <c r="U1779" s="11">
        <f t="shared" si="791"/>
        <v>10</v>
      </c>
      <c r="V1779" s="65">
        <v>43766</v>
      </c>
      <c r="W1779" s="29"/>
      <c r="X1779" s="8"/>
      <c r="Y1779" s="9"/>
      <c r="Z1779" s="10"/>
      <c r="AA1779" s="11">
        <f t="shared" ref="AA1779:AA1802" si="798">SUM(X1779:Z1779)</f>
        <v>0</v>
      </c>
      <c r="AB1779" s="12"/>
      <c r="AC1779" s="9"/>
      <c r="AD1779" s="10"/>
      <c r="AE1779" s="11">
        <f t="shared" ref="AE1779:AE1802" si="799">SUM(AB1779:AD1779)</f>
        <v>0</v>
      </c>
      <c r="AF1779" s="11">
        <f t="shared" si="794"/>
        <v>0</v>
      </c>
    </row>
    <row r="1780" spans="1:33" x14ac:dyDescent="0.15">
      <c r="A1780" s="29" t="s">
        <v>67</v>
      </c>
      <c r="B1780" s="8"/>
      <c r="C1780" s="9"/>
      <c r="D1780" s="10">
        <v>2</v>
      </c>
      <c r="E1780" s="11">
        <f t="shared" si="792"/>
        <v>2</v>
      </c>
      <c r="F1780" s="12"/>
      <c r="G1780" s="9"/>
      <c r="H1780" s="10"/>
      <c r="I1780" s="11">
        <f t="shared" si="795"/>
        <v>0</v>
      </c>
      <c r="J1780" s="11">
        <f t="shared" si="793"/>
        <v>2</v>
      </c>
      <c r="K1780" s="65">
        <v>43714</v>
      </c>
      <c r="L1780" s="86"/>
      <c r="M1780" s="8"/>
      <c r="N1780" s="9"/>
      <c r="O1780" s="10"/>
      <c r="P1780" s="11">
        <f t="shared" si="796"/>
        <v>0</v>
      </c>
      <c r="Q1780" s="12"/>
      <c r="R1780" s="9"/>
      <c r="S1780" s="10"/>
      <c r="T1780" s="11">
        <f t="shared" si="797"/>
        <v>0</v>
      </c>
      <c r="U1780" s="11">
        <f t="shared" si="791"/>
        <v>0</v>
      </c>
      <c r="W1780" s="86"/>
      <c r="X1780" s="8"/>
      <c r="Y1780" s="9"/>
      <c r="Z1780" s="10"/>
      <c r="AA1780" s="11">
        <f t="shared" si="798"/>
        <v>0</v>
      </c>
      <c r="AB1780" s="12"/>
      <c r="AC1780" s="9"/>
      <c r="AD1780" s="10"/>
      <c r="AE1780" s="11">
        <f t="shared" si="799"/>
        <v>0</v>
      </c>
      <c r="AF1780" s="11">
        <f t="shared" si="794"/>
        <v>0</v>
      </c>
    </row>
    <row r="1781" spans="1:33" x14ac:dyDescent="0.15">
      <c r="A1781" s="29" t="s">
        <v>67</v>
      </c>
      <c r="B1781" s="8"/>
      <c r="C1781" s="9">
        <v>2</v>
      </c>
      <c r="D1781" s="10"/>
      <c r="E1781" s="11">
        <f t="shared" si="792"/>
        <v>2</v>
      </c>
      <c r="F1781" s="12"/>
      <c r="G1781" s="9"/>
      <c r="H1781" s="10"/>
      <c r="I1781" s="11">
        <f>SUM(F1781:H1781)</f>
        <v>0</v>
      </c>
      <c r="J1781" s="11">
        <f t="shared" si="793"/>
        <v>2</v>
      </c>
      <c r="K1781" s="65">
        <v>43715</v>
      </c>
      <c r="L1781" s="86"/>
      <c r="M1781" s="8"/>
      <c r="N1781" s="9"/>
      <c r="O1781" s="10"/>
      <c r="P1781" s="11">
        <f t="shared" si="796"/>
        <v>0</v>
      </c>
      <c r="Q1781" s="12"/>
      <c r="R1781" s="9"/>
      <c r="S1781" s="10"/>
      <c r="T1781" s="11">
        <f t="shared" si="797"/>
        <v>0</v>
      </c>
      <c r="U1781" s="11">
        <f t="shared" si="791"/>
        <v>0</v>
      </c>
      <c r="W1781" s="86"/>
      <c r="X1781" s="8"/>
      <c r="Y1781" s="9"/>
      <c r="Z1781" s="10"/>
      <c r="AA1781" s="11">
        <f t="shared" si="798"/>
        <v>0</v>
      </c>
      <c r="AB1781" s="12"/>
      <c r="AC1781" s="9"/>
      <c r="AD1781" s="10"/>
      <c r="AE1781" s="11">
        <f t="shared" si="799"/>
        <v>0</v>
      </c>
      <c r="AF1781" s="11">
        <f t="shared" si="794"/>
        <v>0</v>
      </c>
    </row>
    <row r="1782" spans="1:33" x14ac:dyDescent="0.15">
      <c r="A1782" s="29" t="s">
        <v>864</v>
      </c>
      <c r="B1782" s="8"/>
      <c r="C1782" s="9"/>
      <c r="D1782" s="10"/>
      <c r="E1782" s="11">
        <f t="shared" si="792"/>
        <v>0</v>
      </c>
      <c r="F1782" s="12">
        <v>10</v>
      </c>
      <c r="G1782" s="9"/>
      <c r="H1782" s="10"/>
      <c r="I1782" s="11">
        <f>SUM(F1782:H1782)</f>
        <v>10</v>
      </c>
      <c r="J1782" s="11">
        <f t="shared" si="793"/>
        <v>10</v>
      </c>
      <c r="K1782" s="65">
        <v>43721</v>
      </c>
      <c r="L1782" s="29"/>
      <c r="M1782" s="8"/>
      <c r="N1782" s="9"/>
      <c r="O1782" s="10"/>
      <c r="P1782" s="11">
        <f t="shared" si="796"/>
        <v>0</v>
      </c>
      <c r="Q1782" s="12"/>
      <c r="R1782" s="9"/>
      <c r="S1782" s="10"/>
      <c r="T1782" s="11">
        <f t="shared" si="797"/>
        <v>0</v>
      </c>
      <c r="U1782" s="11">
        <f t="shared" si="791"/>
        <v>0</v>
      </c>
      <c r="W1782" s="29"/>
      <c r="X1782" s="8"/>
      <c r="Y1782" s="9"/>
      <c r="Z1782" s="10"/>
      <c r="AA1782" s="11">
        <f t="shared" si="798"/>
        <v>0</v>
      </c>
      <c r="AB1782" s="12"/>
      <c r="AC1782" s="9"/>
      <c r="AD1782" s="10"/>
      <c r="AE1782" s="11">
        <f t="shared" si="799"/>
        <v>0</v>
      </c>
      <c r="AF1782" s="11">
        <f t="shared" si="794"/>
        <v>0</v>
      </c>
    </row>
    <row r="1783" spans="1:33" x14ac:dyDescent="0.15">
      <c r="A1783" s="29" t="s">
        <v>67</v>
      </c>
      <c r="B1783" s="8"/>
      <c r="C1783" s="9"/>
      <c r="D1783" s="10">
        <v>3</v>
      </c>
      <c r="E1783" s="11">
        <f t="shared" si="792"/>
        <v>3</v>
      </c>
      <c r="F1783" s="140"/>
      <c r="G1783" s="140"/>
      <c r="H1783" s="10">
        <v>2</v>
      </c>
      <c r="I1783" s="11">
        <f t="shared" ref="I1783:I1802" si="800">SUM(F1783:H1783)</f>
        <v>2</v>
      </c>
      <c r="J1783" s="11">
        <f t="shared" si="793"/>
        <v>5</v>
      </c>
      <c r="K1783" s="65">
        <v>43719</v>
      </c>
      <c r="L1783" s="86"/>
      <c r="M1783" s="8"/>
      <c r="N1783" s="9"/>
      <c r="O1783" s="10"/>
      <c r="P1783" s="11">
        <f t="shared" si="796"/>
        <v>0</v>
      </c>
      <c r="Q1783" s="12"/>
      <c r="R1783" s="9"/>
      <c r="S1783" s="10"/>
      <c r="T1783" s="11">
        <f t="shared" si="797"/>
        <v>0</v>
      </c>
      <c r="U1783" s="11">
        <f t="shared" si="791"/>
        <v>0</v>
      </c>
      <c r="W1783" s="86"/>
      <c r="X1783" s="8"/>
      <c r="Y1783" s="9"/>
      <c r="Z1783" s="10"/>
      <c r="AA1783" s="11">
        <f t="shared" si="798"/>
        <v>0</v>
      </c>
      <c r="AB1783" s="12"/>
      <c r="AC1783" s="9"/>
      <c r="AD1783" s="10"/>
      <c r="AE1783" s="11">
        <f t="shared" si="799"/>
        <v>0</v>
      </c>
      <c r="AF1783" s="11">
        <f t="shared" si="794"/>
        <v>0</v>
      </c>
    </row>
    <row r="1784" spans="1:33" x14ac:dyDescent="0.15">
      <c r="A1784" s="29" t="s">
        <v>67</v>
      </c>
      <c r="B1784" s="8"/>
      <c r="C1784" s="9"/>
      <c r="D1784" s="10"/>
      <c r="E1784" s="11">
        <f t="shared" si="792"/>
        <v>0</v>
      </c>
      <c r="F1784" s="12"/>
      <c r="G1784" s="9">
        <v>1</v>
      </c>
      <c r="H1784" s="10">
        <v>1</v>
      </c>
      <c r="I1784" s="11">
        <f t="shared" si="800"/>
        <v>2</v>
      </c>
      <c r="J1784" s="11">
        <f t="shared" si="793"/>
        <v>2</v>
      </c>
      <c r="K1784" s="65">
        <v>43720</v>
      </c>
      <c r="L1784" s="29"/>
      <c r="M1784" s="8"/>
      <c r="N1784" s="9"/>
      <c r="O1784" s="10"/>
      <c r="P1784" s="11">
        <f t="shared" si="796"/>
        <v>0</v>
      </c>
      <c r="Q1784" s="12"/>
      <c r="R1784" s="9"/>
      <c r="S1784" s="10"/>
      <c r="T1784" s="11">
        <f t="shared" si="797"/>
        <v>0</v>
      </c>
      <c r="U1784" s="11">
        <f t="shared" si="791"/>
        <v>0</v>
      </c>
      <c r="W1784" s="29"/>
      <c r="X1784" s="8"/>
      <c r="Y1784" s="9"/>
      <c r="Z1784" s="10"/>
      <c r="AA1784" s="11">
        <f t="shared" si="798"/>
        <v>0</v>
      </c>
      <c r="AB1784" s="12"/>
      <c r="AC1784" s="9"/>
      <c r="AD1784" s="10"/>
      <c r="AE1784" s="11">
        <f t="shared" si="799"/>
        <v>0</v>
      </c>
      <c r="AF1784" s="11">
        <f t="shared" si="794"/>
        <v>0</v>
      </c>
    </row>
    <row r="1785" spans="1:33" x14ac:dyDescent="0.15">
      <c r="A1785" s="29" t="s">
        <v>67</v>
      </c>
      <c r="B1785" s="13"/>
      <c r="C1785" s="14"/>
      <c r="D1785" s="15"/>
      <c r="E1785" s="11">
        <f t="shared" si="792"/>
        <v>0</v>
      </c>
      <c r="F1785" s="16"/>
      <c r="G1785" s="14">
        <v>1</v>
      </c>
      <c r="H1785" s="15"/>
      <c r="I1785" s="11">
        <f t="shared" si="800"/>
        <v>1</v>
      </c>
      <c r="J1785" s="11">
        <f t="shared" si="793"/>
        <v>1</v>
      </c>
      <c r="K1785" s="65">
        <v>43721</v>
      </c>
      <c r="L1785" s="29"/>
      <c r="M1785" s="8"/>
      <c r="N1785" s="9"/>
      <c r="O1785" s="10"/>
      <c r="P1785" s="11">
        <f t="shared" si="796"/>
        <v>0</v>
      </c>
      <c r="Q1785" s="12"/>
      <c r="R1785" s="9"/>
      <c r="S1785" s="10"/>
      <c r="T1785" s="11">
        <f t="shared" si="797"/>
        <v>0</v>
      </c>
      <c r="U1785" s="11">
        <f t="shared" si="791"/>
        <v>0</v>
      </c>
      <c r="W1785" s="29"/>
      <c r="X1785" s="8"/>
      <c r="Y1785" s="9"/>
      <c r="Z1785" s="10"/>
      <c r="AA1785" s="11">
        <f t="shared" si="798"/>
        <v>0</v>
      </c>
      <c r="AB1785" s="12"/>
      <c r="AC1785" s="9"/>
      <c r="AD1785" s="10"/>
      <c r="AE1785" s="11">
        <f t="shared" si="799"/>
        <v>0</v>
      </c>
      <c r="AF1785" s="11">
        <f t="shared" si="794"/>
        <v>0</v>
      </c>
    </row>
    <row r="1786" spans="1:33" x14ac:dyDescent="0.15">
      <c r="A1786" s="29" t="s">
        <v>67</v>
      </c>
      <c r="B1786" s="13">
        <v>2</v>
      </c>
      <c r="C1786" s="14"/>
      <c r="D1786" s="15"/>
      <c r="E1786" s="11">
        <f t="shared" si="792"/>
        <v>2</v>
      </c>
      <c r="F1786" s="16"/>
      <c r="G1786" s="14"/>
      <c r="H1786" s="15"/>
      <c r="I1786" s="11">
        <f t="shared" si="800"/>
        <v>0</v>
      </c>
      <c r="J1786" s="11">
        <f t="shared" si="793"/>
        <v>2</v>
      </c>
      <c r="K1786" s="65">
        <v>43724</v>
      </c>
      <c r="L1786" s="29"/>
      <c r="M1786" s="13"/>
      <c r="N1786" s="14"/>
      <c r="O1786" s="15"/>
      <c r="P1786" s="11">
        <f t="shared" si="796"/>
        <v>0</v>
      </c>
      <c r="Q1786" s="16"/>
      <c r="R1786" s="14"/>
      <c r="S1786" s="15"/>
      <c r="T1786" s="11">
        <f t="shared" si="797"/>
        <v>0</v>
      </c>
      <c r="U1786" s="11">
        <f t="shared" si="791"/>
        <v>0</v>
      </c>
      <c r="W1786" s="29"/>
      <c r="X1786" s="13"/>
      <c r="Y1786" s="14"/>
      <c r="Z1786" s="15"/>
      <c r="AA1786" s="11">
        <f t="shared" si="798"/>
        <v>0</v>
      </c>
      <c r="AB1786" s="16"/>
      <c r="AC1786" s="14"/>
      <c r="AD1786" s="15"/>
      <c r="AE1786" s="11">
        <f t="shared" si="799"/>
        <v>0</v>
      </c>
      <c r="AF1786" s="11">
        <f t="shared" si="794"/>
        <v>0</v>
      </c>
    </row>
    <row r="1787" spans="1:33" x14ac:dyDescent="0.15">
      <c r="A1787" s="29" t="s">
        <v>67</v>
      </c>
      <c r="B1787" s="8"/>
      <c r="C1787" s="9"/>
      <c r="D1787" s="10"/>
      <c r="E1787" s="11">
        <f t="shared" si="792"/>
        <v>0</v>
      </c>
      <c r="F1787" s="12"/>
      <c r="G1787" s="9"/>
      <c r="H1787" s="10">
        <v>1</v>
      </c>
      <c r="I1787" s="11">
        <f t="shared" si="800"/>
        <v>1</v>
      </c>
      <c r="J1787" s="11">
        <f t="shared" si="793"/>
        <v>1</v>
      </c>
      <c r="K1787" s="65">
        <v>43725</v>
      </c>
      <c r="L1787" s="29"/>
      <c r="M1787" s="8"/>
      <c r="N1787" s="9"/>
      <c r="O1787" s="10"/>
      <c r="P1787" s="11">
        <f t="shared" si="796"/>
        <v>0</v>
      </c>
      <c r="Q1787" s="12"/>
      <c r="R1787" s="9"/>
      <c r="S1787" s="10"/>
      <c r="T1787" s="11">
        <f t="shared" si="797"/>
        <v>0</v>
      </c>
      <c r="U1787" s="11">
        <f t="shared" si="791"/>
        <v>0</v>
      </c>
      <c r="W1787" s="29"/>
      <c r="X1787" s="8"/>
      <c r="Y1787" s="9"/>
      <c r="Z1787" s="10"/>
      <c r="AA1787" s="11">
        <f t="shared" si="798"/>
        <v>0</v>
      </c>
      <c r="AB1787" s="12"/>
      <c r="AC1787" s="9"/>
      <c r="AD1787" s="10"/>
      <c r="AE1787" s="11">
        <f t="shared" si="799"/>
        <v>0</v>
      </c>
      <c r="AF1787" s="11">
        <f t="shared" si="794"/>
        <v>0</v>
      </c>
    </row>
    <row r="1788" spans="1:33" x14ac:dyDescent="0.15">
      <c r="A1788" s="29" t="s">
        <v>67</v>
      </c>
      <c r="B1788" s="8">
        <v>1</v>
      </c>
      <c r="C1788" s="9"/>
      <c r="D1788" s="10"/>
      <c r="E1788" s="11">
        <f t="shared" si="792"/>
        <v>1</v>
      </c>
      <c r="F1788" s="12"/>
      <c r="G1788" s="9"/>
      <c r="H1788" s="10"/>
      <c r="I1788" s="11">
        <f t="shared" si="800"/>
        <v>0</v>
      </c>
      <c r="J1788" s="11">
        <f t="shared" si="793"/>
        <v>1</v>
      </c>
      <c r="K1788" s="65">
        <v>43726</v>
      </c>
      <c r="L1788" s="29"/>
      <c r="M1788" s="8"/>
      <c r="N1788" s="9"/>
      <c r="O1788" s="10"/>
      <c r="P1788" s="11">
        <f t="shared" si="796"/>
        <v>0</v>
      </c>
      <c r="Q1788" s="12"/>
      <c r="R1788" s="9"/>
      <c r="S1788" s="10"/>
      <c r="T1788" s="11">
        <f t="shared" si="797"/>
        <v>0</v>
      </c>
      <c r="U1788" s="11">
        <f t="shared" si="791"/>
        <v>0</v>
      </c>
      <c r="W1788" s="29"/>
      <c r="X1788" s="8"/>
      <c r="Y1788" s="9"/>
      <c r="Z1788" s="10"/>
      <c r="AA1788" s="11">
        <f t="shared" si="798"/>
        <v>0</v>
      </c>
      <c r="AB1788" s="12"/>
      <c r="AC1788" s="9"/>
      <c r="AD1788" s="10"/>
      <c r="AE1788" s="11">
        <f t="shared" si="799"/>
        <v>0</v>
      </c>
      <c r="AF1788" s="11">
        <f t="shared" si="794"/>
        <v>0</v>
      </c>
    </row>
    <row r="1789" spans="1:33" x14ac:dyDescent="0.15">
      <c r="A1789" s="29" t="s">
        <v>67</v>
      </c>
      <c r="B1789" s="8"/>
      <c r="C1789" s="9">
        <v>1</v>
      </c>
      <c r="D1789" s="10"/>
      <c r="E1789" s="11">
        <f t="shared" si="792"/>
        <v>1</v>
      </c>
      <c r="F1789" s="12"/>
      <c r="G1789" s="9"/>
      <c r="H1789" s="10"/>
      <c r="I1789" s="11">
        <f t="shared" si="800"/>
        <v>0</v>
      </c>
      <c r="J1789" s="11">
        <f t="shared" si="793"/>
        <v>1</v>
      </c>
      <c r="K1789" s="65">
        <v>43727</v>
      </c>
      <c r="L1789" s="27"/>
      <c r="M1789" s="8"/>
      <c r="N1789" s="9"/>
      <c r="O1789" s="10"/>
      <c r="P1789" s="11">
        <f t="shared" si="796"/>
        <v>0</v>
      </c>
      <c r="Q1789" s="12"/>
      <c r="R1789" s="9"/>
      <c r="S1789" s="10"/>
      <c r="T1789" s="11">
        <f t="shared" si="797"/>
        <v>0</v>
      </c>
      <c r="U1789" s="11">
        <f t="shared" si="791"/>
        <v>0</v>
      </c>
      <c r="W1789" s="27"/>
      <c r="X1789" s="8"/>
      <c r="Y1789" s="9"/>
      <c r="Z1789" s="10"/>
      <c r="AA1789" s="11">
        <f t="shared" si="798"/>
        <v>0</v>
      </c>
      <c r="AB1789" s="12"/>
      <c r="AC1789" s="9"/>
      <c r="AD1789" s="10"/>
      <c r="AE1789" s="11">
        <f t="shared" si="799"/>
        <v>0</v>
      </c>
      <c r="AF1789" s="11">
        <f t="shared" si="794"/>
        <v>0</v>
      </c>
    </row>
    <row r="1790" spans="1:33" x14ac:dyDescent="0.15">
      <c r="A1790" s="29" t="s">
        <v>67</v>
      </c>
      <c r="B1790" s="8">
        <v>2</v>
      </c>
      <c r="C1790" s="9"/>
      <c r="D1790" s="10"/>
      <c r="E1790" s="11">
        <f t="shared" si="792"/>
        <v>2</v>
      </c>
      <c r="F1790" s="12"/>
      <c r="G1790" s="9"/>
      <c r="H1790" s="10"/>
      <c r="I1790" s="11">
        <f t="shared" si="800"/>
        <v>0</v>
      </c>
      <c r="J1790" s="11">
        <f t="shared" si="793"/>
        <v>2</v>
      </c>
      <c r="K1790" s="65">
        <v>43733</v>
      </c>
      <c r="L1790" s="29"/>
      <c r="M1790" s="8"/>
      <c r="N1790" s="9"/>
      <c r="O1790" s="10"/>
      <c r="P1790" s="11">
        <f t="shared" si="796"/>
        <v>0</v>
      </c>
      <c r="Q1790" s="12"/>
      <c r="R1790" s="9"/>
      <c r="S1790" s="10"/>
      <c r="T1790" s="11">
        <f t="shared" si="797"/>
        <v>0</v>
      </c>
      <c r="U1790" s="11">
        <f t="shared" si="791"/>
        <v>0</v>
      </c>
      <c r="W1790" s="29"/>
      <c r="X1790" s="8"/>
      <c r="Y1790" s="9"/>
      <c r="Z1790" s="10"/>
      <c r="AA1790" s="11">
        <f t="shared" si="798"/>
        <v>0</v>
      </c>
      <c r="AB1790" s="12"/>
      <c r="AC1790" s="9"/>
      <c r="AD1790" s="10"/>
      <c r="AE1790" s="11">
        <f t="shared" si="799"/>
        <v>0</v>
      </c>
      <c r="AF1790" s="11">
        <f t="shared" si="794"/>
        <v>0</v>
      </c>
    </row>
    <row r="1791" spans="1:33" x14ac:dyDescent="0.15">
      <c r="A1791" s="27" t="s">
        <v>868</v>
      </c>
      <c r="B1791" s="8">
        <v>1</v>
      </c>
      <c r="C1791" s="9">
        <v>1</v>
      </c>
      <c r="D1791" s="10"/>
      <c r="E1791" s="11">
        <f t="shared" si="792"/>
        <v>2</v>
      </c>
      <c r="F1791" s="12"/>
      <c r="G1791" s="9"/>
      <c r="H1791" s="10"/>
      <c r="I1791" s="11">
        <f t="shared" si="800"/>
        <v>0</v>
      </c>
      <c r="J1791" s="11">
        <f t="shared" si="793"/>
        <v>2</v>
      </c>
      <c r="K1791" s="65">
        <v>43746</v>
      </c>
      <c r="L1791" s="29"/>
      <c r="M1791" s="8"/>
      <c r="N1791" s="9"/>
      <c r="O1791" s="10"/>
      <c r="P1791" s="11">
        <f t="shared" si="796"/>
        <v>0</v>
      </c>
      <c r="Q1791" s="12"/>
      <c r="R1791" s="9"/>
      <c r="S1791" s="10"/>
      <c r="T1791" s="11">
        <f t="shared" si="797"/>
        <v>0</v>
      </c>
      <c r="U1791" s="11">
        <f t="shared" si="791"/>
        <v>0</v>
      </c>
      <c r="W1791" s="29"/>
      <c r="X1791" s="8"/>
      <c r="Y1791" s="9"/>
      <c r="Z1791" s="10"/>
      <c r="AA1791" s="11">
        <f t="shared" si="798"/>
        <v>0</v>
      </c>
      <c r="AB1791" s="12"/>
      <c r="AC1791" s="9"/>
      <c r="AD1791" s="10"/>
      <c r="AE1791" s="11">
        <f t="shared" si="799"/>
        <v>0</v>
      </c>
      <c r="AF1791" s="11">
        <f t="shared" si="794"/>
        <v>0</v>
      </c>
    </row>
    <row r="1792" spans="1:33" x14ac:dyDescent="0.15">
      <c r="A1792" s="29" t="s">
        <v>67</v>
      </c>
      <c r="B1792" s="8">
        <v>1</v>
      </c>
      <c r="C1792" s="9"/>
      <c r="D1792" s="10"/>
      <c r="E1792" s="11">
        <f t="shared" si="792"/>
        <v>1</v>
      </c>
      <c r="F1792" s="12"/>
      <c r="G1792" s="9"/>
      <c r="H1792" s="10"/>
      <c r="I1792" s="11">
        <f t="shared" si="800"/>
        <v>0</v>
      </c>
      <c r="J1792" s="11">
        <f t="shared" si="793"/>
        <v>1</v>
      </c>
      <c r="K1792" s="65">
        <v>43745</v>
      </c>
      <c r="L1792" s="27"/>
      <c r="M1792" s="8"/>
      <c r="N1792" s="9"/>
      <c r="O1792" s="10"/>
      <c r="P1792" s="11">
        <f t="shared" si="796"/>
        <v>0</v>
      </c>
      <c r="Q1792" s="12"/>
      <c r="R1792" s="9"/>
      <c r="S1792" s="10"/>
      <c r="T1792" s="11">
        <f t="shared" si="797"/>
        <v>0</v>
      </c>
      <c r="U1792" s="11">
        <f t="shared" si="791"/>
        <v>0</v>
      </c>
      <c r="W1792" s="27"/>
      <c r="X1792" s="8"/>
      <c r="Y1792" s="9"/>
      <c r="Z1792" s="10"/>
      <c r="AA1792" s="11">
        <f t="shared" si="798"/>
        <v>0</v>
      </c>
      <c r="AB1792" s="12"/>
      <c r="AC1792" s="9"/>
      <c r="AD1792" s="10"/>
      <c r="AE1792" s="11">
        <f t="shared" si="799"/>
        <v>0</v>
      </c>
      <c r="AF1792" s="11">
        <f t="shared" si="794"/>
        <v>0</v>
      </c>
    </row>
    <row r="1793" spans="1:32" x14ac:dyDescent="0.15">
      <c r="A1793" s="86" t="s">
        <v>870</v>
      </c>
      <c r="B1793" s="8"/>
      <c r="C1793" s="9">
        <v>1</v>
      </c>
      <c r="D1793" s="10"/>
      <c r="E1793" s="11">
        <f t="shared" si="792"/>
        <v>1</v>
      </c>
      <c r="F1793" s="12"/>
      <c r="G1793" s="9"/>
      <c r="H1793" s="10"/>
      <c r="I1793" s="11">
        <f t="shared" si="800"/>
        <v>0</v>
      </c>
      <c r="J1793" s="11">
        <f t="shared" si="793"/>
        <v>1</v>
      </c>
      <c r="K1793" s="65">
        <v>43749</v>
      </c>
      <c r="L1793" s="29"/>
      <c r="M1793" s="8"/>
      <c r="N1793" s="9"/>
      <c r="O1793" s="10"/>
      <c r="P1793" s="11">
        <f t="shared" si="796"/>
        <v>0</v>
      </c>
      <c r="Q1793" s="12"/>
      <c r="R1793" s="9"/>
      <c r="S1793" s="10"/>
      <c r="T1793" s="11">
        <f t="shared" si="797"/>
        <v>0</v>
      </c>
      <c r="U1793" s="11">
        <f t="shared" si="791"/>
        <v>0</v>
      </c>
      <c r="W1793" s="29"/>
      <c r="X1793" s="8"/>
      <c r="Y1793" s="9"/>
      <c r="Z1793" s="10"/>
      <c r="AA1793" s="11">
        <f t="shared" si="798"/>
        <v>0</v>
      </c>
      <c r="AB1793" s="12"/>
      <c r="AC1793" s="9"/>
      <c r="AD1793" s="10"/>
      <c r="AE1793" s="11">
        <f t="shared" si="799"/>
        <v>0</v>
      </c>
      <c r="AF1793" s="11">
        <f t="shared" si="794"/>
        <v>0</v>
      </c>
    </row>
    <row r="1794" spans="1:32" x14ac:dyDescent="0.15">
      <c r="A1794" s="29" t="s">
        <v>67</v>
      </c>
      <c r="B1794" s="8"/>
      <c r="C1794" s="9"/>
      <c r="D1794" s="10">
        <v>1</v>
      </c>
      <c r="E1794" s="11">
        <f t="shared" si="792"/>
        <v>1</v>
      </c>
      <c r="F1794" s="12"/>
      <c r="G1794" s="9"/>
      <c r="H1794" s="10"/>
      <c r="I1794" s="11">
        <f t="shared" si="800"/>
        <v>0</v>
      </c>
      <c r="J1794" s="11">
        <f t="shared" si="793"/>
        <v>1</v>
      </c>
      <c r="K1794" s="65">
        <v>43749</v>
      </c>
      <c r="L1794" s="27"/>
      <c r="M1794" s="8"/>
      <c r="N1794" s="9"/>
      <c r="O1794" s="10"/>
      <c r="P1794" s="11">
        <f t="shared" si="796"/>
        <v>0</v>
      </c>
      <c r="Q1794" s="12"/>
      <c r="R1794" s="9"/>
      <c r="S1794" s="10"/>
      <c r="T1794" s="11">
        <f t="shared" si="797"/>
        <v>0</v>
      </c>
      <c r="U1794" s="11">
        <f t="shared" si="791"/>
        <v>0</v>
      </c>
      <c r="W1794" s="27"/>
      <c r="X1794" s="8"/>
      <c r="Y1794" s="9"/>
      <c r="Z1794" s="10"/>
      <c r="AA1794" s="11">
        <f t="shared" si="798"/>
        <v>0</v>
      </c>
      <c r="AB1794" s="12"/>
      <c r="AC1794" s="9"/>
      <c r="AD1794" s="10"/>
      <c r="AE1794" s="11">
        <f t="shared" si="799"/>
        <v>0</v>
      </c>
      <c r="AF1794" s="11">
        <f t="shared" si="794"/>
        <v>0</v>
      </c>
    </row>
    <row r="1795" spans="1:32" x14ac:dyDescent="0.15">
      <c r="A1795" s="86" t="s">
        <v>871</v>
      </c>
      <c r="B1795" s="8">
        <v>-5</v>
      </c>
      <c r="C1795" s="9">
        <v>-9</v>
      </c>
      <c r="D1795" s="10">
        <v>-3</v>
      </c>
      <c r="E1795" s="11">
        <f t="shared" si="792"/>
        <v>-17</v>
      </c>
      <c r="F1795" s="12">
        <v>-2</v>
      </c>
      <c r="G1795" s="9">
        <v>-1</v>
      </c>
      <c r="H1795" s="10">
        <v>-3</v>
      </c>
      <c r="I1795" s="11">
        <f t="shared" si="800"/>
        <v>-6</v>
      </c>
      <c r="J1795" s="11">
        <f t="shared" si="793"/>
        <v>-23</v>
      </c>
      <c r="K1795" s="65">
        <v>43754</v>
      </c>
      <c r="L1795" s="26"/>
      <c r="M1795" s="8"/>
      <c r="N1795" s="9"/>
      <c r="O1795" s="10"/>
      <c r="P1795" s="11">
        <f t="shared" si="796"/>
        <v>0</v>
      </c>
      <c r="Q1795" s="12"/>
      <c r="R1795" s="9"/>
      <c r="S1795" s="10"/>
      <c r="T1795" s="11">
        <f t="shared" si="797"/>
        <v>0</v>
      </c>
      <c r="U1795" s="11">
        <f t="shared" si="791"/>
        <v>0</v>
      </c>
      <c r="W1795" s="26"/>
      <c r="X1795" s="8"/>
      <c r="Y1795" s="9"/>
      <c r="Z1795" s="10"/>
      <c r="AA1795" s="11">
        <f t="shared" si="798"/>
        <v>0</v>
      </c>
      <c r="AB1795" s="12"/>
      <c r="AC1795" s="9"/>
      <c r="AD1795" s="10"/>
      <c r="AE1795" s="11">
        <f t="shared" si="799"/>
        <v>0</v>
      </c>
      <c r="AF1795" s="11">
        <f t="shared" si="794"/>
        <v>0</v>
      </c>
    </row>
    <row r="1796" spans="1:32" x14ac:dyDescent="0.15">
      <c r="A1796" s="86" t="s">
        <v>872</v>
      </c>
      <c r="B1796" s="8">
        <v>5</v>
      </c>
      <c r="C1796" s="9">
        <v>9</v>
      </c>
      <c r="D1796" s="10">
        <v>3</v>
      </c>
      <c r="E1796" s="11">
        <f t="shared" si="792"/>
        <v>17</v>
      </c>
      <c r="F1796" s="12">
        <v>2</v>
      </c>
      <c r="G1796" s="9">
        <v>1</v>
      </c>
      <c r="H1796" s="10">
        <v>3</v>
      </c>
      <c r="I1796" s="11">
        <f t="shared" si="800"/>
        <v>6</v>
      </c>
      <c r="J1796" s="11">
        <f t="shared" si="793"/>
        <v>23</v>
      </c>
      <c r="K1796" s="65">
        <v>43761</v>
      </c>
      <c r="L1796" s="26"/>
      <c r="M1796" s="8"/>
      <c r="N1796" s="9"/>
      <c r="O1796" s="10"/>
      <c r="P1796" s="11">
        <f t="shared" si="796"/>
        <v>0</v>
      </c>
      <c r="Q1796" s="12"/>
      <c r="R1796" s="9"/>
      <c r="S1796" s="10"/>
      <c r="T1796" s="11">
        <f t="shared" si="797"/>
        <v>0</v>
      </c>
      <c r="U1796" s="11">
        <f t="shared" si="791"/>
        <v>0</v>
      </c>
      <c r="W1796" s="26"/>
      <c r="X1796" s="8"/>
      <c r="Y1796" s="9"/>
      <c r="Z1796" s="10"/>
      <c r="AA1796" s="11">
        <f t="shared" si="798"/>
        <v>0</v>
      </c>
      <c r="AB1796" s="12"/>
      <c r="AC1796" s="9"/>
      <c r="AD1796" s="10"/>
      <c r="AE1796" s="11">
        <f t="shared" si="799"/>
        <v>0</v>
      </c>
      <c r="AF1796" s="11">
        <f t="shared" si="794"/>
        <v>0</v>
      </c>
    </row>
    <row r="1797" spans="1:32" x14ac:dyDescent="0.15">
      <c r="A1797" s="29" t="s">
        <v>67</v>
      </c>
      <c r="B1797" s="8">
        <v>2</v>
      </c>
      <c r="C1797" s="9">
        <v>1</v>
      </c>
      <c r="D1797" s="10"/>
      <c r="E1797" s="11">
        <f t="shared" si="792"/>
        <v>3</v>
      </c>
      <c r="F1797" s="12">
        <v>3</v>
      </c>
      <c r="G1797" s="9"/>
      <c r="H1797" s="10"/>
      <c r="I1797" s="11">
        <f t="shared" si="800"/>
        <v>3</v>
      </c>
      <c r="J1797" s="11">
        <f t="shared" si="793"/>
        <v>6</v>
      </c>
      <c r="K1797" s="65">
        <v>43753</v>
      </c>
      <c r="L1797" s="27"/>
      <c r="M1797" s="8"/>
      <c r="N1797" s="9"/>
      <c r="O1797" s="10"/>
      <c r="P1797" s="11">
        <f t="shared" si="796"/>
        <v>0</v>
      </c>
      <c r="Q1797" s="12"/>
      <c r="R1797" s="9"/>
      <c r="S1797" s="10"/>
      <c r="T1797" s="11">
        <f t="shared" si="797"/>
        <v>0</v>
      </c>
      <c r="U1797" s="11">
        <f t="shared" si="791"/>
        <v>0</v>
      </c>
      <c r="W1797" s="27"/>
      <c r="X1797" s="8"/>
      <c r="Y1797" s="9"/>
      <c r="Z1797" s="10"/>
      <c r="AA1797" s="11">
        <f t="shared" si="798"/>
        <v>0</v>
      </c>
      <c r="AB1797" s="12"/>
      <c r="AC1797" s="9"/>
      <c r="AD1797" s="10"/>
      <c r="AE1797" s="11">
        <f t="shared" si="799"/>
        <v>0</v>
      </c>
      <c r="AF1797" s="11">
        <f t="shared" si="794"/>
        <v>0</v>
      </c>
    </row>
    <row r="1798" spans="1:32" x14ac:dyDescent="0.15">
      <c r="A1798" s="29" t="s">
        <v>67</v>
      </c>
      <c r="B1798" s="13"/>
      <c r="C1798" s="14"/>
      <c r="D1798" s="15"/>
      <c r="E1798" s="11">
        <f t="shared" si="792"/>
        <v>0</v>
      </c>
      <c r="F1798" s="16"/>
      <c r="G1798" s="14"/>
      <c r="H1798" s="15">
        <v>1</v>
      </c>
      <c r="I1798" s="11">
        <f t="shared" si="800"/>
        <v>1</v>
      </c>
      <c r="J1798" s="11">
        <f t="shared" si="793"/>
        <v>1</v>
      </c>
      <c r="K1798" s="65">
        <v>43761</v>
      </c>
      <c r="L1798" s="27"/>
      <c r="M1798" s="13"/>
      <c r="N1798" s="14"/>
      <c r="O1798" s="15"/>
      <c r="P1798" s="11">
        <f t="shared" si="796"/>
        <v>0</v>
      </c>
      <c r="Q1798" s="16"/>
      <c r="R1798" s="14"/>
      <c r="S1798" s="15"/>
      <c r="T1798" s="11">
        <f t="shared" si="797"/>
        <v>0</v>
      </c>
      <c r="U1798" s="11">
        <f t="shared" si="791"/>
        <v>0</v>
      </c>
      <c r="W1798" s="27"/>
      <c r="X1798" s="13"/>
      <c r="Y1798" s="14"/>
      <c r="Z1798" s="15"/>
      <c r="AA1798" s="11">
        <f t="shared" si="798"/>
        <v>0</v>
      </c>
      <c r="AB1798" s="16"/>
      <c r="AC1798" s="14"/>
      <c r="AD1798" s="15"/>
      <c r="AE1798" s="11">
        <f t="shared" si="799"/>
        <v>0</v>
      </c>
      <c r="AF1798" s="11">
        <f t="shared" si="794"/>
        <v>0</v>
      </c>
    </row>
    <row r="1799" spans="1:32" x14ac:dyDescent="0.15">
      <c r="A1799" s="29" t="s">
        <v>67</v>
      </c>
      <c r="B1799" s="8">
        <v>2</v>
      </c>
      <c r="C1799" s="9">
        <v>2</v>
      </c>
      <c r="D1799" s="10">
        <v>4</v>
      </c>
      <c r="E1799" s="11">
        <f t="shared" si="792"/>
        <v>8</v>
      </c>
      <c r="F1799" s="12">
        <v>3</v>
      </c>
      <c r="G1799" s="9">
        <v>2</v>
      </c>
      <c r="H1799" s="10">
        <v>1</v>
      </c>
      <c r="I1799" s="11">
        <f t="shared" si="800"/>
        <v>6</v>
      </c>
      <c r="J1799" s="11">
        <f t="shared" si="793"/>
        <v>14</v>
      </c>
      <c r="K1799" s="65">
        <v>43766</v>
      </c>
      <c r="L1799" s="86"/>
      <c r="M1799" s="13"/>
      <c r="N1799" s="14"/>
      <c r="O1799" s="15"/>
      <c r="P1799" s="11">
        <f t="shared" si="796"/>
        <v>0</v>
      </c>
      <c r="Q1799" s="16"/>
      <c r="R1799" s="14"/>
      <c r="S1799" s="15"/>
      <c r="T1799" s="11">
        <f t="shared" si="797"/>
        <v>0</v>
      </c>
      <c r="U1799" s="11">
        <f t="shared" si="791"/>
        <v>0</v>
      </c>
      <c r="W1799" s="86"/>
      <c r="X1799" s="13"/>
      <c r="Y1799" s="14"/>
      <c r="Z1799" s="15"/>
      <c r="AA1799" s="11">
        <f t="shared" si="798"/>
        <v>0</v>
      </c>
      <c r="AB1799" s="16"/>
      <c r="AC1799" s="14"/>
      <c r="AD1799" s="15"/>
      <c r="AE1799" s="11">
        <f t="shared" si="799"/>
        <v>0</v>
      </c>
      <c r="AF1799" s="11">
        <f t="shared" si="794"/>
        <v>0</v>
      </c>
    </row>
    <row r="1800" spans="1:32" x14ac:dyDescent="0.15">
      <c r="A1800" s="29" t="s">
        <v>67</v>
      </c>
      <c r="B1800" s="8">
        <v>1</v>
      </c>
      <c r="C1800" s="9"/>
      <c r="D1800" s="10"/>
      <c r="E1800" s="11">
        <f t="shared" si="792"/>
        <v>1</v>
      </c>
      <c r="F1800" s="12"/>
      <c r="G1800" s="9"/>
      <c r="H1800" s="10">
        <v>1</v>
      </c>
      <c r="I1800" s="11">
        <f t="shared" si="800"/>
        <v>1</v>
      </c>
      <c r="J1800" s="11">
        <f t="shared" si="793"/>
        <v>2</v>
      </c>
      <c r="K1800" s="65">
        <v>43767</v>
      </c>
      <c r="L1800" s="86"/>
      <c r="M1800" s="13"/>
      <c r="N1800" s="14"/>
      <c r="O1800" s="15"/>
      <c r="P1800" s="11">
        <f t="shared" si="796"/>
        <v>0</v>
      </c>
      <c r="Q1800" s="16"/>
      <c r="R1800" s="14"/>
      <c r="S1800" s="15"/>
      <c r="T1800" s="11">
        <f t="shared" si="797"/>
        <v>0</v>
      </c>
      <c r="U1800" s="11">
        <f t="shared" si="791"/>
        <v>0</v>
      </c>
      <c r="W1800" s="86"/>
      <c r="X1800" s="13"/>
      <c r="Y1800" s="14"/>
      <c r="Z1800" s="15"/>
      <c r="AA1800" s="11">
        <f t="shared" si="798"/>
        <v>0</v>
      </c>
      <c r="AB1800" s="16"/>
      <c r="AC1800" s="14"/>
      <c r="AD1800" s="15"/>
      <c r="AE1800" s="11">
        <f t="shared" si="799"/>
        <v>0</v>
      </c>
      <c r="AF1800" s="11">
        <f t="shared" si="794"/>
        <v>0</v>
      </c>
    </row>
    <row r="1801" spans="1:32" x14ac:dyDescent="0.15">
      <c r="A1801" s="29" t="s">
        <v>67</v>
      </c>
      <c r="B1801" s="8">
        <v>1</v>
      </c>
      <c r="C1801" s="9">
        <v>1</v>
      </c>
      <c r="D1801" s="10"/>
      <c r="E1801" s="11">
        <f t="shared" si="792"/>
        <v>2</v>
      </c>
      <c r="F1801" s="12"/>
      <c r="G1801" s="9"/>
      <c r="H1801" s="10">
        <v>1</v>
      </c>
      <c r="I1801" s="11">
        <f t="shared" si="800"/>
        <v>1</v>
      </c>
      <c r="J1801" s="11">
        <f t="shared" si="793"/>
        <v>3</v>
      </c>
      <c r="K1801" s="65">
        <v>43774</v>
      </c>
      <c r="L1801" s="86"/>
      <c r="M1801" s="13"/>
      <c r="N1801" s="14"/>
      <c r="O1801" s="15"/>
      <c r="P1801" s="11">
        <f t="shared" si="796"/>
        <v>0</v>
      </c>
      <c r="Q1801" s="16"/>
      <c r="R1801" s="14"/>
      <c r="S1801" s="15"/>
      <c r="T1801" s="11">
        <f t="shared" si="797"/>
        <v>0</v>
      </c>
      <c r="U1801" s="11">
        <f t="shared" si="791"/>
        <v>0</v>
      </c>
      <c r="W1801" s="86"/>
      <c r="X1801" s="13"/>
      <c r="Y1801" s="14"/>
      <c r="Z1801" s="15"/>
      <c r="AA1801" s="11">
        <f t="shared" si="798"/>
        <v>0</v>
      </c>
      <c r="AB1801" s="16"/>
      <c r="AC1801" s="14"/>
      <c r="AD1801" s="15"/>
      <c r="AE1801" s="11">
        <f t="shared" si="799"/>
        <v>0</v>
      </c>
      <c r="AF1801" s="11">
        <f t="shared" si="794"/>
        <v>0</v>
      </c>
    </row>
    <row r="1802" spans="1:32" ht="14.25" thickBot="1" x14ac:dyDescent="0.2">
      <c r="A1802" s="29"/>
      <c r="B1802" s="8"/>
      <c r="C1802" s="9"/>
      <c r="D1802" s="10"/>
      <c r="E1802" s="11">
        <f t="shared" si="792"/>
        <v>0</v>
      </c>
      <c r="F1802" s="12"/>
      <c r="G1802" s="9"/>
      <c r="H1802" s="10"/>
      <c r="I1802" s="11">
        <f t="shared" si="800"/>
        <v>0</v>
      </c>
      <c r="J1802" s="11">
        <f t="shared" si="793"/>
        <v>0</v>
      </c>
      <c r="K1802" s="64"/>
      <c r="L1802" s="86"/>
      <c r="M1802" s="13"/>
      <c r="N1802" s="14"/>
      <c r="O1802" s="15"/>
      <c r="P1802" s="11">
        <f t="shared" si="796"/>
        <v>0</v>
      </c>
      <c r="Q1802" s="16"/>
      <c r="R1802" s="14"/>
      <c r="S1802" s="15"/>
      <c r="T1802" s="11">
        <f t="shared" si="797"/>
        <v>0</v>
      </c>
      <c r="U1802" s="11">
        <f t="shared" si="791"/>
        <v>0</v>
      </c>
      <c r="W1802" s="86"/>
      <c r="X1802" s="13"/>
      <c r="Y1802" s="14"/>
      <c r="Z1802" s="15"/>
      <c r="AA1802" s="11">
        <f t="shared" si="798"/>
        <v>0</v>
      </c>
      <c r="AB1802" s="16"/>
      <c r="AC1802" s="14"/>
      <c r="AD1802" s="15"/>
      <c r="AE1802" s="11">
        <f t="shared" si="799"/>
        <v>0</v>
      </c>
      <c r="AF1802" s="11">
        <f t="shared" si="794"/>
        <v>0</v>
      </c>
    </row>
    <row r="1803" spans="1:32" ht="14.25" thickBot="1" x14ac:dyDescent="0.2">
      <c r="A1803" s="44" t="s">
        <v>13</v>
      </c>
      <c r="B1803" s="48">
        <f t="shared" ref="B1803:I1803" si="801">SUM(B1777:B1802)</f>
        <v>66</v>
      </c>
      <c r="C1803" s="49">
        <f t="shared" si="801"/>
        <v>63</v>
      </c>
      <c r="D1803" s="50">
        <f t="shared" si="801"/>
        <v>67</v>
      </c>
      <c r="E1803" s="46">
        <f t="shared" si="801"/>
        <v>196</v>
      </c>
      <c r="F1803" s="48">
        <f t="shared" si="801"/>
        <v>54</v>
      </c>
      <c r="G1803" s="49">
        <f t="shared" si="801"/>
        <v>46</v>
      </c>
      <c r="H1803" s="50">
        <f t="shared" si="801"/>
        <v>39</v>
      </c>
      <c r="I1803" s="46">
        <f t="shared" si="801"/>
        <v>139</v>
      </c>
      <c r="J1803" s="35">
        <f>E1803+I1803</f>
        <v>335</v>
      </c>
      <c r="L1803" s="44" t="s">
        <v>13</v>
      </c>
      <c r="M1803" s="48">
        <f t="shared" ref="M1803:T1803" si="802">SUM(M1777:M1802)</f>
        <v>15</v>
      </c>
      <c r="N1803" s="49">
        <f t="shared" si="802"/>
        <v>31</v>
      </c>
      <c r="O1803" s="50">
        <f t="shared" si="802"/>
        <v>20</v>
      </c>
      <c r="P1803" s="46">
        <f t="shared" si="802"/>
        <v>66</v>
      </c>
      <c r="Q1803" s="48">
        <f t="shared" si="802"/>
        <v>30</v>
      </c>
      <c r="R1803" s="49">
        <f t="shared" si="802"/>
        <v>0</v>
      </c>
      <c r="S1803" s="50">
        <f t="shared" si="802"/>
        <v>20</v>
      </c>
      <c r="T1803" s="46">
        <f t="shared" si="802"/>
        <v>50</v>
      </c>
      <c r="U1803" s="35">
        <f>P1803+T1803</f>
        <v>116</v>
      </c>
      <c r="W1803" s="44" t="s">
        <v>13</v>
      </c>
      <c r="X1803" s="48">
        <f t="shared" ref="X1803:AE1803" si="803">SUM(X1777:X1802)</f>
        <v>50</v>
      </c>
      <c r="Y1803" s="49">
        <f t="shared" si="803"/>
        <v>50</v>
      </c>
      <c r="Z1803" s="50">
        <f t="shared" si="803"/>
        <v>50</v>
      </c>
      <c r="AA1803" s="46">
        <f t="shared" si="803"/>
        <v>150</v>
      </c>
      <c r="AB1803" s="48">
        <f t="shared" si="803"/>
        <v>50</v>
      </c>
      <c r="AC1803" s="49">
        <f t="shared" si="803"/>
        <v>50</v>
      </c>
      <c r="AD1803" s="50">
        <f t="shared" si="803"/>
        <v>49</v>
      </c>
      <c r="AE1803" s="46">
        <f t="shared" si="803"/>
        <v>149</v>
      </c>
      <c r="AF1803" s="35">
        <f>AA1803+AE1803</f>
        <v>299</v>
      </c>
    </row>
    <row r="1804" spans="1:32" ht="14.25" thickBot="1" x14ac:dyDescent="0.2">
      <c r="A1804" s="23" t="s">
        <v>14</v>
      </c>
      <c r="B1804" s="24">
        <f t="shared" ref="B1804:J1804" si="804">B1776-B1803</f>
        <v>25</v>
      </c>
      <c r="C1804" s="25">
        <f t="shared" si="804"/>
        <v>44</v>
      </c>
      <c r="D1804" s="30">
        <f t="shared" si="804"/>
        <v>15</v>
      </c>
      <c r="E1804" s="51">
        <f t="shared" si="804"/>
        <v>84</v>
      </c>
      <c r="F1804" s="24">
        <f t="shared" si="804"/>
        <v>36</v>
      </c>
      <c r="G1804" s="25">
        <f t="shared" si="804"/>
        <v>19</v>
      </c>
      <c r="H1804" s="30">
        <f t="shared" si="804"/>
        <v>44</v>
      </c>
      <c r="I1804" s="47">
        <f t="shared" si="804"/>
        <v>99</v>
      </c>
      <c r="J1804" s="79">
        <f t="shared" si="804"/>
        <v>183</v>
      </c>
      <c r="L1804" s="23" t="s">
        <v>14</v>
      </c>
      <c r="M1804" s="24">
        <f t="shared" ref="M1804:U1804" si="805">M1776-M1803</f>
        <v>7</v>
      </c>
      <c r="N1804" s="25">
        <f t="shared" si="805"/>
        <v>0</v>
      </c>
      <c r="O1804" s="30">
        <f t="shared" si="805"/>
        <v>4</v>
      </c>
      <c r="P1804" s="51">
        <f t="shared" si="805"/>
        <v>11</v>
      </c>
      <c r="Q1804" s="24">
        <f t="shared" si="805"/>
        <v>5</v>
      </c>
      <c r="R1804" s="25">
        <f t="shared" si="805"/>
        <v>20</v>
      </c>
      <c r="S1804" s="30">
        <f t="shared" si="805"/>
        <v>5</v>
      </c>
      <c r="T1804" s="47">
        <f t="shared" si="805"/>
        <v>30</v>
      </c>
      <c r="U1804" s="79">
        <f t="shared" si="805"/>
        <v>41</v>
      </c>
      <c r="W1804" s="23" t="s">
        <v>14</v>
      </c>
      <c r="X1804" s="24">
        <f t="shared" ref="X1804:AF1804" si="806">X1776-X1803</f>
        <v>737</v>
      </c>
      <c r="Y1804" s="25">
        <f t="shared" si="806"/>
        <v>185</v>
      </c>
      <c r="Z1804" s="30">
        <f t="shared" si="806"/>
        <v>400</v>
      </c>
      <c r="AA1804" s="51">
        <f t="shared" si="806"/>
        <v>1322</v>
      </c>
      <c r="AB1804" s="24">
        <f t="shared" si="806"/>
        <v>354</v>
      </c>
      <c r="AC1804" s="25">
        <f t="shared" si="806"/>
        <v>295</v>
      </c>
      <c r="AD1804" s="30">
        <f t="shared" si="806"/>
        <v>500</v>
      </c>
      <c r="AE1804" s="47">
        <f t="shared" si="806"/>
        <v>1149</v>
      </c>
      <c r="AF1804" s="79">
        <f t="shared" si="806"/>
        <v>2471</v>
      </c>
    </row>
    <row r="1807" spans="1:32" ht="19.5" thickBot="1" x14ac:dyDescent="0.25">
      <c r="A1807" s="142" t="s">
        <v>850</v>
      </c>
      <c r="B1807" s="143"/>
      <c r="C1807" s="143"/>
      <c r="D1807" s="143"/>
      <c r="E1807" s="143"/>
      <c r="F1807" s="1"/>
      <c r="G1807" s="1"/>
      <c r="H1807" s="1"/>
      <c r="I1807" s="1"/>
      <c r="J1807" s="1"/>
      <c r="L1807" s="148" t="s">
        <v>851</v>
      </c>
      <c r="M1807" s="149"/>
      <c r="N1807" s="149"/>
      <c r="O1807" s="149"/>
      <c r="P1807" s="149"/>
      <c r="Q1807" s="2"/>
      <c r="R1807" s="1"/>
      <c r="S1807" s="1"/>
      <c r="T1807" s="1"/>
      <c r="U1807" s="1"/>
      <c r="W1807" s="150" t="s">
        <v>765</v>
      </c>
      <c r="X1807" s="151"/>
      <c r="Y1807" s="151"/>
      <c r="Z1807" s="151"/>
      <c r="AA1807" s="106"/>
      <c r="AB1807" s="1"/>
      <c r="AC1807" s="1"/>
      <c r="AD1807" s="1"/>
      <c r="AE1807" s="1"/>
      <c r="AF1807" s="1"/>
    </row>
    <row r="1808" spans="1:32" ht="14.25" thickBot="1" x14ac:dyDescent="0.2">
      <c r="A1808" s="7" t="s">
        <v>0</v>
      </c>
      <c r="B1808" s="168" t="s">
        <v>1</v>
      </c>
      <c r="C1808" s="169"/>
      <c r="D1808" s="169"/>
      <c r="E1808" s="170"/>
      <c r="F1808" s="168" t="s">
        <v>2</v>
      </c>
      <c r="G1808" s="169"/>
      <c r="H1808" s="169"/>
      <c r="I1808" s="171"/>
      <c r="J1808" s="172" t="s">
        <v>3</v>
      </c>
      <c r="L1808" s="7" t="s">
        <v>0</v>
      </c>
      <c r="M1808" s="174" t="s">
        <v>1</v>
      </c>
      <c r="N1808" s="175"/>
      <c r="O1808" s="176"/>
      <c r="P1808" s="101"/>
      <c r="Q1808" s="174" t="s">
        <v>2</v>
      </c>
      <c r="R1808" s="175"/>
      <c r="S1808" s="176"/>
      <c r="T1808" s="102"/>
      <c r="U1808" s="103" t="s">
        <v>3</v>
      </c>
      <c r="W1808" s="7" t="s">
        <v>0</v>
      </c>
      <c r="X1808" s="174" t="s">
        <v>1</v>
      </c>
      <c r="Y1808" s="175"/>
      <c r="Z1808" s="176"/>
      <c r="AA1808" s="101"/>
      <c r="AB1808" s="174" t="s">
        <v>2</v>
      </c>
      <c r="AC1808" s="175"/>
      <c r="AD1808" s="176"/>
      <c r="AE1808" s="102"/>
      <c r="AF1808" s="103" t="s">
        <v>3</v>
      </c>
    </row>
    <row r="1809" spans="1:35" ht="14.25" thickBot="1" x14ac:dyDescent="0.2">
      <c r="A1809" s="7" t="s">
        <v>4</v>
      </c>
      <c r="B1809" s="3" t="s">
        <v>5</v>
      </c>
      <c r="C1809" s="4" t="s">
        <v>6</v>
      </c>
      <c r="D1809" s="5" t="s">
        <v>7</v>
      </c>
      <c r="E1809" s="7" t="s">
        <v>8</v>
      </c>
      <c r="F1809" s="3" t="s">
        <v>5</v>
      </c>
      <c r="G1809" s="4" t="s">
        <v>6</v>
      </c>
      <c r="H1809" s="5" t="s">
        <v>7</v>
      </c>
      <c r="I1809" s="7" t="s">
        <v>8</v>
      </c>
      <c r="J1809" s="173"/>
      <c r="L1809" s="7" t="s">
        <v>4</v>
      </c>
      <c r="M1809" s="3" t="s">
        <v>5</v>
      </c>
      <c r="N1809" s="4" t="s">
        <v>6</v>
      </c>
      <c r="O1809" s="5" t="s">
        <v>7</v>
      </c>
      <c r="P1809" s="7" t="s">
        <v>8</v>
      </c>
      <c r="Q1809" s="107" t="s">
        <v>5</v>
      </c>
      <c r="R1809" s="108" t="s">
        <v>6</v>
      </c>
      <c r="S1809" s="109" t="s">
        <v>7</v>
      </c>
      <c r="T1809" s="7" t="s">
        <v>8</v>
      </c>
      <c r="U1809" s="104"/>
      <c r="W1809" s="7" t="s">
        <v>4</v>
      </c>
      <c r="X1809" s="3" t="s">
        <v>5</v>
      </c>
      <c r="Y1809" s="4" t="s">
        <v>6</v>
      </c>
      <c r="Z1809" s="5" t="s">
        <v>7</v>
      </c>
      <c r="AA1809" s="7" t="s">
        <v>8</v>
      </c>
      <c r="AB1809" s="107" t="s">
        <v>5</v>
      </c>
      <c r="AC1809" s="108" t="s">
        <v>6</v>
      </c>
      <c r="AD1809" s="109" t="s">
        <v>7</v>
      </c>
      <c r="AE1809" s="7" t="s">
        <v>8</v>
      </c>
      <c r="AF1809" s="104"/>
    </row>
    <row r="1810" spans="1:35" ht="14.25" thickBot="1" x14ac:dyDescent="0.2">
      <c r="A1810" s="31" t="s">
        <v>14</v>
      </c>
      <c r="B1810" s="32">
        <f>B1804</f>
        <v>25</v>
      </c>
      <c r="C1810" s="33">
        <f>C1804</f>
        <v>44</v>
      </c>
      <c r="D1810" s="34">
        <f>D1804</f>
        <v>15</v>
      </c>
      <c r="E1810" s="41">
        <f>SUM(B1810:D1810)</f>
        <v>84</v>
      </c>
      <c r="F1810" s="32">
        <f>F1804</f>
        <v>36</v>
      </c>
      <c r="G1810" s="33">
        <f>G1804</f>
        <v>19</v>
      </c>
      <c r="H1810" s="34">
        <f>H1804</f>
        <v>44</v>
      </c>
      <c r="I1810" s="41">
        <f>SUM(F1810:H1810)</f>
        <v>99</v>
      </c>
      <c r="J1810" s="41">
        <f>E1810+I1810</f>
        <v>183</v>
      </c>
      <c r="L1810" s="31" t="s">
        <v>14</v>
      </c>
      <c r="M1810" s="32">
        <f>M1804</f>
        <v>7</v>
      </c>
      <c r="N1810" s="33">
        <f>N1804</f>
        <v>0</v>
      </c>
      <c r="O1810" s="33">
        <f>O1804</f>
        <v>4</v>
      </c>
      <c r="P1810" s="111">
        <f>SUM(M1810:O1810)</f>
        <v>11</v>
      </c>
      <c r="Q1810" s="32">
        <f>Q1804</f>
        <v>5</v>
      </c>
      <c r="R1810" s="33">
        <f>R1804</f>
        <v>20</v>
      </c>
      <c r="S1810" s="95">
        <f>S1804</f>
        <v>5</v>
      </c>
      <c r="T1810" s="46">
        <f>SUM(Q1810:S1810)</f>
        <v>30</v>
      </c>
      <c r="U1810" s="35">
        <f>P1810+T1810</f>
        <v>41</v>
      </c>
      <c r="W1810" s="31" t="s">
        <v>14</v>
      </c>
      <c r="X1810" s="32">
        <f>X1804</f>
        <v>737</v>
      </c>
      <c r="Y1810" s="33">
        <f>Y1804</f>
        <v>185</v>
      </c>
      <c r="Z1810" s="33">
        <f>Z1804</f>
        <v>400</v>
      </c>
      <c r="AA1810" s="111">
        <f>SUM(X1810:Z1810)</f>
        <v>1322</v>
      </c>
      <c r="AB1810" s="32">
        <f>AB1804</f>
        <v>354</v>
      </c>
      <c r="AC1810" s="33">
        <f>AC1804</f>
        <v>295</v>
      </c>
      <c r="AD1810" s="95">
        <f>AD1804</f>
        <v>500</v>
      </c>
      <c r="AE1810" s="46">
        <f>SUM(AB1810:AD1810)</f>
        <v>1149</v>
      </c>
      <c r="AF1810" s="35">
        <f>AA1810+AE1810</f>
        <v>2471</v>
      </c>
    </row>
    <row r="1811" spans="1:35" x14ac:dyDescent="0.15">
      <c r="A1811" s="28" t="s">
        <v>9</v>
      </c>
      <c r="B1811" s="17"/>
      <c r="C1811" s="18"/>
      <c r="D1811" s="19"/>
      <c r="E1811" s="20">
        <f>SUM(B1811:D1811)</f>
        <v>0</v>
      </c>
      <c r="F1811" s="21"/>
      <c r="G1811" s="18">
        <v>5</v>
      </c>
      <c r="H1811" s="19"/>
      <c r="I1811" s="20">
        <f>SUM(F1811:H1811)</f>
        <v>5</v>
      </c>
      <c r="J1811" s="20">
        <f>E1811+I1811</f>
        <v>5</v>
      </c>
      <c r="K1811" s="65">
        <v>43815</v>
      </c>
      <c r="L1811" s="28" t="s">
        <v>9</v>
      </c>
      <c r="M1811" s="8"/>
      <c r="N1811" s="9">
        <v>15</v>
      </c>
      <c r="O1811" s="10"/>
      <c r="P1811" s="78">
        <f t="shared" ref="P1811:P1818" si="807">SUM(M1811:O1811)</f>
        <v>15</v>
      </c>
      <c r="Q1811" s="21">
        <v>20</v>
      </c>
      <c r="R1811" s="18"/>
      <c r="S1811" s="19">
        <v>20</v>
      </c>
      <c r="T1811" s="78">
        <f t="shared" ref="T1811:T1818" si="808">SUM(Q1811:S1811)</f>
        <v>40</v>
      </c>
      <c r="U1811" s="78">
        <f t="shared" ref="U1811:U1818" si="809">P1811+T1811</f>
        <v>55</v>
      </c>
      <c r="V1811" s="71">
        <v>43862</v>
      </c>
      <c r="W1811" s="28" t="s">
        <v>9</v>
      </c>
      <c r="X1811" s="8"/>
      <c r="Y1811" s="9"/>
      <c r="Z1811" s="10"/>
      <c r="AA1811" s="78">
        <f t="shared" ref="AA1811:AA1818" si="810">SUM(X1811:Z1811)</f>
        <v>0</v>
      </c>
      <c r="AB1811" s="21"/>
      <c r="AC1811" s="18"/>
      <c r="AD1811" s="19"/>
      <c r="AE1811" s="78">
        <f t="shared" ref="AE1811:AE1818" si="811">SUM(AB1811:AD1811)</f>
        <v>0</v>
      </c>
      <c r="AF1811" s="78">
        <f t="shared" ref="AF1811:AF1818" si="812">AA1811+AE1811</f>
        <v>0</v>
      </c>
    </row>
    <row r="1812" spans="1:35" x14ac:dyDescent="0.15">
      <c r="A1812" s="28" t="s">
        <v>10</v>
      </c>
      <c r="B1812" s="8"/>
      <c r="C1812" s="9"/>
      <c r="D1812" s="10"/>
      <c r="E1812" s="11">
        <f t="shared" ref="E1812:E1818" si="813">SUM(B1812:D1812)</f>
        <v>0</v>
      </c>
      <c r="F1812" s="12"/>
      <c r="G1812" s="9"/>
      <c r="H1812" s="10"/>
      <c r="I1812" s="11">
        <f t="shared" ref="I1812:I1818" si="814">SUM(F1812:H1812)</f>
        <v>0</v>
      </c>
      <c r="J1812" s="11">
        <f t="shared" ref="J1812:J1818" si="815">E1812+I1812</f>
        <v>0</v>
      </c>
      <c r="K1812" s="65"/>
      <c r="L1812" s="28" t="s">
        <v>852</v>
      </c>
      <c r="M1812" s="8">
        <v>50</v>
      </c>
      <c r="N1812" s="9">
        <v>50</v>
      </c>
      <c r="O1812" s="10">
        <v>50</v>
      </c>
      <c r="P1812" s="11">
        <f t="shared" si="807"/>
        <v>150</v>
      </c>
      <c r="Q1812" s="12"/>
      <c r="R1812" s="9">
        <v>45</v>
      </c>
      <c r="S1812" s="10"/>
      <c r="T1812" s="11">
        <f t="shared" si="808"/>
        <v>45</v>
      </c>
      <c r="U1812" s="11">
        <f t="shared" si="809"/>
        <v>195</v>
      </c>
      <c r="V1812" s="65">
        <v>43868</v>
      </c>
      <c r="W1812" s="28" t="s">
        <v>10</v>
      </c>
      <c r="X1812" s="8"/>
      <c r="Y1812" s="9"/>
      <c r="Z1812" s="10"/>
      <c r="AA1812" s="11">
        <f t="shared" si="810"/>
        <v>0</v>
      </c>
      <c r="AB1812" s="12"/>
      <c r="AC1812" s="9"/>
      <c r="AD1812" s="10"/>
      <c r="AE1812" s="11">
        <f t="shared" si="811"/>
        <v>0</v>
      </c>
      <c r="AF1812" s="11">
        <f t="shared" si="812"/>
        <v>0</v>
      </c>
    </row>
    <row r="1813" spans="1:35" x14ac:dyDescent="0.15">
      <c r="A1813" s="28" t="s">
        <v>11</v>
      </c>
      <c r="B1813" s="8"/>
      <c r="C1813" s="9"/>
      <c r="D1813" s="10"/>
      <c r="E1813" s="11">
        <f t="shared" si="813"/>
        <v>0</v>
      </c>
      <c r="F1813" s="12"/>
      <c r="G1813" s="9"/>
      <c r="H1813" s="10"/>
      <c r="I1813" s="11">
        <f t="shared" si="814"/>
        <v>0</v>
      </c>
      <c r="J1813" s="11">
        <f t="shared" si="815"/>
        <v>0</v>
      </c>
      <c r="K1813" s="65"/>
      <c r="L1813" s="28" t="s">
        <v>11</v>
      </c>
      <c r="M1813" s="8"/>
      <c r="N1813" s="9"/>
      <c r="O1813" s="10"/>
      <c r="P1813" s="11">
        <f t="shared" si="807"/>
        <v>0</v>
      </c>
      <c r="Q1813" s="12"/>
      <c r="R1813" s="9"/>
      <c r="S1813" s="10"/>
      <c r="T1813" s="11">
        <f t="shared" si="808"/>
        <v>0</v>
      </c>
      <c r="U1813" s="11">
        <f t="shared" si="809"/>
        <v>0</v>
      </c>
      <c r="W1813" s="28" t="s">
        <v>878</v>
      </c>
      <c r="X1813" s="8"/>
      <c r="Y1813" s="9"/>
      <c r="Z1813" s="10"/>
      <c r="AA1813" s="11">
        <f t="shared" si="810"/>
        <v>0</v>
      </c>
      <c r="AB1813" s="12"/>
      <c r="AC1813" s="9"/>
      <c r="AD1813" s="10"/>
      <c r="AE1813" s="11">
        <f t="shared" si="811"/>
        <v>0</v>
      </c>
      <c r="AF1813" s="11">
        <f t="shared" si="812"/>
        <v>0</v>
      </c>
      <c r="AG1813" s="65"/>
      <c r="AH1813" s="64"/>
      <c r="AI1813" s="64"/>
    </row>
    <row r="1814" spans="1:35" x14ac:dyDescent="0.15">
      <c r="A1814" s="28" t="s">
        <v>12</v>
      </c>
      <c r="B1814" s="8"/>
      <c r="C1814" s="9"/>
      <c r="D1814" s="10"/>
      <c r="E1814" s="11">
        <f t="shared" si="813"/>
        <v>0</v>
      </c>
      <c r="F1814" s="12"/>
      <c r="G1814" s="9"/>
      <c r="H1814" s="10"/>
      <c r="I1814" s="11">
        <f t="shared" si="814"/>
        <v>0</v>
      </c>
      <c r="J1814" s="11">
        <f t="shared" si="815"/>
        <v>0</v>
      </c>
      <c r="K1814" s="65"/>
      <c r="L1814" s="28" t="s">
        <v>12</v>
      </c>
      <c r="M1814" s="8"/>
      <c r="N1814" s="9"/>
      <c r="O1814" s="10"/>
      <c r="P1814" s="11">
        <f t="shared" si="807"/>
        <v>0</v>
      </c>
      <c r="Q1814" s="12"/>
      <c r="R1814" s="9"/>
      <c r="S1814" s="10"/>
      <c r="T1814" s="11">
        <f t="shared" si="808"/>
        <v>0</v>
      </c>
      <c r="U1814" s="11">
        <f t="shared" si="809"/>
        <v>0</v>
      </c>
      <c r="W1814" s="28" t="s">
        <v>12</v>
      </c>
      <c r="X1814" s="8"/>
      <c r="Y1814" s="9"/>
      <c r="Z1814" s="10"/>
      <c r="AA1814" s="11">
        <f t="shared" si="810"/>
        <v>0</v>
      </c>
      <c r="AB1814" s="12"/>
      <c r="AC1814" s="9"/>
      <c r="AD1814" s="10"/>
      <c r="AE1814" s="11">
        <f t="shared" si="811"/>
        <v>0</v>
      </c>
      <c r="AF1814" s="11">
        <f t="shared" si="812"/>
        <v>0</v>
      </c>
      <c r="AG1814" s="64"/>
      <c r="AH1814" s="64"/>
      <c r="AI1814" s="64"/>
    </row>
    <row r="1815" spans="1:35" x14ac:dyDescent="0.15">
      <c r="A1815" s="28" t="s">
        <v>15</v>
      </c>
      <c r="B1815" s="8"/>
      <c r="C1815" s="9"/>
      <c r="D1815" s="10"/>
      <c r="E1815" s="11">
        <f t="shared" si="813"/>
        <v>0</v>
      </c>
      <c r="F1815" s="12"/>
      <c r="G1815" s="9"/>
      <c r="H1815" s="10"/>
      <c r="I1815" s="11">
        <f t="shared" si="814"/>
        <v>0</v>
      </c>
      <c r="J1815" s="11">
        <f t="shared" si="815"/>
        <v>0</v>
      </c>
      <c r="K1815" s="65"/>
      <c r="L1815" s="28" t="s">
        <v>15</v>
      </c>
      <c r="M1815" s="8"/>
      <c r="N1815" s="9"/>
      <c r="O1815" s="10"/>
      <c r="P1815" s="11">
        <f t="shared" si="807"/>
        <v>0</v>
      </c>
      <c r="Q1815" s="12"/>
      <c r="R1815" s="9"/>
      <c r="S1815" s="10"/>
      <c r="T1815" s="11">
        <f t="shared" si="808"/>
        <v>0</v>
      </c>
      <c r="U1815" s="11">
        <f t="shared" si="809"/>
        <v>0</v>
      </c>
      <c r="W1815" s="28" t="s">
        <v>15</v>
      </c>
      <c r="X1815" s="8"/>
      <c r="Y1815" s="9"/>
      <c r="Z1815" s="10"/>
      <c r="AA1815" s="11">
        <f t="shared" si="810"/>
        <v>0</v>
      </c>
      <c r="AB1815" s="12"/>
      <c r="AC1815" s="9"/>
      <c r="AD1815" s="10"/>
      <c r="AE1815" s="11">
        <f t="shared" si="811"/>
        <v>0</v>
      </c>
      <c r="AF1815" s="11">
        <f t="shared" si="812"/>
        <v>0</v>
      </c>
    </row>
    <row r="1816" spans="1:35" x14ac:dyDescent="0.15">
      <c r="A1816" s="28" t="s">
        <v>16</v>
      </c>
      <c r="B1816" s="8"/>
      <c r="C1816" s="9"/>
      <c r="D1816" s="10"/>
      <c r="E1816" s="11">
        <f t="shared" si="813"/>
        <v>0</v>
      </c>
      <c r="F1816" s="12"/>
      <c r="G1816" s="9"/>
      <c r="H1816" s="10"/>
      <c r="I1816" s="11">
        <f t="shared" si="814"/>
        <v>0</v>
      </c>
      <c r="J1816" s="11">
        <f t="shared" si="815"/>
        <v>0</v>
      </c>
      <c r="K1816" s="65"/>
      <c r="L1816" s="28" t="s">
        <v>16</v>
      </c>
      <c r="M1816" s="8"/>
      <c r="N1816" s="9"/>
      <c r="O1816" s="10"/>
      <c r="P1816" s="11">
        <f t="shared" si="807"/>
        <v>0</v>
      </c>
      <c r="Q1816" s="12"/>
      <c r="R1816" s="9"/>
      <c r="S1816" s="10"/>
      <c r="T1816" s="11">
        <f t="shared" si="808"/>
        <v>0</v>
      </c>
      <c r="U1816" s="11">
        <f t="shared" si="809"/>
        <v>0</v>
      </c>
      <c r="W1816" s="28" t="s">
        <v>16</v>
      </c>
      <c r="X1816" s="8"/>
      <c r="Y1816" s="9"/>
      <c r="Z1816" s="10"/>
      <c r="AA1816" s="11">
        <f t="shared" si="810"/>
        <v>0</v>
      </c>
      <c r="AB1816" s="12"/>
      <c r="AC1816" s="9"/>
      <c r="AD1816" s="10"/>
      <c r="AE1816" s="11">
        <f t="shared" si="811"/>
        <v>0</v>
      </c>
      <c r="AF1816" s="11">
        <f t="shared" si="812"/>
        <v>0</v>
      </c>
    </row>
    <row r="1817" spans="1:35" x14ac:dyDescent="0.15">
      <c r="A1817" s="28" t="s">
        <v>17</v>
      </c>
      <c r="B1817" s="13"/>
      <c r="C1817" s="14"/>
      <c r="D1817" s="15"/>
      <c r="E1817" s="11">
        <f t="shared" si="813"/>
        <v>0</v>
      </c>
      <c r="F1817" s="16"/>
      <c r="G1817" s="14"/>
      <c r="H1817" s="15"/>
      <c r="I1817" s="11">
        <f t="shared" si="814"/>
        <v>0</v>
      </c>
      <c r="J1817" s="11">
        <f t="shared" si="815"/>
        <v>0</v>
      </c>
      <c r="K1817" s="65"/>
      <c r="L1817" s="28" t="s">
        <v>17</v>
      </c>
      <c r="M1817" s="8"/>
      <c r="N1817" s="9"/>
      <c r="O1817" s="10"/>
      <c r="P1817" s="11">
        <f t="shared" si="807"/>
        <v>0</v>
      </c>
      <c r="Q1817" s="12"/>
      <c r="R1817" s="12"/>
      <c r="S1817" s="87"/>
      <c r="T1817" s="11">
        <f t="shared" si="808"/>
        <v>0</v>
      </c>
      <c r="U1817" s="11">
        <f t="shared" si="809"/>
        <v>0</v>
      </c>
      <c r="W1817" s="28" t="s">
        <v>17</v>
      </c>
      <c r="X1817" s="8"/>
      <c r="Y1817" s="9"/>
      <c r="Z1817" s="10"/>
      <c r="AA1817" s="11">
        <f t="shared" si="810"/>
        <v>0</v>
      </c>
      <c r="AB1817" s="12"/>
      <c r="AC1817" s="12"/>
      <c r="AD1817" s="87"/>
      <c r="AE1817" s="11">
        <f t="shared" si="811"/>
        <v>0</v>
      </c>
      <c r="AF1817" s="11">
        <f t="shared" si="812"/>
        <v>0</v>
      </c>
    </row>
    <row r="1818" spans="1:35" ht="14.25" thickBot="1" x14ac:dyDescent="0.2">
      <c r="A1818" s="28" t="s">
        <v>18</v>
      </c>
      <c r="B1818" s="36"/>
      <c r="C1818" s="37"/>
      <c r="D1818" s="40"/>
      <c r="E1818" s="22">
        <f t="shared" si="813"/>
        <v>0</v>
      </c>
      <c r="F1818" s="38"/>
      <c r="G1818" s="38"/>
      <c r="H1818" s="43"/>
      <c r="I1818" s="22">
        <f t="shared" si="814"/>
        <v>0</v>
      </c>
      <c r="J1818" s="22">
        <f t="shared" si="815"/>
        <v>0</v>
      </c>
      <c r="L1818" s="28" t="s">
        <v>18</v>
      </c>
      <c r="M1818" s="127"/>
      <c r="N1818" s="128"/>
      <c r="O1818" s="129"/>
      <c r="P1818" s="130">
        <f t="shared" si="807"/>
        <v>0</v>
      </c>
      <c r="Q1818" s="131"/>
      <c r="R1818" s="131"/>
      <c r="S1818" s="132"/>
      <c r="T1818" s="130">
        <f t="shared" si="808"/>
        <v>0</v>
      </c>
      <c r="U1818" s="130">
        <f t="shared" si="809"/>
        <v>0</v>
      </c>
      <c r="W1818" s="28" t="s">
        <v>18</v>
      </c>
      <c r="X1818" s="127"/>
      <c r="Y1818" s="128"/>
      <c r="Z1818" s="129"/>
      <c r="AA1818" s="130">
        <f t="shared" si="810"/>
        <v>0</v>
      </c>
      <c r="AB1818" s="131"/>
      <c r="AC1818" s="131"/>
      <c r="AD1818" s="132"/>
      <c r="AE1818" s="130">
        <f t="shared" si="811"/>
        <v>0</v>
      </c>
      <c r="AF1818" s="130">
        <f t="shared" si="812"/>
        <v>0</v>
      </c>
    </row>
    <row r="1819" spans="1:35" ht="14.25" thickBot="1" x14ac:dyDescent="0.2">
      <c r="A1819" s="39" t="s">
        <v>20</v>
      </c>
      <c r="B1819" s="32">
        <f t="shared" ref="B1819:J1819" si="816">SUM(B1810:B1818)</f>
        <v>25</v>
      </c>
      <c r="C1819" s="33">
        <f t="shared" si="816"/>
        <v>44</v>
      </c>
      <c r="D1819" s="34">
        <f t="shared" si="816"/>
        <v>15</v>
      </c>
      <c r="E1819" s="42">
        <f t="shared" si="816"/>
        <v>84</v>
      </c>
      <c r="F1819" s="32">
        <f t="shared" si="816"/>
        <v>36</v>
      </c>
      <c r="G1819" s="33">
        <f t="shared" si="816"/>
        <v>24</v>
      </c>
      <c r="H1819" s="34">
        <f t="shared" si="816"/>
        <v>44</v>
      </c>
      <c r="I1819" s="42">
        <f t="shared" si="816"/>
        <v>104</v>
      </c>
      <c r="J1819" s="42">
        <f t="shared" si="816"/>
        <v>188</v>
      </c>
      <c r="L1819" s="39" t="s">
        <v>20</v>
      </c>
      <c r="M1819" s="32">
        <f t="shared" ref="M1819:U1819" si="817">SUM(M1810:M1818)</f>
        <v>57</v>
      </c>
      <c r="N1819" s="33">
        <f t="shared" si="817"/>
        <v>65</v>
      </c>
      <c r="O1819" s="34">
        <f t="shared" si="817"/>
        <v>54</v>
      </c>
      <c r="P1819" s="42">
        <f t="shared" si="817"/>
        <v>176</v>
      </c>
      <c r="Q1819" s="32">
        <f t="shared" si="817"/>
        <v>25</v>
      </c>
      <c r="R1819" s="33">
        <f t="shared" si="817"/>
        <v>65</v>
      </c>
      <c r="S1819" s="34">
        <f t="shared" si="817"/>
        <v>25</v>
      </c>
      <c r="T1819" s="42">
        <f t="shared" si="817"/>
        <v>115</v>
      </c>
      <c r="U1819" s="42">
        <f t="shared" si="817"/>
        <v>291</v>
      </c>
      <c r="W1819" s="39" t="s">
        <v>20</v>
      </c>
      <c r="X1819" s="32">
        <f t="shared" ref="X1819:AF1819" si="818">SUM(X1810:X1818)</f>
        <v>737</v>
      </c>
      <c r="Y1819" s="33">
        <f t="shared" si="818"/>
        <v>185</v>
      </c>
      <c r="Z1819" s="34">
        <f t="shared" si="818"/>
        <v>400</v>
      </c>
      <c r="AA1819" s="42">
        <f t="shared" si="818"/>
        <v>1322</v>
      </c>
      <c r="AB1819" s="32">
        <f t="shared" si="818"/>
        <v>354</v>
      </c>
      <c r="AC1819" s="33">
        <f t="shared" si="818"/>
        <v>295</v>
      </c>
      <c r="AD1819" s="34">
        <f t="shared" si="818"/>
        <v>500</v>
      </c>
      <c r="AE1819" s="42">
        <f t="shared" si="818"/>
        <v>1149</v>
      </c>
      <c r="AF1819" s="42">
        <f t="shared" si="818"/>
        <v>2471</v>
      </c>
    </row>
    <row r="1820" spans="1:35" x14ac:dyDescent="0.15">
      <c r="A1820" s="29" t="s">
        <v>876</v>
      </c>
      <c r="B1820" s="13"/>
      <c r="C1820" s="14">
        <v>12</v>
      </c>
      <c r="D1820" s="15"/>
      <c r="E1820" s="11">
        <f>SUM(B1820:D1820)</f>
        <v>12</v>
      </c>
      <c r="F1820" s="16"/>
      <c r="G1820" s="14">
        <v>10</v>
      </c>
      <c r="H1820" s="15"/>
      <c r="I1820" s="11">
        <f>SUM(F1820:H1820)</f>
        <v>10</v>
      </c>
      <c r="J1820" s="11">
        <f>E1820+I1820</f>
        <v>22</v>
      </c>
      <c r="K1820" s="65">
        <v>43780</v>
      </c>
      <c r="L1820" s="29" t="s">
        <v>880</v>
      </c>
      <c r="M1820" s="8"/>
      <c r="N1820" s="9"/>
      <c r="O1820" s="10"/>
      <c r="P1820" s="11">
        <f>SUM(M1820:O1820)</f>
        <v>0</v>
      </c>
      <c r="Q1820" s="12"/>
      <c r="R1820" s="9">
        <v>5</v>
      </c>
      <c r="S1820" s="10"/>
      <c r="T1820" s="11">
        <f>SUM(Q1820:S1820)</f>
        <v>5</v>
      </c>
      <c r="U1820" s="11">
        <f t="shared" ref="U1820:U1845" si="819">P1820+T1820</f>
        <v>5</v>
      </c>
      <c r="V1820" s="65">
        <v>43815</v>
      </c>
      <c r="W1820" s="29" t="s">
        <v>886</v>
      </c>
      <c r="X1820" s="8">
        <v>50</v>
      </c>
      <c r="Y1820" s="9">
        <v>50</v>
      </c>
      <c r="Z1820" s="10">
        <v>50</v>
      </c>
      <c r="AA1820" s="11">
        <v>0</v>
      </c>
      <c r="AB1820" s="12"/>
      <c r="AC1820" s="9">
        <v>45</v>
      </c>
      <c r="AD1820" s="10"/>
      <c r="AE1820" s="11">
        <f>SUM(AB1820:AD1820)</f>
        <v>45</v>
      </c>
      <c r="AF1820" s="11">
        <f t="shared" ref="AF1820:AF1845" si="820">AA1820+AE1820</f>
        <v>45</v>
      </c>
      <c r="AG1820" s="65">
        <v>43868</v>
      </c>
    </row>
    <row r="1821" spans="1:35" x14ac:dyDescent="0.15">
      <c r="A1821" s="27" t="s">
        <v>877</v>
      </c>
      <c r="B1821" s="13">
        <v>1</v>
      </c>
      <c r="C1821" s="14"/>
      <c r="D1821" s="15"/>
      <c r="E1821" s="11">
        <f t="shared" ref="E1821:E1845" si="821">SUM(B1821:D1821)</f>
        <v>1</v>
      </c>
      <c r="F1821" s="16"/>
      <c r="G1821" s="14"/>
      <c r="H1821" s="15"/>
      <c r="I1821" s="11">
        <f>SUM(F1821:H1821)</f>
        <v>0</v>
      </c>
      <c r="J1821" s="11">
        <f t="shared" ref="J1821:J1845" si="822">E1821+I1821</f>
        <v>1</v>
      </c>
      <c r="K1821" s="65">
        <v>43780</v>
      </c>
      <c r="L1821" s="29"/>
      <c r="M1821" s="8"/>
      <c r="N1821" s="9"/>
      <c r="O1821" s="10"/>
      <c r="P1821" s="11">
        <f>SUM(M1821:O1821)</f>
        <v>0</v>
      </c>
      <c r="Q1821" s="12"/>
      <c r="R1821" s="9"/>
      <c r="S1821" s="10"/>
      <c r="T1821" s="11">
        <f>SUM(Q1821:S1821)</f>
        <v>0</v>
      </c>
      <c r="U1821" s="11">
        <f t="shared" si="819"/>
        <v>0</v>
      </c>
      <c r="V1821" s="65"/>
      <c r="W1821" s="29"/>
      <c r="X1821" s="8"/>
      <c r="Y1821" s="9"/>
      <c r="Z1821" s="10"/>
      <c r="AA1821" s="11">
        <f>SUM(X1821:Z1821)</f>
        <v>0</v>
      </c>
      <c r="AB1821" s="12"/>
      <c r="AC1821" s="9"/>
      <c r="AD1821" s="10"/>
      <c r="AE1821" s="11">
        <f>SUM(AB1821:AD1821)</f>
        <v>0</v>
      </c>
      <c r="AF1821" s="11">
        <f t="shared" si="820"/>
        <v>0</v>
      </c>
    </row>
    <row r="1822" spans="1:35" x14ac:dyDescent="0.15">
      <c r="A1822" s="29" t="s">
        <v>67</v>
      </c>
      <c r="B1822" s="8"/>
      <c r="C1822" s="9"/>
      <c r="D1822" s="10"/>
      <c r="E1822" s="11">
        <f t="shared" si="821"/>
        <v>0</v>
      </c>
      <c r="F1822" s="12"/>
      <c r="G1822" s="9">
        <v>1</v>
      </c>
      <c r="H1822" s="10"/>
      <c r="I1822" s="11">
        <f t="shared" ref="I1822:I1823" si="823">SUM(F1822:H1822)</f>
        <v>1</v>
      </c>
      <c r="J1822" s="11">
        <f t="shared" si="822"/>
        <v>1</v>
      </c>
      <c r="K1822" s="65">
        <v>43780</v>
      </c>
      <c r="L1822" s="29"/>
      <c r="M1822" s="8"/>
      <c r="N1822" s="9"/>
      <c r="O1822" s="10"/>
      <c r="P1822" s="11">
        <f t="shared" ref="P1822:P1845" si="824">SUM(M1822:O1822)</f>
        <v>0</v>
      </c>
      <c r="Q1822" s="12"/>
      <c r="R1822" s="9"/>
      <c r="S1822" s="10"/>
      <c r="T1822" s="11">
        <f t="shared" ref="T1822:T1845" si="825">SUM(Q1822:S1822)</f>
        <v>0</v>
      </c>
      <c r="U1822" s="11">
        <f t="shared" si="819"/>
        <v>0</v>
      </c>
      <c r="V1822" s="65"/>
      <c r="W1822" s="29"/>
      <c r="X1822" s="8"/>
      <c r="Y1822" s="9"/>
      <c r="Z1822" s="10"/>
      <c r="AA1822" s="11">
        <f t="shared" ref="AA1822:AA1845" si="826">SUM(X1822:Z1822)</f>
        <v>0</v>
      </c>
      <c r="AB1822" s="12"/>
      <c r="AC1822" s="9"/>
      <c r="AD1822" s="10"/>
      <c r="AE1822" s="11">
        <f t="shared" ref="AE1822:AE1845" si="827">SUM(AB1822:AD1822)</f>
        <v>0</v>
      </c>
      <c r="AF1822" s="11">
        <f t="shared" si="820"/>
        <v>0</v>
      </c>
    </row>
    <row r="1823" spans="1:35" x14ac:dyDescent="0.15">
      <c r="A1823" s="29" t="s">
        <v>67</v>
      </c>
      <c r="B1823" s="8"/>
      <c r="C1823" s="9"/>
      <c r="D1823" s="10"/>
      <c r="E1823" s="11">
        <f t="shared" si="821"/>
        <v>0</v>
      </c>
      <c r="F1823" s="12"/>
      <c r="G1823" s="9">
        <v>1</v>
      </c>
      <c r="H1823" s="10"/>
      <c r="I1823" s="11">
        <f t="shared" si="823"/>
        <v>1</v>
      </c>
      <c r="J1823" s="11">
        <f t="shared" si="822"/>
        <v>1</v>
      </c>
      <c r="K1823" s="65">
        <v>43787</v>
      </c>
      <c r="L1823" s="86"/>
      <c r="M1823" s="8"/>
      <c r="N1823" s="9"/>
      <c r="O1823" s="10"/>
      <c r="P1823" s="11">
        <f t="shared" si="824"/>
        <v>0</v>
      </c>
      <c r="Q1823" s="12"/>
      <c r="R1823" s="9"/>
      <c r="S1823" s="10"/>
      <c r="T1823" s="11">
        <f t="shared" si="825"/>
        <v>0</v>
      </c>
      <c r="U1823" s="11">
        <f t="shared" si="819"/>
        <v>0</v>
      </c>
      <c r="V1823" s="64"/>
      <c r="W1823" s="86"/>
      <c r="X1823" s="8"/>
      <c r="Y1823" s="9"/>
      <c r="Z1823" s="10"/>
      <c r="AA1823" s="11">
        <f t="shared" si="826"/>
        <v>0</v>
      </c>
      <c r="AB1823" s="12"/>
      <c r="AC1823" s="9"/>
      <c r="AD1823" s="10"/>
      <c r="AE1823" s="11">
        <f t="shared" si="827"/>
        <v>0</v>
      </c>
      <c r="AF1823" s="11">
        <f t="shared" si="820"/>
        <v>0</v>
      </c>
    </row>
    <row r="1824" spans="1:35" x14ac:dyDescent="0.15">
      <c r="A1824" s="29" t="s">
        <v>67</v>
      </c>
      <c r="B1824" s="8"/>
      <c r="C1824" s="9"/>
      <c r="D1824" s="10">
        <v>2</v>
      </c>
      <c r="E1824" s="11">
        <f t="shared" si="821"/>
        <v>2</v>
      </c>
      <c r="F1824" s="12"/>
      <c r="G1824" s="9">
        <v>1</v>
      </c>
      <c r="H1824" s="10">
        <v>1</v>
      </c>
      <c r="I1824" s="11">
        <f>SUM(F1824:H1824)</f>
        <v>2</v>
      </c>
      <c r="J1824" s="11">
        <f t="shared" si="822"/>
        <v>4</v>
      </c>
      <c r="K1824" s="65">
        <v>43794</v>
      </c>
      <c r="L1824" s="86"/>
      <c r="M1824" s="8"/>
      <c r="N1824" s="9"/>
      <c r="O1824" s="10"/>
      <c r="P1824" s="11">
        <f t="shared" si="824"/>
        <v>0</v>
      </c>
      <c r="Q1824" s="12"/>
      <c r="R1824" s="9"/>
      <c r="S1824" s="10"/>
      <c r="T1824" s="11">
        <f t="shared" si="825"/>
        <v>0</v>
      </c>
      <c r="U1824" s="11">
        <f t="shared" si="819"/>
        <v>0</v>
      </c>
      <c r="V1824" s="64"/>
      <c r="W1824" s="86"/>
      <c r="X1824" s="8"/>
      <c r="Y1824" s="9"/>
      <c r="Z1824" s="10"/>
      <c r="AA1824" s="11">
        <f t="shared" si="826"/>
        <v>0</v>
      </c>
      <c r="AB1824" s="12"/>
      <c r="AC1824" s="9"/>
      <c r="AD1824" s="10"/>
      <c r="AE1824" s="11">
        <f t="shared" si="827"/>
        <v>0</v>
      </c>
      <c r="AF1824" s="11">
        <f t="shared" si="820"/>
        <v>0</v>
      </c>
    </row>
    <row r="1825" spans="1:32" x14ac:dyDescent="0.15">
      <c r="A1825" s="29" t="s">
        <v>67</v>
      </c>
      <c r="B1825" s="8"/>
      <c r="C1825" s="9"/>
      <c r="D1825" s="10"/>
      <c r="E1825" s="11">
        <f t="shared" si="821"/>
        <v>0</v>
      </c>
      <c r="F1825" s="12"/>
      <c r="G1825" s="9"/>
      <c r="H1825" s="10">
        <v>1</v>
      </c>
      <c r="I1825" s="11">
        <f>SUM(F1825:H1825)</f>
        <v>1</v>
      </c>
      <c r="J1825" s="11">
        <f t="shared" si="822"/>
        <v>1</v>
      </c>
      <c r="K1825" s="65">
        <v>43795</v>
      </c>
      <c r="L1825" s="29"/>
      <c r="M1825" s="8"/>
      <c r="N1825" s="9"/>
      <c r="O1825" s="10"/>
      <c r="P1825" s="11">
        <f t="shared" si="824"/>
        <v>0</v>
      </c>
      <c r="Q1825" s="12"/>
      <c r="R1825" s="9"/>
      <c r="S1825" s="10"/>
      <c r="T1825" s="11">
        <f t="shared" si="825"/>
        <v>0</v>
      </c>
      <c r="U1825" s="11">
        <f t="shared" si="819"/>
        <v>0</v>
      </c>
      <c r="W1825" s="29"/>
      <c r="X1825" s="8"/>
      <c r="Y1825" s="9"/>
      <c r="Z1825" s="10"/>
      <c r="AA1825" s="11">
        <f t="shared" si="826"/>
        <v>0</v>
      </c>
      <c r="AB1825" s="12"/>
      <c r="AC1825" s="9"/>
      <c r="AD1825" s="10"/>
      <c r="AE1825" s="11">
        <f t="shared" si="827"/>
        <v>0</v>
      </c>
      <c r="AF1825" s="11">
        <f t="shared" si="820"/>
        <v>0</v>
      </c>
    </row>
    <row r="1826" spans="1:32" x14ac:dyDescent="0.15">
      <c r="A1826" s="29" t="s">
        <v>879</v>
      </c>
      <c r="B1826" s="8"/>
      <c r="C1826" s="9"/>
      <c r="D1826" s="10">
        <v>1</v>
      </c>
      <c r="E1826" s="11">
        <f t="shared" si="821"/>
        <v>1</v>
      </c>
      <c r="F1826" s="140"/>
      <c r="G1826" s="140">
        <v>1</v>
      </c>
      <c r="H1826" s="10">
        <v>1</v>
      </c>
      <c r="I1826" s="11">
        <f t="shared" ref="I1826:I1845" si="828">SUM(F1826:H1826)</f>
        <v>2</v>
      </c>
      <c r="J1826" s="11">
        <f t="shared" si="822"/>
        <v>3</v>
      </c>
      <c r="K1826" s="65">
        <v>43797</v>
      </c>
      <c r="L1826" s="86"/>
      <c r="M1826" s="8"/>
      <c r="N1826" s="9"/>
      <c r="O1826" s="10"/>
      <c r="P1826" s="11">
        <f t="shared" si="824"/>
        <v>0</v>
      </c>
      <c r="Q1826" s="12"/>
      <c r="R1826" s="9"/>
      <c r="S1826" s="10"/>
      <c r="T1826" s="11">
        <f t="shared" si="825"/>
        <v>0</v>
      </c>
      <c r="U1826" s="11">
        <f t="shared" si="819"/>
        <v>0</v>
      </c>
      <c r="W1826" s="86"/>
      <c r="X1826" s="8"/>
      <c r="Y1826" s="9"/>
      <c r="Z1826" s="10"/>
      <c r="AA1826" s="11">
        <f t="shared" si="826"/>
        <v>0</v>
      </c>
      <c r="AB1826" s="12"/>
      <c r="AC1826" s="9"/>
      <c r="AD1826" s="10"/>
      <c r="AE1826" s="11">
        <f t="shared" si="827"/>
        <v>0</v>
      </c>
      <c r="AF1826" s="11">
        <f t="shared" si="820"/>
        <v>0</v>
      </c>
    </row>
    <row r="1827" spans="1:32" x14ac:dyDescent="0.15">
      <c r="A1827" s="29" t="s">
        <v>67</v>
      </c>
      <c r="B1827" s="8"/>
      <c r="C1827" s="9"/>
      <c r="D1827" s="10">
        <v>2</v>
      </c>
      <c r="E1827" s="11">
        <f t="shared" si="821"/>
        <v>2</v>
      </c>
      <c r="F1827" s="12"/>
      <c r="G1827" s="9"/>
      <c r="H1827" s="10"/>
      <c r="I1827" s="11">
        <f t="shared" si="828"/>
        <v>0</v>
      </c>
      <c r="J1827" s="11">
        <f t="shared" si="822"/>
        <v>2</v>
      </c>
      <c r="K1827" s="65">
        <v>43801</v>
      </c>
      <c r="L1827" s="29"/>
      <c r="M1827" s="8"/>
      <c r="N1827" s="9"/>
      <c r="O1827" s="10"/>
      <c r="P1827" s="11">
        <f t="shared" si="824"/>
        <v>0</v>
      </c>
      <c r="Q1827" s="12"/>
      <c r="R1827" s="9"/>
      <c r="S1827" s="10"/>
      <c r="T1827" s="11">
        <f t="shared" si="825"/>
        <v>0</v>
      </c>
      <c r="U1827" s="11">
        <f t="shared" si="819"/>
        <v>0</v>
      </c>
      <c r="W1827" s="29"/>
      <c r="X1827" s="8"/>
      <c r="Y1827" s="9"/>
      <c r="Z1827" s="10"/>
      <c r="AA1827" s="11">
        <f t="shared" si="826"/>
        <v>0</v>
      </c>
      <c r="AB1827" s="12"/>
      <c r="AC1827" s="9"/>
      <c r="AD1827" s="10"/>
      <c r="AE1827" s="11">
        <f t="shared" si="827"/>
        <v>0</v>
      </c>
      <c r="AF1827" s="11">
        <f t="shared" si="820"/>
        <v>0</v>
      </c>
    </row>
    <row r="1828" spans="1:32" x14ac:dyDescent="0.15">
      <c r="A1828" s="29" t="s">
        <v>67</v>
      </c>
      <c r="B1828" s="13">
        <v>1</v>
      </c>
      <c r="C1828" s="14"/>
      <c r="D1828" s="15"/>
      <c r="E1828" s="11">
        <f t="shared" si="821"/>
        <v>1</v>
      </c>
      <c r="F1828" s="16"/>
      <c r="G1828" s="14"/>
      <c r="H1828" s="15"/>
      <c r="I1828" s="11">
        <f t="shared" si="828"/>
        <v>0</v>
      </c>
      <c r="J1828" s="11">
        <f t="shared" si="822"/>
        <v>1</v>
      </c>
      <c r="K1828" s="65">
        <v>43806</v>
      </c>
      <c r="L1828" s="29"/>
      <c r="M1828" s="8"/>
      <c r="N1828" s="9"/>
      <c r="O1828" s="10"/>
      <c r="P1828" s="11">
        <f t="shared" si="824"/>
        <v>0</v>
      </c>
      <c r="Q1828" s="12"/>
      <c r="R1828" s="9"/>
      <c r="S1828" s="10"/>
      <c r="T1828" s="11">
        <f t="shared" si="825"/>
        <v>0</v>
      </c>
      <c r="U1828" s="11">
        <f t="shared" si="819"/>
        <v>0</v>
      </c>
      <c r="W1828" s="29"/>
      <c r="X1828" s="8"/>
      <c r="Y1828" s="9"/>
      <c r="Z1828" s="10"/>
      <c r="AA1828" s="11">
        <f t="shared" si="826"/>
        <v>0</v>
      </c>
      <c r="AB1828" s="12"/>
      <c r="AC1828" s="9"/>
      <c r="AD1828" s="10"/>
      <c r="AE1828" s="11">
        <f t="shared" si="827"/>
        <v>0</v>
      </c>
      <c r="AF1828" s="11">
        <f t="shared" si="820"/>
        <v>0</v>
      </c>
    </row>
    <row r="1829" spans="1:32" x14ac:dyDescent="0.15">
      <c r="A1829" s="29" t="s">
        <v>67</v>
      </c>
      <c r="B1829" s="13"/>
      <c r="C1829" s="14"/>
      <c r="D1829" s="15">
        <v>2</v>
      </c>
      <c r="E1829" s="11">
        <f t="shared" si="821"/>
        <v>2</v>
      </c>
      <c r="F1829" s="16">
        <v>2</v>
      </c>
      <c r="G1829" s="14"/>
      <c r="H1829" s="15"/>
      <c r="I1829" s="11">
        <f t="shared" si="828"/>
        <v>2</v>
      </c>
      <c r="J1829" s="11">
        <f t="shared" si="822"/>
        <v>4</v>
      </c>
      <c r="K1829" s="65">
        <v>43808</v>
      </c>
      <c r="L1829" s="29"/>
      <c r="M1829" s="13"/>
      <c r="N1829" s="14"/>
      <c r="O1829" s="15"/>
      <c r="P1829" s="11">
        <f t="shared" si="824"/>
        <v>0</v>
      </c>
      <c r="Q1829" s="16"/>
      <c r="R1829" s="14"/>
      <c r="S1829" s="15"/>
      <c r="T1829" s="11">
        <f t="shared" si="825"/>
        <v>0</v>
      </c>
      <c r="U1829" s="11">
        <f t="shared" si="819"/>
        <v>0</v>
      </c>
      <c r="W1829" s="29"/>
      <c r="X1829" s="13"/>
      <c r="Y1829" s="14"/>
      <c r="Z1829" s="15"/>
      <c r="AA1829" s="11">
        <f t="shared" si="826"/>
        <v>0</v>
      </c>
      <c r="AB1829" s="16"/>
      <c r="AC1829" s="14"/>
      <c r="AD1829" s="15"/>
      <c r="AE1829" s="11">
        <f t="shared" si="827"/>
        <v>0</v>
      </c>
      <c r="AF1829" s="11">
        <f t="shared" si="820"/>
        <v>0</v>
      </c>
    </row>
    <row r="1830" spans="1:32" x14ac:dyDescent="0.15">
      <c r="A1830" s="29" t="s">
        <v>67</v>
      </c>
      <c r="B1830" s="8"/>
      <c r="C1830" s="9">
        <v>2</v>
      </c>
      <c r="D1830" s="10"/>
      <c r="E1830" s="11">
        <f t="shared" si="821"/>
        <v>2</v>
      </c>
      <c r="F1830" s="12"/>
      <c r="G1830" s="9">
        <v>1</v>
      </c>
      <c r="H1830" s="10"/>
      <c r="I1830" s="11">
        <f t="shared" si="828"/>
        <v>1</v>
      </c>
      <c r="J1830" s="11">
        <f t="shared" si="822"/>
        <v>3</v>
      </c>
      <c r="K1830" s="65">
        <v>43809</v>
      </c>
      <c r="L1830" s="29"/>
      <c r="M1830" s="8"/>
      <c r="N1830" s="9"/>
      <c r="O1830" s="10"/>
      <c r="P1830" s="11">
        <f t="shared" si="824"/>
        <v>0</v>
      </c>
      <c r="Q1830" s="12"/>
      <c r="R1830" s="9"/>
      <c r="S1830" s="10"/>
      <c r="T1830" s="11">
        <f t="shared" si="825"/>
        <v>0</v>
      </c>
      <c r="U1830" s="11">
        <f t="shared" si="819"/>
        <v>0</v>
      </c>
      <c r="W1830" s="29"/>
      <c r="X1830" s="8"/>
      <c r="Y1830" s="9"/>
      <c r="Z1830" s="10"/>
      <c r="AA1830" s="11">
        <f t="shared" si="826"/>
        <v>0</v>
      </c>
      <c r="AB1830" s="12"/>
      <c r="AC1830" s="9"/>
      <c r="AD1830" s="10"/>
      <c r="AE1830" s="11">
        <f t="shared" si="827"/>
        <v>0</v>
      </c>
      <c r="AF1830" s="11">
        <f t="shared" si="820"/>
        <v>0</v>
      </c>
    </row>
    <row r="1831" spans="1:32" x14ac:dyDescent="0.15">
      <c r="A1831" s="29" t="s">
        <v>67</v>
      </c>
      <c r="B1831" s="8"/>
      <c r="C1831" s="9"/>
      <c r="D1831" s="10"/>
      <c r="E1831" s="11">
        <f t="shared" si="821"/>
        <v>0</v>
      </c>
      <c r="F1831" s="12"/>
      <c r="G1831" s="9">
        <v>1</v>
      </c>
      <c r="H1831" s="10">
        <v>3</v>
      </c>
      <c r="I1831" s="11">
        <f t="shared" si="828"/>
        <v>4</v>
      </c>
      <c r="J1831" s="11">
        <f t="shared" si="822"/>
        <v>4</v>
      </c>
      <c r="K1831" s="65">
        <v>43810</v>
      </c>
      <c r="L1831" s="29"/>
      <c r="M1831" s="8"/>
      <c r="N1831" s="9"/>
      <c r="O1831" s="10"/>
      <c r="P1831" s="11">
        <f t="shared" si="824"/>
        <v>0</v>
      </c>
      <c r="Q1831" s="12"/>
      <c r="R1831" s="9"/>
      <c r="S1831" s="10"/>
      <c r="T1831" s="11">
        <f t="shared" si="825"/>
        <v>0</v>
      </c>
      <c r="U1831" s="11">
        <f t="shared" si="819"/>
        <v>0</v>
      </c>
      <c r="W1831" s="29"/>
      <c r="X1831" s="8"/>
      <c r="Y1831" s="9"/>
      <c r="Z1831" s="10"/>
      <c r="AA1831" s="11">
        <f t="shared" si="826"/>
        <v>0</v>
      </c>
      <c r="AB1831" s="12"/>
      <c r="AC1831" s="9"/>
      <c r="AD1831" s="10"/>
      <c r="AE1831" s="11">
        <f t="shared" si="827"/>
        <v>0</v>
      </c>
      <c r="AF1831" s="11">
        <f t="shared" si="820"/>
        <v>0</v>
      </c>
    </row>
    <row r="1832" spans="1:32" x14ac:dyDescent="0.15">
      <c r="A1832" s="29" t="s">
        <v>67</v>
      </c>
      <c r="B1832" s="8"/>
      <c r="C1832" s="9">
        <v>1</v>
      </c>
      <c r="D1832" s="10"/>
      <c r="E1832" s="11">
        <f t="shared" si="821"/>
        <v>1</v>
      </c>
      <c r="F1832" s="12"/>
      <c r="G1832" s="9"/>
      <c r="H1832" s="10"/>
      <c r="I1832" s="11">
        <f t="shared" si="828"/>
        <v>0</v>
      </c>
      <c r="J1832" s="11">
        <f t="shared" si="822"/>
        <v>1</v>
      </c>
      <c r="K1832" s="65">
        <v>43812</v>
      </c>
      <c r="L1832" s="27"/>
      <c r="M1832" s="8"/>
      <c r="N1832" s="9"/>
      <c r="O1832" s="10"/>
      <c r="P1832" s="11">
        <f t="shared" si="824"/>
        <v>0</v>
      </c>
      <c r="Q1832" s="12"/>
      <c r="R1832" s="9"/>
      <c r="S1832" s="10"/>
      <c r="T1832" s="11">
        <f t="shared" si="825"/>
        <v>0</v>
      </c>
      <c r="U1832" s="11">
        <f t="shared" si="819"/>
        <v>0</v>
      </c>
      <c r="W1832" s="27"/>
      <c r="X1832" s="8"/>
      <c r="Y1832" s="9"/>
      <c r="Z1832" s="10"/>
      <c r="AA1832" s="11">
        <f t="shared" si="826"/>
        <v>0</v>
      </c>
      <c r="AB1832" s="12"/>
      <c r="AC1832" s="9"/>
      <c r="AD1832" s="10"/>
      <c r="AE1832" s="11">
        <f t="shared" si="827"/>
        <v>0</v>
      </c>
      <c r="AF1832" s="11">
        <f t="shared" si="820"/>
        <v>0</v>
      </c>
    </row>
    <row r="1833" spans="1:32" x14ac:dyDescent="0.15">
      <c r="A1833" s="29" t="s">
        <v>67</v>
      </c>
      <c r="B1833" s="8"/>
      <c r="C1833" s="9"/>
      <c r="D1833" s="10"/>
      <c r="E1833" s="11">
        <f t="shared" si="821"/>
        <v>0</v>
      </c>
      <c r="F1833" s="12"/>
      <c r="G1833" s="9">
        <v>1</v>
      </c>
      <c r="H1833" s="10"/>
      <c r="I1833" s="11">
        <f t="shared" si="828"/>
        <v>1</v>
      </c>
      <c r="J1833" s="11">
        <f t="shared" si="822"/>
        <v>1</v>
      </c>
      <c r="K1833" s="65">
        <v>43815</v>
      </c>
      <c r="L1833" s="29"/>
      <c r="M1833" s="8"/>
      <c r="N1833" s="9"/>
      <c r="O1833" s="10"/>
      <c r="P1833" s="11">
        <f t="shared" si="824"/>
        <v>0</v>
      </c>
      <c r="Q1833" s="12"/>
      <c r="R1833" s="9"/>
      <c r="S1833" s="10"/>
      <c r="T1833" s="11">
        <f t="shared" si="825"/>
        <v>0</v>
      </c>
      <c r="U1833" s="11">
        <f t="shared" si="819"/>
        <v>0</v>
      </c>
      <c r="W1833" s="29"/>
      <c r="X1833" s="8"/>
      <c r="Y1833" s="9"/>
      <c r="Z1833" s="10"/>
      <c r="AA1833" s="11">
        <f t="shared" si="826"/>
        <v>0</v>
      </c>
      <c r="AB1833" s="12"/>
      <c r="AC1833" s="9"/>
      <c r="AD1833" s="10"/>
      <c r="AE1833" s="11">
        <f t="shared" si="827"/>
        <v>0</v>
      </c>
      <c r="AF1833" s="11">
        <f t="shared" si="820"/>
        <v>0</v>
      </c>
    </row>
    <row r="1834" spans="1:32" x14ac:dyDescent="0.15">
      <c r="A1834" s="27" t="s">
        <v>882</v>
      </c>
      <c r="B1834" s="8">
        <v>10</v>
      </c>
      <c r="C1834" s="9"/>
      <c r="D1834" s="10"/>
      <c r="E1834" s="11">
        <f t="shared" si="821"/>
        <v>10</v>
      </c>
      <c r="F1834" s="12"/>
      <c r="G1834" s="9"/>
      <c r="H1834" s="10"/>
      <c r="I1834" s="11">
        <f t="shared" si="828"/>
        <v>0</v>
      </c>
      <c r="J1834" s="11">
        <f t="shared" si="822"/>
        <v>10</v>
      </c>
      <c r="K1834" s="65">
        <v>43822</v>
      </c>
      <c r="L1834" s="29"/>
      <c r="M1834" s="8"/>
      <c r="N1834" s="9"/>
      <c r="O1834" s="10"/>
      <c r="P1834" s="11">
        <f t="shared" si="824"/>
        <v>0</v>
      </c>
      <c r="Q1834" s="12"/>
      <c r="R1834" s="9"/>
      <c r="S1834" s="10"/>
      <c r="T1834" s="11">
        <f t="shared" si="825"/>
        <v>0</v>
      </c>
      <c r="U1834" s="11">
        <f t="shared" si="819"/>
        <v>0</v>
      </c>
      <c r="W1834" s="29"/>
      <c r="X1834" s="8"/>
      <c r="Y1834" s="9"/>
      <c r="Z1834" s="10"/>
      <c r="AA1834" s="11">
        <f t="shared" si="826"/>
        <v>0</v>
      </c>
      <c r="AB1834" s="12"/>
      <c r="AC1834" s="9"/>
      <c r="AD1834" s="10"/>
      <c r="AE1834" s="11">
        <f t="shared" si="827"/>
        <v>0</v>
      </c>
      <c r="AF1834" s="11">
        <f t="shared" si="820"/>
        <v>0</v>
      </c>
    </row>
    <row r="1835" spans="1:32" x14ac:dyDescent="0.15">
      <c r="A1835" s="29" t="s">
        <v>67</v>
      </c>
      <c r="B1835" s="8"/>
      <c r="C1835" s="9"/>
      <c r="D1835" s="10">
        <v>1</v>
      </c>
      <c r="E1835" s="11">
        <f t="shared" si="821"/>
        <v>1</v>
      </c>
      <c r="F1835" s="12"/>
      <c r="G1835" s="9"/>
      <c r="H1835" s="10"/>
      <c r="I1835" s="11">
        <f t="shared" si="828"/>
        <v>0</v>
      </c>
      <c r="J1835" s="11">
        <f t="shared" si="822"/>
        <v>1</v>
      </c>
      <c r="K1835" s="65">
        <v>43823</v>
      </c>
      <c r="L1835" s="27"/>
      <c r="M1835" s="8"/>
      <c r="N1835" s="9"/>
      <c r="O1835" s="10"/>
      <c r="P1835" s="11">
        <f t="shared" si="824"/>
        <v>0</v>
      </c>
      <c r="Q1835" s="12"/>
      <c r="R1835" s="9"/>
      <c r="S1835" s="10"/>
      <c r="T1835" s="11">
        <f t="shared" si="825"/>
        <v>0</v>
      </c>
      <c r="U1835" s="11">
        <f t="shared" si="819"/>
        <v>0</v>
      </c>
      <c r="W1835" s="27"/>
      <c r="X1835" s="8"/>
      <c r="Y1835" s="9"/>
      <c r="Z1835" s="10"/>
      <c r="AA1835" s="11">
        <f t="shared" si="826"/>
        <v>0</v>
      </c>
      <c r="AB1835" s="12"/>
      <c r="AC1835" s="9"/>
      <c r="AD1835" s="10"/>
      <c r="AE1835" s="11">
        <f t="shared" si="827"/>
        <v>0</v>
      </c>
      <c r="AF1835" s="11">
        <f t="shared" si="820"/>
        <v>0</v>
      </c>
    </row>
    <row r="1836" spans="1:32" x14ac:dyDescent="0.15">
      <c r="A1836" s="29" t="s">
        <v>67</v>
      </c>
      <c r="B1836" s="8"/>
      <c r="C1836" s="9"/>
      <c r="D1836" s="10"/>
      <c r="E1836" s="11">
        <f t="shared" si="821"/>
        <v>0</v>
      </c>
      <c r="F1836" s="12"/>
      <c r="G1836" s="9"/>
      <c r="H1836" s="10">
        <v>1</v>
      </c>
      <c r="I1836" s="11">
        <f t="shared" si="828"/>
        <v>1</v>
      </c>
      <c r="J1836" s="11">
        <f t="shared" si="822"/>
        <v>1</v>
      </c>
      <c r="K1836" s="65">
        <v>43823</v>
      </c>
      <c r="L1836" s="29"/>
      <c r="M1836" s="8"/>
      <c r="N1836" s="9"/>
      <c r="O1836" s="10"/>
      <c r="P1836" s="11">
        <f t="shared" si="824"/>
        <v>0</v>
      </c>
      <c r="Q1836" s="12"/>
      <c r="R1836" s="9"/>
      <c r="S1836" s="10"/>
      <c r="T1836" s="11">
        <f t="shared" si="825"/>
        <v>0</v>
      </c>
      <c r="U1836" s="11">
        <f t="shared" si="819"/>
        <v>0</v>
      </c>
      <c r="W1836" s="29"/>
      <c r="X1836" s="8"/>
      <c r="Y1836" s="9"/>
      <c r="Z1836" s="10"/>
      <c r="AA1836" s="11">
        <f t="shared" si="826"/>
        <v>0</v>
      </c>
      <c r="AB1836" s="12"/>
      <c r="AC1836" s="9"/>
      <c r="AD1836" s="10"/>
      <c r="AE1836" s="11">
        <f t="shared" si="827"/>
        <v>0</v>
      </c>
      <c r="AF1836" s="11">
        <f t="shared" si="820"/>
        <v>0</v>
      </c>
    </row>
    <row r="1837" spans="1:32" x14ac:dyDescent="0.15">
      <c r="A1837" s="29" t="s">
        <v>67</v>
      </c>
      <c r="B1837" s="8"/>
      <c r="C1837" s="9">
        <v>1</v>
      </c>
      <c r="D1837" s="10"/>
      <c r="E1837" s="11">
        <f t="shared" si="821"/>
        <v>1</v>
      </c>
      <c r="F1837" s="12"/>
      <c r="G1837" s="9">
        <v>1</v>
      </c>
      <c r="H1837" s="10"/>
      <c r="I1837" s="11">
        <f t="shared" si="828"/>
        <v>1</v>
      </c>
      <c r="J1837" s="11">
        <f t="shared" si="822"/>
        <v>2</v>
      </c>
      <c r="K1837" s="65">
        <v>43835</v>
      </c>
      <c r="L1837" s="27"/>
      <c r="M1837" s="8"/>
      <c r="N1837" s="9"/>
      <c r="O1837" s="10"/>
      <c r="P1837" s="11">
        <f t="shared" si="824"/>
        <v>0</v>
      </c>
      <c r="Q1837" s="12"/>
      <c r="R1837" s="9"/>
      <c r="S1837" s="10"/>
      <c r="T1837" s="11">
        <f t="shared" si="825"/>
        <v>0</v>
      </c>
      <c r="U1837" s="11">
        <f t="shared" si="819"/>
        <v>0</v>
      </c>
      <c r="W1837" s="27"/>
      <c r="X1837" s="8"/>
      <c r="Y1837" s="9"/>
      <c r="Z1837" s="10"/>
      <c r="AA1837" s="11">
        <f t="shared" si="826"/>
        <v>0</v>
      </c>
      <c r="AB1837" s="12"/>
      <c r="AC1837" s="9"/>
      <c r="AD1837" s="10"/>
      <c r="AE1837" s="11">
        <f t="shared" si="827"/>
        <v>0</v>
      </c>
      <c r="AF1837" s="11">
        <f t="shared" si="820"/>
        <v>0</v>
      </c>
    </row>
    <row r="1838" spans="1:32" x14ac:dyDescent="0.15">
      <c r="A1838" s="29" t="s">
        <v>67</v>
      </c>
      <c r="B1838" s="8"/>
      <c r="C1838" s="9"/>
      <c r="D1838" s="10"/>
      <c r="E1838" s="11">
        <f t="shared" si="821"/>
        <v>0</v>
      </c>
      <c r="F1838" s="12"/>
      <c r="G1838" s="9">
        <v>1</v>
      </c>
      <c r="H1838" s="10">
        <v>1</v>
      </c>
      <c r="I1838" s="11">
        <f t="shared" si="828"/>
        <v>2</v>
      </c>
      <c r="J1838" s="11">
        <f t="shared" si="822"/>
        <v>2</v>
      </c>
      <c r="K1838" s="65">
        <v>43836</v>
      </c>
      <c r="L1838" s="26"/>
      <c r="M1838" s="8"/>
      <c r="N1838" s="9"/>
      <c r="O1838" s="10"/>
      <c r="P1838" s="11">
        <f t="shared" si="824"/>
        <v>0</v>
      </c>
      <c r="Q1838" s="12"/>
      <c r="R1838" s="9"/>
      <c r="S1838" s="10"/>
      <c r="T1838" s="11">
        <f t="shared" si="825"/>
        <v>0</v>
      </c>
      <c r="U1838" s="11">
        <f t="shared" si="819"/>
        <v>0</v>
      </c>
      <c r="W1838" s="26"/>
      <c r="X1838" s="8"/>
      <c r="Y1838" s="9"/>
      <c r="Z1838" s="10"/>
      <c r="AA1838" s="11">
        <f t="shared" si="826"/>
        <v>0</v>
      </c>
      <c r="AB1838" s="12"/>
      <c r="AC1838" s="9"/>
      <c r="AD1838" s="10"/>
      <c r="AE1838" s="11">
        <f t="shared" si="827"/>
        <v>0</v>
      </c>
      <c r="AF1838" s="11">
        <f t="shared" si="820"/>
        <v>0</v>
      </c>
    </row>
    <row r="1839" spans="1:32" x14ac:dyDescent="0.15">
      <c r="A1839" s="29" t="s">
        <v>67</v>
      </c>
      <c r="B1839" s="8">
        <v>1</v>
      </c>
      <c r="C1839" s="9"/>
      <c r="D1839" s="10"/>
      <c r="E1839" s="11">
        <f t="shared" si="821"/>
        <v>1</v>
      </c>
      <c r="F1839" s="12"/>
      <c r="G1839" s="9"/>
      <c r="H1839" s="10">
        <v>1</v>
      </c>
      <c r="I1839" s="11">
        <f t="shared" si="828"/>
        <v>1</v>
      </c>
      <c r="J1839" s="11">
        <f t="shared" si="822"/>
        <v>2</v>
      </c>
      <c r="K1839" s="65">
        <v>43840</v>
      </c>
      <c r="L1839" s="26"/>
      <c r="M1839" s="8"/>
      <c r="N1839" s="9"/>
      <c r="O1839" s="10"/>
      <c r="P1839" s="11">
        <f t="shared" si="824"/>
        <v>0</v>
      </c>
      <c r="Q1839" s="12"/>
      <c r="R1839" s="9"/>
      <c r="S1839" s="10"/>
      <c r="T1839" s="11">
        <f t="shared" si="825"/>
        <v>0</v>
      </c>
      <c r="U1839" s="11">
        <f t="shared" si="819"/>
        <v>0</v>
      </c>
      <c r="W1839" s="26"/>
      <c r="X1839" s="8"/>
      <c r="Y1839" s="9"/>
      <c r="Z1839" s="10"/>
      <c r="AA1839" s="11">
        <f t="shared" si="826"/>
        <v>0</v>
      </c>
      <c r="AB1839" s="12"/>
      <c r="AC1839" s="9"/>
      <c r="AD1839" s="10"/>
      <c r="AE1839" s="11">
        <f t="shared" si="827"/>
        <v>0</v>
      </c>
      <c r="AF1839" s="11">
        <f t="shared" si="820"/>
        <v>0</v>
      </c>
    </row>
    <row r="1840" spans="1:32" x14ac:dyDescent="0.15">
      <c r="A1840" s="29" t="s">
        <v>67</v>
      </c>
      <c r="B1840" s="8"/>
      <c r="C1840" s="9">
        <v>1</v>
      </c>
      <c r="D1840" s="10"/>
      <c r="E1840" s="11">
        <f t="shared" si="821"/>
        <v>1</v>
      </c>
      <c r="F1840" s="12"/>
      <c r="G1840" s="9"/>
      <c r="H1840" s="10"/>
      <c r="I1840" s="11">
        <f t="shared" si="828"/>
        <v>0</v>
      </c>
      <c r="J1840" s="11">
        <f t="shared" si="822"/>
        <v>1</v>
      </c>
      <c r="K1840" s="65">
        <v>43841</v>
      </c>
      <c r="L1840" s="27"/>
      <c r="M1840" s="8"/>
      <c r="N1840" s="9"/>
      <c r="O1840" s="10"/>
      <c r="P1840" s="11">
        <f t="shared" si="824"/>
        <v>0</v>
      </c>
      <c r="Q1840" s="12"/>
      <c r="R1840" s="9"/>
      <c r="S1840" s="10"/>
      <c r="T1840" s="11">
        <f t="shared" si="825"/>
        <v>0</v>
      </c>
      <c r="U1840" s="11">
        <f t="shared" si="819"/>
        <v>0</v>
      </c>
      <c r="W1840" s="27"/>
      <c r="X1840" s="8"/>
      <c r="Y1840" s="9"/>
      <c r="Z1840" s="10"/>
      <c r="AA1840" s="11">
        <f t="shared" si="826"/>
        <v>0</v>
      </c>
      <c r="AB1840" s="12"/>
      <c r="AC1840" s="9"/>
      <c r="AD1840" s="10"/>
      <c r="AE1840" s="11">
        <f t="shared" si="827"/>
        <v>0</v>
      </c>
      <c r="AF1840" s="11">
        <f t="shared" si="820"/>
        <v>0</v>
      </c>
    </row>
    <row r="1841" spans="1:34" x14ac:dyDescent="0.15">
      <c r="A1841" s="29" t="s">
        <v>67</v>
      </c>
      <c r="B1841" s="13"/>
      <c r="C1841" s="14"/>
      <c r="D1841" s="15"/>
      <c r="E1841" s="11">
        <f t="shared" si="821"/>
        <v>0</v>
      </c>
      <c r="F1841" s="16">
        <v>1</v>
      </c>
      <c r="G1841" s="14"/>
      <c r="H1841" s="15"/>
      <c r="I1841" s="11">
        <f t="shared" si="828"/>
        <v>1</v>
      </c>
      <c r="J1841" s="11">
        <f t="shared" si="822"/>
        <v>1</v>
      </c>
      <c r="K1841" s="65">
        <v>43844</v>
      </c>
      <c r="L1841" s="27"/>
      <c r="M1841" s="13"/>
      <c r="N1841" s="14"/>
      <c r="O1841" s="15"/>
      <c r="P1841" s="11">
        <f t="shared" si="824"/>
        <v>0</v>
      </c>
      <c r="Q1841" s="16"/>
      <c r="R1841" s="14"/>
      <c r="S1841" s="15"/>
      <c r="T1841" s="11">
        <f t="shared" si="825"/>
        <v>0</v>
      </c>
      <c r="U1841" s="11">
        <f t="shared" si="819"/>
        <v>0</v>
      </c>
      <c r="W1841" s="27"/>
      <c r="X1841" s="13"/>
      <c r="Y1841" s="14"/>
      <c r="Z1841" s="15"/>
      <c r="AA1841" s="11">
        <f t="shared" si="826"/>
        <v>0</v>
      </c>
      <c r="AB1841" s="16"/>
      <c r="AC1841" s="14"/>
      <c r="AD1841" s="15"/>
      <c r="AE1841" s="11">
        <f t="shared" si="827"/>
        <v>0</v>
      </c>
      <c r="AF1841" s="11">
        <f t="shared" si="820"/>
        <v>0</v>
      </c>
    </row>
    <row r="1842" spans="1:34" x14ac:dyDescent="0.15">
      <c r="A1842" s="29" t="s">
        <v>67</v>
      </c>
      <c r="B1842" s="8"/>
      <c r="C1842" s="9"/>
      <c r="D1842" s="10">
        <v>2</v>
      </c>
      <c r="E1842" s="11">
        <f t="shared" si="821"/>
        <v>2</v>
      </c>
      <c r="F1842" s="12"/>
      <c r="G1842" s="9"/>
      <c r="H1842" s="10">
        <v>1</v>
      </c>
      <c r="I1842" s="11">
        <f t="shared" si="828"/>
        <v>1</v>
      </c>
      <c r="J1842" s="11">
        <f t="shared" si="822"/>
        <v>3</v>
      </c>
      <c r="K1842" s="65">
        <v>43845</v>
      </c>
      <c r="L1842" s="86"/>
      <c r="M1842" s="13"/>
      <c r="N1842" s="14"/>
      <c r="O1842" s="15"/>
      <c r="P1842" s="11">
        <f t="shared" si="824"/>
        <v>0</v>
      </c>
      <c r="Q1842" s="16"/>
      <c r="R1842" s="14"/>
      <c r="S1842" s="15"/>
      <c r="T1842" s="11">
        <f t="shared" si="825"/>
        <v>0</v>
      </c>
      <c r="U1842" s="11">
        <f t="shared" si="819"/>
        <v>0</v>
      </c>
      <c r="W1842" s="86"/>
      <c r="X1842" s="13"/>
      <c r="Y1842" s="14"/>
      <c r="Z1842" s="15"/>
      <c r="AA1842" s="11">
        <f t="shared" si="826"/>
        <v>0</v>
      </c>
      <c r="AB1842" s="16"/>
      <c r="AC1842" s="14"/>
      <c r="AD1842" s="15"/>
      <c r="AE1842" s="11">
        <f t="shared" si="827"/>
        <v>0</v>
      </c>
      <c r="AF1842" s="11">
        <f t="shared" si="820"/>
        <v>0</v>
      </c>
    </row>
    <row r="1843" spans="1:34" x14ac:dyDescent="0.15">
      <c r="A1843" s="29" t="s">
        <v>67</v>
      </c>
      <c r="B1843" s="8"/>
      <c r="C1843" s="9"/>
      <c r="D1843" s="10">
        <v>1</v>
      </c>
      <c r="E1843" s="11">
        <f t="shared" si="821"/>
        <v>1</v>
      </c>
      <c r="F1843" s="12">
        <v>2</v>
      </c>
      <c r="G1843" s="9"/>
      <c r="H1843" s="10">
        <v>2</v>
      </c>
      <c r="I1843" s="11">
        <f t="shared" si="828"/>
        <v>4</v>
      </c>
      <c r="J1843" s="11">
        <f t="shared" si="822"/>
        <v>5</v>
      </c>
      <c r="K1843" s="65">
        <v>43846</v>
      </c>
      <c r="L1843" s="86"/>
      <c r="M1843" s="13"/>
      <c r="N1843" s="14"/>
      <c r="O1843" s="15"/>
      <c r="P1843" s="11">
        <f t="shared" si="824"/>
        <v>0</v>
      </c>
      <c r="Q1843" s="16"/>
      <c r="R1843" s="14"/>
      <c r="S1843" s="15"/>
      <c r="T1843" s="11">
        <f t="shared" si="825"/>
        <v>0</v>
      </c>
      <c r="U1843" s="11">
        <f t="shared" si="819"/>
        <v>0</v>
      </c>
      <c r="W1843" s="86"/>
      <c r="X1843" s="13"/>
      <c r="Y1843" s="14"/>
      <c r="Z1843" s="15"/>
      <c r="AA1843" s="11">
        <f t="shared" si="826"/>
        <v>0</v>
      </c>
      <c r="AB1843" s="16"/>
      <c r="AC1843" s="14"/>
      <c r="AD1843" s="15"/>
      <c r="AE1843" s="11">
        <f t="shared" si="827"/>
        <v>0</v>
      </c>
      <c r="AF1843" s="11">
        <f t="shared" si="820"/>
        <v>0</v>
      </c>
    </row>
    <row r="1844" spans="1:34" x14ac:dyDescent="0.15">
      <c r="A1844" s="29" t="s">
        <v>67</v>
      </c>
      <c r="B1844" s="8"/>
      <c r="C1844" s="9"/>
      <c r="D1844" s="10"/>
      <c r="E1844" s="11">
        <f t="shared" ref="E1844" si="829">SUM(B1844:D1844)</f>
        <v>0</v>
      </c>
      <c r="F1844" s="12">
        <v>1</v>
      </c>
      <c r="G1844" s="9"/>
      <c r="H1844" s="10"/>
      <c r="I1844" s="11">
        <f t="shared" ref="I1844" si="830">SUM(F1844:H1844)</f>
        <v>1</v>
      </c>
      <c r="J1844" s="11">
        <f t="shared" ref="J1844" si="831">E1844+I1844</f>
        <v>1</v>
      </c>
      <c r="K1844" s="65">
        <v>43861</v>
      </c>
      <c r="L1844" s="86"/>
      <c r="M1844" s="13"/>
      <c r="N1844" s="14"/>
      <c r="O1844" s="15"/>
      <c r="P1844" s="11">
        <f t="shared" si="824"/>
        <v>0</v>
      </c>
      <c r="Q1844" s="16"/>
      <c r="R1844" s="14"/>
      <c r="S1844" s="15"/>
      <c r="T1844" s="11">
        <f t="shared" si="825"/>
        <v>0</v>
      </c>
      <c r="U1844" s="11">
        <f t="shared" si="819"/>
        <v>0</v>
      </c>
      <c r="W1844" s="86"/>
      <c r="X1844" s="13"/>
      <c r="Y1844" s="14"/>
      <c r="Z1844" s="15"/>
      <c r="AA1844" s="11">
        <f t="shared" si="826"/>
        <v>0</v>
      </c>
      <c r="AB1844" s="16"/>
      <c r="AC1844" s="14"/>
      <c r="AD1844" s="15"/>
      <c r="AE1844" s="11">
        <f t="shared" si="827"/>
        <v>0</v>
      </c>
      <c r="AF1844" s="11">
        <f t="shared" si="820"/>
        <v>0</v>
      </c>
    </row>
    <row r="1845" spans="1:34" ht="14.25" thickBot="1" x14ac:dyDescent="0.2">
      <c r="A1845" s="29" t="s">
        <v>885</v>
      </c>
      <c r="B1845" s="8"/>
      <c r="C1845" s="9">
        <v>15</v>
      </c>
      <c r="D1845" s="10"/>
      <c r="E1845" s="11">
        <f t="shared" si="821"/>
        <v>15</v>
      </c>
      <c r="F1845" s="12">
        <v>20</v>
      </c>
      <c r="G1845" s="9"/>
      <c r="H1845" s="10">
        <v>20</v>
      </c>
      <c r="I1845" s="11">
        <f t="shared" si="828"/>
        <v>40</v>
      </c>
      <c r="J1845" s="11">
        <f t="shared" si="822"/>
        <v>55</v>
      </c>
      <c r="K1845" s="65">
        <v>43862</v>
      </c>
      <c r="L1845" s="86"/>
      <c r="M1845" s="13"/>
      <c r="N1845" s="14"/>
      <c r="O1845" s="15"/>
      <c r="P1845" s="11">
        <f t="shared" si="824"/>
        <v>0</v>
      </c>
      <c r="Q1845" s="16"/>
      <c r="R1845" s="14"/>
      <c r="S1845" s="15"/>
      <c r="T1845" s="11">
        <f t="shared" si="825"/>
        <v>0</v>
      </c>
      <c r="U1845" s="11">
        <f t="shared" si="819"/>
        <v>0</v>
      </c>
      <c r="W1845" s="86"/>
      <c r="X1845" s="13"/>
      <c r="Y1845" s="14"/>
      <c r="Z1845" s="15"/>
      <c r="AA1845" s="11">
        <f t="shared" si="826"/>
        <v>0</v>
      </c>
      <c r="AB1845" s="16"/>
      <c r="AC1845" s="14"/>
      <c r="AD1845" s="15"/>
      <c r="AE1845" s="11">
        <f t="shared" si="827"/>
        <v>0</v>
      </c>
      <c r="AF1845" s="11">
        <f t="shared" si="820"/>
        <v>0</v>
      </c>
      <c r="AG1845" s="64"/>
    </row>
    <row r="1846" spans="1:34" ht="14.25" thickBot="1" x14ac:dyDescent="0.2">
      <c r="A1846" s="44" t="s">
        <v>13</v>
      </c>
      <c r="B1846" s="48">
        <f t="shared" ref="B1846:I1846" si="832">SUM(B1820:B1845)</f>
        <v>13</v>
      </c>
      <c r="C1846" s="49">
        <f t="shared" si="832"/>
        <v>32</v>
      </c>
      <c r="D1846" s="50">
        <f t="shared" si="832"/>
        <v>11</v>
      </c>
      <c r="E1846" s="46">
        <f t="shared" si="832"/>
        <v>56</v>
      </c>
      <c r="F1846" s="48">
        <f t="shared" si="832"/>
        <v>26</v>
      </c>
      <c r="G1846" s="49">
        <f t="shared" si="832"/>
        <v>19</v>
      </c>
      <c r="H1846" s="50">
        <f t="shared" si="832"/>
        <v>32</v>
      </c>
      <c r="I1846" s="46">
        <f t="shared" si="832"/>
        <v>77</v>
      </c>
      <c r="J1846" s="35">
        <f>E1846+I1846</f>
        <v>133</v>
      </c>
      <c r="L1846" s="44" t="s">
        <v>13</v>
      </c>
      <c r="M1846" s="48">
        <f t="shared" ref="M1846:T1846" si="833">SUM(M1820:M1845)</f>
        <v>0</v>
      </c>
      <c r="N1846" s="49">
        <f t="shared" si="833"/>
        <v>0</v>
      </c>
      <c r="O1846" s="50">
        <f t="shared" si="833"/>
        <v>0</v>
      </c>
      <c r="P1846" s="46">
        <f t="shared" si="833"/>
        <v>0</v>
      </c>
      <c r="Q1846" s="48">
        <f t="shared" si="833"/>
        <v>0</v>
      </c>
      <c r="R1846" s="49">
        <f t="shared" si="833"/>
        <v>5</v>
      </c>
      <c r="S1846" s="50">
        <f t="shared" si="833"/>
        <v>0</v>
      </c>
      <c r="T1846" s="46">
        <f t="shared" si="833"/>
        <v>5</v>
      </c>
      <c r="U1846" s="35">
        <f>P1846+T1846</f>
        <v>5</v>
      </c>
      <c r="W1846" s="44" t="s">
        <v>13</v>
      </c>
      <c r="X1846" s="48">
        <f t="shared" ref="X1846:AE1846" si="834">SUM(X1820:X1845)</f>
        <v>50</v>
      </c>
      <c r="Y1846" s="49">
        <f t="shared" si="834"/>
        <v>50</v>
      </c>
      <c r="Z1846" s="50">
        <f t="shared" si="834"/>
        <v>50</v>
      </c>
      <c r="AA1846" s="46">
        <f t="shared" si="834"/>
        <v>0</v>
      </c>
      <c r="AB1846" s="48">
        <f t="shared" si="834"/>
        <v>0</v>
      </c>
      <c r="AC1846" s="49">
        <f t="shared" si="834"/>
        <v>45</v>
      </c>
      <c r="AD1846" s="50">
        <f t="shared" si="834"/>
        <v>0</v>
      </c>
      <c r="AE1846" s="46">
        <f t="shared" si="834"/>
        <v>45</v>
      </c>
      <c r="AF1846" s="35">
        <f>AA1846+AE1846</f>
        <v>45</v>
      </c>
    </row>
    <row r="1847" spans="1:34" ht="14.25" thickBot="1" x14ac:dyDescent="0.2">
      <c r="A1847" s="23" t="s">
        <v>14</v>
      </c>
      <c r="B1847" s="24">
        <f t="shared" ref="B1847:J1847" si="835">B1819-B1846</f>
        <v>12</v>
      </c>
      <c r="C1847" s="25">
        <f t="shared" si="835"/>
        <v>12</v>
      </c>
      <c r="D1847" s="30">
        <f t="shared" si="835"/>
        <v>4</v>
      </c>
      <c r="E1847" s="51">
        <f t="shared" si="835"/>
        <v>28</v>
      </c>
      <c r="F1847" s="24">
        <f t="shared" si="835"/>
        <v>10</v>
      </c>
      <c r="G1847" s="25">
        <f t="shared" si="835"/>
        <v>5</v>
      </c>
      <c r="H1847" s="30">
        <f t="shared" si="835"/>
        <v>12</v>
      </c>
      <c r="I1847" s="47">
        <f t="shared" si="835"/>
        <v>27</v>
      </c>
      <c r="J1847" s="79">
        <f t="shared" si="835"/>
        <v>55</v>
      </c>
      <c r="L1847" s="23" t="s">
        <v>14</v>
      </c>
      <c r="M1847" s="24">
        <f t="shared" ref="M1847:U1847" si="836">M1819-M1846</f>
        <v>57</v>
      </c>
      <c r="N1847" s="25">
        <f t="shared" si="836"/>
        <v>65</v>
      </c>
      <c r="O1847" s="30">
        <f t="shared" si="836"/>
        <v>54</v>
      </c>
      <c r="P1847" s="51">
        <f t="shared" si="836"/>
        <v>176</v>
      </c>
      <c r="Q1847" s="24">
        <f t="shared" si="836"/>
        <v>25</v>
      </c>
      <c r="R1847" s="25">
        <f t="shared" si="836"/>
        <v>60</v>
      </c>
      <c r="S1847" s="30">
        <f t="shared" si="836"/>
        <v>25</v>
      </c>
      <c r="T1847" s="47">
        <f t="shared" si="836"/>
        <v>110</v>
      </c>
      <c r="U1847" s="79">
        <f t="shared" si="836"/>
        <v>286</v>
      </c>
      <c r="W1847" s="23" t="s">
        <v>14</v>
      </c>
      <c r="X1847" s="24">
        <f t="shared" ref="X1847:AF1847" si="837">X1819-X1846</f>
        <v>687</v>
      </c>
      <c r="Y1847" s="25">
        <f t="shared" si="837"/>
        <v>135</v>
      </c>
      <c r="Z1847" s="30">
        <f t="shared" si="837"/>
        <v>350</v>
      </c>
      <c r="AA1847" s="51">
        <f t="shared" si="837"/>
        <v>1322</v>
      </c>
      <c r="AB1847" s="24">
        <f t="shared" si="837"/>
        <v>354</v>
      </c>
      <c r="AC1847" s="25">
        <f t="shared" si="837"/>
        <v>250</v>
      </c>
      <c r="AD1847" s="30">
        <f t="shared" si="837"/>
        <v>500</v>
      </c>
      <c r="AE1847" s="47">
        <f t="shared" si="837"/>
        <v>1104</v>
      </c>
      <c r="AF1847" s="79">
        <f t="shared" si="837"/>
        <v>2426</v>
      </c>
    </row>
    <row r="1850" spans="1:34" ht="19.5" thickBot="1" x14ac:dyDescent="0.25">
      <c r="A1850" s="142" t="s">
        <v>850</v>
      </c>
      <c r="B1850" s="143"/>
      <c r="C1850" s="143"/>
      <c r="D1850" s="143"/>
      <c r="E1850" s="143"/>
      <c r="F1850" s="1"/>
      <c r="G1850" s="1"/>
      <c r="H1850" s="1"/>
      <c r="I1850" s="1"/>
      <c r="J1850" s="1"/>
      <c r="L1850" s="148" t="s">
        <v>851</v>
      </c>
      <c r="M1850" s="149"/>
      <c r="N1850" s="149"/>
      <c r="O1850" s="149"/>
      <c r="P1850" s="149"/>
      <c r="Q1850" s="2"/>
      <c r="R1850" s="1"/>
      <c r="S1850" s="1"/>
      <c r="T1850" s="1"/>
      <c r="U1850" s="1"/>
      <c r="W1850" s="150" t="s">
        <v>765</v>
      </c>
      <c r="X1850" s="151"/>
      <c r="Y1850" s="151"/>
      <c r="Z1850" s="151"/>
      <c r="AA1850" s="106"/>
      <c r="AB1850" s="1"/>
      <c r="AC1850" s="1"/>
      <c r="AD1850" s="1"/>
      <c r="AE1850" s="1"/>
      <c r="AF1850" s="1"/>
    </row>
    <row r="1851" spans="1:34" ht="14.25" thickBot="1" x14ac:dyDescent="0.2">
      <c r="A1851" s="7" t="s">
        <v>0</v>
      </c>
      <c r="B1851" s="168" t="s">
        <v>1</v>
      </c>
      <c r="C1851" s="169"/>
      <c r="D1851" s="169"/>
      <c r="E1851" s="170"/>
      <c r="F1851" s="168" t="s">
        <v>2</v>
      </c>
      <c r="G1851" s="169"/>
      <c r="H1851" s="169"/>
      <c r="I1851" s="171"/>
      <c r="J1851" s="172" t="s">
        <v>3</v>
      </c>
      <c r="L1851" s="7" t="s">
        <v>0</v>
      </c>
      <c r="M1851" s="174" t="s">
        <v>1</v>
      </c>
      <c r="N1851" s="175"/>
      <c r="O1851" s="176"/>
      <c r="P1851" s="101"/>
      <c r="Q1851" s="174" t="s">
        <v>2</v>
      </c>
      <c r="R1851" s="175"/>
      <c r="S1851" s="176"/>
      <c r="T1851" s="102"/>
      <c r="U1851" s="103" t="s">
        <v>3</v>
      </c>
      <c r="W1851" s="7" t="s">
        <v>0</v>
      </c>
      <c r="X1851" s="174" t="s">
        <v>1</v>
      </c>
      <c r="Y1851" s="175"/>
      <c r="Z1851" s="176"/>
      <c r="AA1851" s="101"/>
      <c r="AB1851" s="174" t="s">
        <v>2</v>
      </c>
      <c r="AC1851" s="175"/>
      <c r="AD1851" s="176"/>
      <c r="AE1851" s="102"/>
      <c r="AF1851" s="103" t="s">
        <v>3</v>
      </c>
    </row>
    <row r="1852" spans="1:34" ht="14.25" thickBot="1" x14ac:dyDescent="0.2">
      <c r="A1852" s="7" t="s">
        <v>4</v>
      </c>
      <c r="B1852" s="3" t="s">
        <v>5</v>
      </c>
      <c r="C1852" s="4" t="s">
        <v>6</v>
      </c>
      <c r="D1852" s="5" t="s">
        <v>7</v>
      </c>
      <c r="E1852" s="7" t="s">
        <v>8</v>
      </c>
      <c r="F1852" s="3" t="s">
        <v>5</v>
      </c>
      <c r="G1852" s="4" t="s">
        <v>6</v>
      </c>
      <c r="H1852" s="5" t="s">
        <v>7</v>
      </c>
      <c r="I1852" s="7" t="s">
        <v>8</v>
      </c>
      <c r="J1852" s="173"/>
      <c r="L1852" s="7" t="s">
        <v>4</v>
      </c>
      <c r="M1852" s="3" t="s">
        <v>5</v>
      </c>
      <c r="N1852" s="4" t="s">
        <v>6</v>
      </c>
      <c r="O1852" s="5" t="s">
        <v>7</v>
      </c>
      <c r="P1852" s="7" t="s">
        <v>8</v>
      </c>
      <c r="Q1852" s="107" t="s">
        <v>5</v>
      </c>
      <c r="R1852" s="108" t="s">
        <v>6</v>
      </c>
      <c r="S1852" s="109" t="s">
        <v>7</v>
      </c>
      <c r="T1852" s="7" t="s">
        <v>8</v>
      </c>
      <c r="U1852" s="104"/>
      <c r="W1852" s="7" t="s">
        <v>4</v>
      </c>
      <c r="X1852" s="3" t="s">
        <v>5</v>
      </c>
      <c r="Y1852" s="4" t="s">
        <v>6</v>
      </c>
      <c r="Z1852" s="5" t="s">
        <v>7</v>
      </c>
      <c r="AA1852" s="7" t="s">
        <v>8</v>
      </c>
      <c r="AB1852" s="107" t="s">
        <v>5</v>
      </c>
      <c r="AC1852" s="108" t="s">
        <v>6</v>
      </c>
      <c r="AD1852" s="109" t="s">
        <v>7</v>
      </c>
      <c r="AE1852" s="7" t="s">
        <v>8</v>
      </c>
      <c r="AF1852" s="104"/>
    </row>
    <row r="1853" spans="1:34" ht="14.25" thickBot="1" x14ac:dyDescent="0.2">
      <c r="A1853" s="31" t="s">
        <v>14</v>
      </c>
      <c r="B1853" s="32">
        <f>B1847</f>
        <v>12</v>
      </c>
      <c r="C1853" s="33">
        <f>C1847</f>
        <v>12</v>
      </c>
      <c r="D1853" s="34">
        <f>D1847</f>
        <v>4</v>
      </c>
      <c r="E1853" s="41">
        <f>SUM(B1853:D1853)</f>
        <v>28</v>
      </c>
      <c r="F1853" s="32">
        <f>F1847</f>
        <v>10</v>
      </c>
      <c r="G1853" s="33">
        <f>G1847</f>
        <v>5</v>
      </c>
      <c r="H1853" s="34">
        <f>H1847</f>
        <v>12</v>
      </c>
      <c r="I1853" s="41">
        <f>SUM(F1853:H1853)</f>
        <v>27</v>
      </c>
      <c r="J1853" s="41">
        <f>E1853+I1853</f>
        <v>55</v>
      </c>
      <c r="L1853" s="31" t="s">
        <v>14</v>
      </c>
      <c r="M1853" s="32">
        <f>M1847</f>
        <v>57</v>
      </c>
      <c r="N1853" s="33">
        <f>N1847</f>
        <v>65</v>
      </c>
      <c r="O1853" s="33">
        <f>O1847</f>
        <v>54</v>
      </c>
      <c r="P1853" s="111">
        <f>SUM(M1853:O1853)</f>
        <v>176</v>
      </c>
      <c r="Q1853" s="32">
        <f>Q1847</f>
        <v>25</v>
      </c>
      <c r="R1853" s="33">
        <f>R1847</f>
        <v>60</v>
      </c>
      <c r="S1853" s="95">
        <f>S1847</f>
        <v>25</v>
      </c>
      <c r="T1853" s="46">
        <f>SUM(Q1853:S1853)</f>
        <v>110</v>
      </c>
      <c r="U1853" s="35">
        <f>P1853+T1853</f>
        <v>286</v>
      </c>
      <c r="W1853" s="31" t="s">
        <v>14</v>
      </c>
      <c r="X1853" s="32">
        <f>X1847</f>
        <v>687</v>
      </c>
      <c r="Y1853" s="33">
        <f>Y1847</f>
        <v>135</v>
      </c>
      <c r="Z1853" s="33">
        <f>Z1847</f>
        <v>350</v>
      </c>
      <c r="AA1853" s="111">
        <f>SUM(X1853:Z1853)</f>
        <v>1172</v>
      </c>
      <c r="AB1853" s="32">
        <f>AB1847</f>
        <v>354</v>
      </c>
      <c r="AC1853" s="33">
        <f>AC1847</f>
        <v>250</v>
      </c>
      <c r="AD1853" s="95">
        <f>AD1847</f>
        <v>500</v>
      </c>
      <c r="AE1853" s="46">
        <f>SUM(AB1853:AD1853)</f>
        <v>1104</v>
      </c>
      <c r="AF1853" s="35">
        <f>AA1853+AE1853</f>
        <v>2276</v>
      </c>
    </row>
    <row r="1854" spans="1:34" x14ac:dyDescent="0.15">
      <c r="A1854" s="28" t="s">
        <v>9</v>
      </c>
      <c r="B1854" s="17"/>
      <c r="C1854" s="18"/>
      <c r="D1854" s="19">
        <v>5</v>
      </c>
      <c r="E1854" s="20">
        <f>SUM(B1854:D1854)</f>
        <v>5</v>
      </c>
      <c r="F1854" s="21"/>
      <c r="G1854" s="18"/>
      <c r="H1854" s="19"/>
      <c r="I1854" s="20">
        <f>SUM(F1854:H1854)</f>
        <v>0</v>
      </c>
      <c r="J1854" s="20">
        <f>E1854+I1854</f>
        <v>5</v>
      </c>
      <c r="K1854" s="65">
        <v>43876</v>
      </c>
      <c r="L1854" s="28" t="s">
        <v>896</v>
      </c>
      <c r="M1854" s="8"/>
      <c r="N1854" s="9">
        <v>100</v>
      </c>
      <c r="O1854" s="10"/>
      <c r="P1854" s="78">
        <f t="shared" ref="P1854:P1861" si="838">SUM(M1854:O1854)</f>
        <v>100</v>
      </c>
      <c r="Q1854" s="21"/>
      <c r="R1854" s="18"/>
      <c r="S1854" s="19"/>
      <c r="T1854" s="78">
        <f t="shared" ref="T1854:T1861" si="839">SUM(Q1854:S1854)</f>
        <v>0</v>
      </c>
      <c r="U1854" s="78">
        <f t="shared" ref="U1854:U1861" si="840">P1854+T1854</f>
        <v>100</v>
      </c>
      <c r="V1854" s="65">
        <v>43896</v>
      </c>
      <c r="W1854" s="28" t="s">
        <v>9</v>
      </c>
      <c r="X1854" s="8"/>
      <c r="Y1854" s="9"/>
      <c r="Z1854" s="10"/>
      <c r="AA1854" s="78">
        <f t="shared" ref="AA1854:AA1861" si="841">SUM(X1854:Z1854)</f>
        <v>0</v>
      </c>
      <c r="AB1854" s="21"/>
      <c r="AC1854" s="18"/>
      <c r="AD1854" s="19"/>
      <c r="AE1854" s="78">
        <f t="shared" ref="AE1854:AE1861" si="842">SUM(AB1854:AD1854)</f>
        <v>0</v>
      </c>
      <c r="AF1854" s="78">
        <f t="shared" ref="AF1854:AF1861" si="843">AA1854+AE1854</f>
        <v>0</v>
      </c>
    </row>
    <row r="1855" spans="1:34" x14ac:dyDescent="0.15">
      <c r="A1855" s="28" t="s">
        <v>10</v>
      </c>
      <c r="B1855" s="8"/>
      <c r="C1855" s="9"/>
      <c r="D1855" s="10"/>
      <c r="E1855" s="11">
        <f t="shared" ref="E1855:E1861" si="844">SUM(B1855:D1855)</f>
        <v>0</v>
      </c>
      <c r="F1855" s="12"/>
      <c r="G1855" s="9">
        <v>5</v>
      </c>
      <c r="H1855" s="10"/>
      <c r="I1855" s="11">
        <f t="shared" ref="I1855:I1861" si="845">SUM(F1855:H1855)</f>
        <v>5</v>
      </c>
      <c r="J1855" s="11">
        <f t="shared" ref="J1855:J1861" si="846">E1855+I1855</f>
        <v>5</v>
      </c>
      <c r="K1855" s="65">
        <v>43890</v>
      </c>
      <c r="L1855" s="28" t="s">
        <v>10</v>
      </c>
      <c r="M1855" s="8"/>
      <c r="N1855" s="9"/>
      <c r="O1855" s="10"/>
      <c r="P1855" s="11">
        <f t="shared" si="838"/>
        <v>0</v>
      </c>
      <c r="Q1855" s="12"/>
      <c r="R1855" s="9"/>
      <c r="S1855" s="10"/>
      <c r="T1855" s="11">
        <f t="shared" si="839"/>
        <v>0</v>
      </c>
      <c r="U1855" s="11">
        <f t="shared" si="840"/>
        <v>0</v>
      </c>
      <c r="V1855" s="64"/>
      <c r="W1855" s="28" t="s">
        <v>10</v>
      </c>
      <c r="X1855" s="8"/>
      <c r="Y1855" s="9">
        <v>500</v>
      </c>
      <c r="Z1855" s="10"/>
      <c r="AA1855" s="11">
        <f t="shared" si="841"/>
        <v>500</v>
      </c>
      <c r="AB1855" s="12"/>
      <c r="AC1855" s="9">
        <v>500</v>
      </c>
      <c r="AD1855" s="10"/>
      <c r="AE1855" s="11">
        <f t="shared" si="842"/>
        <v>500</v>
      </c>
      <c r="AF1855" s="11">
        <f t="shared" si="843"/>
        <v>1000</v>
      </c>
      <c r="AG1855" s="65">
        <v>43522</v>
      </c>
      <c r="AH1855" s="65"/>
    </row>
    <row r="1856" spans="1:34" x14ac:dyDescent="0.15">
      <c r="A1856" s="28" t="s">
        <v>11</v>
      </c>
      <c r="B1856" s="8"/>
      <c r="C1856" s="9"/>
      <c r="D1856" s="10">
        <v>5</v>
      </c>
      <c r="E1856" s="11">
        <f t="shared" si="844"/>
        <v>5</v>
      </c>
      <c r="F1856" s="12">
        <v>5</v>
      </c>
      <c r="G1856" s="9"/>
      <c r="H1856" s="10">
        <v>5</v>
      </c>
      <c r="I1856" s="11">
        <f t="shared" si="845"/>
        <v>10</v>
      </c>
      <c r="J1856" s="11">
        <f t="shared" si="846"/>
        <v>15</v>
      </c>
      <c r="K1856" s="65">
        <v>43897</v>
      </c>
      <c r="L1856" s="28" t="s">
        <v>104</v>
      </c>
      <c r="M1856" s="8">
        <v>14</v>
      </c>
      <c r="N1856" s="9">
        <v>30</v>
      </c>
      <c r="O1856" s="10">
        <v>3</v>
      </c>
      <c r="P1856" s="11">
        <f t="shared" si="838"/>
        <v>47</v>
      </c>
      <c r="Q1856" s="12">
        <v>11</v>
      </c>
      <c r="R1856" s="9">
        <v>11</v>
      </c>
      <c r="S1856" s="10">
        <v>10</v>
      </c>
      <c r="T1856" s="11">
        <f t="shared" si="839"/>
        <v>32</v>
      </c>
      <c r="U1856" s="11">
        <f t="shared" si="840"/>
        <v>79</v>
      </c>
      <c r="V1856" s="65">
        <v>43929</v>
      </c>
      <c r="W1856" s="28" t="s">
        <v>878</v>
      </c>
      <c r="X1856" s="8"/>
      <c r="Y1856" s="9"/>
      <c r="Z1856" s="10"/>
      <c r="AA1856" s="11">
        <f t="shared" si="841"/>
        <v>0</v>
      </c>
      <c r="AB1856" s="12"/>
      <c r="AC1856" s="9"/>
      <c r="AD1856" s="10"/>
      <c r="AE1856" s="11">
        <f t="shared" si="842"/>
        <v>0</v>
      </c>
      <c r="AF1856" s="11">
        <f t="shared" si="843"/>
        <v>0</v>
      </c>
      <c r="AG1856" s="65" t="s">
        <v>889</v>
      </c>
    </row>
    <row r="1857" spans="1:33" x14ac:dyDescent="0.15">
      <c r="A1857" s="28" t="s">
        <v>104</v>
      </c>
      <c r="B1857" s="8"/>
      <c r="C1857" s="9">
        <v>3</v>
      </c>
      <c r="D1857" s="10">
        <v>2</v>
      </c>
      <c r="E1857" s="11">
        <f t="shared" si="844"/>
        <v>5</v>
      </c>
      <c r="F1857" s="12">
        <v>1</v>
      </c>
      <c r="G1857" s="9"/>
      <c r="H1857" s="10"/>
      <c r="I1857" s="11">
        <f t="shared" si="845"/>
        <v>1</v>
      </c>
      <c r="J1857" s="11">
        <f t="shared" si="846"/>
        <v>6</v>
      </c>
      <c r="K1857" s="65">
        <v>43936</v>
      </c>
      <c r="L1857" s="28" t="s">
        <v>12</v>
      </c>
      <c r="M1857" s="8"/>
      <c r="N1857" s="9"/>
      <c r="O1857" s="10"/>
      <c r="P1857" s="11">
        <f t="shared" si="838"/>
        <v>0</v>
      </c>
      <c r="Q1857" s="12"/>
      <c r="R1857" s="9"/>
      <c r="S1857" s="10"/>
      <c r="T1857" s="11">
        <f t="shared" si="839"/>
        <v>0</v>
      </c>
      <c r="U1857" s="11">
        <f t="shared" si="840"/>
        <v>0</v>
      </c>
      <c r="W1857" s="28" t="s">
        <v>12</v>
      </c>
      <c r="X1857" s="8"/>
      <c r="Y1857" s="9"/>
      <c r="Z1857" s="10"/>
      <c r="AA1857" s="11">
        <f t="shared" si="841"/>
        <v>0</v>
      </c>
      <c r="AB1857" s="12"/>
      <c r="AC1857" s="9"/>
      <c r="AD1857" s="10"/>
      <c r="AE1857" s="11">
        <f t="shared" si="842"/>
        <v>0</v>
      </c>
      <c r="AF1857" s="11">
        <f t="shared" si="843"/>
        <v>0</v>
      </c>
      <c r="AG1857" s="64" t="s">
        <v>890</v>
      </c>
    </row>
    <row r="1858" spans="1:33" x14ac:dyDescent="0.15">
      <c r="A1858" s="28" t="s">
        <v>15</v>
      </c>
      <c r="B1858" s="8"/>
      <c r="C1858" s="9"/>
      <c r="D1858" s="10"/>
      <c r="E1858" s="11">
        <f t="shared" si="844"/>
        <v>0</v>
      </c>
      <c r="F1858" s="12"/>
      <c r="G1858" s="9">
        <v>5</v>
      </c>
      <c r="H1858" s="10"/>
      <c r="I1858" s="11">
        <f t="shared" si="845"/>
        <v>5</v>
      </c>
      <c r="J1858" s="11">
        <f t="shared" si="846"/>
        <v>5</v>
      </c>
      <c r="K1858" s="65">
        <v>43938</v>
      </c>
      <c r="L1858" s="28" t="s">
        <v>15</v>
      </c>
      <c r="M1858" s="8"/>
      <c r="N1858" s="9"/>
      <c r="O1858" s="10"/>
      <c r="P1858" s="11">
        <f t="shared" si="838"/>
        <v>0</v>
      </c>
      <c r="Q1858" s="12">
        <v>50</v>
      </c>
      <c r="R1858" s="9"/>
      <c r="S1858" s="10"/>
      <c r="T1858" s="11">
        <f t="shared" si="839"/>
        <v>50</v>
      </c>
      <c r="U1858" s="11">
        <f t="shared" si="840"/>
        <v>50</v>
      </c>
      <c r="V1858" s="65">
        <v>43945</v>
      </c>
      <c r="W1858" s="28" t="s">
        <v>15</v>
      </c>
      <c r="X1858" s="8"/>
      <c r="Y1858" s="9"/>
      <c r="Z1858" s="10"/>
      <c r="AA1858" s="11">
        <f t="shared" si="841"/>
        <v>0</v>
      </c>
      <c r="AB1858" s="12"/>
      <c r="AC1858" s="9"/>
      <c r="AD1858" s="10"/>
      <c r="AE1858" s="11">
        <f t="shared" si="842"/>
        <v>0</v>
      </c>
      <c r="AF1858" s="11">
        <f t="shared" si="843"/>
        <v>0</v>
      </c>
    </row>
    <row r="1859" spans="1:33" x14ac:dyDescent="0.15">
      <c r="A1859" s="28" t="s">
        <v>83</v>
      </c>
      <c r="B1859" s="8">
        <v>4</v>
      </c>
      <c r="C1859" s="9">
        <v>10</v>
      </c>
      <c r="D1859" s="10">
        <v>12</v>
      </c>
      <c r="E1859" s="11">
        <f t="shared" si="844"/>
        <v>26</v>
      </c>
      <c r="F1859" s="12">
        <v>8</v>
      </c>
      <c r="G1859" s="9">
        <v>8</v>
      </c>
      <c r="H1859" s="10"/>
      <c r="I1859" s="11">
        <f t="shared" si="845"/>
        <v>16</v>
      </c>
      <c r="J1859" s="11">
        <f t="shared" si="846"/>
        <v>42</v>
      </c>
      <c r="K1859" s="65">
        <v>43949</v>
      </c>
      <c r="L1859" s="28" t="s">
        <v>875</v>
      </c>
      <c r="M1859" s="8">
        <v>4</v>
      </c>
      <c r="N1859" s="9">
        <v>10</v>
      </c>
      <c r="O1859" s="10">
        <v>12</v>
      </c>
      <c r="P1859" s="11">
        <f t="shared" si="838"/>
        <v>26</v>
      </c>
      <c r="Q1859" s="12">
        <v>8</v>
      </c>
      <c r="R1859" s="9">
        <v>8</v>
      </c>
      <c r="S1859" s="10"/>
      <c r="T1859" s="11">
        <f t="shared" si="839"/>
        <v>16</v>
      </c>
      <c r="U1859" s="11">
        <f t="shared" si="840"/>
        <v>42</v>
      </c>
      <c r="V1859" s="71">
        <v>43952</v>
      </c>
      <c r="W1859" s="28" t="s">
        <v>16</v>
      </c>
      <c r="X1859" s="8"/>
      <c r="Y1859" s="9"/>
      <c r="Z1859" s="10"/>
      <c r="AA1859" s="11">
        <f t="shared" si="841"/>
        <v>0</v>
      </c>
      <c r="AB1859" s="12"/>
      <c r="AC1859" s="9"/>
      <c r="AD1859" s="10"/>
      <c r="AE1859" s="11">
        <f t="shared" si="842"/>
        <v>0</v>
      </c>
      <c r="AF1859" s="11">
        <f t="shared" si="843"/>
        <v>0</v>
      </c>
    </row>
    <row r="1860" spans="1:33" x14ac:dyDescent="0.15">
      <c r="A1860" s="28" t="s">
        <v>17</v>
      </c>
      <c r="B1860" s="13"/>
      <c r="C1860" s="14"/>
      <c r="D1860" s="15"/>
      <c r="E1860" s="11">
        <f t="shared" si="844"/>
        <v>0</v>
      </c>
      <c r="F1860" s="16"/>
      <c r="G1860" s="14"/>
      <c r="H1860" s="15"/>
      <c r="I1860" s="11">
        <f t="shared" si="845"/>
        <v>0</v>
      </c>
      <c r="J1860" s="11">
        <f t="shared" si="846"/>
        <v>0</v>
      </c>
      <c r="K1860" s="65"/>
      <c r="L1860" s="28" t="s">
        <v>17</v>
      </c>
      <c r="M1860" s="8">
        <v>50</v>
      </c>
      <c r="N1860" s="9"/>
      <c r="O1860" s="10">
        <v>50</v>
      </c>
      <c r="P1860" s="11">
        <f t="shared" si="838"/>
        <v>100</v>
      </c>
      <c r="Q1860" s="12">
        <v>50</v>
      </c>
      <c r="R1860" s="12">
        <v>50</v>
      </c>
      <c r="S1860" s="87">
        <v>100</v>
      </c>
      <c r="T1860" s="11">
        <f t="shared" si="839"/>
        <v>200</v>
      </c>
      <c r="U1860" s="11">
        <f t="shared" si="840"/>
        <v>300</v>
      </c>
      <c r="V1860" s="65">
        <v>43964</v>
      </c>
      <c r="W1860" s="28" t="s">
        <v>17</v>
      </c>
      <c r="X1860" s="8"/>
      <c r="Y1860" s="9"/>
      <c r="Z1860" s="10"/>
      <c r="AA1860" s="11">
        <f t="shared" si="841"/>
        <v>0</v>
      </c>
      <c r="AB1860" s="12"/>
      <c r="AC1860" s="12"/>
      <c r="AD1860" s="87"/>
      <c r="AE1860" s="11">
        <f t="shared" si="842"/>
        <v>0</v>
      </c>
      <c r="AF1860" s="11">
        <f t="shared" si="843"/>
        <v>0</v>
      </c>
    </row>
    <row r="1861" spans="1:33" ht="14.25" thickBot="1" x14ac:dyDescent="0.2">
      <c r="A1861" s="28" t="s">
        <v>18</v>
      </c>
      <c r="B1861" s="36"/>
      <c r="C1861" s="37"/>
      <c r="D1861" s="40"/>
      <c r="E1861" s="22">
        <f t="shared" si="844"/>
        <v>0</v>
      </c>
      <c r="F1861" s="38"/>
      <c r="G1861" s="38"/>
      <c r="H1861" s="43"/>
      <c r="I1861" s="22">
        <f t="shared" si="845"/>
        <v>0</v>
      </c>
      <c r="J1861" s="22">
        <f t="shared" si="846"/>
        <v>0</v>
      </c>
      <c r="L1861" s="28" t="s">
        <v>18</v>
      </c>
      <c r="M1861" s="127"/>
      <c r="N1861" s="128"/>
      <c r="O1861" s="129"/>
      <c r="P1861" s="130">
        <f t="shared" si="838"/>
        <v>0</v>
      </c>
      <c r="Q1861" s="131"/>
      <c r="R1861" s="131"/>
      <c r="S1861" s="132"/>
      <c r="T1861" s="130">
        <f t="shared" si="839"/>
        <v>0</v>
      </c>
      <c r="U1861" s="130">
        <f t="shared" si="840"/>
        <v>0</v>
      </c>
      <c r="W1861" s="28" t="s">
        <v>18</v>
      </c>
      <c r="X1861" s="127"/>
      <c r="Y1861" s="128"/>
      <c r="Z1861" s="129"/>
      <c r="AA1861" s="130">
        <f t="shared" si="841"/>
        <v>0</v>
      </c>
      <c r="AB1861" s="131"/>
      <c r="AC1861" s="131"/>
      <c r="AD1861" s="132"/>
      <c r="AE1861" s="130">
        <f t="shared" si="842"/>
        <v>0</v>
      </c>
      <c r="AF1861" s="130">
        <f t="shared" si="843"/>
        <v>0</v>
      </c>
    </row>
    <row r="1862" spans="1:33" ht="14.25" thickBot="1" x14ac:dyDescent="0.2">
      <c r="A1862" s="39" t="s">
        <v>20</v>
      </c>
      <c r="B1862" s="32">
        <f t="shared" ref="B1862:J1862" si="847">SUM(B1853:B1861)</f>
        <v>16</v>
      </c>
      <c r="C1862" s="33">
        <f t="shared" si="847"/>
        <v>25</v>
      </c>
      <c r="D1862" s="34">
        <f t="shared" si="847"/>
        <v>28</v>
      </c>
      <c r="E1862" s="42">
        <f t="shared" si="847"/>
        <v>69</v>
      </c>
      <c r="F1862" s="32">
        <f t="shared" si="847"/>
        <v>24</v>
      </c>
      <c r="G1862" s="33">
        <f t="shared" si="847"/>
        <v>23</v>
      </c>
      <c r="H1862" s="34">
        <f t="shared" si="847"/>
        <v>17</v>
      </c>
      <c r="I1862" s="42">
        <f t="shared" si="847"/>
        <v>64</v>
      </c>
      <c r="J1862" s="42">
        <f t="shared" si="847"/>
        <v>133</v>
      </c>
      <c r="L1862" s="39" t="s">
        <v>20</v>
      </c>
      <c r="M1862" s="32">
        <f t="shared" ref="M1862:U1862" si="848">SUM(M1853:M1861)</f>
        <v>125</v>
      </c>
      <c r="N1862" s="33">
        <f t="shared" si="848"/>
        <v>205</v>
      </c>
      <c r="O1862" s="34">
        <f t="shared" si="848"/>
        <v>119</v>
      </c>
      <c r="P1862" s="42">
        <f t="shared" si="848"/>
        <v>449</v>
      </c>
      <c r="Q1862" s="32">
        <f t="shared" si="848"/>
        <v>144</v>
      </c>
      <c r="R1862" s="33">
        <f t="shared" si="848"/>
        <v>129</v>
      </c>
      <c r="S1862" s="34">
        <f t="shared" si="848"/>
        <v>135</v>
      </c>
      <c r="T1862" s="42">
        <f t="shared" si="848"/>
        <v>408</v>
      </c>
      <c r="U1862" s="42">
        <f t="shared" si="848"/>
        <v>857</v>
      </c>
      <c r="W1862" s="39" t="s">
        <v>20</v>
      </c>
      <c r="X1862" s="32">
        <f t="shared" ref="X1862:AF1862" si="849">SUM(X1853:X1861)</f>
        <v>687</v>
      </c>
      <c r="Y1862" s="33">
        <f t="shared" si="849"/>
        <v>635</v>
      </c>
      <c r="Z1862" s="34">
        <f t="shared" si="849"/>
        <v>350</v>
      </c>
      <c r="AA1862" s="42">
        <f t="shared" si="849"/>
        <v>1672</v>
      </c>
      <c r="AB1862" s="32">
        <f t="shared" si="849"/>
        <v>354</v>
      </c>
      <c r="AC1862" s="33">
        <f t="shared" si="849"/>
        <v>750</v>
      </c>
      <c r="AD1862" s="34">
        <f t="shared" si="849"/>
        <v>500</v>
      </c>
      <c r="AE1862" s="42">
        <f t="shared" si="849"/>
        <v>1604</v>
      </c>
      <c r="AF1862" s="42">
        <f t="shared" si="849"/>
        <v>3276</v>
      </c>
    </row>
    <row r="1863" spans="1:33" x14ac:dyDescent="0.15">
      <c r="A1863" s="29" t="s">
        <v>67</v>
      </c>
      <c r="B1863" s="13"/>
      <c r="C1863" s="14"/>
      <c r="D1863" s="15"/>
      <c r="E1863" s="11">
        <f>SUM(B1863:D1863)</f>
        <v>0</v>
      </c>
      <c r="F1863" s="16">
        <v>1</v>
      </c>
      <c r="G1863" s="14"/>
      <c r="H1863" s="15">
        <v>1</v>
      </c>
      <c r="I1863" s="11">
        <f>SUM(F1863:H1863)</f>
        <v>2</v>
      </c>
      <c r="J1863" s="11">
        <f>E1863+I1863</f>
        <v>2</v>
      </c>
      <c r="K1863" s="65">
        <v>43871</v>
      </c>
      <c r="L1863" s="86" t="s">
        <v>887</v>
      </c>
      <c r="M1863" s="8">
        <v>25</v>
      </c>
      <c r="N1863" s="9">
        <v>40</v>
      </c>
      <c r="O1863" s="10">
        <v>20</v>
      </c>
      <c r="P1863" s="11">
        <f>SUM(M1863:O1863)</f>
        <v>85</v>
      </c>
      <c r="Q1863" s="12">
        <v>20</v>
      </c>
      <c r="R1863" s="9">
        <v>20</v>
      </c>
      <c r="S1863" s="10">
        <v>15</v>
      </c>
      <c r="T1863" s="11">
        <f>SUM(Q1863:S1863)</f>
        <v>55</v>
      </c>
      <c r="U1863" s="11">
        <f t="shared" ref="U1863:U1888" si="850">P1863+T1863</f>
        <v>140</v>
      </c>
      <c r="V1863" s="65">
        <v>43874</v>
      </c>
      <c r="W1863" s="86" t="s">
        <v>891</v>
      </c>
      <c r="X1863" s="8">
        <v>5</v>
      </c>
      <c r="Y1863" s="9">
        <v>55</v>
      </c>
      <c r="Z1863" s="10">
        <v>40</v>
      </c>
      <c r="AA1863" s="11">
        <f>SUM(X1863:Z1863)</f>
        <v>100</v>
      </c>
      <c r="AB1863" s="12">
        <v>40</v>
      </c>
      <c r="AC1863" s="9">
        <v>5</v>
      </c>
      <c r="AD1863" s="10">
        <v>15</v>
      </c>
      <c r="AE1863" s="11">
        <f>SUM(AB1863:AD1863)</f>
        <v>60</v>
      </c>
      <c r="AF1863" s="11">
        <f t="shared" ref="AF1863:AF1888" si="851">AA1863+AE1863</f>
        <v>160</v>
      </c>
      <c r="AG1863" s="65">
        <v>43888</v>
      </c>
    </row>
    <row r="1864" spans="1:33" x14ac:dyDescent="0.15">
      <c r="A1864" s="29" t="s">
        <v>67</v>
      </c>
      <c r="B1864" s="13"/>
      <c r="C1864" s="14"/>
      <c r="D1864" s="15"/>
      <c r="E1864" s="11">
        <f t="shared" ref="E1864:E1888" si="852">SUM(B1864:D1864)</f>
        <v>0</v>
      </c>
      <c r="F1864" s="16">
        <v>1</v>
      </c>
      <c r="G1864" s="14"/>
      <c r="H1864" s="15"/>
      <c r="I1864" s="11">
        <f>SUM(F1864:H1864)</f>
        <v>1</v>
      </c>
      <c r="J1864" s="11">
        <f t="shared" ref="J1864:J1888" si="853">E1864+I1864</f>
        <v>1</v>
      </c>
      <c r="K1864" s="65">
        <v>43873</v>
      </c>
      <c r="L1864" s="29" t="s">
        <v>888</v>
      </c>
      <c r="M1864" s="8"/>
      <c r="N1864" s="9"/>
      <c r="O1864" s="10">
        <v>5</v>
      </c>
      <c r="P1864" s="11">
        <f>SUM(M1864:O1864)</f>
        <v>5</v>
      </c>
      <c r="Q1864" s="12"/>
      <c r="R1864" s="9"/>
      <c r="S1864" s="10"/>
      <c r="T1864" s="11">
        <f>SUM(Q1864:S1864)</f>
        <v>0</v>
      </c>
      <c r="U1864" s="11">
        <f t="shared" si="850"/>
        <v>5</v>
      </c>
      <c r="V1864" s="65">
        <v>43876</v>
      </c>
      <c r="W1864" s="86" t="s">
        <v>892</v>
      </c>
      <c r="X1864" s="8">
        <v>37</v>
      </c>
      <c r="Y1864" s="9">
        <v>45</v>
      </c>
      <c r="Z1864" s="10">
        <v>15</v>
      </c>
      <c r="AA1864" s="11">
        <f>SUM(X1864:Z1864)</f>
        <v>97</v>
      </c>
      <c r="AB1864" s="12"/>
      <c r="AC1864" s="9">
        <v>5</v>
      </c>
      <c r="AD1864" s="10">
        <v>15</v>
      </c>
      <c r="AE1864" s="11">
        <f>SUM(AB1864:AD1864)</f>
        <v>20</v>
      </c>
      <c r="AF1864" s="11">
        <f t="shared" si="851"/>
        <v>117</v>
      </c>
      <c r="AG1864" s="65">
        <v>43889</v>
      </c>
    </row>
    <row r="1865" spans="1:33" x14ac:dyDescent="0.15">
      <c r="A1865" s="27" t="s">
        <v>67</v>
      </c>
      <c r="B1865" s="8"/>
      <c r="C1865" s="9">
        <v>2</v>
      </c>
      <c r="D1865" s="10">
        <v>2</v>
      </c>
      <c r="E1865" s="11">
        <f t="shared" ref="E1865" si="854">SUM(B1865:D1865)</f>
        <v>4</v>
      </c>
      <c r="F1865" s="12"/>
      <c r="G1865" s="9"/>
      <c r="H1865" s="10">
        <v>2</v>
      </c>
      <c r="I1865" s="11">
        <f t="shared" ref="I1865" si="855">SUM(F1865:H1865)</f>
        <v>2</v>
      </c>
      <c r="J1865" s="11">
        <f t="shared" si="853"/>
        <v>6</v>
      </c>
      <c r="K1865" s="71">
        <v>43875</v>
      </c>
      <c r="L1865" s="29" t="s">
        <v>41</v>
      </c>
      <c r="M1865" s="8"/>
      <c r="N1865" s="9"/>
      <c r="O1865" s="10"/>
      <c r="P1865" s="11">
        <f t="shared" ref="P1865:P1888" si="856">SUM(M1865:O1865)</f>
        <v>0</v>
      </c>
      <c r="Q1865" s="12"/>
      <c r="R1865" s="9">
        <v>5</v>
      </c>
      <c r="S1865" s="10"/>
      <c r="T1865" s="11">
        <f t="shared" ref="T1865:T1888" si="857">SUM(Q1865:S1865)</f>
        <v>5</v>
      </c>
      <c r="U1865" s="11">
        <f t="shared" si="850"/>
        <v>5</v>
      </c>
      <c r="V1865" s="65">
        <v>43890</v>
      </c>
      <c r="W1865" s="86" t="s">
        <v>893</v>
      </c>
      <c r="X1865" s="8"/>
      <c r="Y1865" s="9">
        <v>10</v>
      </c>
      <c r="Z1865" s="10"/>
      <c r="AA1865" s="11">
        <f t="shared" ref="AA1865" si="858">SUM(X1865:Z1865)</f>
        <v>10</v>
      </c>
      <c r="AB1865" s="12">
        <v>10</v>
      </c>
      <c r="AC1865" s="9">
        <v>20</v>
      </c>
      <c r="AD1865" s="10"/>
      <c r="AE1865" s="11">
        <f t="shared" ref="AE1865" si="859">SUM(AB1865:AD1865)</f>
        <v>30</v>
      </c>
      <c r="AF1865" s="11">
        <f t="shared" si="851"/>
        <v>40</v>
      </c>
      <c r="AG1865" s="65">
        <v>43890</v>
      </c>
    </row>
    <row r="1866" spans="1:33" x14ac:dyDescent="0.15">
      <c r="A1866" s="27" t="s">
        <v>67</v>
      </c>
      <c r="B1866" s="8"/>
      <c r="C1866" s="9">
        <v>1</v>
      </c>
      <c r="D1866" s="10"/>
      <c r="E1866" s="11">
        <f t="shared" si="852"/>
        <v>1</v>
      </c>
      <c r="F1866" s="12"/>
      <c r="G1866" s="9"/>
      <c r="H1866" s="10"/>
      <c r="I1866" s="11">
        <f t="shared" ref="I1866" si="860">SUM(F1866:H1866)</f>
        <v>0</v>
      </c>
      <c r="J1866" s="11">
        <f t="shared" si="853"/>
        <v>1</v>
      </c>
      <c r="K1866" s="65">
        <v>43876</v>
      </c>
      <c r="L1866" s="29" t="s">
        <v>41</v>
      </c>
      <c r="M1866" s="8"/>
      <c r="N1866" s="9"/>
      <c r="O1866" s="10">
        <v>5</v>
      </c>
      <c r="P1866" s="11">
        <f t="shared" si="856"/>
        <v>5</v>
      </c>
      <c r="Q1866" s="12">
        <v>5</v>
      </c>
      <c r="R1866" s="9"/>
      <c r="S1866" s="10">
        <v>5</v>
      </c>
      <c r="T1866" s="11">
        <f t="shared" si="857"/>
        <v>10</v>
      </c>
      <c r="U1866" s="11">
        <f t="shared" si="850"/>
        <v>15</v>
      </c>
      <c r="V1866" s="65">
        <v>43897</v>
      </c>
      <c r="W1866" s="86" t="s">
        <v>895</v>
      </c>
      <c r="X1866" s="8"/>
      <c r="Y1866" s="9">
        <v>100</v>
      </c>
      <c r="Z1866" s="10"/>
      <c r="AA1866" s="11">
        <f t="shared" ref="AA1866:AA1888" si="861">SUM(X1866:Z1866)</f>
        <v>100</v>
      </c>
      <c r="AB1866" s="12"/>
      <c r="AC1866" s="9"/>
      <c r="AD1866" s="10"/>
      <c r="AE1866" s="11">
        <f t="shared" ref="AE1866:AE1888" si="862">SUM(AB1866:AD1866)</f>
        <v>0</v>
      </c>
      <c r="AF1866" s="11">
        <f t="shared" si="851"/>
        <v>100</v>
      </c>
      <c r="AG1866" s="65">
        <v>43896</v>
      </c>
    </row>
    <row r="1867" spans="1:33" x14ac:dyDescent="0.15">
      <c r="A1867" s="27" t="s">
        <v>67</v>
      </c>
      <c r="B1867" s="8"/>
      <c r="C1867" s="9"/>
      <c r="D1867" s="10">
        <v>2</v>
      </c>
      <c r="E1867" s="11">
        <f t="shared" si="852"/>
        <v>2</v>
      </c>
      <c r="F1867" s="12"/>
      <c r="G1867" s="9"/>
      <c r="H1867" s="10">
        <v>2</v>
      </c>
      <c r="I1867" s="11">
        <f>SUM(F1867:H1867)</f>
        <v>2</v>
      </c>
      <c r="J1867" s="11">
        <f t="shared" si="853"/>
        <v>4</v>
      </c>
      <c r="K1867" s="65">
        <v>43878</v>
      </c>
      <c r="L1867" s="29" t="s">
        <v>41</v>
      </c>
      <c r="M1867" s="8"/>
      <c r="N1867" s="9"/>
      <c r="O1867" s="10"/>
      <c r="P1867" s="11">
        <f t="shared" si="856"/>
        <v>0</v>
      </c>
      <c r="Q1867" s="12"/>
      <c r="R1867" s="9">
        <v>5</v>
      </c>
      <c r="S1867" s="10"/>
      <c r="T1867" s="11">
        <f t="shared" si="857"/>
        <v>5</v>
      </c>
      <c r="U1867" s="11">
        <f t="shared" si="850"/>
        <v>5</v>
      </c>
      <c r="V1867" s="65">
        <v>43938</v>
      </c>
      <c r="W1867" s="86" t="s">
        <v>902</v>
      </c>
      <c r="X1867" s="8"/>
      <c r="Y1867" s="9"/>
      <c r="Z1867" s="10"/>
      <c r="AA1867" s="11">
        <f t="shared" si="861"/>
        <v>0</v>
      </c>
      <c r="AB1867" s="12">
        <v>50</v>
      </c>
      <c r="AC1867" s="9"/>
      <c r="AD1867" s="10"/>
      <c r="AE1867" s="11">
        <f t="shared" si="862"/>
        <v>50</v>
      </c>
      <c r="AF1867" s="11">
        <f t="shared" si="851"/>
        <v>50</v>
      </c>
      <c r="AG1867" s="65">
        <v>43945</v>
      </c>
    </row>
    <row r="1868" spans="1:33" x14ac:dyDescent="0.15">
      <c r="A1868" s="27" t="s">
        <v>67</v>
      </c>
      <c r="B1868" s="8"/>
      <c r="C1868" s="9"/>
      <c r="D1868" s="10"/>
      <c r="E1868" s="11">
        <f t="shared" si="852"/>
        <v>0</v>
      </c>
      <c r="F1868" s="12"/>
      <c r="G1868" s="9">
        <v>1</v>
      </c>
      <c r="H1868" s="10"/>
      <c r="I1868" s="11">
        <f>SUM(F1868:H1868)</f>
        <v>1</v>
      </c>
      <c r="J1868" s="11">
        <f t="shared" si="853"/>
        <v>1</v>
      </c>
      <c r="K1868" s="65">
        <v>43880</v>
      </c>
      <c r="L1868" s="29" t="s">
        <v>901</v>
      </c>
      <c r="M1868" s="8">
        <v>10</v>
      </c>
      <c r="N1868" s="9">
        <v>10</v>
      </c>
      <c r="O1868" s="10">
        <v>10</v>
      </c>
      <c r="P1868" s="11">
        <f t="shared" si="856"/>
        <v>30</v>
      </c>
      <c r="Q1868" s="12">
        <v>10</v>
      </c>
      <c r="R1868" s="9">
        <v>10</v>
      </c>
      <c r="S1868" s="10">
        <v>10</v>
      </c>
      <c r="T1868" s="11">
        <f t="shared" si="857"/>
        <v>30</v>
      </c>
      <c r="U1868" s="11">
        <f t="shared" si="850"/>
        <v>60</v>
      </c>
      <c r="V1868" s="65">
        <v>43952</v>
      </c>
      <c r="W1868" s="86" t="s">
        <v>848</v>
      </c>
      <c r="X1868" s="8">
        <v>50</v>
      </c>
      <c r="Y1868" s="9"/>
      <c r="Z1868" s="10">
        <v>50</v>
      </c>
      <c r="AA1868" s="11">
        <f t="shared" si="861"/>
        <v>100</v>
      </c>
      <c r="AB1868" s="12">
        <v>50</v>
      </c>
      <c r="AC1868" s="12">
        <v>50</v>
      </c>
      <c r="AD1868" s="87">
        <v>100</v>
      </c>
      <c r="AE1868" s="11">
        <f t="shared" si="862"/>
        <v>200</v>
      </c>
      <c r="AF1868" s="11">
        <f t="shared" si="851"/>
        <v>300</v>
      </c>
      <c r="AG1868" s="65">
        <v>43964</v>
      </c>
    </row>
    <row r="1869" spans="1:33" x14ac:dyDescent="0.15">
      <c r="A1869" s="27" t="s">
        <v>67</v>
      </c>
      <c r="B1869" s="8"/>
      <c r="C1869" s="9"/>
      <c r="D1869" s="10"/>
      <c r="E1869" s="11">
        <f t="shared" si="852"/>
        <v>0</v>
      </c>
      <c r="F1869" s="140"/>
      <c r="G1869" s="140">
        <v>2</v>
      </c>
      <c r="H1869" s="10"/>
      <c r="I1869" s="11">
        <f t="shared" ref="I1869:I1888" si="863">SUM(F1869:H1869)</f>
        <v>2</v>
      </c>
      <c r="J1869" s="11">
        <f t="shared" si="853"/>
        <v>2</v>
      </c>
      <c r="K1869" s="65">
        <v>43882</v>
      </c>
      <c r="L1869" s="86" t="s">
        <v>904</v>
      </c>
      <c r="M1869" s="8">
        <v>45</v>
      </c>
      <c r="N1869" s="9">
        <v>50</v>
      </c>
      <c r="O1869" s="10">
        <v>45</v>
      </c>
      <c r="P1869" s="11">
        <f t="shared" si="856"/>
        <v>140</v>
      </c>
      <c r="Q1869" s="12">
        <v>50</v>
      </c>
      <c r="R1869" s="9">
        <v>50</v>
      </c>
      <c r="S1869" s="10">
        <v>50</v>
      </c>
      <c r="T1869" s="11">
        <f t="shared" si="857"/>
        <v>150</v>
      </c>
      <c r="U1869" s="11">
        <f t="shared" si="850"/>
        <v>290</v>
      </c>
      <c r="V1869" s="65">
        <v>43966</v>
      </c>
      <c r="W1869" s="86"/>
      <c r="X1869" s="8"/>
      <c r="Y1869" s="9"/>
      <c r="Z1869" s="10"/>
      <c r="AA1869" s="11">
        <f t="shared" si="861"/>
        <v>0</v>
      </c>
      <c r="AB1869" s="12"/>
      <c r="AC1869" s="9"/>
      <c r="AD1869" s="10"/>
      <c r="AE1869" s="11">
        <f t="shared" si="862"/>
        <v>0</v>
      </c>
      <c r="AF1869" s="11">
        <f t="shared" si="851"/>
        <v>0</v>
      </c>
    </row>
    <row r="1870" spans="1:33" x14ac:dyDescent="0.15">
      <c r="A1870" s="27" t="s">
        <v>67</v>
      </c>
      <c r="B1870" s="8"/>
      <c r="C1870" s="9"/>
      <c r="D1870" s="10"/>
      <c r="E1870" s="11">
        <f t="shared" si="852"/>
        <v>0</v>
      </c>
      <c r="F1870" s="12"/>
      <c r="G1870" s="9"/>
      <c r="H1870" s="10">
        <v>1</v>
      </c>
      <c r="I1870" s="11">
        <f t="shared" si="863"/>
        <v>1</v>
      </c>
      <c r="J1870" s="11">
        <f t="shared" si="853"/>
        <v>1</v>
      </c>
      <c r="K1870" s="65">
        <v>43890</v>
      </c>
      <c r="L1870" s="29"/>
      <c r="M1870" s="8"/>
      <c r="N1870" s="9"/>
      <c r="O1870" s="10"/>
      <c r="P1870" s="11">
        <f t="shared" si="856"/>
        <v>0</v>
      </c>
      <c r="Q1870" s="12"/>
      <c r="R1870" s="9"/>
      <c r="S1870" s="10"/>
      <c r="T1870" s="11">
        <f t="shared" si="857"/>
        <v>0</v>
      </c>
      <c r="U1870" s="11">
        <f t="shared" si="850"/>
        <v>0</v>
      </c>
      <c r="W1870" s="29"/>
      <c r="X1870" s="8"/>
      <c r="Y1870" s="9"/>
      <c r="Z1870" s="10"/>
      <c r="AA1870" s="11">
        <f t="shared" si="861"/>
        <v>0</v>
      </c>
      <c r="AB1870" s="12"/>
      <c r="AC1870" s="9"/>
      <c r="AD1870" s="10"/>
      <c r="AE1870" s="11">
        <f t="shared" si="862"/>
        <v>0</v>
      </c>
      <c r="AF1870" s="11">
        <f t="shared" si="851"/>
        <v>0</v>
      </c>
    </row>
    <row r="1871" spans="1:33" x14ac:dyDescent="0.15">
      <c r="A1871" s="27" t="s">
        <v>67</v>
      </c>
      <c r="B1871" s="13"/>
      <c r="C1871" s="14"/>
      <c r="D1871" s="15">
        <v>2</v>
      </c>
      <c r="E1871" s="11">
        <f t="shared" si="852"/>
        <v>2</v>
      </c>
      <c r="F1871" s="16"/>
      <c r="G1871" s="14"/>
      <c r="H1871" s="15">
        <v>2</v>
      </c>
      <c r="I1871" s="11">
        <f t="shared" si="863"/>
        <v>2</v>
      </c>
      <c r="J1871" s="11">
        <f t="shared" si="853"/>
        <v>4</v>
      </c>
      <c r="K1871" s="65">
        <v>43896</v>
      </c>
      <c r="L1871" s="29"/>
      <c r="M1871" s="8"/>
      <c r="N1871" s="9"/>
      <c r="O1871" s="10"/>
      <c r="P1871" s="11">
        <f t="shared" si="856"/>
        <v>0</v>
      </c>
      <c r="Q1871" s="12"/>
      <c r="R1871" s="9"/>
      <c r="S1871" s="10"/>
      <c r="T1871" s="11">
        <f t="shared" si="857"/>
        <v>0</v>
      </c>
      <c r="U1871" s="11">
        <f t="shared" si="850"/>
        <v>0</v>
      </c>
      <c r="W1871" s="29"/>
      <c r="X1871" s="8"/>
      <c r="Y1871" s="9"/>
      <c r="Z1871" s="10"/>
      <c r="AA1871" s="11">
        <f t="shared" si="861"/>
        <v>0</v>
      </c>
      <c r="AB1871" s="12"/>
      <c r="AC1871" s="9"/>
      <c r="AD1871" s="10"/>
      <c r="AE1871" s="11">
        <f t="shared" si="862"/>
        <v>0</v>
      </c>
      <c r="AF1871" s="11">
        <f t="shared" si="851"/>
        <v>0</v>
      </c>
    </row>
    <row r="1872" spans="1:33" x14ac:dyDescent="0.15">
      <c r="A1872" s="27" t="s">
        <v>67</v>
      </c>
      <c r="B1872" s="13"/>
      <c r="C1872" s="14">
        <v>1</v>
      </c>
      <c r="D1872" s="15"/>
      <c r="E1872" s="11">
        <f t="shared" si="852"/>
        <v>1</v>
      </c>
      <c r="F1872" s="16">
        <v>2</v>
      </c>
      <c r="G1872" s="14"/>
      <c r="H1872" s="15"/>
      <c r="I1872" s="11">
        <f t="shared" si="863"/>
        <v>2</v>
      </c>
      <c r="J1872" s="11">
        <f t="shared" si="853"/>
        <v>3</v>
      </c>
      <c r="K1872" s="65">
        <v>43899</v>
      </c>
      <c r="L1872" s="29"/>
      <c r="M1872" s="13"/>
      <c r="N1872" s="14"/>
      <c r="O1872" s="15"/>
      <c r="P1872" s="11">
        <f t="shared" si="856"/>
        <v>0</v>
      </c>
      <c r="Q1872" s="16"/>
      <c r="R1872" s="14"/>
      <c r="S1872" s="15"/>
      <c r="T1872" s="11">
        <f t="shared" si="857"/>
        <v>0</v>
      </c>
      <c r="U1872" s="11">
        <f t="shared" si="850"/>
        <v>0</v>
      </c>
      <c r="W1872" s="29"/>
      <c r="X1872" s="13"/>
      <c r="Y1872" s="14"/>
      <c r="Z1872" s="15"/>
      <c r="AA1872" s="11">
        <f t="shared" si="861"/>
        <v>0</v>
      </c>
      <c r="AB1872" s="16"/>
      <c r="AC1872" s="14"/>
      <c r="AD1872" s="15"/>
      <c r="AE1872" s="11">
        <f t="shared" si="862"/>
        <v>0</v>
      </c>
      <c r="AF1872" s="11">
        <f t="shared" si="851"/>
        <v>0</v>
      </c>
    </row>
    <row r="1873" spans="1:35" x14ac:dyDescent="0.15">
      <c r="A1873" s="27" t="s">
        <v>67</v>
      </c>
      <c r="B1873" s="8"/>
      <c r="C1873" s="9"/>
      <c r="D1873" s="10"/>
      <c r="E1873" s="11">
        <f t="shared" si="852"/>
        <v>0</v>
      </c>
      <c r="F1873" s="12">
        <v>1</v>
      </c>
      <c r="G1873" s="9"/>
      <c r="H1873" s="10"/>
      <c r="I1873" s="11">
        <f t="shared" si="863"/>
        <v>1</v>
      </c>
      <c r="J1873" s="11">
        <f t="shared" si="853"/>
        <v>1</v>
      </c>
      <c r="K1873" s="65">
        <v>43902</v>
      </c>
      <c r="L1873" s="29"/>
      <c r="M1873" s="8"/>
      <c r="N1873" s="9"/>
      <c r="O1873" s="10"/>
      <c r="P1873" s="11">
        <f t="shared" si="856"/>
        <v>0</v>
      </c>
      <c r="Q1873" s="12"/>
      <c r="R1873" s="9"/>
      <c r="S1873" s="10"/>
      <c r="T1873" s="11">
        <f t="shared" si="857"/>
        <v>0</v>
      </c>
      <c r="U1873" s="11">
        <f t="shared" si="850"/>
        <v>0</v>
      </c>
      <c r="W1873" s="29"/>
      <c r="X1873" s="8"/>
      <c r="Y1873" s="9"/>
      <c r="Z1873" s="10"/>
      <c r="AA1873" s="11">
        <f t="shared" si="861"/>
        <v>0</v>
      </c>
      <c r="AB1873" s="12"/>
      <c r="AC1873" s="9"/>
      <c r="AD1873" s="10"/>
      <c r="AE1873" s="11">
        <f t="shared" si="862"/>
        <v>0</v>
      </c>
      <c r="AF1873" s="11">
        <f t="shared" si="851"/>
        <v>0</v>
      </c>
    </row>
    <row r="1874" spans="1:35" x14ac:dyDescent="0.15">
      <c r="A1874" s="27" t="s">
        <v>67</v>
      </c>
      <c r="B1874" s="8"/>
      <c r="C1874" s="9"/>
      <c r="D1874" s="10">
        <v>1</v>
      </c>
      <c r="E1874" s="11">
        <f t="shared" si="852"/>
        <v>1</v>
      </c>
      <c r="F1874" s="12"/>
      <c r="G1874" s="9"/>
      <c r="H1874" s="10"/>
      <c r="I1874" s="11">
        <f t="shared" si="863"/>
        <v>0</v>
      </c>
      <c r="J1874" s="11">
        <f t="shared" si="853"/>
        <v>1</v>
      </c>
      <c r="K1874" s="65">
        <v>43906</v>
      </c>
      <c r="L1874" s="29"/>
      <c r="M1874" s="8"/>
      <c r="N1874" s="9"/>
      <c r="O1874" s="10"/>
      <c r="P1874" s="11">
        <f t="shared" si="856"/>
        <v>0</v>
      </c>
      <c r="Q1874" s="12"/>
      <c r="R1874" s="9"/>
      <c r="S1874" s="10"/>
      <c r="T1874" s="11">
        <f t="shared" si="857"/>
        <v>0</v>
      </c>
      <c r="U1874" s="11">
        <f t="shared" si="850"/>
        <v>0</v>
      </c>
      <c r="W1874" s="29"/>
      <c r="X1874" s="8"/>
      <c r="Y1874" s="9"/>
      <c r="Z1874" s="10"/>
      <c r="AA1874" s="11">
        <f t="shared" si="861"/>
        <v>0</v>
      </c>
      <c r="AB1874" s="12"/>
      <c r="AC1874" s="9"/>
      <c r="AD1874" s="10"/>
      <c r="AE1874" s="11">
        <f t="shared" si="862"/>
        <v>0</v>
      </c>
      <c r="AF1874" s="11">
        <f t="shared" si="851"/>
        <v>0</v>
      </c>
    </row>
    <row r="1875" spans="1:35" x14ac:dyDescent="0.15">
      <c r="A1875" s="27" t="s">
        <v>67</v>
      </c>
      <c r="B1875" s="8"/>
      <c r="C1875" s="9">
        <v>3</v>
      </c>
      <c r="D1875" s="10"/>
      <c r="E1875" s="11">
        <f t="shared" si="852"/>
        <v>3</v>
      </c>
      <c r="F1875" s="12"/>
      <c r="G1875" s="9">
        <v>1</v>
      </c>
      <c r="H1875" s="10"/>
      <c r="I1875" s="11">
        <f t="shared" si="863"/>
        <v>1</v>
      </c>
      <c r="J1875" s="11">
        <f t="shared" si="853"/>
        <v>4</v>
      </c>
      <c r="K1875" s="65">
        <v>43916</v>
      </c>
      <c r="L1875" s="27"/>
      <c r="M1875" s="8"/>
      <c r="N1875" s="9"/>
      <c r="O1875" s="10"/>
      <c r="P1875" s="11">
        <f t="shared" si="856"/>
        <v>0</v>
      </c>
      <c r="Q1875" s="12"/>
      <c r="R1875" s="9"/>
      <c r="S1875" s="10"/>
      <c r="T1875" s="11">
        <f t="shared" si="857"/>
        <v>0</v>
      </c>
      <c r="U1875" s="11">
        <f t="shared" si="850"/>
        <v>0</v>
      </c>
      <c r="W1875" s="27"/>
      <c r="X1875" s="8"/>
      <c r="Y1875" s="9"/>
      <c r="Z1875" s="10"/>
      <c r="AA1875" s="11">
        <f t="shared" si="861"/>
        <v>0</v>
      </c>
      <c r="AB1875" s="12"/>
      <c r="AC1875" s="9"/>
      <c r="AD1875" s="10"/>
      <c r="AE1875" s="11">
        <f t="shared" si="862"/>
        <v>0</v>
      </c>
      <c r="AF1875" s="11">
        <f t="shared" si="851"/>
        <v>0</v>
      </c>
    </row>
    <row r="1876" spans="1:35" x14ac:dyDescent="0.15">
      <c r="A1876" s="27" t="s">
        <v>67</v>
      </c>
      <c r="B1876" s="8">
        <v>1</v>
      </c>
      <c r="C1876" s="9"/>
      <c r="D1876" s="10"/>
      <c r="E1876" s="11">
        <f t="shared" si="852"/>
        <v>1</v>
      </c>
      <c r="F1876" s="12"/>
      <c r="G1876" s="9"/>
      <c r="H1876" s="10"/>
      <c r="I1876" s="11">
        <f t="shared" si="863"/>
        <v>0</v>
      </c>
      <c r="J1876" s="11">
        <f t="shared" si="853"/>
        <v>1</v>
      </c>
      <c r="K1876" s="65">
        <v>43917</v>
      </c>
      <c r="L1876" s="29"/>
      <c r="M1876" s="8"/>
      <c r="N1876" s="9"/>
      <c r="O1876" s="10"/>
      <c r="P1876" s="11">
        <f t="shared" si="856"/>
        <v>0</v>
      </c>
      <c r="Q1876" s="12"/>
      <c r="R1876" s="9"/>
      <c r="S1876" s="10"/>
      <c r="T1876" s="11">
        <f t="shared" si="857"/>
        <v>0</v>
      </c>
      <c r="U1876" s="11">
        <f t="shared" si="850"/>
        <v>0</v>
      </c>
      <c r="W1876" s="29"/>
      <c r="X1876" s="8"/>
      <c r="Y1876" s="9"/>
      <c r="Z1876" s="10"/>
      <c r="AA1876" s="11">
        <f t="shared" si="861"/>
        <v>0</v>
      </c>
      <c r="AB1876" s="12"/>
      <c r="AC1876" s="9"/>
      <c r="AD1876" s="10"/>
      <c r="AE1876" s="11">
        <f t="shared" si="862"/>
        <v>0</v>
      </c>
      <c r="AF1876" s="11">
        <f t="shared" si="851"/>
        <v>0</v>
      </c>
    </row>
    <row r="1877" spans="1:35" x14ac:dyDescent="0.15">
      <c r="A1877" s="27" t="s">
        <v>67</v>
      </c>
      <c r="B1877" s="8"/>
      <c r="C1877" s="9">
        <v>1</v>
      </c>
      <c r="D1877" s="10"/>
      <c r="E1877" s="11">
        <f t="shared" si="852"/>
        <v>1</v>
      </c>
      <c r="F1877" s="12"/>
      <c r="G1877" s="9">
        <v>1</v>
      </c>
      <c r="H1877" s="10">
        <v>1</v>
      </c>
      <c r="I1877" s="11">
        <f t="shared" si="863"/>
        <v>2</v>
      </c>
      <c r="J1877" s="11">
        <f t="shared" si="853"/>
        <v>3</v>
      </c>
      <c r="K1877" s="65">
        <v>43920</v>
      </c>
      <c r="L1877" s="29"/>
      <c r="M1877" s="8"/>
      <c r="N1877" s="9"/>
      <c r="O1877" s="10"/>
      <c r="P1877" s="11">
        <f t="shared" si="856"/>
        <v>0</v>
      </c>
      <c r="Q1877" s="12"/>
      <c r="R1877" s="9"/>
      <c r="S1877" s="10"/>
      <c r="T1877" s="11">
        <f t="shared" si="857"/>
        <v>0</v>
      </c>
      <c r="U1877" s="11">
        <f t="shared" si="850"/>
        <v>0</v>
      </c>
      <c r="W1877" s="29"/>
      <c r="X1877" s="8"/>
      <c r="Y1877" s="9"/>
      <c r="Z1877" s="10"/>
      <c r="AA1877" s="11">
        <f t="shared" si="861"/>
        <v>0</v>
      </c>
      <c r="AB1877" s="12"/>
      <c r="AC1877" s="9"/>
      <c r="AD1877" s="10"/>
      <c r="AE1877" s="11">
        <f t="shared" si="862"/>
        <v>0</v>
      </c>
      <c r="AF1877" s="11">
        <f t="shared" si="851"/>
        <v>0</v>
      </c>
    </row>
    <row r="1878" spans="1:35" x14ac:dyDescent="0.15">
      <c r="A1878" s="27" t="s">
        <v>67</v>
      </c>
      <c r="B1878" s="8"/>
      <c r="C1878" s="9"/>
      <c r="D1878" s="10">
        <v>1</v>
      </c>
      <c r="E1878" s="11">
        <f t="shared" si="852"/>
        <v>1</v>
      </c>
      <c r="F1878" s="12"/>
      <c r="G1878" s="9"/>
      <c r="H1878" s="10"/>
      <c r="I1878" s="11">
        <f t="shared" si="863"/>
        <v>0</v>
      </c>
      <c r="J1878" s="11">
        <f t="shared" si="853"/>
        <v>1</v>
      </c>
      <c r="K1878" s="65">
        <v>43924</v>
      </c>
      <c r="L1878" s="27"/>
      <c r="M1878" s="8"/>
      <c r="N1878" s="9"/>
      <c r="O1878" s="10"/>
      <c r="P1878" s="11">
        <f t="shared" si="856"/>
        <v>0</v>
      </c>
      <c r="Q1878" s="12"/>
      <c r="R1878" s="9"/>
      <c r="S1878" s="10"/>
      <c r="T1878" s="11">
        <f t="shared" si="857"/>
        <v>0</v>
      </c>
      <c r="U1878" s="11">
        <f t="shared" si="850"/>
        <v>0</v>
      </c>
      <c r="W1878" s="27"/>
      <c r="X1878" s="8"/>
      <c r="Y1878" s="9"/>
      <c r="Z1878" s="10"/>
      <c r="AA1878" s="11">
        <f t="shared" si="861"/>
        <v>0</v>
      </c>
      <c r="AB1878" s="12"/>
      <c r="AC1878" s="9"/>
      <c r="AD1878" s="10"/>
      <c r="AE1878" s="11">
        <f t="shared" si="862"/>
        <v>0</v>
      </c>
      <c r="AF1878" s="11">
        <f t="shared" si="851"/>
        <v>0</v>
      </c>
    </row>
    <row r="1879" spans="1:35" x14ac:dyDescent="0.15">
      <c r="A1879" s="27" t="s">
        <v>899</v>
      </c>
      <c r="B1879" s="8">
        <v>1</v>
      </c>
      <c r="C1879" s="9"/>
      <c r="D1879" s="10"/>
      <c r="E1879" s="11">
        <f t="shared" si="852"/>
        <v>1</v>
      </c>
      <c r="F1879" s="12"/>
      <c r="G1879" s="9"/>
      <c r="H1879" s="10"/>
      <c r="I1879" s="11">
        <f t="shared" si="863"/>
        <v>0</v>
      </c>
      <c r="J1879" s="11">
        <f t="shared" si="853"/>
        <v>1</v>
      </c>
      <c r="K1879" s="65">
        <v>43925</v>
      </c>
      <c r="L1879" s="29"/>
      <c r="M1879" s="8"/>
      <c r="N1879" s="9"/>
      <c r="O1879" s="10"/>
      <c r="P1879" s="11">
        <f t="shared" si="856"/>
        <v>0</v>
      </c>
      <c r="Q1879" s="12"/>
      <c r="R1879" s="9"/>
      <c r="S1879" s="10"/>
      <c r="T1879" s="11">
        <f t="shared" si="857"/>
        <v>0</v>
      </c>
      <c r="U1879" s="11">
        <f t="shared" si="850"/>
        <v>0</v>
      </c>
      <c r="W1879" s="29"/>
      <c r="X1879" s="8"/>
      <c r="Y1879" s="9"/>
      <c r="Z1879" s="10"/>
      <c r="AA1879" s="11">
        <f t="shared" si="861"/>
        <v>0</v>
      </c>
      <c r="AB1879" s="12"/>
      <c r="AC1879" s="9"/>
      <c r="AD1879" s="10"/>
      <c r="AE1879" s="11">
        <f t="shared" si="862"/>
        <v>0</v>
      </c>
      <c r="AF1879" s="11">
        <f t="shared" si="851"/>
        <v>0</v>
      </c>
    </row>
    <row r="1880" spans="1:35" x14ac:dyDescent="0.15">
      <c r="A1880" s="27" t="s">
        <v>67</v>
      </c>
      <c r="B1880" s="8"/>
      <c r="C1880" s="9"/>
      <c r="D1880" s="10"/>
      <c r="E1880" s="11">
        <f t="shared" si="852"/>
        <v>0</v>
      </c>
      <c r="F1880" s="12">
        <v>1</v>
      </c>
      <c r="G1880" s="9"/>
      <c r="H1880" s="10"/>
      <c r="I1880" s="11">
        <f t="shared" si="863"/>
        <v>1</v>
      </c>
      <c r="J1880" s="11">
        <f t="shared" si="853"/>
        <v>1</v>
      </c>
      <c r="K1880" s="65">
        <v>43928</v>
      </c>
      <c r="L1880" s="27"/>
      <c r="M1880" s="8"/>
      <c r="N1880" s="9"/>
      <c r="O1880" s="10"/>
      <c r="P1880" s="11">
        <f t="shared" si="856"/>
        <v>0</v>
      </c>
      <c r="Q1880" s="12"/>
      <c r="R1880" s="9"/>
      <c r="S1880" s="10"/>
      <c r="T1880" s="11">
        <f t="shared" si="857"/>
        <v>0</v>
      </c>
      <c r="U1880" s="11">
        <f t="shared" si="850"/>
        <v>0</v>
      </c>
      <c r="W1880" s="27"/>
      <c r="X1880" s="8"/>
      <c r="Y1880" s="9"/>
      <c r="Z1880" s="10"/>
      <c r="AA1880" s="11">
        <f t="shared" si="861"/>
        <v>0</v>
      </c>
      <c r="AB1880" s="12"/>
      <c r="AC1880" s="9"/>
      <c r="AD1880" s="10"/>
      <c r="AE1880" s="11">
        <f t="shared" si="862"/>
        <v>0</v>
      </c>
      <c r="AF1880" s="11">
        <f t="shared" si="851"/>
        <v>0</v>
      </c>
    </row>
    <row r="1881" spans="1:35" x14ac:dyDescent="0.15">
      <c r="A1881" s="27" t="s">
        <v>67</v>
      </c>
      <c r="B1881" s="8"/>
      <c r="C1881" s="9"/>
      <c r="D1881" s="10"/>
      <c r="E1881" s="11">
        <f t="shared" si="852"/>
        <v>0</v>
      </c>
      <c r="F1881" s="12"/>
      <c r="G1881" s="9">
        <v>1</v>
      </c>
      <c r="H1881" s="10"/>
      <c r="I1881" s="11">
        <f t="shared" si="863"/>
        <v>1</v>
      </c>
      <c r="J1881" s="11">
        <f t="shared" si="853"/>
        <v>1</v>
      </c>
      <c r="K1881" s="65">
        <v>43930</v>
      </c>
      <c r="L1881" s="26"/>
      <c r="M1881" s="8"/>
      <c r="N1881" s="9"/>
      <c r="O1881" s="10"/>
      <c r="P1881" s="11">
        <f t="shared" si="856"/>
        <v>0</v>
      </c>
      <c r="Q1881" s="12"/>
      <c r="R1881" s="9"/>
      <c r="S1881" s="10"/>
      <c r="T1881" s="11">
        <f t="shared" si="857"/>
        <v>0</v>
      </c>
      <c r="U1881" s="11">
        <f t="shared" si="850"/>
        <v>0</v>
      </c>
      <c r="W1881" s="26"/>
      <c r="X1881" s="8"/>
      <c r="Y1881" s="9"/>
      <c r="Z1881" s="10"/>
      <c r="AA1881" s="11">
        <f t="shared" si="861"/>
        <v>0</v>
      </c>
      <c r="AB1881" s="12"/>
      <c r="AC1881" s="9"/>
      <c r="AD1881" s="10"/>
      <c r="AE1881" s="11">
        <f t="shared" si="862"/>
        <v>0</v>
      </c>
      <c r="AF1881" s="11">
        <f t="shared" si="851"/>
        <v>0</v>
      </c>
    </row>
    <row r="1882" spans="1:35" x14ac:dyDescent="0.15">
      <c r="A1882" s="27" t="s">
        <v>67</v>
      </c>
      <c r="B1882" s="8"/>
      <c r="C1882" s="9"/>
      <c r="D1882" s="10"/>
      <c r="E1882" s="11">
        <f t="shared" si="852"/>
        <v>0</v>
      </c>
      <c r="F1882" s="12"/>
      <c r="G1882" s="9">
        <v>2</v>
      </c>
      <c r="H1882" s="10"/>
      <c r="I1882" s="11">
        <f t="shared" si="863"/>
        <v>2</v>
      </c>
      <c r="J1882" s="11">
        <f t="shared" si="853"/>
        <v>2</v>
      </c>
      <c r="K1882" s="65">
        <v>43936</v>
      </c>
      <c r="L1882" s="26"/>
      <c r="M1882" s="8"/>
      <c r="N1882" s="9"/>
      <c r="O1882" s="10"/>
      <c r="P1882" s="11">
        <f t="shared" si="856"/>
        <v>0</v>
      </c>
      <c r="Q1882" s="12"/>
      <c r="R1882" s="9"/>
      <c r="S1882" s="10"/>
      <c r="T1882" s="11">
        <f t="shared" si="857"/>
        <v>0</v>
      </c>
      <c r="U1882" s="11">
        <f t="shared" si="850"/>
        <v>0</v>
      </c>
      <c r="W1882" s="26"/>
      <c r="X1882" s="8"/>
      <c r="Y1882" s="9"/>
      <c r="Z1882" s="10"/>
      <c r="AA1882" s="11">
        <f t="shared" si="861"/>
        <v>0</v>
      </c>
      <c r="AB1882" s="12"/>
      <c r="AC1882" s="9"/>
      <c r="AD1882" s="10"/>
      <c r="AE1882" s="11">
        <f t="shared" si="862"/>
        <v>0</v>
      </c>
      <c r="AF1882" s="11">
        <f t="shared" si="851"/>
        <v>0</v>
      </c>
    </row>
    <row r="1883" spans="1:35" x14ac:dyDescent="0.15">
      <c r="A1883" s="29" t="s">
        <v>900</v>
      </c>
      <c r="B1883" s="8"/>
      <c r="C1883" s="9"/>
      <c r="D1883" s="10"/>
      <c r="E1883" s="11">
        <f t="shared" si="852"/>
        <v>0</v>
      </c>
      <c r="F1883" s="12"/>
      <c r="G1883" s="9">
        <v>2</v>
      </c>
      <c r="H1883" s="10"/>
      <c r="I1883" s="11">
        <f t="shared" si="863"/>
        <v>2</v>
      </c>
      <c r="J1883" s="11">
        <f t="shared" si="853"/>
        <v>2</v>
      </c>
      <c r="K1883" s="65">
        <v>43937</v>
      </c>
      <c r="L1883" s="27"/>
      <c r="M1883" s="8"/>
      <c r="N1883" s="9"/>
      <c r="O1883" s="10"/>
      <c r="P1883" s="11">
        <f t="shared" si="856"/>
        <v>0</v>
      </c>
      <c r="Q1883" s="12"/>
      <c r="R1883" s="9"/>
      <c r="S1883" s="10"/>
      <c r="T1883" s="11">
        <f t="shared" si="857"/>
        <v>0</v>
      </c>
      <c r="U1883" s="11">
        <f t="shared" si="850"/>
        <v>0</v>
      </c>
      <c r="W1883" s="27"/>
      <c r="X1883" s="8"/>
      <c r="Y1883" s="9"/>
      <c r="Z1883" s="10"/>
      <c r="AA1883" s="11">
        <f t="shared" si="861"/>
        <v>0</v>
      </c>
      <c r="AB1883" s="12"/>
      <c r="AC1883" s="9"/>
      <c r="AD1883" s="10"/>
      <c r="AE1883" s="11">
        <f t="shared" si="862"/>
        <v>0</v>
      </c>
      <c r="AF1883" s="11">
        <f t="shared" si="851"/>
        <v>0</v>
      </c>
    </row>
    <row r="1884" spans="1:35" x14ac:dyDescent="0.15">
      <c r="A1884" s="27" t="s">
        <v>67</v>
      </c>
      <c r="B1884" s="13"/>
      <c r="C1884" s="14"/>
      <c r="D1884" s="15"/>
      <c r="E1884" s="11">
        <f t="shared" si="852"/>
        <v>0</v>
      </c>
      <c r="F1884" s="16"/>
      <c r="G1884" s="14">
        <v>2</v>
      </c>
      <c r="H1884" s="15"/>
      <c r="I1884" s="11">
        <f t="shared" si="863"/>
        <v>2</v>
      </c>
      <c r="J1884" s="11">
        <f t="shared" si="853"/>
        <v>2</v>
      </c>
      <c r="K1884" s="65">
        <v>43938</v>
      </c>
      <c r="L1884" s="27"/>
      <c r="M1884" s="13"/>
      <c r="N1884" s="14"/>
      <c r="O1884" s="15"/>
      <c r="P1884" s="11">
        <f t="shared" si="856"/>
        <v>0</v>
      </c>
      <c r="Q1884" s="16"/>
      <c r="R1884" s="14"/>
      <c r="S1884" s="15"/>
      <c r="T1884" s="11">
        <f t="shared" si="857"/>
        <v>0</v>
      </c>
      <c r="U1884" s="11">
        <f t="shared" si="850"/>
        <v>0</v>
      </c>
      <c r="W1884" s="27"/>
      <c r="X1884" s="13"/>
      <c r="Y1884" s="14"/>
      <c r="Z1884" s="15"/>
      <c r="AA1884" s="11">
        <f t="shared" si="861"/>
        <v>0</v>
      </c>
      <c r="AB1884" s="16"/>
      <c r="AC1884" s="14"/>
      <c r="AD1884" s="15"/>
      <c r="AE1884" s="11">
        <f t="shared" si="862"/>
        <v>0</v>
      </c>
      <c r="AF1884" s="11">
        <f t="shared" si="851"/>
        <v>0</v>
      </c>
    </row>
    <row r="1885" spans="1:35" x14ac:dyDescent="0.15">
      <c r="A1885" s="27" t="s">
        <v>67</v>
      </c>
      <c r="B1885" s="8"/>
      <c r="C1885" s="9">
        <v>1</v>
      </c>
      <c r="D1885" s="10"/>
      <c r="E1885" s="11">
        <f t="shared" si="852"/>
        <v>1</v>
      </c>
      <c r="F1885" s="12"/>
      <c r="G1885" s="9"/>
      <c r="H1885" s="10"/>
      <c r="I1885" s="11">
        <f t="shared" si="863"/>
        <v>0</v>
      </c>
      <c r="J1885" s="11">
        <f t="shared" si="853"/>
        <v>1</v>
      </c>
      <c r="K1885" s="65">
        <v>43941</v>
      </c>
      <c r="L1885" s="86"/>
      <c r="M1885" s="13"/>
      <c r="N1885" s="14"/>
      <c r="O1885" s="15"/>
      <c r="P1885" s="11">
        <f t="shared" si="856"/>
        <v>0</v>
      </c>
      <c r="Q1885" s="16"/>
      <c r="R1885" s="14"/>
      <c r="S1885" s="15"/>
      <c r="T1885" s="11">
        <f t="shared" si="857"/>
        <v>0</v>
      </c>
      <c r="U1885" s="11">
        <f t="shared" si="850"/>
        <v>0</v>
      </c>
      <c r="W1885" s="86"/>
      <c r="X1885" s="13"/>
      <c r="Y1885" s="14"/>
      <c r="Z1885" s="15"/>
      <c r="AA1885" s="11">
        <f t="shared" si="861"/>
        <v>0</v>
      </c>
      <c r="AB1885" s="16"/>
      <c r="AC1885" s="14"/>
      <c r="AD1885" s="15"/>
      <c r="AE1885" s="11">
        <f t="shared" si="862"/>
        <v>0</v>
      </c>
      <c r="AF1885" s="11">
        <f t="shared" si="851"/>
        <v>0</v>
      </c>
    </row>
    <row r="1886" spans="1:35" x14ac:dyDescent="0.15">
      <c r="A1886" s="27" t="s">
        <v>67</v>
      </c>
      <c r="B1886" s="8">
        <v>3</v>
      </c>
      <c r="C1886" s="9"/>
      <c r="D1886" s="10"/>
      <c r="E1886" s="11">
        <f t="shared" si="852"/>
        <v>3</v>
      </c>
      <c r="F1886" s="12"/>
      <c r="G1886" s="9"/>
      <c r="H1886" s="10"/>
      <c r="I1886" s="11">
        <f t="shared" si="863"/>
        <v>0</v>
      </c>
      <c r="J1886" s="11">
        <f t="shared" si="853"/>
        <v>3</v>
      </c>
      <c r="K1886" s="65">
        <v>43949</v>
      </c>
      <c r="L1886" s="86"/>
      <c r="M1886" s="13"/>
      <c r="N1886" s="14"/>
      <c r="O1886" s="15"/>
      <c r="P1886" s="11">
        <f t="shared" si="856"/>
        <v>0</v>
      </c>
      <c r="Q1886" s="16"/>
      <c r="R1886" s="14"/>
      <c r="S1886" s="15"/>
      <c r="T1886" s="11">
        <f t="shared" si="857"/>
        <v>0</v>
      </c>
      <c r="U1886" s="11">
        <f t="shared" si="850"/>
        <v>0</v>
      </c>
      <c r="W1886" s="86"/>
      <c r="X1886" s="13"/>
      <c r="Y1886" s="14"/>
      <c r="Z1886" s="15"/>
      <c r="AA1886" s="11">
        <f t="shared" si="861"/>
        <v>0</v>
      </c>
      <c r="AB1886" s="16"/>
      <c r="AC1886" s="14"/>
      <c r="AD1886" s="15"/>
      <c r="AE1886" s="11">
        <f t="shared" si="862"/>
        <v>0</v>
      </c>
      <c r="AF1886" s="11">
        <f t="shared" si="851"/>
        <v>0</v>
      </c>
    </row>
    <row r="1887" spans="1:35" x14ac:dyDescent="0.15">
      <c r="A1887" s="29" t="s">
        <v>903</v>
      </c>
      <c r="B1887" s="8">
        <v>4</v>
      </c>
      <c r="C1887" s="9">
        <v>10</v>
      </c>
      <c r="D1887" s="10">
        <v>12</v>
      </c>
      <c r="E1887" s="11">
        <f t="shared" si="852"/>
        <v>26</v>
      </c>
      <c r="F1887" s="12">
        <v>8</v>
      </c>
      <c r="G1887" s="9">
        <v>8</v>
      </c>
      <c r="H1887" s="10"/>
      <c r="I1887" s="11">
        <f t="shared" si="863"/>
        <v>16</v>
      </c>
      <c r="J1887" s="11">
        <f t="shared" si="853"/>
        <v>42</v>
      </c>
      <c r="K1887" s="65">
        <v>43952</v>
      </c>
      <c r="L1887" s="86"/>
      <c r="M1887" s="13"/>
      <c r="N1887" s="14"/>
      <c r="O1887" s="15"/>
      <c r="P1887" s="11">
        <f t="shared" si="856"/>
        <v>0</v>
      </c>
      <c r="Q1887" s="16"/>
      <c r="R1887" s="14"/>
      <c r="S1887" s="15"/>
      <c r="T1887" s="11">
        <f t="shared" si="857"/>
        <v>0</v>
      </c>
      <c r="U1887" s="11">
        <f t="shared" si="850"/>
        <v>0</v>
      </c>
      <c r="W1887" s="86" t="s">
        <v>883</v>
      </c>
      <c r="X1887" s="13"/>
      <c r="Y1887" s="14"/>
      <c r="Z1887" s="15"/>
      <c r="AA1887" s="11">
        <f t="shared" si="861"/>
        <v>0</v>
      </c>
      <c r="AB1887" s="16"/>
      <c r="AC1887" s="14"/>
      <c r="AD1887" s="15"/>
      <c r="AE1887" s="11">
        <f t="shared" si="862"/>
        <v>0</v>
      </c>
      <c r="AF1887" s="11">
        <f t="shared" si="851"/>
        <v>0</v>
      </c>
      <c r="AG1887" s="64" t="s">
        <v>884</v>
      </c>
      <c r="AH1887" s="64"/>
      <c r="AI1887" s="64"/>
    </row>
    <row r="1888" spans="1:35" ht="14.25" thickBot="1" x14ac:dyDescent="0.2">
      <c r="A1888" s="27" t="s">
        <v>67</v>
      </c>
      <c r="B1888" s="8"/>
      <c r="C1888" s="9"/>
      <c r="D1888" s="10">
        <v>1</v>
      </c>
      <c r="E1888" s="11">
        <f t="shared" si="852"/>
        <v>1</v>
      </c>
      <c r="F1888" s="12">
        <v>2</v>
      </c>
      <c r="G1888" s="9"/>
      <c r="H1888" s="10"/>
      <c r="I1888" s="11">
        <f t="shared" si="863"/>
        <v>2</v>
      </c>
      <c r="J1888" s="11">
        <f t="shared" si="853"/>
        <v>3</v>
      </c>
      <c r="K1888" s="65">
        <v>43957</v>
      </c>
      <c r="L1888" s="86"/>
      <c r="M1888" s="13"/>
      <c r="N1888" s="14"/>
      <c r="O1888" s="15"/>
      <c r="P1888" s="11">
        <f t="shared" si="856"/>
        <v>0</v>
      </c>
      <c r="Q1888" s="16"/>
      <c r="R1888" s="14"/>
      <c r="S1888" s="15"/>
      <c r="T1888" s="11">
        <f t="shared" si="857"/>
        <v>0</v>
      </c>
      <c r="U1888" s="11">
        <f t="shared" si="850"/>
        <v>0</v>
      </c>
      <c r="W1888" s="86"/>
      <c r="X1888" s="13"/>
      <c r="Y1888" s="14"/>
      <c r="Z1888" s="15"/>
      <c r="AA1888" s="11">
        <f t="shared" si="861"/>
        <v>0</v>
      </c>
      <c r="AB1888" s="16"/>
      <c r="AC1888" s="14"/>
      <c r="AD1888" s="15"/>
      <c r="AE1888" s="11">
        <f t="shared" si="862"/>
        <v>0</v>
      </c>
      <c r="AF1888" s="11">
        <f t="shared" si="851"/>
        <v>0</v>
      </c>
      <c r="AG1888" s="64"/>
    </row>
    <row r="1889" spans="1:33" ht="14.25" thickBot="1" x14ac:dyDescent="0.2">
      <c r="A1889" s="44" t="s">
        <v>13</v>
      </c>
      <c r="B1889" s="48">
        <f t="shared" ref="B1889:I1889" si="864">SUM(B1863:B1888)</f>
        <v>9</v>
      </c>
      <c r="C1889" s="49">
        <f t="shared" si="864"/>
        <v>19</v>
      </c>
      <c r="D1889" s="50">
        <f t="shared" si="864"/>
        <v>21</v>
      </c>
      <c r="E1889" s="46">
        <f t="shared" si="864"/>
        <v>49</v>
      </c>
      <c r="F1889" s="48">
        <f t="shared" si="864"/>
        <v>16</v>
      </c>
      <c r="G1889" s="49">
        <f t="shared" si="864"/>
        <v>20</v>
      </c>
      <c r="H1889" s="50">
        <f t="shared" si="864"/>
        <v>9</v>
      </c>
      <c r="I1889" s="46">
        <f t="shared" si="864"/>
        <v>45</v>
      </c>
      <c r="J1889" s="35">
        <f>E1889+I1889</f>
        <v>94</v>
      </c>
      <c r="L1889" s="44" t="s">
        <v>13</v>
      </c>
      <c r="M1889" s="48">
        <f t="shared" ref="M1889:T1889" si="865">SUM(M1863:M1888)</f>
        <v>80</v>
      </c>
      <c r="N1889" s="49">
        <f t="shared" si="865"/>
        <v>100</v>
      </c>
      <c r="O1889" s="50">
        <f t="shared" si="865"/>
        <v>85</v>
      </c>
      <c r="P1889" s="46">
        <f t="shared" si="865"/>
        <v>265</v>
      </c>
      <c r="Q1889" s="48">
        <f t="shared" si="865"/>
        <v>85</v>
      </c>
      <c r="R1889" s="49">
        <f t="shared" si="865"/>
        <v>90</v>
      </c>
      <c r="S1889" s="50">
        <f t="shared" si="865"/>
        <v>80</v>
      </c>
      <c r="T1889" s="46">
        <f t="shared" si="865"/>
        <v>255</v>
      </c>
      <c r="U1889" s="35">
        <f>P1889+T1889</f>
        <v>520</v>
      </c>
      <c r="W1889" s="44" t="s">
        <v>13</v>
      </c>
      <c r="X1889" s="48">
        <f t="shared" ref="X1889:AE1889" si="866">SUM(X1863:X1888)</f>
        <v>92</v>
      </c>
      <c r="Y1889" s="49">
        <f t="shared" si="866"/>
        <v>210</v>
      </c>
      <c r="Z1889" s="50">
        <f t="shared" si="866"/>
        <v>105</v>
      </c>
      <c r="AA1889" s="46">
        <f t="shared" si="866"/>
        <v>407</v>
      </c>
      <c r="AB1889" s="48">
        <f t="shared" si="866"/>
        <v>150</v>
      </c>
      <c r="AC1889" s="49">
        <f t="shared" si="866"/>
        <v>80</v>
      </c>
      <c r="AD1889" s="50">
        <f t="shared" si="866"/>
        <v>130</v>
      </c>
      <c r="AE1889" s="46">
        <f t="shared" si="866"/>
        <v>360</v>
      </c>
      <c r="AF1889" s="35">
        <f>AA1889+AE1889</f>
        <v>767</v>
      </c>
    </row>
    <row r="1890" spans="1:33" ht="14.25" thickBot="1" x14ac:dyDescent="0.2">
      <c r="A1890" s="23" t="s">
        <v>14</v>
      </c>
      <c r="B1890" s="24">
        <f t="shared" ref="B1890:J1890" si="867">B1862-B1889</f>
        <v>7</v>
      </c>
      <c r="C1890" s="25">
        <f t="shared" si="867"/>
        <v>6</v>
      </c>
      <c r="D1890" s="30">
        <f t="shared" si="867"/>
        <v>7</v>
      </c>
      <c r="E1890" s="51">
        <f t="shared" si="867"/>
        <v>20</v>
      </c>
      <c r="F1890" s="24">
        <f t="shared" si="867"/>
        <v>8</v>
      </c>
      <c r="G1890" s="25">
        <f t="shared" si="867"/>
        <v>3</v>
      </c>
      <c r="H1890" s="30">
        <f t="shared" si="867"/>
        <v>8</v>
      </c>
      <c r="I1890" s="47">
        <f t="shared" si="867"/>
        <v>19</v>
      </c>
      <c r="J1890" s="79">
        <f t="shared" si="867"/>
        <v>39</v>
      </c>
      <c r="L1890" s="23" t="s">
        <v>14</v>
      </c>
      <c r="M1890" s="24">
        <f t="shared" ref="M1890:U1890" si="868">M1862-M1889</f>
        <v>45</v>
      </c>
      <c r="N1890" s="25">
        <f t="shared" si="868"/>
        <v>105</v>
      </c>
      <c r="O1890" s="30">
        <f t="shared" si="868"/>
        <v>34</v>
      </c>
      <c r="P1890" s="51">
        <f t="shared" si="868"/>
        <v>184</v>
      </c>
      <c r="Q1890" s="24">
        <f t="shared" si="868"/>
        <v>59</v>
      </c>
      <c r="R1890" s="25">
        <f t="shared" si="868"/>
        <v>39</v>
      </c>
      <c r="S1890" s="30">
        <f t="shared" si="868"/>
        <v>55</v>
      </c>
      <c r="T1890" s="47">
        <f t="shared" si="868"/>
        <v>153</v>
      </c>
      <c r="U1890" s="79">
        <f t="shared" si="868"/>
        <v>337</v>
      </c>
      <c r="W1890" s="23" t="s">
        <v>14</v>
      </c>
      <c r="X1890" s="24">
        <f t="shared" ref="X1890:AF1890" si="869">X1862-X1889</f>
        <v>595</v>
      </c>
      <c r="Y1890" s="25">
        <f t="shared" si="869"/>
        <v>425</v>
      </c>
      <c r="Z1890" s="30">
        <f t="shared" si="869"/>
        <v>245</v>
      </c>
      <c r="AA1890" s="51">
        <f t="shared" si="869"/>
        <v>1265</v>
      </c>
      <c r="AB1890" s="24">
        <f t="shared" si="869"/>
        <v>204</v>
      </c>
      <c r="AC1890" s="25">
        <f t="shared" si="869"/>
        <v>670</v>
      </c>
      <c r="AD1890" s="30">
        <f t="shared" si="869"/>
        <v>370</v>
      </c>
      <c r="AE1890" s="47">
        <f t="shared" si="869"/>
        <v>1244</v>
      </c>
      <c r="AF1890" s="79">
        <f t="shared" si="869"/>
        <v>2509</v>
      </c>
    </row>
    <row r="1893" spans="1:33" ht="19.5" thickBot="1" x14ac:dyDescent="0.25">
      <c r="A1893" s="142" t="s">
        <v>850</v>
      </c>
      <c r="B1893" s="143"/>
      <c r="C1893" s="143"/>
      <c r="D1893" s="143"/>
      <c r="E1893" s="143"/>
      <c r="F1893" s="1"/>
      <c r="G1893" s="1"/>
      <c r="H1893" s="1"/>
      <c r="I1893" s="1"/>
      <c r="J1893" s="1"/>
      <c r="L1893" s="148" t="s">
        <v>851</v>
      </c>
      <c r="M1893" s="149"/>
      <c r="N1893" s="149"/>
      <c r="O1893" s="149"/>
      <c r="P1893" s="149"/>
      <c r="Q1893" s="2"/>
      <c r="R1893" s="1"/>
      <c r="S1893" s="1"/>
      <c r="T1893" s="1"/>
      <c r="U1893" s="1"/>
      <c r="W1893" s="150" t="s">
        <v>765</v>
      </c>
      <c r="X1893" s="151"/>
      <c r="Y1893" s="151"/>
      <c r="Z1893" s="151"/>
      <c r="AA1893" s="106"/>
      <c r="AB1893" s="1"/>
      <c r="AC1893" s="1"/>
      <c r="AD1893" s="1"/>
      <c r="AE1893" s="1"/>
      <c r="AF1893" s="1"/>
    </row>
    <row r="1894" spans="1:33" ht="14.25" thickBot="1" x14ac:dyDescent="0.2">
      <c r="A1894" s="7" t="s">
        <v>0</v>
      </c>
      <c r="B1894" s="168" t="s">
        <v>1</v>
      </c>
      <c r="C1894" s="169"/>
      <c r="D1894" s="169"/>
      <c r="E1894" s="170"/>
      <c r="F1894" s="168" t="s">
        <v>2</v>
      </c>
      <c r="G1894" s="169"/>
      <c r="H1894" s="169"/>
      <c r="I1894" s="171"/>
      <c r="J1894" s="172" t="s">
        <v>3</v>
      </c>
      <c r="L1894" s="7" t="s">
        <v>0</v>
      </c>
      <c r="M1894" s="174" t="s">
        <v>1</v>
      </c>
      <c r="N1894" s="175"/>
      <c r="O1894" s="176"/>
      <c r="P1894" s="101"/>
      <c r="Q1894" s="174" t="s">
        <v>2</v>
      </c>
      <c r="R1894" s="175"/>
      <c r="S1894" s="176"/>
      <c r="T1894" s="102"/>
      <c r="U1894" s="103" t="s">
        <v>3</v>
      </c>
      <c r="W1894" s="7" t="s">
        <v>0</v>
      </c>
      <c r="X1894" s="174" t="s">
        <v>1</v>
      </c>
      <c r="Y1894" s="175"/>
      <c r="Z1894" s="176"/>
      <c r="AA1894" s="101"/>
      <c r="AB1894" s="174" t="s">
        <v>2</v>
      </c>
      <c r="AC1894" s="175"/>
      <c r="AD1894" s="176"/>
      <c r="AE1894" s="102"/>
      <c r="AF1894" s="103" t="s">
        <v>3</v>
      </c>
    </row>
    <row r="1895" spans="1:33" ht="14.25" thickBot="1" x14ac:dyDescent="0.2">
      <c r="A1895" s="7" t="s">
        <v>4</v>
      </c>
      <c r="B1895" s="3" t="s">
        <v>5</v>
      </c>
      <c r="C1895" s="4" t="s">
        <v>6</v>
      </c>
      <c r="D1895" s="5" t="s">
        <v>7</v>
      </c>
      <c r="E1895" s="7" t="s">
        <v>8</v>
      </c>
      <c r="F1895" s="3" t="s">
        <v>5</v>
      </c>
      <c r="G1895" s="4" t="s">
        <v>6</v>
      </c>
      <c r="H1895" s="5" t="s">
        <v>7</v>
      </c>
      <c r="I1895" s="7" t="s">
        <v>8</v>
      </c>
      <c r="J1895" s="173"/>
      <c r="L1895" s="7" t="s">
        <v>4</v>
      </c>
      <c r="M1895" s="3" t="s">
        <v>5</v>
      </c>
      <c r="N1895" s="4" t="s">
        <v>6</v>
      </c>
      <c r="O1895" s="5" t="s">
        <v>7</v>
      </c>
      <c r="P1895" s="7" t="s">
        <v>8</v>
      </c>
      <c r="Q1895" s="107" t="s">
        <v>5</v>
      </c>
      <c r="R1895" s="108" t="s">
        <v>6</v>
      </c>
      <c r="S1895" s="109" t="s">
        <v>7</v>
      </c>
      <c r="T1895" s="7" t="s">
        <v>8</v>
      </c>
      <c r="U1895" s="104"/>
      <c r="W1895" s="7" t="s">
        <v>4</v>
      </c>
      <c r="X1895" s="3" t="s">
        <v>5</v>
      </c>
      <c r="Y1895" s="4" t="s">
        <v>6</v>
      </c>
      <c r="Z1895" s="5" t="s">
        <v>7</v>
      </c>
      <c r="AA1895" s="7" t="s">
        <v>8</v>
      </c>
      <c r="AB1895" s="107" t="s">
        <v>5</v>
      </c>
      <c r="AC1895" s="108" t="s">
        <v>6</v>
      </c>
      <c r="AD1895" s="109" t="s">
        <v>7</v>
      </c>
      <c r="AE1895" s="7" t="s">
        <v>8</v>
      </c>
      <c r="AF1895" s="104"/>
    </row>
    <row r="1896" spans="1:33" ht="14.25" thickBot="1" x14ac:dyDescent="0.2">
      <c r="A1896" s="31" t="s">
        <v>14</v>
      </c>
      <c r="B1896" s="32">
        <f>B1890</f>
        <v>7</v>
      </c>
      <c r="C1896" s="33">
        <f>C1890</f>
        <v>6</v>
      </c>
      <c r="D1896" s="34">
        <f>D1890</f>
        <v>7</v>
      </c>
      <c r="E1896" s="41">
        <f>SUM(B1896:D1896)</f>
        <v>20</v>
      </c>
      <c r="F1896" s="32">
        <f>F1890</f>
        <v>8</v>
      </c>
      <c r="G1896" s="33">
        <f>G1890</f>
        <v>3</v>
      </c>
      <c r="H1896" s="34">
        <f>H1890</f>
        <v>8</v>
      </c>
      <c r="I1896" s="41">
        <f>SUM(F1896:H1896)</f>
        <v>19</v>
      </c>
      <c r="J1896" s="41">
        <f>E1896+I1896</f>
        <v>39</v>
      </c>
      <c r="L1896" s="31" t="s">
        <v>14</v>
      </c>
      <c r="M1896" s="32">
        <f>M1890</f>
        <v>45</v>
      </c>
      <c r="N1896" s="33">
        <f>N1890</f>
        <v>105</v>
      </c>
      <c r="O1896" s="33">
        <f>O1890</f>
        <v>34</v>
      </c>
      <c r="P1896" s="111">
        <f>SUM(M1896:O1896)</f>
        <v>184</v>
      </c>
      <c r="Q1896" s="32">
        <f>Q1890</f>
        <v>59</v>
      </c>
      <c r="R1896" s="33">
        <f>R1890</f>
        <v>39</v>
      </c>
      <c r="S1896" s="95">
        <f>S1890</f>
        <v>55</v>
      </c>
      <c r="T1896" s="46">
        <f>SUM(Q1896:S1896)</f>
        <v>153</v>
      </c>
      <c r="U1896" s="35">
        <f>P1896+T1896</f>
        <v>337</v>
      </c>
      <c r="W1896" s="31" t="s">
        <v>14</v>
      </c>
      <c r="X1896" s="32">
        <f>X1890</f>
        <v>595</v>
      </c>
      <c r="Y1896" s="33">
        <f>Y1890</f>
        <v>425</v>
      </c>
      <c r="Z1896" s="33">
        <f>Z1890</f>
        <v>245</v>
      </c>
      <c r="AA1896" s="111">
        <f>SUM(X1896:Z1896)</f>
        <v>1265</v>
      </c>
      <c r="AB1896" s="32">
        <f>AB1890</f>
        <v>204</v>
      </c>
      <c r="AC1896" s="33">
        <f>AC1890</f>
        <v>670</v>
      </c>
      <c r="AD1896" s="95">
        <f>AD1890</f>
        <v>370</v>
      </c>
      <c r="AE1896" s="46">
        <f>SUM(AB1896:AD1896)</f>
        <v>1244</v>
      </c>
      <c r="AF1896" s="35">
        <f>AA1896+AE1896</f>
        <v>2509</v>
      </c>
    </row>
    <row r="1897" spans="1:33" x14ac:dyDescent="0.15">
      <c r="A1897" s="28" t="s">
        <v>9</v>
      </c>
      <c r="B1897" s="17">
        <v>5</v>
      </c>
      <c r="C1897" s="18"/>
      <c r="D1897" s="19"/>
      <c r="E1897" s="20">
        <f>SUM(B1897:D1897)</f>
        <v>5</v>
      </c>
      <c r="F1897" s="21">
        <v>5</v>
      </c>
      <c r="G1897" s="18"/>
      <c r="H1897" s="19"/>
      <c r="I1897" s="20">
        <f>SUM(F1897:H1897)</f>
        <v>5</v>
      </c>
      <c r="J1897" s="20">
        <f>E1897+I1897</f>
        <v>10</v>
      </c>
      <c r="K1897" s="65">
        <v>43980</v>
      </c>
      <c r="L1897" s="28" t="s">
        <v>906</v>
      </c>
      <c r="M1897" s="8">
        <v>597</v>
      </c>
      <c r="N1897" s="9">
        <v>425</v>
      </c>
      <c r="O1897" s="10">
        <v>245</v>
      </c>
      <c r="P1897" s="78">
        <f t="shared" ref="P1897:P1904" si="870">SUM(M1897:O1897)</f>
        <v>1267</v>
      </c>
      <c r="Q1897" s="21">
        <v>204</v>
      </c>
      <c r="R1897" s="18">
        <v>670</v>
      </c>
      <c r="S1897" s="19">
        <v>370</v>
      </c>
      <c r="T1897" s="78">
        <f t="shared" ref="T1897:T1904" si="871">SUM(Q1897:S1897)</f>
        <v>1244</v>
      </c>
      <c r="U1897" s="78">
        <f t="shared" ref="U1897:U1904" si="872">P1897+T1897</f>
        <v>2511</v>
      </c>
      <c r="V1897" s="65">
        <v>43974</v>
      </c>
      <c r="W1897" s="28" t="s">
        <v>263</v>
      </c>
      <c r="X1897" s="8">
        <v>2</v>
      </c>
      <c r="Y1897" s="9"/>
      <c r="Z1897" s="10"/>
      <c r="AA1897" s="78">
        <f t="shared" ref="AA1897:AA1904" si="873">SUM(X1897:Z1897)</f>
        <v>2</v>
      </c>
      <c r="AB1897" s="21"/>
      <c r="AC1897" s="18"/>
      <c r="AD1897" s="19"/>
      <c r="AE1897" s="78">
        <f t="shared" ref="AE1897:AE1904" si="874">SUM(AB1897:AD1897)</f>
        <v>0</v>
      </c>
      <c r="AF1897" s="78">
        <f t="shared" ref="AF1897:AF1904" si="875">AA1897+AE1897</f>
        <v>2</v>
      </c>
      <c r="AG1897" s="71">
        <v>43973</v>
      </c>
    </row>
    <row r="1898" spans="1:33" x14ac:dyDescent="0.15">
      <c r="A1898" s="28" t="s">
        <v>10</v>
      </c>
      <c r="B1898" s="8"/>
      <c r="C1898" s="9">
        <v>5</v>
      </c>
      <c r="D1898" s="10"/>
      <c r="E1898" s="11">
        <f t="shared" ref="E1898:E1904" si="876">SUM(B1898:D1898)</f>
        <v>5</v>
      </c>
      <c r="F1898" s="12"/>
      <c r="G1898" s="9">
        <v>5</v>
      </c>
      <c r="H1898" s="10"/>
      <c r="I1898" s="11">
        <f t="shared" ref="I1898:I1904" si="877">SUM(F1898:H1898)</f>
        <v>5</v>
      </c>
      <c r="J1898" s="11">
        <f t="shared" ref="J1898:J1904" si="878">E1898+I1898</f>
        <v>10</v>
      </c>
      <c r="K1898" s="65">
        <v>43988</v>
      </c>
      <c r="L1898" s="28" t="s">
        <v>875</v>
      </c>
      <c r="M1898" s="8">
        <v>2</v>
      </c>
      <c r="N1898" s="9"/>
      <c r="O1898" s="10">
        <v>2</v>
      </c>
      <c r="P1898" s="11">
        <f t="shared" si="870"/>
        <v>4</v>
      </c>
      <c r="Q1898" s="12">
        <v>2</v>
      </c>
      <c r="R1898" s="9">
        <v>2</v>
      </c>
      <c r="S1898" s="10">
        <v>2</v>
      </c>
      <c r="T1898" s="11">
        <f t="shared" si="871"/>
        <v>6</v>
      </c>
      <c r="U1898" s="11">
        <f t="shared" si="872"/>
        <v>10</v>
      </c>
      <c r="V1898" s="71">
        <v>44002</v>
      </c>
      <c r="W1898" s="28" t="s">
        <v>10</v>
      </c>
      <c r="X1898" s="8"/>
      <c r="Y1898" s="9"/>
      <c r="Z1898" s="10"/>
      <c r="AA1898" s="11">
        <f t="shared" si="873"/>
        <v>0</v>
      </c>
      <c r="AB1898" s="12"/>
      <c r="AC1898" s="9"/>
      <c r="AD1898" s="10"/>
      <c r="AE1898" s="11">
        <f t="shared" si="874"/>
        <v>0</v>
      </c>
      <c r="AF1898" s="11">
        <f t="shared" si="875"/>
        <v>0</v>
      </c>
    </row>
    <row r="1899" spans="1:33" x14ac:dyDescent="0.15">
      <c r="A1899" s="28" t="s">
        <v>104</v>
      </c>
      <c r="B1899" s="8">
        <v>4</v>
      </c>
      <c r="C1899" s="9">
        <v>6</v>
      </c>
      <c r="D1899" s="10">
        <v>5</v>
      </c>
      <c r="E1899" s="11">
        <f t="shared" si="876"/>
        <v>15</v>
      </c>
      <c r="F1899" s="12">
        <v>1</v>
      </c>
      <c r="G1899" s="9">
        <v>2</v>
      </c>
      <c r="H1899" s="10">
        <v>1</v>
      </c>
      <c r="I1899" s="11">
        <f t="shared" si="877"/>
        <v>4</v>
      </c>
      <c r="J1899" s="11">
        <f t="shared" si="878"/>
        <v>19</v>
      </c>
      <c r="K1899" s="65">
        <v>43987</v>
      </c>
      <c r="L1899" s="28" t="s">
        <v>11</v>
      </c>
      <c r="M1899" s="8"/>
      <c r="N1899" s="9"/>
      <c r="O1899" s="10"/>
      <c r="P1899" s="11">
        <f t="shared" si="870"/>
        <v>0</v>
      </c>
      <c r="Q1899" s="12"/>
      <c r="R1899" s="9"/>
      <c r="S1899" s="10"/>
      <c r="T1899" s="11">
        <f t="shared" si="871"/>
        <v>0</v>
      </c>
      <c r="U1899" s="11">
        <f t="shared" si="872"/>
        <v>0</v>
      </c>
      <c r="V1899" s="58"/>
      <c r="W1899" s="28" t="s">
        <v>878</v>
      </c>
      <c r="X1899" s="8"/>
      <c r="Y1899" s="9"/>
      <c r="Z1899" s="10"/>
      <c r="AA1899" s="11">
        <f t="shared" si="873"/>
        <v>0</v>
      </c>
      <c r="AB1899" s="12"/>
      <c r="AC1899" s="9"/>
      <c r="AD1899" s="10"/>
      <c r="AE1899" s="11">
        <f t="shared" si="874"/>
        <v>0</v>
      </c>
      <c r="AF1899" s="11">
        <f t="shared" si="875"/>
        <v>0</v>
      </c>
    </row>
    <row r="1900" spans="1:33" x14ac:dyDescent="0.15">
      <c r="A1900" s="28" t="s">
        <v>104</v>
      </c>
      <c r="B1900" s="8">
        <v>2</v>
      </c>
      <c r="C1900" s="9"/>
      <c r="D1900" s="10">
        <v>2</v>
      </c>
      <c r="E1900" s="11">
        <f t="shared" si="876"/>
        <v>4</v>
      </c>
      <c r="F1900" s="12">
        <v>2</v>
      </c>
      <c r="G1900" s="9">
        <v>2</v>
      </c>
      <c r="H1900" s="10">
        <v>2</v>
      </c>
      <c r="I1900" s="11">
        <f t="shared" si="877"/>
        <v>6</v>
      </c>
      <c r="J1900" s="11">
        <f t="shared" si="878"/>
        <v>10</v>
      </c>
      <c r="K1900" s="65">
        <v>43999</v>
      </c>
      <c r="L1900" s="28" t="s">
        <v>12</v>
      </c>
      <c r="M1900" s="8"/>
      <c r="N1900" s="9"/>
      <c r="O1900" s="10"/>
      <c r="P1900" s="11">
        <f t="shared" si="870"/>
        <v>0</v>
      </c>
      <c r="Q1900" s="12"/>
      <c r="R1900" s="9"/>
      <c r="S1900" s="10"/>
      <c r="T1900" s="11">
        <f t="shared" si="871"/>
        <v>0</v>
      </c>
      <c r="U1900" s="11">
        <f t="shared" si="872"/>
        <v>0</v>
      </c>
      <c r="W1900" s="28" t="s">
        <v>12</v>
      </c>
      <c r="X1900" s="8"/>
      <c r="Y1900" s="9"/>
      <c r="Z1900" s="10"/>
      <c r="AA1900" s="11">
        <f t="shared" si="873"/>
        <v>0</v>
      </c>
      <c r="AB1900" s="12"/>
      <c r="AC1900" s="9"/>
      <c r="AD1900" s="10"/>
      <c r="AE1900" s="11">
        <f t="shared" si="874"/>
        <v>0</v>
      </c>
      <c r="AF1900" s="11">
        <f t="shared" si="875"/>
        <v>0</v>
      </c>
    </row>
    <row r="1901" spans="1:33" x14ac:dyDescent="0.15">
      <c r="A1901" s="28" t="s">
        <v>15</v>
      </c>
      <c r="B1901" s="8"/>
      <c r="C1901" s="9"/>
      <c r="D1901" s="10"/>
      <c r="E1901" s="11">
        <f t="shared" si="876"/>
        <v>0</v>
      </c>
      <c r="F1901" s="12">
        <v>5</v>
      </c>
      <c r="G1901" s="9"/>
      <c r="H1901" s="10"/>
      <c r="I1901" s="11">
        <f t="shared" si="877"/>
        <v>5</v>
      </c>
      <c r="J1901" s="11">
        <f t="shared" si="878"/>
        <v>5</v>
      </c>
      <c r="K1901" s="65">
        <v>44005</v>
      </c>
      <c r="L1901" s="28" t="s">
        <v>15</v>
      </c>
      <c r="M1901" s="8"/>
      <c r="N1901" s="9"/>
      <c r="O1901" s="10"/>
      <c r="P1901" s="11">
        <f t="shared" si="870"/>
        <v>0</v>
      </c>
      <c r="Q1901" s="12"/>
      <c r="R1901" s="9"/>
      <c r="S1901" s="10"/>
      <c r="T1901" s="11">
        <f t="shared" si="871"/>
        <v>0</v>
      </c>
      <c r="U1901" s="11">
        <f t="shared" si="872"/>
        <v>0</v>
      </c>
      <c r="V1901" s="57"/>
      <c r="W1901" s="28" t="s">
        <v>15</v>
      </c>
      <c r="X1901" s="8"/>
      <c r="Y1901" s="9"/>
      <c r="Z1901" s="10"/>
      <c r="AA1901" s="11">
        <f t="shared" si="873"/>
        <v>0</v>
      </c>
      <c r="AB1901" s="12"/>
      <c r="AC1901" s="9"/>
      <c r="AD1901" s="10"/>
      <c r="AE1901" s="11">
        <f t="shared" si="874"/>
        <v>0</v>
      </c>
      <c r="AF1901" s="11">
        <f t="shared" si="875"/>
        <v>0</v>
      </c>
    </row>
    <row r="1902" spans="1:33" x14ac:dyDescent="0.15">
      <c r="A1902" s="28" t="s">
        <v>16</v>
      </c>
      <c r="B1902" s="8"/>
      <c r="C1902" s="9"/>
      <c r="D1902" s="10">
        <v>5</v>
      </c>
      <c r="E1902" s="11">
        <f t="shared" si="876"/>
        <v>5</v>
      </c>
      <c r="F1902" s="12"/>
      <c r="G1902" s="9"/>
      <c r="H1902" s="10"/>
      <c r="I1902" s="11">
        <f t="shared" si="877"/>
        <v>0</v>
      </c>
      <c r="J1902" s="11">
        <f t="shared" si="878"/>
        <v>5</v>
      </c>
      <c r="K1902" s="65">
        <v>44011</v>
      </c>
      <c r="L1902" s="28" t="s">
        <v>16</v>
      </c>
      <c r="M1902" s="8"/>
      <c r="N1902" s="9"/>
      <c r="O1902" s="10"/>
      <c r="P1902" s="11">
        <f t="shared" si="870"/>
        <v>0</v>
      </c>
      <c r="Q1902" s="12"/>
      <c r="R1902" s="9"/>
      <c r="S1902" s="10"/>
      <c r="T1902" s="11">
        <f t="shared" si="871"/>
        <v>0</v>
      </c>
      <c r="U1902" s="11">
        <f t="shared" si="872"/>
        <v>0</v>
      </c>
      <c r="V1902" s="65"/>
      <c r="W1902" s="28" t="s">
        <v>16</v>
      </c>
      <c r="X1902" s="8"/>
      <c r="Y1902" s="9"/>
      <c r="Z1902" s="10"/>
      <c r="AA1902" s="11">
        <f t="shared" si="873"/>
        <v>0</v>
      </c>
      <c r="AB1902" s="12"/>
      <c r="AC1902" s="9"/>
      <c r="AD1902" s="10"/>
      <c r="AE1902" s="11">
        <f t="shared" si="874"/>
        <v>0</v>
      </c>
      <c r="AF1902" s="11">
        <f t="shared" si="875"/>
        <v>0</v>
      </c>
    </row>
    <row r="1903" spans="1:33" x14ac:dyDescent="0.15">
      <c r="A1903" s="28" t="s">
        <v>17</v>
      </c>
      <c r="B1903" s="13"/>
      <c r="C1903" s="14"/>
      <c r="D1903" s="15"/>
      <c r="E1903" s="11">
        <f t="shared" si="876"/>
        <v>0</v>
      </c>
      <c r="F1903" s="16"/>
      <c r="G1903" s="14"/>
      <c r="H1903" s="15"/>
      <c r="I1903" s="11">
        <f t="shared" si="877"/>
        <v>0</v>
      </c>
      <c r="J1903" s="11">
        <f t="shared" si="878"/>
        <v>0</v>
      </c>
      <c r="K1903" s="65"/>
      <c r="L1903" s="28" t="s">
        <v>17</v>
      </c>
      <c r="M1903" s="8"/>
      <c r="N1903" s="9"/>
      <c r="O1903" s="10"/>
      <c r="P1903" s="11">
        <f t="shared" si="870"/>
        <v>0</v>
      </c>
      <c r="Q1903" s="12"/>
      <c r="R1903" s="12"/>
      <c r="S1903" s="87"/>
      <c r="T1903" s="11">
        <f t="shared" si="871"/>
        <v>0</v>
      </c>
      <c r="U1903" s="11">
        <f t="shared" si="872"/>
        <v>0</v>
      </c>
      <c r="V1903" s="126"/>
      <c r="W1903" s="28" t="s">
        <v>17</v>
      </c>
      <c r="X1903" s="8"/>
      <c r="Y1903" s="9"/>
      <c r="Z1903" s="10"/>
      <c r="AA1903" s="11">
        <f t="shared" si="873"/>
        <v>0</v>
      </c>
      <c r="AB1903" s="12"/>
      <c r="AC1903" s="12"/>
      <c r="AD1903" s="87"/>
      <c r="AE1903" s="11">
        <f t="shared" si="874"/>
        <v>0</v>
      </c>
      <c r="AF1903" s="11">
        <f t="shared" si="875"/>
        <v>0</v>
      </c>
    </row>
    <row r="1904" spans="1:33" ht="14.25" thickBot="1" x14ac:dyDescent="0.2">
      <c r="A1904" s="28" t="s">
        <v>18</v>
      </c>
      <c r="B1904" s="36"/>
      <c r="C1904" s="37"/>
      <c r="D1904" s="40"/>
      <c r="E1904" s="22">
        <f t="shared" si="876"/>
        <v>0</v>
      </c>
      <c r="F1904" s="38"/>
      <c r="G1904" s="38"/>
      <c r="H1904" s="43"/>
      <c r="I1904" s="22">
        <f t="shared" si="877"/>
        <v>0</v>
      </c>
      <c r="J1904" s="22">
        <f t="shared" si="878"/>
        <v>0</v>
      </c>
      <c r="L1904" s="28" t="s">
        <v>18</v>
      </c>
      <c r="M1904" s="127"/>
      <c r="N1904" s="128"/>
      <c r="O1904" s="129"/>
      <c r="P1904" s="130">
        <f t="shared" si="870"/>
        <v>0</v>
      </c>
      <c r="Q1904" s="131"/>
      <c r="R1904" s="131"/>
      <c r="S1904" s="132"/>
      <c r="T1904" s="130">
        <f t="shared" si="871"/>
        <v>0</v>
      </c>
      <c r="U1904" s="130">
        <f t="shared" si="872"/>
        <v>0</v>
      </c>
      <c r="W1904" s="28" t="s">
        <v>18</v>
      </c>
      <c r="X1904" s="127"/>
      <c r="Y1904" s="128"/>
      <c r="Z1904" s="129"/>
      <c r="AA1904" s="130">
        <f t="shared" si="873"/>
        <v>0</v>
      </c>
      <c r="AB1904" s="131"/>
      <c r="AC1904" s="131"/>
      <c r="AD1904" s="132"/>
      <c r="AE1904" s="130">
        <f t="shared" si="874"/>
        <v>0</v>
      </c>
      <c r="AF1904" s="130">
        <f t="shared" si="875"/>
        <v>0</v>
      </c>
    </row>
    <row r="1905" spans="1:33" ht="14.25" thickBot="1" x14ac:dyDescent="0.2">
      <c r="A1905" s="39" t="s">
        <v>20</v>
      </c>
      <c r="B1905" s="32">
        <f t="shared" ref="B1905:J1905" si="879">SUM(B1896:B1904)</f>
        <v>18</v>
      </c>
      <c r="C1905" s="33">
        <f t="shared" si="879"/>
        <v>17</v>
      </c>
      <c r="D1905" s="34">
        <f t="shared" si="879"/>
        <v>19</v>
      </c>
      <c r="E1905" s="42">
        <f t="shared" si="879"/>
        <v>54</v>
      </c>
      <c r="F1905" s="32">
        <f t="shared" si="879"/>
        <v>21</v>
      </c>
      <c r="G1905" s="33">
        <f t="shared" si="879"/>
        <v>12</v>
      </c>
      <c r="H1905" s="34">
        <f t="shared" si="879"/>
        <v>11</v>
      </c>
      <c r="I1905" s="42">
        <f t="shared" si="879"/>
        <v>44</v>
      </c>
      <c r="J1905" s="42">
        <f t="shared" si="879"/>
        <v>98</v>
      </c>
      <c r="L1905" s="39" t="s">
        <v>20</v>
      </c>
      <c r="M1905" s="32">
        <f t="shared" ref="M1905:U1905" si="880">SUM(M1896:M1904)</f>
        <v>644</v>
      </c>
      <c r="N1905" s="33">
        <f t="shared" si="880"/>
        <v>530</v>
      </c>
      <c r="O1905" s="34">
        <f t="shared" si="880"/>
        <v>281</v>
      </c>
      <c r="P1905" s="42">
        <f t="shared" si="880"/>
        <v>1455</v>
      </c>
      <c r="Q1905" s="32">
        <f t="shared" si="880"/>
        <v>265</v>
      </c>
      <c r="R1905" s="33">
        <f t="shared" si="880"/>
        <v>711</v>
      </c>
      <c r="S1905" s="34">
        <f t="shared" si="880"/>
        <v>427</v>
      </c>
      <c r="T1905" s="42">
        <f t="shared" si="880"/>
        <v>1403</v>
      </c>
      <c r="U1905" s="42">
        <f t="shared" si="880"/>
        <v>2858</v>
      </c>
      <c r="W1905" s="39" t="s">
        <v>20</v>
      </c>
      <c r="X1905" s="32">
        <f t="shared" ref="X1905:AF1905" si="881">SUM(X1896:X1904)</f>
        <v>597</v>
      </c>
      <c r="Y1905" s="33">
        <f t="shared" si="881"/>
        <v>425</v>
      </c>
      <c r="Z1905" s="34">
        <f t="shared" si="881"/>
        <v>245</v>
      </c>
      <c r="AA1905" s="42">
        <f t="shared" si="881"/>
        <v>1267</v>
      </c>
      <c r="AB1905" s="32">
        <f t="shared" si="881"/>
        <v>204</v>
      </c>
      <c r="AC1905" s="33">
        <f t="shared" si="881"/>
        <v>670</v>
      </c>
      <c r="AD1905" s="34">
        <f t="shared" si="881"/>
        <v>370</v>
      </c>
      <c r="AE1905" s="42">
        <f t="shared" si="881"/>
        <v>1244</v>
      </c>
      <c r="AF1905" s="42">
        <f t="shared" si="881"/>
        <v>2511</v>
      </c>
    </row>
    <row r="1906" spans="1:33" x14ac:dyDescent="0.15">
      <c r="A1906" s="27" t="s">
        <v>67</v>
      </c>
      <c r="B1906" s="13"/>
      <c r="C1906" s="14"/>
      <c r="D1906" s="15">
        <v>1</v>
      </c>
      <c r="E1906" s="11">
        <f>SUM(B1906:D1906)</f>
        <v>1</v>
      </c>
      <c r="F1906" s="16">
        <v>1</v>
      </c>
      <c r="G1906" s="14"/>
      <c r="H1906" s="15">
        <v>1</v>
      </c>
      <c r="I1906" s="11">
        <f>SUM(F1906:H1906)</f>
        <v>2</v>
      </c>
      <c r="J1906" s="11">
        <f>E1906+I1906</f>
        <v>3</v>
      </c>
      <c r="K1906" s="65">
        <v>43962</v>
      </c>
      <c r="L1906" s="86" t="s">
        <v>704</v>
      </c>
      <c r="M1906" s="8"/>
      <c r="N1906" s="9">
        <v>40</v>
      </c>
      <c r="O1906" s="10"/>
      <c r="P1906" s="11">
        <f>SUM(M1906:O1906)</f>
        <v>40</v>
      </c>
      <c r="Q1906" s="12"/>
      <c r="R1906" s="9">
        <v>48</v>
      </c>
      <c r="S1906" s="10"/>
      <c r="T1906" s="11">
        <f>SUM(Q1906:S1906)</f>
        <v>48</v>
      </c>
      <c r="U1906" s="11">
        <f t="shared" ref="U1906:U1931" si="882">P1906+T1906</f>
        <v>88</v>
      </c>
      <c r="V1906" s="65">
        <v>43980</v>
      </c>
      <c r="W1906" s="86" t="s">
        <v>905</v>
      </c>
      <c r="X1906" s="8">
        <v>597</v>
      </c>
      <c r="Y1906" s="9">
        <v>425</v>
      </c>
      <c r="Z1906" s="10">
        <v>245</v>
      </c>
      <c r="AA1906" s="11">
        <f>SUM(X1906:Z1906)</f>
        <v>1267</v>
      </c>
      <c r="AB1906" s="12">
        <v>204</v>
      </c>
      <c r="AC1906" s="9">
        <v>670</v>
      </c>
      <c r="AD1906" s="10">
        <v>370</v>
      </c>
      <c r="AE1906" s="11">
        <f>SUM(AB1906:AD1906)</f>
        <v>1244</v>
      </c>
      <c r="AF1906" s="11">
        <f t="shared" ref="AF1906:AF1931" si="883">AA1906+AE1906</f>
        <v>2511</v>
      </c>
      <c r="AG1906" s="71">
        <v>43974</v>
      </c>
    </row>
    <row r="1907" spans="1:33" x14ac:dyDescent="0.15">
      <c r="A1907" s="27" t="s">
        <v>67</v>
      </c>
      <c r="B1907" s="13">
        <v>1</v>
      </c>
      <c r="C1907" s="14"/>
      <c r="D1907" s="15"/>
      <c r="E1907" s="11">
        <f t="shared" ref="E1907:E1931" si="884">SUM(B1907:D1907)</f>
        <v>1</v>
      </c>
      <c r="F1907" s="16">
        <v>1</v>
      </c>
      <c r="G1907" s="14"/>
      <c r="H1907" s="15"/>
      <c r="I1907" s="11">
        <f>SUM(F1907:H1907)</f>
        <v>1</v>
      </c>
      <c r="J1907" s="11">
        <f t="shared" ref="J1907:J1931" si="885">E1907+I1907</f>
        <v>2</v>
      </c>
      <c r="K1907" s="65">
        <v>43963</v>
      </c>
      <c r="L1907" s="29" t="s">
        <v>909</v>
      </c>
      <c r="M1907" s="8">
        <v>5</v>
      </c>
      <c r="N1907" s="9"/>
      <c r="O1907" s="10"/>
      <c r="P1907" s="11">
        <f>SUM(M1907:O1907)</f>
        <v>5</v>
      </c>
      <c r="Q1907" s="12">
        <v>5</v>
      </c>
      <c r="R1907" s="9"/>
      <c r="S1907" s="10"/>
      <c r="T1907" s="11">
        <f>SUM(Q1907:S1907)</f>
        <v>5</v>
      </c>
      <c r="U1907" s="11">
        <f t="shared" si="882"/>
        <v>10</v>
      </c>
      <c r="V1907" s="65">
        <v>43980</v>
      </c>
      <c r="W1907" s="86"/>
      <c r="X1907" s="8"/>
      <c r="Y1907" s="9"/>
      <c r="Z1907" s="10"/>
      <c r="AA1907" s="11">
        <f>SUM(X1907:Z1907)</f>
        <v>0</v>
      </c>
      <c r="AB1907" s="12"/>
      <c r="AC1907" s="9"/>
      <c r="AD1907" s="10"/>
      <c r="AE1907" s="11">
        <f>SUM(AB1907:AD1907)</f>
        <v>0</v>
      </c>
      <c r="AF1907" s="11">
        <f t="shared" si="883"/>
        <v>0</v>
      </c>
    </row>
    <row r="1908" spans="1:33" x14ac:dyDescent="0.15">
      <c r="A1908" s="27" t="s">
        <v>67</v>
      </c>
      <c r="B1908" s="8">
        <v>2</v>
      </c>
      <c r="C1908" s="9"/>
      <c r="D1908" s="10">
        <v>1</v>
      </c>
      <c r="E1908" s="11">
        <f t="shared" si="884"/>
        <v>3</v>
      </c>
      <c r="F1908" s="12"/>
      <c r="G1908" s="9"/>
      <c r="H1908" s="10"/>
      <c r="I1908" s="11">
        <f t="shared" ref="I1908:I1909" si="886">SUM(F1908:H1908)</f>
        <v>0</v>
      </c>
      <c r="J1908" s="11">
        <f t="shared" si="885"/>
        <v>3</v>
      </c>
      <c r="K1908" s="71">
        <v>43969</v>
      </c>
      <c r="L1908" s="29" t="s">
        <v>41</v>
      </c>
      <c r="M1908" s="8"/>
      <c r="N1908" s="9">
        <v>5</v>
      </c>
      <c r="O1908" s="10"/>
      <c r="P1908" s="11">
        <f t="shared" ref="P1908:P1931" si="887">SUM(M1908:O1908)</f>
        <v>5</v>
      </c>
      <c r="Q1908" s="12"/>
      <c r="R1908" s="9">
        <v>5</v>
      </c>
      <c r="S1908" s="10"/>
      <c r="T1908" s="11">
        <f t="shared" ref="T1908:T1931" si="888">SUM(Q1908:S1908)</f>
        <v>5</v>
      </c>
      <c r="U1908" s="11">
        <f t="shared" si="882"/>
        <v>10</v>
      </c>
      <c r="V1908" s="65">
        <v>43988</v>
      </c>
      <c r="W1908" s="86"/>
      <c r="X1908" s="8"/>
      <c r="Y1908" s="9"/>
      <c r="Z1908" s="10"/>
      <c r="AA1908" s="11">
        <f t="shared" ref="AA1908:AA1931" si="889">SUM(X1908:Z1908)</f>
        <v>0</v>
      </c>
      <c r="AB1908" s="12"/>
      <c r="AC1908" s="9"/>
      <c r="AD1908" s="10"/>
      <c r="AE1908" s="11">
        <f t="shared" ref="AE1908:AE1931" si="890">SUM(AB1908:AD1908)</f>
        <v>0</v>
      </c>
      <c r="AF1908" s="11">
        <f t="shared" si="883"/>
        <v>0</v>
      </c>
    </row>
    <row r="1909" spans="1:33" x14ac:dyDescent="0.15">
      <c r="A1909" s="27" t="s">
        <v>67</v>
      </c>
      <c r="B1909" s="8"/>
      <c r="C1909" s="9"/>
      <c r="D1909" s="10"/>
      <c r="E1909" s="11">
        <f t="shared" si="884"/>
        <v>0</v>
      </c>
      <c r="F1909" s="12">
        <v>2</v>
      </c>
      <c r="G1909" s="9"/>
      <c r="H1909" s="10"/>
      <c r="I1909" s="11">
        <f t="shared" si="886"/>
        <v>2</v>
      </c>
      <c r="J1909" s="11">
        <f t="shared" si="885"/>
        <v>2</v>
      </c>
      <c r="K1909" s="65">
        <v>43971</v>
      </c>
      <c r="L1909" s="86" t="s">
        <v>854</v>
      </c>
      <c r="M1909" s="8">
        <v>39</v>
      </c>
      <c r="N1909" s="9"/>
      <c r="O1909" s="10"/>
      <c r="P1909" s="11">
        <f t="shared" si="887"/>
        <v>39</v>
      </c>
      <c r="Q1909" s="12">
        <v>24</v>
      </c>
      <c r="R1909" s="9"/>
      <c r="S1909" s="10"/>
      <c r="T1909" s="11">
        <f t="shared" si="888"/>
        <v>24</v>
      </c>
      <c r="U1909" s="11">
        <f t="shared" si="882"/>
        <v>63</v>
      </c>
      <c r="V1909" s="65">
        <v>43994</v>
      </c>
      <c r="W1909" s="86"/>
      <c r="X1909" s="8"/>
      <c r="Y1909" s="9"/>
      <c r="Z1909" s="10"/>
      <c r="AA1909" s="11">
        <f t="shared" si="889"/>
        <v>0</v>
      </c>
      <c r="AB1909" s="12"/>
      <c r="AC1909" s="9"/>
      <c r="AD1909" s="10"/>
      <c r="AE1909" s="11">
        <f t="shared" si="890"/>
        <v>0</v>
      </c>
      <c r="AF1909" s="11">
        <f t="shared" si="883"/>
        <v>0</v>
      </c>
    </row>
    <row r="1910" spans="1:33" x14ac:dyDescent="0.15">
      <c r="A1910" s="27" t="s">
        <v>67</v>
      </c>
      <c r="B1910" s="8">
        <v>2</v>
      </c>
      <c r="C1910" s="9">
        <v>1</v>
      </c>
      <c r="D1910" s="10">
        <v>1</v>
      </c>
      <c r="E1910" s="11">
        <f t="shared" si="884"/>
        <v>4</v>
      </c>
      <c r="F1910" s="12">
        <v>3</v>
      </c>
      <c r="G1910" s="9"/>
      <c r="H1910" s="10"/>
      <c r="I1910" s="11">
        <f>SUM(F1910:H1910)</f>
        <v>3</v>
      </c>
      <c r="J1910" s="11">
        <f t="shared" si="885"/>
        <v>7</v>
      </c>
      <c r="K1910" s="65">
        <v>43976</v>
      </c>
      <c r="L1910" s="29" t="s">
        <v>41</v>
      </c>
      <c r="M1910" s="8"/>
      <c r="N1910" s="9"/>
      <c r="O1910" s="10"/>
      <c r="P1910" s="11">
        <f t="shared" si="887"/>
        <v>0</v>
      </c>
      <c r="Q1910" s="12">
        <v>5</v>
      </c>
      <c r="R1910" s="9"/>
      <c r="S1910" s="10"/>
      <c r="T1910" s="11">
        <f t="shared" si="888"/>
        <v>5</v>
      </c>
      <c r="U1910" s="11">
        <f t="shared" si="882"/>
        <v>5</v>
      </c>
      <c r="V1910" s="65">
        <v>44005</v>
      </c>
      <c r="W1910" s="86"/>
      <c r="X1910" s="8"/>
      <c r="Y1910" s="9"/>
      <c r="Z1910" s="10"/>
      <c r="AA1910" s="11">
        <f t="shared" si="889"/>
        <v>0</v>
      </c>
      <c r="AB1910" s="12"/>
      <c r="AC1910" s="9"/>
      <c r="AD1910" s="10"/>
      <c r="AE1910" s="11">
        <f t="shared" si="890"/>
        <v>0</v>
      </c>
      <c r="AF1910" s="11">
        <f t="shared" si="883"/>
        <v>0</v>
      </c>
    </row>
    <row r="1911" spans="1:33" x14ac:dyDescent="0.15">
      <c r="A1911" s="27" t="s">
        <v>67</v>
      </c>
      <c r="B1911" s="8">
        <v>1</v>
      </c>
      <c r="C1911" s="9"/>
      <c r="D1911" s="10"/>
      <c r="E1911" s="11">
        <f t="shared" si="884"/>
        <v>1</v>
      </c>
      <c r="F1911" s="12">
        <v>1</v>
      </c>
      <c r="G1911" s="9"/>
      <c r="H1911" s="10"/>
      <c r="I1911" s="11">
        <f>SUM(F1911:H1911)</f>
        <v>1</v>
      </c>
      <c r="J1911" s="11">
        <f t="shared" si="885"/>
        <v>2</v>
      </c>
      <c r="K1911" s="65">
        <v>43977</v>
      </c>
      <c r="L1911" s="86" t="s">
        <v>855</v>
      </c>
      <c r="M1911" s="8"/>
      <c r="N1911" s="9"/>
      <c r="O1911" s="10"/>
      <c r="P1911" s="11">
        <f t="shared" si="887"/>
        <v>0</v>
      </c>
      <c r="Q1911" s="12">
        <v>43</v>
      </c>
      <c r="R1911" s="9"/>
      <c r="S1911" s="10"/>
      <c r="T1911" s="11">
        <f t="shared" si="888"/>
        <v>43</v>
      </c>
      <c r="U1911" s="11">
        <f t="shared" si="882"/>
        <v>43</v>
      </c>
      <c r="V1911" s="65">
        <v>44007</v>
      </c>
      <c r="W1911" s="29"/>
      <c r="X1911" s="8"/>
      <c r="Y1911" s="9"/>
      <c r="Z1911" s="10"/>
      <c r="AA1911" s="11">
        <f t="shared" si="889"/>
        <v>0</v>
      </c>
      <c r="AB1911" s="12"/>
      <c r="AC1911" s="9"/>
      <c r="AD1911" s="10"/>
      <c r="AE1911" s="11">
        <f t="shared" si="890"/>
        <v>0</v>
      </c>
      <c r="AF1911" s="11">
        <f t="shared" si="883"/>
        <v>0</v>
      </c>
    </row>
    <row r="1912" spans="1:33" x14ac:dyDescent="0.15">
      <c r="A1912" s="27" t="s">
        <v>67</v>
      </c>
      <c r="B1912" s="8">
        <v>1</v>
      </c>
      <c r="C1912" s="9"/>
      <c r="D1912" s="10"/>
      <c r="E1912" s="11">
        <f t="shared" si="884"/>
        <v>1</v>
      </c>
      <c r="F1912" s="140"/>
      <c r="G1912" s="140"/>
      <c r="H1912" s="10"/>
      <c r="I1912" s="11">
        <f t="shared" ref="I1912:I1931" si="891">SUM(F1912:H1912)</f>
        <v>0</v>
      </c>
      <c r="J1912" s="11">
        <f t="shared" si="885"/>
        <v>1</v>
      </c>
      <c r="K1912" s="65">
        <v>43979</v>
      </c>
      <c r="L1912" s="29" t="s">
        <v>41</v>
      </c>
      <c r="M1912" s="8"/>
      <c r="N1912" s="9"/>
      <c r="O1912" s="10">
        <v>5</v>
      </c>
      <c r="P1912" s="11">
        <f t="shared" si="887"/>
        <v>5</v>
      </c>
      <c r="Q1912" s="12"/>
      <c r="R1912" s="9"/>
      <c r="S1912" s="10"/>
      <c r="T1912" s="11">
        <f t="shared" si="888"/>
        <v>0</v>
      </c>
      <c r="U1912" s="11">
        <f t="shared" si="882"/>
        <v>5</v>
      </c>
      <c r="V1912" s="65">
        <v>44011</v>
      </c>
      <c r="W1912" s="86"/>
      <c r="X1912" s="8"/>
      <c r="Y1912" s="9"/>
      <c r="Z1912" s="10"/>
      <c r="AA1912" s="11">
        <f t="shared" si="889"/>
        <v>0</v>
      </c>
      <c r="AB1912" s="12"/>
      <c r="AC1912" s="9"/>
      <c r="AD1912" s="10"/>
      <c r="AE1912" s="11">
        <f t="shared" si="890"/>
        <v>0</v>
      </c>
      <c r="AF1912" s="11">
        <f t="shared" si="883"/>
        <v>0</v>
      </c>
    </row>
    <row r="1913" spans="1:33" x14ac:dyDescent="0.15">
      <c r="A1913" s="27" t="s">
        <v>67</v>
      </c>
      <c r="B1913" s="8"/>
      <c r="C1913" s="9"/>
      <c r="D1913" s="10"/>
      <c r="E1913" s="11">
        <f t="shared" si="884"/>
        <v>0</v>
      </c>
      <c r="F1913" s="12"/>
      <c r="G1913" s="9">
        <v>1</v>
      </c>
      <c r="H1913" s="10"/>
      <c r="I1913" s="11">
        <f t="shared" si="891"/>
        <v>1</v>
      </c>
      <c r="J1913" s="11">
        <f t="shared" si="885"/>
        <v>1</v>
      </c>
      <c r="K1913" s="65">
        <v>43980</v>
      </c>
      <c r="L1913" s="86" t="s">
        <v>857</v>
      </c>
      <c r="M1913" s="8">
        <v>50</v>
      </c>
      <c r="N1913" s="9"/>
      <c r="O1913" s="10"/>
      <c r="P1913" s="11">
        <f t="shared" si="887"/>
        <v>50</v>
      </c>
      <c r="Q1913" s="12"/>
      <c r="R1913" s="9"/>
      <c r="S1913" s="10"/>
      <c r="T1913" s="11">
        <f t="shared" si="888"/>
        <v>0</v>
      </c>
      <c r="U1913" s="11">
        <f t="shared" si="882"/>
        <v>50</v>
      </c>
      <c r="V1913" s="65">
        <v>44015</v>
      </c>
      <c r="W1913" s="29"/>
      <c r="X1913" s="8"/>
      <c r="Y1913" s="9"/>
      <c r="Z1913" s="10"/>
      <c r="AA1913" s="11">
        <f t="shared" si="889"/>
        <v>0</v>
      </c>
      <c r="AB1913" s="12"/>
      <c r="AC1913" s="9"/>
      <c r="AD1913" s="10"/>
      <c r="AE1913" s="11">
        <f t="shared" si="890"/>
        <v>0</v>
      </c>
      <c r="AF1913" s="11">
        <f t="shared" si="883"/>
        <v>0</v>
      </c>
    </row>
    <row r="1914" spans="1:33" x14ac:dyDescent="0.15">
      <c r="A1914" s="27" t="s">
        <v>910</v>
      </c>
      <c r="B1914" s="13"/>
      <c r="C1914" s="14">
        <v>1</v>
      </c>
      <c r="D1914" s="15"/>
      <c r="E1914" s="11">
        <f t="shared" si="884"/>
        <v>1</v>
      </c>
      <c r="F1914" s="16"/>
      <c r="G1914" s="14"/>
      <c r="H1914" s="15"/>
      <c r="I1914" s="11">
        <f t="shared" si="891"/>
        <v>0</v>
      </c>
      <c r="J1914" s="11">
        <f t="shared" si="885"/>
        <v>1</v>
      </c>
      <c r="K1914" s="65">
        <v>43983</v>
      </c>
      <c r="L1914" s="29" t="s">
        <v>916</v>
      </c>
      <c r="M1914" s="8"/>
      <c r="N1914" s="9"/>
      <c r="O1914" s="10">
        <v>80</v>
      </c>
      <c r="P1914" s="11">
        <f t="shared" si="887"/>
        <v>80</v>
      </c>
      <c r="Q1914" s="12"/>
      <c r="R1914" s="9"/>
      <c r="S1914" s="10"/>
      <c r="T1914" s="11">
        <f t="shared" si="888"/>
        <v>0</v>
      </c>
      <c r="U1914" s="11">
        <f t="shared" si="882"/>
        <v>80</v>
      </c>
      <c r="V1914" s="65">
        <v>44018</v>
      </c>
      <c r="W1914" s="29"/>
      <c r="X1914" s="8"/>
      <c r="Y1914" s="9"/>
      <c r="Z1914" s="10"/>
      <c r="AA1914" s="11">
        <f t="shared" si="889"/>
        <v>0</v>
      </c>
      <c r="AB1914" s="12"/>
      <c r="AC1914" s="9"/>
      <c r="AD1914" s="10"/>
      <c r="AE1914" s="11">
        <f t="shared" si="890"/>
        <v>0</v>
      </c>
      <c r="AF1914" s="11">
        <f t="shared" si="883"/>
        <v>0</v>
      </c>
    </row>
    <row r="1915" spans="1:33" x14ac:dyDescent="0.15">
      <c r="A1915" s="27" t="s">
        <v>67</v>
      </c>
      <c r="B1915" s="13">
        <v>1</v>
      </c>
      <c r="C1915" s="14">
        <v>1</v>
      </c>
      <c r="D1915" s="15"/>
      <c r="E1915" s="11">
        <f t="shared" si="884"/>
        <v>2</v>
      </c>
      <c r="F1915" s="16"/>
      <c r="G1915" s="14">
        <v>1</v>
      </c>
      <c r="H1915" s="15"/>
      <c r="I1915" s="11">
        <f t="shared" si="891"/>
        <v>1</v>
      </c>
      <c r="J1915" s="11">
        <f t="shared" si="885"/>
        <v>3</v>
      </c>
      <c r="K1915" s="65">
        <v>43984</v>
      </c>
      <c r="L1915" s="86" t="s">
        <v>861</v>
      </c>
      <c r="M1915" s="13">
        <v>41</v>
      </c>
      <c r="N1915" s="14"/>
      <c r="O1915" s="15"/>
      <c r="P1915" s="11">
        <f t="shared" si="887"/>
        <v>41</v>
      </c>
      <c r="Q1915" s="16"/>
      <c r="R1915" s="14"/>
      <c r="S1915" s="15"/>
      <c r="T1915" s="11">
        <f t="shared" si="888"/>
        <v>0</v>
      </c>
      <c r="U1915" s="11">
        <f t="shared" si="882"/>
        <v>41</v>
      </c>
      <c r="V1915" s="65">
        <v>44022</v>
      </c>
      <c r="W1915" s="29"/>
      <c r="X1915" s="13"/>
      <c r="Y1915" s="14"/>
      <c r="Z1915" s="15"/>
      <c r="AA1915" s="11">
        <f t="shared" si="889"/>
        <v>0</v>
      </c>
      <c r="AB1915" s="16"/>
      <c r="AC1915" s="14"/>
      <c r="AD1915" s="15"/>
      <c r="AE1915" s="11">
        <f t="shared" si="890"/>
        <v>0</v>
      </c>
      <c r="AF1915" s="11">
        <f t="shared" si="883"/>
        <v>0</v>
      </c>
    </row>
    <row r="1916" spans="1:33" x14ac:dyDescent="0.15">
      <c r="A1916" s="27" t="s">
        <v>67</v>
      </c>
      <c r="B1916" s="8"/>
      <c r="C1916" s="9">
        <v>1</v>
      </c>
      <c r="D1916" s="10">
        <v>1</v>
      </c>
      <c r="E1916" s="11">
        <f t="shared" si="884"/>
        <v>2</v>
      </c>
      <c r="F1916" s="12"/>
      <c r="G1916" s="9"/>
      <c r="H1916" s="10">
        <v>1</v>
      </c>
      <c r="I1916" s="11">
        <f t="shared" si="891"/>
        <v>1</v>
      </c>
      <c r="J1916" s="11">
        <f t="shared" si="885"/>
        <v>3</v>
      </c>
      <c r="K1916" s="65">
        <v>43988</v>
      </c>
      <c r="L1916" s="86" t="s">
        <v>41</v>
      </c>
      <c r="M1916" s="8"/>
      <c r="N1916" s="9">
        <v>3</v>
      </c>
      <c r="O1916" s="10"/>
      <c r="P1916" s="11">
        <f>SUM(M1916:O1916)</f>
        <v>3</v>
      </c>
      <c r="Q1916" s="12"/>
      <c r="R1916" s="9">
        <v>5</v>
      </c>
      <c r="S1916" s="10"/>
      <c r="T1916" s="11">
        <f>SUM(Q1916:S1916)</f>
        <v>5</v>
      </c>
      <c r="U1916" s="11">
        <f t="shared" si="882"/>
        <v>8</v>
      </c>
      <c r="V1916" s="65">
        <v>44022</v>
      </c>
      <c r="W1916" s="29"/>
      <c r="X1916" s="8"/>
      <c r="Y1916" s="9"/>
      <c r="Z1916" s="10"/>
      <c r="AA1916" s="11">
        <f t="shared" si="889"/>
        <v>0</v>
      </c>
      <c r="AB1916" s="12"/>
      <c r="AC1916" s="9"/>
      <c r="AD1916" s="10"/>
      <c r="AE1916" s="11">
        <f t="shared" si="890"/>
        <v>0</v>
      </c>
      <c r="AF1916" s="11">
        <f t="shared" si="883"/>
        <v>0</v>
      </c>
    </row>
    <row r="1917" spans="1:33" x14ac:dyDescent="0.15">
      <c r="A1917" s="27" t="s">
        <v>67</v>
      </c>
      <c r="B1917" s="8"/>
      <c r="C1917" s="9">
        <v>2</v>
      </c>
      <c r="D1917" s="10"/>
      <c r="E1917" s="11">
        <f t="shared" si="884"/>
        <v>2</v>
      </c>
      <c r="F1917" s="12"/>
      <c r="G1917" s="9"/>
      <c r="H1917" s="10"/>
      <c r="I1917" s="11">
        <f t="shared" si="891"/>
        <v>0</v>
      </c>
      <c r="J1917" s="11">
        <f t="shared" si="885"/>
        <v>2</v>
      </c>
      <c r="K1917" s="65">
        <v>43990</v>
      </c>
      <c r="L1917" s="86" t="s">
        <v>865</v>
      </c>
      <c r="M1917" s="8">
        <v>64</v>
      </c>
      <c r="N1917" s="9"/>
      <c r="O1917" s="10">
        <v>48</v>
      </c>
      <c r="P1917" s="11">
        <f>SUM(M1917:O1917)</f>
        <v>112</v>
      </c>
      <c r="Q1917" s="12">
        <v>77</v>
      </c>
      <c r="R1917" s="9">
        <v>69</v>
      </c>
      <c r="S1917" s="10"/>
      <c r="T1917" s="11">
        <f>SUM(Q1917:S1917)</f>
        <v>146</v>
      </c>
      <c r="U1917" s="11">
        <f t="shared" si="882"/>
        <v>258</v>
      </c>
      <c r="V1917" s="65">
        <v>44029</v>
      </c>
      <c r="W1917" s="29"/>
      <c r="X1917" s="8"/>
      <c r="Y1917" s="9"/>
      <c r="Z1917" s="10"/>
      <c r="AA1917" s="11">
        <f t="shared" si="889"/>
        <v>0</v>
      </c>
      <c r="AB1917" s="12"/>
      <c r="AC1917" s="9"/>
      <c r="AD1917" s="10"/>
      <c r="AE1917" s="11">
        <f t="shared" si="890"/>
        <v>0</v>
      </c>
      <c r="AF1917" s="11">
        <f t="shared" si="883"/>
        <v>0</v>
      </c>
    </row>
    <row r="1918" spans="1:33" x14ac:dyDescent="0.15">
      <c r="A1918" s="27" t="s">
        <v>67</v>
      </c>
      <c r="B1918" s="8"/>
      <c r="C1918" s="9"/>
      <c r="D1918" s="10"/>
      <c r="E1918" s="11">
        <f t="shared" si="884"/>
        <v>0</v>
      </c>
      <c r="F1918" s="12">
        <v>2</v>
      </c>
      <c r="G1918" s="9"/>
      <c r="H1918" s="10"/>
      <c r="I1918" s="11">
        <f t="shared" si="891"/>
        <v>2</v>
      </c>
      <c r="J1918" s="11">
        <f t="shared" si="885"/>
        <v>2</v>
      </c>
      <c r="K1918" s="65">
        <v>43991</v>
      </c>
      <c r="L1918" s="27"/>
      <c r="M1918" s="8"/>
      <c r="N1918" s="9"/>
      <c r="O1918" s="10"/>
      <c r="P1918" s="11">
        <f t="shared" si="887"/>
        <v>0</v>
      </c>
      <c r="Q1918" s="12"/>
      <c r="R1918" s="9"/>
      <c r="S1918" s="10"/>
      <c r="T1918" s="11">
        <f t="shared" si="888"/>
        <v>0</v>
      </c>
      <c r="U1918" s="11">
        <f t="shared" si="882"/>
        <v>0</v>
      </c>
      <c r="W1918" s="27"/>
      <c r="X1918" s="8"/>
      <c r="Y1918" s="9"/>
      <c r="Z1918" s="10"/>
      <c r="AA1918" s="11">
        <f t="shared" si="889"/>
        <v>0</v>
      </c>
      <c r="AB1918" s="12"/>
      <c r="AC1918" s="9"/>
      <c r="AD1918" s="10"/>
      <c r="AE1918" s="11">
        <f t="shared" si="890"/>
        <v>0</v>
      </c>
      <c r="AF1918" s="11">
        <f t="shared" si="883"/>
        <v>0</v>
      </c>
    </row>
    <row r="1919" spans="1:33" x14ac:dyDescent="0.15">
      <c r="A1919" s="27" t="s">
        <v>67</v>
      </c>
      <c r="B1919" s="8"/>
      <c r="C1919" s="9"/>
      <c r="D1919" s="10">
        <v>1</v>
      </c>
      <c r="E1919" s="11">
        <f t="shared" si="884"/>
        <v>1</v>
      </c>
      <c r="F1919" s="12"/>
      <c r="G1919" s="9"/>
      <c r="H1919" s="10"/>
      <c r="I1919" s="11">
        <f t="shared" si="891"/>
        <v>0</v>
      </c>
      <c r="J1919" s="11">
        <f t="shared" si="885"/>
        <v>1</v>
      </c>
      <c r="K1919" s="65">
        <v>43992</v>
      </c>
      <c r="L1919" s="29"/>
      <c r="M1919" s="8"/>
      <c r="N1919" s="9"/>
      <c r="O1919" s="10"/>
      <c r="P1919" s="11">
        <f t="shared" si="887"/>
        <v>0</v>
      </c>
      <c r="Q1919" s="12"/>
      <c r="R1919" s="9"/>
      <c r="S1919" s="10"/>
      <c r="T1919" s="11">
        <f t="shared" si="888"/>
        <v>0</v>
      </c>
      <c r="U1919" s="11">
        <f t="shared" si="882"/>
        <v>0</v>
      </c>
      <c r="W1919" s="29"/>
      <c r="X1919" s="8"/>
      <c r="Y1919" s="9"/>
      <c r="Z1919" s="10"/>
      <c r="AA1919" s="11">
        <f t="shared" si="889"/>
        <v>0</v>
      </c>
      <c r="AB1919" s="12"/>
      <c r="AC1919" s="9"/>
      <c r="AD1919" s="10"/>
      <c r="AE1919" s="11">
        <f t="shared" si="890"/>
        <v>0</v>
      </c>
      <c r="AF1919" s="11">
        <f t="shared" si="883"/>
        <v>0</v>
      </c>
    </row>
    <row r="1920" spans="1:33" x14ac:dyDescent="0.15">
      <c r="A1920" s="27" t="s">
        <v>67</v>
      </c>
      <c r="B1920" s="8"/>
      <c r="C1920" s="9"/>
      <c r="D1920" s="10">
        <v>1</v>
      </c>
      <c r="E1920" s="11">
        <f t="shared" si="884"/>
        <v>1</v>
      </c>
      <c r="F1920" s="12">
        <v>1</v>
      </c>
      <c r="G1920" s="9"/>
      <c r="H1920" s="10">
        <v>1</v>
      </c>
      <c r="I1920" s="11">
        <f t="shared" si="891"/>
        <v>2</v>
      </c>
      <c r="J1920" s="11">
        <f t="shared" si="885"/>
        <v>3</v>
      </c>
      <c r="K1920" s="65">
        <v>43993</v>
      </c>
      <c r="L1920" s="29"/>
      <c r="M1920" s="8"/>
      <c r="N1920" s="9"/>
      <c r="O1920" s="10"/>
      <c r="P1920" s="11">
        <f t="shared" si="887"/>
        <v>0</v>
      </c>
      <c r="Q1920" s="12"/>
      <c r="R1920" s="9"/>
      <c r="S1920" s="10"/>
      <c r="T1920" s="11">
        <f t="shared" si="888"/>
        <v>0</v>
      </c>
      <c r="U1920" s="11">
        <f t="shared" si="882"/>
        <v>0</v>
      </c>
      <c r="W1920" s="29"/>
      <c r="X1920" s="8"/>
      <c r="Y1920" s="9"/>
      <c r="Z1920" s="10"/>
      <c r="AA1920" s="11">
        <f t="shared" si="889"/>
        <v>0</v>
      </c>
      <c r="AB1920" s="12"/>
      <c r="AC1920" s="9"/>
      <c r="AD1920" s="10"/>
      <c r="AE1920" s="11">
        <f t="shared" si="890"/>
        <v>0</v>
      </c>
      <c r="AF1920" s="11">
        <f t="shared" si="883"/>
        <v>0</v>
      </c>
    </row>
    <row r="1921" spans="1:33" x14ac:dyDescent="0.15">
      <c r="A1921" s="27" t="s">
        <v>67</v>
      </c>
      <c r="B1921" s="8">
        <v>1</v>
      </c>
      <c r="C1921" s="9">
        <v>3</v>
      </c>
      <c r="D1921" s="10"/>
      <c r="E1921" s="11">
        <f t="shared" si="884"/>
        <v>4</v>
      </c>
      <c r="F1921" s="12">
        <v>1</v>
      </c>
      <c r="G1921" s="9"/>
      <c r="H1921" s="10"/>
      <c r="I1921" s="11">
        <f t="shared" si="891"/>
        <v>1</v>
      </c>
      <c r="J1921" s="11">
        <f t="shared" si="885"/>
        <v>5</v>
      </c>
      <c r="K1921" s="65">
        <v>43997</v>
      </c>
      <c r="L1921" s="27"/>
      <c r="M1921" s="8"/>
      <c r="N1921" s="9"/>
      <c r="O1921" s="10"/>
      <c r="P1921" s="11">
        <f t="shared" si="887"/>
        <v>0</v>
      </c>
      <c r="Q1921" s="12"/>
      <c r="R1921" s="9"/>
      <c r="S1921" s="10"/>
      <c r="T1921" s="11">
        <f t="shared" si="888"/>
        <v>0</v>
      </c>
      <c r="U1921" s="11">
        <f t="shared" si="882"/>
        <v>0</v>
      </c>
      <c r="W1921" s="27"/>
      <c r="X1921" s="8"/>
      <c r="Y1921" s="9"/>
      <c r="Z1921" s="10"/>
      <c r="AA1921" s="11">
        <f t="shared" si="889"/>
        <v>0</v>
      </c>
      <c r="AB1921" s="12"/>
      <c r="AC1921" s="9"/>
      <c r="AD1921" s="10"/>
      <c r="AE1921" s="11">
        <f t="shared" si="890"/>
        <v>0</v>
      </c>
      <c r="AF1921" s="11">
        <f t="shared" si="883"/>
        <v>0</v>
      </c>
    </row>
    <row r="1922" spans="1:33" x14ac:dyDescent="0.15">
      <c r="A1922" s="27" t="s">
        <v>67</v>
      </c>
      <c r="B1922" s="8">
        <v>1</v>
      </c>
      <c r="C1922" s="9"/>
      <c r="D1922" s="10"/>
      <c r="E1922" s="11">
        <f t="shared" si="884"/>
        <v>1</v>
      </c>
      <c r="F1922" s="12"/>
      <c r="G1922" s="9"/>
      <c r="H1922" s="10"/>
      <c r="I1922" s="11">
        <f t="shared" si="891"/>
        <v>0</v>
      </c>
      <c r="J1922" s="11">
        <f t="shared" si="885"/>
        <v>1</v>
      </c>
      <c r="K1922" s="65">
        <v>43998</v>
      </c>
      <c r="L1922" s="29"/>
      <c r="M1922" s="8"/>
      <c r="N1922" s="9"/>
      <c r="O1922" s="10"/>
      <c r="P1922" s="11">
        <f t="shared" si="887"/>
        <v>0</v>
      </c>
      <c r="Q1922" s="12"/>
      <c r="R1922" s="9"/>
      <c r="S1922" s="10"/>
      <c r="T1922" s="11">
        <f t="shared" si="888"/>
        <v>0</v>
      </c>
      <c r="U1922" s="11">
        <f t="shared" si="882"/>
        <v>0</v>
      </c>
      <c r="W1922" s="29"/>
      <c r="X1922" s="8"/>
      <c r="Y1922" s="9"/>
      <c r="Z1922" s="10"/>
      <c r="AA1922" s="11">
        <f t="shared" si="889"/>
        <v>0</v>
      </c>
      <c r="AB1922" s="12"/>
      <c r="AC1922" s="9"/>
      <c r="AD1922" s="10"/>
      <c r="AE1922" s="11">
        <f t="shared" si="890"/>
        <v>0</v>
      </c>
      <c r="AF1922" s="11">
        <f t="shared" si="883"/>
        <v>0</v>
      </c>
    </row>
    <row r="1923" spans="1:33" x14ac:dyDescent="0.15">
      <c r="A1923" s="29" t="s">
        <v>913</v>
      </c>
      <c r="B1923" s="8">
        <v>2</v>
      </c>
      <c r="C1923" s="9"/>
      <c r="D1923" s="10">
        <v>2</v>
      </c>
      <c r="E1923" s="11">
        <f t="shared" si="884"/>
        <v>4</v>
      </c>
      <c r="F1923" s="12">
        <v>2</v>
      </c>
      <c r="G1923" s="9">
        <v>2</v>
      </c>
      <c r="H1923" s="10">
        <v>2</v>
      </c>
      <c r="I1923" s="11">
        <f t="shared" si="891"/>
        <v>6</v>
      </c>
      <c r="J1923" s="11">
        <f t="shared" si="885"/>
        <v>10</v>
      </c>
      <c r="K1923" s="65">
        <v>44002</v>
      </c>
      <c r="L1923" s="27"/>
      <c r="M1923" s="8"/>
      <c r="N1923" s="9"/>
      <c r="O1923" s="10"/>
      <c r="P1923" s="11">
        <f t="shared" si="887"/>
        <v>0</v>
      </c>
      <c r="Q1923" s="12"/>
      <c r="R1923" s="9"/>
      <c r="S1923" s="10"/>
      <c r="T1923" s="11">
        <f t="shared" si="888"/>
        <v>0</v>
      </c>
      <c r="U1923" s="11">
        <f t="shared" si="882"/>
        <v>0</v>
      </c>
      <c r="W1923" s="27"/>
      <c r="X1923" s="8"/>
      <c r="Y1923" s="9"/>
      <c r="Z1923" s="10"/>
      <c r="AA1923" s="11">
        <f t="shared" si="889"/>
        <v>0</v>
      </c>
      <c r="AB1923" s="12"/>
      <c r="AC1923" s="9"/>
      <c r="AD1923" s="10"/>
      <c r="AE1923" s="11">
        <f t="shared" si="890"/>
        <v>0</v>
      </c>
      <c r="AF1923" s="11">
        <f t="shared" si="883"/>
        <v>0</v>
      </c>
    </row>
    <row r="1924" spans="1:33" x14ac:dyDescent="0.15">
      <c r="A1924" s="27" t="s">
        <v>67</v>
      </c>
      <c r="B1924" s="8"/>
      <c r="C1924" s="9">
        <v>2</v>
      </c>
      <c r="D1924" s="10"/>
      <c r="E1924" s="11">
        <f t="shared" si="884"/>
        <v>2</v>
      </c>
      <c r="F1924" s="12"/>
      <c r="G1924" s="9">
        <v>1</v>
      </c>
      <c r="H1924" s="10"/>
      <c r="I1924" s="11">
        <f t="shared" si="891"/>
        <v>1</v>
      </c>
      <c r="J1924" s="11">
        <f t="shared" si="885"/>
        <v>3</v>
      </c>
      <c r="K1924" s="65">
        <v>44004</v>
      </c>
      <c r="L1924" s="26"/>
      <c r="M1924" s="8"/>
      <c r="N1924" s="9"/>
      <c r="O1924" s="10"/>
      <c r="P1924" s="11">
        <f t="shared" si="887"/>
        <v>0</v>
      </c>
      <c r="Q1924" s="12"/>
      <c r="R1924" s="9"/>
      <c r="S1924" s="10"/>
      <c r="T1924" s="11">
        <f t="shared" si="888"/>
        <v>0</v>
      </c>
      <c r="U1924" s="11">
        <f t="shared" si="882"/>
        <v>0</v>
      </c>
      <c r="W1924" s="26"/>
      <c r="X1924" s="8"/>
      <c r="Y1924" s="9"/>
      <c r="Z1924" s="10"/>
      <c r="AA1924" s="11">
        <f t="shared" si="889"/>
        <v>0</v>
      </c>
      <c r="AB1924" s="12"/>
      <c r="AC1924" s="9"/>
      <c r="AD1924" s="10"/>
      <c r="AE1924" s="11">
        <f t="shared" si="890"/>
        <v>0</v>
      </c>
      <c r="AF1924" s="11">
        <f t="shared" si="883"/>
        <v>0</v>
      </c>
    </row>
    <row r="1925" spans="1:33" x14ac:dyDescent="0.15">
      <c r="A1925" s="27" t="s">
        <v>67</v>
      </c>
      <c r="B1925" s="8"/>
      <c r="C1925" s="9"/>
      <c r="D1925" s="10">
        <v>3</v>
      </c>
      <c r="E1925" s="11">
        <f t="shared" si="884"/>
        <v>3</v>
      </c>
      <c r="F1925" s="12"/>
      <c r="G1925" s="9"/>
      <c r="H1925" s="10"/>
      <c r="I1925" s="11">
        <f t="shared" si="891"/>
        <v>0</v>
      </c>
      <c r="J1925" s="11">
        <f t="shared" si="885"/>
        <v>3</v>
      </c>
      <c r="K1925" s="65">
        <v>44005</v>
      </c>
      <c r="L1925" s="26"/>
      <c r="M1925" s="8"/>
      <c r="N1925" s="9"/>
      <c r="O1925" s="10"/>
      <c r="P1925" s="11">
        <f t="shared" si="887"/>
        <v>0</v>
      </c>
      <c r="Q1925" s="12"/>
      <c r="R1925" s="9"/>
      <c r="S1925" s="10"/>
      <c r="T1925" s="11">
        <f t="shared" si="888"/>
        <v>0</v>
      </c>
      <c r="U1925" s="11">
        <f t="shared" si="882"/>
        <v>0</v>
      </c>
      <c r="W1925" s="26"/>
      <c r="X1925" s="8"/>
      <c r="Y1925" s="9"/>
      <c r="Z1925" s="10"/>
      <c r="AA1925" s="11">
        <f t="shared" si="889"/>
        <v>0</v>
      </c>
      <c r="AB1925" s="12"/>
      <c r="AC1925" s="9"/>
      <c r="AD1925" s="10"/>
      <c r="AE1925" s="11">
        <f t="shared" si="890"/>
        <v>0</v>
      </c>
      <c r="AF1925" s="11">
        <f t="shared" si="883"/>
        <v>0</v>
      </c>
    </row>
    <row r="1926" spans="1:33" x14ac:dyDescent="0.15">
      <c r="A1926" s="27" t="s">
        <v>67</v>
      </c>
      <c r="B1926" s="8">
        <v>1</v>
      </c>
      <c r="C1926" s="9"/>
      <c r="D1926" s="10"/>
      <c r="E1926" s="11">
        <f t="shared" si="884"/>
        <v>1</v>
      </c>
      <c r="F1926" s="12"/>
      <c r="G1926" s="9"/>
      <c r="H1926" s="10"/>
      <c r="I1926" s="11">
        <f t="shared" si="891"/>
        <v>0</v>
      </c>
      <c r="J1926" s="11">
        <f t="shared" si="885"/>
        <v>1</v>
      </c>
      <c r="K1926" s="65">
        <v>44006</v>
      </c>
      <c r="L1926" s="27"/>
      <c r="M1926" s="8"/>
      <c r="N1926" s="9"/>
      <c r="O1926" s="10"/>
      <c r="P1926" s="11">
        <f t="shared" si="887"/>
        <v>0</v>
      </c>
      <c r="Q1926" s="12"/>
      <c r="R1926" s="9"/>
      <c r="S1926" s="10"/>
      <c r="T1926" s="11">
        <f t="shared" si="888"/>
        <v>0</v>
      </c>
      <c r="U1926" s="11">
        <f t="shared" si="882"/>
        <v>0</v>
      </c>
      <c r="W1926" s="27"/>
      <c r="X1926" s="8"/>
      <c r="Y1926" s="9"/>
      <c r="Z1926" s="10"/>
      <c r="AA1926" s="11">
        <f t="shared" si="889"/>
        <v>0</v>
      </c>
      <c r="AB1926" s="12"/>
      <c r="AC1926" s="9"/>
      <c r="AD1926" s="10"/>
      <c r="AE1926" s="11">
        <f t="shared" si="890"/>
        <v>0</v>
      </c>
      <c r="AF1926" s="11">
        <f t="shared" si="883"/>
        <v>0</v>
      </c>
    </row>
    <row r="1927" spans="1:33" x14ac:dyDescent="0.15">
      <c r="A1927" s="27" t="s">
        <v>67</v>
      </c>
      <c r="B1927" s="13"/>
      <c r="C1927" s="14"/>
      <c r="D1927" s="15">
        <v>2</v>
      </c>
      <c r="E1927" s="11">
        <f t="shared" si="884"/>
        <v>2</v>
      </c>
      <c r="F1927" s="16"/>
      <c r="G1927" s="14">
        <v>1</v>
      </c>
      <c r="H1927" s="15"/>
      <c r="I1927" s="11">
        <f t="shared" si="891"/>
        <v>1</v>
      </c>
      <c r="J1927" s="11">
        <f t="shared" si="885"/>
        <v>3</v>
      </c>
      <c r="K1927" s="65">
        <v>44008</v>
      </c>
      <c r="L1927" s="27"/>
      <c r="M1927" s="13"/>
      <c r="N1927" s="14"/>
      <c r="O1927" s="15"/>
      <c r="P1927" s="11">
        <f t="shared" si="887"/>
        <v>0</v>
      </c>
      <c r="Q1927" s="16"/>
      <c r="R1927" s="14"/>
      <c r="S1927" s="15"/>
      <c r="T1927" s="11">
        <f t="shared" si="888"/>
        <v>0</v>
      </c>
      <c r="U1927" s="11">
        <f t="shared" si="882"/>
        <v>0</v>
      </c>
      <c r="V1927" s="64"/>
      <c r="W1927" s="27"/>
      <c r="X1927" s="13"/>
      <c r="Y1927" s="14"/>
      <c r="Z1927" s="15"/>
      <c r="AA1927" s="11">
        <f t="shared" si="889"/>
        <v>0</v>
      </c>
      <c r="AB1927" s="16"/>
      <c r="AC1927" s="14"/>
      <c r="AD1927" s="15"/>
      <c r="AE1927" s="11">
        <f t="shared" si="890"/>
        <v>0</v>
      </c>
      <c r="AF1927" s="11">
        <f t="shared" si="883"/>
        <v>0</v>
      </c>
    </row>
    <row r="1928" spans="1:33" x14ac:dyDescent="0.15">
      <c r="A1928" s="27" t="s">
        <v>67</v>
      </c>
      <c r="B1928" s="8"/>
      <c r="C1928" s="9"/>
      <c r="D1928" s="10">
        <v>1</v>
      </c>
      <c r="E1928" s="11">
        <f t="shared" si="884"/>
        <v>1</v>
      </c>
      <c r="F1928" s="12"/>
      <c r="G1928" s="9"/>
      <c r="H1928" s="10"/>
      <c r="I1928" s="11">
        <f t="shared" si="891"/>
        <v>0</v>
      </c>
      <c r="J1928" s="11">
        <f t="shared" si="885"/>
        <v>1</v>
      </c>
      <c r="K1928" s="65">
        <v>44011</v>
      </c>
      <c r="L1928" s="86"/>
      <c r="M1928" s="13"/>
      <c r="N1928" s="14"/>
      <c r="O1928" s="15"/>
      <c r="P1928" s="11">
        <f t="shared" ref="P1928:P1930" si="892">SUM(M1928:O1928)</f>
        <v>0</v>
      </c>
      <c r="Q1928" s="16"/>
      <c r="R1928" s="14"/>
      <c r="S1928" s="15"/>
      <c r="T1928" s="11">
        <f t="shared" ref="T1928:T1930" si="893">SUM(Q1928:S1928)</f>
        <v>0</v>
      </c>
      <c r="U1928" s="11">
        <f t="shared" ref="U1928:U1930" si="894">P1928+T1928</f>
        <v>0</v>
      </c>
      <c r="V1928" s="64"/>
      <c r="W1928" s="86"/>
      <c r="X1928" s="13"/>
      <c r="Y1928" s="14"/>
      <c r="Z1928" s="15"/>
      <c r="AA1928" s="11">
        <f t="shared" si="889"/>
        <v>0</v>
      </c>
      <c r="AB1928" s="16"/>
      <c r="AC1928" s="14"/>
      <c r="AD1928" s="15"/>
      <c r="AE1928" s="11">
        <f t="shared" si="890"/>
        <v>0</v>
      </c>
      <c r="AF1928" s="11">
        <f t="shared" si="883"/>
        <v>0</v>
      </c>
    </row>
    <row r="1929" spans="1:33" x14ac:dyDescent="0.15">
      <c r="A1929" s="27" t="s">
        <v>67</v>
      </c>
      <c r="B1929" s="8"/>
      <c r="C1929" s="9"/>
      <c r="D1929" s="10"/>
      <c r="E1929" s="11">
        <f t="shared" si="884"/>
        <v>0</v>
      </c>
      <c r="F1929" s="12"/>
      <c r="G1929" s="9">
        <v>3</v>
      </c>
      <c r="H1929" s="10"/>
      <c r="I1929" s="11">
        <f t="shared" si="891"/>
        <v>3</v>
      </c>
      <c r="J1929" s="11">
        <f t="shared" si="885"/>
        <v>3</v>
      </c>
      <c r="K1929" s="65">
        <v>44012</v>
      </c>
      <c r="L1929" s="86"/>
      <c r="M1929" s="13"/>
      <c r="N1929" s="14"/>
      <c r="O1929" s="15"/>
      <c r="P1929" s="11">
        <f t="shared" si="892"/>
        <v>0</v>
      </c>
      <c r="Q1929" s="16"/>
      <c r="R1929" s="14"/>
      <c r="S1929" s="15"/>
      <c r="T1929" s="11">
        <f t="shared" si="893"/>
        <v>0</v>
      </c>
      <c r="U1929" s="11">
        <f t="shared" si="894"/>
        <v>0</v>
      </c>
      <c r="V1929" s="64"/>
      <c r="W1929" s="86"/>
      <c r="X1929" s="13"/>
      <c r="Y1929" s="14"/>
      <c r="Z1929" s="15"/>
      <c r="AA1929" s="11">
        <f t="shared" si="889"/>
        <v>0</v>
      </c>
      <c r="AB1929" s="16"/>
      <c r="AC1929" s="14"/>
      <c r="AD1929" s="15"/>
      <c r="AE1929" s="11">
        <f t="shared" si="890"/>
        <v>0</v>
      </c>
      <c r="AF1929" s="11">
        <f t="shared" si="883"/>
        <v>0</v>
      </c>
    </row>
    <row r="1930" spans="1:33" x14ac:dyDescent="0.15">
      <c r="A1930" s="27" t="s">
        <v>67</v>
      </c>
      <c r="B1930" s="8"/>
      <c r="C1930" s="9">
        <v>1</v>
      </c>
      <c r="D1930" s="10"/>
      <c r="E1930" s="11">
        <f t="shared" si="884"/>
        <v>1</v>
      </c>
      <c r="F1930" s="12"/>
      <c r="G1930" s="9"/>
      <c r="H1930" s="10"/>
      <c r="I1930" s="11">
        <f t="shared" si="891"/>
        <v>0</v>
      </c>
      <c r="J1930" s="11">
        <f t="shared" si="885"/>
        <v>1</v>
      </c>
      <c r="K1930" s="65">
        <v>44013</v>
      </c>
      <c r="L1930" s="86"/>
      <c r="M1930" s="13"/>
      <c r="N1930" s="14"/>
      <c r="O1930" s="15"/>
      <c r="P1930" s="11">
        <f t="shared" si="892"/>
        <v>0</v>
      </c>
      <c r="Q1930" s="16"/>
      <c r="R1930" s="14"/>
      <c r="S1930" s="15"/>
      <c r="T1930" s="11">
        <f t="shared" si="893"/>
        <v>0</v>
      </c>
      <c r="U1930" s="11">
        <f t="shared" si="894"/>
        <v>0</v>
      </c>
      <c r="V1930" s="64"/>
      <c r="W1930" s="86"/>
      <c r="X1930" s="13"/>
      <c r="Y1930" s="14"/>
      <c r="Z1930" s="15"/>
      <c r="AA1930" s="11">
        <f t="shared" si="889"/>
        <v>0</v>
      </c>
      <c r="AB1930" s="16"/>
      <c r="AC1930" s="14"/>
      <c r="AD1930" s="15"/>
      <c r="AE1930" s="11">
        <f t="shared" si="890"/>
        <v>0</v>
      </c>
      <c r="AF1930" s="11">
        <f t="shared" si="883"/>
        <v>0</v>
      </c>
      <c r="AG1930" s="64"/>
    </row>
    <row r="1931" spans="1:33" ht="14.25" thickBot="1" x14ac:dyDescent="0.2">
      <c r="A1931" s="27" t="s">
        <v>67</v>
      </c>
      <c r="B1931" s="8"/>
      <c r="C1931" s="9">
        <v>1</v>
      </c>
      <c r="D1931" s="10"/>
      <c r="E1931" s="11">
        <f t="shared" si="884"/>
        <v>1</v>
      </c>
      <c r="F1931" s="12"/>
      <c r="G1931" s="9"/>
      <c r="H1931" s="10"/>
      <c r="I1931" s="11">
        <f t="shared" si="891"/>
        <v>0</v>
      </c>
      <c r="J1931" s="11">
        <f t="shared" si="885"/>
        <v>1</v>
      </c>
      <c r="K1931" s="65">
        <v>44015</v>
      </c>
      <c r="L1931" s="86"/>
      <c r="M1931" s="13"/>
      <c r="N1931" s="14"/>
      <c r="O1931" s="15"/>
      <c r="P1931" s="11">
        <f t="shared" si="887"/>
        <v>0</v>
      </c>
      <c r="Q1931" s="16"/>
      <c r="R1931" s="14"/>
      <c r="S1931" s="15"/>
      <c r="T1931" s="11">
        <f t="shared" si="888"/>
        <v>0</v>
      </c>
      <c r="U1931" s="11">
        <f t="shared" si="882"/>
        <v>0</v>
      </c>
      <c r="V1931" s="64"/>
      <c r="W1931" s="86"/>
      <c r="X1931" s="13"/>
      <c r="Y1931" s="14"/>
      <c r="Z1931" s="15"/>
      <c r="AA1931" s="11">
        <f t="shared" si="889"/>
        <v>0</v>
      </c>
      <c r="AB1931" s="16"/>
      <c r="AC1931" s="14"/>
      <c r="AD1931" s="15"/>
      <c r="AE1931" s="11">
        <f t="shared" si="890"/>
        <v>0</v>
      </c>
      <c r="AF1931" s="11">
        <f t="shared" si="883"/>
        <v>0</v>
      </c>
      <c r="AG1931" s="64"/>
    </row>
    <row r="1932" spans="1:33" ht="14.25" thickBot="1" x14ac:dyDescent="0.2">
      <c r="A1932" s="44" t="s">
        <v>13</v>
      </c>
      <c r="B1932" s="48">
        <f t="shared" ref="B1932:I1932" si="895">SUM(B1906:B1931)</f>
        <v>13</v>
      </c>
      <c r="C1932" s="49">
        <f t="shared" si="895"/>
        <v>13</v>
      </c>
      <c r="D1932" s="50">
        <f t="shared" si="895"/>
        <v>14</v>
      </c>
      <c r="E1932" s="46">
        <f t="shared" si="895"/>
        <v>40</v>
      </c>
      <c r="F1932" s="48">
        <f t="shared" si="895"/>
        <v>14</v>
      </c>
      <c r="G1932" s="49">
        <f t="shared" si="895"/>
        <v>9</v>
      </c>
      <c r="H1932" s="50">
        <f t="shared" si="895"/>
        <v>5</v>
      </c>
      <c r="I1932" s="46">
        <f t="shared" si="895"/>
        <v>28</v>
      </c>
      <c r="J1932" s="35">
        <f>E1932+I1932</f>
        <v>68</v>
      </c>
      <c r="L1932" s="44" t="s">
        <v>13</v>
      </c>
      <c r="M1932" s="48">
        <f t="shared" ref="M1932:T1932" si="896">SUM(M1906:M1931)</f>
        <v>199</v>
      </c>
      <c r="N1932" s="49">
        <f t="shared" si="896"/>
        <v>48</v>
      </c>
      <c r="O1932" s="50">
        <f t="shared" si="896"/>
        <v>133</v>
      </c>
      <c r="P1932" s="46">
        <f t="shared" si="896"/>
        <v>380</v>
      </c>
      <c r="Q1932" s="48">
        <f t="shared" si="896"/>
        <v>154</v>
      </c>
      <c r="R1932" s="49">
        <f t="shared" si="896"/>
        <v>127</v>
      </c>
      <c r="S1932" s="50">
        <f t="shared" si="896"/>
        <v>0</v>
      </c>
      <c r="T1932" s="46">
        <f t="shared" si="896"/>
        <v>281</v>
      </c>
      <c r="U1932" s="35">
        <f>P1932+T1932</f>
        <v>661</v>
      </c>
      <c r="W1932" s="44" t="s">
        <v>13</v>
      </c>
      <c r="X1932" s="48">
        <f t="shared" ref="X1932:AE1932" si="897">SUM(X1906:X1931)</f>
        <v>597</v>
      </c>
      <c r="Y1932" s="49">
        <f t="shared" si="897"/>
        <v>425</v>
      </c>
      <c r="Z1932" s="50">
        <f t="shared" si="897"/>
        <v>245</v>
      </c>
      <c r="AA1932" s="46">
        <f t="shared" si="897"/>
        <v>1267</v>
      </c>
      <c r="AB1932" s="48">
        <f t="shared" si="897"/>
        <v>204</v>
      </c>
      <c r="AC1932" s="49">
        <f t="shared" si="897"/>
        <v>670</v>
      </c>
      <c r="AD1932" s="50">
        <f t="shared" si="897"/>
        <v>370</v>
      </c>
      <c r="AE1932" s="46">
        <f t="shared" si="897"/>
        <v>1244</v>
      </c>
      <c r="AF1932" s="35">
        <f>AA1932+AE1932</f>
        <v>2511</v>
      </c>
    </row>
    <row r="1933" spans="1:33" ht="14.25" thickBot="1" x14ac:dyDescent="0.2">
      <c r="A1933" s="23" t="s">
        <v>14</v>
      </c>
      <c r="B1933" s="24">
        <f t="shared" ref="B1933:J1933" si="898">B1905-B1932</f>
        <v>5</v>
      </c>
      <c r="C1933" s="25">
        <f t="shared" si="898"/>
        <v>4</v>
      </c>
      <c r="D1933" s="30">
        <f t="shared" si="898"/>
        <v>5</v>
      </c>
      <c r="E1933" s="51">
        <f t="shared" si="898"/>
        <v>14</v>
      </c>
      <c r="F1933" s="24">
        <f t="shared" si="898"/>
        <v>7</v>
      </c>
      <c r="G1933" s="25">
        <f t="shared" si="898"/>
        <v>3</v>
      </c>
      <c r="H1933" s="30">
        <f t="shared" si="898"/>
        <v>6</v>
      </c>
      <c r="I1933" s="47">
        <f t="shared" si="898"/>
        <v>16</v>
      </c>
      <c r="J1933" s="79">
        <f t="shared" si="898"/>
        <v>30</v>
      </c>
      <c r="L1933" s="23" t="s">
        <v>14</v>
      </c>
      <c r="M1933" s="24">
        <f t="shared" ref="M1933:U1933" si="899">M1905-M1932</f>
        <v>445</v>
      </c>
      <c r="N1933" s="25">
        <f t="shared" si="899"/>
        <v>482</v>
      </c>
      <c r="O1933" s="30">
        <f t="shared" si="899"/>
        <v>148</v>
      </c>
      <c r="P1933" s="51">
        <f t="shared" si="899"/>
        <v>1075</v>
      </c>
      <c r="Q1933" s="24">
        <f t="shared" si="899"/>
        <v>111</v>
      </c>
      <c r="R1933" s="25">
        <f t="shared" si="899"/>
        <v>584</v>
      </c>
      <c r="S1933" s="30">
        <f t="shared" si="899"/>
        <v>427</v>
      </c>
      <c r="T1933" s="47">
        <f t="shared" si="899"/>
        <v>1122</v>
      </c>
      <c r="U1933" s="79">
        <f t="shared" si="899"/>
        <v>2197</v>
      </c>
      <c r="W1933" s="23" t="s">
        <v>14</v>
      </c>
      <c r="X1933" s="24">
        <f t="shared" ref="X1933:AF1933" si="900">X1905-X1932</f>
        <v>0</v>
      </c>
      <c r="Y1933" s="25">
        <f t="shared" si="900"/>
        <v>0</v>
      </c>
      <c r="Z1933" s="30">
        <f t="shared" si="900"/>
        <v>0</v>
      </c>
      <c r="AA1933" s="51">
        <f t="shared" si="900"/>
        <v>0</v>
      </c>
      <c r="AB1933" s="24">
        <f t="shared" si="900"/>
        <v>0</v>
      </c>
      <c r="AC1933" s="25">
        <f t="shared" si="900"/>
        <v>0</v>
      </c>
      <c r="AD1933" s="30">
        <f t="shared" si="900"/>
        <v>0</v>
      </c>
      <c r="AE1933" s="47">
        <f t="shared" si="900"/>
        <v>0</v>
      </c>
      <c r="AF1933" s="79">
        <f t="shared" si="900"/>
        <v>0</v>
      </c>
    </row>
    <row r="1936" spans="1:33" ht="19.5" thickBot="1" x14ac:dyDescent="0.25">
      <c r="A1936" s="142" t="s">
        <v>850</v>
      </c>
      <c r="B1936" s="143"/>
      <c r="C1936" s="143"/>
      <c r="D1936" s="143"/>
      <c r="E1936" s="143"/>
      <c r="F1936" s="1"/>
      <c r="G1936" s="1"/>
      <c r="H1936" s="1"/>
      <c r="I1936" s="1"/>
      <c r="J1936" s="1"/>
      <c r="L1936" s="148" t="s">
        <v>851</v>
      </c>
      <c r="M1936" s="149"/>
      <c r="N1936" s="149"/>
      <c r="O1936" s="149"/>
      <c r="P1936" s="149"/>
      <c r="Q1936" s="2"/>
      <c r="R1936" s="1"/>
      <c r="S1936" s="1"/>
      <c r="T1936" s="1"/>
      <c r="U1936" s="1"/>
      <c r="W1936" s="150" t="s">
        <v>765</v>
      </c>
      <c r="X1936" s="151"/>
      <c r="Y1936" s="151"/>
      <c r="Z1936" s="151"/>
      <c r="AA1936" s="106"/>
      <c r="AB1936" s="1"/>
      <c r="AC1936" s="1"/>
      <c r="AD1936" s="1"/>
      <c r="AE1936" s="1"/>
      <c r="AF1936" s="1"/>
    </row>
    <row r="1937" spans="1:32" ht="14.25" thickBot="1" x14ac:dyDescent="0.2">
      <c r="A1937" s="7" t="s">
        <v>0</v>
      </c>
      <c r="B1937" s="168" t="s">
        <v>1</v>
      </c>
      <c r="C1937" s="169"/>
      <c r="D1937" s="169"/>
      <c r="E1937" s="170"/>
      <c r="F1937" s="168" t="s">
        <v>2</v>
      </c>
      <c r="G1937" s="169"/>
      <c r="H1937" s="169"/>
      <c r="I1937" s="171"/>
      <c r="J1937" s="172" t="s">
        <v>3</v>
      </c>
      <c r="L1937" s="7" t="s">
        <v>0</v>
      </c>
      <c r="M1937" s="174" t="s">
        <v>1</v>
      </c>
      <c r="N1937" s="175"/>
      <c r="O1937" s="176"/>
      <c r="P1937" s="101"/>
      <c r="Q1937" s="174" t="s">
        <v>2</v>
      </c>
      <c r="R1937" s="175"/>
      <c r="S1937" s="176"/>
      <c r="T1937" s="102"/>
      <c r="U1937" s="103" t="s">
        <v>3</v>
      </c>
      <c r="W1937" s="7" t="s">
        <v>0</v>
      </c>
      <c r="X1937" s="174" t="s">
        <v>1</v>
      </c>
      <c r="Y1937" s="175"/>
      <c r="Z1937" s="176"/>
      <c r="AA1937" s="101"/>
      <c r="AB1937" s="174" t="s">
        <v>2</v>
      </c>
      <c r="AC1937" s="175"/>
      <c r="AD1937" s="176"/>
      <c r="AE1937" s="102"/>
      <c r="AF1937" s="103" t="s">
        <v>3</v>
      </c>
    </row>
    <row r="1938" spans="1:32" ht="14.25" thickBot="1" x14ac:dyDescent="0.2">
      <c r="A1938" s="7" t="s">
        <v>4</v>
      </c>
      <c r="B1938" s="3" t="s">
        <v>5</v>
      </c>
      <c r="C1938" s="4" t="s">
        <v>6</v>
      </c>
      <c r="D1938" s="5" t="s">
        <v>7</v>
      </c>
      <c r="E1938" s="7" t="s">
        <v>8</v>
      </c>
      <c r="F1938" s="3" t="s">
        <v>5</v>
      </c>
      <c r="G1938" s="4" t="s">
        <v>6</v>
      </c>
      <c r="H1938" s="5" t="s">
        <v>7</v>
      </c>
      <c r="I1938" s="7" t="s">
        <v>8</v>
      </c>
      <c r="J1938" s="173"/>
      <c r="L1938" s="7" t="s">
        <v>4</v>
      </c>
      <c r="M1938" s="3" t="s">
        <v>5</v>
      </c>
      <c r="N1938" s="4" t="s">
        <v>6</v>
      </c>
      <c r="O1938" s="5" t="s">
        <v>7</v>
      </c>
      <c r="P1938" s="7" t="s">
        <v>8</v>
      </c>
      <c r="Q1938" s="107" t="s">
        <v>5</v>
      </c>
      <c r="R1938" s="108" t="s">
        <v>6</v>
      </c>
      <c r="S1938" s="109" t="s">
        <v>7</v>
      </c>
      <c r="T1938" s="7" t="s">
        <v>8</v>
      </c>
      <c r="U1938" s="104"/>
      <c r="W1938" s="7" t="s">
        <v>4</v>
      </c>
      <c r="X1938" s="3" t="s">
        <v>5</v>
      </c>
      <c r="Y1938" s="4" t="s">
        <v>6</v>
      </c>
      <c r="Z1938" s="5" t="s">
        <v>7</v>
      </c>
      <c r="AA1938" s="7" t="s">
        <v>8</v>
      </c>
      <c r="AB1938" s="107" t="s">
        <v>5</v>
      </c>
      <c r="AC1938" s="108" t="s">
        <v>6</v>
      </c>
      <c r="AD1938" s="109" t="s">
        <v>7</v>
      </c>
      <c r="AE1938" s="7" t="s">
        <v>8</v>
      </c>
      <c r="AF1938" s="104"/>
    </row>
    <row r="1939" spans="1:32" ht="14.25" thickBot="1" x14ac:dyDescent="0.2">
      <c r="A1939" s="31" t="s">
        <v>14</v>
      </c>
      <c r="B1939" s="32">
        <f>B1933</f>
        <v>5</v>
      </c>
      <c r="C1939" s="33">
        <f>C1933</f>
        <v>4</v>
      </c>
      <c r="D1939" s="34">
        <f>D1933</f>
        <v>5</v>
      </c>
      <c r="E1939" s="41">
        <f>SUM(B1939:D1939)</f>
        <v>14</v>
      </c>
      <c r="F1939" s="32">
        <f>F1933</f>
        <v>7</v>
      </c>
      <c r="G1939" s="33">
        <f>G1933</f>
        <v>3</v>
      </c>
      <c r="H1939" s="34">
        <f>H1933</f>
        <v>6</v>
      </c>
      <c r="I1939" s="41">
        <f>SUM(F1939:H1939)</f>
        <v>16</v>
      </c>
      <c r="J1939" s="41">
        <f>E1939+I1939</f>
        <v>30</v>
      </c>
      <c r="L1939" s="31" t="s">
        <v>14</v>
      </c>
      <c r="M1939" s="32">
        <f>M1933</f>
        <v>445</v>
      </c>
      <c r="N1939" s="33">
        <f>N1933</f>
        <v>482</v>
      </c>
      <c r="O1939" s="33">
        <f>O1933</f>
        <v>148</v>
      </c>
      <c r="P1939" s="111">
        <f>SUM(M1939:O1939)</f>
        <v>1075</v>
      </c>
      <c r="Q1939" s="32">
        <f>Q1933</f>
        <v>111</v>
      </c>
      <c r="R1939" s="33">
        <f>R1933</f>
        <v>584</v>
      </c>
      <c r="S1939" s="95">
        <f>S1933</f>
        <v>427</v>
      </c>
      <c r="T1939" s="46">
        <f>SUM(Q1939:S1939)</f>
        <v>1122</v>
      </c>
      <c r="U1939" s="35">
        <f>P1939+T1939</f>
        <v>2197</v>
      </c>
      <c r="W1939" s="31" t="s">
        <v>14</v>
      </c>
      <c r="X1939" s="32">
        <f>X1933</f>
        <v>0</v>
      </c>
      <c r="Y1939" s="33">
        <f>Y1933</f>
        <v>0</v>
      </c>
      <c r="Z1939" s="33">
        <f>Z1933</f>
        <v>0</v>
      </c>
      <c r="AA1939" s="111">
        <f>SUM(X1939:Z1939)</f>
        <v>0</v>
      </c>
      <c r="AB1939" s="32">
        <f>AB1933</f>
        <v>0</v>
      </c>
      <c r="AC1939" s="33">
        <f>AC1933</f>
        <v>0</v>
      </c>
      <c r="AD1939" s="95">
        <f>AD1933</f>
        <v>0</v>
      </c>
      <c r="AE1939" s="46">
        <f>SUM(AB1939:AD1939)</f>
        <v>0</v>
      </c>
      <c r="AF1939" s="35">
        <f>AA1939+AE1939</f>
        <v>0</v>
      </c>
    </row>
    <row r="1940" spans="1:32" x14ac:dyDescent="0.15">
      <c r="A1940" s="28" t="s">
        <v>9</v>
      </c>
      <c r="B1940" s="17"/>
      <c r="C1940" s="18">
        <v>3</v>
      </c>
      <c r="D1940" s="19"/>
      <c r="E1940" s="20">
        <f>SUM(B1940:D1940)</f>
        <v>3</v>
      </c>
      <c r="F1940" s="21"/>
      <c r="G1940" s="18">
        <v>5</v>
      </c>
      <c r="H1940" s="19"/>
      <c r="I1940" s="20">
        <f>SUM(F1940:H1940)</f>
        <v>5</v>
      </c>
      <c r="J1940" s="20">
        <f>E1940+I1940</f>
        <v>8</v>
      </c>
      <c r="K1940" s="65">
        <v>44022</v>
      </c>
      <c r="L1940" s="28" t="s">
        <v>852</v>
      </c>
      <c r="M1940" s="8"/>
      <c r="N1940" s="9"/>
      <c r="O1940" s="10"/>
      <c r="P1940" s="78">
        <f t="shared" ref="P1940:P1947" si="901">SUM(M1940:O1940)</f>
        <v>0</v>
      </c>
      <c r="Q1940" s="21"/>
      <c r="R1940" s="18"/>
      <c r="S1940" s="19"/>
      <c r="T1940" s="78">
        <f t="shared" ref="T1940:T1947" si="902">SUM(Q1940:S1940)</f>
        <v>0</v>
      </c>
      <c r="U1940" s="78">
        <f t="shared" ref="U1940:U1947" si="903">P1940+T1940</f>
        <v>0</v>
      </c>
      <c r="V1940" s="65"/>
      <c r="W1940" s="28" t="s">
        <v>263</v>
      </c>
      <c r="X1940" s="8"/>
      <c r="Y1940" s="9"/>
      <c r="Z1940" s="10"/>
      <c r="AA1940" s="78">
        <f t="shared" ref="AA1940:AA1947" si="904">SUM(X1940:Z1940)</f>
        <v>0</v>
      </c>
      <c r="AB1940" s="21"/>
      <c r="AC1940" s="18"/>
      <c r="AD1940" s="19"/>
      <c r="AE1940" s="78">
        <f t="shared" ref="AE1940:AE1947" si="905">SUM(AB1940:AD1940)</f>
        <v>0</v>
      </c>
      <c r="AF1940" s="78">
        <f t="shared" ref="AF1940:AF1947" si="906">AA1940+AE1940</f>
        <v>0</v>
      </c>
    </row>
    <row r="1941" spans="1:32" x14ac:dyDescent="0.15">
      <c r="A1941" s="28" t="s">
        <v>10</v>
      </c>
      <c r="B1941" s="8">
        <v>5</v>
      </c>
      <c r="C1941" s="9">
        <v>5</v>
      </c>
      <c r="D1941" s="10">
        <v>5</v>
      </c>
      <c r="E1941" s="11">
        <f t="shared" ref="E1941:E1947" si="907">SUM(B1941:D1941)</f>
        <v>15</v>
      </c>
      <c r="F1941" s="12"/>
      <c r="G1941" s="9">
        <v>5</v>
      </c>
      <c r="H1941" s="10"/>
      <c r="I1941" s="11">
        <f t="shared" ref="I1941:I1947" si="908">SUM(F1941:H1941)</f>
        <v>5</v>
      </c>
      <c r="J1941" s="11">
        <f t="shared" ref="J1941:J1947" si="909">E1941+I1941</f>
        <v>20</v>
      </c>
      <c r="K1941" s="65">
        <v>44040</v>
      </c>
      <c r="L1941" s="28" t="s">
        <v>875</v>
      </c>
      <c r="M1941" s="8"/>
      <c r="N1941" s="9"/>
      <c r="O1941" s="10"/>
      <c r="P1941" s="11">
        <f t="shared" si="901"/>
        <v>0</v>
      </c>
      <c r="Q1941" s="12"/>
      <c r="R1941" s="9"/>
      <c r="S1941" s="10"/>
      <c r="T1941" s="11">
        <f t="shared" si="902"/>
        <v>0</v>
      </c>
      <c r="U1941" s="11">
        <f t="shared" si="903"/>
        <v>0</v>
      </c>
      <c r="V1941" s="71"/>
      <c r="W1941" s="28" t="s">
        <v>10</v>
      </c>
      <c r="X1941" s="8"/>
      <c r="Y1941" s="9"/>
      <c r="Z1941" s="10"/>
      <c r="AA1941" s="11">
        <f t="shared" si="904"/>
        <v>0</v>
      </c>
      <c r="AB1941" s="12"/>
      <c r="AC1941" s="9"/>
      <c r="AD1941" s="10"/>
      <c r="AE1941" s="11">
        <f t="shared" si="905"/>
        <v>0</v>
      </c>
      <c r="AF1941" s="11">
        <f t="shared" si="906"/>
        <v>0</v>
      </c>
    </row>
    <row r="1942" spans="1:32" x14ac:dyDescent="0.15">
      <c r="A1942" s="28" t="s">
        <v>11</v>
      </c>
      <c r="B1942" s="8"/>
      <c r="C1942" s="9"/>
      <c r="D1942" s="10"/>
      <c r="E1942" s="11">
        <f t="shared" si="907"/>
        <v>0</v>
      </c>
      <c r="F1942" s="12"/>
      <c r="G1942" s="9"/>
      <c r="H1942" s="10">
        <v>5</v>
      </c>
      <c r="I1942" s="11">
        <f t="shared" si="908"/>
        <v>5</v>
      </c>
      <c r="J1942" s="11">
        <f t="shared" si="909"/>
        <v>5</v>
      </c>
      <c r="K1942" s="65">
        <v>44041</v>
      </c>
      <c r="L1942" s="28" t="s">
        <v>11</v>
      </c>
      <c r="M1942" s="8"/>
      <c r="N1942" s="9"/>
      <c r="O1942" s="10"/>
      <c r="P1942" s="11">
        <f t="shared" si="901"/>
        <v>0</v>
      </c>
      <c r="Q1942" s="12"/>
      <c r="R1942" s="9"/>
      <c r="S1942" s="10"/>
      <c r="T1942" s="11">
        <f t="shared" si="902"/>
        <v>0</v>
      </c>
      <c r="U1942" s="11">
        <f t="shared" si="903"/>
        <v>0</v>
      </c>
      <c r="V1942" s="58"/>
      <c r="W1942" s="28" t="s">
        <v>878</v>
      </c>
      <c r="X1942" s="8"/>
      <c r="Y1942" s="9"/>
      <c r="Z1942" s="10"/>
      <c r="AA1942" s="11">
        <f t="shared" si="904"/>
        <v>0</v>
      </c>
      <c r="AB1942" s="12"/>
      <c r="AC1942" s="9"/>
      <c r="AD1942" s="10"/>
      <c r="AE1942" s="11">
        <f t="shared" si="905"/>
        <v>0</v>
      </c>
      <c r="AF1942" s="11">
        <f t="shared" si="906"/>
        <v>0</v>
      </c>
    </row>
    <row r="1943" spans="1:32" x14ac:dyDescent="0.15">
      <c r="A1943" s="153" t="s">
        <v>917</v>
      </c>
      <c r="B1943" s="154"/>
      <c r="C1943" s="155"/>
      <c r="D1943" s="156"/>
      <c r="E1943" s="152">
        <f t="shared" si="907"/>
        <v>0</v>
      </c>
      <c r="F1943" s="157"/>
      <c r="G1943" s="155">
        <v>-1</v>
      </c>
      <c r="H1943" s="156">
        <v>1</v>
      </c>
      <c r="I1943" s="152">
        <f t="shared" si="908"/>
        <v>0</v>
      </c>
      <c r="J1943" s="152">
        <f t="shared" si="909"/>
        <v>0</v>
      </c>
      <c r="K1943" s="134">
        <v>44042</v>
      </c>
      <c r="L1943" s="28" t="s">
        <v>12</v>
      </c>
      <c r="M1943" s="8"/>
      <c r="N1943" s="9"/>
      <c r="O1943" s="10"/>
      <c r="P1943" s="11">
        <f t="shared" si="901"/>
        <v>0</v>
      </c>
      <c r="Q1943" s="12"/>
      <c r="R1943" s="9"/>
      <c r="S1943" s="10"/>
      <c r="T1943" s="11">
        <f t="shared" si="902"/>
        <v>0</v>
      </c>
      <c r="U1943" s="11">
        <f t="shared" si="903"/>
        <v>0</v>
      </c>
      <c r="W1943" s="28" t="s">
        <v>12</v>
      </c>
      <c r="X1943" s="8"/>
      <c r="Y1943" s="9"/>
      <c r="Z1943" s="10"/>
      <c r="AA1943" s="11">
        <f t="shared" si="904"/>
        <v>0</v>
      </c>
      <c r="AB1943" s="12"/>
      <c r="AC1943" s="9"/>
      <c r="AD1943" s="10"/>
      <c r="AE1943" s="11">
        <f t="shared" si="905"/>
        <v>0</v>
      </c>
      <c r="AF1943" s="11">
        <f t="shared" si="906"/>
        <v>0</v>
      </c>
    </row>
    <row r="1944" spans="1:32" x14ac:dyDescent="0.15">
      <c r="A1944" s="28" t="s">
        <v>15</v>
      </c>
      <c r="B1944" s="8">
        <v>5</v>
      </c>
      <c r="C1944" s="9"/>
      <c r="D1944" s="10"/>
      <c r="E1944" s="11">
        <f t="shared" si="907"/>
        <v>5</v>
      </c>
      <c r="F1944" s="12"/>
      <c r="G1944" s="9"/>
      <c r="H1944" s="10"/>
      <c r="I1944" s="11">
        <f t="shared" si="908"/>
        <v>0</v>
      </c>
      <c r="J1944" s="11">
        <f t="shared" si="909"/>
        <v>5</v>
      </c>
      <c r="K1944" s="65">
        <v>44078</v>
      </c>
      <c r="L1944" s="28" t="s">
        <v>15</v>
      </c>
      <c r="M1944" s="8"/>
      <c r="N1944" s="9"/>
      <c r="O1944" s="10"/>
      <c r="P1944" s="11">
        <f t="shared" si="901"/>
        <v>0</v>
      </c>
      <c r="Q1944" s="12"/>
      <c r="R1944" s="9"/>
      <c r="S1944" s="10"/>
      <c r="T1944" s="11">
        <f t="shared" si="902"/>
        <v>0</v>
      </c>
      <c r="U1944" s="11">
        <f t="shared" si="903"/>
        <v>0</v>
      </c>
      <c r="V1944" s="57"/>
      <c r="W1944" s="28" t="s">
        <v>15</v>
      </c>
      <c r="X1944" s="8"/>
      <c r="Y1944" s="9"/>
      <c r="Z1944" s="10"/>
      <c r="AA1944" s="11">
        <f t="shared" si="904"/>
        <v>0</v>
      </c>
      <c r="AB1944" s="12"/>
      <c r="AC1944" s="9"/>
      <c r="AD1944" s="10"/>
      <c r="AE1944" s="11">
        <f t="shared" si="905"/>
        <v>0</v>
      </c>
      <c r="AF1944" s="11">
        <f t="shared" si="906"/>
        <v>0</v>
      </c>
    </row>
    <row r="1945" spans="1:32" x14ac:dyDescent="0.15">
      <c r="A1945" s="28" t="s">
        <v>104</v>
      </c>
      <c r="B1945" s="8"/>
      <c r="C1945" s="9">
        <v>1</v>
      </c>
      <c r="D1945" s="10">
        <v>1</v>
      </c>
      <c r="E1945" s="11">
        <f t="shared" si="907"/>
        <v>2</v>
      </c>
      <c r="F1945" s="12"/>
      <c r="G1945" s="9"/>
      <c r="H1945" s="10"/>
      <c r="I1945" s="11">
        <f t="shared" si="908"/>
        <v>0</v>
      </c>
      <c r="J1945" s="11">
        <f t="shared" si="909"/>
        <v>2</v>
      </c>
      <c r="K1945" s="65">
        <v>44088</v>
      </c>
      <c r="L1945" s="28" t="s">
        <v>16</v>
      </c>
      <c r="M1945" s="8">
        <v>300</v>
      </c>
      <c r="N1945" s="9">
        <v>500</v>
      </c>
      <c r="O1945" s="10">
        <v>500</v>
      </c>
      <c r="P1945" s="11">
        <f t="shared" si="901"/>
        <v>1300</v>
      </c>
      <c r="Q1945" s="12">
        <v>500</v>
      </c>
      <c r="R1945" s="9"/>
      <c r="S1945" s="10"/>
      <c r="T1945" s="11">
        <f t="shared" si="902"/>
        <v>500</v>
      </c>
      <c r="U1945" s="11">
        <f t="shared" si="903"/>
        <v>1800</v>
      </c>
      <c r="V1945" s="65" t="s">
        <v>921</v>
      </c>
      <c r="W1945" s="28" t="s">
        <v>16</v>
      </c>
      <c r="X1945" s="8"/>
      <c r="Y1945" s="9"/>
      <c r="Z1945" s="10"/>
      <c r="AA1945" s="11">
        <f t="shared" si="904"/>
        <v>0</v>
      </c>
      <c r="AB1945" s="12"/>
      <c r="AC1945" s="9"/>
      <c r="AD1945" s="10"/>
      <c r="AE1945" s="11">
        <f t="shared" si="905"/>
        <v>0</v>
      </c>
      <c r="AF1945" s="11">
        <f t="shared" si="906"/>
        <v>0</v>
      </c>
    </row>
    <row r="1946" spans="1:32" x14ac:dyDescent="0.15">
      <c r="A1946" s="28" t="s">
        <v>256</v>
      </c>
      <c r="B1946" s="13"/>
      <c r="C1946" s="14"/>
      <c r="D1946" s="15">
        <v>1</v>
      </c>
      <c r="E1946" s="11">
        <f t="shared" si="907"/>
        <v>1</v>
      </c>
      <c r="F1946" s="16"/>
      <c r="G1946" s="14"/>
      <c r="H1946" s="15"/>
      <c r="I1946" s="11">
        <f t="shared" si="908"/>
        <v>0</v>
      </c>
      <c r="J1946" s="11">
        <f t="shared" si="909"/>
        <v>1</v>
      </c>
      <c r="K1946" s="65">
        <v>44091</v>
      </c>
      <c r="L1946" s="28" t="s">
        <v>17</v>
      </c>
      <c r="M1946" s="8"/>
      <c r="N1946" s="9"/>
      <c r="O1946" s="10"/>
      <c r="P1946" s="11">
        <f t="shared" si="901"/>
        <v>0</v>
      </c>
      <c r="Q1946" s="12"/>
      <c r="R1946" s="12"/>
      <c r="S1946" s="87"/>
      <c r="T1946" s="11">
        <f t="shared" si="902"/>
        <v>0</v>
      </c>
      <c r="U1946" s="11">
        <f t="shared" si="903"/>
        <v>0</v>
      </c>
      <c r="V1946" s="126"/>
      <c r="W1946" s="28" t="s">
        <v>17</v>
      </c>
      <c r="X1946" s="8"/>
      <c r="Y1946" s="9"/>
      <c r="Z1946" s="10"/>
      <c r="AA1946" s="11">
        <f t="shared" si="904"/>
        <v>0</v>
      </c>
      <c r="AB1946" s="12"/>
      <c r="AC1946" s="12"/>
      <c r="AD1946" s="87"/>
      <c r="AE1946" s="11">
        <f t="shared" si="905"/>
        <v>0</v>
      </c>
      <c r="AF1946" s="11">
        <f t="shared" si="906"/>
        <v>0</v>
      </c>
    </row>
    <row r="1947" spans="1:32" ht="14.25" thickBot="1" x14ac:dyDescent="0.2">
      <c r="A1947" s="28" t="s">
        <v>18</v>
      </c>
      <c r="B1947" s="36"/>
      <c r="C1947" s="37"/>
      <c r="D1947" s="40"/>
      <c r="E1947" s="22">
        <f t="shared" si="907"/>
        <v>0</v>
      </c>
      <c r="F1947" s="38">
        <v>5</v>
      </c>
      <c r="G1947" s="38"/>
      <c r="H1947" s="43"/>
      <c r="I1947" s="22">
        <f t="shared" si="908"/>
        <v>5</v>
      </c>
      <c r="J1947" s="22">
        <f t="shared" si="909"/>
        <v>5</v>
      </c>
      <c r="K1947" s="65">
        <v>44099</v>
      </c>
      <c r="L1947" s="28" t="s">
        <v>18</v>
      </c>
      <c r="M1947" s="127"/>
      <c r="N1947" s="128"/>
      <c r="O1947" s="129"/>
      <c r="P1947" s="130">
        <f t="shared" si="901"/>
        <v>0</v>
      </c>
      <c r="Q1947" s="131"/>
      <c r="R1947" s="131"/>
      <c r="S1947" s="132"/>
      <c r="T1947" s="130">
        <f t="shared" si="902"/>
        <v>0</v>
      </c>
      <c r="U1947" s="130">
        <f t="shared" si="903"/>
        <v>0</v>
      </c>
      <c r="W1947" s="28" t="s">
        <v>18</v>
      </c>
      <c r="X1947" s="127"/>
      <c r="Y1947" s="128"/>
      <c r="Z1947" s="129"/>
      <c r="AA1947" s="130">
        <f t="shared" si="904"/>
        <v>0</v>
      </c>
      <c r="AB1947" s="131"/>
      <c r="AC1947" s="131"/>
      <c r="AD1947" s="132"/>
      <c r="AE1947" s="130">
        <f t="shared" si="905"/>
        <v>0</v>
      </c>
      <c r="AF1947" s="130">
        <f t="shared" si="906"/>
        <v>0</v>
      </c>
    </row>
    <row r="1948" spans="1:32" ht="14.25" thickBot="1" x14ac:dyDescent="0.2">
      <c r="A1948" s="39" t="s">
        <v>20</v>
      </c>
      <c r="B1948" s="32">
        <f t="shared" ref="B1948:J1948" si="910">SUM(B1939:B1947)</f>
        <v>15</v>
      </c>
      <c r="C1948" s="33">
        <f t="shared" si="910"/>
        <v>13</v>
      </c>
      <c r="D1948" s="34">
        <f t="shared" si="910"/>
        <v>12</v>
      </c>
      <c r="E1948" s="42">
        <f t="shared" si="910"/>
        <v>40</v>
      </c>
      <c r="F1948" s="32">
        <f t="shared" si="910"/>
        <v>12</v>
      </c>
      <c r="G1948" s="33">
        <f t="shared" si="910"/>
        <v>12</v>
      </c>
      <c r="H1948" s="34">
        <f t="shared" si="910"/>
        <v>12</v>
      </c>
      <c r="I1948" s="42">
        <f t="shared" si="910"/>
        <v>36</v>
      </c>
      <c r="J1948" s="42">
        <f t="shared" si="910"/>
        <v>76</v>
      </c>
      <c r="L1948" s="39" t="s">
        <v>20</v>
      </c>
      <c r="M1948" s="32">
        <f t="shared" ref="M1948:U1948" si="911">SUM(M1939:M1947)</f>
        <v>745</v>
      </c>
      <c r="N1948" s="33">
        <f t="shared" si="911"/>
        <v>982</v>
      </c>
      <c r="O1948" s="34">
        <f t="shared" si="911"/>
        <v>648</v>
      </c>
      <c r="P1948" s="42">
        <f t="shared" si="911"/>
        <v>2375</v>
      </c>
      <c r="Q1948" s="32">
        <f t="shared" si="911"/>
        <v>611</v>
      </c>
      <c r="R1948" s="33">
        <f t="shared" si="911"/>
        <v>584</v>
      </c>
      <c r="S1948" s="34">
        <f t="shared" si="911"/>
        <v>427</v>
      </c>
      <c r="T1948" s="42">
        <f t="shared" si="911"/>
        <v>1622</v>
      </c>
      <c r="U1948" s="42">
        <f t="shared" si="911"/>
        <v>3997</v>
      </c>
      <c r="W1948" s="39" t="s">
        <v>20</v>
      </c>
      <c r="X1948" s="32">
        <f t="shared" ref="X1948:AF1948" si="912">SUM(X1939:X1947)</f>
        <v>0</v>
      </c>
      <c r="Y1948" s="33">
        <f t="shared" si="912"/>
        <v>0</v>
      </c>
      <c r="Z1948" s="34">
        <f t="shared" si="912"/>
        <v>0</v>
      </c>
      <c r="AA1948" s="42">
        <f t="shared" si="912"/>
        <v>0</v>
      </c>
      <c r="AB1948" s="32">
        <f t="shared" si="912"/>
        <v>0</v>
      </c>
      <c r="AC1948" s="33">
        <f t="shared" si="912"/>
        <v>0</v>
      </c>
      <c r="AD1948" s="34">
        <f t="shared" si="912"/>
        <v>0</v>
      </c>
      <c r="AE1948" s="42">
        <f t="shared" si="912"/>
        <v>0</v>
      </c>
      <c r="AF1948" s="42">
        <f t="shared" si="912"/>
        <v>0</v>
      </c>
    </row>
    <row r="1949" spans="1:32" x14ac:dyDescent="0.15">
      <c r="A1949" s="27" t="s">
        <v>67</v>
      </c>
      <c r="B1949" s="13"/>
      <c r="C1949" s="14">
        <v>1</v>
      </c>
      <c r="D1949" s="15"/>
      <c r="E1949" s="11">
        <f>SUM(B1949:D1949)</f>
        <v>1</v>
      </c>
      <c r="F1949" s="16"/>
      <c r="G1949" s="14">
        <v>1</v>
      </c>
      <c r="H1949" s="15"/>
      <c r="I1949" s="11">
        <f>SUM(F1949:H1949)</f>
        <v>1</v>
      </c>
      <c r="J1949" s="11">
        <f>E1949+I1949</f>
        <v>2</v>
      </c>
      <c r="K1949" s="65">
        <v>44016</v>
      </c>
      <c r="L1949" s="86" t="s">
        <v>866</v>
      </c>
      <c r="M1949" s="8"/>
      <c r="N1949" s="9">
        <v>58</v>
      </c>
      <c r="O1949" s="10"/>
      <c r="P1949" s="11">
        <f>SUM(M1949:O1949)</f>
        <v>58</v>
      </c>
      <c r="Q1949" s="12"/>
      <c r="R1949" s="9"/>
      <c r="S1949" s="10">
        <v>29</v>
      </c>
      <c r="T1949" s="11">
        <f>SUM(Q1949:S1949)</f>
        <v>29</v>
      </c>
      <c r="U1949" s="11">
        <f t="shared" ref="U1949:U1974" si="913">P1949+T1949</f>
        <v>87</v>
      </c>
      <c r="V1949" s="65">
        <v>44034</v>
      </c>
      <c r="W1949" s="86"/>
      <c r="X1949" s="8"/>
      <c r="Y1949" s="9"/>
      <c r="Z1949" s="10"/>
      <c r="AA1949" s="11">
        <f>SUM(X1949:Z1949)</f>
        <v>0</v>
      </c>
      <c r="AB1949" s="12"/>
      <c r="AC1949" s="9"/>
      <c r="AD1949" s="10"/>
      <c r="AE1949" s="11">
        <f>SUM(AB1949:AD1949)</f>
        <v>0</v>
      </c>
      <c r="AF1949" s="11">
        <f t="shared" ref="AF1949:AF1974" si="914">AA1949+AE1949</f>
        <v>0</v>
      </c>
    </row>
    <row r="1950" spans="1:32" x14ac:dyDescent="0.15">
      <c r="A1950" s="27" t="s">
        <v>67</v>
      </c>
      <c r="B1950" s="13">
        <v>1</v>
      </c>
      <c r="C1950" s="14"/>
      <c r="D1950" s="15">
        <v>1</v>
      </c>
      <c r="E1950" s="11">
        <f t="shared" ref="E1950:E1974" si="915">SUM(B1950:D1950)</f>
        <v>2</v>
      </c>
      <c r="F1950" s="16"/>
      <c r="G1950" s="14"/>
      <c r="H1950" s="15"/>
      <c r="I1950" s="11">
        <f>SUM(F1950:H1950)</f>
        <v>0</v>
      </c>
      <c r="J1950" s="11">
        <f t="shared" ref="J1950:J1974" si="916">E1950+I1950</f>
        <v>2</v>
      </c>
      <c r="K1950" s="65">
        <v>44018</v>
      </c>
      <c r="L1950" s="86" t="s">
        <v>918</v>
      </c>
      <c r="M1950" s="8">
        <v>5</v>
      </c>
      <c r="N1950" s="9">
        <v>5</v>
      </c>
      <c r="O1950" s="10">
        <v>5</v>
      </c>
      <c r="P1950" s="11">
        <f>SUM(M1950:O1950)</f>
        <v>15</v>
      </c>
      <c r="Q1950" s="12"/>
      <c r="R1950" s="9">
        <v>5</v>
      </c>
      <c r="S1950" s="10"/>
      <c r="T1950" s="11">
        <f>SUM(Q1950:S1950)</f>
        <v>5</v>
      </c>
      <c r="U1950" s="11">
        <f t="shared" si="913"/>
        <v>20</v>
      </c>
      <c r="V1950" s="65">
        <v>44040</v>
      </c>
      <c r="W1950" s="86"/>
      <c r="X1950" s="8"/>
      <c r="Y1950" s="9"/>
      <c r="Z1950" s="10"/>
      <c r="AA1950" s="11">
        <f>SUM(X1950:Z1950)</f>
        <v>0</v>
      </c>
      <c r="AB1950" s="12"/>
      <c r="AC1950" s="9"/>
      <c r="AD1950" s="10"/>
      <c r="AE1950" s="11">
        <f>SUM(AB1950:AD1950)</f>
        <v>0</v>
      </c>
      <c r="AF1950" s="11">
        <f t="shared" si="914"/>
        <v>0</v>
      </c>
    </row>
    <row r="1951" spans="1:32" x14ac:dyDescent="0.15">
      <c r="A1951" s="27" t="s">
        <v>67</v>
      </c>
      <c r="B1951" s="8"/>
      <c r="C1951" s="9">
        <v>2</v>
      </c>
      <c r="D1951" s="10"/>
      <c r="E1951" s="11">
        <f t="shared" si="915"/>
        <v>2</v>
      </c>
      <c r="F1951" s="12"/>
      <c r="G1951" s="9"/>
      <c r="H1951" s="10"/>
      <c r="I1951" s="11">
        <f t="shared" ref="I1951:I1952" si="917">SUM(F1951:H1951)</f>
        <v>0</v>
      </c>
      <c r="J1951" s="11">
        <f t="shared" si="916"/>
        <v>2</v>
      </c>
      <c r="K1951" s="71">
        <v>44022</v>
      </c>
      <c r="L1951" s="86" t="s">
        <v>41</v>
      </c>
      <c r="M1951" s="8"/>
      <c r="N1951" s="9"/>
      <c r="O1951" s="10"/>
      <c r="P1951" s="11">
        <f t="shared" ref="P1951:P1974" si="918">SUM(M1951:O1951)</f>
        <v>0</v>
      </c>
      <c r="Q1951" s="12"/>
      <c r="R1951" s="9"/>
      <c r="S1951" s="10">
        <v>5</v>
      </c>
      <c r="T1951" s="11">
        <f t="shared" ref="T1951:T1974" si="919">SUM(Q1951:S1951)</f>
        <v>5</v>
      </c>
      <c r="U1951" s="11">
        <f t="shared" si="913"/>
        <v>5</v>
      </c>
      <c r="V1951" s="65">
        <v>44041</v>
      </c>
      <c r="W1951" s="86"/>
      <c r="X1951" s="8"/>
      <c r="Y1951" s="9"/>
      <c r="Z1951" s="10"/>
      <c r="AA1951" s="11">
        <f t="shared" ref="AA1951:AA1974" si="920">SUM(X1951:Z1951)</f>
        <v>0</v>
      </c>
      <c r="AB1951" s="12"/>
      <c r="AC1951" s="9"/>
      <c r="AD1951" s="10"/>
      <c r="AE1951" s="11">
        <f t="shared" ref="AE1951:AE1974" si="921">SUM(AB1951:AD1951)</f>
        <v>0</v>
      </c>
      <c r="AF1951" s="11">
        <f t="shared" si="914"/>
        <v>0</v>
      </c>
    </row>
    <row r="1952" spans="1:32" x14ac:dyDescent="0.15">
      <c r="A1952" s="27" t="s">
        <v>67</v>
      </c>
      <c r="B1952" s="8"/>
      <c r="C1952" s="9"/>
      <c r="D1952" s="10">
        <v>1</v>
      </c>
      <c r="E1952" s="11">
        <f t="shared" si="915"/>
        <v>1</v>
      </c>
      <c r="F1952" s="12"/>
      <c r="G1952" s="9">
        <v>1</v>
      </c>
      <c r="H1952" s="10"/>
      <c r="I1952" s="11">
        <f t="shared" si="917"/>
        <v>1</v>
      </c>
      <c r="J1952" s="11">
        <f t="shared" si="916"/>
        <v>2</v>
      </c>
      <c r="K1952" s="65">
        <v>44025</v>
      </c>
      <c r="L1952" s="86" t="s">
        <v>919</v>
      </c>
      <c r="M1952" s="8">
        <v>40</v>
      </c>
      <c r="N1952" s="9">
        <v>50</v>
      </c>
      <c r="O1952" s="10">
        <v>40</v>
      </c>
      <c r="P1952" s="11">
        <f t="shared" si="918"/>
        <v>130</v>
      </c>
      <c r="Q1952" s="12">
        <v>20</v>
      </c>
      <c r="R1952" s="9">
        <v>30</v>
      </c>
      <c r="S1952" s="10">
        <v>30</v>
      </c>
      <c r="T1952" s="11">
        <f t="shared" si="919"/>
        <v>80</v>
      </c>
      <c r="U1952" s="11">
        <f t="shared" si="913"/>
        <v>210</v>
      </c>
      <c r="V1952" s="65">
        <v>44049</v>
      </c>
      <c r="W1952" s="86"/>
      <c r="X1952" s="8"/>
      <c r="Y1952" s="9"/>
      <c r="Z1952" s="10"/>
      <c r="AA1952" s="11">
        <f t="shared" si="920"/>
        <v>0</v>
      </c>
      <c r="AB1952" s="12"/>
      <c r="AC1952" s="9"/>
      <c r="AD1952" s="10"/>
      <c r="AE1952" s="11">
        <f t="shared" si="921"/>
        <v>0</v>
      </c>
      <c r="AF1952" s="11">
        <f t="shared" si="914"/>
        <v>0</v>
      </c>
    </row>
    <row r="1953" spans="1:32" x14ac:dyDescent="0.15">
      <c r="A1953" s="27" t="s">
        <v>67</v>
      </c>
      <c r="B1953" s="8"/>
      <c r="C1953" s="9"/>
      <c r="D1953" s="10"/>
      <c r="E1953" s="11">
        <f t="shared" si="915"/>
        <v>0</v>
      </c>
      <c r="F1953" s="12"/>
      <c r="G1953" s="9"/>
      <c r="H1953" s="10">
        <v>2</v>
      </c>
      <c r="I1953" s="11">
        <f>SUM(F1953:H1953)</f>
        <v>2</v>
      </c>
      <c r="J1953" s="11">
        <f t="shared" si="916"/>
        <v>2</v>
      </c>
      <c r="K1953" s="65">
        <v>44026</v>
      </c>
      <c r="L1953" s="6" t="s">
        <v>922</v>
      </c>
      <c r="M1953" s="8">
        <v>20</v>
      </c>
      <c r="N1953" s="9">
        <v>20</v>
      </c>
      <c r="O1953" s="10">
        <v>20</v>
      </c>
      <c r="P1953" s="11">
        <f t="shared" si="918"/>
        <v>60</v>
      </c>
      <c r="Q1953" s="12"/>
      <c r="R1953" s="9"/>
      <c r="S1953" s="10"/>
      <c r="T1953" s="11">
        <f t="shared" si="919"/>
        <v>0</v>
      </c>
      <c r="U1953" s="11">
        <f t="shared" si="913"/>
        <v>60</v>
      </c>
      <c r="V1953" s="65">
        <v>44061</v>
      </c>
      <c r="W1953" s="86"/>
      <c r="X1953" s="8"/>
      <c r="Y1953" s="9"/>
      <c r="Z1953" s="10"/>
      <c r="AA1953" s="11">
        <f t="shared" si="920"/>
        <v>0</v>
      </c>
      <c r="AB1953" s="12"/>
      <c r="AC1953" s="9"/>
      <c r="AD1953" s="10"/>
      <c r="AE1953" s="11">
        <f t="shared" si="921"/>
        <v>0</v>
      </c>
      <c r="AF1953" s="11">
        <f t="shared" si="914"/>
        <v>0</v>
      </c>
    </row>
    <row r="1954" spans="1:32" x14ac:dyDescent="0.15">
      <c r="A1954" s="27" t="s">
        <v>67</v>
      </c>
      <c r="B1954" s="8"/>
      <c r="C1954" s="9"/>
      <c r="D1954" s="10"/>
      <c r="E1954" s="11">
        <f t="shared" si="915"/>
        <v>0</v>
      </c>
      <c r="F1954" s="12"/>
      <c r="G1954" s="9">
        <v>1</v>
      </c>
      <c r="H1954" s="10"/>
      <c r="I1954" s="11">
        <f>SUM(F1954:H1954)</f>
        <v>1</v>
      </c>
      <c r="J1954" s="11">
        <f t="shared" si="916"/>
        <v>1</v>
      </c>
      <c r="K1954" s="65">
        <v>44032</v>
      </c>
      <c r="L1954" s="6" t="s">
        <v>924</v>
      </c>
      <c r="M1954" s="8">
        <v>15</v>
      </c>
      <c r="N1954" s="9">
        <v>10</v>
      </c>
      <c r="O1954" s="10">
        <v>10</v>
      </c>
      <c r="P1954" s="11">
        <f t="shared" si="918"/>
        <v>35</v>
      </c>
      <c r="Q1954" s="12"/>
      <c r="R1954" s="9"/>
      <c r="S1954" s="10"/>
      <c r="T1954" s="11">
        <f t="shared" si="919"/>
        <v>0</v>
      </c>
      <c r="U1954" s="11">
        <f t="shared" si="913"/>
        <v>35</v>
      </c>
      <c r="V1954" s="65">
        <v>44063</v>
      </c>
      <c r="W1954" s="29"/>
      <c r="X1954" s="8"/>
      <c r="Y1954" s="9"/>
      <c r="Z1954" s="10"/>
      <c r="AA1954" s="11">
        <f t="shared" si="920"/>
        <v>0</v>
      </c>
      <c r="AB1954" s="12"/>
      <c r="AC1954" s="9"/>
      <c r="AD1954" s="10"/>
      <c r="AE1954" s="11">
        <f t="shared" si="921"/>
        <v>0</v>
      </c>
      <c r="AF1954" s="11">
        <f t="shared" si="914"/>
        <v>0</v>
      </c>
    </row>
    <row r="1955" spans="1:32" x14ac:dyDescent="0.15">
      <c r="A1955" s="27" t="s">
        <v>67</v>
      </c>
      <c r="B1955" s="8"/>
      <c r="C1955" s="9">
        <v>1</v>
      </c>
      <c r="D1955" s="10"/>
      <c r="E1955" s="11">
        <f t="shared" si="915"/>
        <v>1</v>
      </c>
      <c r="F1955" s="140"/>
      <c r="G1955" s="140"/>
      <c r="H1955" s="10"/>
      <c r="I1955" s="11">
        <f t="shared" ref="I1955:I1974" si="922">SUM(F1955:H1955)</f>
        <v>0</v>
      </c>
      <c r="J1955" s="11">
        <f t="shared" si="916"/>
        <v>1</v>
      </c>
      <c r="K1955" s="65">
        <v>44033</v>
      </c>
      <c r="L1955" s="6" t="s">
        <v>925</v>
      </c>
      <c r="M1955" s="8"/>
      <c r="N1955" s="9">
        <v>20</v>
      </c>
      <c r="O1955" s="10">
        <v>4</v>
      </c>
      <c r="P1955" s="11">
        <f t="shared" si="918"/>
        <v>24</v>
      </c>
      <c r="Q1955" s="12"/>
      <c r="R1955" s="9"/>
      <c r="S1955" s="10"/>
      <c r="T1955" s="11">
        <f t="shared" si="919"/>
        <v>0</v>
      </c>
      <c r="U1955" s="11">
        <f t="shared" si="913"/>
        <v>24</v>
      </c>
      <c r="V1955" s="65">
        <v>44065</v>
      </c>
      <c r="W1955" s="86"/>
      <c r="X1955" s="8"/>
      <c r="Y1955" s="9"/>
      <c r="Z1955" s="10"/>
      <c r="AA1955" s="11">
        <f t="shared" si="920"/>
        <v>0</v>
      </c>
      <c r="AB1955" s="12"/>
      <c r="AC1955" s="9"/>
      <c r="AD1955" s="10"/>
      <c r="AE1955" s="11">
        <f t="shared" si="921"/>
        <v>0</v>
      </c>
      <c r="AF1955" s="11">
        <f t="shared" si="914"/>
        <v>0</v>
      </c>
    </row>
    <row r="1956" spans="1:32" x14ac:dyDescent="0.15">
      <c r="A1956" s="27" t="s">
        <v>67</v>
      </c>
      <c r="B1956" s="8"/>
      <c r="C1956" s="9"/>
      <c r="D1956" s="10">
        <v>2</v>
      </c>
      <c r="E1956" s="11">
        <f t="shared" si="915"/>
        <v>2</v>
      </c>
      <c r="F1956" s="12"/>
      <c r="G1956" s="9">
        <v>2</v>
      </c>
      <c r="H1956" s="10">
        <v>2</v>
      </c>
      <c r="I1956" s="11">
        <f t="shared" si="922"/>
        <v>4</v>
      </c>
      <c r="J1956" s="11">
        <f t="shared" si="916"/>
        <v>6</v>
      </c>
      <c r="K1956" s="65">
        <v>44039</v>
      </c>
      <c r="L1956" s="86" t="s">
        <v>926</v>
      </c>
      <c r="M1956" s="8">
        <v>160</v>
      </c>
      <c r="N1956" s="9">
        <v>200</v>
      </c>
      <c r="O1956" s="10">
        <v>200</v>
      </c>
      <c r="P1956" s="11">
        <f t="shared" si="918"/>
        <v>560</v>
      </c>
      <c r="Q1956" s="12">
        <v>70</v>
      </c>
      <c r="R1956" s="9">
        <v>70</v>
      </c>
      <c r="S1956" s="10">
        <v>30</v>
      </c>
      <c r="T1956" s="11">
        <f t="shared" si="919"/>
        <v>170</v>
      </c>
      <c r="U1956" s="11">
        <f t="shared" si="913"/>
        <v>730</v>
      </c>
      <c r="V1956" s="65">
        <v>44070</v>
      </c>
      <c r="W1956" s="29"/>
      <c r="X1956" s="8"/>
      <c r="Y1956" s="9"/>
      <c r="Z1956" s="10"/>
      <c r="AA1956" s="11">
        <f t="shared" si="920"/>
        <v>0</v>
      </c>
      <c r="AB1956" s="12"/>
      <c r="AC1956" s="9"/>
      <c r="AD1956" s="10"/>
      <c r="AE1956" s="11">
        <f t="shared" si="921"/>
        <v>0</v>
      </c>
      <c r="AF1956" s="11">
        <f t="shared" si="914"/>
        <v>0</v>
      </c>
    </row>
    <row r="1957" spans="1:32" x14ac:dyDescent="0.15">
      <c r="A1957" s="27" t="s">
        <v>67</v>
      </c>
      <c r="B1957" s="13">
        <v>5</v>
      </c>
      <c r="C1957" s="14"/>
      <c r="D1957" s="15"/>
      <c r="E1957" s="11">
        <f t="shared" si="915"/>
        <v>5</v>
      </c>
      <c r="F1957" s="16"/>
      <c r="G1957" s="14"/>
      <c r="H1957" s="15"/>
      <c r="I1957" s="11">
        <f t="shared" si="922"/>
        <v>0</v>
      </c>
      <c r="J1957" s="11">
        <f t="shared" si="916"/>
        <v>5</v>
      </c>
      <c r="K1957" s="65">
        <v>44040</v>
      </c>
      <c r="L1957" s="86" t="s">
        <v>927</v>
      </c>
      <c r="M1957" s="8">
        <v>30</v>
      </c>
      <c r="N1957" s="9"/>
      <c r="O1957" s="10"/>
      <c r="P1957" s="11">
        <f t="shared" si="918"/>
        <v>30</v>
      </c>
      <c r="Q1957" s="12">
        <v>61</v>
      </c>
      <c r="R1957" s="9">
        <v>40</v>
      </c>
      <c r="S1957" s="10">
        <v>60</v>
      </c>
      <c r="T1957" s="11">
        <f t="shared" si="919"/>
        <v>161</v>
      </c>
      <c r="U1957" s="11">
        <f t="shared" si="913"/>
        <v>191</v>
      </c>
      <c r="V1957" s="65">
        <v>44071</v>
      </c>
      <c r="W1957" s="29"/>
      <c r="X1957" s="8"/>
      <c r="Y1957" s="9"/>
      <c r="Z1957" s="10"/>
      <c r="AA1957" s="11">
        <f t="shared" si="920"/>
        <v>0</v>
      </c>
      <c r="AB1957" s="12"/>
      <c r="AC1957" s="9"/>
      <c r="AD1957" s="10"/>
      <c r="AE1957" s="11">
        <f t="shared" si="921"/>
        <v>0</v>
      </c>
      <c r="AF1957" s="11">
        <f t="shared" si="914"/>
        <v>0</v>
      </c>
    </row>
    <row r="1958" spans="1:32" x14ac:dyDescent="0.15">
      <c r="A1958" s="27" t="s">
        <v>67</v>
      </c>
      <c r="B1958" s="13">
        <v>1</v>
      </c>
      <c r="C1958" s="14"/>
      <c r="D1958" s="15"/>
      <c r="E1958" s="11">
        <f t="shared" si="915"/>
        <v>1</v>
      </c>
      <c r="F1958" s="16"/>
      <c r="G1958" s="14"/>
      <c r="H1958" s="15"/>
      <c r="I1958" s="11">
        <f t="shared" si="922"/>
        <v>0</v>
      </c>
      <c r="J1958" s="11">
        <f t="shared" si="916"/>
        <v>1</v>
      </c>
      <c r="K1958" s="65">
        <v>44048</v>
      </c>
      <c r="L1958" s="29" t="s">
        <v>929</v>
      </c>
      <c r="M1958" s="13">
        <v>5</v>
      </c>
      <c r="N1958" s="14"/>
      <c r="O1958" s="15"/>
      <c r="P1958" s="11">
        <f t="shared" si="918"/>
        <v>5</v>
      </c>
      <c r="Q1958" s="16"/>
      <c r="R1958" s="14"/>
      <c r="S1958" s="15"/>
      <c r="T1958" s="11">
        <f t="shared" si="919"/>
        <v>0</v>
      </c>
      <c r="U1958" s="11">
        <f t="shared" si="913"/>
        <v>5</v>
      </c>
      <c r="V1958" s="65">
        <v>44078</v>
      </c>
      <c r="W1958" s="29"/>
      <c r="X1958" s="13"/>
      <c r="Y1958" s="14"/>
      <c r="Z1958" s="15"/>
      <c r="AA1958" s="11">
        <f t="shared" si="920"/>
        <v>0</v>
      </c>
      <c r="AB1958" s="16"/>
      <c r="AC1958" s="14"/>
      <c r="AD1958" s="15"/>
      <c r="AE1958" s="11">
        <f t="shared" si="921"/>
        <v>0</v>
      </c>
      <c r="AF1958" s="11">
        <f t="shared" si="914"/>
        <v>0</v>
      </c>
    </row>
    <row r="1959" spans="1:32" x14ac:dyDescent="0.15">
      <c r="A1959" s="27" t="s">
        <v>67</v>
      </c>
      <c r="B1959" s="8">
        <v>1</v>
      </c>
      <c r="C1959" s="9"/>
      <c r="D1959" s="10"/>
      <c r="E1959" s="11">
        <f t="shared" si="915"/>
        <v>1</v>
      </c>
      <c r="F1959" s="12">
        <v>1</v>
      </c>
      <c r="G1959" s="9"/>
      <c r="H1959" s="10"/>
      <c r="I1959" s="11">
        <f t="shared" si="922"/>
        <v>1</v>
      </c>
      <c r="J1959" s="11">
        <f t="shared" si="916"/>
        <v>2</v>
      </c>
      <c r="K1959" s="65">
        <v>44072</v>
      </c>
      <c r="L1959" s="29" t="s">
        <v>41</v>
      </c>
      <c r="M1959" s="8"/>
      <c r="N1959" s="9"/>
      <c r="O1959" s="10"/>
      <c r="P1959" s="11">
        <f t="shared" si="918"/>
        <v>0</v>
      </c>
      <c r="Q1959" s="12">
        <v>5</v>
      </c>
      <c r="R1959" s="9"/>
      <c r="S1959" s="10"/>
      <c r="T1959" s="11">
        <f t="shared" si="919"/>
        <v>5</v>
      </c>
      <c r="U1959" s="11">
        <f t="shared" si="913"/>
        <v>5</v>
      </c>
      <c r="V1959" s="65">
        <v>44099</v>
      </c>
      <c r="W1959" s="29"/>
      <c r="X1959" s="8"/>
      <c r="Y1959" s="9"/>
      <c r="Z1959" s="10"/>
      <c r="AA1959" s="11">
        <f t="shared" si="920"/>
        <v>0</v>
      </c>
      <c r="AB1959" s="12"/>
      <c r="AC1959" s="9"/>
      <c r="AD1959" s="10"/>
      <c r="AE1959" s="11">
        <f t="shared" si="921"/>
        <v>0</v>
      </c>
      <c r="AF1959" s="11">
        <f t="shared" si="914"/>
        <v>0</v>
      </c>
    </row>
    <row r="1960" spans="1:32" x14ac:dyDescent="0.15">
      <c r="A1960" s="27" t="s">
        <v>67</v>
      </c>
      <c r="B1960" s="8"/>
      <c r="C1960" s="9"/>
      <c r="D1960" s="10"/>
      <c r="E1960" s="11">
        <f t="shared" si="915"/>
        <v>0</v>
      </c>
      <c r="F1960" s="12">
        <v>1</v>
      </c>
      <c r="G1960" s="9"/>
      <c r="H1960" s="10"/>
      <c r="I1960" s="11">
        <f t="shared" si="922"/>
        <v>1</v>
      </c>
      <c r="J1960" s="11">
        <f t="shared" si="916"/>
        <v>1</v>
      </c>
      <c r="K1960" s="65">
        <v>44074</v>
      </c>
      <c r="L1960" s="29"/>
      <c r="M1960" s="8"/>
      <c r="N1960" s="9"/>
      <c r="O1960" s="10"/>
      <c r="P1960" s="11">
        <f t="shared" si="918"/>
        <v>0</v>
      </c>
      <c r="Q1960" s="12"/>
      <c r="R1960" s="9"/>
      <c r="S1960" s="10"/>
      <c r="T1960" s="11">
        <f t="shared" si="919"/>
        <v>0</v>
      </c>
      <c r="U1960" s="11">
        <f t="shared" si="913"/>
        <v>0</v>
      </c>
      <c r="V1960" s="64"/>
      <c r="W1960" s="29"/>
      <c r="X1960" s="8"/>
      <c r="Y1960" s="9"/>
      <c r="Z1960" s="10"/>
      <c r="AA1960" s="11">
        <f t="shared" si="920"/>
        <v>0</v>
      </c>
      <c r="AB1960" s="12"/>
      <c r="AC1960" s="9"/>
      <c r="AD1960" s="10"/>
      <c r="AE1960" s="11">
        <f t="shared" si="921"/>
        <v>0</v>
      </c>
      <c r="AF1960" s="11">
        <f t="shared" si="914"/>
        <v>0</v>
      </c>
    </row>
    <row r="1961" spans="1:32" x14ac:dyDescent="0.15">
      <c r="A1961" s="27" t="s">
        <v>928</v>
      </c>
      <c r="B1961" s="8"/>
      <c r="C1961" s="9">
        <v>2</v>
      </c>
      <c r="D1961" s="10"/>
      <c r="E1961" s="11">
        <f t="shared" si="915"/>
        <v>2</v>
      </c>
      <c r="F1961" s="12"/>
      <c r="G1961" s="9"/>
      <c r="H1961" s="10"/>
      <c r="I1961" s="11">
        <f t="shared" si="922"/>
        <v>0</v>
      </c>
      <c r="J1961" s="11">
        <f t="shared" si="916"/>
        <v>2</v>
      </c>
      <c r="K1961" s="65">
        <v>44077</v>
      </c>
      <c r="L1961" s="27"/>
      <c r="M1961" s="8"/>
      <c r="N1961" s="9"/>
      <c r="O1961" s="10"/>
      <c r="P1961" s="11">
        <f t="shared" si="918"/>
        <v>0</v>
      </c>
      <c r="Q1961" s="12"/>
      <c r="R1961" s="9"/>
      <c r="S1961" s="10"/>
      <c r="T1961" s="11">
        <f t="shared" si="919"/>
        <v>0</v>
      </c>
      <c r="U1961" s="11">
        <f t="shared" si="913"/>
        <v>0</v>
      </c>
      <c r="W1961" s="27"/>
      <c r="X1961" s="8"/>
      <c r="Y1961" s="9"/>
      <c r="Z1961" s="10"/>
      <c r="AA1961" s="11">
        <f t="shared" si="920"/>
        <v>0</v>
      </c>
      <c r="AB1961" s="12"/>
      <c r="AC1961" s="9"/>
      <c r="AD1961" s="10"/>
      <c r="AE1961" s="11">
        <f t="shared" si="921"/>
        <v>0</v>
      </c>
      <c r="AF1961" s="11">
        <f t="shared" si="914"/>
        <v>0</v>
      </c>
    </row>
    <row r="1962" spans="1:32" x14ac:dyDescent="0.15">
      <c r="A1962" s="27" t="s">
        <v>207</v>
      </c>
      <c r="B1962" s="8"/>
      <c r="C1962" s="9">
        <v>1</v>
      </c>
      <c r="D1962" s="10">
        <v>2</v>
      </c>
      <c r="E1962" s="11">
        <f t="shared" si="915"/>
        <v>3</v>
      </c>
      <c r="F1962" s="12"/>
      <c r="G1962" s="9">
        <v>1</v>
      </c>
      <c r="H1962" s="10"/>
      <c r="I1962" s="11">
        <f t="shared" si="922"/>
        <v>1</v>
      </c>
      <c r="J1962" s="11">
        <f t="shared" si="916"/>
        <v>4</v>
      </c>
      <c r="K1962" s="65">
        <v>44081</v>
      </c>
      <c r="L1962" s="29"/>
      <c r="M1962" s="8"/>
      <c r="N1962" s="9"/>
      <c r="O1962" s="10"/>
      <c r="P1962" s="11">
        <f t="shared" si="918"/>
        <v>0</v>
      </c>
      <c r="Q1962" s="12"/>
      <c r="R1962" s="9"/>
      <c r="S1962" s="10"/>
      <c r="T1962" s="11">
        <f t="shared" si="919"/>
        <v>0</v>
      </c>
      <c r="U1962" s="11">
        <f t="shared" si="913"/>
        <v>0</v>
      </c>
      <c r="W1962" s="29"/>
      <c r="X1962" s="8"/>
      <c r="Y1962" s="9"/>
      <c r="Z1962" s="10"/>
      <c r="AA1962" s="11">
        <f t="shared" si="920"/>
        <v>0</v>
      </c>
      <c r="AB1962" s="12"/>
      <c r="AC1962" s="9"/>
      <c r="AD1962" s="10"/>
      <c r="AE1962" s="11">
        <f t="shared" si="921"/>
        <v>0</v>
      </c>
      <c r="AF1962" s="11">
        <f t="shared" si="914"/>
        <v>0</v>
      </c>
    </row>
    <row r="1963" spans="1:32" x14ac:dyDescent="0.15">
      <c r="A1963" s="27" t="s">
        <v>207</v>
      </c>
      <c r="B1963" s="8"/>
      <c r="C1963" s="9">
        <v>1</v>
      </c>
      <c r="D1963" s="10"/>
      <c r="E1963" s="11">
        <f t="shared" si="915"/>
        <v>1</v>
      </c>
      <c r="F1963" s="12"/>
      <c r="G1963" s="9"/>
      <c r="H1963" s="10"/>
      <c r="I1963" s="11">
        <f t="shared" si="922"/>
        <v>0</v>
      </c>
      <c r="J1963" s="11">
        <f t="shared" si="916"/>
        <v>1</v>
      </c>
      <c r="K1963" s="65">
        <v>44082</v>
      </c>
      <c r="L1963" s="29"/>
      <c r="M1963" s="8"/>
      <c r="N1963" s="9"/>
      <c r="O1963" s="10"/>
      <c r="P1963" s="11">
        <f t="shared" si="918"/>
        <v>0</v>
      </c>
      <c r="Q1963" s="12"/>
      <c r="R1963" s="9"/>
      <c r="S1963" s="10"/>
      <c r="T1963" s="11">
        <f t="shared" si="919"/>
        <v>0</v>
      </c>
      <c r="U1963" s="11">
        <f t="shared" si="913"/>
        <v>0</v>
      </c>
      <c r="W1963" s="29"/>
      <c r="X1963" s="8"/>
      <c r="Y1963" s="9"/>
      <c r="Z1963" s="10"/>
      <c r="AA1963" s="11">
        <f t="shared" si="920"/>
        <v>0</v>
      </c>
      <c r="AB1963" s="12"/>
      <c r="AC1963" s="9"/>
      <c r="AD1963" s="10"/>
      <c r="AE1963" s="11">
        <f t="shared" si="921"/>
        <v>0</v>
      </c>
      <c r="AF1963" s="11">
        <f t="shared" si="914"/>
        <v>0</v>
      </c>
    </row>
    <row r="1964" spans="1:32" x14ac:dyDescent="0.15">
      <c r="A1964" s="27" t="s">
        <v>207</v>
      </c>
      <c r="B1964" s="8"/>
      <c r="C1964" s="9"/>
      <c r="D1964" s="10"/>
      <c r="E1964" s="11">
        <f t="shared" si="915"/>
        <v>0</v>
      </c>
      <c r="F1964" s="12"/>
      <c r="G1964" s="9">
        <v>1</v>
      </c>
      <c r="H1964" s="10"/>
      <c r="I1964" s="11">
        <f t="shared" si="922"/>
        <v>1</v>
      </c>
      <c r="J1964" s="11">
        <f t="shared" si="916"/>
        <v>1</v>
      </c>
      <c r="K1964" s="65">
        <v>44084</v>
      </c>
      <c r="L1964" s="27"/>
      <c r="M1964" s="8"/>
      <c r="N1964" s="9"/>
      <c r="O1964" s="10"/>
      <c r="P1964" s="11">
        <f t="shared" si="918"/>
        <v>0</v>
      </c>
      <c r="Q1964" s="12"/>
      <c r="R1964" s="9"/>
      <c r="S1964" s="10"/>
      <c r="T1964" s="11">
        <f t="shared" si="919"/>
        <v>0</v>
      </c>
      <c r="U1964" s="11">
        <f t="shared" si="913"/>
        <v>0</v>
      </c>
      <c r="W1964" s="27"/>
      <c r="X1964" s="8"/>
      <c r="Y1964" s="9"/>
      <c r="Z1964" s="10"/>
      <c r="AA1964" s="11">
        <f t="shared" si="920"/>
        <v>0</v>
      </c>
      <c r="AB1964" s="12"/>
      <c r="AC1964" s="9"/>
      <c r="AD1964" s="10"/>
      <c r="AE1964" s="11">
        <f t="shared" si="921"/>
        <v>0</v>
      </c>
      <c r="AF1964" s="11">
        <f t="shared" si="914"/>
        <v>0</v>
      </c>
    </row>
    <row r="1965" spans="1:32" x14ac:dyDescent="0.15">
      <c r="A1965" s="27" t="s">
        <v>207</v>
      </c>
      <c r="B1965" s="8"/>
      <c r="C1965" s="9"/>
      <c r="D1965" s="10">
        <v>1</v>
      </c>
      <c r="E1965" s="11">
        <f t="shared" si="915"/>
        <v>1</v>
      </c>
      <c r="F1965" s="12"/>
      <c r="G1965" s="9"/>
      <c r="H1965" s="10"/>
      <c r="I1965" s="11">
        <f t="shared" si="922"/>
        <v>0</v>
      </c>
      <c r="J1965" s="11">
        <f t="shared" si="916"/>
        <v>1</v>
      </c>
      <c r="K1965" s="65">
        <v>44085</v>
      </c>
      <c r="L1965" s="29"/>
      <c r="M1965" s="8"/>
      <c r="N1965" s="9"/>
      <c r="O1965" s="10"/>
      <c r="P1965" s="11">
        <f t="shared" si="918"/>
        <v>0</v>
      </c>
      <c r="Q1965" s="12"/>
      <c r="R1965" s="9"/>
      <c r="S1965" s="10"/>
      <c r="T1965" s="11">
        <f t="shared" si="919"/>
        <v>0</v>
      </c>
      <c r="U1965" s="11">
        <f t="shared" si="913"/>
        <v>0</v>
      </c>
      <c r="W1965" s="29"/>
      <c r="X1965" s="8"/>
      <c r="Y1965" s="9"/>
      <c r="Z1965" s="10"/>
      <c r="AA1965" s="11">
        <f t="shared" si="920"/>
        <v>0</v>
      </c>
      <c r="AB1965" s="12"/>
      <c r="AC1965" s="9"/>
      <c r="AD1965" s="10"/>
      <c r="AE1965" s="11">
        <f t="shared" si="921"/>
        <v>0</v>
      </c>
      <c r="AF1965" s="11">
        <f t="shared" si="914"/>
        <v>0</v>
      </c>
    </row>
    <row r="1966" spans="1:32" x14ac:dyDescent="0.15">
      <c r="A1966" s="29" t="s">
        <v>931</v>
      </c>
      <c r="B1966" s="8">
        <v>1</v>
      </c>
      <c r="C1966" s="9"/>
      <c r="D1966" s="10"/>
      <c r="E1966" s="11">
        <f t="shared" si="915"/>
        <v>1</v>
      </c>
      <c r="F1966" s="12">
        <v>1</v>
      </c>
      <c r="G1966" s="9"/>
      <c r="H1966" s="10"/>
      <c r="I1966" s="11">
        <f t="shared" si="922"/>
        <v>1</v>
      </c>
      <c r="J1966" s="11">
        <f t="shared" si="916"/>
        <v>2</v>
      </c>
      <c r="K1966" s="65">
        <v>44099</v>
      </c>
      <c r="L1966" s="27"/>
      <c r="M1966" s="8"/>
      <c r="N1966" s="9"/>
      <c r="O1966" s="10"/>
      <c r="P1966" s="11">
        <f t="shared" si="918"/>
        <v>0</v>
      </c>
      <c r="Q1966" s="12"/>
      <c r="R1966" s="9"/>
      <c r="S1966" s="10"/>
      <c r="T1966" s="11">
        <f t="shared" si="919"/>
        <v>0</v>
      </c>
      <c r="U1966" s="11">
        <f t="shared" si="913"/>
        <v>0</v>
      </c>
      <c r="W1966" s="27"/>
      <c r="X1966" s="8"/>
      <c r="Y1966" s="9"/>
      <c r="Z1966" s="10"/>
      <c r="AA1966" s="11">
        <f t="shared" si="920"/>
        <v>0</v>
      </c>
      <c r="AB1966" s="12"/>
      <c r="AC1966" s="9"/>
      <c r="AD1966" s="10"/>
      <c r="AE1966" s="11">
        <f t="shared" si="921"/>
        <v>0</v>
      </c>
      <c r="AF1966" s="11">
        <f t="shared" si="914"/>
        <v>0</v>
      </c>
    </row>
    <row r="1967" spans="1:32" x14ac:dyDescent="0.15">
      <c r="A1967" s="27" t="s">
        <v>207</v>
      </c>
      <c r="B1967" s="8"/>
      <c r="C1967" s="9"/>
      <c r="D1967" s="10"/>
      <c r="E1967" s="11">
        <f t="shared" si="915"/>
        <v>0</v>
      </c>
      <c r="F1967" s="12">
        <v>2</v>
      </c>
      <c r="G1967" s="9"/>
      <c r="H1967" s="10"/>
      <c r="I1967" s="11">
        <f t="shared" si="922"/>
        <v>2</v>
      </c>
      <c r="J1967" s="11">
        <f t="shared" si="916"/>
        <v>2</v>
      </c>
      <c r="K1967" s="65">
        <v>44098</v>
      </c>
      <c r="L1967" s="26"/>
      <c r="M1967" s="8"/>
      <c r="N1967" s="9"/>
      <c r="O1967" s="10"/>
      <c r="P1967" s="11">
        <f t="shared" si="918"/>
        <v>0</v>
      </c>
      <c r="Q1967" s="12"/>
      <c r="R1967" s="9"/>
      <c r="S1967" s="10"/>
      <c r="T1967" s="11">
        <f t="shared" si="919"/>
        <v>0</v>
      </c>
      <c r="U1967" s="11">
        <f t="shared" si="913"/>
        <v>0</v>
      </c>
      <c r="W1967" s="26"/>
      <c r="X1967" s="8"/>
      <c r="Y1967" s="9"/>
      <c r="Z1967" s="10"/>
      <c r="AA1967" s="11">
        <f t="shared" si="920"/>
        <v>0</v>
      </c>
      <c r="AB1967" s="12"/>
      <c r="AC1967" s="9"/>
      <c r="AD1967" s="10"/>
      <c r="AE1967" s="11">
        <f t="shared" si="921"/>
        <v>0</v>
      </c>
      <c r="AF1967" s="11">
        <f t="shared" si="914"/>
        <v>0</v>
      </c>
    </row>
    <row r="1968" spans="1:32" x14ac:dyDescent="0.15">
      <c r="A1968" s="27"/>
      <c r="B1968" s="8"/>
      <c r="C1968" s="9"/>
      <c r="D1968" s="10"/>
      <c r="E1968" s="11">
        <f t="shared" si="915"/>
        <v>0</v>
      </c>
      <c r="F1968" s="12"/>
      <c r="G1968" s="9"/>
      <c r="H1968" s="10"/>
      <c r="I1968" s="11">
        <f t="shared" si="922"/>
        <v>0</v>
      </c>
      <c r="J1968" s="11">
        <f t="shared" si="916"/>
        <v>0</v>
      </c>
      <c r="K1968" s="65"/>
      <c r="L1968" s="26"/>
      <c r="M1968" s="8"/>
      <c r="N1968" s="9"/>
      <c r="O1968" s="10"/>
      <c r="P1968" s="11">
        <f t="shared" si="918"/>
        <v>0</v>
      </c>
      <c r="Q1968" s="12"/>
      <c r="R1968" s="9"/>
      <c r="S1968" s="10"/>
      <c r="T1968" s="11">
        <f t="shared" si="919"/>
        <v>0</v>
      </c>
      <c r="U1968" s="11">
        <f t="shared" si="913"/>
        <v>0</v>
      </c>
      <c r="W1968" s="26"/>
      <c r="X1968" s="8"/>
      <c r="Y1968" s="9"/>
      <c r="Z1968" s="10"/>
      <c r="AA1968" s="11">
        <f t="shared" si="920"/>
        <v>0</v>
      </c>
      <c r="AB1968" s="12"/>
      <c r="AC1968" s="9"/>
      <c r="AD1968" s="10"/>
      <c r="AE1968" s="11">
        <f t="shared" si="921"/>
        <v>0</v>
      </c>
      <c r="AF1968" s="11">
        <f t="shared" si="914"/>
        <v>0</v>
      </c>
    </row>
    <row r="1969" spans="1:32" x14ac:dyDescent="0.15">
      <c r="A1969" s="27"/>
      <c r="B1969" s="8"/>
      <c r="C1969" s="9"/>
      <c r="D1969" s="10"/>
      <c r="E1969" s="11">
        <f t="shared" si="915"/>
        <v>0</v>
      </c>
      <c r="F1969" s="12"/>
      <c r="G1969" s="9"/>
      <c r="H1969" s="10"/>
      <c r="I1969" s="11">
        <f t="shared" si="922"/>
        <v>0</v>
      </c>
      <c r="J1969" s="11">
        <f t="shared" si="916"/>
        <v>0</v>
      </c>
      <c r="K1969" s="65"/>
      <c r="L1969" s="27"/>
      <c r="M1969" s="8"/>
      <c r="N1969" s="9"/>
      <c r="O1969" s="10"/>
      <c r="P1969" s="11">
        <f t="shared" si="918"/>
        <v>0</v>
      </c>
      <c r="Q1969" s="12"/>
      <c r="R1969" s="9"/>
      <c r="S1969" s="10"/>
      <c r="T1969" s="11">
        <f t="shared" si="919"/>
        <v>0</v>
      </c>
      <c r="U1969" s="11">
        <f t="shared" si="913"/>
        <v>0</v>
      </c>
      <c r="V1969" s="64"/>
      <c r="W1969" s="27"/>
      <c r="X1969" s="8"/>
      <c r="Y1969" s="9"/>
      <c r="Z1969" s="10"/>
      <c r="AA1969" s="11">
        <f t="shared" si="920"/>
        <v>0</v>
      </c>
      <c r="AB1969" s="12"/>
      <c r="AC1969" s="9"/>
      <c r="AD1969" s="10"/>
      <c r="AE1969" s="11">
        <f t="shared" si="921"/>
        <v>0</v>
      </c>
      <c r="AF1969" s="11">
        <f t="shared" si="914"/>
        <v>0</v>
      </c>
    </row>
    <row r="1970" spans="1:32" x14ac:dyDescent="0.15">
      <c r="A1970" s="27"/>
      <c r="B1970" s="13"/>
      <c r="C1970" s="14"/>
      <c r="D1970" s="15"/>
      <c r="E1970" s="11">
        <f t="shared" si="915"/>
        <v>0</v>
      </c>
      <c r="F1970" s="16"/>
      <c r="G1970" s="14"/>
      <c r="H1970" s="15"/>
      <c r="I1970" s="11">
        <f t="shared" si="922"/>
        <v>0</v>
      </c>
      <c r="J1970" s="11">
        <f t="shared" si="916"/>
        <v>0</v>
      </c>
      <c r="K1970" s="65"/>
      <c r="L1970" s="27"/>
      <c r="M1970" s="13"/>
      <c r="N1970" s="14"/>
      <c r="O1970" s="15"/>
      <c r="P1970" s="11">
        <f t="shared" si="918"/>
        <v>0</v>
      </c>
      <c r="Q1970" s="16"/>
      <c r="R1970" s="14"/>
      <c r="S1970" s="15"/>
      <c r="T1970" s="11">
        <f t="shared" si="919"/>
        <v>0</v>
      </c>
      <c r="U1970" s="11">
        <f t="shared" si="913"/>
        <v>0</v>
      </c>
      <c r="V1970" s="64"/>
      <c r="W1970" s="27"/>
      <c r="X1970" s="13"/>
      <c r="Y1970" s="14"/>
      <c r="Z1970" s="15"/>
      <c r="AA1970" s="11">
        <f t="shared" si="920"/>
        <v>0</v>
      </c>
      <c r="AB1970" s="16"/>
      <c r="AC1970" s="14"/>
      <c r="AD1970" s="15"/>
      <c r="AE1970" s="11">
        <f t="shared" si="921"/>
        <v>0</v>
      </c>
      <c r="AF1970" s="11">
        <f t="shared" si="914"/>
        <v>0</v>
      </c>
    </row>
    <row r="1971" spans="1:32" x14ac:dyDescent="0.15">
      <c r="A1971" s="27"/>
      <c r="B1971" s="8"/>
      <c r="C1971" s="9"/>
      <c r="D1971" s="10"/>
      <c r="E1971" s="11">
        <f t="shared" si="915"/>
        <v>0</v>
      </c>
      <c r="F1971" s="12"/>
      <c r="G1971" s="9"/>
      <c r="H1971" s="10"/>
      <c r="I1971" s="11">
        <f t="shared" si="922"/>
        <v>0</v>
      </c>
      <c r="J1971" s="11">
        <f t="shared" si="916"/>
        <v>0</v>
      </c>
      <c r="K1971" s="65"/>
      <c r="L1971" s="6" t="s">
        <v>911</v>
      </c>
      <c r="M1971" s="13"/>
      <c r="N1971" s="14"/>
      <c r="O1971" s="15"/>
      <c r="P1971" s="11">
        <f t="shared" si="918"/>
        <v>0</v>
      </c>
      <c r="Q1971" s="16"/>
      <c r="R1971" s="14"/>
      <c r="S1971" s="15"/>
      <c r="T1971" s="11">
        <f t="shared" si="919"/>
        <v>0</v>
      </c>
      <c r="U1971" s="11">
        <f t="shared" si="913"/>
        <v>0</v>
      </c>
      <c r="V1971" s="64" t="s">
        <v>912</v>
      </c>
      <c r="W1971" s="86"/>
      <c r="X1971" s="13"/>
      <c r="Y1971" s="14"/>
      <c r="Z1971" s="15"/>
      <c r="AA1971" s="11">
        <f t="shared" si="920"/>
        <v>0</v>
      </c>
      <c r="AB1971" s="16"/>
      <c r="AC1971" s="14"/>
      <c r="AD1971" s="15"/>
      <c r="AE1971" s="11">
        <f t="shared" si="921"/>
        <v>0</v>
      </c>
      <c r="AF1971" s="11">
        <f t="shared" si="914"/>
        <v>0</v>
      </c>
    </row>
    <row r="1972" spans="1:32" x14ac:dyDescent="0.15">
      <c r="A1972" s="27"/>
      <c r="B1972" s="8"/>
      <c r="C1972" s="9"/>
      <c r="D1972" s="10"/>
      <c r="E1972" s="11">
        <f t="shared" si="915"/>
        <v>0</v>
      </c>
      <c r="F1972" s="12"/>
      <c r="G1972" s="9"/>
      <c r="H1972" s="10"/>
      <c r="I1972" s="11">
        <f t="shared" si="922"/>
        <v>0</v>
      </c>
      <c r="J1972" s="11">
        <f t="shared" si="916"/>
        <v>0</v>
      </c>
      <c r="K1972" s="65"/>
      <c r="L1972" s="86" t="s">
        <v>907</v>
      </c>
      <c r="M1972" s="13"/>
      <c r="N1972" s="14"/>
      <c r="O1972" s="15"/>
      <c r="P1972" s="11">
        <f t="shared" si="918"/>
        <v>0</v>
      </c>
      <c r="Q1972" s="16"/>
      <c r="R1972" s="14"/>
      <c r="S1972" s="15"/>
      <c r="T1972" s="11">
        <f t="shared" si="919"/>
        <v>0</v>
      </c>
      <c r="U1972" s="11">
        <f t="shared" si="913"/>
        <v>0</v>
      </c>
      <c r="V1972" s="64" t="s">
        <v>908</v>
      </c>
      <c r="W1972" s="86"/>
      <c r="X1972" s="13"/>
      <c r="Y1972" s="14"/>
      <c r="Z1972" s="15"/>
      <c r="AA1972" s="11">
        <f t="shared" si="920"/>
        <v>0</v>
      </c>
      <c r="AB1972" s="16"/>
      <c r="AC1972" s="14"/>
      <c r="AD1972" s="15"/>
      <c r="AE1972" s="11">
        <f t="shared" si="921"/>
        <v>0</v>
      </c>
      <c r="AF1972" s="11">
        <f t="shared" si="914"/>
        <v>0</v>
      </c>
    </row>
    <row r="1973" spans="1:32" x14ac:dyDescent="0.15">
      <c r="A1973" s="29"/>
      <c r="B1973" s="8"/>
      <c r="C1973" s="9"/>
      <c r="D1973" s="10"/>
      <c r="E1973" s="11">
        <f t="shared" si="915"/>
        <v>0</v>
      </c>
      <c r="F1973" s="12"/>
      <c r="G1973" s="9"/>
      <c r="H1973" s="10"/>
      <c r="I1973" s="11">
        <f t="shared" si="922"/>
        <v>0</v>
      </c>
      <c r="J1973" s="11">
        <f t="shared" si="916"/>
        <v>0</v>
      </c>
      <c r="K1973" s="64"/>
      <c r="L1973" s="27" t="s">
        <v>897</v>
      </c>
      <c r="M1973" s="13"/>
      <c r="N1973" s="14"/>
      <c r="O1973" s="15"/>
      <c r="P1973" s="11">
        <f t="shared" si="918"/>
        <v>0</v>
      </c>
      <c r="Q1973" s="16"/>
      <c r="R1973" s="14"/>
      <c r="S1973" s="15"/>
      <c r="T1973" s="11">
        <f t="shared" si="919"/>
        <v>0</v>
      </c>
      <c r="U1973" s="11">
        <f t="shared" si="913"/>
        <v>0</v>
      </c>
      <c r="V1973" s="64" t="s">
        <v>898</v>
      </c>
      <c r="W1973" s="86"/>
      <c r="X1973" s="13"/>
      <c r="Y1973" s="14"/>
      <c r="Z1973" s="15"/>
      <c r="AA1973" s="11">
        <f t="shared" si="920"/>
        <v>0</v>
      </c>
      <c r="AB1973" s="16"/>
      <c r="AC1973" s="14"/>
      <c r="AD1973" s="15"/>
      <c r="AE1973" s="11">
        <f t="shared" si="921"/>
        <v>0</v>
      </c>
      <c r="AF1973" s="11">
        <f t="shared" si="914"/>
        <v>0</v>
      </c>
    </row>
    <row r="1974" spans="1:32" ht="14.25" thickBot="1" x14ac:dyDescent="0.2">
      <c r="A1974" s="29"/>
      <c r="B1974" s="8"/>
      <c r="C1974" s="9"/>
      <c r="D1974" s="10"/>
      <c r="E1974" s="11">
        <f t="shared" si="915"/>
        <v>0</v>
      </c>
      <c r="F1974" s="12"/>
      <c r="G1974" s="9"/>
      <c r="H1974" s="10"/>
      <c r="I1974" s="11">
        <f t="shared" si="922"/>
        <v>0</v>
      </c>
      <c r="J1974" s="11">
        <f t="shared" si="916"/>
        <v>0</v>
      </c>
      <c r="K1974" s="64"/>
      <c r="L1974" s="27" t="s">
        <v>914</v>
      </c>
      <c r="M1974" s="13"/>
      <c r="N1974" s="14"/>
      <c r="O1974" s="15"/>
      <c r="P1974" s="11">
        <f t="shared" si="918"/>
        <v>0</v>
      </c>
      <c r="Q1974" s="16"/>
      <c r="R1974" s="14"/>
      <c r="S1974" s="15"/>
      <c r="T1974" s="11">
        <f t="shared" si="919"/>
        <v>0</v>
      </c>
      <c r="U1974" s="11">
        <f t="shared" si="913"/>
        <v>0</v>
      </c>
      <c r="V1974" s="64" t="s">
        <v>915</v>
      </c>
      <c r="W1974" s="86"/>
      <c r="X1974" s="13"/>
      <c r="Y1974" s="14"/>
      <c r="Z1974" s="15"/>
      <c r="AA1974" s="11">
        <f t="shared" si="920"/>
        <v>0</v>
      </c>
      <c r="AB1974" s="16"/>
      <c r="AC1974" s="14"/>
      <c r="AD1974" s="15"/>
      <c r="AE1974" s="11">
        <f t="shared" si="921"/>
        <v>0</v>
      </c>
      <c r="AF1974" s="11">
        <f t="shared" si="914"/>
        <v>0</v>
      </c>
    </row>
    <row r="1975" spans="1:32" ht="14.25" thickBot="1" x14ac:dyDescent="0.2">
      <c r="A1975" s="44" t="s">
        <v>13</v>
      </c>
      <c r="B1975" s="48">
        <f t="shared" ref="B1975:I1975" si="923">SUM(B1949:B1974)</f>
        <v>9</v>
      </c>
      <c r="C1975" s="49">
        <f t="shared" si="923"/>
        <v>8</v>
      </c>
      <c r="D1975" s="50">
        <f t="shared" si="923"/>
        <v>7</v>
      </c>
      <c r="E1975" s="46">
        <f t="shared" si="923"/>
        <v>24</v>
      </c>
      <c r="F1975" s="48">
        <f t="shared" si="923"/>
        <v>5</v>
      </c>
      <c r="G1975" s="49">
        <f t="shared" si="923"/>
        <v>7</v>
      </c>
      <c r="H1975" s="50">
        <f t="shared" si="923"/>
        <v>4</v>
      </c>
      <c r="I1975" s="46">
        <f t="shared" si="923"/>
        <v>16</v>
      </c>
      <c r="J1975" s="35">
        <f>E1975+I1975</f>
        <v>40</v>
      </c>
      <c r="L1975" s="44" t="s">
        <v>13</v>
      </c>
      <c r="M1975" s="48">
        <f t="shared" ref="M1975:T1975" si="924">SUM(M1949:M1974)</f>
        <v>275</v>
      </c>
      <c r="N1975" s="49">
        <f t="shared" si="924"/>
        <v>363</v>
      </c>
      <c r="O1975" s="50">
        <f t="shared" si="924"/>
        <v>279</v>
      </c>
      <c r="P1975" s="46">
        <f t="shared" si="924"/>
        <v>917</v>
      </c>
      <c r="Q1975" s="48">
        <f t="shared" si="924"/>
        <v>156</v>
      </c>
      <c r="R1975" s="49">
        <f t="shared" si="924"/>
        <v>145</v>
      </c>
      <c r="S1975" s="50">
        <f t="shared" si="924"/>
        <v>154</v>
      </c>
      <c r="T1975" s="46">
        <f t="shared" si="924"/>
        <v>455</v>
      </c>
      <c r="U1975" s="35">
        <f>P1975+T1975</f>
        <v>1372</v>
      </c>
      <c r="W1975" s="44" t="s">
        <v>13</v>
      </c>
      <c r="X1975" s="48">
        <f t="shared" ref="X1975:AE1975" si="925">SUM(X1949:X1974)</f>
        <v>0</v>
      </c>
      <c r="Y1975" s="49">
        <f t="shared" si="925"/>
        <v>0</v>
      </c>
      <c r="Z1975" s="50">
        <f t="shared" si="925"/>
        <v>0</v>
      </c>
      <c r="AA1975" s="46">
        <f t="shared" si="925"/>
        <v>0</v>
      </c>
      <c r="AB1975" s="48">
        <f t="shared" si="925"/>
        <v>0</v>
      </c>
      <c r="AC1975" s="49">
        <f t="shared" si="925"/>
        <v>0</v>
      </c>
      <c r="AD1975" s="50">
        <f t="shared" si="925"/>
        <v>0</v>
      </c>
      <c r="AE1975" s="46">
        <f t="shared" si="925"/>
        <v>0</v>
      </c>
      <c r="AF1975" s="35">
        <f>AA1975+AE1975</f>
        <v>0</v>
      </c>
    </row>
    <row r="1976" spans="1:32" ht="14.25" thickBot="1" x14ac:dyDescent="0.2">
      <c r="A1976" s="23" t="s">
        <v>14</v>
      </c>
      <c r="B1976" s="24">
        <f t="shared" ref="B1976:J1976" si="926">B1948-B1975</f>
        <v>6</v>
      </c>
      <c r="C1976" s="25">
        <f t="shared" si="926"/>
        <v>5</v>
      </c>
      <c r="D1976" s="30">
        <f t="shared" si="926"/>
        <v>5</v>
      </c>
      <c r="E1976" s="51">
        <f t="shared" si="926"/>
        <v>16</v>
      </c>
      <c r="F1976" s="24">
        <f t="shared" si="926"/>
        <v>7</v>
      </c>
      <c r="G1976" s="25">
        <f t="shared" si="926"/>
        <v>5</v>
      </c>
      <c r="H1976" s="30">
        <f t="shared" si="926"/>
        <v>8</v>
      </c>
      <c r="I1976" s="47">
        <f t="shared" si="926"/>
        <v>20</v>
      </c>
      <c r="J1976" s="79">
        <f t="shared" si="926"/>
        <v>36</v>
      </c>
      <c r="L1976" s="23" t="s">
        <v>14</v>
      </c>
      <c r="M1976" s="24">
        <f t="shared" ref="M1976:U1976" si="927">M1948-M1975</f>
        <v>470</v>
      </c>
      <c r="N1976" s="25">
        <f t="shared" si="927"/>
        <v>619</v>
      </c>
      <c r="O1976" s="30">
        <f t="shared" si="927"/>
        <v>369</v>
      </c>
      <c r="P1976" s="51">
        <f t="shared" si="927"/>
        <v>1458</v>
      </c>
      <c r="Q1976" s="24">
        <f t="shared" si="927"/>
        <v>455</v>
      </c>
      <c r="R1976" s="25">
        <f t="shared" si="927"/>
        <v>439</v>
      </c>
      <c r="S1976" s="30">
        <f t="shared" si="927"/>
        <v>273</v>
      </c>
      <c r="T1976" s="47">
        <f t="shared" si="927"/>
        <v>1167</v>
      </c>
      <c r="U1976" s="79">
        <f t="shared" si="927"/>
        <v>2625</v>
      </c>
      <c r="W1976" s="23" t="s">
        <v>14</v>
      </c>
      <c r="X1976" s="24">
        <f t="shared" ref="X1976:AF1976" si="928">X1948-X1975</f>
        <v>0</v>
      </c>
      <c r="Y1976" s="25">
        <f t="shared" si="928"/>
        <v>0</v>
      </c>
      <c r="Z1976" s="30">
        <f t="shared" si="928"/>
        <v>0</v>
      </c>
      <c r="AA1976" s="51">
        <f t="shared" si="928"/>
        <v>0</v>
      </c>
      <c r="AB1976" s="24">
        <f t="shared" si="928"/>
        <v>0</v>
      </c>
      <c r="AC1976" s="25">
        <f t="shared" si="928"/>
        <v>0</v>
      </c>
      <c r="AD1976" s="30">
        <f t="shared" si="928"/>
        <v>0</v>
      </c>
      <c r="AE1976" s="47">
        <f t="shared" si="928"/>
        <v>0</v>
      </c>
      <c r="AF1976" s="79">
        <f t="shared" si="928"/>
        <v>0</v>
      </c>
    </row>
    <row r="1979" spans="1:32" ht="19.5" thickBot="1" x14ac:dyDescent="0.25">
      <c r="A1979" s="142" t="s">
        <v>850</v>
      </c>
      <c r="B1979" s="143"/>
      <c r="C1979" s="143"/>
      <c r="D1979" s="143"/>
      <c r="E1979" s="143"/>
      <c r="F1979" s="1"/>
      <c r="G1979" s="1"/>
      <c r="H1979" s="1"/>
      <c r="I1979" s="1"/>
      <c r="J1979" s="1"/>
      <c r="L1979" s="148" t="s">
        <v>851</v>
      </c>
      <c r="M1979" s="149"/>
      <c r="N1979" s="149"/>
      <c r="O1979" s="149"/>
      <c r="P1979" s="149"/>
      <c r="Q1979" s="2"/>
      <c r="R1979" s="1"/>
      <c r="S1979" s="1"/>
      <c r="T1979" s="1"/>
      <c r="U1979" s="1"/>
      <c r="W1979" s="150" t="s">
        <v>765</v>
      </c>
      <c r="X1979" s="151"/>
      <c r="Y1979" s="151"/>
      <c r="Z1979" s="151"/>
      <c r="AA1979" s="106"/>
      <c r="AB1979" s="1"/>
      <c r="AC1979" s="1"/>
      <c r="AD1979" s="1"/>
      <c r="AE1979" s="1"/>
      <c r="AF1979" s="1"/>
    </row>
    <row r="1980" spans="1:32" ht="14.25" thickBot="1" x14ac:dyDescent="0.2">
      <c r="A1980" s="7" t="s">
        <v>0</v>
      </c>
      <c r="B1980" s="168" t="s">
        <v>1</v>
      </c>
      <c r="C1980" s="169"/>
      <c r="D1980" s="169"/>
      <c r="E1980" s="170"/>
      <c r="F1980" s="168" t="s">
        <v>2</v>
      </c>
      <c r="G1980" s="169"/>
      <c r="H1980" s="169"/>
      <c r="I1980" s="171"/>
      <c r="J1980" s="172" t="s">
        <v>3</v>
      </c>
      <c r="L1980" s="7" t="s">
        <v>0</v>
      </c>
      <c r="M1980" s="174" t="s">
        <v>1</v>
      </c>
      <c r="N1980" s="175"/>
      <c r="O1980" s="176"/>
      <c r="P1980" s="101"/>
      <c r="Q1980" s="174" t="s">
        <v>2</v>
      </c>
      <c r="R1980" s="175"/>
      <c r="S1980" s="176"/>
      <c r="T1980" s="102"/>
      <c r="U1980" s="103" t="s">
        <v>3</v>
      </c>
      <c r="W1980" s="7" t="s">
        <v>0</v>
      </c>
      <c r="X1980" s="174" t="s">
        <v>1</v>
      </c>
      <c r="Y1980" s="175"/>
      <c r="Z1980" s="176"/>
      <c r="AA1980" s="101"/>
      <c r="AB1980" s="174" t="s">
        <v>2</v>
      </c>
      <c r="AC1980" s="175"/>
      <c r="AD1980" s="176"/>
      <c r="AE1980" s="102"/>
      <c r="AF1980" s="103" t="s">
        <v>3</v>
      </c>
    </row>
    <row r="1981" spans="1:32" ht="14.25" thickBot="1" x14ac:dyDescent="0.2">
      <c r="A1981" s="7" t="s">
        <v>4</v>
      </c>
      <c r="B1981" s="3" t="s">
        <v>5</v>
      </c>
      <c r="C1981" s="4" t="s">
        <v>6</v>
      </c>
      <c r="D1981" s="5" t="s">
        <v>7</v>
      </c>
      <c r="E1981" s="7" t="s">
        <v>8</v>
      </c>
      <c r="F1981" s="3" t="s">
        <v>5</v>
      </c>
      <c r="G1981" s="4" t="s">
        <v>6</v>
      </c>
      <c r="H1981" s="5" t="s">
        <v>7</v>
      </c>
      <c r="I1981" s="7" t="s">
        <v>8</v>
      </c>
      <c r="J1981" s="173"/>
      <c r="L1981" s="7" t="s">
        <v>4</v>
      </c>
      <c r="M1981" s="3" t="s">
        <v>5</v>
      </c>
      <c r="N1981" s="4" t="s">
        <v>6</v>
      </c>
      <c r="O1981" s="5" t="s">
        <v>7</v>
      </c>
      <c r="P1981" s="7" t="s">
        <v>8</v>
      </c>
      <c r="Q1981" s="107" t="s">
        <v>5</v>
      </c>
      <c r="R1981" s="108" t="s">
        <v>6</v>
      </c>
      <c r="S1981" s="109" t="s">
        <v>7</v>
      </c>
      <c r="T1981" s="7" t="s">
        <v>8</v>
      </c>
      <c r="U1981" s="104"/>
      <c r="W1981" s="7" t="s">
        <v>4</v>
      </c>
      <c r="X1981" s="3" t="s">
        <v>5</v>
      </c>
      <c r="Y1981" s="4" t="s">
        <v>6</v>
      </c>
      <c r="Z1981" s="5" t="s">
        <v>7</v>
      </c>
      <c r="AA1981" s="7" t="s">
        <v>8</v>
      </c>
      <c r="AB1981" s="107" t="s">
        <v>5</v>
      </c>
      <c r="AC1981" s="108" t="s">
        <v>6</v>
      </c>
      <c r="AD1981" s="109" t="s">
        <v>7</v>
      </c>
      <c r="AE1981" s="7" t="s">
        <v>8</v>
      </c>
      <c r="AF1981" s="104"/>
    </row>
    <row r="1982" spans="1:32" ht="14.25" thickBot="1" x14ac:dyDescent="0.2">
      <c r="A1982" s="31" t="s">
        <v>14</v>
      </c>
      <c r="B1982" s="32">
        <f>B1976</f>
        <v>6</v>
      </c>
      <c r="C1982" s="33">
        <f>C1976</f>
        <v>5</v>
      </c>
      <c r="D1982" s="34">
        <f>D1976</f>
        <v>5</v>
      </c>
      <c r="E1982" s="41">
        <f>SUM(B1982:D1982)</f>
        <v>16</v>
      </c>
      <c r="F1982" s="32">
        <f>F1976</f>
        <v>7</v>
      </c>
      <c r="G1982" s="33">
        <f>G1976</f>
        <v>5</v>
      </c>
      <c r="H1982" s="34">
        <f>H1976</f>
        <v>8</v>
      </c>
      <c r="I1982" s="41">
        <f>SUM(F1982:H1982)</f>
        <v>20</v>
      </c>
      <c r="J1982" s="41">
        <f>E1982+I1982</f>
        <v>36</v>
      </c>
      <c r="L1982" s="31" t="s">
        <v>14</v>
      </c>
      <c r="M1982" s="32">
        <f>M1976</f>
        <v>470</v>
      </c>
      <c r="N1982" s="33">
        <f>N1976</f>
        <v>619</v>
      </c>
      <c r="O1982" s="33">
        <f>O1976</f>
        <v>369</v>
      </c>
      <c r="P1982" s="111">
        <f>SUM(M1982:O1982)</f>
        <v>1458</v>
      </c>
      <c r="Q1982" s="32">
        <f>Q1976</f>
        <v>455</v>
      </c>
      <c r="R1982" s="33">
        <f>R1976</f>
        <v>439</v>
      </c>
      <c r="S1982" s="95">
        <f>S1976</f>
        <v>273</v>
      </c>
      <c r="T1982" s="46">
        <f>SUM(Q1982:S1982)</f>
        <v>1167</v>
      </c>
      <c r="U1982" s="35">
        <f>P1982+T1982</f>
        <v>2625</v>
      </c>
      <c r="W1982" s="31" t="s">
        <v>14</v>
      </c>
      <c r="X1982" s="32">
        <f>X1976</f>
        <v>0</v>
      </c>
      <c r="Y1982" s="33">
        <f>Y1976</f>
        <v>0</v>
      </c>
      <c r="Z1982" s="33">
        <f>Z1976</f>
        <v>0</v>
      </c>
      <c r="AA1982" s="111">
        <f>SUM(X1982:Z1982)</f>
        <v>0</v>
      </c>
      <c r="AB1982" s="32">
        <f>AB1976</f>
        <v>0</v>
      </c>
      <c r="AC1982" s="33">
        <f>AC1976</f>
        <v>0</v>
      </c>
      <c r="AD1982" s="95">
        <f>AD1976</f>
        <v>0</v>
      </c>
      <c r="AE1982" s="46">
        <f>SUM(AB1982:AD1982)</f>
        <v>0</v>
      </c>
      <c r="AF1982" s="35">
        <f>AA1982+AE1982</f>
        <v>0</v>
      </c>
    </row>
    <row r="1983" spans="1:32" x14ac:dyDescent="0.15">
      <c r="A1983" s="28" t="s">
        <v>930</v>
      </c>
      <c r="B1983" s="17">
        <v>4</v>
      </c>
      <c r="C1983" s="18">
        <v>3</v>
      </c>
      <c r="D1983" s="19">
        <v>2</v>
      </c>
      <c r="E1983" s="20">
        <f>SUM(B1983:D1983)</f>
        <v>9</v>
      </c>
      <c r="F1983" s="21"/>
      <c r="G1983" s="18"/>
      <c r="H1983" s="19"/>
      <c r="I1983" s="20">
        <f>SUM(F1983:H1983)</f>
        <v>0</v>
      </c>
      <c r="J1983" s="20">
        <f>E1983+I1983</f>
        <v>9</v>
      </c>
      <c r="K1983" s="71">
        <v>44104</v>
      </c>
      <c r="L1983" s="28" t="s">
        <v>875</v>
      </c>
      <c r="M1983" s="8">
        <v>4</v>
      </c>
      <c r="N1983" s="9">
        <v>2</v>
      </c>
      <c r="O1983" s="10">
        <v>2</v>
      </c>
      <c r="P1983" s="78">
        <f t="shared" ref="P1983:P1990" si="929">SUM(M1983:O1983)</f>
        <v>8</v>
      </c>
      <c r="Q1983" s="21"/>
      <c r="R1983" s="18"/>
      <c r="S1983" s="19"/>
      <c r="T1983" s="78">
        <f t="shared" ref="T1983:T1990" si="930">SUM(Q1983:S1983)</f>
        <v>0</v>
      </c>
      <c r="U1983" s="78">
        <f t="shared" ref="U1983:U1990" si="931">P1983+T1983</f>
        <v>8</v>
      </c>
      <c r="V1983" s="65">
        <v>44107</v>
      </c>
      <c r="W1983" s="28" t="s">
        <v>263</v>
      </c>
      <c r="X1983" s="8"/>
      <c r="Y1983" s="9"/>
      <c r="Z1983" s="10"/>
      <c r="AA1983" s="78">
        <f t="shared" ref="AA1983:AA1990" si="932">SUM(X1983:Z1983)</f>
        <v>0</v>
      </c>
      <c r="AB1983" s="21"/>
      <c r="AC1983" s="18"/>
      <c r="AD1983" s="19"/>
      <c r="AE1983" s="78">
        <f t="shared" ref="AE1983:AE1990" si="933">SUM(AB1983:AD1983)</f>
        <v>0</v>
      </c>
      <c r="AF1983" s="78">
        <f t="shared" ref="AF1983:AF1990" si="934">AA1983+AE1983</f>
        <v>0</v>
      </c>
    </row>
    <row r="1984" spans="1:32" x14ac:dyDescent="0.15">
      <c r="A1984" s="28" t="s">
        <v>104</v>
      </c>
      <c r="B1984" s="8">
        <v>5</v>
      </c>
      <c r="C1984" s="9">
        <v>3</v>
      </c>
      <c r="D1984" s="10">
        <v>8</v>
      </c>
      <c r="E1984" s="11">
        <f t="shared" ref="E1984:E1990" si="935">SUM(B1984:D1984)</f>
        <v>16</v>
      </c>
      <c r="F1984" s="12">
        <v>4</v>
      </c>
      <c r="G1984" s="9">
        <v>8</v>
      </c>
      <c r="H1984" s="10">
        <v>5</v>
      </c>
      <c r="I1984" s="11">
        <f t="shared" ref="I1984:I1990" si="936">SUM(F1984:H1984)</f>
        <v>17</v>
      </c>
      <c r="J1984" s="11">
        <f t="shared" ref="J1984:J1990" si="937">E1984+I1984</f>
        <v>33</v>
      </c>
      <c r="K1984" s="65">
        <v>44124</v>
      </c>
      <c r="L1984" s="28" t="s">
        <v>875</v>
      </c>
      <c r="M1984" s="8">
        <v>16</v>
      </c>
      <c r="N1984" s="9">
        <v>8</v>
      </c>
      <c r="O1984" s="10">
        <v>11</v>
      </c>
      <c r="P1984" s="11">
        <f t="shared" si="929"/>
        <v>35</v>
      </c>
      <c r="Q1984" s="12">
        <v>4</v>
      </c>
      <c r="R1984" s="9">
        <v>8</v>
      </c>
      <c r="S1984" s="10">
        <v>5</v>
      </c>
      <c r="T1984" s="11">
        <f>SUM(Q1984:S1984)</f>
        <v>17</v>
      </c>
      <c r="U1984" s="11">
        <f t="shared" si="931"/>
        <v>52</v>
      </c>
      <c r="V1984" s="65">
        <v>44135</v>
      </c>
      <c r="W1984" s="28" t="s">
        <v>10</v>
      </c>
      <c r="X1984" s="8"/>
      <c r="Y1984" s="9"/>
      <c r="Z1984" s="10"/>
      <c r="AA1984" s="11">
        <f t="shared" si="932"/>
        <v>0</v>
      </c>
      <c r="AB1984" s="12"/>
      <c r="AC1984" s="9"/>
      <c r="AD1984" s="10"/>
      <c r="AE1984" s="11">
        <f t="shared" si="933"/>
        <v>0</v>
      </c>
      <c r="AF1984" s="11">
        <f t="shared" si="934"/>
        <v>0</v>
      </c>
    </row>
    <row r="1985" spans="1:32" x14ac:dyDescent="0.15">
      <c r="A1985" s="28" t="s">
        <v>930</v>
      </c>
      <c r="B1985" s="8">
        <v>11</v>
      </c>
      <c r="C1985" s="9">
        <v>5</v>
      </c>
      <c r="D1985" s="10">
        <v>3</v>
      </c>
      <c r="E1985" s="11">
        <f t="shared" si="935"/>
        <v>19</v>
      </c>
      <c r="F1985" s="12"/>
      <c r="G1985" s="9"/>
      <c r="H1985" s="10"/>
      <c r="I1985" s="11">
        <f t="shared" si="936"/>
        <v>0</v>
      </c>
      <c r="J1985" s="11">
        <f t="shared" si="937"/>
        <v>19</v>
      </c>
      <c r="K1985" s="71">
        <v>44123</v>
      </c>
      <c r="L1985" s="28" t="s">
        <v>875</v>
      </c>
      <c r="M1985" s="8">
        <v>8</v>
      </c>
      <c r="N1985" s="9">
        <v>3</v>
      </c>
      <c r="O1985" s="10">
        <v>6</v>
      </c>
      <c r="P1985" s="11">
        <f t="shared" si="929"/>
        <v>17</v>
      </c>
      <c r="Q1985" s="12">
        <v>11</v>
      </c>
      <c r="R1985" s="9"/>
      <c r="S1985" s="10"/>
      <c r="T1985" s="11">
        <v>11</v>
      </c>
      <c r="U1985" s="11">
        <f t="shared" si="931"/>
        <v>28</v>
      </c>
      <c r="V1985" s="65">
        <v>44156</v>
      </c>
      <c r="W1985" s="28" t="s">
        <v>878</v>
      </c>
      <c r="X1985" s="8"/>
      <c r="Y1985" s="9"/>
      <c r="Z1985" s="10"/>
      <c r="AA1985" s="11">
        <f t="shared" si="932"/>
        <v>0</v>
      </c>
      <c r="AB1985" s="12"/>
      <c r="AC1985" s="9"/>
      <c r="AD1985" s="10"/>
      <c r="AE1985" s="11">
        <f t="shared" si="933"/>
        <v>0</v>
      </c>
      <c r="AF1985" s="11">
        <f t="shared" si="934"/>
        <v>0</v>
      </c>
    </row>
    <row r="1986" spans="1:32" x14ac:dyDescent="0.15">
      <c r="A1986" s="28" t="s">
        <v>930</v>
      </c>
      <c r="B1986" s="8"/>
      <c r="C1986" s="9">
        <v>1</v>
      </c>
      <c r="D1986" s="10"/>
      <c r="E1986" s="11">
        <f t="shared" si="935"/>
        <v>1</v>
      </c>
      <c r="F1986" s="12"/>
      <c r="G1986" s="9"/>
      <c r="H1986" s="10"/>
      <c r="I1986" s="11">
        <f t="shared" si="936"/>
        <v>0</v>
      </c>
      <c r="J1986" s="11">
        <f t="shared" si="937"/>
        <v>1</v>
      </c>
      <c r="K1986" s="65">
        <v>44127</v>
      </c>
      <c r="L1986" s="28" t="s">
        <v>875</v>
      </c>
      <c r="M1986" s="8">
        <v>1</v>
      </c>
      <c r="N1986" s="9">
        <v>2</v>
      </c>
      <c r="O1986" s="10"/>
      <c r="P1986" s="11">
        <f t="shared" si="929"/>
        <v>3</v>
      </c>
      <c r="Q1986" s="12"/>
      <c r="R1986" s="9"/>
      <c r="S1986" s="10">
        <v>1</v>
      </c>
      <c r="T1986" s="11">
        <f t="shared" si="930"/>
        <v>1</v>
      </c>
      <c r="U1986" s="11">
        <f t="shared" si="931"/>
        <v>4</v>
      </c>
      <c r="V1986" s="71">
        <v>44170</v>
      </c>
      <c r="W1986" s="28" t="s">
        <v>12</v>
      </c>
      <c r="X1986" s="8"/>
      <c r="Y1986" s="9"/>
      <c r="Z1986" s="10"/>
      <c r="AA1986" s="11">
        <f t="shared" si="932"/>
        <v>0</v>
      </c>
      <c r="AB1986" s="12"/>
      <c r="AC1986" s="9"/>
      <c r="AD1986" s="10"/>
      <c r="AE1986" s="11">
        <f t="shared" si="933"/>
        <v>0</v>
      </c>
      <c r="AF1986" s="11">
        <f t="shared" si="934"/>
        <v>0</v>
      </c>
    </row>
    <row r="1987" spans="1:32" x14ac:dyDescent="0.15">
      <c r="A1987" s="28" t="s">
        <v>104</v>
      </c>
      <c r="B1987" s="8">
        <v>8</v>
      </c>
      <c r="C1987" s="9">
        <v>3</v>
      </c>
      <c r="D1987" s="10">
        <v>6</v>
      </c>
      <c r="E1987" s="11">
        <f t="shared" si="935"/>
        <v>17</v>
      </c>
      <c r="F1987" s="12">
        <v>11</v>
      </c>
      <c r="G1987" s="9">
        <v>2</v>
      </c>
      <c r="H1987" s="10">
        <v>2</v>
      </c>
      <c r="I1987" s="11">
        <f t="shared" si="936"/>
        <v>15</v>
      </c>
      <c r="J1987" s="11">
        <f t="shared" si="937"/>
        <v>32</v>
      </c>
      <c r="K1987" s="71">
        <v>44153</v>
      </c>
      <c r="L1987" s="28" t="s">
        <v>875</v>
      </c>
      <c r="M1987" s="8">
        <v>17</v>
      </c>
      <c r="N1987" s="9">
        <v>24</v>
      </c>
      <c r="O1987" s="10">
        <v>17</v>
      </c>
      <c r="P1987" s="11">
        <f t="shared" si="929"/>
        <v>58</v>
      </c>
      <c r="Q1987" s="12">
        <v>6</v>
      </c>
      <c r="R1987" s="9">
        <v>24</v>
      </c>
      <c r="S1987" s="10">
        <v>9</v>
      </c>
      <c r="T1987" s="11">
        <v>39</v>
      </c>
      <c r="U1987" s="11">
        <f t="shared" si="931"/>
        <v>97</v>
      </c>
      <c r="V1987" s="65">
        <v>44184</v>
      </c>
      <c r="W1987" s="28" t="s">
        <v>15</v>
      </c>
      <c r="X1987" s="8"/>
      <c r="Y1987" s="9"/>
      <c r="Z1987" s="10"/>
      <c r="AA1987" s="11">
        <f t="shared" si="932"/>
        <v>0</v>
      </c>
      <c r="AB1987" s="12"/>
      <c r="AC1987" s="9"/>
      <c r="AD1987" s="10"/>
      <c r="AE1987" s="11">
        <f t="shared" si="933"/>
        <v>0</v>
      </c>
      <c r="AF1987" s="11">
        <f t="shared" si="934"/>
        <v>0</v>
      </c>
    </row>
    <row r="1988" spans="1:32" x14ac:dyDescent="0.15">
      <c r="A1988" s="28" t="s">
        <v>16</v>
      </c>
      <c r="B1988" s="8">
        <v>5</v>
      </c>
      <c r="C1988" s="9"/>
      <c r="D1988" s="10">
        <v>5</v>
      </c>
      <c r="E1988" s="11">
        <f t="shared" si="935"/>
        <v>10</v>
      </c>
      <c r="F1988" s="12"/>
      <c r="G1988" s="9">
        <v>5</v>
      </c>
      <c r="H1988" s="10"/>
      <c r="I1988" s="11">
        <f t="shared" si="936"/>
        <v>5</v>
      </c>
      <c r="J1988" s="11">
        <f t="shared" si="937"/>
        <v>15</v>
      </c>
      <c r="K1988" s="65">
        <v>44162</v>
      </c>
      <c r="L1988" s="28" t="s">
        <v>16</v>
      </c>
      <c r="M1988" s="8"/>
      <c r="N1988" s="9"/>
      <c r="O1988" s="10"/>
      <c r="P1988" s="11">
        <f t="shared" si="929"/>
        <v>0</v>
      </c>
      <c r="Q1988" s="12"/>
      <c r="R1988" s="9"/>
      <c r="S1988" s="10"/>
      <c r="T1988" s="11">
        <f t="shared" si="930"/>
        <v>0</v>
      </c>
      <c r="U1988" s="11">
        <f t="shared" si="931"/>
        <v>0</v>
      </c>
      <c r="V1988" s="65"/>
      <c r="W1988" s="28" t="s">
        <v>16</v>
      </c>
      <c r="X1988" s="8"/>
      <c r="Y1988" s="9"/>
      <c r="Z1988" s="10"/>
      <c r="AA1988" s="11">
        <f t="shared" si="932"/>
        <v>0</v>
      </c>
      <c r="AB1988" s="12"/>
      <c r="AC1988" s="9"/>
      <c r="AD1988" s="10"/>
      <c r="AE1988" s="11">
        <f t="shared" si="933"/>
        <v>0</v>
      </c>
      <c r="AF1988" s="11">
        <f t="shared" si="934"/>
        <v>0</v>
      </c>
    </row>
    <row r="1989" spans="1:32" x14ac:dyDescent="0.15">
      <c r="A1989" s="28" t="s">
        <v>104</v>
      </c>
      <c r="B1989" s="13">
        <v>11</v>
      </c>
      <c r="C1989" s="14">
        <v>16</v>
      </c>
      <c r="D1989" s="15">
        <v>6</v>
      </c>
      <c r="E1989" s="11">
        <f t="shared" si="935"/>
        <v>33</v>
      </c>
      <c r="F1989" s="16">
        <v>3</v>
      </c>
      <c r="G1989" s="14">
        <v>9</v>
      </c>
      <c r="H1989" s="15">
        <v>8</v>
      </c>
      <c r="I1989" s="11">
        <f t="shared" si="936"/>
        <v>20</v>
      </c>
      <c r="J1989" s="11">
        <f t="shared" si="937"/>
        <v>53</v>
      </c>
      <c r="K1989" s="65">
        <v>44181</v>
      </c>
      <c r="L1989" s="28" t="s">
        <v>17</v>
      </c>
      <c r="M1989" s="8"/>
      <c r="N1989" s="9"/>
      <c r="O1989" s="10"/>
      <c r="P1989" s="11">
        <f t="shared" si="929"/>
        <v>0</v>
      </c>
      <c r="Q1989" s="12"/>
      <c r="R1989" s="12"/>
      <c r="S1989" s="87"/>
      <c r="T1989" s="11">
        <f t="shared" si="930"/>
        <v>0</v>
      </c>
      <c r="U1989" s="11">
        <f t="shared" si="931"/>
        <v>0</v>
      </c>
      <c r="V1989" s="126"/>
      <c r="W1989" s="28" t="s">
        <v>17</v>
      </c>
      <c r="X1989" s="8"/>
      <c r="Y1989" s="9"/>
      <c r="Z1989" s="10"/>
      <c r="AA1989" s="11">
        <f t="shared" si="932"/>
        <v>0</v>
      </c>
      <c r="AB1989" s="12"/>
      <c r="AC1989" s="12"/>
      <c r="AD1989" s="87"/>
      <c r="AE1989" s="11">
        <f t="shared" si="933"/>
        <v>0</v>
      </c>
      <c r="AF1989" s="11">
        <f t="shared" si="934"/>
        <v>0</v>
      </c>
    </row>
    <row r="1990" spans="1:32" ht="14.25" thickBot="1" x14ac:dyDescent="0.2">
      <c r="A1990" s="28" t="s">
        <v>18</v>
      </c>
      <c r="B1990" s="36"/>
      <c r="C1990" s="37"/>
      <c r="D1990" s="40"/>
      <c r="E1990" s="22">
        <f t="shared" si="935"/>
        <v>0</v>
      </c>
      <c r="F1990" s="38">
        <v>5</v>
      </c>
      <c r="G1990" s="38"/>
      <c r="H1990" s="43"/>
      <c r="I1990" s="22">
        <f t="shared" si="936"/>
        <v>5</v>
      </c>
      <c r="J1990" s="22">
        <f t="shared" si="937"/>
        <v>5</v>
      </c>
      <c r="K1990" s="65">
        <v>44173</v>
      </c>
      <c r="L1990" s="28" t="s">
        <v>18</v>
      </c>
      <c r="M1990" s="127"/>
      <c r="N1990" s="128"/>
      <c r="O1990" s="129"/>
      <c r="P1990" s="130">
        <f t="shared" si="929"/>
        <v>0</v>
      </c>
      <c r="Q1990" s="131"/>
      <c r="R1990" s="131"/>
      <c r="S1990" s="132"/>
      <c r="T1990" s="130">
        <f t="shared" si="930"/>
        <v>0</v>
      </c>
      <c r="U1990" s="130">
        <f t="shared" si="931"/>
        <v>0</v>
      </c>
      <c r="W1990" s="28" t="s">
        <v>18</v>
      </c>
      <c r="X1990" s="127"/>
      <c r="Y1990" s="128"/>
      <c r="Z1990" s="129"/>
      <c r="AA1990" s="130">
        <f t="shared" si="932"/>
        <v>0</v>
      </c>
      <c r="AB1990" s="131"/>
      <c r="AC1990" s="131"/>
      <c r="AD1990" s="132"/>
      <c r="AE1990" s="130">
        <f t="shared" si="933"/>
        <v>0</v>
      </c>
      <c r="AF1990" s="130">
        <f t="shared" si="934"/>
        <v>0</v>
      </c>
    </row>
    <row r="1991" spans="1:32" ht="14.25" thickBot="1" x14ac:dyDescent="0.2">
      <c r="A1991" s="39" t="s">
        <v>20</v>
      </c>
      <c r="B1991" s="32">
        <f t="shared" ref="B1991:J1991" si="938">SUM(B1982:B1990)</f>
        <v>50</v>
      </c>
      <c r="C1991" s="33">
        <f t="shared" si="938"/>
        <v>36</v>
      </c>
      <c r="D1991" s="34">
        <f t="shared" si="938"/>
        <v>35</v>
      </c>
      <c r="E1991" s="42">
        <f t="shared" si="938"/>
        <v>121</v>
      </c>
      <c r="F1991" s="32">
        <f t="shared" si="938"/>
        <v>30</v>
      </c>
      <c r="G1991" s="33">
        <f t="shared" si="938"/>
        <v>29</v>
      </c>
      <c r="H1991" s="34">
        <f t="shared" si="938"/>
        <v>23</v>
      </c>
      <c r="I1991" s="42">
        <f t="shared" si="938"/>
        <v>82</v>
      </c>
      <c r="J1991" s="42">
        <f t="shared" si="938"/>
        <v>203</v>
      </c>
      <c r="L1991" s="39" t="s">
        <v>20</v>
      </c>
      <c r="M1991" s="32">
        <f t="shared" ref="M1991:U1991" si="939">SUM(M1982:M1990)</f>
        <v>516</v>
      </c>
      <c r="N1991" s="33">
        <f t="shared" si="939"/>
        <v>658</v>
      </c>
      <c r="O1991" s="34">
        <f t="shared" si="939"/>
        <v>405</v>
      </c>
      <c r="P1991" s="42">
        <f t="shared" si="939"/>
        <v>1579</v>
      </c>
      <c r="Q1991" s="32">
        <f t="shared" si="939"/>
        <v>476</v>
      </c>
      <c r="R1991" s="33">
        <f t="shared" si="939"/>
        <v>471</v>
      </c>
      <c r="S1991" s="34">
        <f t="shared" si="939"/>
        <v>288</v>
      </c>
      <c r="T1991" s="42">
        <f t="shared" si="939"/>
        <v>1235</v>
      </c>
      <c r="U1991" s="42">
        <f t="shared" si="939"/>
        <v>2814</v>
      </c>
      <c r="W1991" s="39" t="s">
        <v>20</v>
      </c>
      <c r="X1991" s="32">
        <f t="shared" ref="X1991:AF1991" si="940">SUM(X1982:X1990)</f>
        <v>0</v>
      </c>
      <c r="Y1991" s="33">
        <f t="shared" si="940"/>
        <v>0</v>
      </c>
      <c r="Z1991" s="34">
        <f t="shared" si="940"/>
        <v>0</v>
      </c>
      <c r="AA1991" s="42">
        <f t="shared" si="940"/>
        <v>0</v>
      </c>
      <c r="AB1991" s="32">
        <f t="shared" si="940"/>
        <v>0</v>
      </c>
      <c r="AC1991" s="33">
        <f t="shared" si="940"/>
        <v>0</v>
      </c>
      <c r="AD1991" s="34">
        <f t="shared" si="940"/>
        <v>0</v>
      </c>
      <c r="AE1991" s="42">
        <f t="shared" si="940"/>
        <v>0</v>
      </c>
      <c r="AF1991" s="42">
        <f t="shared" si="940"/>
        <v>0</v>
      </c>
    </row>
    <row r="1992" spans="1:32" x14ac:dyDescent="0.15">
      <c r="A1992" s="27" t="s">
        <v>933</v>
      </c>
      <c r="B1992" s="13">
        <v>4</v>
      </c>
      <c r="C1992" s="14">
        <v>2</v>
      </c>
      <c r="D1992" s="15">
        <v>2</v>
      </c>
      <c r="E1992" s="11">
        <f>SUM(B1992:D1992)</f>
        <v>8</v>
      </c>
      <c r="F1992" s="16"/>
      <c r="G1992" s="14"/>
      <c r="H1992" s="15"/>
      <c r="I1992" s="11">
        <f>SUM(F1992:H1992)</f>
        <v>0</v>
      </c>
      <c r="J1992" s="11">
        <f>E1992+I1992</f>
        <v>8</v>
      </c>
      <c r="K1992" s="71">
        <v>44107</v>
      </c>
      <c r="L1992" s="27" t="s">
        <v>932</v>
      </c>
      <c r="M1992" s="8"/>
      <c r="N1992" s="9">
        <v>50</v>
      </c>
      <c r="O1992" s="10">
        <v>20</v>
      </c>
      <c r="P1992" s="11">
        <f>SUM(M1992:O1992)</f>
        <v>70</v>
      </c>
      <c r="Q1992" s="12">
        <v>10</v>
      </c>
      <c r="R1992" s="9"/>
      <c r="S1992" s="10"/>
      <c r="T1992" s="11">
        <f>SUM(Q1992:S1992)</f>
        <v>10</v>
      </c>
      <c r="U1992" s="11">
        <f t="shared" ref="U1992:U2016" si="941">P1992+T1992</f>
        <v>80</v>
      </c>
      <c r="V1992" s="65">
        <v>44104</v>
      </c>
      <c r="W1992" s="86"/>
      <c r="X1992" s="8"/>
      <c r="Y1992" s="9"/>
      <c r="Z1992" s="10"/>
      <c r="AA1992" s="11">
        <f>SUM(X1992:Z1992)</f>
        <v>0</v>
      </c>
      <c r="AB1992" s="12"/>
      <c r="AC1992" s="9"/>
      <c r="AD1992" s="10"/>
      <c r="AE1992" s="11">
        <f>SUM(AB1992:AD1992)</f>
        <v>0</v>
      </c>
      <c r="AF1992" s="11">
        <f t="shared" ref="AF1992:AF2017" si="942">AA1992+AE1992</f>
        <v>0</v>
      </c>
    </row>
    <row r="1993" spans="1:32" x14ac:dyDescent="0.15">
      <c r="A1993" s="27" t="s">
        <v>207</v>
      </c>
      <c r="B1993" s="13">
        <v>2</v>
      </c>
      <c r="C1993" s="14"/>
      <c r="D1993" s="15"/>
      <c r="E1993" s="11">
        <f t="shared" ref="E1993:E2017" si="943">SUM(B1993:D1993)</f>
        <v>2</v>
      </c>
      <c r="F1993" s="16"/>
      <c r="G1993" s="14"/>
      <c r="H1993" s="15"/>
      <c r="I1993" s="11">
        <f>SUM(F1993:H1993)</f>
        <v>0</v>
      </c>
      <c r="J1993" s="11">
        <f t="shared" ref="J1993:J2017" si="944">E1993+I1993</f>
        <v>2</v>
      </c>
      <c r="K1993" s="71">
        <v>44111</v>
      </c>
      <c r="L1993" s="27" t="s">
        <v>934</v>
      </c>
      <c r="M1993" s="8">
        <v>70</v>
      </c>
      <c r="N1993" s="9">
        <v>150</v>
      </c>
      <c r="O1993" s="10">
        <v>90</v>
      </c>
      <c r="P1993" s="11">
        <f>SUM(M1993:O1993)</f>
        <v>310</v>
      </c>
      <c r="Q1993" s="12">
        <v>40</v>
      </c>
      <c r="R1993" s="9">
        <v>120</v>
      </c>
      <c r="S1993" s="10">
        <v>40</v>
      </c>
      <c r="T1993" s="11">
        <f>SUM(Q1993:S1993)</f>
        <v>200</v>
      </c>
      <c r="U1993" s="11">
        <f t="shared" si="941"/>
        <v>510</v>
      </c>
      <c r="V1993" s="65">
        <v>44119</v>
      </c>
      <c r="W1993" s="86"/>
      <c r="X1993" s="8"/>
      <c r="Y1993" s="9"/>
      <c r="Z1993" s="10"/>
      <c r="AA1993" s="11">
        <f>SUM(X1993:Z1993)</f>
        <v>0</v>
      </c>
      <c r="AB1993" s="12"/>
      <c r="AC1993" s="9"/>
      <c r="AD1993" s="10"/>
      <c r="AE1993" s="11">
        <f>SUM(AB1993:AD1993)</f>
        <v>0</v>
      </c>
      <c r="AF1993" s="11">
        <f t="shared" si="942"/>
        <v>0</v>
      </c>
    </row>
    <row r="1994" spans="1:32" x14ac:dyDescent="0.15">
      <c r="A1994" s="27" t="s">
        <v>207</v>
      </c>
      <c r="B1994" s="8"/>
      <c r="C1994" s="9">
        <v>1</v>
      </c>
      <c r="D1994" s="10"/>
      <c r="E1994" s="11">
        <f t="shared" si="943"/>
        <v>1</v>
      </c>
      <c r="F1994" s="12"/>
      <c r="G1994" s="9">
        <v>1</v>
      </c>
      <c r="H1994" s="10"/>
      <c r="I1994" s="11">
        <f t="shared" ref="I1994:I1995" si="945">SUM(F1994:H1994)</f>
        <v>1</v>
      </c>
      <c r="J1994" s="11">
        <f t="shared" si="944"/>
        <v>2</v>
      </c>
      <c r="K1994" s="71">
        <v>44116</v>
      </c>
      <c r="L1994" s="27" t="s">
        <v>935</v>
      </c>
      <c r="M1994" s="8">
        <v>10</v>
      </c>
      <c r="N1994" s="9">
        <v>15</v>
      </c>
      <c r="O1994" s="10">
        <v>15</v>
      </c>
      <c r="P1994" s="11">
        <f t="shared" ref="P1994:P2016" si="946">SUM(M1994:O1994)</f>
        <v>40</v>
      </c>
      <c r="Q1994" s="12">
        <v>15</v>
      </c>
      <c r="R1994" s="9">
        <v>15</v>
      </c>
      <c r="S1994" s="10">
        <v>5</v>
      </c>
      <c r="T1994" s="11">
        <f t="shared" ref="T1994:T2016" si="947">SUM(Q1994:S1994)</f>
        <v>35</v>
      </c>
      <c r="U1994" s="11">
        <f t="shared" si="941"/>
        <v>75</v>
      </c>
      <c r="V1994" s="65">
        <v>44120</v>
      </c>
      <c r="W1994" s="86"/>
      <c r="X1994" s="8"/>
      <c r="Y1994" s="9"/>
      <c r="Z1994" s="10"/>
      <c r="AA1994" s="11">
        <f t="shared" ref="AA1994:AA2017" si="948">SUM(X1994:Z1994)</f>
        <v>0</v>
      </c>
      <c r="AB1994" s="12"/>
      <c r="AC1994" s="9"/>
      <c r="AD1994" s="10"/>
      <c r="AE1994" s="11">
        <f t="shared" ref="AE1994:AE2017" si="949">SUM(AB1994:AD1994)</f>
        <v>0</v>
      </c>
      <c r="AF1994" s="11">
        <f t="shared" si="942"/>
        <v>0</v>
      </c>
    </row>
    <row r="1995" spans="1:32" x14ac:dyDescent="0.15">
      <c r="A1995" s="27" t="s">
        <v>207</v>
      </c>
      <c r="B1995" s="8"/>
      <c r="C1995" s="9"/>
      <c r="D1995" s="10"/>
      <c r="E1995" s="11">
        <f t="shared" si="943"/>
        <v>0</v>
      </c>
      <c r="F1995" s="12">
        <v>1</v>
      </c>
      <c r="G1995" s="9"/>
      <c r="H1995" s="10"/>
      <c r="I1995" s="11">
        <f t="shared" si="945"/>
        <v>1</v>
      </c>
      <c r="J1995" s="11">
        <f t="shared" si="944"/>
        <v>1</v>
      </c>
      <c r="K1995" s="71">
        <v>44132</v>
      </c>
      <c r="L1995" s="27" t="s">
        <v>936</v>
      </c>
      <c r="M1995" s="8">
        <v>24</v>
      </c>
      <c r="N1995" s="9">
        <v>48</v>
      </c>
      <c r="O1995" s="10">
        <v>23</v>
      </c>
      <c r="P1995" s="11">
        <f t="shared" si="946"/>
        <v>95</v>
      </c>
      <c r="Q1995" s="12">
        <v>6</v>
      </c>
      <c r="R1995" s="9"/>
      <c r="S1995" s="10">
        <v>14</v>
      </c>
      <c r="T1995" s="11">
        <f t="shared" si="947"/>
        <v>20</v>
      </c>
      <c r="U1995" s="11">
        <f t="shared" si="941"/>
        <v>115</v>
      </c>
      <c r="V1995" s="65">
        <v>44125</v>
      </c>
      <c r="W1995" s="86"/>
      <c r="X1995" s="8"/>
      <c r="Y1995" s="9"/>
      <c r="Z1995" s="10"/>
      <c r="AA1995" s="11">
        <f t="shared" si="948"/>
        <v>0</v>
      </c>
      <c r="AB1995" s="12"/>
      <c r="AC1995" s="9"/>
      <c r="AD1995" s="10"/>
      <c r="AE1995" s="11">
        <f t="shared" si="949"/>
        <v>0</v>
      </c>
      <c r="AF1995" s="11">
        <f t="shared" si="942"/>
        <v>0</v>
      </c>
    </row>
    <row r="1996" spans="1:32" x14ac:dyDescent="0.15">
      <c r="A1996" s="27" t="s">
        <v>933</v>
      </c>
      <c r="B1996" s="8">
        <v>16</v>
      </c>
      <c r="C1996" s="9">
        <v>8</v>
      </c>
      <c r="D1996" s="10">
        <v>11</v>
      </c>
      <c r="E1996" s="11">
        <f t="shared" si="943"/>
        <v>35</v>
      </c>
      <c r="F1996" s="12">
        <v>4</v>
      </c>
      <c r="G1996" s="9">
        <v>8</v>
      </c>
      <c r="H1996" s="10">
        <v>5</v>
      </c>
      <c r="I1996" s="11">
        <f>SUM(F1996:H1996)</f>
        <v>17</v>
      </c>
      <c r="J1996" s="11">
        <f t="shared" si="944"/>
        <v>52</v>
      </c>
      <c r="K1996" s="65">
        <v>44135</v>
      </c>
      <c r="L1996" s="6" t="s">
        <v>942</v>
      </c>
      <c r="M1996" s="8">
        <v>5</v>
      </c>
      <c r="N1996" s="9"/>
      <c r="O1996" s="10">
        <v>5</v>
      </c>
      <c r="P1996" s="11">
        <f t="shared" si="946"/>
        <v>10</v>
      </c>
      <c r="Q1996" s="12"/>
      <c r="R1996" s="9">
        <v>5</v>
      </c>
      <c r="S1996" s="10"/>
      <c r="T1996" s="11">
        <f t="shared" si="947"/>
        <v>5</v>
      </c>
      <c r="U1996" s="11">
        <f t="shared" si="941"/>
        <v>15</v>
      </c>
      <c r="V1996" s="65">
        <v>44162</v>
      </c>
      <c r="W1996" s="86"/>
      <c r="X1996" s="8"/>
      <c r="Y1996" s="9"/>
      <c r="Z1996" s="10"/>
      <c r="AA1996" s="11">
        <f t="shared" si="948"/>
        <v>0</v>
      </c>
      <c r="AB1996" s="12"/>
      <c r="AC1996" s="9"/>
      <c r="AD1996" s="10"/>
      <c r="AE1996" s="11">
        <f t="shared" si="949"/>
        <v>0</v>
      </c>
      <c r="AF1996" s="11">
        <f t="shared" si="942"/>
        <v>0</v>
      </c>
    </row>
    <row r="1997" spans="1:32" x14ac:dyDescent="0.15">
      <c r="A1997" s="27" t="s">
        <v>207</v>
      </c>
      <c r="B1997" s="8"/>
      <c r="C1997" s="9"/>
      <c r="D1997" s="10"/>
      <c r="E1997" s="11">
        <f t="shared" si="943"/>
        <v>0</v>
      </c>
      <c r="F1997" s="12"/>
      <c r="G1997" s="9">
        <v>1</v>
      </c>
      <c r="H1997" s="10"/>
      <c r="I1997" s="11">
        <f>SUM(F1997:H1997)</f>
        <v>1</v>
      </c>
      <c r="J1997" s="11">
        <f t="shared" si="944"/>
        <v>1</v>
      </c>
      <c r="K1997" s="71">
        <v>44134</v>
      </c>
      <c r="L1997" s="6" t="s">
        <v>41</v>
      </c>
      <c r="M1997" s="8"/>
      <c r="N1997" s="9"/>
      <c r="O1997" s="10"/>
      <c r="P1997" s="11">
        <f t="shared" si="946"/>
        <v>0</v>
      </c>
      <c r="Q1997" s="12">
        <v>5</v>
      </c>
      <c r="R1997" s="9"/>
      <c r="S1997" s="10"/>
      <c r="T1997" s="11">
        <f t="shared" si="947"/>
        <v>5</v>
      </c>
      <c r="U1997" s="11">
        <f t="shared" si="941"/>
        <v>5</v>
      </c>
      <c r="V1997" s="65">
        <v>44173</v>
      </c>
      <c r="W1997" s="29"/>
      <c r="X1997" s="8"/>
      <c r="Y1997" s="9"/>
      <c r="Z1997" s="10"/>
      <c r="AA1997" s="11">
        <f t="shared" si="948"/>
        <v>0</v>
      </c>
      <c r="AB1997" s="12"/>
      <c r="AC1997" s="9"/>
      <c r="AD1997" s="10"/>
      <c r="AE1997" s="11">
        <f t="shared" si="949"/>
        <v>0</v>
      </c>
      <c r="AF1997" s="11">
        <f t="shared" si="942"/>
        <v>0</v>
      </c>
    </row>
    <row r="1998" spans="1:32" x14ac:dyDescent="0.15">
      <c r="A1998" s="27" t="s">
        <v>207</v>
      </c>
      <c r="B1998" s="8">
        <v>1</v>
      </c>
      <c r="C1998" s="9"/>
      <c r="D1998" s="10"/>
      <c r="E1998" s="11">
        <f t="shared" si="943"/>
        <v>1</v>
      </c>
      <c r="F1998" s="140"/>
      <c r="G1998" s="140"/>
      <c r="H1998" s="10"/>
      <c r="I1998" s="11">
        <f t="shared" ref="I1998:I2017" si="950">SUM(F1998:H1998)</f>
        <v>0</v>
      </c>
      <c r="J1998" s="11">
        <f t="shared" si="944"/>
        <v>1</v>
      </c>
      <c r="K1998" s="71">
        <v>44137</v>
      </c>
      <c r="L1998" s="6" t="s">
        <v>41</v>
      </c>
      <c r="M1998" s="8"/>
      <c r="N1998" s="9"/>
      <c r="O1998" s="10">
        <v>3</v>
      </c>
      <c r="P1998" s="11">
        <f t="shared" si="946"/>
        <v>3</v>
      </c>
      <c r="Q1998" s="12"/>
      <c r="R1998" s="9"/>
      <c r="S1998" s="10"/>
      <c r="T1998" s="11">
        <f t="shared" si="947"/>
        <v>0</v>
      </c>
      <c r="U1998" s="11">
        <f t="shared" si="941"/>
        <v>3</v>
      </c>
      <c r="V1998" s="65">
        <v>44188</v>
      </c>
      <c r="W1998" s="86"/>
      <c r="X1998" s="8"/>
      <c r="Y1998" s="9"/>
      <c r="Z1998" s="10"/>
      <c r="AA1998" s="11">
        <f t="shared" si="948"/>
        <v>0</v>
      </c>
      <c r="AB1998" s="12"/>
      <c r="AC1998" s="9"/>
      <c r="AD1998" s="10"/>
      <c r="AE1998" s="11">
        <f t="shared" si="949"/>
        <v>0</v>
      </c>
      <c r="AF1998" s="11">
        <f t="shared" si="942"/>
        <v>0</v>
      </c>
    </row>
    <row r="1999" spans="1:32" x14ac:dyDescent="0.15">
      <c r="A1999" s="27" t="s">
        <v>207</v>
      </c>
      <c r="B1999" s="8"/>
      <c r="C1999" s="9"/>
      <c r="D1999" s="10"/>
      <c r="E1999" s="11">
        <f t="shared" si="943"/>
        <v>0</v>
      </c>
      <c r="F1999" s="12"/>
      <c r="G1999" s="9"/>
      <c r="H1999" s="10">
        <v>1</v>
      </c>
      <c r="I1999" s="11">
        <f t="shared" si="950"/>
        <v>1</v>
      </c>
      <c r="J1999" s="11">
        <f t="shared" si="944"/>
        <v>1</v>
      </c>
      <c r="K1999" s="71">
        <v>44146</v>
      </c>
      <c r="L1999" s="86" t="s">
        <v>950</v>
      </c>
      <c r="M1999" s="8"/>
      <c r="N1999" s="9"/>
      <c r="O1999" s="10"/>
      <c r="P1999" s="11">
        <f t="shared" si="946"/>
        <v>0</v>
      </c>
      <c r="Q1999" s="12">
        <v>2</v>
      </c>
      <c r="R1999" s="9"/>
      <c r="S1999" s="10"/>
      <c r="T1999" s="11">
        <f t="shared" si="947"/>
        <v>2</v>
      </c>
      <c r="U1999" s="11">
        <f t="shared" si="941"/>
        <v>2</v>
      </c>
      <c r="V1999" s="65">
        <v>44210</v>
      </c>
      <c r="W1999" s="29"/>
      <c r="X1999" s="8"/>
      <c r="Y1999" s="9"/>
      <c r="Z1999" s="10"/>
      <c r="AA1999" s="11">
        <f t="shared" si="948"/>
        <v>0</v>
      </c>
      <c r="AB1999" s="12"/>
      <c r="AC1999" s="9"/>
      <c r="AD1999" s="10"/>
      <c r="AE1999" s="11">
        <f t="shared" si="949"/>
        <v>0</v>
      </c>
      <c r="AF1999" s="11">
        <f t="shared" si="942"/>
        <v>0</v>
      </c>
    </row>
    <row r="2000" spans="1:32" x14ac:dyDescent="0.15">
      <c r="A2000" s="27" t="s">
        <v>207</v>
      </c>
      <c r="B2000" s="13"/>
      <c r="C2000" s="14"/>
      <c r="D2000" s="15">
        <v>1</v>
      </c>
      <c r="E2000" s="11">
        <f t="shared" si="943"/>
        <v>1</v>
      </c>
      <c r="F2000" s="16"/>
      <c r="G2000" s="14"/>
      <c r="H2000" s="15"/>
      <c r="I2000" s="11">
        <f t="shared" si="950"/>
        <v>0</v>
      </c>
      <c r="J2000" s="11">
        <f t="shared" si="944"/>
        <v>1</v>
      </c>
      <c r="K2000" s="71">
        <v>44147</v>
      </c>
      <c r="L2000" s="29"/>
      <c r="M2000" s="8"/>
      <c r="N2000" s="9"/>
      <c r="O2000" s="10"/>
      <c r="P2000" s="11">
        <f t="shared" si="946"/>
        <v>0</v>
      </c>
      <c r="Q2000" s="12"/>
      <c r="R2000" s="9"/>
      <c r="S2000" s="10"/>
      <c r="T2000" s="11">
        <f t="shared" si="947"/>
        <v>0</v>
      </c>
      <c r="U2000" s="11">
        <f t="shared" si="941"/>
        <v>0</v>
      </c>
      <c r="V2000" s="64"/>
      <c r="W2000" s="29"/>
      <c r="X2000" s="8"/>
      <c r="Y2000" s="9"/>
      <c r="Z2000" s="10"/>
      <c r="AA2000" s="11">
        <f t="shared" si="948"/>
        <v>0</v>
      </c>
      <c r="AB2000" s="12"/>
      <c r="AC2000" s="9"/>
      <c r="AD2000" s="10"/>
      <c r="AE2000" s="11">
        <f t="shared" si="949"/>
        <v>0</v>
      </c>
      <c r="AF2000" s="11">
        <f t="shared" si="942"/>
        <v>0</v>
      </c>
    </row>
    <row r="2001" spans="1:32" x14ac:dyDescent="0.15">
      <c r="A2001" s="27" t="s">
        <v>207</v>
      </c>
      <c r="B2001" s="13"/>
      <c r="C2001" s="14">
        <v>1</v>
      </c>
      <c r="D2001" s="15"/>
      <c r="E2001" s="11">
        <f t="shared" si="943"/>
        <v>1</v>
      </c>
      <c r="F2001" s="16"/>
      <c r="G2001" s="14">
        <v>1</v>
      </c>
      <c r="H2001" s="15"/>
      <c r="I2001" s="11">
        <f t="shared" si="950"/>
        <v>1</v>
      </c>
      <c r="J2001" s="11">
        <f t="shared" si="944"/>
        <v>2</v>
      </c>
      <c r="K2001" s="71">
        <v>44151</v>
      </c>
      <c r="L2001" s="29"/>
      <c r="M2001" s="13"/>
      <c r="N2001" s="14"/>
      <c r="O2001" s="15"/>
      <c r="P2001" s="11">
        <f t="shared" si="946"/>
        <v>0</v>
      </c>
      <c r="Q2001" s="16"/>
      <c r="R2001" s="14"/>
      <c r="S2001" s="15"/>
      <c r="T2001" s="11">
        <f t="shared" si="947"/>
        <v>0</v>
      </c>
      <c r="U2001" s="11">
        <f t="shared" si="941"/>
        <v>0</v>
      </c>
      <c r="W2001" s="29"/>
      <c r="X2001" s="13"/>
      <c r="Y2001" s="14"/>
      <c r="Z2001" s="15"/>
      <c r="AA2001" s="11">
        <f t="shared" si="948"/>
        <v>0</v>
      </c>
      <c r="AB2001" s="16"/>
      <c r="AC2001" s="14"/>
      <c r="AD2001" s="15"/>
      <c r="AE2001" s="11">
        <f t="shared" si="949"/>
        <v>0</v>
      </c>
      <c r="AF2001" s="11">
        <f t="shared" si="942"/>
        <v>0</v>
      </c>
    </row>
    <row r="2002" spans="1:32" x14ac:dyDescent="0.15">
      <c r="A2002" s="27" t="s">
        <v>848</v>
      </c>
      <c r="B2002" s="8">
        <v>8</v>
      </c>
      <c r="C2002" s="9">
        <v>3</v>
      </c>
      <c r="D2002" s="10">
        <v>6</v>
      </c>
      <c r="E2002" s="11">
        <f t="shared" si="943"/>
        <v>17</v>
      </c>
      <c r="F2002" s="12">
        <v>11</v>
      </c>
      <c r="G2002" s="9"/>
      <c r="H2002" s="10"/>
      <c r="I2002" s="11">
        <f t="shared" si="950"/>
        <v>11</v>
      </c>
      <c r="J2002" s="11">
        <f t="shared" si="944"/>
        <v>28</v>
      </c>
      <c r="K2002" s="71">
        <v>44156</v>
      </c>
      <c r="L2002" s="29"/>
      <c r="M2002" s="8"/>
      <c r="N2002" s="9"/>
      <c r="O2002" s="10"/>
      <c r="P2002" s="11">
        <f t="shared" si="946"/>
        <v>0</v>
      </c>
      <c r="Q2002" s="12"/>
      <c r="R2002" s="9"/>
      <c r="S2002" s="10"/>
      <c r="T2002" s="11">
        <f t="shared" si="947"/>
        <v>0</v>
      </c>
      <c r="U2002" s="11">
        <f t="shared" si="941"/>
        <v>0</v>
      </c>
      <c r="W2002" s="29"/>
      <c r="X2002" s="8"/>
      <c r="Y2002" s="9"/>
      <c r="Z2002" s="10"/>
      <c r="AA2002" s="11">
        <f t="shared" si="948"/>
        <v>0</v>
      </c>
      <c r="AB2002" s="12"/>
      <c r="AC2002" s="9"/>
      <c r="AD2002" s="10"/>
      <c r="AE2002" s="11">
        <f t="shared" si="949"/>
        <v>0</v>
      </c>
      <c r="AF2002" s="11">
        <f t="shared" si="942"/>
        <v>0</v>
      </c>
    </row>
    <row r="2003" spans="1:32" x14ac:dyDescent="0.15">
      <c r="A2003" s="27" t="s">
        <v>207</v>
      </c>
      <c r="B2003" s="8"/>
      <c r="C2003" s="9"/>
      <c r="D2003" s="10">
        <v>2</v>
      </c>
      <c r="E2003" s="11">
        <f t="shared" si="943"/>
        <v>2</v>
      </c>
      <c r="F2003" s="12"/>
      <c r="G2003" s="9">
        <v>1</v>
      </c>
      <c r="H2003" s="10"/>
      <c r="I2003" s="11">
        <f t="shared" si="950"/>
        <v>1</v>
      </c>
      <c r="J2003" s="11">
        <f t="shared" si="944"/>
        <v>3</v>
      </c>
      <c r="K2003" s="71">
        <v>44159</v>
      </c>
      <c r="L2003" s="29"/>
      <c r="M2003" s="8"/>
      <c r="N2003" s="9"/>
      <c r="O2003" s="10"/>
      <c r="P2003" s="11">
        <f t="shared" si="946"/>
        <v>0</v>
      </c>
      <c r="Q2003" s="12"/>
      <c r="R2003" s="9"/>
      <c r="S2003" s="10"/>
      <c r="T2003" s="11">
        <f t="shared" si="947"/>
        <v>0</v>
      </c>
      <c r="U2003" s="11">
        <f t="shared" si="941"/>
        <v>0</v>
      </c>
      <c r="W2003" s="29"/>
      <c r="X2003" s="8"/>
      <c r="Y2003" s="9"/>
      <c r="Z2003" s="10"/>
      <c r="AA2003" s="11">
        <f t="shared" si="948"/>
        <v>0</v>
      </c>
      <c r="AB2003" s="12"/>
      <c r="AC2003" s="9"/>
      <c r="AD2003" s="10"/>
      <c r="AE2003" s="11">
        <f t="shared" si="949"/>
        <v>0</v>
      </c>
      <c r="AF2003" s="11">
        <f t="shared" si="942"/>
        <v>0</v>
      </c>
    </row>
    <row r="2004" spans="1:32" x14ac:dyDescent="0.15">
      <c r="A2004" s="27" t="s">
        <v>848</v>
      </c>
      <c r="B2004" s="8">
        <v>1</v>
      </c>
      <c r="C2004" s="9">
        <v>2</v>
      </c>
      <c r="D2004" s="10"/>
      <c r="E2004" s="11">
        <f t="shared" si="943"/>
        <v>3</v>
      </c>
      <c r="F2004" s="12"/>
      <c r="G2004" s="9"/>
      <c r="H2004" s="10">
        <v>1</v>
      </c>
      <c r="I2004" s="11">
        <f t="shared" si="950"/>
        <v>1</v>
      </c>
      <c r="J2004" s="11">
        <f t="shared" si="944"/>
        <v>4</v>
      </c>
      <c r="K2004" s="71">
        <v>44170</v>
      </c>
      <c r="L2004" s="27"/>
      <c r="M2004" s="8"/>
      <c r="N2004" s="9"/>
      <c r="O2004" s="10"/>
      <c r="P2004" s="11">
        <f t="shared" si="946"/>
        <v>0</v>
      </c>
      <c r="Q2004" s="12"/>
      <c r="R2004" s="9"/>
      <c r="S2004" s="10"/>
      <c r="T2004" s="11">
        <f t="shared" si="947"/>
        <v>0</v>
      </c>
      <c r="U2004" s="11">
        <f t="shared" si="941"/>
        <v>0</v>
      </c>
      <c r="W2004" s="27"/>
      <c r="X2004" s="8"/>
      <c r="Y2004" s="9"/>
      <c r="Z2004" s="10"/>
      <c r="AA2004" s="11">
        <f t="shared" si="948"/>
        <v>0</v>
      </c>
      <c r="AB2004" s="12"/>
      <c r="AC2004" s="9"/>
      <c r="AD2004" s="10"/>
      <c r="AE2004" s="11">
        <f t="shared" si="949"/>
        <v>0</v>
      </c>
      <c r="AF2004" s="11">
        <f t="shared" si="942"/>
        <v>0</v>
      </c>
    </row>
    <row r="2005" spans="1:32" x14ac:dyDescent="0.15">
      <c r="A2005" s="27" t="s">
        <v>207</v>
      </c>
      <c r="B2005" s="8"/>
      <c r="C2005" s="9"/>
      <c r="D2005" s="10">
        <v>4</v>
      </c>
      <c r="E2005" s="11">
        <f t="shared" si="943"/>
        <v>4</v>
      </c>
      <c r="F2005" s="12">
        <v>4</v>
      </c>
      <c r="G2005" s="9"/>
      <c r="H2005" s="10"/>
      <c r="I2005" s="11">
        <f t="shared" si="950"/>
        <v>4</v>
      </c>
      <c r="J2005" s="11">
        <f t="shared" si="944"/>
        <v>8</v>
      </c>
      <c r="K2005" s="71">
        <v>44172</v>
      </c>
      <c r="L2005" s="29"/>
      <c r="M2005" s="8"/>
      <c r="N2005" s="9"/>
      <c r="O2005" s="10"/>
      <c r="P2005" s="11">
        <f t="shared" si="946"/>
        <v>0</v>
      </c>
      <c r="Q2005" s="12"/>
      <c r="R2005" s="9"/>
      <c r="S2005" s="10"/>
      <c r="T2005" s="11">
        <f t="shared" si="947"/>
        <v>0</v>
      </c>
      <c r="U2005" s="11">
        <f t="shared" si="941"/>
        <v>0</v>
      </c>
      <c r="W2005" s="29"/>
      <c r="X2005" s="8"/>
      <c r="Y2005" s="9"/>
      <c r="Z2005" s="10"/>
      <c r="AA2005" s="11">
        <f t="shared" si="948"/>
        <v>0</v>
      </c>
      <c r="AB2005" s="12"/>
      <c r="AC2005" s="9"/>
      <c r="AD2005" s="10"/>
      <c r="AE2005" s="11">
        <f t="shared" si="949"/>
        <v>0</v>
      </c>
      <c r="AF2005" s="11">
        <f t="shared" si="942"/>
        <v>0</v>
      </c>
    </row>
    <row r="2006" spans="1:32" x14ac:dyDescent="0.15">
      <c r="A2006" s="27" t="s">
        <v>207</v>
      </c>
      <c r="B2006" s="8">
        <v>4</v>
      </c>
      <c r="C2006" s="9"/>
      <c r="D2006" s="10"/>
      <c r="E2006" s="11">
        <f t="shared" si="943"/>
        <v>4</v>
      </c>
      <c r="F2006" s="12">
        <v>2</v>
      </c>
      <c r="G2006" s="9"/>
      <c r="H2006" s="10"/>
      <c r="I2006" s="11">
        <f t="shared" si="950"/>
        <v>2</v>
      </c>
      <c r="J2006" s="11">
        <f t="shared" si="944"/>
        <v>6</v>
      </c>
      <c r="K2006" s="71">
        <v>44173</v>
      </c>
      <c r="L2006" s="29"/>
      <c r="M2006" s="8"/>
      <c r="N2006" s="9"/>
      <c r="O2006" s="10"/>
      <c r="P2006" s="11">
        <f t="shared" si="946"/>
        <v>0</v>
      </c>
      <c r="Q2006" s="12"/>
      <c r="R2006" s="9"/>
      <c r="S2006" s="10"/>
      <c r="T2006" s="11">
        <f t="shared" si="947"/>
        <v>0</v>
      </c>
      <c r="U2006" s="11">
        <f t="shared" si="941"/>
        <v>0</v>
      </c>
      <c r="W2006" s="29"/>
      <c r="X2006" s="8"/>
      <c r="Y2006" s="9"/>
      <c r="Z2006" s="10"/>
      <c r="AA2006" s="11">
        <f t="shared" si="948"/>
        <v>0</v>
      </c>
      <c r="AB2006" s="12"/>
      <c r="AC2006" s="9"/>
      <c r="AD2006" s="10"/>
      <c r="AE2006" s="11">
        <f t="shared" si="949"/>
        <v>0</v>
      </c>
      <c r="AF2006" s="11">
        <f t="shared" si="942"/>
        <v>0</v>
      </c>
    </row>
    <row r="2007" spans="1:32" x14ac:dyDescent="0.15">
      <c r="A2007" s="27" t="s">
        <v>945</v>
      </c>
      <c r="B2007" s="8">
        <v>-1</v>
      </c>
      <c r="C2007" s="9"/>
      <c r="D2007" s="10"/>
      <c r="E2007" s="11">
        <f t="shared" si="943"/>
        <v>-1</v>
      </c>
      <c r="F2007" s="12"/>
      <c r="G2007" s="9"/>
      <c r="H2007" s="10"/>
      <c r="I2007" s="11">
        <f t="shared" si="950"/>
        <v>0</v>
      </c>
      <c r="J2007" s="11">
        <f t="shared" si="944"/>
        <v>-1</v>
      </c>
      <c r="K2007" s="71">
        <v>44174</v>
      </c>
      <c r="L2007" s="27"/>
      <c r="M2007" s="8"/>
      <c r="N2007" s="9"/>
      <c r="O2007" s="10"/>
      <c r="P2007" s="11">
        <f t="shared" si="946"/>
        <v>0</v>
      </c>
      <c r="Q2007" s="12"/>
      <c r="R2007" s="9"/>
      <c r="S2007" s="10"/>
      <c r="T2007" s="11">
        <f t="shared" si="947"/>
        <v>0</v>
      </c>
      <c r="U2007" s="11">
        <f t="shared" si="941"/>
        <v>0</v>
      </c>
      <c r="W2007" s="27"/>
      <c r="X2007" s="8"/>
      <c r="Y2007" s="9"/>
      <c r="Z2007" s="10"/>
      <c r="AA2007" s="11">
        <f t="shared" si="948"/>
        <v>0</v>
      </c>
      <c r="AB2007" s="12"/>
      <c r="AC2007" s="9"/>
      <c r="AD2007" s="10"/>
      <c r="AE2007" s="11">
        <f t="shared" si="949"/>
        <v>0</v>
      </c>
      <c r="AF2007" s="11">
        <f t="shared" si="942"/>
        <v>0</v>
      </c>
    </row>
    <row r="2008" spans="1:32" x14ac:dyDescent="0.15">
      <c r="A2008" s="27" t="s">
        <v>946</v>
      </c>
      <c r="B2008" s="8">
        <v>-7</v>
      </c>
      <c r="C2008" s="9">
        <v>-11</v>
      </c>
      <c r="D2008" s="10">
        <v>-8</v>
      </c>
      <c r="E2008" s="11">
        <f t="shared" si="943"/>
        <v>-26</v>
      </c>
      <c r="F2008" s="12">
        <v>-3</v>
      </c>
      <c r="G2008" s="9">
        <v>-16</v>
      </c>
      <c r="H2008" s="10">
        <v>-6</v>
      </c>
      <c r="I2008" s="11">
        <f t="shared" si="950"/>
        <v>-25</v>
      </c>
      <c r="J2008" s="11">
        <f t="shared" si="944"/>
        <v>-51</v>
      </c>
      <c r="K2008" s="71">
        <v>44175</v>
      </c>
      <c r="L2008" s="29"/>
      <c r="M2008" s="8"/>
      <c r="N2008" s="9"/>
      <c r="O2008" s="10"/>
      <c r="P2008" s="11">
        <f t="shared" si="946"/>
        <v>0</v>
      </c>
      <c r="Q2008" s="12"/>
      <c r="R2008" s="9"/>
      <c r="S2008" s="10"/>
      <c r="T2008" s="11">
        <f t="shared" si="947"/>
        <v>0</v>
      </c>
      <c r="U2008" s="11">
        <f t="shared" si="941"/>
        <v>0</v>
      </c>
      <c r="W2008" s="29"/>
      <c r="X2008" s="8"/>
      <c r="Y2008" s="9"/>
      <c r="Z2008" s="10"/>
      <c r="AA2008" s="11">
        <f t="shared" si="948"/>
        <v>0</v>
      </c>
      <c r="AB2008" s="12"/>
      <c r="AC2008" s="9"/>
      <c r="AD2008" s="10"/>
      <c r="AE2008" s="11">
        <f t="shared" si="949"/>
        <v>0</v>
      </c>
      <c r="AF2008" s="11">
        <f t="shared" si="942"/>
        <v>0</v>
      </c>
    </row>
    <row r="2009" spans="1:32" x14ac:dyDescent="0.15">
      <c r="A2009" s="27" t="s">
        <v>207</v>
      </c>
      <c r="B2009" s="8"/>
      <c r="C2009" s="9"/>
      <c r="D2009" s="10">
        <v>1</v>
      </c>
      <c r="E2009" s="11">
        <f t="shared" si="943"/>
        <v>1</v>
      </c>
      <c r="F2009" s="12"/>
      <c r="G2009" s="9"/>
      <c r="H2009" s="10"/>
      <c r="I2009" s="11">
        <f t="shared" si="950"/>
        <v>0</v>
      </c>
      <c r="J2009" s="11">
        <f t="shared" si="944"/>
        <v>1</v>
      </c>
      <c r="K2009" s="71">
        <v>44176</v>
      </c>
      <c r="L2009" s="27"/>
      <c r="M2009" s="8"/>
      <c r="N2009" s="9"/>
      <c r="O2009" s="10"/>
      <c r="P2009" s="11">
        <f t="shared" si="946"/>
        <v>0</v>
      </c>
      <c r="Q2009" s="12"/>
      <c r="R2009" s="9"/>
      <c r="S2009" s="10"/>
      <c r="T2009" s="11">
        <f t="shared" si="947"/>
        <v>0</v>
      </c>
      <c r="U2009" s="11">
        <f t="shared" si="941"/>
        <v>0</v>
      </c>
      <c r="W2009" s="27"/>
      <c r="X2009" s="8"/>
      <c r="Y2009" s="9"/>
      <c r="Z2009" s="10"/>
      <c r="AA2009" s="11">
        <f t="shared" si="948"/>
        <v>0</v>
      </c>
      <c r="AB2009" s="12"/>
      <c r="AC2009" s="9"/>
      <c r="AD2009" s="10"/>
      <c r="AE2009" s="11">
        <f t="shared" si="949"/>
        <v>0</v>
      </c>
      <c r="AF2009" s="11">
        <f t="shared" si="942"/>
        <v>0</v>
      </c>
    </row>
    <row r="2010" spans="1:32" x14ac:dyDescent="0.15">
      <c r="A2010" s="27" t="s">
        <v>207</v>
      </c>
      <c r="B2010" s="8"/>
      <c r="C2010" s="9"/>
      <c r="D2010" s="10"/>
      <c r="E2010" s="11">
        <f t="shared" si="943"/>
        <v>0</v>
      </c>
      <c r="F2010" s="12">
        <v>1</v>
      </c>
      <c r="G2010" s="9"/>
      <c r="H2010" s="10"/>
      <c r="I2010" s="11">
        <f t="shared" si="950"/>
        <v>1</v>
      </c>
      <c r="J2010" s="11">
        <f t="shared" si="944"/>
        <v>1</v>
      </c>
      <c r="K2010" s="71">
        <v>44179</v>
      </c>
      <c r="L2010" s="26"/>
      <c r="M2010" s="8"/>
      <c r="N2010" s="9"/>
      <c r="O2010" s="10"/>
      <c r="P2010" s="11">
        <f t="shared" si="946"/>
        <v>0</v>
      </c>
      <c r="Q2010" s="12"/>
      <c r="R2010" s="9"/>
      <c r="S2010" s="10"/>
      <c r="T2010" s="11">
        <f t="shared" si="947"/>
        <v>0</v>
      </c>
      <c r="U2010" s="11">
        <f t="shared" si="941"/>
        <v>0</v>
      </c>
      <c r="W2010" s="26"/>
      <c r="X2010" s="8"/>
      <c r="Y2010" s="9"/>
      <c r="Z2010" s="10"/>
      <c r="AA2010" s="11">
        <f t="shared" si="948"/>
        <v>0</v>
      </c>
      <c r="AB2010" s="12"/>
      <c r="AC2010" s="9"/>
      <c r="AD2010" s="10"/>
      <c r="AE2010" s="11">
        <f t="shared" si="949"/>
        <v>0</v>
      </c>
      <c r="AF2010" s="11">
        <f t="shared" si="942"/>
        <v>0</v>
      </c>
    </row>
    <row r="2011" spans="1:32" x14ac:dyDescent="0.15">
      <c r="A2011" s="27" t="s">
        <v>947</v>
      </c>
      <c r="B2011" s="8">
        <v>17</v>
      </c>
      <c r="C2011" s="9">
        <v>24</v>
      </c>
      <c r="D2011" s="10">
        <v>17</v>
      </c>
      <c r="E2011" s="11">
        <f t="shared" si="943"/>
        <v>58</v>
      </c>
      <c r="F2011" s="12">
        <v>6</v>
      </c>
      <c r="G2011" s="9">
        <v>24</v>
      </c>
      <c r="H2011" s="10">
        <v>9</v>
      </c>
      <c r="I2011" s="11">
        <f t="shared" si="950"/>
        <v>39</v>
      </c>
      <c r="J2011" s="11">
        <f t="shared" si="944"/>
        <v>97</v>
      </c>
      <c r="K2011" s="71">
        <v>44184</v>
      </c>
      <c r="L2011" s="26"/>
      <c r="M2011" s="8"/>
      <c r="N2011" s="9"/>
      <c r="O2011" s="10"/>
      <c r="P2011" s="11">
        <f t="shared" si="946"/>
        <v>0</v>
      </c>
      <c r="Q2011" s="12"/>
      <c r="R2011" s="9"/>
      <c r="S2011" s="10"/>
      <c r="T2011" s="11">
        <f t="shared" si="947"/>
        <v>0</v>
      </c>
      <c r="U2011" s="11">
        <f t="shared" si="941"/>
        <v>0</v>
      </c>
      <c r="W2011" s="26"/>
      <c r="X2011" s="8"/>
      <c r="Y2011" s="9"/>
      <c r="Z2011" s="10"/>
      <c r="AA2011" s="11">
        <f t="shared" si="948"/>
        <v>0</v>
      </c>
      <c r="AB2011" s="12"/>
      <c r="AC2011" s="9"/>
      <c r="AD2011" s="10"/>
      <c r="AE2011" s="11">
        <f t="shared" si="949"/>
        <v>0</v>
      </c>
      <c r="AF2011" s="11">
        <f t="shared" si="942"/>
        <v>0</v>
      </c>
    </row>
    <row r="2012" spans="1:32" x14ac:dyDescent="0.15">
      <c r="A2012" s="27" t="s">
        <v>207</v>
      </c>
      <c r="B2012" s="8">
        <v>2</v>
      </c>
      <c r="C2012" s="9"/>
      <c r="D2012" s="10">
        <v>1</v>
      </c>
      <c r="E2012" s="11">
        <f t="shared" si="943"/>
        <v>3</v>
      </c>
      <c r="F2012" s="12"/>
      <c r="G2012" s="9"/>
      <c r="H2012" s="10"/>
      <c r="I2012" s="11">
        <f t="shared" si="950"/>
        <v>0</v>
      </c>
      <c r="J2012" s="11">
        <f t="shared" si="944"/>
        <v>3</v>
      </c>
      <c r="K2012" s="71">
        <v>44186</v>
      </c>
      <c r="L2012" s="27"/>
      <c r="M2012" s="8"/>
      <c r="N2012" s="9"/>
      <c r="O2012" s="10"/>
      <c r="P2012" s="11">
        <f t="shared" si="946"/>
        <v>0</v>
      </c>
      <c r="Q2012" s="12"/>
      <c r="R2012" s="9"/>
      <c r="S2012" s="10"/>
      <c r="T2012" s="11">
        <f t="shared" si="947"/>
        <v>0</v>
      </c>
      <c r="U2012" s="11">
        <f t="shared" si="941"/>
        <v>0</v>
      </c>
      <c r="W2012" s="27"/>
      <c r="X2012" s="8"/>
      <c r="Y2012" s="9"/>
      <c r="Z2012" s="10"/>
      <c r="AA2012" s="11">
        <f t="shared" si="948"/>
        <v>0</v>
      </c>
      <c r="AB2012" s="12"/>
      <c r="AC2012" s="9"/>
      <c r="AD2012" s="10"/>
      <c r="AE2012" s="11">
        <f t="shared" si="949"/>
        <v>0</v>
      </c>
      <c r="AF2012" s="11">
        <f t="shared" si="942"/>
        <v>0</v>
      </c>
    </row>
    <row r="2013" spans="1:32" x14ac:dyDescent="0.15">
      <c r="A2013" s="27" t="s">
        <v>948</v>
      </c>
      <c r="B2013" s="13"/>
      <c r="C2013" s="14"/>
      <c r="D2013" s="15">
        <v>-3</v>
      </c>
      <c r="E2013" s="11">
        <f t="shared" si="943"/>
        <v>-3</v>
      </c>
      <c r="F2013" s="16"/>
      <c r="G2013" s="14"/>
      <c r="H2013" s="15"/>
      <c r="I2013" s="11">
        <f t="shared" si="950"/>
        <v>0</v>
      </c>
      <c r="J2013" s="11">
        <f t="shared" si="944"/>
        <v>-3</v>
      </c>
      <c r="K2013" s="65">
        <v>44188</v>
      </c>
      <c r="L2013" s="27"/>
      <c r="M2013" s="13"/>
      <c r="N2013" s="14"/>
      <c r="O2013" s="15"/>
      <c r="P2013" s="11">
        <f t="shared" si="946"/>
        <v>0</v>
      </c>
      <c r="Q2013" s="16"/>
      <c r="R2013" s="14"/>
      <c r="S2013" s="15"/>
      <c r="T2013" s="11">
        <f t="shared" si="947"/>
        <v>0</v>
      </c>
      <c r="U2013" s="11">
        <f t="shared" si="941"/>
        <v>0</v>
      </c>
      <c r="V2013" s="64"/>
      <c r="W2013" s="27"/>
      <c r="X2013" s="13"/>
      <c r="Y2013" s="14"/>
      <c r="Z2013" s="15"/>
      <c r="AA2013" s="11">
        <f t="shared" si="948"/>
        <v>0</v>
      </c>
      <c r="AB2013" s="16"/>
      <c r="AC2013" s="14"/>
      <c r="AD2013" s="15"/>
      <c r="AE2013" s="11">
        <f t="shared" si="949"/>
        <v>0</v>
      </c>
      <c r="AF2013" s="11">
        <f t="shared" si="942"/>
        <v>0</v>
      </c>
    </row>
    <row r="2014" spans="1:32" x14ac:dyDescent="0.15">
      <c r="A2014" s="27" t="s">
        <v>207</v>
      </c>
      <c r="B2014" s="8"/>
      <c r="C2014" s="9"/>
      <c r="D2014" s="10">
        <v>1</v>
      </c>
      <c r="E2014" s="11">
        <f t="shared" si="943"/>
        <v>1</v>
      </c>
      <c r="F2014" s="12"/>
      <c r="G2014" s="9"/>
      <c r="H2014" s="10"/>
      <c r="I2014" s="11">
        <f t="shared" si="950"/>
        <v>0</v>
      </c>
      <c r="J2014" s="11">
        <f t="shared" si="944"/>
        <v>1</v>
      </c>
      <c r="K2014" s="71">
        <v>44190</v>
      </c>
      <c r="L2014" s="6"/>
      <c r="M2014" s="13"/>
      <c r="N2014" s="14"/>
      <c r="O2014" s="15"/>
      <c r="P2014" s="11">
        <f t="shared" si="946"/>
        <v>0</v>
      </c>
      <c r="Q2014" s="16"/>
      <c r="R2014" s="14"/>
      <c r="S2014" s="15"/>
      <c r="T2014" s="11">
        <f t="shared" si="947"/>
        <v>0</v>
      </c>
      <c r="U2014" s="11">
        <f t="shared" si="941"/>
        <v>0</v>
      </c>
      <c r="V2014" s="64"/>
      <c r="W2014" s="86"/>
      <c r="X2014" s="13"/>
      <c r="Y2014" s="14"/>
      <c r="Z2014" s="15"/>
      <c r="AA2014" s="11">
        <f t="shared" si="948"/>
        <v>0</v>
      </c>
      <c r="AB2014" s="16"/>
      <c r="AC2014" s="14"/>
      <c r="AD2014" s="15"/>
      <c r="AE2014" s="11">
        <f t="shared" si="949"/>
        <v>0</v>
      </c>
      <c r="AF2014" s="11">
        <f t="shared" si="942"/>
        <v>0</v>
      </c>
    </row>
    <row r="2015" spans="1:32" x14ac:dyDescent="0.15">
      <c r="A2015" s="27" t="s">
        <v>235</v>
      </c>
      <c r="B2015" s="8">
        <v>-2</v>
      </c>
      <c r="C2015" s="9"/>
      <c r="D2015" s="10"/>
      <c r="E2015" s="11">
        <f t="shared" si="943"/>
        <v>-2</v>
      </c>
      <c r="F2015" s="12"/>
      <c r="G2015" s="9"/>
      <c r="H2015" s="10"/>
      <c r="I2015" s="11">
        <f t="shared" si="950"/>
        <v>0</v>
      </c>
      <c r="J2015" s="11">
        <f t="shared" si="944"/>
        <v>-2</v>
      </c>
      <c r="K2015" s="71">
        <v>44210</v>
      </c>
      <c r="L2015" s="86"/>
      <c r="M2015" s="13"/>
      <c r="N2015" s="14"/>
      <c r="O2015" s="15"/>
      <c r="P2015" s="11">
        <f t="shared" si="946"/>
        <v>0</v>
      </c>
      <c r="Q2015" s="16"/>
      <c r="R2015" s="14"/>
      <c r="S2015" s="15"/>
      <c r="T2015" s="11">
        <f t="shared" si="947"/>
        <v>0</v>
      </c>
      <c r="U2015" s="11">
        <f t="shared" si="941"/>
        <v>0</v>
      </c>
      <c r="V2015" s="64"/>
      <c r="W2015" s="86"/>
      <c r="X2015" s="13"/>
      <c r="Y2015" s="14"/>
      <c r="Z2015" s="15"/>
      <c r="AA2015" s="11">
        <f t="shared" si="948"/>
        <v>0</v>
      </c>
      <c r="AB2015" s="16"/>
      <c r="AC2015" s="14"/>
      <c r="AD2015" s="15"/>
      <c r="AE2015" s="11">
        <f t="shared" si="949"/>
        <v>0</v>
      </c>
      <c r="AF2015" s="11">
        <f t="shared" si="942"/>
        <v>0</v>
      </c>
    </row>
    <row r="2016" spans="1:32" x14ac:dyDescent="0.15">
      <c r="A2016" s="27" t="s">
        <v>207</v>
      </c>
      <c r="B2016" s="8"/>
      <c r="C2016" s="9"/>
      <c r="D2016" s="10"/>
      <c r="E2016" s="11">
        <f t="shared" si="943"/>
        <v>0</v>
      </c>
      <c r="F2016" s="12"/>
      <c r="G2016" s="9">
        <v>1</v>
      </c>
      <c r="H2016" s="10"/>
      <c r="I2016" s="11">
        <f t="shared" si="950"/>
        <v>1</v>
      </c>
      <c r="J2016" s="11">
        <f t="shared" si="944"/>
        <v>1</v>
      </c>
      <c r="K2016" s="71">
        <v>44214</v>
      </c>
      <c r="L2016" s="27"/>
      <c r="M2016" s="13"/>
      <c r="N2016" s="14"/>
      <c r="O2016" s="15"/>
      <c r="P2016" s="11">
        <f t="shared" si="946"/>
        <v>0</v>
      </c>
      <c r="Q2016" s="16"/>
      <c r="R2016" s="14"/>
      <c r="S2016" s="15"/>
      <c r="T2016" s="11">
        <f t="shared" si="947"/>
        <v>0</v>
      </c>
      <c r="U2016" s="11">
        <f t="shared" si="941"/>
        <v>0</v>
      </c>
      <c r="V2016" s="64"/>
      <c r="W2016" s="86"/>
      <c r="X2016" s="13"/>
      <c r="Y2016" s="14"/>
      <c r="Z2016" s="15"/>
      <c r="AA2016" s="11">
        <f t="shared" si="948"/>
        <v>0</v>
      </c>
      <c r="AB2016" s="16"/>
      <c r="AC2016" s="14"/>
      <c r="AD2016" s="15"/>
      <c r="AE2016" s="11">
        <f t="shared" si="949"/>
        <v>0</v>
      </c>
      <c r="AF2016" s="11">
        <f t="shared" si="942"/>
        <v>0</v>
      </c>
    </row>
    <row r="2017" spans="1:32" ht="14.25" thickBot="1" x14ac:dyDescent="0.2">
      <c r="A2017" s="27" t="s">
        <v>207</v>
      </c>
      <c r="B2017" s="8">
        <v>3</v>
      </c>
      <c r="C2017" s="9"/>
      <c r="D2017" s="10"/>
      <c r="E2017" s="11">
        <f t="shared" si="943"/>
        <v>3</v>
      </c>
      <c r="F2017" s="12"/>
      <c r="G2017" s="9"/>
      <c r="H2017" s="10"/>
      <c r="I2017" s="11">
        <f t="shared" si="950"/>
        <v>0</v>
      </c>
      <c r="J2017" s="11">
        <f t="shared" si="944"/>
        <v>3</v>
      </c>
      <c r="K2017" s="71">
        <v>44222</v>
      </c>
      <c r="L2017" s="27" t="s">
        <v>920</v>
      </c>
      <c r="M2017" s="13"/>
      <c r="N2017" s="14"/>
      <c r="O2017" s="15"/>
      <c r="P2017" s="11">
        <f t="shared" ref="P2017" si="951">SUM(M2017:O2017)</f>
        <v>0</v>
      </c>
      <c r="Q2017" s="16"/>
      <c r="R2017" s="14"/>
      <c r="S2017" s="15"/>
      <c r="T2017" s="11">
        <f t="shared" ref="T2017" si="952">SUM(Q2017:S2017)</f>
        <v>0</v>
      </c>
      <c r="U2017" s="11">
        <f t="shared" ref="U2017" si="953">P2017+T2017</f>
        <v>0</v>
      </c>
      <c r="V2017" s="64" t="s">
        <v>923</v>
      </c>
      <c r="W2017" s="86"/>
      <c r="X2017" s="13"/>
      <c r="Y2017" s="14"/>
      <c r="Z2017" s="15"/>
      <c r="AA2017" s="11">
        <f t="shared" si="948"/>
        <v>0</v>
      </c>
      <c r="AB2017" s="16"/>
      <c r="AC2017" s="14"/>
      <c r="AD2017" s="15"/>
      <c r="AE2017" s="11">
        <f t="shared" si="949"/>
        <v>0</v>
      </c>
      <c r="AF2017" s="11">
        <f t="shared" si="942"/>
        <v>0</v>
      </c>
    </row>
    <row r="2018" spans="1:32" ht="14.25" thickBot="1" x14ac:dyDescent="0.2">
      <c r="A2018" s="44" t="s">
        <v>13</v>
      </c>
      <c r="B2018" s="48">
        <f t="shared" ref="B2018:I2018" si="954">SUM(B1992:B2017)</f>
        <v>48</v>
      </c>
      <c r="C2018" s="49">
        <f t="shared" si="954"/>
        <v>30</v>
      </c>
      <c r="D2018" s="50">
        <f t="shared" si="954"/>
        <v>35</v>
      </c>
      <c r="E2018" s="46">
        <f t="shared" si="954"/>
        <v>113</v>
      </c>
      <c r="F2018" s="48">
        <f t="shared" si="954"/>
        <v>26</v>
      </c>
      <c r="G2018" s="49">
        <f t="shared" si="954"/>
        <v>21</v>
      </c>
      <c r="H2018" s="50">
        <f t="shared" si="954"/>
        <v>10</v>
      </c>
      <c r="I2018" s="46">
        <f t="shared" si="954"/>
        <v>57</v>
      </c>
      <c r="J2018" s="35">
        <f>E2018+I2018</f>
        <v>170</v>
      </c>
      <c r="L2018" s="44" t="s">
        <v>13</v>
      </c>
      <c r="M2018" s="48">
        <f t="shared" ref="M2018:T2018" si="955">SUM(M1992:M2017)</f>
        <v>109</v>
      </c>
      <c r="N2018" s="49">
        <f t="shared" si="955"/>
        <v>263</v>
      </c>
      <c r="O2018" s="50">
        <f t="shared" si="955"/>
        <v>156</v>
      </c>
      <c r="P2018" s="46">
        <f t="shared" si="955"/>
        <v>528</v>
      </c>
      <c r="Q2018" s="48">
        <f t="shared" si="955"/>
        <v>78</v>
      </c>
      <c r="R2018" s="49">
        <f t="shared" si="955"/>
        <v>140</v>
      </c>
      <c r="S2018" s="50">
        <f t="shared" si="955"/>
        <v>59</v>
      </c>
      <c r="T2018" s="46">
        <f t="shared" si="955"/>
        <v>277</v>
      </c>
      <c r="U2018" s="35">
        <f>P2018+T2018</f>
        <v>805</v>
      </c>
      <c r="W2018" s="44" t="s">
        <v>13</v>
      </c>
      <c r="X2018" s="48">
        <f t="shared" ref="X2018:AE2018" si="956">SUM(X1992:X2017)</f>
        <v>0</v>
      </c>
      <c r="Y2018" s="49">
        <f t="shared" si="956"/>
        <v>0</v>
      </c>
      <c r="Z2018" s="50">
        <f t="shared" si="956"/>
        <v>0</v>
      </c>
      <c r="AA2018" s="46">
        <f t="shared" si="956"/>
        <v>0</v>
      </c>
      <c r="AB2018" s="48">
        <f t="shared" si="956"/>
        <v>0</v>
      </c>
      <c r="AC2018" s="49">
        <f t="shared" si="956"/>
        <v>0</v>
      </c>
      <c r="AD2018" s="50">
        <f t="shared" si="956"/>
        <v>0</v>
      </c>
      <c r="AE2018" s="46">
        <f t="shared" si="956"/>
        <v>0</v>
      </c>
      <c r="AF2018" s="35">
        <f>AA2018+AE2018</f>
        <v>0</v>
      </c>
    </row>
    <row r="2019" spans="1:32" ht="14.25" thickBot="1" x14ac:dyDescent="0.2">
      <c r="A2019" s="23" t="s">
        <v>14</v>
      </c>
      <c r="B2019" s="24">
        <f t="shared" ref="B2019:J2019" si="957">B1991-B2018</f>
        <v>2</v>
      </c>
      <c r="C2019" s="25">
        <f t="shared" si="957"/>
        <v>6</v>
      </c>
      <c r="D2019" s="30">
        <f t="shared" si="957"/>
        <v>0</v>
      </c>
      <c r="E2019" s="51">
        <f t="shared" si="957"/>
        <v>8</v>
      </c>
      <c r="F2019" s="24">
        <f t="shared" si="957"/>
        <v>4</v>
      </c>
      <c r="G2019" s="25">
        <f t="shared" si="957"/>
        <v>8</v>
      </c>
      <c r="H2019" s="30">
        <f t="shared" si="957"/>
        <v>13</v>
      </c>
      <c r="I2019" s="47">
        <f t="shared" si="957"/>
        <v>25</v>
      </c>
      <c r="J2019" s="79">
        <f t="shared" si="957"/>
        <v>33</v>
      </c>
      <c r="L2019" s="23" t="s">
        <v>14</v>
      </c>
      <c r="M2019" s="24">
        <f t="shared" ref="M2019:U2019" si="958">M1991-M2018</f>
        <v>407</v>
      </c>
      <c r="N2019" s="25">
        <f t="shared" si="958"/>
        <v>395</v>
      </c>
      <c r="O2019" s="30">
        <f t="shared" si="958"/>
        <v>249</v>
      </c>
      <c r="P2019" s="51">
        <f t="shared" si="958"/>
        <v>1051</v>
      </c>
      <c r="Q2019" s="24">
        <f t="shared" si="958"/>
        <v>398</v>
      </c>
      <c r="R2019" s="25">
        <f t="shared" si="958"/>
        <v>331</v>
      </c>
      <c r="S2019" s="30">
        <f t="shared" si="958"/>
        <v>229</v>
      </c>
      <c r="T2019" s="47">
        <f t="shared" si="958"/>
        <v>958</v>
      </c>
      <c r="U2019" s="79">
        <f t="shared" si="958"/>
        <v>2009</v>
      </c>
      <c r="W2019" s="23" t="s">
        <v>14</v>
      </c>
      <c r="X2019" s="24">
        <f t="shared" ref="X2019:AF2019" si="959">X1991-X2018</f>
        <v>0</v>
      </c>
      <c r="Y2019" s="25">
        <f t="shared" si="959"/>
        <v>0</v>
      </c>
      <c r="Z2019" s="30">
        <f t="shared" si="959"/>
        <v>0</v>
      </c>
      <c r="AA2019" s="51">
        <f t="shared" si="959"/>
        <v>0</v>
      </c>
      <c r="AB2019" s="24">
        <f t="shared" si="959"/>
        <v>0</v>
      </c>
      <c r="AC2019" s="25">
        <f t="shared" si="959"/>
        <v>0</v>
      </c>
      <c r="AD2019" s="30">
        <f t="shared" si="959"/>
        <v>0</v>
      </c>
      <c r="AE2019" s="47">
        <f t="shared" si="959"/>
        <v>0</v>
      </c>
      <c r="AF2019" s="79">
        <f t="shared" si="959"/>
        <v>0</v>
      </c>
    </row>
    <row r="2022" spans="1:32" ht="19.5" thickBot="1" x14ac:dyDescent="0.25">
      <c r="A2022" s="142" t="s">
        <v>850</v>
      </c>
      <c r="B2022" s="143"/>
      <c r="C2022" s="143"/>
      <c r="D2022" s="143"/>
      <c r="E2022" s="143"/>
      <c r="F2022" s="1"/>
      <c r="G2022" s="1"/>
      <c r="H2022" s="1"/>
      <c r="I2022" s="1"/>
      <c r="J2022" s="1"/>
      <c r="L2022" s="148" t="s">
        <v>851</v>
      </c>
      <c r="M2022" s="149"/>
      <c r="N2022" s="149"/>
      <c r="O2022" s="149"/>
      <c r="P2022" s="149"/>
      <c r="Q2022" s="2"/>
      <c r="R2022" s="1"/>
      <c r="S2022" s="1"/>
      <c r="T2022" s="1"/>
      <c r="U2022" s="1"/>
      <c r="W2022" s="150" t="s">
        <v>765</v>
      </c>
      <c r="X2022" s="151"/>
      <c r="Y2022" s="151"/>
      <c r="Z2022" s="151"/>
      <c r="AA2022" s="106"/>
      <c r="AB2022" s="1"/>
      <c r="AC2022" s="1"/>
      <c r="AD2022" s="1"/>
      <c r="AE2022" s="1"/>
      <c r="AF2022" s="1"/>
    </row>
    <row r="2023" spans="1:32" ht="14.25" thickBot="1" x14ac:dyDescent="0.2">
      <c r="A2023" s="7" t="s">
        <v>0</v>
      </c>
      <c r="B2023" s="168" t="s">
        <v>1</v>
      </c>
      <c r="C2023" s="169"/>
      <c r="D2023" s="169"/>
      <c r="E2023" s="170"/>
      <c r="F2023" s="168" t="s">
        <v>2</v>
      </c>
      <c r="G2023" s="169"/>
      <c r="H2023" s="169"/>
      <c r="I2023" s="171"/>
      <c r="J2023" s="172" t="s">
        <v>3</v>
      </c>
      <c r="L2023" s="7" t="s">
        <v>0</v>
      </c>
      <c r="M2023" s="174" t="s">
        <v>1</v>
      </c>
      <c r="N2023" s="175"/>
      <c r="O2023" s="176"/>
      <c r="P2023" s="101"/>
      <c r="Q2023" s="174" t="s">
        <v>2</v>
      </c>
      <c r="R2023" s="175"/>
      <c r="S2023" s="176"/>
      <c r="T2023" s="102"/>
      <c r="U2023" s="103" t="s">
        <v>3</v>
      </c>
      <c r="W2023" s="7" t="s">
        <v>0</v>
      </c>
      <c r="X2023" s="174" t="s">
        <v>1</v>
      </c>
      <c r="Y2023" s="175"/>
      <c r="Z2023" s="176"/>
      <c r="AA2023" s="101"/>
      <c r="AB2023" s="174" t="s">
        <v>2</v>
      </c>
      <c r="AC2023" s="175"/>
      <c r="AD2023" s="176"/>
      <c r="AE2023" s="102"/>
      <c r="AF2023" s="103" t="s">
        <v>3</v>
      </c>
    </row>
    <row r="2024" spans="1:32" ht="14.25" thickBot="1" x14ac:dyDescent="0.2">
      <c r="A2024" s="7" t="s">
        <v>4</v>
      </c>
      <c r="B2024" s="3" t="s">
        <v>5</v>
      </c>
      <c r="C2024" s="4" t="s">
        <v>6</v>
      </c>
      <c r="D2024" s="5" t="s">
        <v>7</v>
      </c>
      <c r="E2024" s="7" t="s">
        <v>8</v>
      </c>
      <c r="F2024" s="3" t="s">
        <v>5</v>
      </c>
      <c r="G2024" s="4" t="s">
        <v>6</v>
      </c>
      <c r="H2024" s="5" t="s">
        <v>7</v>
      </c>
      <c r="I2024" s="7" t="s">
        <v>8</v>
      </c>
      <c r="J2024" s="173"/>
      <c r="L2024" s="7" t="s">
        <v>4</v>
      </c>
      <c r="M2024" s="3" t="s">
        <v>5</v>
      </c>
      <c r="N2024" s="4" t="s">
        <v>6</v>
      </c>
      <c r="O2024" s="5" t="s">
        <v>7</v>
      </c>
      <c r="P2024" s="7" t="s">
        <v>8</v>
      </c>
      <c r="Q2024" s="107" t="s">
        <v>5</v>
      </c>
      <c r="R2024" s="108" t="s">
        <v>6</v>
      </c>
      <c r="S2024" s="109" t="s">
        <v>7</v>
      </c>
      <c r="T2024" s="7" t="s">
        <v>8</v>
      </c>
      <c r="U2024" s="104"/>
      <c r="W2024" s="7" t="s">
        <v>4</v>
      </c>
      <c r="X2024" s="3" t="s">
        <v>5</v>
      </c>
      <c r="Y2024" s="4" t="s">
        <v>6</v>
      </c>
      <c r="Z2024" s="5" t="s">
        <v>7</v>
      </c>
      <c r="AA2024" s="7" t="s">
        <v>8</v>
      </c>
      <c r="AB2024" s="107" t="s">
        <v>5</v>
      </c>
      <c r="AC2024" s="108" t="s">
        <v>6</v>
      </c>
      <c r="AD2024" s="109" t="s">
        <v>7</v>
      </c>
      <c r="AE2024" s="7" t="s">
        <v>8</v>
      </c>
      <c r="AF2024" s="104"/>
    </row>
    <row r="2025" spans="1:32" ht="14.25" thickBot="1" x14ac:dyDescent="0.2">
      <c r="A2025" s="31" t="s">
        <v>14</v>
      </c>
      <c r="B2025" s="32">
        <f>B2019</f>
        <v>2</v>
      </c>
      <c r="C2025" s="33">
        <f>C2019</f>
        <v>6</v>
      </c>
      <c r="D2025" s="34">
        <f>D2019</f>
        <v>0</v>
      </c>
      <c r="E2025" s="41">
        <f>SUM(B2025:D2025)</f>
        <v>8</v>
      </c>
      <c r="F2025" s="32">
        <f>F2019</f>
        <v>4</v>
      </c>
      <c r="G2025" s="33">
        <f>G2019</f>
        <v>8</v>
      </c>
      <c r="H2025" s="34">
        <f>H2019</f>
        <v>13</v>
      </c>
      <c r="I2025" s="41">
        <f>SUM(F2025:H2025)</f>
        <v>25</v>
      </c>
      <c r="J2025" s="41">
        <f>E2025+I2025</f>
        <v>33</v>
      </c>
      <c r="L2025" s="31" t="s">
        <v>14</v>
      </c>
      <c r="M2025" s="32">
        <f>M2019</f>
        <v>407</v>
      </c>
      <c r="N2025" s="33">
        <f>N2019</f>
        <v>395</v>
      </c>
      <c r="O2025" s="33">
        <f>O2019</f>
        <v>249</v>
      </c>
      <c r="P2025" s="111">
        <f>SUM(M2025:O2025)</f>
        <v>1051</v>
      </c>
      <c r="Q2025" s="32">
        <f>Q2019</f>
        <v>398</v>
      </c>
      <c r="R2025" s="33">
        <f>R2019</f>
        <v>331</v>
      </c>
      <c r="S2025" s="95">
        <f>S2019</f>
        <v>229</v>
      </c>
      <c r="T2025" s="46">
        <f>SUM(Q2025:S2025)</f>
        <v>958</v>
      </c>
      <c r="U2025" s="35">
        <f>P2025+T2025</f>
        <v>2009</v>
      </c>
      <c r="W2025" s="31" t="s">
        <v>14</v>
      </c>
      <c r="X2025" s="32">
        <f>X2019</f>
        <v>0</v>
      </c>
      <c r="Y2025" s="33">
        <f>Y2019</f>
        <v>0</v>
      </c>
      <c r="Z2025" s="33">
        <f>Z2019</f>
        <v>0</v>
      </c>
      <c r="AA2025" s="111">
        <f>SUM(X2025:Z2025)</f>
        <v>0</v>
      </c>
      <c r="AB2025" s="32">
        <f>AB2019</f>
        <v>0</v>
      </c>
      <c r="AC2025" s="33">
        <f>AC2019</f>
        <v>0</v>
      </c>
      <c r="AD2025" s="95">
        <f>AD2019</f>
        <v>0</v>
      </c>
      <c r="AE2025" s="46">
        <f>SUM(AB2025:AD2025)</f>
        <v>0</v>
      </c>
      <c r="AF2025" s="35">
        <f>AA2025+AE2025</f>
        <v>0</v>
      </c>
    </row>
    <row r="2026" spans="1:32" x14ac:dyDescent="0.15">
      <c r="A2026" s="28" t="s">
        <v>949</v>
      </c>
      <c r="B2026" s="17"/>
      <c r="C2026" s="18"/>
      <c r="D2026" s="19">
        <v>1</v>
      </c>
      <c r="E2026" s="20">
        <f>SUM(B2026:D2026)</f>
        <v>1</v>
      </c>
      <c r="F2026" s="21"/>
      <c r="G2026" s="18">
        <v>1</v>
      </c>
      <c r="H2026" s="19"/>
      <c r="I2026" s="20">
        <f>SUM(F2026:H2026)</f>
        <v>1</v>
      </c>
      <c r="J2026" s="20">
        <f>E2026+I2026</f>
        <v>2</v>
      </c>
      <c r="K2026" s="71">
        <v>44188</v>
      </c>
      <c r="L2026" s="28" t="s">
        <v>951</v>
      </c>
      <c r="M2026" s="8">
        <v>-1</v>
      </c>
      <c r="N2026" s="9">
        <v>1</v>
      </c>
      <c r="O2026" s="10"/>
      <c r="P2026" s="78">
        <f t="shared" ref="P2026:P2031" si="960">SUM(M2026:O2026)</f>
        <v>0</v>
      </c>
      <c r="Q2026" s="21">
        <v>4</v>
      </c>
      <c r="R2026" s="18"/>
      <c r="S2026" s="19">
        <v>-1</v>
      </c>
      <c r="T2026" s="78">
        <f t="shared" ref="T2026" si="961">SUM(Q2026:S2026)</f>
        <v>3</v>
      </c>
      <c r="U2026" s="78">
        <f t="shared" ref="U2026:U2032" si="962">P2026+T2026</f>
        <v>3</v>
      </c>
      <c r="V2026" s="65">
        <v>44259</v>
      </c>
      <c r="W2026" s="28"/>
      <c r="X2026" s="8"/>
      <c r="Y2026" s="9"/>
      <c r="Z2026" s="10"/>
      <c r="AA2026" s="78">
        <f t="shared" ref="AA2026:AA2033" si="963">SUM(X2026:Z2026)</f>
        <v>0</v>
      </c>
      <c r="AB2026" s="21"/>
      <c r="AC2026" s="18"/>
      <c r="AD2026" s="19"/>
      <c r="AE2026" s="78">
        <f t="shared" ref="AE2026:AE2033" si="964">SUM(AB2026:AD2026)</f>
        <v>0</v>
      </c>
      <c r="AF2026" s="78">
        <f t="shared" ref="AF2026:AF2033" si="965">AA2026+AE2026</f>
        <v>0</v>
      </c>
    </row>
    <row r="2027" spans="1:32" x14ac:dyDescent="0.15">
      <c r="A2027" s="28" t="s">
        <v>10</v>
      </c>
      <c r="B2027" s="8">
        <v>5</v>
      </c>
      <c r="C2027" s="9"/>
      <c r="D2027" s="10"/>
      <c r="E2027" s="11">
        <f t="shared" ref="E2027:E2033" si="966">SUM(B2027:D2027)</f>
        <v>5</v>
      </c>
      <c r="F2027" s="12"/>
      <c r="G2027" s="9"/>
      <c r="H2027" s="10"/>
      <c r="I2027" s="11">
        <f t="shared" ref="I2027:I2033" si="967">SUM(F2027:H2027)</f>
        <v>0</v>
      </c>
      <c r="J2027" s="11">
        <f t="shared" ref="J2027:J2033" si="968">E2027+I2027</f>
        <v>5</v>
      </c>
      <c r="K2027" s="65">
        <v>44223</v>
      </c>
      <c r="L2027" s="28"/>
      <c r="M2027" s="8"/>
      <c r="N2027" s="9"/>
      <c r="O2027" s="10"/>
      <c r="P2027" s="11">
        <f t="shared" si="960"/>
        <v>0</v>
      </c>
      <c r="Q2027" s="12"/>
      <c r="R2027" s="9"/>
      <c r="S2027" s="10"/>
      <c r="T2027" s="11">
        <f>SUM(Q2027:S2027)</f>
        <v>0</v>
      </c>
      <c r="U2027" s="11">
        <f t="shared" si="962"/>
        <v>0</v>
      </c>
      <c r="V2027" s="65"/>
      <c r="W2027" s="28"/>
      <c r="X2027" s="8"/>
      <c r="Y2027" s="9"/>
      <c r="Z2027" s="10"/>
      <c r="AA2027" s="11">
        <f t="shared" si="963"/>
        <v>0</v>
      </c>
      <c r="AB2027" s="12"/>
      <c r="AC2027" s="9"/>
      <c r="AD2027" s="10"/>
      <c r="AE2027" s="11">
        <f t="shared" si="964"/>
        <v>0</v>
      </c>
      <c r="AF2027" s="11">
        <f t="shared" si="965"/>
        <v>0</v>
      </c>
    </row>
    <row r="2028" spans="1:32" x14ac:dyDescent="0.15">
      <c r="A2028" s="28" t="s">
        <v>467</v>
      </c>
      <c r="B2028" s="8">
        <v>3</v>
      </c>
      <c r="C2028" s="9"/>
      <c r="D2028" s="10"/>
      <c r="E2028" s="11">
        <f t="shared" si="966"/>
        <v>3</v>
      </c>
      <c r="F2028" s="12"/>
      <c r="G2028" s="9"/>
      <c r="H2028" s="10"/>
      <c r="I2028" s="11">
        <f t="shared" si="967"/>
        <v>0</v>
      </c>
      <c r="J2028" s="11">
        <f t="shared" si="968"/>
        <v>3</v>
      </c>
      <c r="K2028" s="65">
        <v>44228</v>
      </c>
      <c r="L2028" s="28"/>
      <c r="M2028" s="8"/>
      <c r="N2028" s="9"/>
      <c r="O2028" s="10"/>
      <c r="P2028" s="11">
        <f t="shared" si="960"/>
        <v>0</v>
      </c>
      <c r="Q2028" s="12"/>
      <c r="R2028" s="9"/>
      <c r="S2028" s="10"/>
      <c r="T2028" s="11">
        <f t="shared" ref="T2028:T2031" si="969">SUM(Q2028:S2028)</f>
        <v>0</v>
      </c>
      <c r="U2028" s="11">
        <f t="shared" si="962"/>
        <v>0</v>
      </c>
      <c r="V2028" s="65"/>
      <c r="W2028" s="28"/>
      <c r="X2028" s="8"/>
      <c r="Y2028" s="9"/>
      <c r="Z2028" s="10"/>
      <c r="AA2028" s="11">
        <f t="shared" si="963"/>
        <v>0</v>
      </c>
      <c r="AB2028" s="12"/>
      <c r="AC2028" s="9"/>
      <c r="AD2028" s="10"/>
      <c r="AE2028" s="11">
        <f t="shared" si="964"/>
        <v>0</v>
      </c>
      <c r="AF2028" s="11">
        <f t="shared" si="965"/>
        <v>0</v>
      </c>
    </row>
    <row r="2029" spans="1:32" x14ac:dyDescent="0.15">
      <c r="A2029" s="28" t="s">
        <v>12</v>
      </c>
      <c r="B2029" s="8"/>
      <c r="C2029" s="9"/>
      <c r="D2029" s="10"/>
      <c r="E2029" s="11">
        <f t="shared" si="966"/>
        <v>0</v>
      </c>
      <c r="F2029" s="12">
        <v>5</v>
      </c>
      <c r="G2029" s="9"/>
      <c r="H2029" s="10"/>
      <c r="I2029" s="11">
        <f t="shared" si="967"/>
        <v>5</v>
      </c>
      <c r="J2029" s="11">
        <f t="shared" si="968"/>
        <v>5</v>
      </c>
      <c r="K2029" s="65">
        <v>44285</v>
      </c>
      <c r="L2029" s="28"/>
      <c r="M2029" s="8"/>
      <c r="N2029" s="9"/>
      <c r="O2029" s="10"/>
      <c r="P2029" s="11">
        <f t="shared" si="960"/>
        <v>0</v>
      </c>
      <c r="Q2029" s="12"/>
      <c r="R2029" s="9"/>
      <c r="S2029" s="10"/>
      <c r="T2029" s="11">
        <f t="shared" si="969"/>
        <v>0</v>
      </c>
      <c r="U2029" s="11">
        <f t="shared" si="962"/>
        <v>0</v>
      </c>
      <c r="V2029" s="71"/>
      <c r="W2029" s="28"/>
      <c r="X2029" s="8"/>
      <c r="Y2029" s="9"/>
      <c r="Z2029" s="10"/>
      <c r="AA2029" s="11">
        <f t="shared" si="963"/>
        <v>0</v>
      </c>
      <c r="AB2029" s="12"/>
      <c r="AC2029" s="9"/>
      <c r="AD2029" s="10"/>
      <c r="AE2029" s="11">
        <f t="shared" si="964"/>
        <v>0</v>
      </c>
      <c r="AF2029" s="11">
        <f t="shared" si="965"/>
        <v>0</v>
      </c>
    </row>
    <row r="2030" spans="1:32" x14ac:dyDescent="0.15">
      <c r="A2030" s="28" t="s">
        <v>15</v>
      </c>
      <c r="B2030" s="8"/>
      <c r="C2030" s="9"/>
      <c r="D2030" s="10">
        <v>5</v>
      </c>
      <c r="E2030" s="11">
        <f t="shared" si="966"/>
        <v>5</v>
      </c>
      <c r="F2030" s="12"/>
      <c r="G2030" s="9">
        <v>3</v>
      </c>
      <c r="H2030" s="10"/>
      <c r="I2030" s="11">
        <f t="shared" si="967"/>
        <v>3</v>
      </c>
      <c r="J2030" s="11">
        <f t="shared" si="968"/>
        <v>8</v>
      </c>
      <c r="K2030" s="65">
        <v>44340</v>
      </c>
      <c r="L2030" s="28"/>
      <c r="M2030" s="8"/>
      <c r="N2030" s="9"/>
      <c r="O2030" s="10"/>
      <c r="P2030" s="11">
        <f t="shared" si="960"/>
        <v>0</v>
      </c>
      <c r="Q2030" s="12"/>
      <c r="R2030" s="9"/>
      <c r="S2030" s="10"/>
      <c r="T2030" s="11">
        <f t="shared" si="969"/>
        <v>0</v>
      </c>
      <c r="U2030" s="11">
        <f t="shared" si="962"/>
        <v>0</v>
      </c>
      <c r="V2030" s="65"/>
      <c r="W2030" s="28"/>
      <c r="X2030" s="8"/>
      <c r="Y2030" s="9"/>
      <c r="Z2030" s="10"/>
      <c r="AA2030" s="11">
        <f t="shared" si="963"/>
        <v>0</v>
      </c>
      <c r="AB2030" s="12"/>
      <c r="AC2030" s="9"/>
      <c r="AD2030" s="10"/>
      <c r="AE2030" s="11">
        <f t="shared" si="964"/>
        <v>0</v>
      </c>
      <c r="AF2030" s="11">
        <f t="shared" si="965"/>
        <v>0</v>
      </c>
    </row>
    <row r="2031" spans="1:32" x14ac:dyDescent="0.15">
      <c r="A2031" s="28" t="s">
        <v>16</v>
      </c>
      <c r="B2031" s="8"/>
      <c r="C2031" s="9"/>
      <c r="D2031" s="10"/>
      <c r="E2031" s="11">
        <f t="shared" si="966"/>
        <v>0</v>
      </c>
      <c r="F2031" s="12">
        <v>3</v>
      </c>
      <c r="G2031" s="9"/>
      <c r="H2031" s="10">
        <v>3</v>
      </c>
      <c r="I2031" s="11">
        <f t="shared" si="967"/>
        <v>6</v>
      </c>
      <c r="J2031" s="11">
        <f t="shared" si="968"/>
        <v>6</v>
      </c>
      <c r="K2031" s="65">
        <v>44366</v>
      </c>
      <c r="L2031" s="28"/>
      <c r="M2031" s="8"/>
      <c r="N2031" s="9"/>
      <c r="O2031" s="10"/>
      <c r="P2031" s="11">
        <f t="shared" si="960"/>
        <v>0</v>
      </c>
      <c r="Q2031" s="12"/>
      <c r="R2031" s="9"/>
      <c r="S2031" s="10"/>
      <c r="T2031" s="11">
        <f t="shared" si="969"/>
        <v>0</v>
      </c>
      <c r="U2031" s="11">
        <f t="shared" si="962"/>
        <v>0</v>
      </c>
      <c r="V2031" s="65"/>
      <c r="W2031" s="28"/>
      <c r="X2031" s="8"/>
      <c r="Y2031" s="9"/>
      <c r="Z2031" s="10"/>
      <c r="AA2031" s="11">
        <f t="shared" si="963"/>
        <v>0</v>
      </c>
      <c r="AB2031" s="12"/>
      <c r="AC2031" s="9"/>
      <c r="AD2031" s="10"/>
      <c r="AE2031" s="11">
        <f t="shared" si="964"/>
        <v>0</v>
      </c>
      <c r="AF2031" s="11">
        <f t="shared" si="965"/>
        <v>0</v>
      </c>
    </row>
    <row r="2032" spans="1:32" x14ac:dyDescent="0.15">
      <c r="A2032" s="28" t="s">
        <v>17</v>
      </c>
      <c r="B2032" s="13"/>
      <c r="C2032" s="14"/>
      <c r="D2032" s="15"/>
      <c r="E2032" s="11">
        <f t="shared" si="966"/>
        <v>0</v>
      </c>
      <c r="F2032" s="16">
        <v>3</v>
      </c>
      <c r="G2032" s="14"/>
      <c r="H2032" s="15"/>
      <c r="I2032" s="11">
        <f t="shared" si="967"/>
        <v>3</v>
      </c>
      <c r="J2032" s="11">
        <f t="shared" si="968"/>
        <v>3</v>
      </c>
      <c r="K2032" s="65">
        <v>44397</v>
      </c>
      <c r="L2032" s="28"/>
      <c r="M2032" s="8"/>
      <c r="N2032" s="9"/>
      <c r="O2032" s="10"/>
      <c r="P2032" s="11">
        <f t="shared" ref="P2032:P2033" si="970">SUM(M2032:O2032)</f>
        <v>0</v>
      </c>
      <c r="Q2032" s="12"/>
      <c r="R2032" s="12"/>
      <c r="S2032" s="87"/>
      <c r="T2032" s="11">
        <f t="shared" ref="T2032:T2033" si="971">SUM(Q2032:S2032)</f>
        <v>0</v>
      </c>
      <c r="U2032" s="11">
        <f t="shared" si="962"/>
        <v>0</v>
      </c>
      <c r="V2032" s="126"/>
      <c r="W2032" s="28"/>
      <c r="X2032" s="8"/>
      <c r="Y2032" s="9"/>
      <c r="Z2032" s="10"/>
      <c r="AA2032" s="11">
        <f t="shared" si="963"/>
        <v>0</v>
      </c>
      <c r="AB2032" s="12"/>
      <c r="AC2032" s="12"/>
      <c r="AD2032" s="87"/>
      <c r="AE2032" s="11">
        <f t="shared" si="964"/>
        <v>0</v>
      </c>
      <c r="AF2032" s="11">
        <f t="shared" si="965"/>
        <v>0</v>
      </c>
    </row>
    <row r="2033" spans="1:32" ht="14.25" thickBot="1" x14ac:dyDescent="0.2">
      <c r="A2033" s="28" t="s">
        <v>18</v>
      </c>
      <c r="B2033" s="36"/>
      <c r="C2033" s="37"/>
      <c r="D2033" s="40"/>
      <c r="E2033" s="22">
        <f t="shared" si="966"/>
        <v>0</v>
      </c>
      <c r="F2033" s="38"/>
      <c r="G2033" s="38"/>
      <c r="H2033" s="43">
        <v>3</v>
      </c>
      <c r="I2033" s="22">
        <f t="shared" si="967"/>
        <v>3</v>
      </c>
      <c r="J2033" s="22">
        <f t="shared" si="968"/>
        <v>3</v>
      </c>
      <c r="K2033" s="65">
        <v>44408</v>
      </c>
      <c r="L2033" s="28"/>
      <c r="M2033" s="127"/>
      <c r="N2033" s="128"/>
      <c r="O2033" s="129"/>
      <c r="P2033" s="130">
        <f t="shared" si="970"/>
        <v>0</v>
      </c>
      <c r="Q2033" s="131"/>
      <c r="R2033" s="131"/>
      <c r="S2033" s="132"/>
      <c r="T2033" s="130">
        <f t="shared" si="971"/>
        <v>0</v>
      </c>
      <c r="U2033" s="130">
        <f t="shared" ref="U2033" si="972">P2033+T2033</f>
        <v>0</v>
      </c>
      <c r="W2033" s="28"/>
      <c r="X2033" s="127"/>
      <c r="Y2033" s="128"/>
      <c r="Z2033" s="129"/>
      <c r="AA2033" s="130">
        <f t="shared" si="963"/>
        <v>0</v>
      </c>
      <c r="AB2033" s="131"/>
      <c r="AC2033" s="131"/>
      <c r="AD2033" s="132"/>
      <c r="AE2033" s="130">
        <f t="shared" si="964"/>
        <v>0</v>
      </c>
      <c r="AF2033" s="130">
        <f t="shared" si="965"/>
        <v>0</v>
      </c>
    </row>
    <row r="2034" spans="1:32" ht="14.25" thickBot="1" x14ac:dyDescent="0.2">
      <c r="A2034" s="39" t="s">
        <v>20</v>
      </c>
      <c r="B2034" s="32">
        <f t="shared" ref="B2034:J2034" si="973">SUM(B2025:B2033)</f>
        <v>10</v>
      </c>
      <c r="C2034" s="33">
        <f t="shared" si="973"/>
        <v>6</v>
      </c>
      <c r="D2034" s="34">
        <f t="shared" si="973"/>
        <v>6</v>
      </c>
      <c r="E2034" s="42">
        <f t="shared" si="973"/>
        <v>22</v>
      </c>
      <c r="F2034" s="32">
        <f t="shared" si="973"/>
        <v>15</v>
      </c>
      <c r="G2034" s="33">
        <f t="shared" si="973"/>
        <v>12</v>
      </c>
      <c r="H2034" s="34">
        <f t="shared" si="973"/>
        <v>19</v>
      </c>
      <c r="I2034" s="42">
        <f t="shared" si="973"/>
        <v>46</v>
      </c>
      <c r="J2034" s="42">
        <f t="shared" si="973"/>
        <v>68</v>
      </c>
      <c r="L2034" s="39" t="s">
        <v>20</v>
      </c>
      <c r="M2034" s="32">
        <f t="shared" ref="M2034:U2034" si="974">SUM(M2025:M2033)</f>
        <v>406</v>
      </c>
      <c r="N2034" s="33">
        <f t="shared" si="974"/>
        <v>396</v>
      </c>
      <c r="O2034" s="34">
        <f t="shared" si="974"/>
        <v>249</v>
      </c>
      <c r="P2034" s="42">
        <f t="shared" si="974"/>
        <v>1051</v>
      </c>
      <c r="Q2034" s="32">
        <f t="shared" si="974"/>
        <v>402</v>
      </c>
      <c r="R2034" s="33">
        <f t="shared" si="974"/>
        <v>331</v>
      </c>
      <c r="S2034" s="34">
        <f t="shared" si="974"/>
        <v>228</v>
      </c>
      <c r="T2034" s="42">
        <f t="shared" si="974"/>
        <v>961</v>
      </c>
      <c r="U2034" s="42">
        <f t="shared" si="974"/>
        <v>2012</v>
      </c>
      <c r="W2034" s="39" t="s">
        <v>20</v>
      </c>
      <c r="X2034" s="32">
        <f t="shared" ref="X2034:AF2034" si="975">SUM(X2025:X2033)</f>
        <v>0</v>
      </c>
      <c r="Y2034" s="33">
        <f t="shared" si="975"/>
        <v>0</v>
      </c>
      <c r="Z2034" s="34">
        <f t="shared" si="975"/>
        <v>0</v>
      </c>
      <c r="AA2034" s="42">
        <f t="shared" si="975"/>
        <v>0</v>
      </c>
      <c r="AB2034" s="32">
        <f t="shared" si="975"/>
        <v>0</v>
      </c>
      <c r="AC2034" s="33">
        <f t="shared" si="975"/>
        <v>0</v>
      </c>
      <c r="AD2034" s="34">
        <f t="shared" si="975"/>
        <v>0</v>
      </c>
      <c r="AE2034" s="42">
        <f t="shared" si="975"/>
        <v>0</v>
      </c>
      <c r="AF2034" s="42">
        <f t="shared" si="975"/>
        <v>0</v>
      </c>
    </row>
    <row r="2035" spans="1:32" x14ac:dyDescent="0.15">
      <c r="A2035" s="27" t="s">
        <v>207</v>
      </c>
      <c r="B2035" s="13"/>
      <c r="C2035" s="14"/>
      <c r="D2035" s="15">
        <v>1</v>
      </c>
      <c r="E2035" s="11">
        <f>SUM(B2035:D2035)</f>
        <v>1</v>
      </c>
      <c r="F2035" s="16"/>
      <c r="G2035" s="14">
        <v>1</v>
      </c>
      <c r="H2035" s="15">
        <v>2</v>
      </c>
      <c r="I2035" s="11">
        <f>SUM(F2035:H2035)</f>
        <v>3</v>
      </c>
      <c r="J2035" s="11">
        <f>E2035+I2035</f>
        <v>4</v>
      </c>
      <c r="K2035" s="71">
        <v>44224</v>
      </c>
      <c r="L2035" s="28" t="s">
        <v>875</v>
      </c>
      <c r="M2035" s="8">
        <v>5</v>
      </c>
      <c r="N2035" s="9"/>
      <c r="O2035" s="10"/>
      <c r="P2035" s="11">
        <f t="shared" ref="P2035" si="976">SUM(M2035:O2035)</f>
        <v>5</v>
      </c>
      <c r="Q2035" s="12"/>
      <c r="R2035" s="9"/>
      <c r="S2035" s="10"/>
      <c r="T2035" s="11">
        <f t="shared" ref="T2035" si="977">SUM(Q2035:S2035)</f>
        <v>0</v>
      </c>
      <c r="U2035" s="11">
        <f t="shared" ref="U2035" si="978">P2035+T2035</f>
        <v>5</v>
      </c>
      <c r="V2035" s="158">
        <v>44223</v>
      </c>
      <c r="W2035" s="86"/>
      <c r="X2035" s="8"/>
      <c r="Y2035" s="9"/>
      <c r="Z2035" s="10"/>
      <c r="AA2035" s="11">
        <f>SUM(X2035:Z2035)</f>
        <v>0</v>
      </c>
      <c r="AB2035" s="12"/>
      <c r="AC2035" s="9"/>
      <c r="AD2035" s="10"/>
      <c r="AE2035" s="11">
        <f>SUM(AB2035:AD2035)</f>
        <v>0</v>
      </c>
      <c r="AF2035" s="11">
        <f t="shared" ref="AF2035:AF2060" si="979">AA2035+AE2035</f>
        <v>0</v>
      </c>
    </row>
    <row r="2036" spans="1:32" x14ac:dyDescent="0.15">
      <c r="A2036" s="27" t="s">
        <v>207</v>
      </c>
      <c r="B2036" s="13"/>
      <c r="C2036" s="14"/>
      <c r="D2036" s="15"/>
      <c r="E2036" s="11">
        <f t="shared" ref="E2036:E2060" si="980">SUM(B2036:D2036)</f>
        <v>0</v>
      </c>
      <c r="F2036" s="16"/>
      <c r="G2036" s="14">
        <v>2</v>
      </c>
      <c r="H2036" s="15"/>
      <c r="I2036" s="11">
        <f>SUM(F2036:H2036)</f>
        <v>2</v>
      </c>
      <c r="J2036" s="11">
        <f t="shared" ref="J2036:J2060" si="981">E2036+I2036</f>
        <v>2</v>
      </c>
      <c r="K2036" s="71">
        <v>44260</v>
      </c>
      <c r="L2036" s="28" t="s">
        <v>875</v>
      </c>
      <c r="M2036" s="8"/>
      <c r="N2036" s="9"/>
      <c r="O2036" s="10"/>
      <c r="P2036" s="11">
        <f>SUM(M2036:O2036)</f>
        <v>0</v>
      </c>
      <c r="Q2036" s="12">
        <v>5</v>
      </c>
      <c r="R2036" s="9"/>
      <c r="S2036" s="10"/>
      <c r="T2036" s="11">
        <f>SUM(Q2036:S2036)</f>
        <v>5</v>
      </c>
      <c r="U2036" s="11">
        <f t="shared" ref="U2036:U2060" si="982">P2036+T2036</f>
        <v>5</v>
      </c>
      <c r="V2036" s="158">
        <v>44285</v>
      </c>
      <c r="W2036" s="86"/>
      <c r="X2036" s="8"/>
      <c r="Y2036" s="9"/>
      <c r="Z2036" s="10"/>
      <c r="AA2036" s="11">
        <f>SUM(X2036:Z2036)</f>
        <v>0</v>
      </c>
      <c r="AB2036" s="12"/>
      <c r="AC2036" s="9"/>
      <c r="AD2036" s="10"/>
      <c r="AE2036" s="11">
        <f>SUM(AB2036:AD2036)</f>
        <v>0</v>
      </c>
      <c r="AF2036" s="11">
        <f t="shared" si="979"/>
        <v>0</v>
      </c>
    </row>
    <row r="2037" spans="1:32" x14ac:dyDescent="0.15">
      <c r="A2037" s="27" t="s">
        <v>207</v>
      </c>
      <c r="B2037" s="8"/>
      <c r="C2037" s="9"/>
      <c r="D2037" s="10"/>
      <c r="E2037" s="11">
        <f t="shared" si="980"/>
        <v>0</v>
      </c>
      <c r="F2037" s="12"/>
      <c r="G2037" s="9">
        <v>2</v>
      </c>
      <c r="H2037" s="10"/>
      <c r="I2037" s="11">
        <f t="shared" ref="I2037:I2038" si="983">SUM(F2037:H2037)</f>
        <v>2</v>
      </c>
      <c r="J2037" s="11">
        <f t="shared" si="981"/>
        <v>2</v>
      </c>
      <c r="K2037" s="71">
        <v>44270</v>
      </c>
      <c r="L2037" s="28" t="s">
        <v>875</v>
      </c>
      <c r="M2037" s="8"/>
      <c r="N2037" s="9"/>
      <c r="O2037" s="10">
        <v>5</v>
      </c>
      <c r="P2037" s="11">
        <f t="shared" ref="P2037:P2060" si="984">SUM(M2037:O2037)</f>
        <v>5</v>
      </c>
      <c r="Q2037" s="12"/>
      <c r="R2037" s="9">
        <v>3</v>
      </c>
      <c r="S2037" s="10"/>
      <c r="T2037" s="11">
        <f t="shared" ref="T2037:T2060" si="985">SUM(Q2037:S2037)</f>
        <v>3</v>
      </c>
      <c r="U2037" s="11">
        <f t="shared" si="982"/>
        <v>8</v>
      </c>
      <c r="V2037" s="158">
        <v>44340</v>
      </c>
      <c r="W2037" s="86"/>
      <c r="X2037" s="8"/>
      <c r="Y2037" s="9"/>
      <c r="Z2037" s="10"/>
      <c r="AA2037" s="11">
        <f t="shared" ref="AA2037:AA2060" si="986">SUM(X2037:Z2037)</f>
        <v>0</v>
      </c>
      <c r="AB2037" s="12"/>
      <c r="AC2037" s="9"/>
      <c r="AD2037" s="10"/>
      <c r="AE2037" s="11">
        <f t="shared" ref="AE2037:AE2060" si="987">SUM(AB2037:AD2037)</f>
        <v>0</v>
      </c>
      <c r="AF2037" s="11">
        <f t="shared" si="979"/>
        <v>0</v>
      </c>
    </row>
    <row r="2038" spans="1:32" x14ac:dyDescent="0.15">
      <c r="A2038" s="27" t="s">
        <v>207</v>
      </c>
      <c r="B2038" s="8"/>
      <c r="C2038" s="9"/>
      <c r="D2038" s="10"/>
      <c r="E2038" s="11">
        <f t="shared" si="980"/>
        <v>0</v>
      </c>
      <c r="F2038" s="12">
        <v>4</v>
      </c>
      <c r="G2038" s="9"/>
      <c r="H2038" s="10"/>
      <c r="I2038" s="11">
        <f t="shared" si="983"/>
        <v>4</v>
      </c>
      <c r="J2038" s="11">
        <f t="shared" si="981"/>
        <v>4</v>
      </c>
      <c r="K2038" s="71">
        <v>44284</v>
      </c>
      <c r="L2038" s="28" t="s">
        <v>875</v>
      </c>
      <c r="M2038" s="8"/>
      <c r="N2038" s="9"/>
      <c r="O2038" s="10"/>
      <c r="P2038" s="11">
        <f t="shared" si="984"/>
        <v>0</v>
      </c>
      <c r="Q2038" s="12">
        <v>3</v>
      </c>
      <c r="R2038" s="9"/>
      <c r="S2038" s="10">
        <v>3</v>
      </c>
      <c r="T2038" s="11">
        <f t="shared" si="985"/>
        <v>6</v>
      </c>
      <c r="U2038" s="11">
        <f t="shared" si="982"/>
        <v>6</v>
      </c>
      <c r="V2038" s="158">
        <v>44366</v>
      </c>
      <c r="W2038" s="86"/>
      <c r="X2038" s="8"/>
      <c r="Y2038" s="9"/>
      <c r="Z2038" s="10"/>
      <c r="AA2038" s="11">
        <f t="shared" si="986"/>
        <v>0</v>
      </c>
      <c r="AB2038" s="12"/>
      <c r="AC2038" s="9"/>
      <c r="AD2038" s="10"/>
      <c r="AE2038" s="11">
        <f t="shared" si="987"/>
        <v>0</v>
      </c>
      <c r="AF2038" s="11">
        <f t="shared" si="979"/>
        <v>0</v>
      </c>
    </row>
    <row r="2039" spans="1:32" x14ac:dyDescent="0.15">
      <c r="A2039" s="27" t="s">
        <v>207</v>
      </c>
      <c r="B2039" s="8"/>
      <c r="C2039" s="9"/>
      <c r="D2039" s="10"/>
      <c r="E2039" s="11">
        <f t="shared" si="980"/>
        <v>0</v>
      </c>
      <c r="F2039" s="12"/>
      <c r="G2039" s="9">
        <v>1</v>
      </c>
      <c r="H2039" s="10"/>
      <c r="I2039" s="11">
        <f>SUM(F2039:H2039)</f>
        <v>1</v>
      </c>
      <c r="J2039" s="11">
        <f t="shared" si="981"/>
        <v>1</v>
      </c>
      <c r="K2039" s="65">
        <v>44286</v>
      </c>
      <c r="L2039" s="29" t="s">
        <v>956</v>
      </c>
      <c r="M2039" s="8">
        <v>36</v>
      </c>
      <c r="N2039" s="9">
        <v>40</v>
      </c>
      <c r="O2039" s="10">
        <v>40</v>
      </c>
      <c r="P2039" s="11">
        <f t="shared" si="984"/>
        <v>116</v>
      </c>
      <c r="Q2039" s="12">
        <v>5</v>
      </c>
      <c r="R2039" s="9">
        <v>16</v>
      </c>
      <c r="S2039" s="10">
        <v>8</v>
      </c>
      <c r="T2039" s="11">
        <f t="shared" si="985"/>
        <v>29</v>
      </c>
      <c r="U2039" s="11">
        <f t="shared" si="982"/>
        <v>145</v>
      </c>
      <c r="V2039" s="158">
        <v>44386</v>
      </c>
      <c r="W2039" s="86"/>
      <c r="X2039" s="8"/>
      <c r="Y2039" s="9"/>
      <c r="Z2039" s="10"/>
      <c r="AA2039" s="11">
        <f t="shared" si="986"/>
        <v>0</v>
      </c>
      <c r="AB2039" s="12"/>
      <c r="AC2039" s="9"/>
      <c r="AD2039" s="10"/>
      <c r="AE2039" s="11">
        <f t="shared" si="987"/>
        <v>0</v>
      </c>
      <c r="AF2039" s="11">
        <f t="shared" si="979"/>
        <v>0</v>
      </c>
    </row>
    <row r="2040" spans="1:32" x14ac:dyDescent="0.15">
      <c r="A2040" s="27" t="s">
        <v>207</v>
      </c>
      <c r="B2040" s="8">
        <v>1</v>
      </c>
      <c r="C2040" s="9"/>
      <c r="D2040" s="10"/>
      <c r="E2040" s="11">
        <f>SUM(B2040:D2040)</f>
        <v>1</v>
      </c>
      <c r="F2040" s="12">
        <v>1</v>
      </c>
      <c r="G2040" s="9"/>
      <c r="H2040" s="10"/>
      <c r="I2040" s="11">
        <f>SUM(F2040:H2040)</f>
        <v>1</v>
      </c>
      <c r="J2040" s="11">
        <f t="shared" si="981"/>
        <v>2</v>
      </c>
      <c r="K2040" s="71">
        <v>44303</v>
      </c>
      <c r="L2040" s="27" t="s">
        <v>957</v>
      </c>
      <c r="M2040" s="8">
        <v>100</v>
      </c>
      <c r="N2040" s="9">
        <v>100</v>
      </c>
      <c r="O2040" s="10">
        <v>100</v>
      </c>
      <c r="P2040" s="11">
        <f t="shared" si="984"/>
        <v>300</v>
      </c>
      <c r="Q2040" s="12">
        <v>100</v>
      </c>
      <c r="R2040" s="9">
        <v>100</v>
      </c>
      <c r="S2040" s="10">
        <v>100</v>
      </c>
      <c r="T2040" s="11">
        <f t="shared" si="985"/>
        <v>300</v>
      </c>
      <c r="U2040" s="11">
        <f t="shared" si="982"/>
        <v>600</v>
      </c>
      <c r="V2040" s="158">
        <v>44398</v>
      </c>
      <c r="W2040" s="29"/>
      <c r="X2040" s="8"/>
      <c r="Y2040" s="9"/>
      <c r="Z2040" s="10"/>
      <c r="AA2040" s="11">
        <f t="shared" si="986"/>
        <v>0</v>
      </c>
      <c r="AB2040" s="12"/>
      <c r="AC2040" s="9"/>
      <c r="AD2040" s="10"/>
      <c r="AE2040" s="11">
        <f t="shared" si="987"/>
        <v>0</v>
      </c>
      <c r="AF2040" s="11">
        <f t="shared" si="979"/>
        <v>0</v>
      </c>
    </row>
    <row r="2041" spans="1:32" x14ac:dyDescent="0.15">
      <c r="A2041" s="27" t="s">
        <v>207</v>
      </c>
      <c r="B2041" s="8"/>
      <c r="C2041" s="9"/>
      <c r="D2041" s="10"/>
      <c r="E2041" s="11">
        <f t="shared" si="980"/>
        <v>0</v>
      </c>
      <c r="F2041" s="140"/>
      <c r="G2041" s="140"/>
      <c r="H2041" s="10">
        <v>1</v>
      </c>
      <c r="I2041" s="11">
        <f t="shared" ref="I2041:I2060" si="988">SUM(F2041:H2041)</f>
        <v>1</v>
      </c>
      <c r="J2041" s="11">
        <f t="shared" si="981"/>
        <v>1</v>
      </c>
      <c r="K2041" s="71">
        <v>44308</v>
      </c>
      <c r="L2041" s="29" t="s">
        <v>958</v>
      </c>
      <c r="M2041" s="8"/>
      <c r="N2041" s="9"/>
      <c r="O2041" s="10">
        <v>3</v>
      </c>
      <c r="P2041" s="11">
        <f t="shared" si="984"/>
        <v>3</v>
      </c>
      <c r="Q2041" s="12">
        <v>2</v>
      </c>
      <c r="R2041" s="9"/>
      <c r="S2041" s="10">
        <v>1</v>
      </c>
      <c r="T2041" s="11">
        <f t="shared" si="985"/>
        <v>3</v>
      </c>
      <c r="U2041" s="11">
        <f t="shared" si="982"/>
        <v>6</v>
      </c>
      <c r="V2041" s="158">
        <v>44390</v>
      </c>
      <c r="W2041" s="86"/>
      <c r="X2041" s="8"/>
      <c r="Y2041" s="9"/>
      <c r="Z2041" s="10"/>
      <c r="AA2041" s="11">
        <f t="shared" si="986"/>
        <v>0</v>
      </c>
      <c r="AB2041" s="12"/>
      <c r="AC2041" s="9"/>
      <c r="AD2041" s="10"/>
      <c r="AE2041" s="11">
        <f t="shared" si="987"/>
        <v>0</v>
      </c>
      <c r="AF2041" s="11">
        <f t="shared" si="979"/>
        <v>0</v>
      </c>
    </row>
    <row r="2042" spans="1:32" x14ac:dyDescent="0.15">
      <c r="A2042" s="27" t="s">
        <v>207</v>
      </c>
      <c r="B2042" s="8"/>
      <c r="C2042" s="9">
        <v>1</v>
      </c>
      <c r="D2042" s="10"/>
      <c r="E2042" s="11">
        <f t="shared" si="980"/>
        <v>1</v>
      </c>
      <c r="F2042" s="12"/>
      <c r="G2042" s="9"/>
      <c r="H2042" s="10">
        <v>2</v>
      </c>
      <c r="I2042" s="11">
        <f t="shared" si="988"/>
        <v>2</v>
      </c>
      <c r="J2042" s="11">
        <f t="shared" si="981"/>
        <v>3</v>
      </c>
      <c r="K2042" s="71">
        <v>44312</v>
      </c>
      <c r="L2042" s="86" t="s">
        <v>702</v>
      </c>
      <c r="M2042" s="8">
        <v>20</v>
      </c>
      <c r="N2042" s="9">
        <v>20</v>
      </c>
      <c r="O2042" s="10">
        <v>10</v>
      </c>
      <c r="P2042" s="11">
        <f t="shared" si="984"/>
        <v>50</v>
      </c>
      <c r="Q2042" s="12">
        <v>20</v>
      </c>
      <c r="R2042" s="9">
        <v>20</v>
      </c>
      <c r="S2042" s="10">
        <v>10</v>
      </c>
      <c r="T2042" s="11">
        <f t="shared" si="985"/>
        <v>50</v>
      </c>
      <c r="U2042" s="11">
        <f t="shared" si="982"/>
        <v>100</v>
      </c>
      <c r="V2042" s="158">
        <v>44396</v>
      </c>
      <c r="W2042" s="29"/>
      <c r="X2042" s="8"/>
      <c r="Y2042" s="9"/>
      <c r="Z2042" s="10"/>
      <c r="AA2042" s="11">
        <f t="shared" si="986"/>
        <v>0</v>
      </c>
      <c r="AB2042" s="12"/>
      <c r="AC2042" s="9"/>
      <c r="AD2042" s="10"/>
      <c r="AE2042" s="11">
        <f t="shared" si="987"/>
        <v>0</v>
      </c>
      <c r="AF2042" s="11">
        <f t="shared" si="979"/>
        <v>0</v>
      </c>
    </row>
    <row r="2043" spans="1:32" x14ac:dyDescent="0.15">
      <c r="A2043" s="27" t="s">
        <v>207</v>
      </c>
      <c r="B2043" s="13"/>
      <c r="C2043" s="14"/>
      <c r="D2043" s="15"/>
      <c r="E2043" s="11">
        <f t="shared" si="980"/>
        <v>0</v>
      </c>
      <c r="F2043" s="16">
        <v>1</v>
      </c>
      <c r="G2043" s="14"/>
      <c r="H2043" s="15"/>
      <c r="I2043" s="11">
        <f t="shared" si="988"/>
        <v>1</v>
      </c>
      <c r="J2043" s="11">
        <f t="shared" si="981"/>
        <v>1</v>
      </c>
      <c r="K2043" s="71">
        <v>44313</v>
      </c>
      <c r="L2043" s="28" t="s">
        <v>875</v>
      </c>
      <c r="M2043" s="13"/>
      <c r="N2043" s="14"/>
      <c r="O2043" s="15"/>
      <c r="P2043" s="11">
        <f t="shared" si="984"/>
        <v>0</v>
      </c>
      <c r="Q2043" s="16">
        <v>3</v>
      </c>
      <c r="R2043" s="14"/>
      <c r="S2043" s="15"/>
      <c r="T2043" s="11">
        <f t="shared" si="985"/>
        <v>3</v>
      </c>
      <c r="U2043" s="11">
        <f t="shared" si="982"/>
        <v>3</v>
      </c>
      <c r="V2043" s="158">
        <v>44397</v>
      </c>
      <c r="W2043" s="29"/>
      <c r="X2043" s="8"/>
      <c r="Y2043" s="9"/>
      <c r="Z2043" s="10"/>
      <c r="AA2043" s="11">
        <f t="shared" si="986"/>
        <v>0</v>
      </c>
      <c r="AB2043" s="12"/>
      <c r="AC2043" s="9"/>
      <c r="AD2043" s="10"/>
      <c r="AE2043" s="11">
        <f t="shared" si="987"/>
        <v>0</v>
      </c>
      <c r="AF2043" s="11">
        <f t="shared" si="979"/>
        <v>0</v>
      </c>
    </row>
    <row r="2044" spans="1:32" x14ac:dyDescent="0.15">
      <c r="A2044" s="27" t="s">
        <v>207</v>
      </c>
      <c r="B2044" s="13"/>
      <c r="C2044" s="14"/>
      <c r="D2044" s="15"/>
      <c r="E2044" s="11">
        <f t="shared" si="980"/>
        <v>0</v>
      </c>
      <c r="F2044" s="16"/>
      <c r="G2044" s="14"/>
      <c r="H2044" s="15">
        <v>1</v>
      </c>
      <c r="I2044" s="11">
        <f t="shared" si="988"/>
        <v>1</v>
      </c>
      <c r="J2044" s="11">
        <f t="shared" si="981"/>
        <v>1</v>
      </c>
      <c r="K2044" s="71">
        <v>44326</v>
      </c>
      <c r="L2044" s="86" t="s">
        <v>703</v>
      </c>
      <c r="M2044" s="8"/>
      <c r="N2044" s="9"/>
      <c r="O2044" s="10">
        <v>23</v>
      </c>
      <c r="P2044" s="11">
        <f t="shared" si="984"/>
        <v>23</v>
      </c>
      <c r="Q2044" s="12"/>
      <c r="R2044" s="9"/>
      <c r="S2044" s="10">
        <v>21</v>
      </c>
      <c r="T2044" s="11">
        <f t="shared" si="985"/>
        <v>21</v>
      </c>
      <c r="U2044" s="11">
        <f t="shared" si="982"/>
        <v>44</v>
      </c>
      <c r="V2044" s="158">
        <v>44407</v>
      </c>
      <c r="W2044" s="29"/>
      <c r="X2044" s="13"/>
      <c r="Y2044" s="14"/>
      <c r="Z2044" s="15"/>
      <c r="AA2044" s="11">
        <f t="shared" si="986"/>
        <v>0</v>
      </c>
      <c r="AB2044" s="16"/>
      <c r="AC2044" s="14"/>
      <c r="AD2044" s="15"/>
      <c r="AE2044" s="11">
        <f t="shared" si="987"/>
        <v>0</v>
      </c>
      <c r="AF2044" s="11">
        <f t="shared" si="979"/>
        <v>0</v>
      </c>
    </row>
    <row r="2045" spans="1:32" x14ac:dyDescent="0.15">
      <c r="A2045" s="27" t="s">
        <v>207</v>
      </c>
      <c r="B2045" s="8"/>
      <c r="C2045" s="9"/>
      <c r="D2045" s="10"/>
      <c r="E2045" s="11">
        <f t="shared" si="980"/>
        <v>0</v>
      </c>
      <c r="F2045" s="12"/>
      <c r="G2045" s="9">
        <v>1</v>
      </c>
      <c r="H2045" s="10"/>
      <c r="I2045" s="11">
        <f t="shared" si="988"/>
        <v>1</v>
      </c>
      <c r="J2045" s="11">
        <f t="shared" si="981"/>
        <v>1</v>
      </c>
      <c r="K2045" s="71">
        <v>44331</v>
      </c>
      <c r="L2045" s="28" t="s">
        <v>875</v>
      </c>
      <c r="M2045" s="17"/>
      <c r="N2045" s="18"/>
      <c r="O2045" s="19"/>
      <c r="P2045" s="78">
        <f>SUM(M2045:O2045)</f>
        <v>0</v>
      </c>
      <c r="Q2045" s="21"/>
      <c r="R2045" s="18"/>
      <c r="S2045" s="19">
        <v>3</v>
      </c>
      <c r="T2045" s="78">
        <f>SUM(Q2045:S2045)</f>
        <v>3</v>
      </c>
      <c r="U2045" s="78">
        <f>P2045+T2045</f>
        <v>3</v>
      </c>
      <c r="V2045" s="158">
        <v>44408</v>
      </c>
      <c r="W2045" s="29"/>
      <c r="X2045" s="8"/>
      <c r="Y2045" s="9"/>
      <c r="Z2045" s="10"/>
      <c r="AA2045" s="11">
        <f t="shared" si="986"/>
        <v>0</v>
      </c>
      <c r="AB2045" s="12"/>
      <c r="AC2045" s="9"/>
      <c r="AD2045" s="10"/>
      <c r="AE2045" s="11">
        <f t="shared" si="987"/>
        <v>0</v>
      </c>
      <c r="AF2045" s="11">
        <f t="shared" si="979"/>
        <v>0</v>
      </c>
    </row>
    <row r="2046" spans="1:32" x14ac:dyDescent="0.15">
      <c r="A2046" s="27" t="s">
        <v>207</v>
      </c>
      <c r="B2046" s="8"/>
      <c r="C2046" s="9"/>
      <c r="D2046" s="10"/>
      <c r="E2046" s="11">
        <f t="shared" si="980"/>
        <v>0</v>
      </c>
      <c r="F2046" s="12"/>
      <c r="G2046" s="9"/>
      <c r="H2046" s="10">
        <v>4</v>
      </c>
      <c r="I2046" s="11">
        <f t="shared" si="988"/>
        <v>4</v>
      </c>
      <c r="J2046" s="11">
        <f t="shared" si="981"/>
        <v>4</v>
      </c>
      <c r="K2046" s="71">
        <v>44337</v>
      </c>
      <c r="L2046" s="86" t="s">
        <v>704</v>
      </c>
      <c r="M2046" s="8"/>
      <c r="N2046" s="9"/>
      <c r="O2046" s="10"/>
      <c r="P2046" s="11">
        <f t="shared" si="984"/>
        <v>0</v>
      </c>
      <c r="Q2046" s="12"/>
      <c r="R2046" s="9">
        <v>29</v>
      </c>
      <c r="S2046" s="10"/>
      <c r="T2046" s="11">
        <f t="shared" si="985"/>
        <v>29</v>
      </c>
      <c r="U2046" s="11">
        <f t="shared" si="982"/>
        <v>29</v>
      </c>
      <c r="V2046" s="158">
        <v>44418</v>
      </c>
      <c r="W2046" s="29"/>
      <c r="X2046" s="8"/>
      <c r="Y2046" s="9"/>
      <c r="Z2046" s="10"/>
      <c r="AA2046" s="11">
        <f t="shared" si="986"/>
        <v>0</v>
      </c>
      <c r="AB2046" s="12"/>
      <c r="AC2046" s="9"/>
      <c r="AD2046" s="10"/>
      <c r="AE2046" s="11">
        <f t="shared" si="987"/>
        <v>0</v>
      </c>
      <c r="AF2046" s="11">
        <f t="shared" si="979"/>
        <v>0</v>
      </c>
    </row>
    <row r="2047" spans="1:32" x14ac:dyDescent="0.15">
      <c r="A2047" s="27" t="s">
        <v>207</v>
      </c>
      <c r="B2047" s="8"/>
      <c r="C2047" s="9"/>
      <c r="D2047" s="10"/>
      <c r="E2047" s="11">
        <f t="shared" si="980"/>
        <v>0</v>
      </c>
      <c r="F2047" s="12"/>
      <c r="G2047" s="9"/>
      <c r="H2047" s="10">
        <v>1</v>
      </c>
      <c r="I2047" s="11">
        <f t="shared" si="988"/>
        <v>1</v>
      </c>
      <c r="J2047" s="11">
        <f t="shared" si="981"/>
        <v>1</v>
      </c>
      <c r="K2047" s="71">
        <v>44341</v>
      </c>
      <c r="L2047" s="27"/>
      <c r="M2047" s="8"/>
      <c r="N2047" s="9"/>
      <c r="O2047" s="10"/>
      <c r="P2047" s="11">
        <f t="shared" si="984"/>
        <v>0</v>
      </c>
      <c r="Q2047" s="12"/>
      <c r="R2047" s="9"/>
      <c r="S2047" s="10"/>
      <c r="T2047" s="11">
        <f t="shared" si="985"/>
        <v>0</v>
      </c>
      <c r="U2047" s="11">
        <f t="shared" si="982"/>
        <v>0</v>
      </c>
      <c r="V2047" s="160"/>
      <c r="W2047" s="27"/>
      <c r="X2047" s="8"/>
      <c r="Y2047" s="9"/>
      <c r="Z2047" s="10"/>
      <c r="AA2047" s="11">
        <f t="shared" si="986"/>
        <v>0</v>
      </c>
      <c r="AB2047" s="12"/>
      <c r="AC2047" s="9"/>
      <c r="AD2047" s="10"/>
      <c r="AE2047" s="11">
        <f t="shared" si="987"/>
        <v>0</v>
      </c>
      <c r="AF2047" s="11">
        <f t="shared" si="979"/>
        <v>0</v>
      </c>
    </row>
    <row r="2048" spans="1:32" x14ac:dyDescent="0.15">
      <c r="A2048" s="27" t="s">
        <v>207</v>
      </c>
      <c r="B2048" s="8"/>
      <c r="C2048" s="9"/>
      <c r="D2048" s="10">
        <v>1</v>
      </c>
      <c r="E2048" s="11">
        <f t="shared" si="980"/>
        <v>1</v>
      </c>
      <c r="F2048" s="12"/>
      <c r="G2048" s="9"/>
      <c r="H2048" s="10"/>
      <c r="I2048" s="11">
        <f t="shared" si="988"/>
        <v>0</v>
      </c>
      <c r="J2048" s="11">
        <f t="shared" si="981"/>
        <v>1</v>
      </c>
      <c r="K2048" s="71">
        <v>44342</v>
      </c>
      <c r="L2048" s="29"/>
      <c r="M2048" s="8"/>
      <c r="N2048" s="9"/>
      <c r="O2048" s="10"/>
      <c r="P2048" s="11">
        <f t="shared" si="984"/>
        <v>0</v>
      </c>
      <c r="Q2048" s="12"/>
      <c r="R2048" s="9"/>
      <c r="S2048" s="10"/>
      <c r="T2048" s="11">
        <f t="shared" si="985"/>
        <v>0</v>
      </c>
      <c r="U2048" s="11">
        <f t="shared" si="982"/>
        <v>0</v>
      </c>
      <c r="V2048" s="160"/>
      <c r="W2048" s="29"/>
      <c r="X2048" s="8"/>
      <c r="Y2048" s="9"/>
      <c r="Z2048" s="10"/>
      <c r="AA2048" s="11">
        <f t="shared" si="986"/>
        <v>0</v>
      </c>
      <c r="AB2048" s="12"/>
      <c r="AC2048" s="9"/>
      <c r="AD2048" s="10"/>
      <c r="AE2048" s="11">
        <f t="shared" si="987"/>
        <v>0</v>
      </c>
      <c r="AF2048" s="11">
        <f t="shared" si="979"/>
        <v>0</v>
      </c>
    </row>
    <row r="2049" spans="1:32" x14ac:dyDescent="0.15">
      <c r="A2049" s="27" t="s">
        <v>207</v>
      </c>
      <c r="B2049" s="8">
        <v>2</v>
      </c>
      <c r="C2049" s="9"/>
      <c r="D2049" s="10"/>
      <c r="E2049" s="11">
        <f t="shared" si="980"/>
        <v>2</v>
      </c>
      <c r="F2049" s="12"/>
      <c r="G2049" s="9"/>
      <c r="H2049" s="10"/>
      <c r="I2049" s="11">
        <f t="shared" si="988"/>
        <v>0</v>
      </c>
      <c r="J2049" s="11">
        <f t="shared" si="981"/>
        <v>2</v>
      </c>
      <c r="K2049" s="71">
        <v>44352</v>
      </c>
      <c r="L2049" s="29"/>
      <c r="M2049" s="8"/>
      <c r="N2049" s="9"/>
      <c r="O2049" s="10"/>
      <c r="P2049" s="11">
        <f t="shared" si="984"/>
        <v>0</v>
      </c>
      <c r="Q2049" s="12"/>
      <c r="R2049" s="9"/>
      <c r="S2049" s="10"/>
      <c r="T2049" s="11">
        <f t="shared" si="985"/>
        <v>0</v>
      </c>
      <c r="U2049" s="11">
        <f t="shared" si="982"/>
        <v>0</v>
      </c>
      <c r="V2049" s="160"/>
      <c r="W2049" s="29"/>
      <c r="X2049" s="8"/>
      <c r="Y2049" s="9"/>
      <c r="Z2049" s="10"/>
      <c r="AA2049" s="11">
        <f t="shared" si="986"/>
        <v>0</v>
      </c>
      <c r="AB2049" s="12"/>
      <c r="AC2049" s="9"/>
      <c r="AD2049" s="10"/>
      <c r="AE2049" s="11">
        <f t="shared" si="987"/>
        <v>0</v>
      </c>
      <c r="AF2049" s="11">
        <f t="shared" si="979"/>
        <v>0</v>
      </c>
    </row>
    <row r="2050" spans="1:32" x14ac:dyDescent="0.15">
      <c r="A2050" s="27" t="s">
        <v>207</v>
      </c>
      <c r="B2050" s="8"/>
      <c r="C2050" s="9"/>
      <c r="D2050" s="10"/>
      <c r="E2050" s="11">
        <f t="shared" si="980"/>
        <v>0</v>
      </c>
      <c r="F2050" s="12"/>
      <c r="G2050" s="9"/>
      <c r="H2050" s="10">
        <v>1</v>
      </c>
      <c r="I2050" s="11">
        <f t="shared" si="988"/>
        <v>1</v>
      </c>
      <c r="J2050" s="11">
        <f t="shared" si="981"/>
        <v>1</v>
      </c>
      <c r="K2050" s="71">
        <v>44354</v>
      </c>
      <c r="L2050" s="27"/>
      <c r="M2050" s="8"/>
      <c r="N2050" s="9"/>
      <c r="O2050" s="10"/>
      <c r="P2050" s="11">
        <f t="shared" si="984"/>
        <v>0</v>
      </c>
      <c r="Q2050" s="12"/>
      <c r="R2050" s="9"/>
      <c r="S2050" s="10"/>
      <c r="T2050" s="11">
        <f t="shared" si="985"/>
        <v>0</v>
      </c>
      <c r="U2050" s="11">
        <f t="shared" si="982"/>
        <v>0</v>
      </c>
      <c r="V2050" s="160"/>
      <c r="W2050" s="27"/>
      <c r="X2050" s="8"/>
      <c r="Y2050" s="9"/>
      <c r="Z2050" s="10"/>
      <c r="AA2050" s="11">
        <f t="shared" si="986"/>
        <v>0</v>
      </c>
      <c r="AB2050" s="12"/>
      <c r="AC2050" s="9"/>
      <c r="AD2050" s="10"/>
      <c r="AE2050" s="11">
        <f t="shared" si="987"/>
        <v>0</v>
      </c>
      <c r="AF2050" s="11">
        <f t="shared" si="979"/>
        <v>0</v>
      </c>
    </row>
    <row r="2051" spans="1:32" x14ac:dyDescent="0.15">
      <c r="A2051" s="27" t="s">
        <v>207</v>
      </c>
      <c r="B2051" s="8"/>
      <c r="C2051" s="9">
        <v>1</v>
      </c>
      <c r="D2051" s="10"/>
      <c r="E2051" s="11">
        <f t="shared" si="980"/>
        <v>1</v>
      </c>
      <c r="F2051" s="12"/>
      <c r="G2051" s="9"/>
      <c r="H2051" s="10"/>
      <c r="I2051" s="11">
        <f t="shared" si="988"/>
        <v>0</v>
      </c>
      <c r="J2051" s="11">
        <f t="shared" si="981"/>
        <v>1</v>
      </c>
      <c r="K2051" s="71">
        <v>44361</v>
      </c>
      <c r="L2051" s="29"/>
      <c r="M2051" s="8"/>
      <c r="N2051" s="9"/>
      <c r="O2051" s="10"/>
      <c r="P2051" s="11">
        <f t="shared" si="984"/>
        <v>0</v>
      </c>
      <c r="Q2051" s="12"/>
      <c r="R2051" s="9"/>
      <c r="S2051" s="10"/>
      <c r="T2051" s="11">
        <f t="shared" si="985"/>
        <v>0</v>
      </c>
      <c r="U2051" s="11">
        <f t="shared" si="982"/>
        <v>0</v>
      </c>
      <c r="V2051" s="160"/>
      <c r="W2051" s="29"/>
      <c r="X2051" s="8"/>
      <c r="Y2051" s="9"/>
      <c r="Z2051" s="10"/>
      <c r="AA2051" s="11">
        <f t="shared" si="986"/>
        <v>0</v>
      </c>
      <c r="AB2051" s="12"/>
      <c r="AC2051" s="9"/>
      <c r="AD2051" s="10"/>
      <c r="AE2051" s="11">
        <f t="shared" si="987"/>
        <v>0</v>
      </c>
      <c r="AF2051" s="11">
        <f t="shared" si="979"/>
        <v>0</v>
      </c>
    </row>
    <row r="2052" spans="1:32" x14ac:dyDescent="0.15">
      <c r="A2052" s="27" t="s">
        <v>207</v>
      </c>
      <c r="B2052" s="8"/>
      <c r="C2052" s="9"/>
      <c r="D2052" s="10"/>
      <c r="E2052" s="11">
        <f t="shared" si="980"/>
        <v>0</v>
      </c>
      <c r="F2052" s="12">
        <v>1</v>
      </c>
      <c r="G2052" s="9">
        <v>2</v>
      </c>
      <c r="H2052" s="10"/>
      <c r="I2052" s="11">
        <f t="shared" si="988"/>
        <v>3</v>
      </c>
      <c r="J2052" s="11">
        <f t="shared" si="981"/>
        <v>3</v>
      </c>
      <c r="K2052" s="71">
        <v>44363</v>
      </c>
      <c r="L2052" s="27"/>
      <c r="M2052" s="8"/>
      <c r="N2052" s="9"/>
      <c r="O2052" s="10"/>
      <c r="P2052" s="11">
        <f t="shared" si="984"/>
        <v>0</v>
      </c>
      <c r="Q2052" s="12"/>
      <c r="R2052" s="9"/>
      <c r="S2052" s="10"/>
      <c r="T2052" s="11">
        <f t="shared" si="985"/>
        <v>0</v>
      </c>
      <c r="U2052" s="11">
        <f t="shared" si="982"/>
        <v>0</v>
      </c>
      <c r="V2052" s="160"/>
      <c r="W2052" s="27"/>
      <c r="X2052" s="8"/>
      <c r="Y2052" s="9"/>
      <c r="Z2052" s="10"/>
      <c r="AA2052" s="11">
        <f t="shared" si="986"/>
        <v>0</v>
      </c>
      <c r="AB2052" s="12"/>
      <c r="AC2052" s="9"/>
      <c r="AD2052" s="10"/>
      <c r="AE2052" s="11">
        <f t="shared" si="987"/>
        <v>0</v>
      </c>
      <c r="AF2052" s="11">
        <f t="shared" si="979"/>
        <v>0</v>
      </c>
    </row>
    <row r="2053" spans="1:32" x14ac:dyDescent="0.15">
      <c r="A2053" s="27" t="s">
        <v>207</v>
      </c>
      <c r="B2053" s="8"/>
      <c r="C2053" s="9"/>
      <c r="D2053" s="10"/>
      <c r="E2053" s="11">
        <f t="shared" si="980"/>
        <v>0</v>
      </c>
      <c r="F2053" s="12">
        <v>1</v>
      </c>
      <c r="G2053" s="9"/>
      <c r="H2053" s="10"/>
      <c r="I2053" s="11">
        <f t="shared" si="988"/>
        <v>1</v>
      </c>
      <c r="J2053" s="11">
        <f t="shared" si="981"/>
        <v>1</v>
      </c>
      <c r="K2053" s="71">
        <v>44366</v>
      </c>
      <c r="L2053" s="26"/>
      <c r="M2053" s="8"/>
      <c r="N2053" s="9"/>
      <c r="O2053" s="10"/>
      <c r="P2053" s="11">
        <f t="shared" si="984"/>
        <v>0</v>
      </c>
      <c r="Q2053" s="12"/>
      <c r="R2053" s="9"/>
      <c r="S2053" s="10"/>
      <c r="T2053" s="11">
        <f t="shared" si="985"/>
        <v>0</v>
      </c>
      <c r="U2053" s="11">
        <f t="shared" si="982"/>
        <v>0</v>
      </c>
      <c r="V2053" s="160"/>
      <c r="W2053" s="26"/>
      <c r="X2053" s="8"/>
      <c r="Y2053" s="9"/>
      <c r="Z2053" s="10"/>
      <c r="AA2053" s="11">
        <f t="shared" si="986"/>
        <v>0</v>
      </c>
      <c r="AB2053" s="12"/>
      <c r="AC2053" s="9"/>
      <c r="AD2053" s="10"/>
      <c r="AE2053" s="11">
        <f t="shared" si="987"/>
        <v>0</v>
      </c>
      <c r="AF2053" s="11">
        <f t="shared" si="979"/>
        <v>0</v>
      </c>
    </row>
    <row r="2054" spans="1:32" x14ac:dyDescent="0.15">
      <c r="A2054" s="27" t="s">
        <v>207</v>
      </c>
      <c r="B2054" s="8"/>
      <c r="C2054" s="9"/>
      <c r="D2054" s="10"/>
      <c r="E2054" s="11">
        <f t="shared" si="980"/>
        <v>0</v>
      </c>
      <c r="F2054" s="12"/>
      <c r="G2054" s="9"/>
      <c r="H2054" s="10">
        <v>1</v>
      </c>
      <c r="I2054" s="11">
        <f t="shared" si="988"/>
        <v>1</v>
      </c>
      <c r="J2054" s="11">
        <f t="shared" si="981"/>
        <v>1</v>
      </c>
      <c r="K2054" s="71">
        <v>44371</v>
      </c>
      <c r="L2054" s="26"/>
      <c r="M2054" s="8"/>
      <c r="N2054" s="9"/>
      <c r="O2054" s="10"/>
      <c r="P2054" s="11">
        <f t="shared" si="984"/>
        <v>0</v>
      </c>
      <c r="Q2054" s="12"/>
      <c r="R2054" s="9"/>
      <c r="S2054" s="10"/>
      <c r="T2054" s="11">
        <f t="shared" si="985"/>
        <v>0</v>
      </c>
      <c r="U2054" s="11">
        <f t="shared" si="982"/>
        <v>0</v>
      </c>
      <c r="V2054" s="160"/>
      <c r="W2054" s="26"/>
      <c r="X2054" s="8"/>
      <c r="Y2054" s="9"/>
      <c r="Z2054" s="10"/>
      <c r="AA2054" s="11">
        <f t="shared" si="986"/>
        <v>0</v>
      </c>
      <c r="AB2054" s="12"/>
      <c r="AC2054" s="9"/>
      <c r="AD2054" s="10"/>
      <c r="AE2054" s="11">
        <f t="shared" si="987"/>
        <v>0</v>
      </c>
      <c r="AF2054" s="11">
        <f t="shared" si="979"/>
        <v>0</v>
      </c>
    </row>
    <row r="2055" spans="1:32" x14ac:dyDescent="0.15">
      <c r="A2055" s="27" t="s">
        <v>207</v>
      </c>
      <c r="B2055" s="8"/>
      <c r="C2055" s="9">
        <v>1</v>
      </c>
      <c r="D2055" s="10"/>
      <c r="E2055" s="11">
        <f t="shared" si="980"/>
        <v>1</v>
      </c>
      <c r="F2055" s="12"/>
      <c r="G2055" s="9"/>
      <c r="H2055" s="10"/>
      <c r="I2055" s="11">
        <f t="shared" si="988"/>
        <v>0</v>
      </c>
      <c r="J2055" s="11">
        <f t="shared" si="981"/>
        <v>1</v>
      </c>
      <c r="K2055" s="71">
        <v>44382</v>
      </c>
      <c r="L2055" s="27"/>
      <c r="M2055" s="8"/>
      <c r="N2055" s="9"/>
      <c r="O2055" s="10"/>
      <c r="P2055" s="11">
        <f t="shared" si="984"/>
        <v>0</v>
      </c>
      <c r="Q2055" s="12"/>
      <c r="R2055" s="9"/>
      <c r="S2055" s="10"/>
      <c r="T2055" s="11">
        <f t="shared" si="985"/>
        <v>0</v>
      </c>
      <c r="U2055" s="11">
        <f t="shared" si="982"/>
        <v>0</v>
      </c>
      <c r="V2055" s="160"/>
      <c r="W2055" s="27"/>
      <c r="X2055" s="8"/>
      <c r="Y2055" s="9"/>
      <c r="Z2055" s="10"/>
      <c r="AA2055" s="11">
        <f t="shared" si="986"/>
        <v>0</v>
      </c>
      <c r="AB2055" s="12"/>
      <c r="AC2055" s="9"/>
      <c r="AD2055" s="10"/>
      <c r="AE2055" s="11">
        <f t="shared" si="987"/>
        <v>0</v>
      </c>
      <c r="AF2055" s="11">
        <f t="shared" si="979"/>
        <v>0</v>
      </c>
    </row>
    <row r="2056" spans="1:32" x14ac:dyDescent="0.15">
      <c r="A2056" s="27" t="s">
        <v>207</v>
      </c>
      <c r="B2056" s="13"/>
      <c r="C2056" s="14"/>
      <c r="D2056" s="15"/>
      <c r="E2056" s="11">
        <f t="shared" si="980"/>
        <v>0</v>
      </c>
      <c r="F2056" s="16">
        <v>1</v>
      </c>
      <c r="G2056" s="14"/>
      <c r="H2056" s="15"/>
      <c r="I2056" s="11">
        <f t="shared" si="988"/>
        <v>1</v>
      </c>
      <c r="J2056" s="11">
        <f t="shared" si="981"/>
        <v>1</v>
      </c>
      <c r="K2056" s="71">
        <v>44383</v>
      </c>
      <c r="L2056" s="27"/>
      <c r="M2056" s="13"/>
      <c r="N2056" s="14"/>
      <c r="O2056" s="15"/>
      <c r="P2056" s="11">
        <f t="shared" si="984"/>
        <v>0</v>
      </c>
      <c r="Q2056" s="16"/>
      <c r="R2056" s="14"/>
      <c r="S2056" s="15"/>
      <c r="T2056" s="11">
        <f t="shared" si="985"/>
        <v>0</v>
      </c>
      <c r="U2056" s="11">
        <f t="shared" si="982"/>
        <v>0</v>
      </c>
      <c r="V2056" s="159"/>
      <c r="W2056" s="27"/>
      <c r="X2056" s="13"/>
      <c r="Y2056" s="14"/>
      <c r="Z2056" s="15"/>
      <c r="AA2056" s="11">
        <f t="shared" si="986"/>
        <v>0</v>
      </c>
      <c r="AB2056" s="16"/>
      <c r="AC2056" s="14"/>
      <c r="AD2056" s="15"/>
      <c r="AE2056" s="11">
        <f t="shared" si="987"/>
        <v>0</v>
      </c>
      <c r="AF2056" s="11">
        <f t="shared" si="979"/>
        <v>0</v>
      </c>
    </row>
    <row r="2057" spans="1:32" x14ac:dyDescent="0.15">
      <c r="A2057" s="27" t="s">
        <v>207</v>
      </c>
      <c r="B2057" s="8"/>
      <c r="C2057" s="9"/>
      <c r="D2057" s="10">
        <v>1</v>
      </c>
      <c r="E2057" s="11">
        <f t="shared" si="980"/>
        <v>1</v>
      </c>
      <c r="F2057" s="12"/>
      <c r="G2057" s="9"/>
      <c r="H2057" s="10"/>
      <c r="I2057" s="11">
        <f t="shared" si="988"/>
        <v>0</v>
      </c>
      <c r="J2057" s="11">
        <f t="shared" si="981"/>
        <v>1</v>
      </c>
      <c r="K2057" s="71">
        <v>44389</v>
      </c>
      <c r="L2057" s="6"/>
      <c r="M2057" s="13"/>
      <c r="N2057" s="14"/>
      <c r="O2057" s="15"/>
      <c r="P2057" s="11">
        <f t="shared" si="984"/>
        <v>0</v>
      </c>
      <c r="Q2057" s="16"/>
      <c r="R2057" s="14"/>
      <c r="S2057" s="15"/>
      <c r="T2057" s="11">
        <f t="shared" si="985"/>
        <v>0</v>
      </c>
      <c r="U2057" s="11">
        <f t="shared" si="982"/>
        <v>0</v>
      </c>
      <c r="V2057" s="159"/>
      <c r="W2057" s="86"/>
      <c r="X2057" s="13"/>
      <c r="Y2057" s="14"/>
      <c r="Z2057" s="15"/>
      <c r="AA2057" s="11">
        <f t="shared" si="986"/>
        <v>0</v>
      </c>
      <c r="AB2057" s="16"/>
      <c r="AC2057" s="14"/>
      <c r="AD2057" s="15"/>
      <c r="AE2057" s="11">
        <f t="shared" si="987"/>
        <v>0</v>
      </c>
      <c r="AF2057" s="11">
        <f t="shared" si="979"/>
        <v>0</v>
      </c>
    </row>
    <row r="2058" spans="1:32" x14ac:dyDescent="0.15">
      <c r="A2058" s="27" t="s">
        <v>207</v>
      </c>
      <c r="B2058" s="8"/>
      <c r="C2058" s="9"/>
      <c r="D2058" s="10"/>
      <c r="E2058" s="11">
        <f t="shared" si="980"/>
        <v>0</v>
      </c>
      <c r="F2058" s="12"/>
      <c r="G2058" s="9"/>
      <c r="H2058" s="10">
        <v>1</v>
      </c>
      <c r="I2058" s="11">
        <f t="shared" si="988"/>
        <v>1</v>
      </c>
      <c r="J2058" s="11">
        <f t="shared" si="981"/>
        <v>1</v>
      </c>
      <c r="K2058" s="71">
        <v>44393</v>
      </c>
      <c r="L2058" s="86"/>
      <c r="M2058" s="13"/>
      <c r="N2058" s="14"/>
      <c r="O2058" s="15"/>
      <c r="P2058" s="11">
        <f t="shared" si="984"/>
        <v>0</v>
      </c>
      <c r="Q2058" s="16"/>
      <c r="R2058" s="14"/>
      <c r="S2058" s="15"/>
      <c r="T2058" s="11">
        <f t="shared" si="985"/>
        <v>0</v>
      </c>
      <c r="U2058" s="11">
        <f t="shared" si="982"/>
        <v>0</v>
      </c>
      <c r="V2058" s="159"/>
      <c r="W2058" s="86"/>
      <c r="X2058" s="13"/>
      <c r="Y2058" s="14"/>
      <c r="Z2058" s="15"/>
      <c r="AA2058" s="11">
        <f t="shared" si="986"/>
        <v>0</v>
      </c>
      <c r="AB2058" s="16"/>
      <c r="AC2058" s="14"/>
      <c r="AD2058" s="15"/>
      <c r="AE2058" s="11">
        <f t="shared" si="987"/>
        <v>0</v>
      </c>
      <c r="AF2058" s="11">
        <f t="shared" si="979"/>
        <v>0</v>
      </c>
    </row>
    <row r="2059" spans="1:32" x14ac:dyDescent="0.15">
      <c r="A2059" s="29" t="s">
        <v>959</v>
      </c>
      <c r="B2059" s="8"/>
      <c r="C2059" s="9"/>
      <c r="D2059" s="10"/>
      <c r="E2059" s="11">
        <f t="shared" si="980"/>
        <v>0</v>
      </c>
      <c r="F2059" s="12"/>
      <c r="G2059" s="9"/>
      <c r="H2059" s="10">
        <v>1</v>
      </c>
      <c r="I2059" s="11">
        <f t="shared" si="988"/>
        <v>1</v>
      </c>
      <c r="J2059" s="11">
        <f t="shared" si="981"/>
        <v>1</v>
      </c>
      <c r="K2059" s="65">
        <v>44408</v>
      </c>
      <c r="L2059" s="27" t="s">
        <v>952</v>
      </c>
      <c r="M2059" s="13"/>
      <c r="N2059" s="14"/>
      <c r="O2059" s="15"/>
      <c r="P2059" s="11">
        <f t="shared" ref="P2059" si="989">SUM(M2059:O2059)</f>
        <v>0</v>
      </c>
      <c r="Q2059" s="16"/>
      <c r="R2059" s="14"/>
      <c r="S2059" s="15"/>
      <c r="T2059" s="11">
        <f t="shared" ref="T2059" si="990">SUM(Q2059:S2059)</f>
        <v>0</v>
      </c>
      <c r="U2059" s="11">
        <f t="shared" ref="U2059" si="991">P2059+T2059</f>
        <v>0</v>
      </c>
      <c r="V2059" s="159" t="s">
        <v>953</v>
      </c>
      <c r="W2059" s="86"/>
      <c r="X2059" s="13"/>
      <c r="Y2059" s="14"/>
      <c r="Z2059" s="15"/>
      <c r="AA2059" s="11">
        <f t="shared" si="986"/>
        <v>0</v>
      </c>
      <c r="AB2059" s="16"/>
      <c r="AC2059" s="14"/>
      <c r="AD2059" s="15"/>
      <c r="AE2059" s="11">
        <f t="shared" si="987"/>
        <v>0</v>
      </c>
      <c r="AF2059" s="11">
        <f t="shared" si="979"/>
        <v>0</v>
      </c>
    </row>
    <row r="2060" spans="1:32" ht="14.25" thickBot="1" x14ac:dyDescent="0.2">
      <c r="A2060" s="29" t="s">
        <v>961</v>
      </c>
      <c r="B2060" s="8"/>
      <c r="C2060" s="9">
        <v>-1</v>
      </c>
      <c r="D2060" s="10"/>
      <c r="E2060" s="11">
        <f t="shared" si="980"/>
        <v>-1</v>
      </c>
      <c r="F2060" s="12">
        <v>2</v>
      </c>
      <c r="G2060" s="9">
        <v>1</v>
      </c>
      <c r="H2060" s="10"/>
      <c r="I2060" s="11">
        <f t="shared" si="988"/>
        <v>3</v>
      </c>
      <c r="J2060" s="11">
        <f t="shared" si="981"/>
        <v>2</v>
      </c>
      <c r="K2060" s="71">
        <v>44408</v>
      </c>
      <c r="L2060" s="27" t="s">
        <v>954</v>
      </c>
      <c r="M2060" s="13"/>
      <c r="N2060" s="14"/>
      <c r="O2060" s="15"/>
      <c r="P2060" s="11">
        <f t="shared" si="984"/>
        <v>0</v>
      </c>
      <c r="Q2060" s="16"/>
      <c r="R2060" s="14"/>
      <c r="S2060" s="15"/>
      <c r="T2060" s="11">
        <f t="shared" si="985"/>
        <v>0</v>
      </c>
      <c r="U2060" s="11">
        <f t="shared" si="982"/>
        <v>0</v>
      </c>
      <c r="V2060" s="159"/>
      <c r="W2060" s="86"/>
      <c r="X2060" s="13"/>
      <c r="Y2060" s="14"/>
      <c r="Z2060" s="15"/>
      <c r="AA2060" s="11">
        <f t="shared" si="986"/>
        <v>0</v>
      </c>
      <c r="AB2060" s="16"/>
      <c r="AC2060" s="14"/>
      <c r="AD2060" s="15"/>
      <c r="AE2060" s="11">
        <f t="shared" si="987"/>
        <v>0</v>
      </c>
      <c r="AF2060" s="11">
        <f t="shared" si="979"/>
        <v>0</v>
      </c>
    </row>
    <row r="2061" spans="1:32" ht="14.25" thickBot="1" x14ac:dyDescent="0.2">
      <c r="A2061" s="44" t="s">
        <v>13</v>
      </c>
      <c r="B2061" s="48">
        <f t="shared" ref="B2061:I2061" si="992">SUM(B2035:B2060)</f>
        <v>3</v>
      </c>
      <c r="C2061" s="49">
        <f t="shared" si="992"/>
        <v>2</v>
      </c>
      <c r="D2061" s="50">
        <f t="shared" si="992"/>
        <v>3</v>
      </c>
      <c r="E2061" s="46">
        <f t="shared" si="992"/>
        <v>8</v>
      </c>
      <c r="F2061" s="48">
        <f t="shared" si="992"/>
        <v>11</v>
      </c>
      <c r="G2061" s="49">
        <f t="shared" si="992"/>
        <v>10</v>
      </c>
      <c r="H2061" s="50">
        <f t="shared" si="992"/>
        <v>15</v>
      </c>
      <c r="I2061" s="46">
        <f t="shared" si="992"/>
        <v>36</v>
      </c>
      <c r="J2061" s="35">
        <f>E2061+I2061</f>
        <v>44</v>
      </c>
      <c r="L2061" s="44" t="s">
        <v>13</v>
      </c>
      <c r="M2061" s="48">
        <f t="shared" ref="M2061:T2061" si="993">SUM(M2035:M2060)</f>
        <v>161</v>
      </c>
      <c r="N2061" s="49">
        <f t="shared" si="993"/>
        <v>160</v>
      </c>
      <c r="O2061" s="50">
        <f t="shared" si="993"/>
        <v>181</v>
      </c>
      <c r="P2061" s="46">
        <f t="shared" si="993"/>
        <v>502</v>
      </c>
      <c r="Q2061" s="48">
        <f t="shared" si="993"/>
        <v>138</v>
      </c>
      <c r="R2061" s="49">
        <f t="shared" si="993"/>
        <v>168</v>
      </c>
      <c r="S2061" s="50">
        <f t="shared" si="993"/>
        <v>146</v>
      </c>
      <c r="T2061" s="46">
        <f t="shared" si="993"/>
        <v>452</v>
      </c>
      <c r="U2061" s="35">
        <f>P2061+T2061</f>
        <v>954</v>
      </c>
      <c r="V2061" s="160"/>
      <c r="W2061" s="44" t="s">
        <v>13</v>
      </c>
      <c r="X2061" s="48">
        <f t="shared" ref="X2061:AE2061" si="994">SUM(X2035:X2060)</f>
        <v>0</v>
      </c>
      <c r="Y2061" s="49">
        <f t="shared" si="994"/>
        <v>0</v>
      </c>
      <c r="Z2061" s="50">
        <f t="shared" si="994"/>
        <v>0</v>
      </c>
      <c r="AA2061" s="46">
        <f t="shared" si="994"/>
        <v>0</v>
      </c>
      <c r="AB2061" s="48">
        <f t="shared" si="994"/>
        <v>0</v>
      </c>
      <c r="AC2061" s="49">
        <f t="shared" si="994"/>
        <v>0</v>
      </c>
      <c r="AD2061" s="50">
        <f t="shared" si="994"/>
        <v>0</v>
      </c>
      <c r="AE2061" s="46">
        <f t="shared" si="994"/>
        <v>0</v>
      </c>
      <c r="AF2061" s="35">
        <f>AA2061+AE2061</f>
        <v>0</v>
      </c>
    </row>
    <row r="2062" spans="1:32" ht="14.25" thickBot="1" x14ac:dyDescent="0.2">
      <c r="A2062" s="23" t="s">
        <v>14</v>
      </c>
      <c r="B2062" s="24">
        <f t="shared" ref="B2062:J2062" si="995">B2034-B2061</f>
        <v>7</v>
      </c>
      <c r="C2062" s="25">
        <f t="shared" si="995"/>
        <v>4</v>
      </c>
      <c r="D2062" s="30">
        <f t="shared" si="995"/>
        <v>3</v>
      </c>
      <c r="E2062" s="51">
        <f t="shared" si="995"/>
        <v>14</v>
      </c>
      <c r="F2062" s="24">
        <f t="shared" si="995"/>
        <v>4</v>
      </c>
      <c r="G2062" s="25">
        <f t="shared" si="995"/>
        <v>2</v>
      </c>
      <c r="H2062" s="30">
        <f t="shared" si="995"/>
        <v>4</v>
      </c>
      <c r="I2062" s="47">
        <f t="shared" si="995"/>
        <v>10</v>
      </c>
      <c r="J2062" s="79">
        <f t="shared" si="995"/>
        <v>24</v>
      </c>
      <c r="L2062" s="23" t="s">
        <v>14</v>
      </c>
      <c r="M2062" s="24">
        <f t="shared" ref="M2062:U2062" si="996">M2034-M2061</f>
        <v>245</v>
      </c>
      <c r="N2062" s="25">
        <f t="shared" si="996"/>
        <v>236</v>
      </c>
      <c r="O2062" s="30">
        <f t="shared" si="996"/>
        <v>68</v>
      </c>
      <c r="P2062" s="51">
        <f t="shared" si="996"/>
        <v>549</v>
      </c>
      <c r="Q2062" s="24">
        <f t="shared" si="996"/>
        <v>264</v>
      </c>
      <c r="R2062" s="25">
        <f t="shared" si="996"/>
        <v>163</v>
      </c>
      <c r="S2062" s="30">
        <f t="shared" si="996"/>
        <v>82</v>
      </c>
      <c r="T2062" s="47">
        <f t="shared" si="996"/>
        <v>509</v>
      </c>
      <c r="U2062" s="79">
        <f t="shared" si="996"/>
        <v>1058</v>
      </c>
      <c r="W2062" s="23" t="s">
        <v>14</v>
      </c>
      <c r="X2062" s="24">
        <f t="shared" ref="X2062:AF2062" si="997">X2034-X2061</f>
        <v>0</v>
      </c>
      <c r="Y2062" s="25">
        <f t="shared" si="997"/>
        <v>0</v>
      </c>
      <c r="Z2062" s="30">
        <f t="shared" si="997"/>
        <v>0</v>
      </c>
      <c r="AA2062" s="51">
        <f t="shared" si="997"/>
        <v>0</v>
      </c>
      <c r="AB2062" s="24">
        <f t="shared" si="997"/>
        <v>0</v>
      </c>
      <c r="AC2062" s="25">
        <f t="shared" si="997"/>
        <v>0</v>
      </c>
      <c r="AD2062" s="30">
        <f t="shared" si="997"/>
        <v>0</v>
      </c>
      <c r="AE2062" s="47">
        <f t="shared" si="997"/>
        <v>0</v>
      </c>
      <c r="AF2062" s="79">
        <f t="shared" si="997"/>
        <v>0</v>
      </c>
    </row>
    <row r="2065" spans="1:32" ht="19.5" thickBot="1" x14ac:dyDescent="0.25">
      <c r="A2065" s="142" t="s">
        <v>850</v>
      </c>
      <c r="B2065" s="143"/>
      <c r="C2065" s="143"/>
      <c r="D2065" s="143"/>
      <c r="E2065" s="143"/>
      <c r="F2065" s="1"/>
      <c r="G2065" s="1"/>
      <c r="H2065" s="1"/>
      <c r="I2065" s="1"/>
      <c r="J2065" s="1"/>
      <c r="L2065" s="148" t="s">
        <v>851</v>
      </c>
      <c r="M2065" s="149"/>
      <c r="N2065" s="149"/>
      <c r="O2065" s="149"/>
      <c r="P2065" s="149"/>
      <c r="Q2065" s="2"/>
      <c r="R2065" s="1"/>
      <c r="S2065" s="1"/>
      <c r="T2065" s="1"/>
      <c r="U2065" s="1"/>
      <c r="W2065" s="150" t="s">
        <v>765</v>
      </c>
      <c r="X2065" s="151"/>
      <c r="Y2065" s="151"/>
      <c r="Z2065" s="151"/>
      <c r="AA2065" s="106"/>
      <c r="AB2065" s="1"/>
      <c r="AC2065" s="1"/>
      <c r="AD2065" s="1"/>
      <c r="AE2065" s="1"/>
      <c r="AF2065" s="1"/>
    </row>
    <row r="2066" spans="1:32" ht="14.25" thickBot="1" x14ac:dyDescent="0.2">
      <c r="A2066" s="7" t="s">
        <v>0</v>
      </c>
      <c r="B2066" s="168" t="s">
        <v>1</v>
      </c>
      <c r="C2066" s="169"/>
      <c r="D2066" s="169"/>
      <c r="E2066" s="170"/>
      <c r="F2066" s="168" t="s">
        <v>2</v>
      </c>
      <c r="G2066" s="169"/>
      <c r="H2066" s="169"/>
      <c r="I2066" s="171"/>
      <c r="J2066" s="172" t="s">
        <v>3</v>
      </c>
      <c r="L2066" s="7" t="s">
        <v>0</v>
      </c>
      <c r="M2066" s="174" t="s">
        <v>1</v>
      </c>
      <c r="N2066" s="175"/>
      <c r="O2066" s="176"/>
      <c r="P2066" s="101"/>
      <c r="Q2066" s="174" t="s">
        <v>2</v>
      </c>
      <c r="R2066" s="175"/>
      <c r="S2066" s="176"/>
      <c r="T2066" s="102"/>
      <c r="U2066" s="103" t="s">
        <v>3</v>
      </c>
      <c r="W2066" s="7" t="s">
        <v>0</v>
      </c>
      <c r="X2066" s="174" t="s">
        <v>1</v>
      </c>
      <c r="Y2066" s="175"/>
      <c r="Z2066" s="176"/>
      <c r="AA2066" s="101"/>
      <c r="AB2066" s="174" t="s">
        <v>2</v>
      </c>
      <c r="AC2066" s="175"/>
      <c r="AD2066" s="176"/>
      <c r="AE2066" s="102"/>
      <c r="AF2066" s="103" t="s">
        <v>3</v>
      </c>
    </row>
    <row r="2067" spans="1:32" ht="14.25" thickBot="1" x14ac:dyDescent="0.2">
      <c r="A2067" s="7" t="s">
        <v>4</v>
      </c>
      <c r="B2067" s="3" t="s">
        <v>5</v>
      </c>
      <c r="C2067" s="4" t="s">
        <v>6</v>
      </c>
      <c r="D2067" s="5" t="s">
        <v>7</v>
      </c>
      <c r="E2067" s="7" t="s">
        <v>8</v>
      </c>
      <c r="F2067" s="3" t="s">
        <v>5</v>
      </c>
      <c r="G2067" s="4" t="s">
        <v>6</v>
      </c>
      <c r="H2067" s="5" t="s">
        <v>7</v>
      </c>
      <c r="I2067" s="7" t="s">
        <v>8</v>
      </c>
      <c r="J2067" s="173"/>
      <c r="L2067" s="7" t="s">
        <v>4</v>
      </c>
      <c r="M2067" s="3" t="s">
        <v>5</v>
      </c>
      <c r="N2067" s="4" t="s">
        <v>6</v>
      </c>
      <c r="O2067" s="5" t="s">
        <v>7</v>
      </c>
      <c r="P2067" s="7" t="s">
        <v>8</v>
      </c>
      <c r="Q2067" s="107" t="s">
        <v>5</v>
      </c>
      <c r="R2067" s="108" t="s">
        <v>6</v>
      </c>
      <c r="S2067" s="109" t="s">
        <v>7</v>
      </c>
      <c r="T2067" s="7" t="s">
        <v>8</v>
      </c>
      <c r="U2067" s="104"/>
      <c r="W2067" s="7" t="s">
        <v>4</v>
      </c>
      <c r="X2067" s="3" t="s">
        <v>5</v>
      </c>
      <c r="Y2067" s="4" t="s">
        <v>6</v>
      </c>
      <c r="Z2067" s="5" t="s">
        <v>7</v>
      </c>
      <c r="AA2067" s="7" t="s">
        <v>8</v>
      </c>
      <c r="AB2067" s="107" t="s">
        <v>5</v>
      </c>
      <c r="AC2067" s="108" t="s">
        <v>6</v>
      </c>
      <c r="AD2067" s="109" t="s">
        <v>7</v>
      </c>
      <c r="AE2067" s="7" t="s">
        <v>8</v>
      </c>
      <c r="AF2067" s="104"/>
    </row>
    <row r="2068" spans="1:32" ht="14.25" thickBot="1" x14ac:dyDescent="0.2">
      <c r="A2068" s="31" t="s">
        <v>14</v>
      </c>
      <c r="B2068" s="32">
        <f>B2062</f>
        <v>7</v>
      </c>
      <c r="C2068" s="33">
        <f>C2062</f>
        <v>4</v>
      </c>
      <c r="D2068" s="34">
        <f>D2062</f>
        <v>3</v>
      </c>
      <c r="E2068" s="41">
        <f>SUM(B2068:D2068)</f>
        <v>14</v>
      </c>
      <c r="F2068" s="32">
        <f>F2062</f>
        <v>4</v>
      </c>
      <c r="G2068" s="33">
        <f>G2062</f>
        <v>2</v>
      </c>
      <c r="H2068" s="34">
        <f>H2062</f>
        <v>4</v>
      </c>
      <c r="I2068" s="41">
        <f>SUM(F2068:H2068)</f>
        <v>10</v>
      </c>
      <c r="J2068" s="41">
        <f>E2068+I2068</f>
        <v>24</v>
      </c>
      <c r="L2068" s="31" t="s">
        <v>14</v>
      </c>
      <c r="M2068" s="32">
        <f>M2062</f>
        <v>245</v>
      </c>
      <c r="N2068" s="33">
        <f>N2062</f>
        <v>236</v>
      </c>
      <c r="O2068" s="33">
        <f>O2062</f>
        <v>68</v>
      </c>
      <c r="P2068" s="111">
        <f>SUM(M2068:O2068)</f>
        <v>549</v>
      </c>
      <c r="Q2068" s="32">
        <f>Q2062</f>
        <v>264</v>
      </c>
      <c r="R2068" s="33">
        <f>R2062</f>
        <v>163</v>
      </c>
      <c r="S2068" s="95">
        <f>S2062</f>
        <v>82</v>
      </c>
      <c r="T2068" s="46">
        <f>SUM(Q2068:S2068)</f>
        <v>509</v>
      </c>
      <c r="U2068" s="35">
        <f>P2068+T2068</f>
        <v>1058</v>
      </c>
      <c r="W2068" s="31" t="s">
        <v>14</v>
      </c>
      <c r="X2068" s="32">
        <f>X2062</f>
        <v>0</v>
      </c>
      <c r="Y2068" s="33">
        <f>Y2062</f>
        <v>0</v>
      </c>
      <c r="Z2068" s="33">
        <f>Z2062</f>
        <v>0</v>
      </c>
      <c r="AA2068" s="111">
        <f>SUM(X2068:Z2068)</f>
        <v>0</v>
      </c>
      <c r="AB2068" s="32">
        <f>AB2062</f>
        <v>0</v>
      </c>
      <c r="AC2068" s="33">
        <f>AC2062</f>
        <v>0</v>
      </c>
      <c r="AD2068" s="95">
        <f>AD2062</f>
        <v>0</v>
      </c>
      <c r="AE2068" s="46">
        <f>SUM(AB2068:AD2068)</f>
        <v>0</v>
      </c>
      <c r="AF2068" s="35">
        <f>AA2068+AE2068</f>
        <v>0</v>
      </c>
    </row>
    <row r="2069" spans="1:32" x14ac:dyDescent="0.15">
      <c r="A2069" s="28" t="s">
        <v>9</v>
      </c>
      <c r="B2069" s="17"/>
      <c r="C2069" s="18">
        <v>3</v>
      </c>
      <c r="D2069" s="19"/>
      <c r="E2069" s="20">
        <f>SUM(B2069:D2069)</f>
        <v>3</v>
      </c>
      <c r="F2069" s="21"/>
      <c r="G2069" s="18"/>
      <c r="H2069" s="19"/>
      <c r="I2069" s="20">
        <f>SUM(F2069:H2069)</f>
        <v>0</v>
      </c>
      <c r="J2069" s="20">
        <f>E2069+I2069</f>
        <v>3</v>
      </c>
      <c r="K2069" s="65">
        <v>44419</v>
      </c>
      <c r="L2069" s="28" t="s">
        <v>966</v>
      </c>
      <c r="M2069" s="8">
        <v>50</v>
      </c>
      <c r="N2069" s="9">
        <v>-50</v>
      </c>
      <c r="O2069" s="10"/>
      <c r="P2069" s="11">
        <f t="shared" ref="P2069" si="998">SUM(M2069:O2069)</f>
        <v>0</v>
      </c>
      <c r="Q2069" s="12"/>
      <c r="R2069" s="9"/>
      <c r="S2069" s="10"/>
      <c r="T2069" s="11">
        <f t="shared" ref="T2069" si="999">SUM(Q2069:S2069)</f>
        <v>0</v>
      </c>
      <c r="U2069" s="11">
        <f t="shared" ref="U2069" si="1000">P2069+T2069</f>
        <v>0</v>
      </c>
      <c r="V2069" s="161">
        <v>44443</v>
      </c>
      <c r="W2069" s="28"/>
      <c r="X2069" s="8"/>
      <c r="Y2069" s="9"/>
      <c r="Z2069" s="10"/>
      <c r="AA2069" s="78">
        <f t="shared" ref="AA2069:AA2076" si="1001">SUM(X2069:Z2069)</f>
        <v>0</v>
      </c>
      <c r="AB2069" s="21"/>
      <c r="AC2069" s="18"/>
      <c r="AD2069" s="19"/>
      <c r="AE2069" s="78">
        <f t="shared" ref="AE2069:AE2076" si="1002">SUM(AB2069:AD2069)</f>
        <v>0</v>
      </c>
      <c r="AF2069" s="78">
        <f t="shared" ref="AF2069:AF2076" si="1003">AA2069+AE2069</f>
        <v>0</v>
      </c>
    </row>
    <row r="2070" spans="1:32" x14ac:dyDescent="0.15">
      <c r="A2070" s="28" t="s">
        <v>930</v>
      </c>
      <c r="B2070" s="8">
        <v>10</v>
      </c>
      <c r="C2070" s="9">
        <v>6</v>
      </c>
      <c r="D2070" s="10"/>
      <c r="E2070" s="11">
        <f t="shared" ref="E2070:E2076" si="1004">SUM(B2070:D2070)</f>
        <v>16</v>
      </c>
      <c r="F2070" s="12"/>
      <c r="G2070" s="9">
        <v>1</v>
      </c>
      <c r="H2070" s="10"/>
      <c r="I2070" s="11">
        <f t="shared" ref="I2070:I2076" si="1005">SUM(F2070:H2070)</f>
        <v>1</v>
      </c>
      <c r="J2070" s="11">
        <f t="shared" ref="J2070:J2076" si="1006">E2070+I2070</f>
        <v>17</v>
      </c>
      <c r="K2070" s="65">
        <v>44431</v>
      </c>
      <c r="L2070" s="28" t="s">
        <v>875</v>
      </c>
      <c r="M2070" s="8">
        <v>6</v>
      </c>
      <c r="N2070" s="9">
        <v>2</v>
      </c>
      <c r="O2070" s="10"/>
      <c r="P2070" s="11">
        <f t="shared" ref="P2070:P2076" si="1007">SUM(M2070:O2070)</f>
        <v>8</v>
      </c>
      <c r="Q2070" s="12"/>
      <c r="R2070" s="9"/>
      <c r="S2070" s="10"/>
      <c r="T2070" s="11">
        <f t="shared" ref="T2070" si="1008">SUM(Q2070:S2070)</f>
        <v>0</v>
      </c>
      <c r="U2070" s="11">
        <f t="shared" ref="U2070:U2076" si="1009">P2070+T2070</f>
        <v>8</v>
      </c>
      <c r="V2070" s="161">
        <v>44443</v>
      </c>
      <c r="W2070" s="28"/>
      <c r="X2070" s="8"/>
      <c r="Y2070" s="9"/>
      <c r="Z2070" s="10"/>
      <c r="AA2070" s="11">
        <f t="shared" si="1001"/>
        <v>0</v>
      </c>
      <c r="AB2070" s="12"/>
      <c r="AC2070" s="9"/>
      <c r="AD2070" s="10"/>
      <c r="AE2070" s="11">
        <f t="shared" si="1002"/>
        <v>0</v>
      </c>
      <c r="AF2070" s="11">
        <f t="shared" si="1003"/>
        <v>0</v>
      </c>
    </row>
    <row r="2071" spans="1:32" x14ac:dyDescent="0.15">
      <c r="A2071" s="28" t="s">
        <v>930</v>
      </c>
      <c r="B2071" s="8">
        <v>6</v>
      </c>
      <c r="C2071" s="9">
        <v>2</v>
      </c>
      <c r="D2071" s="10"/>
      <c r="E2071" s="11">
        <f t="shared" si="1004"/>
        <v>8</v>
      </c>
      <c r="F2071" s="12">
        <v>1</v>
      </c>
      <c r="G2071" s="9">
        <v>1</v>
      </c>
      <c r="H2071" s="10"/>
      <c r="I2071" s="11">
        <f t="shared" si="1005"/>
        <v>2</v>
      </c>
      <c r="J2071" s="11">
        <f t="shared" si="1006"/>
        <v>10</v>
      </c>
      <c r="K2071" s="65">
        <v>44438</v>
      </c>
      <c r="L2071" s="28" t="s">
        <v>875</v>
      </c>
      <c r="M2071" s="8">
        <v>10</v>
      </c>
      <c r="N2071" s="9">
        <v>8</v>
      </c>
      <c r="O2071" s="10"/>
      <c r="P2071" s="11">
        <f t="shared" si="1007"/>
        <v>18</v>
      </c>
      <c r="Q2071" s="12"/>
      <c r="R2071" s="9"/>
      <c r="S2071" s="10"/>
      <c r="T2071" s="11">
        <f>SUM(Q2071:S2071)</f>
        <v>0</v>
      </c>
      <c r="U2071" s="11">
        <f t="shared" si="1009"/>
        <v>18</v>
      </c>
      <c r="V2071" s="158">
        <v>44457</v>
      </c>
      <c r="W2071" s="28"/>
      <c r="X2071" s="8"/>
      <c r="Y2071" s="9"/>
      <c r="Z2071" s="10"/>
      <c r="AA2071" s="11">
        <f t="shared" si="1001"/>
        <v>0</v>
      </c>
      <c r="AB2071" s="12"/>
      <c r="AC2071" s="9"/>
      <c r="AD2071" s="10"/>
      <c r="AE2071" s="11">
        <f t="shared" si="1002"/>
        <v>0</v>
      </c>
      <c r="AF2071" s="11">
        <f t="shared" si="1003"/>
        <v>0</v>
      </c>
    </row>
    <row r="2072" spans="1:32" x14ac:dyDescent="0.15">
      <c r="A2072" s="28" t="s">
        <v>256</v>
      </c>
      <c r="B2072" s="8"/>
      <c r="C2072" s="9">
        <v>1</v>
      </c>
      <c r="D2072" s="10"/>
      <c r="E2072" s="11">
        <f t="shared" si="1004"/>
        <v>1</v>
      </c>
      <c r="F2072" s="12"/>
      <c r="G2072" s="9"/>
      <c r="H2072" s="10"/>
      <c r="I2072" s="11">
        <f t="shared" si="1005"/>
        <v>0</v>
      </c>
      <c r="J2072" s="11">
        <f t="shared" si="1006"/>
        <v>1</v>
      </c>
      <c r="K2072" s="65">
        <v>44455</v>
      </c>
      <c r="L2072" s="28" t="s">
        <v>12</v>
      </c>
      <c r="M2072" s="8"/>
      <c r="N2072" s="9"/>
      <c r="O2072" s="10"/>
      <c r="P2072" s="11">
        <f t="shared" si="1007"/>
        <v>0</v>
      </c>
      <c r="Q2072" s="12"/>
      <c r="R2072" s="9"/>
      <c r="S2072" s="10"/>
      <c r="T2072" s="11">
        <f t="shared" ref="T2072:T2076" si="1010">SUM(Q2072:S2072)</f>
        <v>0</v>
      </c>
      <c r="U2072" s="11">
        <f t="shared" si="1009"/>
        <v>0</v>
      </c>
      <c r="V2072" s="65"/>
      <c r="W2072" s="28"/>
      <c r="X2072" s="8"/>
      <c r="Y2072" s="9"/>
      <c r="Z2072" s="10"/>
      <c r="AA2072" s="11">
        <f t="shared" si="1001"/>
        <v>0</v>
      </c>
      <c r="AB2072" s="12"/>
      <c r="AC2072" s="9"/>
      <c r="AD2072" s="10"/>
      <c r="AE2072" s="11">
        <f t="shared" si="1002"/>
        <v>0</v>
      </c>
      <c r="AF2072" s="11">
        <f t="shared" si="1003"/>
        <v>0</v>
      </c>
    </row>
    <row r="2073" spans="1:32" x14ac:dyDescent="0.15">
      <c r="A2073" s="28" t="s">
        <v>15</v>
      </c>
      <c r="B2073" s="8"/>
      <c r="C2073" s="9"/>
      <c r="D2073" s="10">
        <v>5</v>
      </c>
      <c r="E2073" s="11">
        <f t="shared" si="1004"/>
        <v>5</v>
      </c>
      <c r="F2073" s="12"/>
      <c r="G2073" s="9"/>
      <c r="H2073" s="10"/>
      <c r="I2073" s="11">
        <f t="shared" si="1005"/>
        <v>0</v>
      </c>
      <c r="J2073" s="11">
        <f t="shared" si="1006"/>
        <v>5</v>
      </c>
      <c r="K2073" s="65">
        <v>44485</v>
      </c>
      <c r="L2073" s="28" t="s">
        <v>15</v>
      </c>
      <c r="M2073" s="8"/>
      <c r="N2073" s="9"/>
      <c r="O2073" s="10"/>
      <c r="P2073" s="11">
        <f t="shared" si="1007"/>
        <v>0</v>
      </c>
      <c r="Q2073" s="12"/>
      <c r="R2073" s="9"/>
      <c r="S2073" s="10"/>
      <c r="T2073" s="11">
        <f t="shared" si="1010"/>
        <v>0</v>
      </c>
      <c r="U2073" s="11">
        <f t="shared" si="1009"/>
        <v>0</v>
      </c>
      <c r="V2073" s="65"/>
      <c r="W2073" s="28"/>
      <c r="X2073" s="8"/>
      <c r="Y2073" s="9"/>
      <c r="Z2073" s="10"/>
      <c r="AA2073" s="11">
        <f t="shared" si="1001"/>
        <v>0</v>
      </c>
      <c r="AB2073" s="12"/>
      <c r="AC2073" s="9"/>
      <c r="AD2073" s="10"/>
      <c r="AE2073" s="11">
        <f t="shared" si="1002"/>
        <v>0</v>
      </c>
      <c r="AF2073" s="11">
        <f t="shared" si="1003"/>
        <v>0</v>
      </c>
    </row>
    <row r="2074" spans="1:32" x14ac:dyDescent="0.15">
      <c r="A2074" s="28" t="s">
        <v>46</v>
      </c>
      <c r="B2074" s="8"/>
      <c r="C2074" s="9"/>
      <c r="D2074" s="10">
        <v>2</v>
      </c>
      <c r="E2074" s="11">
        <f t="shared" si="1004"/>
        <v>2</v>
      </c>
      <c r="F2074" s="12"/>
      <c r="G2074" s="9"/>
      <c r="H2074" s="10"/>
      <c r="I2074" s="11">
        <f t="shared" si="1005"/>
        <v>0</v>
      </c>
      <c r="J2074" s="11">
        <f t="shared" si="1006"/>
        <v>2</v>
      </c>
      <c r="K2074" s="65">
        <v>44491</v>
      </c>
      <c r="L2074" s="28" t="s">
        <v>16</v>
      </c>
      <c r="M2074" s="8"/>
      <c r="N2074" s="9"/>
      <c r="O2074" s="10"/>
      <c r="P2074" s="11">
        <f t="shared" si="1007"/>
        <v>0</v>
      </c>
      <c r="Q2074" s="12"/>
      <c r="R2074" s="9"/>
      <c r="S2074" s="10"/>
      <c r="T2074" s="11">
        <f t="shared" si="1010"/>
        <v>0</v>
      </c>
      <c r="U2074" s="11">
        <f t="shared" si="1009"/>
        <v>0</v>
      </c>
      <c r="V2074" s="65"/>
      <c r="W2074" s="28"/>
      <c r="X2074" s="8"/>
      <c r="Y2074" s="9"/>
      <c r="Z2074" s="10"/>
      <c r="AA2074" s="11">
        <f t="shared" si="1001"/>
        <v>0</v>
      </c>
      <c r="AB2074" s="12"/>
      <c r="AC2074" s="9"/>
      <c r="AD2074" s="10"/>
      <c r="AE2074" s="11">
        <f t="shared" si="1002"/>
        <v>0</v>
      </c>
      <c r="AF2074" s="11">
        <f t="shared" si="1003"/>
        <v>0</v>
      </c>
    </row>
    <row r="2075" spans="1:32" x14ac:dyDescent="0.15">
      <c r="A2075" s="28" t="s">
        <v>17</v>
      </c>
      <c r="B2075" s="13"/>
      <c r="C2075" s="14"/>
      <c r="D2075" s="15"/>
      <c r="E2075" s="11">
        <f t="shared" si="1004"/>
        <v>0</v>
      </c>
      <c r="F2075" s="16"/>
      <c r="G2075" s="14">
        <v>3</v>
      </c>
      <c r="H2075" s="15">
        <v>3</v>
      </c>
      <c r="I2075" s="11">
        <f t="shared" si="1005"/>
        <v>6</v>
      </c>
      <c r="J2075" s="11">
        <f t="shared" si="1006"/>
        <v>6</v>
      </c>
      <c r="K2075" s="65">
        <v>44496</v>
      </c>
      <c r="L2075" s="28" t="s">
        <v>17</v>
      </c>
      <c r="M2075" s="8"/>
      <c r="N2075" s="9"/>
      <c r="O2075" s="10"/>
      <c r="P2075" s="11">
        <f t="shared" si="1007"/>
        <v>0</v>
      </c>
      <c r="Q2075" s="12"/>
      <c r="R2075" s="12"/>
      <c r="S2075" s="87"/>
      <c r="T2075" s="11">
        <f t="shared" si="1010"/>
        <v>0</v>
      </c>
      <c r="U2075" s="11">
        <f t="shared" si="1009"/>
        <v>0</v>
      </c>
      <c r="V2075" s="126"/>
      <c r="W2075" s="28"/>
      <c r="X2075" s="8"/>
      <c r="Y2075" s="9"/>
      <c r="Z2075" s="10"/>
      <c r="AA2075" s="11">
        <f t="shared" si="1001"/>
        <v>0</v>
      </c>
      <c r="AB2075" s="12"/>
      <c r="AC2075" s="12"/>
      <c r="AD2075" s="87"/>
      <c r="AE2075" s="11">
        <f t="shared" si="1002"/>
        <v>0</v>
      </c>
      <c r="AF2075" s="11">
        <f t="shared" si="1003"/>
        <v>0</v>
      </c>
    </row>
    <row r="2076" spans="1:32" ht="14.25" thickBot="1" x14ac:dyDescent="0.2">
      <c r="A2076" s="28" t="s">
        <v>18</v>
      </c>
      <c r="B2076" s="36"/>
      <c r="C2076" s="37">
        <v>5</v>
      </c>
      <c r="D2076" s="40"/>
      <c r="E2076" s="22">
        <f t="shared" si="1004"/>
        <v>5</v>
      </c>
      <c r="F2076" s="38"/>
      <c r="G2076" s="38"/>
      <c r="H2076" s="43"/>
      <c r="I2076" s="22">
        <f t="shared" si="1005"/>
        <v>0</v>
      </c>
      <c r="J2076" s="22">
        <f t="shared" si="1006"/>
        <v>5</v>
      </c>
      <c r="K2076" s="65">
        <v>44520</v>
      </c>
      <c r="L2076" s="28" t="s">
        <v>18</v>
      </c>
      <c r="M2076" s="127"/>
      <c r="N2076" s="128"/>
      <c r="O2076" s="129"/>
      <c r="P2076" s="130">
        <f t="shared" si="1007"/>
        <v>0</v>
      </c>
      <c r="Q2076" s="131"/>
      <c r="R2076" s="131"/>
      <c r="S2076" s="132"/>
      <c r="T2076" s="130">
        <f t="shared" si="1010"/>
        <v>0</v>
      </c>
      <c r="U2076" s="130">
        <f t="shared" si="1009"/>
        <v>0</v>
      </c>
      <c r="W2076" s="28"/>
      <c r="X2076" s="127"/>
      <c r="Y2076" s="128"/>
      <c r="Z2076" s="129"/>
      <c r="AA2076" s="130">
        <f t="shared" si="1001"/>
        <v>0</v>
      </c>
      <c r="AB2076" s="131"/>
      <c r="AC2076" s="131"/>
      <c r="AD2076" s="132"/>
      <c r="AE2076" s="130">
        <f t="shared" si="1002"/>
        <v>0</v>
      </c>
      <c r="AF2076" s="130">
        <f t="shared" si="1003"/>
        <v>0</v>
      </c>
    </row>
    <row r="2077" spans="1:32" ht="14.25" thickBot="1" x14ac:dyDescent="0.2">
      <c r="A2077" s="39" t="s">
        <v>20</v>
      </c>
      <c r="B2077" s="32">
        <f t="shared" ref="B2077:J2077" si="1011">SUM(B2068:B2076)</f>
        <v>23</v>
      </c>
      <c r="C2077" s="33">
        <f t="shared" si="1011"/>
        <v>21</v>
      </c>
      <c r="D2077" s="34">
        <f t="shared" si="1011"/>
        <v>10</v>
      </c>
      <c r="E2077" s="42">
        <f t="shared" si="1011"/>
        <v>54</v>
      </c>
      <c r="F2077" s="32">
        <f t="shared" si="1011"/>
        <v>5</v>
      </c>
      <c r="G2077" s="33">
        <f t="shared" si="1011"/>
        <v>7</v>
      </c>
      <c r="H2077" s="34">
        <f t="shared" si="1011"/>
        <v>7</v>
      </c>
      <c r="I2077" s="42">
        <f t="shared" si="1011"/>
        <v>19</v>
      </c>
      <c r="J2077" s="42">
        <f t="shared" si="1011"/>
        <v>73</v>
      </c>
      <c r="L2077" s="39" t="s">
        <v>20</v>
      </c>
      <c r="M2077" s="32">
        <f t="shared" ref="M2077:U2077" si="1012">SUM(M2068:M2076)</f>
        <v>311</v>
      </c>
      <c r="N2077" s="33">
        <f t="shared" si="1012"/>
        <v>196</v>
      </c>
      <c r="O2077" s="34">
        <f t="shared" si="1012"/>
        <v>68</v>
      </c>
      <c r="P2077" s="42">
        <f t="shared" si="1012"/>
        <v>575</v>
      </c>
      <c r="Q2077" s="32">
        <f t="shared" si="1012"/>
        <v>264</v>
      </c>
      <c r="R2077" s="33">
        <f t="shared" si="1012"/>
        <v>163</v>
      </c>
      <c r="S2077" s="34">
        <f t="shared" si="1012"/>
        <v>82</v>
      </c>
      <c r="T2077" s="42">
        <f t="shared" si="1012"/>
        <v>509</v>
      </c>
      <c r="U2077" s="42">
        <f t="shared" si="1012"/>
        <v>1084</v>
      </c>
      <c r="W2077" s="39" t="s">
        <v>20</v>
      </c>
      <c r="X2077" s="32">
        <f t="shared" ref="X2077:AF2077" si="1013">SUM(X2068:X2076)</f>
        <v>0</v>
      </c>
      <c r="Y2077" s="33">
        <f t="shared" si="1013"/>
        <v>0</v>
      </c>
      <c r="Z2077" s="34">
        <f t="shared" si="1013"/>
        <v>0</v>
      </c>
      <c r="AA2077" s="42">
        <f t="shared" si="1013"/>
        <v>0</v>
      </c>
      <c r="AB2077" s="32">
        <f t="shared" si="1013"/>
        <v>0</v>
      </c>
      <c r="AC2077" s="33">
        <f t="shared" si="1013"/>
        <v>0</v>
      </c>
      <c r="AD2077" s="34">
        <f t="shared" si="1013"/>
        <v>0</v>
      </c>
      <c r="AE2077" s="42">
        <f t="shared" si="1013"/>
        <v>0</v>
      </c>
      <c r="AF2077" s="42">
        <f t="shared" si="1013"/>
        <v>0</v>
      </c>
    </row>
    <row r="2078" spans="1:32" x14ac:dyDescent="0.15">
      <c r="A2078" s="27" t="s">
        <v>207</v>
      </c>
      <c r="B2078" s="13"/>
      <c r="C2078" s="14">
        <v>1</v>
      </c>
      <c r="D2078" s="15">
        <v>2</v>
      </c>
      <c r="E2078" s="11">
        <f>SUM(B2078:D2078)</f>
        <v>3</v>
      </c>
      <c r="F2078" s="16"/>
      <c r="G2078" s="14"/>
      <c r="H2078" s="15"/>
      <c r="I2078" s="11">
        <f>SUM(F2078:H2078)</f>
        <v>0</v>
      </c>
      <c r="J2078" s="11">
        <f>E2078+I2078</f>
        <v>3</v>
      </c>
      <c r="K2078" s="71">
        <v>44414</v>
      </c>
      <c r="L2078" s="28" t="s">
        <v>875</v>
      </c>
      <c r="M2078" s="17"/>
      <c r="N2078" s="18">
        <v>3</v>
      </c>
      <c r="O2078" s="19"/>
      <c r="P2078" s="20">
        <f>SUM(M2078:O2078)</f>
        <v>3</v>
      </c>
      <c r="Q2078" s="21"/>
      <c r="R2078" s="18"/>
      <c r="S2078" s="19"/>
      <c r="T2078" s="20">
        <f>SUM(Q2078:S2078)</f>
        <v>0</v>
      </c>
      <c r="U2078" s="20">
        <f>P2078+T2078</f>
        <v>3</v>
      </c>
      <c r="V2078" s="158">
        <v>44419</v>
      </c>
      <c r="W2078" s="86"/>
      <c r="X2078" s="8"/>
      <c r="Y2078" s="9"/>
      <c r="Z2078" s="10"/>
      <c r="AA2078" s="11">
        <f>SUM(X2078:Z2078)</f>
        <v>0</v>
      </c>
      <c r="AB2078" s="12"/>
      <c r="AC2078" s="9"/>
      <c r="AD2078" s="10"/>
      <c r="AE2078" s="11">
        <f>SUM(AB2078:AD2078)</f>
        <v>0</v>
      </c>
      <c r="AF2078" s="11">
        <f t="shared" ref="AF2078:AF2103" si="1014">AA2078+AE2078</f>
        <v>0</v>
      </c>
    </row>
    <row r="2079" spans="1:32" x14ac:dyDescent="0.15">
      <c r="A2079" s="27" t="s">
        <v>207</v>
      </c>
      <c r="B2079" s="13"/>
      <c r="C2079" s="14">
        <v>1</v>
      </c>
      <c r="D2079" s="15"/>
      <c r="E2079" s="11">
        <f t="shared" ref="E2079:E2082" si="1015">SUM(B2079:D2079)</f>
        <v>1</v>
      </c>
      <c r="F2079" s="16"/>
      <c r="G2079" s="14"/>
      <c r="H2079" s="15"/>
      <c r="I2079" s="11">
        <f>SUM(F2079:H2079)</f>
        <v>0</v>
      </c>
      <c r="J2079" s="11">
        <f t="shared" ref="J2079:J2103" si="1016">E2079+I2079</f>
        <v>1</v>
      </c>
      <c r="K2079" s="71">
        <v>44418</v>
      </c>
      <c r="L2079" s="86" t="s">
        <v>854</v>
      </c>
      <c r="M2079" s="8"/>
      <c r="N2079" s="9">
        <v>30</v>
      </c>
      <c r="O2079" s="10"/>
      <c r="P2079" s="11">
        <f>SUM(M2079:O2079)</f>
        <v>30</v>
      </c>
      <c r="Q2079" s="12">
        <v>25</v>
      </c>
      <c r="R2079" s="9"/>
      <c r="S2079" s="10"/>
      <c r="T2079" s="11">
        <f>SUM(Q2079:S2079)</f>
        <v>25</v>
      </c>
      <c r="U2079" s="11">
        <f t="shared" ref="U2079:U2103" si="1017">P2079+T2079</f>
        <v>55</v>
      </c>
      <c r="V2079" s="158">
        <v>44428</v>
      </c>
      <c r="W2079" s="86"/>
      <c r="X2079" s="8"/>
      <c r="Y2079" s="9"/>
      <c r="Z2079" s="10"/>
      <c r="AA2079" s="11">
        <f>SUM(X2079:Z2079)</f>
        <v>0</v>
      </c>
      <c r="AB2079" s="12"/>
      <c r="AC2079" s="9"/>
      <c r="AD2079" s="10"/>
      <c r="AE2079" s="11">
        <f>SUM(AB2079:AD2079)</f>
        <v>0</v>
      </c>
      <c r="AF2079" s="11">
        <f t="shared" si="1014"/>
        <v>0</v>
      </c>
    </row>
    <row r="2080" spans="1:32" x14ac:dyDescent="0.15">
      <c r="A2080" s="27" t="s">
        <v>207</v>
      </c>
      <c r="B2080" s="8"/>
      <c r="C2080" s="9"/>
      <c r="D2080" s="10"/>
      <c r="E2080" s="11">
        <f t="shared" si="1015"/>
        <v>0</v>
      </c>
      <c r="F2080" s="12"/>
      <c r="G2080" s="9"/>
      <c r="H2080" s="10">
        <v>1</v>
      </c>
      <c r="I2080" s="11">
        <f t="shared" ref="I2080:I2081" si="1018">SUM(F2080:H2080)</f>
        <v>1</v>
      </c>
      <c r="J2080" s="11">
        <f t="shared" si="1016"/>
        <v>1</v>
      </c>
      <c r="K2080" s="71">
        <v>44429</v>
      </c>
      <c r="L2080" s="86" t="s">
        <v>855</v>
      </c>
      <c r="M2080" s="8">
        <v>22</v>
      </c>
      <c r="N2080" s="9">
        <v>25</v>
      </c>
      <c r="O2080" s="10">
        <v>34</v>
      </c>
      <c r="P2080" s="11">
        <f t="shared" ref="P2080:P2103" si="1019">SUM(M2080:O2080)</f>
        <v>81</v>
      </c>
      <c r="Q2080" s="12"/>
      <c r="R2080" s="9">
        <v>31</v>
      </c>
      <c r="S2080" s="10">
        <v>26</v>
      </c>
      <c r="T2080" s="11">
        <f t="shared" ref="T2080:T2103" si="1020">SUM(Q2080:S2080)</f>
        <v>57</v>
      </c>
      <c r="U2080" s="11">
        <f t="shared" si="1017"/>
        <v>138</v>
      </c>
      <c r="V2080" s="158">
        <v>44435</v>
      </c>
      <c r="W2080" s="86"/>
      <c r="X2080" s="8"/>
      <c r="Y2080" s="9"/>
      <c r="Z2080" s="10"/>
      <c r="AA2080" s="11">
        <f t="shared" ref="AA2080:AA2103" si="1021">SUM(X2080:Z2080)</f>
        <v>0</v>
      </c>
      <c r="AB2080" s="12"/>
      <c r="AC2080" s="9"/>
      <c r="AD2080" s="10"/>
      <c r="AE2080" s="11">
        <f t="shared" ref="AE2080:AE2103" si="1022">SUM(AB2080:AD2080)</f>
        <v>0</v>
      </c>
      <c r="AF2080" s="11">
        <f t="shared" si="1014"/>
        <v>0</v>
      </c>
    </row>
    <row r="2081" spans="1:32" x14ac:dyDescent="0.15">
      <c r="A2081" s="27" t="s">
        <v>960</v>
      </c>
      <c r="B2081" s="8">
        <v>6</v>
      </c>
      <c r="C2081" s="9">
        <v>2</v>
      </c>
      <c r="D2081" s="10"/>
      <c r="E2081" s="11">
        <f t="shared" si="1015"/>
        <v>8</v>
      </c>
      <c r="F2081" s="12"/>
      <c r="G2081" s="9"/>
      <c r="H2081" s="10"/>
      <c r="I2081" s="11">
        <f t="shared" si="1018"/>
        <v>0</v>
      </c>
      <c r="J2081" s="11">
        <f t="shared" si="1016"/>
        <v>8</v>
      </c>
      <c r="K2081" s="71">
        <v>44443</v>
      </c>
      <c r="L2081" s="86" t="s">
        <v>857</v>
      </c>
      <c r="M2081" s="8"/>
      <c r="N2081" s="9">
        <v>50</v>
      </c>
      <c r="O2081" s="10"/>
      <c r="P2081" s="11">
        <f t="shared" si="1019"/>
        <v>50</v>
      </c>
      <c r="Q2081" s="12"/>
      <c r="R2081" s="9"/>
      <c r="S2081" s="10"/>
      <c r="T2081" s="11">
        <f t="shared" si="1020"/>
        <v>0</v>
      </c>
      <c r="U2081" s="11">
        <f t="shared" si="1017"/>
        <v>50</v>
      </c>
      <c r="V2081" s="158">
        <v>44456</v>
      </c>
      <c r="W2081" s="86"/>
      <c r="X2081" s="8"/>
      <c r="Y2081" s="9"/>
      <c r="Z2081" s="10"/>
      <c r="AA2081" s="11">
        <f t="shared" si="1021"/>
        <v>0</v>
      </c>
      <c r="AB2081" s="12"/>
      <c r="AC2081" s="9"/>
      <c r="AD2081" s="10"/>
      <c r="AE2081" s="11">
        <f t="shared" si="1022"/>
        <v>0</v>
      </c>
      <c r="AF2081" s="11">
        <f t="shared" si="1014"/>
        <v>0</v>
      </c>
    </row>
    <row r="2082" spans="1:32" x14ac:dyDescent="0.15">
      <c r="A2082" s="27" t="s">
        <v>955</v>
      </c>
      <c r="B2082" s="8">
        <v>10</v>
      </c>
      <c r="C2082" s="9">
        <v>8</v>
      </c>
      <c r="D2082" s="10"/>
      <c r="E2082" s="11">
        <f t="shared" si="1015"/>
        <v>18</v>
      </c>
      <c r="F2082" s="12"/>
      <c r="G2082" s="9"/>
      <c r="H2082" s="10"/>
      <c r="I2082" s="11">
        <f>SUM(F2082:H2082)</f>
        <v>0</v>
      </c>
      <c r="J2082" s="11">
        <f t="shared" si="1016"/>
        <v>18</v>
      </c>
      <c r="K2082" s="65">
        <v>44457</v>
      </c>
      <c r="L2082" s="86" t="s">
        <v>861</v>
      </c>
      <c r="M2082" s="8">
        <v>16</v>
      </c>
      <c r="N2082" s="9"/>
      <c r="O2082" s="10"/>
      <c r="P2082" s="11">
        <f t="shared" si="1019"/>
        <v>16</v>
      </c>
      <c r="Q2082" s="12">
        <v>15</v>
      </c>
      <c r="R2082" s="9"/>
      <c r="S2082" s="10">
        <v>29</v>
      </c>
      <c r="T2082" s="11">
        <f t="shared" si="1020"/>
        <v>44</v>
      </c>
      <c r="U2082" s="11">
        <f t="shared" si="1017"/>
        <v>60</v>
      </c>
      <c r="V2082" s="158">
        <v>44469</v>
      </c>
      <c r="W2082" s="86"/>
      <c r="X2082" s="8"/>
      <c r="Y2082" s="9"/>
      <c r="Z2082" s="10"/>
      <c r="AA2082" s="11">
        <f t="shared" si="1021"/>
        <v>0</v>
      </c>
      <c r="AB2082" s="12"/>
      <c r="AC2082" s="9"/>
      <c r="AD2082" s="10"/>
      <c r="AE2082" s="11">
        <f t="shared" si="1022"/>
        <v>0</v>
      </c>
      <c r="AF2082" s="11">
        <f t="shared" si="1014"/>
        <v>0</v>
      </c>
    </row>
    <row r="2083" spans="1:32" x14ac:dyDescent="0.15">
      <c r="A2083" s="27" t="s">
        <v>207</v>
      </c>
      <c r="B2083" s="8"/>
      <c r="C2083" s="9"/>
      <c r="D2083" s="10">
        <v>1</v>
      </c>
      <c r="E2083" s="11">
        <f>SUM(B2083:D2083)</f>
        <v>1</v>
      </c>
      <c r="F2083" s="12"/>
      <c r="G2083" s="9"/>
      <c r="H2083" s="10"/>
      <c r="I2083" s="11">
        <f>SUM(F2083:H2083)</f>
        <v>0</v>
      </c>
      <c r="J2083" s="11">
        <f t="shared" si="1016"/>
        <v>1</v>
      </c>
      <c r="K2083" s="71">
        <v>44460</v>
      </c>
      <c r="L2083" s="86" t="s">
        <v>865</v>
      </c>
      <c r="M2083" s="8"/>
      <c r="N2083" s="9"/>
      <c r="O2083" s="10">
        <v>29</v>
      </c>
      <c r="P2083" s="11">
        <f t="shared" si="1019"/>
        <v>29</v>
      </c>
      <c r="Q2083" s="12"/>
      <c r="R2083" s="9"/>
      <c r="S2083" s="10"/>
      <c r="T2083" s="11">
        <f t="shared" si="1020"/>
        <v>0</v>
      </c>
      <c r="U2083" s="11">
        <f t="shared" si="1017"/>
        <v>29</v>
      </c>
      <c r="V2083" s="158">
        <v>44487</v>
      </c>
      <c r="W2083" s="29"/>
      <c r="X2083" s="8"/>
      <c r="Y2083" s="9"/>
      <c r="Z2083" s="10"/>
      <c r="AA2083" s="11">
        <f t="shared" si="1021"/>
        <v>0</v>
      </c>
      <c r="AB2083" s="12"/>
      <c r="AC2083" s="9"/>
      <c r="AD2083" s="10"/>
      <c r="AE2083" s="11">
        <f t="shared" si="1022"/>
        <v>0</v>
      </c>
      <c r="AF2083" s="11">
        <f t="shared" si="1014"/>
        <v>0</v>
      </c>
    </row>
    <row r="2084" spans="1:32" x14ac:dyDescent="0.15">
      <c r="A2084" s="27" t="s">
        <v>207</v>
      </c>
      <c r="B2084" s="8"/>
      <c r="C2084" s="9">
        <v>1</v>
      </c>
      <c r="D2084" s="10">
        <v>2</v>
      </c>
      <c r="E2084" s="11">
        <f t="shared" ref="E2084:E2103" si="1023">SUM(B2084:D2084)</f>
        <v>3</v>
      </c>
      <c r="F2084" s="140"/>
      <c r="G2084" s="140"/>
      <c r="H2084" s="10"/>
      <c r="I2084" s="11">
        <f t="shared" ref="I2084:I2103" si="1024">SUM(F2084:H2084)</f>
        <v>0</v>
      </c>
      <c r="J2084" s="11">
        <f t="shared" si="1016"/>
        <v>3</v>
      </c>
      <c r="K2084" s="71">
        <v>44463</v>
      </c>
      <c r="L2084" s="28" t="s">
        <v>875</v>
      </c>
      <c r="M2084" s="8"/>
      <c r="N2084" s="9"/>
      <c r="O2084" s="10">
        <v>5</v>
      </c>
      <c r="P2084" s="11">
        <f t="shared" si="1019"/>
        <v>5</v>
      </c>
      <c r="Q2084" s="12"/>
      <c r="R2084" s="9"/>
      <c r="S2084" s="10"/>
      <c r="T2084" s="11">
        <f t="shared" si="1020"/>
        <v>0</v>
      </c>
      <c r="U2084" s="11">
        <f t="shared" si="1017"/>
        <v>5</v>
      </c>
      <c r="V2084" s="158">
        <v>44485</v>
      </c>
      <c r="W2084" s="86"/>
      <c r="X2084" s="8"/>
      <c r="Y2084" s="9"/>
      <c r="Z2084" s="10"/>
      <c r="AA2084" s="11">
        <f t="shared" si="1021"/>
        <v>0</v>
      </c>
      <c r="AB2084" s="12"/>
      <c r="AC2084" s="9"/>
      <c r="AD2084" s="10"/>
      <c r="AE2084" s="11">
        <f t="shared" si="1022"/>
        <v>0</v>
      </c>
      <c r="AF2084" s="11">
        <f t="shared" si="1014"/>
        <v>0</v>
      </c>
    </row>
    <row r="2085" spans="1:32" x14ac:dyDescent="0.15">
      <c r="A2085" s="27" t="s">
        <v>207</v>
      </c>
      <c r="B2085" s="8"/>
      <c r="C2085" s="9"/>
      <c r="D2085" s="10"/>
      <c r="E2085" s="11">
        <f t="shared" si="1023"/>
        <v>0</v>
      </c>
      <c r="F2085" s="12"/>
      <c r="G2085" s="9">
        <v>2</v>
      </c>
      <c r="H2085" s="10"/>
      <c r="I2085" s="11">
        <f t="shared" si="1024"/>
        <v>2</v>
      </c>
      <c r="J2085" s="11">
        <f t="shared" si="1016"/>
        <v>2</v>
      </c>
      <c r="K2085" s="71">
        <v>44480</v>
      </c>
      <c r="L2085" s="86" t="s">
        <v>866</v>
      </c>
      <c r="M2085" s="8">
        <v>15</v>
      </c>
      <c r="N2085" s="9"/>
      <c r="O2085" s="10"/>
      <c r="P2085" s="11">
        <f t="shared" si="1019"/>
        <v>15</v>
      </c>
      <c r="Q2085" s="12"/>
      <c r="R2085" s="9"/>
      <c r="S2085" s="10"/>
      <c r="T2085" s="11">
        <f t="shared" si="1020"/>
        <v>0</v>
      </c>
      <c r="U2085" s="11">
        <f t="shared" si="1017"/>
        <v>15</v>
      </c>
      <c r="V2085" s="158">
        <v>44501</v>
      </c>
      <c r="W2085" s="29"/>
      <c r="X2085" s="8"/>
      <c r="Y2085" s="9"/>
      <c r="Z2085" s="10"/>
      <c r="AA2085" s="11">
        <f t="shared" si="1021"/>
        <v>0</v>
      </c>
      <c r="AB2085" s="12"/>
      <c r="AC2085" s="9"/>
      <c r="AD2085" s="10"/>
      <c r="AE2085" s="11">
        <f t="shared" si="1022"/>
        <v>0</v>
      </c>
      <c r="AF2085" s="11">
        <f t="shared" si="1014"/>
        <v>0</v>
      </c>
    </row>
    <row r="2086" spans="1:32" x14ac:dyDescent="0.15">
      <c r="A2086" s="27" t="s">
        <v>207</v>
      </c>
      <c r="B2086" s="13"/>
      <c r="C2086" s="14"/>
      <c r="D2086" s="15">
        <v>1</v>
      </c>
      <c r="E2086" s="11">
        <f t="shared" si="1023"/>
        <v>1</v>
      </c>
      <c r="F2086" s="16"/>
      <c r="G2086" s="14"/>
      <c r="H2086" s="15"/>
      <c r="I2086" s="11">
        <f t="shared" si="1024"/>
        <v>0</v>
      </c>
      <c r="J2086" s="11">
        <f t="shared" si="1016"/>
        <v>1</v>
      </c>
      <c r="K2086" s="71">
        <v>44487</v>
      </c>
      <c r="L2086" s="28" t="s">
        <v>875</v>
      </c>
      <c r="M2086" s="8"/>
      <c r="N2086" s="9"/>
      <c r="O2086" s="10"/>
      <c r="P2086" s="11">
        <f t="shared" si="1019"/>
        <v>0</v>
      </c>
      <c r="Q2086" s="12"/>
      <c r="R2086" s="9">
        <v>3</v>
      </c>
      <c r="S2086" s="10">
        <v>3</v>
      </c>
      <c r="T2086" s="11">
        <f t="shared" si="1020"/>
        <v>6</v>
      </c>
      <c r="U2086" s="11">
        <f t="shared" si="1017"/>
        <v>6</v>
      </c>
      <c r="V2086" s="158">
        <v>44496</v>
      </c>
      <c r="W2086" s="29"/>
      <c r="X2086" s="8"/>
      <c r="Y2086" s="9"/>
      <c r="Z2086" s="10"/>
      <c r="AA2086" s="11">
        <f t="shared" si="1021"/>
        <v>0</v>
      </c>
      <c r="AB2086" s="12"/>
      <c r="AC2086" s="9"/>
      <c r="AD2086" s="10"/>
      <c r="AE2086" s="11">
        <f t="shared" si="1022"/>
        <v>0</v>
      </c>
      <c r="AF2086" s="11">
        <f t="shared" si="1014"/>
        <v>0</v>
      </c>
    </row>
    <row r="2087" spans="1:32" x14ac:dyDescent="0.15">
      <c r="A2087" s="27" t="s">
        <v>379</v>
      </c>
      <c r="B2087" s="13"/>
      <c r="C2087" s="14"/>
      <c r="D2087" s="15">
        <v>2</v>
      </c>
      <c r="E2087" s="11">
        <f t="shared" ref="E2087" si="1025">SUM(B2087:D2087)</f>
        <v>2</v>
      </c>
      <c r="F2087" s="16"/>
      <c r="G2087" s="14"/>
      <c r="H2087" s="15">
        <v>2</v>
      </c>
      <c r="I2087" s="11">
        <f t="shared" ref="I2087" si="1026">SUM(F2087:H2087)</f>
        <v>2</v>
      </c>
      <c r="J2087" s="11">
        <f t="shared" ref="J2087" si="1027">E2087+I2087</f>
        <v>4</v>
      </c>
      <c r="K2087" s="71">
        <v>44495</v>
      </c>
      <c r="L2087" s="86" t="s">
        <v>867</v>
      </c>
      <c r="M2087" s="13"/>
      <c r="N2087" s="14"/>
      <c r="O2087" s="15"/>
      <c r="P2087" s="11">
        <f t="shared" si="1019"/>
        <v>0</v>
      </c>
      <c r="Q2087" s="16"/>
      <c r="R2087" s="14">
        <v>16</v>
      </c>
      <c r="S2087" s="15"/>
      <c r="T2087" s="11">
        <f t="shared" si="1020"/>
        <v>16</v>
      </c>
      <c r="U2087" s="11">
        <f t="shared" si="1017"/>
        <v>16</v>
      </c>
      <c r="V2087" s="158">
        <v>44516</v>
      </c>
      <c r="W2087" s="29"/>
      <c r="X2087" s="13"/>
      <c r="Y2087" s="14"/>
      <c r="Z2087" s="15"/>
      <c r="AA2087" s="11">
        <f t="shared" si="1021"/>
        <v>0</v>
      </c>
      <c r="AB2087" s="16"/>
      <c r="AC2087" s="14"/>
      <c r="AD2087" s="15"/>
      <c r="AE2087" s="11">
        <f t="shared" si="1022"/>
        <v>0</v>
      </c>
      <c r="AF2087" s="11">
        <f t="shared" si="1014"/>
        <v>0</v>
      </c>
    </row>
    <row r="2088" spans="1:32" x14ac:dyDescent="0.15">
      <c r="A2088" s="27" t="s">
        <v>207</v>
      </c>
      <c r="B2088" s="8"/>
      <c r="C2088" s="9"/>
      <c r="D2088" s="10"/>
      <c r="E2088" s="11">
        <f t="shared" si="1023"/>
        <v>0</v>
      </c>
      <c r="F2088" s="12"/>
      <c r="G2088" s="9">
        <v>1</v>
      </c>
      <c r="H2088" s="10"/>
      <c r="I2088" s="11">
        <f t="shared" si="1024"/>
        <v>1</v>
      </c>
      <c r="J2088" s="11">
        <f t="shared" si="1016"/>
        <v>1</v>
      </c>
      <c r="K2088" s="71">
        <v>44529</v>
      </c>
      <c r="L2088" s="86" t="s">
        <v>869</v>
      </c>
      <c r="M2088" s="8"/>
      <c r="N2088" s="9"/>
      <c r="O2088" s="10"/>
      <c r="P2088" s="11">
        <f t="shared" si="1019"/>
        <v>0</v>
      </c>
      <c r="Q2088" s="12">
        <v>12</v>
      </c>
      <c r="R2088" s="9"/>
      <c r="S2088" s="10"/>
      <c r="T2088" s="11">
        <f t="shared" si="1020"/>
        <v>12</v>
      </c>
      <c r="U2088" s="11">
        <f t="shared" si="1017"/>
        <v>12</v>
      </c>
      <c r="V2088" s="158">
        <v>44522</v>
      </c>
      <c r="W2088" s="29"/>
      <c r="X2088" s="8"/>
      <c r="Y2088" s="9"/>
      <c r="Z2088" s="10"/>
      <c r="AA2088" s="11">
        <f t="shared" si="1021"/>
        <v>0</v>
      </c>
      <c r="AB2088" s="12"/>
      <c r="AC2088" s="9"/>
      <c r="AD2088" s="10"/>
      <c r="AE2088" s="11">
        <f t="shared" si="1022"/>
        <v>0</v>
      </c>
      <c r="AF2088" s="11">
        <f t="shared" si="1014"/>
        <v>0</v>
      </c>
    </row>
    <row r="2089" spans="1:32" x14ac:dyDescent="0.15">
      <c r="A2089" s="27" t="s">
        <v>207</v>
      </c>
      <c r="B2089" s="8"/>
      <c r="C2089" s="9"/>
      <c r="D2089" s="10"/>
      <c r="E2089" s="11">
        <f t="shared" si="1023"/>
        <v>0</v>
      </c>
      <c r="F2089" s="12"/>
      <c r="G2089" s="9"/>
      <c r="H2089" s="10">
        <v>1</v>
      </c>
      <c r="I2089" s="11">
        <f t="shared" si="1024"/>
        <v>1</v>
      </c>
      <c r="J2089" s="11">
        <f t="shared" si="1016"/>
        <v>1</v>
      </c>
      <c r="K2089" s="71">
        <v>44532</v>
      </c>
      <c r="L2089" s="28" t="s">
        <v>875</v>
      </c>
      <c r="M2089" s="8"/>
      <c r="N2089" s="9">
        <v>5</v>
      </c>
      <c r="O2089" s="10"/>
      <c r="P2089" s="11">
        <f t="shared" si="1019"/>
        <v>5</v>
      </c>
      <c r="Q2089" s="12"/>
      <c r="R2089" s="9"/>
      <c r="S2089" s="10"/>
      <c r="T2089" s="11">
        <f t="shared" si="1020"/>
        <v>0</v>
      </c>
      <c r="U2089" s="11">
        <f t="shared" si="1017"/>
        <v>5</v>
      </c>
      <c r="V2089" s="158">
        <v>44520</v>
      </c>
      <c r="W2089" s="29"/>
      <c r="X2089" s="8"/>
      <c r="Y2089" s="9"/>
      <c r="Z2089" s="10"/>
      <c r="AA2089" s="11">
        <f t="shared" si="1021"/>
        <v>0</v>
      </c>
      <c r="AB2089" s="12"/>
      <c r="AC2089" s="9"/>
      <c r="AD2089" s="10"/>
      <c r="AE2089" s="11">
        <f t="shared" si="1022"/>
        <v>0</v>
      </c>
      <c r="AF2089" s="11">
        <f t="shared" si="1014"/>
        <v>0</v>
      </c>
    </row>
    <row r="2090" spans="1:32" x14ac:dyDescent="0.15">
      <c r="A2090" s="27" t="s">
        <v>207</v>
      </c>
      <c r="B2090" s="8"/>
      <c r="C2090" s="9">
        <v>2</v>
      </c>
      <c r="D2090" s="10"/>
      <c r="E2090" s="11">
        <f t="shared" si="1023"/>
        <v>2</v>
      </c>
      <c r="F2090" s="12"/>
      <c r="G2090" s="9"/>
      <c r="H2090" s="10"/>
      <c r="I2090" s="11">
        <f t="shared" si="1024"/>
        <v>0</v>
      </c>
      <c r="J2090" s="11">
        <f t="shared" si="1016"/>
        <v>2</v>
      </c>
      <c r="K2090" s="71">
        <v>44536</v>
      </c>
      <c r="L2090" s="86" t="s">
        <v>873</v>
      </c>
      <c r="M2090" s="8">
        <v>30</v>
      </c>
      <c r="N2090" s="9">
        <v>25</v>
      </c>
      <c r="O2090" s="10"/>
      <c r="P2090" s="11">
        <f t="shared" si="1019"/>
        <v>55</v>
      </c>
      <c r="Q2090" s="12">
        <v>36</v>
      </c>
      <c r="R2090" s="9"/>
      <c r="S2090" s="10"/>
      <c r="T2090" s="11">
        <f t="shared" si="1020"/>
        <v>36</v>
      </c>
      <c r="U2090" s="11">
        <f t="shared" si="1017"/>
        <v>91</v>
      </c>
      <c r="V2090" s="158">
        <v>44530</v>
      </c>
      <c r="W2090" s="27"/>
      <c r="X2090" s="8"/>
      <c r="Y2090" s="9"/>
      <c r="Z2090" s="10"/>
      <c r="AA2090" s="11">
        <f t="shared" si="1021"/>
        <v>0</v>
      </c>
      <c r="AB2090" s="12"/>
      <c r="AC2090" s="9"/>
      <c r="AD2090" s="10"/>
      <c r="AE2090" s="11">
        <f t="shared" si="1022"/>
        <v>0</v>
      </c>
      <c r="AF2090" s="11">
        <f t="shared" si="1014"/>
        <v>0</v>
      </c>
    </row>
    <row r="2091" spans="1:32" x14ac:dyDescent="0.15">
      <c r="A2091" s="27" t="s">
        <v>962</v>
      </c>
      <c r="B2091" s="8"/>
      <c r="C2091" s="9">
        <v>1</v>
      </c>
      <c r="D2091" s="10"/>
      <c r="E2091" s="11">
        <f t="shared" si="1023"/>
        <v>1</v>
      </c>
      <c r="F2091" s="12"/>
      <c r="G2091" s="9"/>
      <c r="H2091" s="10"/>
      <c r="I2091" s="11">
        <f t="shared" si="1024"/>
        <v>0</v>
      </c>
      <c r="J2091" s="11">
        <f t="shared" si="1016"/>
        <v>1</v>
      </c>
      <c r="K2091" s="65">
        <v>44551</v>
      </c>
      <c r="L2091" s="86" t="s">
        <v>881</v>
      </c>
      <c r="M2091" s="8"/>
      <c r="N2091" s="9"/>
      <c r="O2091" s="10"/>
      <c r="P2091" s="11">
        <f t="shared" si="1019"/>
        <v>0</v>
      </c>
      <c r="Q2091" s="12"/>
      <c r="R2091" s="9">
        <v>23</v>
      </c>
      <c r="S2091" s="10">
        <v>13</v>
      </c>
      <c r="T2091" s="11">
        <f t="shared" si="1020"/>
        <v>36</v>
      </c>
      <c r="U2091" s="11">
        <f t="shared" si="1017"/>
        <v>36</v>
      </c>
      <c r="V2091" s="158">
        <v>44557</v>
      </c>
      <c r="W2091" s="29"/>
      <c r="X2091" s="8"/>
      <c r="Y2091" s="9"/>
      <c r="Z2091" s="10"/>
      <c r="AA2091" s="11">
        <f t="shared" si="1021"/>
        <v>0</v>
      </c>
      <c r="AB2091" s="12"/>
      <c r="AC2091" s="9"/>
      <c r="AD2091" s="10"/>
      <c r="AE2091" s="11">
        <f t="shared" si="1022"/>
        <v>0</v>
      </c>
      <c r="AF2091" s="11">
        <f t="shared" si="1014"/>
        <v>0</v>
      </c>
    </row>
    <row r="2092" spans="1:32" x14ac:dyDescent="0.15">
      <c r="A2092" s="27" t="s">
        <v>207</v>
      </c>
      <c r="B2092" s="8"/>
      <c r="C2092" s="9"/>
      <c r="D2092" s="10"/>
      <c r="E2092" s="11">
        <f t="shared" si="1023"/>
        <v>0</v>
      </c>
      <c r="F2092" s="12"/>
      <c r="G2092" s="9">
        <v>1</v>
      </c>
      <c r="H2092" s="10"/>
      <c r="I2092" s="11">
        <f t="shared" si="1024"/>
        <v>1</v>
      </c>
      <c r="J2092" s="11">
        <f t="shared" si="1016"/>
        <v>1</v>
      </c>
      <c r="K2092" s="71">
        <v>44548</v>
      </c>
      <c r="L2092" s="28" t="s">
        <v>875</v>
      </c>
      <c r="M2092" s="8"/>
      <c r="N2092" s="9"/>
      <c r="O2092" s="10"/>
      <c r="P2092" s="11">
        <f t="shared" si="1019"/>
        <v>0</v>
      </c>
      <c r="Q2092" s="12"/>
      <c r="R2092" s="9">
        <v>3</v>
      </c>
      <c r="S2092" s="10">
        <v>3</v>
      </c>
      <c r="T2092" s="11">
        <f t="shared" si="1020"/>
        <v>6</v>
      </c>
      <c r="U2092" s="11">
        <f t="shared" si="1017"/>
        <v>6</v>
      </c>
      <c r="V2092" s="158">
        <v>44587</v>
      </c>
      <c r="W2092" s="29"/>
      <c r="X2092" s="8"/>
      <c r="Y2092" s="9"/>
      <c r="Z2092" s="10"/>
      <c r="AA2092" s="11">
        <f t="shared" si="1021"/>
        <v>0</v>
      </c>
      <c r="AB2092" s="12"/>
      <c r="AC2092" s="9"/>
      <c r="AD2092" s="10"/>
      <c r="AE2092" s="11">
        <f t="shared" si="1022"/>
        <v>0</v>
      </c>
      <c r="AF2092" s="11">
        <f t="shared" si="1014"/>
        <v>0</v>
      </c>
    </row>
    <row r="2093" spans="1:32" x14ac:dyDescent="0.15">
      <c r="A2093" s="27" t="s">
        <v>207</v>
      </c>
      <c r="B2093" s="8"/>
      <c r="C2093" s="9"/>
      <c r="D2093" s="10"/>
      <c r="E2093" s="11">
        <f t="shared" si="1023"/>
        <v>0</v>
      </c>
      <c r="F2093" s="12"/>
      <c r="G2093" s="9"/>
      <c r="H2093" s="10">
        <v>1</v>
      </c>
      <c r="I2093" s="11">
        <f t="shared" si="1024"/>
        <v>1</v>
      </c>
      <c r="J2093" s="11">
        <f t="shared" si="1016"/>
        <v>1</v>
      </c>
      <c r="K2093" s="71">
        <v>44550</v>
      </c>
      <c r="L2093" s="27"/>
      <c r="M2093" s="8"/>
      <c r="N2093" s="9"/>
      <c r="O2093" s="10"/>
      <c r="P2093" s="11">
        <f t="shared" si="1019"/>
        <v>0</v>
      </c>
      <c r="Q2093" s="12"/>
      <c r="R2093" s="9"/>
      <c r="S2093" s="10"/>
      <c r="T2093" s="11">
        <f t="shared" si="1020"/>
        <v>0</v>
      </c>
      <c r="U2093" s="11">
        <f t="shared" si="1017"/>
        <v>0</v>
      </c>
      <c r="V2093" s="160"/>
      <c r="W2093" s="27"/>
      <c r="X2093" s="8"/>
      <c r="Y2093" s="9"/>
      <c r="Z2093" s="10"/>
      <c r="AA2093" s="11">
        <f t="shared" si="1021"/>
        <v>0</v>
      </c>
      <c r="AB2093" s="12"/>
      <c r="AC2093" s="9"/>
      <c r="AD2093" s="10"/>
      <c r="AE2093" s="11">
        <f t="shared" si="1022"/>
        <v>0</v>
      </c>
      <c r="AF2093" s="11">
        <f t="shared" si="1014"/>
        <v>0</v>
      </c>
    </row>
    <row r="2094" spans="1:32" x14ac:dyDescent="0.15">
      <c r="A2094" s="27" t="s">
        <v>207</v>
      </c>
      <c r="B2094" s="8"/>
      <c r="C2094" s="9"/>
      <c r="D2094" s="10"/>
      <c r="E2094" s="11">
        <f t="shared" si="1023"/>
        <v>0</v>
      </c>
      <c r="F2094" s="12"/>
      <c r="G2094" s="9">
        <v>1</v>
      </c>
      <c r="H2094" s="10"/>
      <c r="I2094" s="11">
        <f t="shared" si="1024"/>
        <v>1</v>
      </c>
      <c r="J2094" s="11">
        <f t="shared" si="1016"/>
        <v>1</v>
      </c>
      <c r="K2094" s="71">
        <v>44566</v>
      </c>
      <c r="L2094" s="29"/>
      <c r="M2094" s="8"/>
      <c r="N2094" s="9"/>
      <c r="O2094" s="10"/>
      <c r="P2094" s="11">
        <f t="shared" si="1019"/>
        <v>0</v>
      </c>
      <c r="Q2094" s="12"/>
      <c r="R2094" s="9"/>
      <c r="S2094" s="10"/>
      <c r="T2094" s="11">
        <f t="shared" si="1020"/>
        <v>0</v>
      </c>
      <c r="U2094" s="11">
        <f t="shared" si="1017"/>
        <v>0</v>
      </c>
      <c r="V2094" s="160"/>
      <c r="W2094" s="29"/>
      <c r="X2094" s="8"/>
      <c r="Y2094" s="9"/>
      <c r="Z2094" s="10"/>
      <c r="AA2094" s="11">
        <f t="shared" si="1021"/>
        <v>0</v>
      </c>
      <c r="AB2094" s="12"/>
      <c r="AC2094" s="9"/>
      <c r="AD2094" s="10"/>
      <c r="AE2094" s="11">
        <f t="shared" si="1022"/>
        <v>0</v>
      </c>
      <c r="AF2094" s="11">
        <f t="shared" si="1014"/>
        <v>0</v>
      </c>
    </row>
    <row r="2095" spans="1:32" x14ac:dyDescent="0.15">
      <c r="A2095" s="27" t="s">
        <v>207</v>
      </c>
      <c r="B2095" s="8"/>
      <c r="C2095" s="9"/>
      <c r="D2095" s="10"/>
      <c r="E2095" s="11">
        <f t="shared" si="1023"/>
        <v>0</v>
      </c>
      <c r="F2095" s="12"/>
      <c r="G2095" s="9"/>
      <c r="H2095" s="10">
        <v>1</v>
      </c>
      <c r="I2095" s="11">
        <f t="shared" si="1024"/>
        <v>1</v>
      </c>
      <c r="J2095" s="11">
        <f t="shared" si="1016"/>
        <v>1</v>
      </c>
      <c r="K2095" s="71">
        <v>44572</v>
      </c>
      <c r="L2095" s="27"/>
      <c r="M2095" s="8"/>
      <c r="N2095" s="9"/>
      <c r="O2095" s="10"/>
      <c r="P2095" s="11">
        <f t="shared" si="1019"/>
        <v>0</v>
      </c>
      <c r="Q2095" s="12"/>
      <c r="R2095" s="9"/>
      <c r="S2095" s="10"/>
      <c r="T2095" s="11">
        <f t="shared" si="1020"/>
        <v>0</v>
      </c>
      <c r="U2095" s="11">
        <f t="shared" si="1017"/>
        <v>0</v>
      </c>
      <c r="V2095" s="160"/>
      <c r="W2095" s="27"/>
      <c r="X2095" s="8"/>
      <c r="Y2095" s="9"/>
      <c r="Z2095" s="10"/>
      <c r="AA2095" s="11">
        <f t="shared" si="1021"/>
        <v>0</v>
      </c>
      <c r="AB2095" s="12"/>
      <c r="AC2095" s="9"/>
      <c r="AD2095" s="10"/>
      <c r="AE2095" s="11">
        <f t="shared" si="1022"/>
        <v>0</v>
      </c>
      <c r="AF2095" s="11">
        <f t="shared" si="1014"/>
        <v>0</v>
      </c>
    </row>
    <row r="2096" spans="1:32" x14ac:dyDescent="0.15">
      <c r="A2096" s="27" t="s">
        <v>207</v>
      </c>
      <c r="B2096" s="8"/>
      <c r="C2096" s="9">
        <v>1</v>
      </c>
      <c r="D2096" s="10"/>
      <c r="E2096" s="11">
        <f t="shared" si="1023"/>
        <v>1</v>
      </c>
      <c r="F2096" s="12"/>
      <c r="G2096" s="9"/>
      <c r="H2096" s="10"/>
      <c r="I2096" s="11">
        <f t="shared" si="1024"/>
        <v>0</v>
      </c>
      <c r="J2096" s="11">
        <f t="shared" si="1016"/>
        <v>1</v>
      </c>
      <c r="K2096" s="71">
        <v>44580</v>
      </c>
      <c r="L2096" s="26"/>
      <c r="M2096" s="8"/>
      <c r="N2096" s="9"/>
      <c r="O2096" s="10"/>
      <c r="P2096" s="11">
        <f t="shared" si="1019"/>
        <v>0</v>
      </c>
      <c r="Q2096" s="12"/>
      <c r="R2096" s="9"/>
      <c r="S2096" s="10"/>
      <c r="T2096" s="11">
        <f t="shared" si="1020"/>
        <v>0</v>
      </c>
      <c r="U2096" s="11">
        <f t="shared" si="1017"/>
        <v>0</v>
      </c>
      <c r="V2096" s="160"/>
      <c r="W2096" s="26"/>
      <c r="X2096" s="8"/>
      <c r="Y2096" s="9"/>
      <c r="Z2096" s="10"/>
      <c r="AA2096" s="11">
        <f t="shared" si="1021"/>
        <v>0</v>
      </c>
      <c r="AB2096" s="12"/>
      <c r="AC2096" s="9"/>
      <c r="AD2096" s="10"/>
      <c r="AE2096" s="11">
        <f t="shared" si="1022"/>
        <v>0</v>
      </c>
      <c r="AF2096" s="11">
        <f t="shared" si="1014"/>
        <v>0</v>
      </c>
    </row>
    <row r="2097" spans="1:32" x14ac:dyDescent="0.15">
      <c r="A2097" s="27" t="s">
        <v>207</v>
      </c>
      <c r="B2097" s="8"/>
      <c r="C2097" s="9"/>
      <c r="D2097" s="10"/>
      <c r="E2097" s="11">
        <f t="shared" si="1023"/>
        <v>0</v>
      </c>
      <c r="F2097" s="12"/>
      <c r="G2097" s="9">
        <v>1</v>
      </c>
      <c r="H2097" s="10"/>
      <c r="I2097" s="11">
        <f t="shared" si="1024"/>
        <v>1</v>
      </c>
      <c r="J2097" s="11">
        <f t="shared" si="1016"/>
        <v>1</v>
      </c>
      <c r="K2097" s="71">
        <v>44586</v>
      </c>
      <c r="L2097" s="26"/>
      <c r="M2097" s="8"/>
      <c r="N2097" s="9"/>
      <c r="O2097" s="10"/>
      <c r="P2097" s="11">
        <f t="shared" si="1019"/>
        <v>0</v>
      </c>
      <c r="Q2097" s="12"/>
      <c r="R2097" s="9"/>
      <c r="S2097" s="10"/>
      <c r="T2097" s="11">
        <f t="shared" si="1020"/>
        <v>0</v>
      </c>
      <c r="U2097" s="11">
        <f t="shared" si="1017"/>
        <v>0</v>
      </c>
      <c r="V2097" s="160"/>
      <c r="W2097" s="26"/>
      <c r="X2097" s="8"/>
      <c r="Y2097" s="9"/>
      <c r="Z2097" s="10"/>
      <c r="AA2097" s="11">
        <f t="shared" si="1021"/>
        <v>0</v>
      </c>
      <c r="AB2097" s="12"/>
      <c r="AC2097" s="9"/>
      <c r="AD2097" s="10"/>
      <c r="AE2097" s="11">
        <f t="shared" si="1022"/>
        <v>0</v>
      </c>
      <c r="AF2097" s="11">
        <f t="shared" si="1014"/>
        <v>0</v>
      </c>
    </row>
    <row r="2098" spans="1:32" x14ac:dyDescent="0.15">
      <c r="A2098" s="27" t="s">
        <v>964</v>
      </c>
      <c r="B2098" s="8"/>
      <c r="C2098" s="9"/>
      <c r="D2098" s="10"/>
      <c r="E2098" s="11">
        <f t="shared" si="1023"/>
        <v>0</v>
      </c>
      <c r="F2098" s="12"/>
      <c r="G2098" s="9">
        <v>-3</v>
      </c>
      <c r="H2098" s="10">
        <v>-3</v>
      </c>
      <c r="I2098" s="11">
        <f t="shared" si="1024"/>
        <v>-6</v>
      </c>
      <c r="J2098" s="11">
        <f t="shared" si="1016"/>
        <v>-6</v>
      </c>
      <c r="K2098" s="65">
        <v>44587</v>
      </c>
      <c r="L2098" s="27"/>
      <c r="M2098" s="8"/>
      <c r="N2098" s="9"/>
      <c r="O2098" s="10"/>
      <c r="P2098" s="11">
        <f t="shared" si="1019"/>
        <v>0</v>
      </c>
      <c r="Q2098" s="12"/>
      <c r="R2098" s="9"/>
      <c r="S2098" s="10"/>
      <c r="T2098" s="11">
        <f t="shared" si="1020"/>
        <v>0</v>
      </c>
      <c r="U2098" s="11">
        <f t="shared" si="1017"/>
        <v>0</v>
      </c>
      <c r="V2098" s="160"/>
      <c r="W2098" s="27"/>
      <c r="X2098" s="8"/>
      <c r="Y2098" s="9"/>
      <c r="Z2098" s="10"/>
      <c r="AA2098" s="11">
        <f t="shared" si="1021"/>
        <v>0</v>
      </c>
      <c r="AB2098" s="12"/>
      <c r="AC2098" s="9"/>
      <c r="AD2098" s="10"/>
      <c r="AE2098" s="11">
        <f t="shared" si="1022"/>
        <v>0</v>
      </c>
      <c r="AF2098" s="11">
        <f t="shared" si="1014"/>
        <v>0</v>
      </c>
    </row>
    <row r="2099" spans="1:32" x14ac:dyDescent="0.15">
      <c r="A2099" s="27"/>
      <c r="B2099" s="13"/>
      <c r="C2099" s="14"/>
      <c r="D2099" s="15"/>
      <c r="E2099" s="11">
        <f t="shared" si="1023"/>
        <v>0</v>
      </c>
      <c r="F2099" s="16"/>
      <c r="G2099" s="14"/>
      <c r="H2099" s="15"/>
      <c r="I2099" s="11">
        <f t="shared" si="1024"/>
        <v>0</v>
      </c>
      <c r="J2099" s="11">
        <f t="shared" si="1016"/>
        <v>0</v>
      </c>
      <c r="K2099" s="65"/>
      <c r="L2099" s="27"/>
      <c r="M2099" s="13"/>
      <c r="N2099" s="14"/>
      <c r="O2099" s="15"/>
      <c r="P2099" s="11">
        <f t="shared" si="1019"/>
        <v>0</v>
      </c>
      <c r="Q2099" s="16"/>
      <c r="R2099" s="14"/>
      <c r="S2099" s="15"/>
      <c r="T2099" s="11">
        <f t="shared" si="1020"/>
        <v>0</v>
      </c>
      <c r="U2099" s="11">
        <f t="shared" si="1017"/>
        <v>0</v>
      </c>
      <c r="V2099" s="159"/>
      <c r="W2099" s="27"/>
      <c r="X2099" s="13"/>
      <c r="Y2099" s="14"/>
      <c r="Z2099" s="15"/>
      <c r="AA2099" s="11">
        <f t="shared" si="1021"/>
        <v>0</v>
      </c>
      <c r="AB2099" s="16"/>
      <c r="AC2099" s="14"/>
      <c r="AD2099" s="15"/>
      <c r="AE2099" s="11">
        <f t="shared" si="1022"/>
        <v>0</v>
      </c>
      <c r="AF2099" s="11">
        <f t="shared" si="1014"/>
        <v>0</v>
      </c>
    </row>
    <row r="2100" spans="1:32" x14ac:dyDescent="0.15">
      <c r="A2100" s="27"/>
      <c r="B2100" s="8"/>
      <c r="C2100" s="9"/>
      <c r="D2100" s="10"/>
      <c r="E2100" s="11">
        <f t="shared" si="1023"/>
        <v>0</v>
      </c>
      <c r="F2100" s="12"/>
      <c r="G2100" s="9"/>
      <c r="H2100" s="10"/>
      <c r="I2100" s="11">
        <f t="shared" si="1024"/>
        <v>0</v>
      </c>
      <c r="J2100" s="11">
        <f t="shared" si="1016"/>
        <v>0</v>
      </c>
      <c r="K2100" s="71"/>
      <c r="L2100" s="6"/>
      <c r="M2100" s="13"/>
      <c r="N2100" s="14"/>
      <c r="O2100" s="15"/>
      <c r="P2100" s="11">
        <f t="shared" si="1019"/>
        <v>0</v>
      </c>
      <c r="Q2100" s="16"/>
      <c r="R2100" s="14"/>
      <c r="S2100" s="15"/>
      <c r="T2100" s="11">
        <f t="shared" si="1020"/>
        <v>0</v>
      </c>
      <c r="U2100" s="11">
        <f t="shared" si="1017"/>
        <v>0</v>
      </c>
      <c r="V2100" s="159"/>
      <c r="W2100" s="86"/>
      <c r="X2100" s="13"/>
      <c r="Y2100" s="14"/>
      <c r="Z2100" s="15"/>
      <c r="AA2100" s="11">
        <f t="shared" si="1021"/>
        <v>0</v>
      </c>
      <c r="AB2100" s="16"/>
      <c r="AC2100" s="14"/>
      <c r="AD2100" s="15"/>
      <c r="AE2100" s="11">
        <f t="shared" si="1022"/>
        <v>0</v>
      </c>
      <c r="AF2100" s="11">
        <f t="shared" si="1014"/>
        <v>0</v>
      </c>
    </row>
    <row r="2101" spans="1:32" x14ac:dyDescent="0.15">
      <c r="A2101" s="27"/>
      <c r="B2101" s="8"/>
      <c r="C2101" s="9"/>
      <c r="D2101" s="10"/>
      <c r="E2101" s="11">
        <f t="shared" si="1023"/>
        <v>0</v>
      </c>
      <c r="F2101" s="12"/>
      <c r="G2101" s="9"/>
      <c r="H2101" s="10"/>
      <c r="I2101" s="11">
        <f t="shared" si="1024"/>
        <v>0</v>
      </c>
      <c r="J2101" s="11">
        <f t="shared" si="1016"/>
        <v>0</v>
      </c>
      <c r="L2101" s="86"/>
      <c r="M2101" s="13"/>
      <c r="N2101" s="14"/>
      <c r="O2101" s="15"/>
      <c r="P2101" s="11">
        <f t="shared" si="1019"/>
        <v>0</v>
      </c>
      <c r="Q2101" s="16"/>
      <c r="R2101" s="14"/>
      <c r="S2101" s="15"/>
      <c r="T2101" s="11">
        <f t="shared" si="1020"/>
        <v>0</v>
      </c>
      <c r="U2101" s="11">
        <f t="shared" si="1017"/>
        <v>0</v>
      </c>
      <c r="V2101" s="159"/>
      <c r="W2101" s="86"/>
      <c r="X2101" s="13"/>
      <c r="Y2101" s="14"/>
      <c r="Z2101" s="15"/>
      <c r="AA2101" s="11">
        <f t="shared" si="1021"/>
        <v>0</v>
      </c>
      <c r="AB2101" s="16"/>
      <c r="AC2101" s="14"/>
      <c r="AD2101" s="15"/>
      <c r="AE2101" s="11">
        <f t="shared" si="1022"/>
        <v>0</v>
      </c>
      <c r="AF2101" s="11">
        <f t="shared" si="1014"/>
        <v>0</v>
      </c>
    </row>
    <row r="2102" spans="1:32" x14ac:dyDescent="0.15">
      <c r="A2102" s="29"/>
      <c r="B2102" s="8"/>
      <c r="C2102" s="9"/>
      <c r="D2102" s="10"/>
      <c r="E2102" s="11">
        <f t="shared" si="1023"/>
        <v>0</v>
      </c>
      <c r="F2102" s="12"/>
      <c r="G2102" s="9"/>
      <c r="H2102" s="10"/>
      <c r="I2102" s="11">
        <f t="shared" si="1024"/>
        <v>0</v>
      </c>
      <c r="J2102" s="11">
        <f t="shared" si="1016"/>
        <v>0</v>
      </c>
      <c r="L2102" s="27"/>
      <c r="M2102" s="13"/>
      <c r="N2102" s="14"/>
      <c r="O2102" s="15"/>
      <c r="P2102" s="11">
        <f t="shared" si="1019"/>
        <v>0</v>
      </c>
      <c r="Q2102" s="16"/>
      <c r="R2102" s="14"/>
      <c r="S2102" s="15"/>
      <c r="T2102" s="11">
        <f t="shared" si="1020"/>
        <v>0</v>
      </c>
      <c r="U2102" s="11">
        <f t="shared" si="1017"/>
        <v>0</v>
      </c>
      <c r="V2102" s="159"/>
      <c r="W2102" s="86"/>
      <c r="X2102" s="13"/>
      <c r="Y2102" s="14"/>
      <c r="Z2102" s="15"/>
      <c r="AA2102" s="11">
        <f t="shared" si="1021"/>
        <v>0</v>
      </c>
      <c r="AB2102" s="16"/>
      <c r="AC2102" s="14"/>
      <c r="AD2102" s="15"/>
      <c r="AE2102" s="11">
        <f t="shared" si="1022"/>
        <v>0</v>
      </c>
      <c r="AF2102" s="11">
        <f t="shared" si="1014"/>
        <v>0</v>
      </c>
    </row>
    <row r="2103" spans="1:32" ht="14.25" thickBot="1" x14ac:dyDescent="0.2">
      <c r="A2103" s="29"/>
      <c r="B2103" s="8"/>
      <c r="C2103" s="9"/>
      <c r="D2103" s="10"/>
      <c r="E2103" s="11">
        <f t="shared" si="1023"/>
        <v>0</v>
      </c>
      <c r="F2103" s="12"/>
      <c r="G2103" s="9"/>
      <c r="H2103" s="10"/>
      <c r="I2103" s="11">
        <f t="shared" si="1024"/>
        <v>0</v>
      </c>
      <c r="J2103" s="11">
        <f t="shared" si="1016"/>
        <v>0</v>
      </c>
      <c r="L2103" s="27"/>
      <c r="M2103" s="13"/>
      <c r="N2103" s="14"/>
      <c r="O2103" s="15"/>
      <c r="P2103" s="11">
        <f t="shared" si="1019"/>
        <v>0</v>
      </c>
      <c r="Q2103" s="16"/>
      <c r="R2103" s="14"/>
      <c r="S2103" s="15"/>
      <c r="T2103" s="11">
        <f t="shared" si="1020"/>
        <v>0</v>
      </c>
      <c r="U2103" s="11">
        <f t="shared" si="1017"/>
        <v>0</v>
      </c>
      <c r="V2103" s="159"/>
      <c r="W2103" s="86"/>
      <c r="X2103" s="13"/>
      <c r="Y2103" s="14"/>
      <c r="Z2103" s="15"/>
      <c r="AA2103" s="11">
        <f t="shared" si="1021"/>
        <v>0</v>
      </c>
      <c r="AB2103" s="16"/>
      <c r="AC2103" s="14"/>
      <c r="AD2103" s="15"/>
      <c r="AE2103" s="11">
        <f t="shared" si="1022"/>
        <v>0</v>
      </c>
      <c r="AF2103" s="11">
        <f t="shared" si="1014"/>
        <v>0</v>
      </c>
    </row>
    <row r="2104" spans="1:32" ht="14.25" thickBot="1" x14ac:dyDescent="0.2">
      <c r="A2104" s="44" t="s">
        <v>13</v>
      </c>
      <c r="B2104" s="48">
        <f t="shared" ref="B2104:I2104" si="1028">SUM(B2078:B2103)</f>
        <v>16</v>
      </c>
      <c r="C2104" s="49">
        <f t="shared" si="1028"/>
        <v>17</v>
      </c>
      <c r="D2104" s="50">
        <f t="shared" si="1028"/>
        <v>8</v>
      </c>
      <c r="E2104" s="46">
        <f t="shared" si="1028"/>
        <v>41</v>
      </c>
      <c r="F2104" s="48">
        <f t="shared" si="1028"/>
        <v>0</v>
      </c>
      <c r="G2104" s="49">
        <f t="shared" si="1028"/>
        <v>3</v>
      </c>
      <c r="H2104" s="50">
        <f t="shared" si="1028"/>
        <v>3</v>
      </c>
      <c r="I2104" s="46">
        <f t="shared" si="1028"/>
        <v>6</v>
      </c>
      <c r="J2104" s="35">
        <f>E2104+I2104</f>
        <v>47</v>
      </c>
      <c r="L2104" s="44" t="s">
        <v>13</v>
      </c>
      <c r="M2104" s="48">
        <f t="shared" ref="M2104:T2104" si="1029">SUM(M2078:M2103)</f>
        <v>83</v>
      </c>
      <c r="N2104" s="49">
        <f t="shared" si="1029"/>
        <v>138</v>
      </c>
      <c r="O2104" s="50">
        <f t="shared" si="1029"/>
        <v>68</v>
      </c>
      <c r="P2104" s="46">
        <f t="shared" si="1029"/>
        <v>289</v>
      </c>
      <c r="Q2104" s="48">
        <f t="shared" si="1029"/>
        <v>88</v>
      </c>
      <c r="R2104" s="49">
        <f t="shared" si="1029"/>
        <v>76</v>
      </c>
      <c r="S2104" s="50">
        <f t="shared" si="1029"/>
        <v>74</v>
      </c>
      <c r="T2104" s="46">
        <f t="shared" si="1029"/>
        <v>238</v>
      </c>
      <c r="U2104" s="35">
        <f>P2104+T2104</f>
        <v>527</v>
      </c>
      <c r="V2104" s="160"/>
      <c r="W2104" s="44" t="s">
        <v>13</v>
      </c>
      <c r="X2104" s="48">
        <f t="shared" ref="X2104:AE2104" si="1030">SUM(X2078:X2103)</f>
        <v>0</v>
      </c>
      <c r="Y2104" s="49">
        <f t="shared" si="1030"/>
        <v>0</v>
      </c>
      <c r="Z2104" s="50">
        <f t="shared" si="1030"/>
        <v>0</v>
      </c>
      <c r="AA2104" s="46">
        <f t="shared" si="1030"/>
        <v>0</v>
      </c>
      <c r="AB2104" s="48">
        <f t="shared" si="1030"/>
        <v>0</v>
      </c>
      <c r="AC2104" s="49">
        <f t="shared" si="1030"/>
        <v>0</v>
      </c>
      <c r="AD2104" s="50">
        <f t="shared" si="1030"/>
        <v>0</v>
      </c>
      <c r="AE2104" s="46">
        <f t="shared" si="1030"/>
        <v>0</v>
      </c>
      <c r="AF2104" s="35">
        <f>AA2104+AE2104</f>
        <v>0</v>
      </c>
    </row>
    <row r="2105" spans="1:32" ht="14.25" thickBot="1" x14ac:dyDescent="0.2">
      <c r="A2105" s="23" t="s">
        <v>14</v>
      </c>
      <c r="B2105" s="24">
        <f t="shared" ref="B2105:J2105" si="1031">B2077-B2104</f>
        <v>7</v>
      </c>
      <c r="C2105" s="25">
        <f t="shared" si="1031"/>
        <v>4</v>
      </c>
      <c r="D2105" s="30">
        <f t="shared" si="1031"/>
        <v>2</v>
      </c>
      <c r="E2105" s="51">
        <f t="shared" si="1031"/>
        <v>13</v>
      </c>
      <c r="F2105" s="24">
        <f t="shared" si="1031"/>
        <v>5</v>
      </c>
      <c r="G2105" s="25">
        <f t="shared" si="1031"/>
        <v>4</v>
      </c>
      <c r="H2105" s="30">
        <f t="shared" si="1031"/>
        <v>4</v>
      </c>
      <c r="I2105" s="47">
        <f t="shared" si="1031"/>
        <v>13</v>
      </c>
      <c r="J2105" s="79">
        <f t="shared" si="1031"/>
        <v>26</v>
      </c>
      <c r="L2105" s="23" t="s">
        <v>14</v>
      </c>
      <c r="M2105" s="24">
        <f t="shared" ref="M2105:U2105" si="1032">M2077-M2104</f>
        <v>228</v>
      </c>
      <c r="N2105" s="25">
        <f t="shared" si="1032"/>
        <v>58</v>
      </c>
      <c r="O2105" s="30">
        <f t="shared" si="1032"/>
        <v>0</v>
      </c>
      <c r="P2105" s="51">
        <f t="shared" si="1032"/>
        <v>286</v>
      </c>
      <c r="Q2105" s="24">
        <f t="shared" si="1032"/>
        <v>176</v>
      </c>
      <c r="R2105" s="25">
        <f t="shared" si="1032"/>
        <v>87</v>
      </c>
      <c r="S2105" s="30">
        <f t="shared" si="1032"/>
        <v>8</v>
      </c>
      <c r="T2105" s="47">
        <f t="shared" si="1032"/>
        <v>271</v>
      </c>
      <c r="U2105" s="79">
        <f t="shared" si="1032"/>
        <v>557</v>
      </c>
      <c r="W2105" s="23" t="s">
        <v>14</v>
      </c>
      <c r="X2105" s="24">
        <f t="shared" ref="X2105:AF2105" si="1033">X2077-X2104</f>
        <v>0</v>
      </c>
      <c r="Y2105" s="25">
        <f t="shared" si="1033"/>
        <v>0</v>
      </c>
      <c r="Z2105" s="30">
        <f t="shared" si="1033"/>
        <v>0</v>
      </c>
      <c r="AA2105" s="51">
        <f t="shared" si="1033"/>
        <v>0</v>
      </c>
      <c r="AB2105" s="24">
        <f t="shared" si="1033"/>
        <v>0</v>
      </c>
      <c r="AC2105" s="25">
        <f t="shared" si="1033"/>
        <v>0</v>
      </c>
      <c r="AD2105" s="30">
        <f t="shared" si="1033"/>
        <v>0</v>
      </c>
      <c r="AE2105" s="47">
        <f t="shared" si="1033"/>
        <v>0</v>
      </c>
      <c r="AF2105" s="79">
        <f t="shared" si="1033"/>
        <v>0</v>
      </c>
    </row>
    <row r="2108" spans="1:32" ht="19.5" thickBot="1" x14ac:dyDescent="0.25">
      <c r="A2108" s="142" t="s">
        <v>850</v>
      </c>
      <c r="B2108" s="143"/>
      <c r="C2108" s="143"/>
      <c r="D2108" s="143"/>
      <c r="E2108" s="143"/>
      <c r="F2108" s="1"/>
      <c r="G2108" s="1"/>
      <c r="H2108" s="1"/>
      <c r="I2108" s="1"/>
      <c r="J2108" s="1"/>
      <c r="L2108" s="148" t="s">
        <v>851</v>
      </c>
      <c r="M2108" s="149"/>
      <c r="N2108" s="149"/>
      <c r="O2108" s="149"/>
      <c r="P2108" s="149"/>
      <c r="Q2108" s="2"/>
      <c r="R2108" s="1"/>
      <c r="S2108" s="1"/>
      <c r="T2108" s="1"/>
      <c r="U2108" s="1"/>
      <c r="W2108" s="150" t="s">
        <v>765</v>
      </c>
      <c r="X2108" s="151"/>
      <c r="Y2108" s="151"/>
      <c r="Z2108" s="151"/>
      <c r="AA2108" s="106"/>
      <c r="AB2108" s="1"/>
      <c r="AC2108" s="1"/>
      <c r="AD2108" s="1"/>
      <c r="AE2108" s="1"/>
      <c r="AF2108" s="1"/>
    </row>
    <row r="2109" spans="1:32" ht="14.25" thickBot="1" x14ac:dyDescent="0.2">
      <c r="A2109" s="7" t="s">
        <v>0</v>
      </c>
      <c r="B2109" s="168" t="s">
        <v>1</v>
      </c>
      <c r="C2109" s="169"/>
      <c r="D2109" s="169"/>
      <c r="E2109" s="170"/>
      <c r="F2109" s="168" t="s">
        <v>2</v>
      </c>
      <c r="G2109" s="169"/>
      <c r="H2109" s="169"/>
      <c r="I2109" s="171"/>
      <c r="J2109" s="172" t="s">
        <v>3</v>
      </c>
      <c r="L2109" s="7" t="s">
        <v>0</v>
      </c>
      <c r="M2109" s="174" t="s">
        <v>1</v>
      </c>
      <c r="N2109" s="175"/>
      <c r="O2109" s="176"/>
      <c r="P2109" s="101"/>
      <c r="Q2109" s="174" t="s">
        <v>2</v>
      </c>
      <c r="R2109" s="175"/>
      <c r="S2109" s="176"/>
      <c r="T2109" s="102"/>
      <c r="U2109" s="103" t="s">
        <v>3</v>
      </c>
      <c r="W2109" s="7" t="s">
        <v>0</v>
      </c>
      <c r="X2109" s="174" t="s">
        <v>1</v>
      </c>
      <c r="Y2109" s="175"/>
      <c r="Z2109" s="176"/>
      <c r="AA2109" s="101"/>
      <c r="AB2109" s="174" t="s">
        <v>2</v>
      </c>
      <c r="AC2109" s="175"/>
      <c r="AD2109" s="176"/>
      <c r="AE2109" s="102"/>
      <c r="AF2109" s="103" t="s">
        <v>3</v>
      </c>
    </row>
    <row r="2110" spans="1:32" ht="14.25" thickBot="1" x14ac:dyDescent="0.2">
      <c r="A2110" s="7" t="s">
        <v>4</v>
      </c>
      <c r="B2110" s="3" t="s">
        <v>5</v>
      </c>
      <c r="C2110" s="4" t="s">
        <v>6</v>
      </c>
      <c r="D2110" s="5" t="s">
        <v>7</v>
      </c>
      <c r="E2110" s="7" t="s">
        <v>8</v>
      </c>
      <c r="F2110" s="3" t="s">
        <v>5</v>
      </c>
      <c r="G2110" s="4" t="s">
        <v>6</v>
      </c>
      <c r="H2110" s="5" t="s">
        <v>7</v>
      </c>
      <c r="I2110" s="7" t="s">
        <v>8</v>
      </c>
      <c r="J2110" s="173"/>
      <c r="L2110" s="7" t="s">
        <v>4</v>
      </c>
      <c r="M2110" s="3" t="s">
        <v>5</v>
      </c>
      <c r="N2110" s="4" t="s">
        <v>6</v>
      </c>
      <c r="O2110" s="5" t="s">
        <v>7</v>
      </c>
      <c r="P2110" s="7" t="s">
        <v>8</v>
      </c>
      <c r="Q2110" s="107" t="s">
        <v>5</v>
      </c>
      <c r="R2110" s="108" t="s">
        <v>6</v>
      </c>
      <c r="S2110" s="109" t="s">
        <v>7</v>
      </c>
      <c r="T2110" s="7" t="s">
        <v>8</v>
      </c>
      <c r="U2110" s="104"/>
      <c r="W2110" s="7" t="s">
        <v>4</v>
      </c>
      <c r="X2110" s="3" t="s">
        <v>5</v>
      </c>
      <c r="Y2110" s="4" t="s">
        <v>6</v>
      </c>
      <c r="Z2110" s="5" t="s">
        <v>7</v>
      </c>
      <c r="AA2110" s="7" t="s">
        <v>8</v>
      </c>
      <c r="AB2110" s="107" t="s">
        <v>5</v>
      </c>
      <c r="AC2110" s="108" t="s">
        <v>6</v>
      </c>
      <c r="AD2110" s="109" t="s">
        <v>7</v>
      </c>
      <c r="AE2110" s="7" t="s">
        <v>8</v>
      </c>
      <c r="AF2110" s="104"/>
    </row>
    <row r="2111" spans="1:32" ht="14.25" thickBot="1" x14ac:dyDescent="0.2">
      <c r="A2111" s="31" t="s">
        <v>14</v>
      </c>
      <c r="B2111" s="32">
        <f>B2105</f>
        <v>7</v>
      </c>
      <c r="C2111" s="33">
        <f>C2105</f>
        <v>4</v>
      </c>
      <c r="D2111" s="34">
        <f>D2105</f>
        <v>2</v>
      </c>
      <c r="E2111" s="41">
        <f>SUM(B2111:D2111)</f>
        <v>13</v>
      </c>
      <c r="F2111" s="32">
        <f>F2105</f>
        <v>5</v>
      </c>
      <c r="G2111" s="33">
        <f>G2105</f>
        <v>4</v>
      </c>
      <c r="H2111" s="34">
        <f>H2105</f>
        <v>4</v>
      </c>
      <c r="I2111" s="41">
        <f>SUM(F2111:H2111)</f>
        <v>13</v>
      </c>
      <c r="J2111" s="41">
        <f>E2111+I2111</f>
        <v>26</v>
      </c>
      <c r="L2111" s="31" t="s">
        <v>14</v>
      </c>
      <c r="M2111" s="32">
        <f>M2105</f>
        <v>228</v>
      </c>
      <c r="N2111" s="33">
        <f>N2105</f>
        <v>58</v>
      </c>
      <c r="O2111" s="33">
        <f>O2105</f>
        <v>0</v>
      </c>
      <c r="P2111" s="111">
        <f>SUM(M2111:O2111)</f>
        <v>286</v>
      </c>
      <c r="Q2111" s="32">
        <f>Q2105</f>
        <v>176</v>
      </c>
      <c r="R2111" s="33">
        <f>R2105</f>
        <v>87</v>
      </c>
      <c r="S2111" s="95">
        <f>S2105</f>
        <v>8</v>
      </c>
      <c r="T2111" s="46">
        <f>SUM(Q2111:S2111)</f>
        <v>271</v>
      </c>
      <c r="U2111" s="35">
        <f>P2111+T2111</f>
        <v>557</v>
      </c>
      <c r="W2111" s="31" t="s">
        <v>14</v>
      </c>
      <c r="X2111" s="32">
        <f>X2105</f>
        <v>0</v>
      </c>
      <c r="Y2111" s="33">
        <f>Y2105</f>
        <v>0</v>
      </c>
      <c r="Z2111" s="33">
        <f>Z2105</f>
        <v>0</v>
      </c>
      <c r="AA2111" s="111">
        <f>SUM(X2111:Z2111)</f>
        <v>0</v>
      </c>
      <c r="AB2111" s="32">
        <f>AB2105</f>
        <v>0</v>
      </c>
      <c r="AC2111" s="33">
        <f>AC2105</f>
        <v>0</v>
      </c>
      <c r="AD2111" s="95">
        <f>AD2105</f>
        <v>0</v>
      </c>
      <c r="AE2111" s="46">
        <f>SUM(AB2111:AD2111)</f>
        <v>0</v>
      </c>
      <c r="AF2111" s="35">
        <f>AA2111+AE2111</f>
        <v>0</v>
      </c>
    </row>
    <row r="2112" spans="1:32" x14ac:dyDescent="0.15">
      <c r="A2112" s="28" t="s">
        <v>9</v>
      </c>
      <c r="B2112" s="17"/>
      <c r="C2112" s="18"/>
      <c r="D2112" s="19"/>
      <c r="E2112" s="20">
        <f>SUM(B2112:D2112)</f>
        <v>0</v>
      </c>
      <c r="F2112" s="21"/>
      <c r="G2112" s="18">
        <v>3</v>
      </c>
      <c r="H2112" s="19">
        <v>3</v>
      </c>
      <c r="I2112" s="20">
        <f>SUM(F2112:H2112)</f>
        <v>6</v>
      </c>
      <c r="J2112" s="20">
        <f>E2112+I2112</f>
        <v>6</v>
      </c>
      <c r="K2112" s="65">
        <v>44573</v>
      </c>
      <c r="L2112" s="28" t="s">
        <v>9</v>
      </c>
      <c r="M2112" s="8"/>
      <c r="N2112" s="9"/>
      <c r="O2112" s="10"/>
      <c r="P2112" s="78">
        <f t="shared" ref="P2112:P2119" si="1034">SUM(M2112:O2112)</f>
        <v>0</v>
      </c>
      <c r="Q2112" s="21"/>
      <c r="R2112" s="18"/>
      <c r="S2112" s="19"/>
      <c r="T2112" s="78">
        <f t="shared" ref="T2112" si="1035">SUM(Q2112:S2112)</f>
        <v>0</v>
      </c>
      <c r="U2112" s="78">
        <f t="shared" ref="U2112:U2119" si="1036">P2112+T2112</f>
        <v>0</v>
      </c>
      <c r="V2112" s="65"/>
      <c r="W2112" s="28"/>
      <c r="X2112" s="8"/>
      <c r="Y2112" s="9"/>
      <c r="Z2112" s="10"/>
      <c r="AA2112" s="78">
        <f t="shared" ref="AA2112:AA2119" si="1037">SUM(X2112:Z2112)</f>
        <v>0</v>
      </c>
      <c r="AB2112" s="21"/>
      <c r="AC2112" s="18"/>
      <c r="AD2112" s="19"/>
      <c r="AE2112" s="78">
        <f t="shared" ref="AE2112:AE2119" si="1038">SUM(AB2112:AD2112)</f>
        <v>0</v>
      </c>
      <c r="AF2112" s="78">
        <f t="shared" ref="AF2112:AF2119" si="1039">AA2112+AE2112</f>
        <v>0</v>
      </c>
    </row>
    <row r="2113" spans="1:32" x14ac:dyDescent="0.15">
      <c r="A2113" s="28" t="s">
        <v>10</v>
      </c>
      <c r="B2113" s="8"/>
      <c r="C2113" s="9">
        <v>3</v>
      </c>
      <c r="D2113" s="10"/>
      <c r="E2113" s="11">
        <f t="shared" ref="E2113:E2119" si="1040">SUM(B2113:D2113)</f>
        <v>3</v>
      </c>
      <c r="F2113" s="12">
        <v>3</v>
      </c>
      <c r="G2113" s="9">
        <v>3</v>
      </c>
      <c r="H2113" s="10"/>
      <c r="I2113" s="11">
        <f t="shared" ref="I2113:I2119" si="1041">SUM(F2113:H2113)</f>
        <v>6</v>
      </c>
      <c r="J2113" s="11">
        <f t="shared" ref="J2113:J2119" si="1042">E2113+I2113</f>
        <v>9</v>
      </c>
      <c r="K2113" s="65">
        <v>44673</v>
      </c>
      <c r="L2113" s="28" t="s">
        <v>10</v>
      </c>
      <c r="M2113" s="8"/>
      <c r="N2113" s="9"/>
      <c r="O2113" s="10"/>
      <c r="P2113" s="11">
        <f t="shared" si="1034"/>
        <v>0</v>
      </c>
      <c r="Q2113" s="12"/>
      <c r="R2113" s="9"/>
      <c r="S2113" s="10"/>
      <c r="T2113" s="11">
        <f>SUM(Q2113:S2113)</f>
        <v>0</v>
      </c>
      <c r="U2113" s="11">
        <f t="shared" si="1036"/>
        <v>0</v>
      </c>
      <c r="V2113" s="65"/>
      <c r="W2113" s="28"/>
      <c r="X2113" s="8"/>
      <c r="Y2113" s="9"/>
      <c r="Z2113" s="10"/>
      <c r="AA2113" s="11">
        <f t="shared" si="1037"/>
        <v>0</v>
      </c>
      <c r="AB2113" s="12"/>
      <c r="AC2113" s="9"/>
      <c r="AD2113" s="10"/>
      <c r="AE2113" s="11">
        <f t="shared" si="1038"/>
        <v>0</v>
      </c>
      <c r="AF2113" s="11">
        <f t="shared" si="1039"/>
        <v>0</v>
      </c>
    </row>
    <row r="2114" spans="1:32" x14ac:dyDescent="0.15">
      <c r="A2114" s="28" t="s">
        <v>256</v>
      </c>
      <c r="B2114" s="8"/>
      <c r="C2114" s="9">
        <v>1</v>
      </c>
      <c r="D2114" s="10"/>
      <c r="E2114" s="11">
        <f t="shared" si="1040"/>
        <v>1</v>
      </c>
      <c r="F2114" s="12">
        <v>1</v>
      </c>
      <c r="G2114" s="9"/>
      <c r="H2114" s="10"/>
      <c r="I2114" s="11">
        <f t="shared" si="1041"/>
        <v>1</v>
      </c>
      <c r="J2114" s="11">
        <f t="shared" si="1042"/>
        <v>2</v>
      </c>
      <c r="K2114" s="65">
        <v>44679</v>
      </c>
      <c r="L2114" s="28" t="s">
        <v>11</v>
      </c>
      <c r="M2114" s="8"/>
      <c r="N2114" s="9"/>
      <c r="O2114" s="10"/>
      <c r="P2114" s="11">
        <f t="shared" si="1034"/>
        <v>0</v>
      </c>
      <c r="Q2114" s="12"/>
      <c r="R2114" s="9"/>
      <c r="S2114" s="10"/>
      <c r="T2114" s="11">
        <f t="shared" ref="T2114:T2119" si="1043">SUM(Q2114:S2114)</f>
        <v>0</v>
      </c>
      <c r="U2114" s="11">
        <f t="shared" si="1036"/>
        <v>0</v>
      </c>
      <c r="V2114" s="65"/>
      <c r="W2114" s="28"/>
      <c r="X2114" s="8"/>
      <c r="Y2114" s="9"/>
      <c r="Z2114" s="10"/>
      <c r="AA2114" s="11">
        <f t="shared" si="1037"/>
        <v>0</v>
      </c>
      <c r="AB2114" s="12"/>
      <c r="AC2114" s="9"/>
      <c r="AD2114" s="10"/>
      <c r="AE2114" s="11">
        <f t="shared" si="1038"/>
        <v>0</v>
      </c>
      <c r="AF2114" s="11">
        <f t="shared" si="1039"/>
        <v>0</v>
      </c>
    </row>
    <row r="2115" spans="1:32" x14ac:dyDescent="0.15">
      <c r="A2115" s="28" t="s">
        <v>12</v>
      </c>
      <c r="B2115" s="8"/>
      <c r="C2115" s="9">
        <v>3</v>
      </c>
      <c r="D2115" s="10"/>
      <c r="E2115" s="11">
        <f t="shared" si="1040"/>
        <v>3</v>
      </c>
      <c r="F2115" s="12">
        <v>3</v>
      </c>
      <c r="G2115" s="9">
        <v>3</v>
      </c>
      <c r="H2115" s="10"/>
      <c r="I2115" s="11">
        <f t="shared" si="1041"/>
        <v>6</v>
      </c>
      <c r="J2115" s="11">
        <f t="shared" si="1042"/>
        <v>9</v>
      </c>
      <c r="K2115" s="65">
        <v>44681</v>
      </c>
      <c r="L2115" s="28" t="s">
        <v>12</v>
      </c>
      <c r="M2115" s="8"/>
      <c r="N2115" s="9"/>
      <c r="O2115" s="10"/>
      <c r="P2115" s="11">
        <f t="shared" si="1034"/>
        <v>0</v>
      </c>
      <c r="Q2115" s="12"/>
      <c r="R2115" s="9"/>
      <c r="S2115" s="10"/>
      <c r="T2115" s="11">
        <f t="shared" si="1043"/>
        <v>0</v>
      </c>
      <c r="U2115" s="11">
        <f t="shared" si="1036"/>
        <v>0</v>
      </c>
      <c r="V2115" s="71"/>
      <c r="W2115" s="28"/>
      <c r="X2115" s="8"/>
      <c r="Y2115" s="9"/>
      <c r="Z2115" s="10"/>
      <c r="AA2115" s="11">
        <f t="shared" si="1037"/>
        <v>0</v>
      </c>
      <c r="AB2115" s="12"/>
      <c r="AC2115" s="9"/>
      <c r="AD2115" s="10"/>
      <c r="AE2115" s="11">
        <f t="shared" si="1038"/>
        <v>0</v>
      </c>
      <c r="AF2115" s="11">
        <f t="shared" si="1039"/>
        <v>0</v>
      </c>
    </row>
    <row r="2116" spans="1:32" x14ac:dyDescent="0.15">
      <c r="A2116" s="28" t="s">
        <v>15</v>
      </c>
      <c r="B2116" s="8"/>
      <c r="C2116" s="9">
        <v>5</v>
      </c>
      <c r="D2116" s="10"/>
      <c r="E2116" s="11">
        <f t="shared" si="1040"/>
        <v>5</v>
      </c>
      <c r="F2116" s="12"/>
      <c r="G2116" s="9">
        <v>5</v>
      </c>
      <c r="H2116" s="10"/>
      <c r="I2116" s="11">
        <f t="shared" si="1041"/>
        <v>5</v>
      </c>
      <c r="J2116" s="11">
        <f t="shared" si="1042"/>
        <v>10</v>
      </c>
      <c r="K2116" s="65">
        <v>44702</v>
      </c>
      <c r="L2116" s="28" t="s">
        <v>15</v>
      </c>
      <c r="M2116" s="8"/>
      <c r="N2116" s="9"/>
      <c r="O2116" s="10"/>
      <c r="P2116" s="11">
        <f t="shared" si="1034"/>
        <v>0</v>
      </c>
      <c r="Q2116" s="12"/>
      <c r="R2116" s="9"/>
      <c r="S2116" s="10"/>
      <c r="T2116" s="11">
        <f t="shared" si="1043"/>
        <v>0</v>
      </c>
      <c r="U2116" s="11">
        <f t="shared" si="1036"/>
        <v>0</v>
      </c>
      <c r="V2116" s="65"/>
      <c r="W2116" s="28"/>
      <c r="X2116" s="8"/>
      <c r="Y2116" s="9"/>
      <c r="Z2116" s="10"/>
      <c r="AA2116" s="11">
        <f t="shared" si="1037"/>
        <v>0</v>
      </c>
      <c r="AB2116" s="12"/>
      <c r="AC2116" s="9"/>
      <c r="AD2116" s="10"/>
      <c r="AE2116" s="11">
        <f t="shared" si="1038"/>
        <v>0</v>
      </c>
      <c r="AF2116" s="11">
        <f t="shared" si="1039"/>
        <v>0</v>
      </c>
    </row>
    <row r="2117" spans="1:32" x14ac:dyDescent="0.15">
      <c r="A2117" s="28" t="s">
        <v>16</v>
      </c>
      <c r="B2117" s="8">
        <v>10</v>
      </c>
      <c r="C2117" s="9"/>
      <c r="D2117" s="10"/>
      <c r="E2117" s="11">
        <f t="shared" si="1040"/>
        <v>10</v>
      </c>
      <c r="F2117" s="12"/>
      <c r="G2117" s="9"/>
      <c r="H2117" s="10"/>
      <c r="I2117" s="11">
        <f t="shared" si="1041"/>
        <v>0</v>
      </c>
      <c r="J2117" s="11">
        <f t="shared" si="1042"/>
        <v>10</v>
      </c>
      <c r="K2117" s="65">
        <v>44716</v>
      </c>
      <c r="L2117" s="28" t="s">
        <v>16</v>
      </c>
      <c r="M2117" s="8"/>
      <c r="N2117" s="9"/>
      <c r="O2117" s="10"/>
      <c r="P2117" s="11">
        <f t="shared" si="1034"/>
        <v>0</v>
      </c>
      <c r="Q2117" s="12"/>
      <c r="R2117" s="9"/>
      <c r="S2117" s="10"/>
      <c r="T2117" s="11">
        <f t="shared" si="1043"/>
        <v>0</v>
      </c>
      <c r="U2117" s="11">
        <f t="shared" si="1036"/>
        <v>0</v>
      </c>
      <c r="V2117" s="65"/>
      <c r="W2117" s="28"/>
      <c r="X2117" s="8"/>
      <c r="Y2117" s="9"/>
      <c r="Z2117" s="10"/>
      <c r="AA2117" s="11">
        <f t="shared" si="1037"/>
        <v>0</v>
      </c>
      <c r="AB2117" s="12"/>
      <c r="AC2117" s="9"/>
      <c r="AD2117" s="10"/>
      <c r="AE2117" s="11">
        <f t="shared" si="1038"/>
        <v>0</v>
      </c>
      <c r="AF2117" s="11">
        <f t="shared" si="1039"/>
        <v>0</v>
      </c>
    </row>
    <row r="2118" spans="1:32" x14ac:dyDescent="0.15">
      <c r="A2118" s="28" t="s">
        <v>17</v>
      </c>
      <c r="B2118" s="13"/>
      <c r="C2118" s="14">
        <v>2</v>
      </c>
      <c r="D2118" s="15"/>
      <c r="E2118" s="11">
        <f t="shared" si="1040"/>
        <v>2</v>
      </c>
      <c r="F2118" s="16"/>
      <c r="G2118" s="14">
        <v>5</v>
      </c>
      <c r="H2118" s="15"/>
      <c r="I2118" s="11">
        <f t="shared" si="1041"/>
        <v>5</v>
      </c>
      <c r="J2118" s="11">
        <f t="shared" si="1042"/>
        <v>7</v>
      </c>
      <c r="K2118" s="65">
        <v>44730</v>
      </c>
      <c r="L2118" s="28" t="s">
        <v>17</v>
      </c>
      <c r="M2118" s="8"/>
      <c r="N2118" s="9"/>
      <c r="O2118" s="10"/>
      <c r="P2118" s="11">
        <f t="shared" si="1034"/>
        <v>0</v>
      </c>
      <c r="Q2118" s="12"/>
      <c r="R2118" s="12"/>
      <c r="S2118" s="87"/>
      <c r="T2118" s="11">
        <f t="shared" si="1043"/>
        <v>0</v>
      </c>
      <c r="U2118" s="11">
        <f t="shared" si="1036"/>
        <v>0</v>
      </c>
      <c r="V2118" s="126"/>
      <c r="W2118" s="28"/>
      <c r="X2118" s="8"/>
      <c r="Y2118" s="9"/>
      <c r="Z2118" s="10"/>
      <c r="AA2118" s="11">
        <f t="shared" si="1037"/>
        <v>0</v>
      </c>
      <c r="AB2118" s="12"/>
      <c r="AC2118" s="12"/>
      <c r="AD2118" s="87"/>
      <c r="AE2118" s="11">
        <f t="shared" si="1038"/>
        <v>0</v>
      </c>
      <c r="AF2118" s="11">
        <f t="shared" si="1039"/>
        <v>0</v>
      </c>
    </row>
    <row r="2119" spans="1:32" ht="14.25" thickBot="1" x14ac:dyDescent="0.2">
      <c r="A2119" s="28" t="s">
        <v>18</v>
      </c>
      <c r="B2119" s="36">
        <v>5</v>
      </c>
      <c r="C2119" s="37"/>
      <c r="D2119" s="40"/>
      <c r="E2119" s="22">
        <f t="shared" si="1040"/>
        <v>5</v>
      </c>
      <c r="F2119" s="38">
        <v>5</v>
      </c>
      <c r="G2119" s="38"/>
      <c r="H2119" s="43"/>
      <c r="I2119" s="22">
        <f t="shared" si="1041"/>
        <v>5</v>
      </c>
      <c r="J2119" s="22">
        <f t="shared" si="1042"/>
        <v>10</v>
      </c>
      <c r="K2119" s="65">
        <v>44736</v>
      </c>
      <c r="L2119" s="28" t="s">
        <v>18</v>
      </c>
      <c r="M2119" s="127"/>
      <c r="N2119" s="128"/>
      <c r="O2119" s="129"/>
      <c r="P2119" s="130">
        <f t="shared" si="1034"/>
        <v>0</v>
      </c>
      <c r="Q2119" s="131"/>
      <c r="R2119" s="131"/>
      <c r="S2119" s="132"/>
      <c r="T2119" s="130">
        <f t="shared" si="1043"/>
        <v>0</v>
      </c>
      <c r="U2119" s="130">
        <f t="shared" si="1036"/>
        <v>0</v>
      </c>
      <c r="W2119" s="28"/>
      <c r="X2119" s="127"/>
      <c r="Y2119" s="128"/>
      <c r="Z2119" s="129"/>
      <c r="AA2119" s="130">
        <f t="shared" si="1037"/>
        <v>0</v>
      </c>
      <c r="AB2119" s="131"/>
      <c r="AC2119" s="131"/>
      <c r="AD2119" s="132"/>
      <c r="AE2119" s="130">
        <f t="shared" si="1038"/>
        <v>0</v>
      </c>
      <c r="AF2119" s="130">
        <f t="shared" si="1039"/>
        <v>0</v>
      </c>
    </row>
    <row r="2120" spans="1:32" ht="14.25" thickBot="1" x14ac:dyDescent="0.2">
      <c r="A2120" s="39" t="s">
        <v>20</v>
      </c>
      <c r="B2120" s="32">
        <f t="shared" ref="B2120:J2120" si="1044">SUM(B2111:B2119)</f>
        <v>22</v>
      </c>
      <c r="C2120" s="33">
        <f t="shared" si="1044"/>
        <v>18</v>
      </c>
      <c r="D2120" s="34">
        <f t="shared" si="1044"/>
        <v>2</v>
      </c>
      <c r="E2120" s="42">
        <f t="shared" si="1044"/>
        <v>42</v>
      </c>
      <c r="F2120" s="32">
        <f t="shared" si="1044"/>
        <v>17</v>
      </c>
      <c r="G2120" s="33">
        <f t="shared" si="1044"/>
        <v>23</v>
      </c>
      <c r="H2120" s="34">
        <f t="shared" si="1044"/>
        <v>7</v>
      </c>
      <c r="I2120" s="42">
        <f t="shared" si="1044"/>
        <v>47</v>
      </c>
      <c r="J2120" s="42">
        <f t="shared" si="1044"/>
        <v>89</v>
      </c>
      <c r="L2120" s="39" t="s">
        <v>20</v>
      </c>
      <c r="M2120" s="32">
        <f t="shared" ref="M2120:U2120" si="1045">SUM(M2111:M2119)</f>
        <v>228</v>
      </c>
      <c r="N2120" s="33">
        <f t="shared" si="1045"/>
        <v>58</v>
      </c>
      <c r="O2120" s="34">
        <f t="shared" si="1045"/>
        <v>0</v>
      </c>
      <c r="P2120" s="42">
        <f t="shared" si="1045"/>
        <v>286</v>
      </c>
      <c r="Q2120" s="32">
        <f t="shared" si="1045"/>
        <v>176</v>
      </c>
      <c r="R2120" s="33">
        <f t="shared" si="1045"/>
        <v>87</v>
      </c>
      <c r="S2120" s="34">
        <f t="shared" si="1045"/>
        <v>8</v>
      </c>
      <c r="T2120" s="42">
        <f t="shared" si="1045"/>
        <v>271</v>
      </c>
      <c r="U2120" s="42">
        <f t="shared" si="1045"/>
        <v>557</v>
      </c>
      <c r="W2120" s="39" t="s">
        <v>20</v>
      </c>
      <c r="X2120" s="32">
        <f t="shared" ref="X2120:AF2120" si="1046">SUM(X2111:X2119)</f>
        <v>0</v>
      </c>
      <c r="Y2120" s="33">
        <f t="shared" si="1046"/>
        <v>0</v>
      </c>
      <c r="Z2120" s="34">
        <f t="shared" si="1046"/>
        <v>0</v>
      </c>
      <c r="AA2120" s="42">
        <f t="shared" si="1046"/>
        <v>0</v>
      </c>
      <c r="AB2120" s="32">
        <f t="shared" si="1046"/>
        <v>0</v>
      </c>
      <c r="AC2120" s="33">
        <f t="shared" si="1046"/>
        <v>0</v>
      </c>
      <c r="AD2120" s="34">
        <f t="shared" si="1046"/>
        <v>0</v>
      </c>
      <c r="AE2120" s="42">
        <f t="shared" si="1046"/>
        <v>0</v>
      </c>
      <c r="AF2120" s="42">
        <f t="shared" si="1046"/>
        <v>0</v>
      </c>
    </row>
    <row r="2121" spans="1:32" x14ac:dyDescent="0.15">
      <c r="A2121" s="27" t="s">
        <v>207</v>
      </c>
      <c r="B2121" s="13"/>
      <c r="C2121" s="14"/>
      <c r="D2121" s="15"/>
      <c r="E2121" s="11">
        <f t="shared" ref="E2121:E2122" si="1047">SUM(B2121:D2121)</f>
        <v>0</v>
      </c>
      <c r="F2121" s="16"/>
      <c r="G2121" s="14">
        <v>2</v>
      </c>
      <c r="H2121" s="15"/>
      <c r="I2121" s="11">
        <f t="shared" ref="I2121:I2122" si="1048">SUM(F2121:H2121)</f>
        <v>2</v>
      </c>
      <c r="J2121" s="11">
        <f t="shared" ref="J2121:J2122" si="1049">E2121+I2121</f>
        <v>2</v>
      </c>
      <c r="K2121" s="65">
        <v>44599</v>
      </c>
      <c r="L2121" s="28" t="s">
        <v>963</v>
      </c>
      <c r="M2121" s="17"/>
      <c r="N2121" s="18"/>
      <c r="O2121" s="19"/>
      <c r="P2121" s="20">
        <f>SUM(M2121:O2121)</f>
        <v>0</v>
      </c>
      <c r="Q2121" s="21"/>
      <c r="R2121" s="18">
        <v>3</v>
      </c>
      <c r="S2121" s="19">
        <v>3</v>
      </c>
      <c r="T2121" s="20">
        <f>SUM(Q2121:S2121)</f>
        <v>6</v>
      </c>
      <c r="U2121" s="20">
        <f>P2121+T2121</f>
        <v>6</v>
      </c>
      <c r="V2121" s="158">
        <v>44573</v>
      </c>
      <c r="W2121" s="86"/>
      <c r="X2121" s="8"/>
      <c r="Y2121" s="9"/>
      <c r="Z2121" s="10"/>
      <c r="AA2121" s="11">
        <f>SUM(X2121:Z2121)</f>
        <v>0</v>
      </c>
      <c r="AB2121" s="12"/>
      <c r="AC2121" s="9"/>
      <c r="AD2121" s="10"/>
      <c r="AE2121" s="11">
        <f>SUM(AB2121:AD2121)</f>
        <v>0</v>
      </c>
      <c r="AF2121" s="11">
        <f t="shared" ref="AF2121:AF2146" si="1050">AA2121+AE2121</f>
        <v>0</v>
      </c>
    </row>
    <row r="2122" spans="1:32" x14ac:dyDescent="0.15">
      <c r="A2122" s="27" t="s">
        <v>207</v>
      </c>
      <c r="B2122" s="8"/>
      <c r="C2122" s="9"/>
      <c r="D2122" s="10"/>
      <c r="E2122" s="11">
        <f t="shared" si="1047"/>
        <v>0</v>
      </c>
      <c r="F2122" s="12"/>
      <c r="G2122" s="9"/>
      <c r="H2122" s="10">
        <v>1</v>
      </c>
      <c r="I2122" s="11">
        <f t="shared" si="1048"/>
        <v>1</v>
      </c>
      <c r="J2122" s="11">
        <f t="shared" si="1049"/>
        <v>1</v>
      </c>
      <c r="K2122" s="71">
        <v>44606</v>
      </c>
      <c r="L2122" s="86" t="s">
        <v>965</v>
      </c>
      <c r="M2122" s="8">
        <v>40</v>
      </c>
      <c r="N2122" s="9">
        <v>30</v>
      </c>
      <c r="O2122" s="10">
        <v>0</v>
      </c>
      <c r="P2122" s="11">
        <f>SUM(M2122:O2122)</f>
        <v>70</v>
      </c>
      <c r="Q2122" s="12">
        <v>10</v>
      </c>
      <c r="R2122" s="9">
        <v>20</v>
      </c>
      <c r="S2122" s="10">
        <v>5</v>
      </c>
      <c r="T2122" s="11">
        <f>SUM(Q2122:S2122)</f>
        <v>35</v>
      </c>
      <c r="U2122" s="11">
        <f t="shared" ref="U2122:U2146" si="1051">P2122+T2122</f>
        <v>105</v>
      </c>
      <c r="V2122" s="158">
        <v>44642</v>
      </c>
      <c r="W2122" s="86"/>
      <c r="X2122" s="8"/>
      <c r="Y2122" s="9"/>
      <c r="Z2122" s="10"/>
      <c r="AA2122" s="11">
        <f>SUM(X2122:Z2122)</f>
        <v>0</v>
      </c>
      <c r="AB2122" s="12"/>
      <c r="AC2122" s="9"/>
      <c r="AD2122" s="10"/>
      <c r="AE2122" s="11">
        <f>SUM(AB2122:AD2122)</f>
        <v>0</v>
      </c>
      <c r="AF2122" s="11">
        <f t="shared" si="1050"/>
        <v>0</v>
      </c>
    </row>
    <row r="2123" spans="1:32" x14ac:dyDescent="0.15">
      <c r="A2123" s="86" t="s">
        <v>894</v>
      </c>
      <c r="B2123" s="8"/>
      <c r="C2123" s="9"/>
      <c r="D2123" s="10">
        <v>2</v>
      </c>
      <c r="E2123" s="11">
        <f t="shared" ref="E2123:E2125" si="1052">SUM(B2123:D2123)</f>
        <v>2</v>
      </c>
      <c r="F2123" s="12"/>
      <c r="G2123" s="9"/>
      <c r="H2123" s="10"/>
      <c r="I2123" s="11">
        <f t="shared" ref="I2123:I2124" si="1053">SUM(F2123:H2123)</f>
        <v>0</v>
      </c>
      <c r="J2123" s="11">
        <f t="shared" ref="J2123:J2146" si="1054">E2123+I2123</f>
        <v>2</v>
      </c>
      <c r="K2123" s="65">
        <v>44617</v>
      </c>
      <c r="L2123" s="86" t="s">
        <v>937</v>
      </c>
      <c r="M2123" s="8"/>
      <c r="N2123" s="9"/>
      <c r="O2123" s="10"/>
      <c r="P2123" s="11">
        <f t="shared" ref="P2123:P2146" si="1055">SUM(M2123:O2123)</f>
        <v>0</v>
      </c>
      <c r="Q2123" s="12"/>
      <c r="R2123" s="9">
        <v>1</v>
      </c>
      <c r="S2123" s="10"/>
      <c r="T2123" s="11">
        <f t="shared" ref="T2123:T2146" si="1056">SUM(Q2123:S2123)</f>
        <v>1</v>
      </c>
      <c r="U2123" s="11">
        <f t="shared" si="1051"/>
        <v>1</v>
      </c>
      <c r="V2123" s="158">
        <v>44666</v>
      </c>
      <c r="W2123" s="86"/>
      <c r="X2123" s="8"/>
      <c r="Y2123" s="9"/>
      <c r="Z2123" s="10"/>
      <c r="AA2123" s="11">
        <f t="shared" ref="AA2123:AA2146" si="1057">SUM(X2123:Z2123)</f>
        <v>0</v>
      </c>
      <c r="AB2123" s="12"/>
      <c r="AC2123" s="9"/>
      <c r="AD2123" s="10"/>
      <c r="AE2123" s="11">
        <f t="shared" ref="AE2123:AE2146" si="1058">SUM(AB2123:AD2123)</f>
        <v>0</v>
      </c>
      <c r="AF2123" s="11">
        <f t="shared" si="1050"/>
        <v>0</v>
      </c>
    </row>
    <row r="2124" spans="1:32" x14ac:dyDescent="0.15">
      <c r="A2124" s="27" t="s">
        <v>207</v>
      </c>
      <c r="B2124" s="8"/>
      <c r="C2124" s="9"/>
      <c r="D2124" s="10"/>
      <c r="E2124" s="11">
        <f t="shared" si="1052"/>
        <v>0</v>
      </c>
      <c r="F2124" s="12"/>
      <c r="G2124" s="9"/>
      <c r="H2124" s="10">
        <v>1</v>
      </c>
      <c r="I2124" s="11">
        <f t="shared" si="1053"/>
        <v>1</v>
      </c>
      <c r="J2124" s="11">
        <f t="shared" si="1054"/>
        <v>1</v>
      </c>
      <c r="K2124" s="71">
        <v>44634</v>
      </c>
      <c r="L2124" s="86" t="s">
        <v>938</v>
      </c>
      <c r="M2124" s="8"/>
      <c r="N2124" s="9">
        <v>2</v>
      </c>
      <c r="O2124" s="10"/>
      <c r="P2124" s="11">
        <f t="shared" si="1055"/>
        <v>2</v>
      </c>
      <c r="Q2124" s="12"/>
      <c r="R2124" s="9">
        <v>3</v>
      </c>
      <c r="S2124" s="10"/>
      <c r="T2124" s="11">
        <f t="shared" si="1056"/>
        <v>3</v>
      </c>
      <c r="U2124" s="11">
        <f t="shared" si="1051"/>
        <v>5</v>
      </c>
      <c r="V2124" s="158">
        <v>44673</v>
      </c>
      <c r="W2124" s="86"/>
      <c r="X2124" s="8"/>
      <c r="Y2124" s="9"/>
      <c r="Z2124" s="10"/>
      <c r="AA2124" s="11">
        <f t="shared" si="1057"/>
        <v>0</v>
      </c>
      <c r="AB2124" s="12"/>
      <c r="AC2124" s="9"/>
      <c r="AD2124" s="10"/>
      <c r="AE2124" s="11">
        <f t="shared" si="1058"/>
        <v>0</v>
      </c>
      <c r="AF2124" s="11">
        <f t="shared" si="1050"/>
        <v>0</v>
      </c>
    </row>
    <row r="2125" spans="1:32" x14ac:dyDescent="0.15">
      <c r="A2125" s="27" t="s">
        <v>207</v>
      </c>
      <c r="B2125" s="8"/>
      <c r="C2125" s="9">
        <v>1</v>
      </c>
      <c r="D2125" s="10"/>
      <c r="E2125" s="11">
        <f t="shared" si="1052"/>
        <v>1</v>
      </c>
      <c r="F2125" s="12"/>
      <c r="G2125" s="9"/>
      <c r="H2125" s="10"/>
      <c r="I2125" s="11">
        <f>SUM(F2125:H2125)</f>
        <v>0</v>
      </c>
      <c r="J2125" s="11">
        <f t="shared" si="1054"/>
        <v>1</v>
      </c>
      <c r="K2125" s="65">
        <v>44635</v>
      </c>
      <c r="L2125" s="28" t="s">
        <v>41</v>
      </c>
      <c r="M2125" s="8"/>
      <c r="N2125" s="9">
        <v>3</v>
      </c>
      <c r="O2125" s="10"/>
      <c r="P2125" s="11">
        <f t="shared" si="1055"/>
        <v>3</v>
      </c>
      <c r="Q2125" s="12">
        <v>3</v>
      </c>
      <c r="R2125" s="9">
        <v>3</v>
      </c>
      <c r="S2125" s="10"/>
      <c r="T2125" s="11">
        <f t="shared" si="1056"/>
        <v>6</v>
      </c>
      <c r="U2125" s="11">
        <f t="shared" si="1051"/>
        <v>9</v>
      </c>
      <c r="V2125" s="158">
        <v>44673</v>
      </c>
      <c r="W2125" s="86"/>
      <c r="X2125" s="8"/>
      <c r="Y2125" s="9"/>
      <c r="Z2125" s="10"/>
      <c r="AA2125" s="11">
        <f t="shared" si="1057"/>
        <v>0</v>
      </c>
      <c r="AB2125" s="12"/>
      <c r="AC2125" s="9"/>
      <c r="AD2125" s="10"/>
      <c r="AE2125" s="11">
        <f t="shared" si="1058"/>
        <v>0</v>
      </c>
      <c r="AF2125" s="11">
        <f t="shared" si="1050"/>
        <v>0</v>
      </c>
    </row>
    <row r="2126" spans="1:32" x14ac:dyDescent="0.15">
      <c r="A2126" s="27" t="s">
        <v>207</v>
      </c>
      <c r="B2126" s="8"/>
      <c r="C2126" s="9"/>
      <c r="D2126" s="10"/>
      <c r="E2126" s="11">
        <f>SUM(B2126:D2126)</f>
        <v>0</v>
      </c>
      <c r="F2126" s="12"/>
      <c r="G2126" s="9">
        <v>2</v>
      </c>
      <c r="H2126" s="10"/>
      <c r="I2126" s="11">
        <f>SUM(F2126:H2126)</f>
        <v>2</v>
      </c>
      <c r="J2126" s="11">
        <f t="shared" si="1054"/>
        <v>2</v>
      </c>
      <c r="K2126" s="71">
        <v>44639</v>
      </c>
      <c r="L2126" s="86" t="s">
        <v>939</v>
      </c>
      <c r="M2126" s="8">
        <v>5</v>
      </c>
      <c r="N2126" s="9"/>
      <c r="O2126" s="10"/>
      <c r="P2126" s="11">
        <f t="shared" si="1055"/>
        <v>5</v>
      </c>
      <c r="Q2126" s="12">
        <v>1</v>
      </c>
      <c r="R2126" s="9"/>
      <c r="S2126" s="10"/>
      <c r="T2126" s="11">
        <f t="shared" si="1056"/>
        <v>1</v>
      </c>
      <c r="U2126" s="11">
        <f t="shared" si="1051"/>
        <v>6</v>
      </c>
      <c r="V2126" s="158">
        <v>44679</v>
      </c>
      <c r="W2126" s="29"/>
      <c r="X2126" s="8"/>
      <c r="Y2126" s="9"/>
      <c r="Z2126" s="10"/>
      <c r="AA2126" s="11">
        <f t="shared" si="1057"/>
        <v>0</v>
      </c>
      <c r="AB2126" s="12"/>
      <c r="AC2126" s="9"/>
      <c r="AD2126" s="10"/>
      <c r="AE2126" s="11">
        <f t="shared" si="1058"/>
        <v>0</v>
      </c>
      <c r="AF2126" s="11">
        <f t="shared" si="1050"/>
        <v>0</v>
      </c>
    </row>
    <row r="2127" spans="1:32" x14ac:dyDescent="0.15">
      <c r="A2127" s="27" t="s">
        <v>207</v>
      </c>
      <c r="B2127" s="8"/>
      <c r="C2127" s="9"/>
      <c r="D2127" s="10"/>
      <c r="E2127" s="11">
        <f t="shared" ref="E2127:E2146" si="1059">SUM(B2127:D2127)</f>
        <v>0</v>
      </c>
      <c r="F2127" s="140"/>
      <c r="G2127" s="140">
        <v>1</v>
      </c>
      <c r="H2127" s="10"/>
      <c r="I2127" s="11">
        <f t="shared" ref="I2127:I2146" si="1060">SUM(F2127:H2127)</f>
        <v>1</v>
      </c>
      <c r="J2127" s="11">
        <f t="shared" si="1054"/>
        <v>1</v>
      </c>
      <c r="K2127" s="71">
        <v>44642</v>
      </c>
      <c r="L2127" s="28" t="s">
        <v>41</v>
      </c>
      <c r="M2127" s="8"/>
      <c r="N2127" s="9">
        <v>3</v>
      </c>
      <c r="O2127" s="10"/>
      <c r="P2127" s="11">
        <f t="shared" si="1055"/>
        <v>3</v>
      </c>
      <c r="Q2127" s="12">
        <v>3</v>
      </c>
      <c r="R2127" s="9">
        <v>3</v>
      </c>
      <c r="S2127" s="10"/>
      <c r="T2127" s="11">
        <f t="shared" si="1056"/>
        <v>6</v>
      </c>
      <c r="U2127" s="11">
        <f t="shared" si="1051"/>
        <v>9</v>
      </c>
      <c r="V2127" s="158">
        <v>44681</v>
      </c>
      <c r="W2127" s="86"/>
      <c r="X2127" s="8"/>
      <c r="Y2127" s="9"/>
      <c r="Z2127" s="10"/>
      <c r="AA2127" s="11">
        <f t="shared" si="1057"/>
        <v>0</v>
      </c>
      <c r="AB2127" s="12"/>
      <c r="AC2127" s="9"/>
      <c r="AD2127" s="10"/>
      <c r="AE2127" s="11">
        <f t="shared" si="1058"/>
        <v>0</v>
      </c>
      <c r="AF2127" s="11">
        <f t="shared" si="1050"/>
        <v>0</v>
      </c>
    </row>
    <row r="2128" spans="1:32" x14ac:dyDescent="0.15">
      <c r="A2128" s="27" t="s">
        <v>207</v>
      </c>
      <c r="B2128" s="8"/>
      <c r="C2128" s="9">
        <v>2</v>
      </c>
      <c r="D2128" s="10"/>
      <c r="E2128" s="11">
        <f t="shared" si="1059"/>
        <v>2</v>
      </c>
      <c r="F2128" s="12">
        <v>2</v>
      </c>
      <c r="G2128" s="9"/>
      <c r="H2128" s="10"/>
      <c r="I2128" s="11">
        <f t="shared" si="1060"/>
        <v>2</v>
      </c>
      <c r="J2128" s="11">
        <f t="shared" si="1054"/>
        <v>4</v>
      </c>
      <c r="K2128" s="71">
        <v>44667</v>
      </c>
      <c r="L2128" s="86" t="s">
        <v>940</v>
      </c>
      <c r="M2128" s="8">
        <v>5</v>
      </c>
      <c r="N2128" s="9"/>
      <c r="O2128" s="10"/>
      <c r="P2128" s="11">
        <f t="shared" si="1055"/>
        <v>5</v>
      </c>
      <c r="Q2128" s="12"/>
      <c r="R2128" s="9"/>
      <c r="S2128" s="10"/>
      <c r="T2128" s="11">
        <f t="shared" si="1056"/>
        <v>0</v>
      </c>
      <c r="U2128" s="11">
        <f t="shared" si="1051"/>
        <v>5</v>
      </c>
      <c r="V2128" s="158">
        <v>44701</v>
      </c>
      <c r="W2128" s="29"/>
      <c r="X2128" s="8"/>
      <c r="Y2128" s="9"/>
      <c r="Z2128" s="10"/>
      <c r="AA2128" s="11">
        <f t="shared" si="1057"/>
        <v>0</v>
      </c>
      <c r="AB2128" s="12"/>
      <c r="AC2128" s="9"/>
      <c r="AD2128" s="10"/>
      <c r="AE2128" s="11">
        <f t="shared" si="1058"/>
        <v>0</v>
      </c>
      <c r="AF2128" s="11">
        <f t="shared" si="1050"/>
        <v>0</v>
      </c>
    </row>
    <row r="2129" spans="1:32" x14ac:dyDescent="0.15">
      <c r="A2129" s="27" t="s">
        <v>207</v>
      </c>
      <c r="B2129" s="13"/>
      <c r="C2129" s="14"/>
      <c r="D2129" s="15"/>
      <c r="E2129" s="11">
        <f t="shared" si="1059"/>
        <v>0</v>
      </c>
      <c r="F2129" s="16">
        <v>2</v>
      </c>
      <c r="G2129" s="14"/>
      <c r="H2129" s="15">
        <v>2</v>
      </c>
      <c r="I2129" s="11">
        <f t="shared" si="1060"/>
        <v>4</v>
      </c>
      <c r="J2129" s="11">
        <f t="shared" si="1054"/>
        <v>4</v>
      </c>
      <c r="K2129" s="71">
        <v>44672</v>
      </c>
      <c r="L2129" s="28" t="s">
        <v>41</v>
      </c>
      <c r="M2129" s="8"/>
      <c r="N2129" s="9">
        <v>5</v>
      </c>
      <c r="O2129" s="10"/>
      <c r="P2129" s="11">
        <f t="shared" si="1055"/>
        <v>5</v>
      </c>
      <c r="Q2129" s="12"/>
      <c r="R2129" s="9">
        <v>5</v>
      </c>
      <c r="S2129" s="10"/>
      <c r="T2129" s="11">
        <f t="shared" si="1056"/>
        <v>5</v>
      </c>
      <c r="U2129" s="11">
        <f t="shared" si="1051"/>
        <v>10</v>
      </c>
      <c r="V2129" s="158">
        <v>44702</v>
      </c>
      <c r="W2129" s="29"/>
      <c r="X2129" s="8"/>
      <c r="Y2129" s="9"/>
      <c r="Z2129" s="10"/>
      <c r="AA2129" s="11">
        <f t="shared" si="1057"/>
        <v>0</v>
      </c>
      <c r="AB2129" s="12"/>
      <c r="AC2129" s="9"/>
      <c r="AD2129" s="10"/>
      <c r="AE2129" s="11">
        <f t="shared" si="1058"/>
        <v>0</v>
      </c>
      <c r="AF2129" s="11">
        <f t="shared" si="1050"/>
        <v>0</v>
      </c>
    </row>
    <row r="2130" spans="1:32" x14ac:dyDescent="0.15">
      <c r="A2130" s="27" t="s">
        <v>207</v>
      </c>
      <c r="B2130" s="13">
        <v>2</v>
      </c>
      <c r="C2130" s="14"/>
      <c r="D2130" s="15"/>
      <c r="E2130" s="11">
        <f t="shared" si="1059"/>
        <v>2</v>
      </c>
      <c r="F2130" s="16"/>
      <c r="G2130" s="14"/>
      <c r="H2130" s="15"/>
      <c r="I2130" s="11">
        <f t="shared" si="1060"/>
        <v>0</v>
      </c>
      <c r="J2130" s="11">
        <f t="shared" si="1054"/>
        <v>2</v>
      </c>
      <c r="K2130" s="71">
        <v>44676</v>
      </c>
      <c r="L2130" s="86" t="s">
        <v>941</v>
      </c>
      <c r="M2130" s="13">
        <v>6</v>
      </c>
      <c r="N2130" s="14"/>
      <c r="O2130" s="15"/>
      <c r="P2130" s="11">
        <f t="shared" si="1055"/>
        <v>6</v>
      </c>
      <c r="Q2130" s="16">
        <v>4</v>
      </c>
      <c r="R2130" s="14"/>
      <c r="S2130" s="15"/>
      <c r="T2130" s="11">
        <f t="shared" si="1056"/>
        <v>4</v>
      </c>
      <c r="U2130" s="11">
        <f t="shared" si="1051"/>
        <v>10</v>
      </c>
      <c r="V2130" s="158">
        <v>44715</v>
      </c>
      <c r="W2130" s="29"/>
      <c r="X2130" s="13"/>
      <c r="Y2130" s="14"/>
      <c r="Z2130" s="15"/>
      <c r="AA2130" s="11">
        <f t="shared" si="1057"/>
        <v>0</v>
      </c>
      <c r="AB2130" s="16"/>
      <c r="AC2130" s="14"/>
      <c r="AD2130" s="15"/>
      <c r="AE2130" s="11">
        <f t="shared" si="1058"/>
        <v>0</v>
      </c>
      <c r="AF2130" s="11">
        <f t="shared" si="1050"/>
        <v>0</v>
      </c>
    </row>
    <row r="2131" spans="1:32" x14ac:dyDescent="0.15">
      <c r="A2131" s="27" t="s">
        <v>207</v>
      </c>
      <c r="B2131" s="8"/>
      <c r="C2131" s="9"/>
      <c r="D2131" s="10"/>
      <c r="E2131" s="11">
        <f t="shared" si="1059"/>
        <v>0</v>
      </c>
      <c r="F2131" s="12"/>
      <c r="G2131" s="9"/>
      <c r="H2131" s="10">
        <v>2</v>
      </c>
      <c r="I2131" s="11">
        <f t="shared" si="1060"/>
        <v>2</v>
      </c>
      <c r="J2131" s="11">
        <f t="shared" si="1054"/>
        <v>2</v>
      </c>
      <c r="K2131" s="71">
        <v>44677</v>
      </c>
      <c r="L2131" s="86" t="s">
        <v>965</v>
      </c>
      <c r="M2131" s="8">
        <v>10</v>
      </c>
      <c r="N2131" s="9">
        <v>10</v>
      </c>
      <c r="O2131" s="10"/>
      <c r="P2131" s="11">
        <f t="shared" si="1055"/>
        <v>20</v>
      </c>
      <c r="Q2131" s="12"/>
      <c r="R2131" s="9"/>
      <c r="S2131" s="10"/>
      <c r="T2131" s="11">
        <f t="shared" si="1056"/>
        <v>0</v>
      </c>
      <c r="U2131" s="11">
        <f t="shared" si="1051"/>
        <v>20</v>
      </c>
      <c r="V2131" s="158">
        <v>44715</v>
      </c>
      <c r="W2131" s="29"/>
      <c r="X2131" s="8"/>
      <c r="Y2131" s="9"/>
      <c r="Z2131" s="10"/>
      <c r="AA2131" s="11">
        <f t="shared" si="1057"/>
        <v>0</v>
      </c>
      <c r="AB2131" s="12"/>
      <c r="AC2131" s="9"/>
      <c r="AD2131" s="10"/>
      <c r="AE2131" s="11">
        <f t="shared" si="1058"/>
        <v>0</v>
      </c>
      <c r="AF2131" s="11">
        <f t="shared" si="1050"/>
        <v>0</v>
      </c>
    </row>
    <row r="2132" spans="1:32" x14ac:dyDescent="0.15">
      <c r="A2132" s="27" t="s">
        <v>207</v>
      </c>
      <c r="B2132" s="8"/>
      <c r="C2132" s="9">
        <v>2</v>
      </c>
      <c r="D2132" s="10"/>
      <c r="E2132" s="11">
        <f t="shared" si="1059"/>
        <v>2</v>
      </c>
      <c r="F2132" s="12">
        <v>2</v>
      </c>
      <c r="G2132" s="9">
        <f>2+2</f>
        <v>4</v>
      </c>
      <c r="H2132" s="10"/>
      <c r="I2132" s="11">
        <f t="shared" si="1060"/>
        <v>6</v>
      </c>
      <c r="J2132" s="11">
        <f t="shared" si="1054"/>
        <v>8</v>
      </c>
      <c r="K2132" s="71">
        <v>44679</v>
      </c>
      <c r="L2132" s="28" t="s">
        <v>41</v>
      </c>
      <c r="M2132" s="8">
        <v>10</v>
      </c>
      <c r="N2132" s="9"/>
      <c r="O2132" s="10"/>
      <c r="P2132" s="11">
        <f t="shared" si="1055"/>
        <v>10</v>
      </c>
      <c r="Q2132" s="12"/>
      <c r="R2132" s="9"/>
      <c r="S2132" s="10"/>
      <c r="T2132" s="11">
        <f t="shared" si="1056"/>
        <v>0</v>
      </c>
      <c r="U2132" s="11">
        <f t="shared" si="1051"/>
        <v>10</v>
      </c>
      <c r="V2132" s="158">
        <v>44716</v>
      </c>
      <c r="W2132" s="29"/>
      <c r="X2132" s="8"/>
      <c r="Y2132" s="9"/>
      <c r="Z2132" s="10"/>
      <c r="AA2132" s="11">
        <f t="shared" si="1057"/>
        <v>0</v>
      </c>
      <c r="AB2132" s="12"/>
      <c r="AC2132" s="9"/>
      <c r="AD2132" s="10"/>
      <c r="AE2132" s="11">
        <f t="shared" si="1058"/>
        <v>0</v>
      </c>
      <c r="AF2132" s="11">
        <f t="shared" si="1050"/>
        <v>0</v>
      </c>
    </row>
    <row r="2133" spans="1:32" x14ac:dyDescent="0.15">
      <c r="A2133" s="27" t="s">
        <v>207</v>
      </c>
      <c r="B2133" s="8"/>
      <c r="C2133" s="9"/>
      <c r="D2133" s="10"/>
      <c r="E2133" s="11">
        <f t="shared" si="1059"/>
        <v>0</v>
      </c>
      <c r="F2133" s="12"/>
      <c r="G2133" s="9">
        <v>1</v>
      </c>
      <c r="H2133" s="10"/>
      <c r="I2133" s="11">
        <f t="shared" si="1060"/>
        <v>1</v>
      </c>
      <c r="J2133" s="11">
        <f t="shared" si="1054"/>
        <v>1</v>
      </c>
      <c r="K2133" s="71">
        <v>44687</v>
      </c>
      <c r="L2133" s="86" t="s">
        <v>943</v>
      </c>
      <c r="M2133" s="8">
        <v>1</v>
      </c>
      <c r="N2133" s="9">
        <v>3</v>
      </c>
      <c r="O2133" s="10"/>
      <c r="P2133" s="11">
        <f t="shared" si="1055"/>
        <v>4</v>
      </c>
      <c r="Q2133" s="12"/>
      <c r="R2133" s="9">
        <v>3</v>
      </c>
      <c r="S2133" s="10"/>
      <c r="T2133" s="11">
        <f t="shared" si="1056"/>
        <v>3</v>
      </c>
      <c r="U2133" s="11">
        <f t="shared" si="1051"/>
        <v>7</v>
      </c>
      <c r="V2133" s="158">
        <v>44722</v>
      </c>
      <c r="W2133" s="27"/>
      <c r="X2133" s="8"/>
      <c r="Y2133" s="9"/>
      <c r="Z2133" s="10"/>
      <c r="AA2133" s="11">
        <f t="shared" si="1057"/>
        <v>0</v>
      </c>
      <c r="AB2133" s="12"/>
      <c r="AC2133" s="9"/>
      <c r="AD2133" s="10"/>
      <c r="AE2133" s="11">
        <f t="shared" si="1058"/>
        <v>0</v>
      </c>
      <c r="AF2133" s="11">
        <f t="shared" si="1050"/>
        <v>0</v>
      </c>
    </row>
    <row r="2134" spans="1:32" x14ac:dyDescent="0.15">
      <c r="A2134" s="27" t="s">
        <v>207</v>
      </c>
      <c r="B2134" s="8"/>
      <c r="C2134" s="9"/>
      <c r="D2134" s="10"/>
      <c r="E2134" s="11">
        <f t="shared" si="1059"/>
        <v>0</v>
      </c>
      <c r="F2134" s="12"/>
      <c r="G2134" s="9"/>
      <c r="H2134" s="10">
        <v>1</v>
      </c>
      <c r="I2134" s="11">
        <f t="shared" si="1060"/>
        <v>1</v>
      </c>
      <c r="J2134" s="11">
        <f t="shared" si="1054"/>
        <v>1</v>
      </c>
      <c r="K2134" s="71">
        <v>44690</v>
      </c>
      <c r="L2134" s="28" t="s">
        <v>41</v>
      </c>
      <c r="M2134" s="8"/>
      <c r="N2134" s="9">
        <v>2</v>
      </c>
      <c r="O2134" s="10"/>
      <c r="P2134" s="11">
        <f t="shared" si="1055"/>
        <v>2</v>
      </c>
      <c r="Q2134" s="12"/>
      <c r="R2134" s="9">
        <v>5</v>
      </c>
      <c r="S2134" s="10"/>
      <c r="T2134" s="11">
        <f t="shared" si="1056"/>
        <v>5</v>
      </c>
      <c r="U2134" s="11">
        <f t="shared" si="1051"/>
        <v>7</v>
      </c>
      <c r="V2134" s="158">
        <v>44730</v>
      </c>
      <c r="W2134" s="29"/>
      <c r="X2134" s="8"/>
      <c r="Y2134" s="9"/>
      <c r="Z2134" s="10"/>
      <c r="AA2134" s="11">
        <f t="shared" si="1057"/>
        <v>0</v>
      </c>
      <c r="AB2134" s="12"/>
      <c r="AC2134" s="9"/>
      <c r="AD2134" s="10"/>
      <c r="AE2134" s="11">
        <f t="shared" si="1058"/>
        <v>0</v>
      </c>
      <c r="AF2134" s="11">
        <f t="shared" si="1050"/>
        <v>0</v>
      </c>
    </row>
    <row r="2135" spans="1:32" x14ac:dyDescent="0.15">
      <c r="A2135" s="27" t="s">
        <v>207</v>
      </c>
      <c r="B2135" s="8"/>
      <c r="C2135" s="9">
        <v>2</v>
      </c>
      <c r="D2135" s="10"/>
      <c r="E2135" s="11">
        <f t="shared" si="1059"/>
        <v>2</v>
      </c>
      <c r="F2135" s="12"/>
      <c r="G2135" s="9"/>
      <c r="H2135" s="10"/>
      <c r="I2135" s="11">
        <f t="shared" si="1060"/>
        <v>0</v>
      </c>
      <c r="J2135" s="11">
        <f t="shared" si="1054"/>
        <v>2</v>
      </c>
      <c r="K2135" s="71">
        <v>44701</v>
      </c>
      <c r="L2135" s="86" t="s">
        <v>944</v>
      </c>
      <c r="M2135" s="8">
        <v>10</v>
      </c>
      <c r="N2135" s="9"/>
      <c r="O2135" s="10"/>
      <c r="P2135" s="11">
        <f t="shared" si="1055"/>
        <v>10</v>
      </c>
      <c r="Q2135" s="12">
        <v>10</v>
      </c>
      <c r="R2135" s="9">
        <v>10</v>
      </c>
      <c r="S2135" s="10"/>
      <c r="T2135" s="11">
        <f t="shared" si="1056"/>
        <v>20</v>
      </c>
      <c r="U2135" s="11">
        <f t="shared" si="1051"/>
        <v>30</v>
      </c>
      <c r="V2135" s="158">
        <v>44736</v>
      </c>
      <c r="W2135" s="29"/>
      <c r="X2135" s="8"/>
      <c r="Y2135" s="9"/>
      <c r="Z2135" s="10"/>
      <c r="AA2135" s="11">
        <f t="shared" si="1057"/>
        <v>0</v>
      </c>
      <c r="AB2135" s="12"/>
      <c r="AC2135" s="9"/>
      <c r="AD2135" s="10"/>
      <c r="AE2135" s="11">
        <f t="shared" si="1058"/>
        <v>0</v>
      </c>
      <c r="AF2135" s="11">
        <f t="shared" si="1050"/>
        <v>0</v>
      </c>
    </row>
    <row r="2136" spans="1:32" x14ac:dyDescent="0.15">
      <c r="A2136" s="27" t="s">
        <v>207</v>
      </c>
      <c r="B2136" s="8">
        <v>2</v>
      </c>
      <c r="C2136" s="9"/>
      <c r="D2136" s="10"/>
      <c r="E2136" s="11">
        <f t="shared" si="1059"/>
        <v>2</v>
      </c>
      <c r="F2136" s="12">
        <v>2</v>
      </c>
      <c r="G2136" s="9"/>
      <c r="H2136" s="10"/>
      <c r="I2136" s="11">
        <f t="shared" si="1060"/>
        <v>2</v>
      </c>
      <c r="J2136" s="11">
        <f t="shared" si="1054"/>
        <v>4</v>
      </c>
      <c r="K2136" s="71">
        <v>44702</v>
      </c>
      <c r="L2136" s="28" t="s">
        <v>41</v>
      </c>
      <c r="M2136" s="8">
        <v>5</v>
      </c>
      <c r="N2136" s="9"/>
      <c r="O2136" s="10"/>
      <c r="P2136" s="11">
        <f t="shared" si="1055"/>
        <v>5</v>
      </c>
      <c r="Q2136" s="12">
        <v>5</v>
      </c>
      <c r="R2136" s="9"/>
      <c r="S2136" s="10"/>
      <c r="T2136" s="11">
        <f t="shared" si="1056"/>
        <v>5</v>
      </c>
      <c r="U2136" s="11">
        <f t="shared" si="1051"/>
        <v>10</v>
      </c>
      <c r="V2136" s="158">
        <v>44736</v>
      </c>
      <c r="W2136" s="27"/>
      <c r="X2136" s="8"/>
      <c r="Y2136" s="9"/>
      <c r="Z2136" s="10"/>
      <c r="AA2136" s="11">
        <f t="shared" si="1057"/>
        <v>0</v>
      </c>
      <c r="AB2136" s="12"/>
      <c r="AC2136" s="9"/>
      <c r="AD2136" s="10"/>
      <c r="AE2136" s="11">
        <f t="shared" si="1058"/>
        <v>0</v>
      </c>
      <c r="AF2136" s="11">
        <f t="shared" si="1050"/>
        <v>0</v>
      </c>
    </row>
    <row r="2137" spans="1:32" x14ac:dyDescent="0.15">
      <c r="A2137" s="27" t="s">
        <v>207</v>
      </c>
      <c r="B2137" s="8"/>
      <c r="C2137" s="9"/>
      <c r="D2137" s="10"/>
      <c r="E2137" s="11">
        <f t="shared" si="1059"/>
        <v>0</v>
      </c>
      <c r="F2137" s="12"/>
      <c r="G2137" s="9">
        <v>2</v>
      </c>
      <c r="H2137" s="10"/>
      <c r="I2137" s="11">
        <f t="shared" si="1060"/>
        <v>2</v>
      </c>
      <c r="J2137" s="11">
        <f t="shared" si="1054"/>
        <v>2</v>
      </c>
      <c r="K2137" s="71">
        <v>44711</v>
      </c>
      <c r="L2137" s="86" t="s">
        <v>965</v>
      </c>
      <c r="M2137" s="8">
        <v>10</v>
      </c>
      <c r="N2137" s="9">
        <v>0</v>
      </c>
      <c r="O2137" s="10">
        <v>0</v>
      </c>
      <c r="P2137" s="11">
        <f t="shared" si="1055"/>
        <v>10</v>
      </c>
      <c r="Q2137" s="12"/>
      <c r="R2137" s="9"/>
      <c r="S2137" s="10">
        <v>0</v>
      </c>
      <c r="T2137" s="11">
        <f t="shared" si="1056"/>
        <v>0</v>
      </c>
      <c r="U2137" s="11">
        <f t="shared" si="1051"/>
        <v>10</v>
      </c>
      <c r="V2137" s="158">
        <v>44742</v>
      </c>
      <c r="W2137" s="29"/>
      <c r="X2137" s="8"/>
      <c r="Y2137" s="9"/>
      <c r="Z2137" s="10"/>
      <c r="AA2137" s="11">
        <f t="shared" si="1057"/>
        <v>0</v>
      </c>
      <c r="AB2137" s="12"/>
      <c r="AC2137" s="9"/>
      <c r="AD2137" s="10"/>
      <c r="AE2137" s="11">
        <f t="shared" si="1058"/>
        <v>0</v>
      </c>
      <c r="AF2137" s="11">
        <f t="shared" si="1050"/>
        <v>0</v>
      </c>
    </row>
    <row r="2138" spans="1:32" x14ac:dyDescent="0.15">
      <c r="A2138" s="27" t="s">
        <v>207</v>
      </c>
      <c r="B2138" s="8">
        <v>8</v>
      </c>
      <c r="C2138" s="9"/>
      <c r="D2138" s="10"/>
      <c r="E2138" s="11">
        <f t="shared" si="1059"/>
        <v>8</v>
      </c>
      <c r="F2138" s="12"/>
      <c r="G2138" s="9"/>
      <c r="H2138" s="10"/>
      <c r="I2138" s="11">
        <f t="shared" si="1060"/>
        <v>0</v>
      </c>
      <c r="J2138" s="11">
        <f t="shared" si="1054"/>
        <v>8</v>
      </c>
      <c r="K2138" s="71">
        <v>44716</v>
      </c>
      <c r="L2138" s="27"/>
      <c r="M2138" s="8"/>
      <c r="N2138" s="9"/>
      <c r="O2138" s="10"/>
      <c r="P2138" s="11">
        <f t="shared" si="1055"/>
        <v>0</v>
      </c>
      <c r="Q2138" s="12"/>
      <c r="R2138" s="9"/>
      <c r="S2138" s="10"/>
      <c r="T2138" s="11">
        <f t="shared" si="1056"/>
        <v>0</v>
      </c>
      <c r="U2138" s="11">
        <f t="shared" si="1051"/>
        <v>0</v>
      </c>
      <c r="V2138" s="160"/>
      <c r="W2138" s="27"/>
      <c r="X2138" s="8"/>
      <c r="Y2138" s="9"/>
      <c r="Z2138" s="10"/>
      <c r="AA2138" s="11">
        <f t="shared" si="1057"/>
        <v>0</v>
      </c>
      <c r="AB2138" s="12"/>
      <c r="AC2138" s="9"/>
      <c r="AD2138" s="10"/>
      <c r="AE2138" s="11">
        <f t="shared" si="1058"/>
        <v>0</v>
      </c>
      <c r="AF2138" s="11">
        <f t="shared" si="1050"/>
        <v>0</v>
      </c>
    </row>
    <row r="2139" spans="1:32" x14ac:dyDescent="0.15">
      <c r="A2139" s="27" t="s">
        <v>207</v>
      </c>
      <c r="B2139" s="8"/>
      <c r="C2139" s="9">
        <v>1</v>
      </c>
      <c r="D2139" s="10"/>
      <c r="E2139" s="11">
        <f t="shared" si="1059"/>
        <v>1</v>
      </c>
      <c r="F2139" s="12"/>
      <c r="G2139" s="9">
        <v>1</v>
      </c>
      <c r="H2139" s="10"/>
      <c r="I2139" s="11">
        <f t="shared" si="1060"/>
        <v>1</v>
      </c>
      <c r="J2139" s="11">
        <f t="shared" si="1054"/>
        <v>2</v>
      </c>
      <c r="K2139" s="71">
        <v>44718</v>
      </c>
      <c r="L2139" s="26"/>
      <c r="M2139" s="8"/>
      <c r="N2139" s="9"/>
      <c r="O2139" s="10"/>
      <c r="P2139" s="11">
        <f t="shared" si="1055"/>
        <v>0</v>
      </c>
      <c r="Q2139" s="12"/>
      <c r="R2139" s="9"/>
      <c r="S2139" s="10"/>
      <c r="T2139" s="11">
        <f t="shared" si="1056"/>
        <v>0</v>
      </c>
      <c r="U2139" s="11">
        <f t="shared" si="1051"/>
        <v>0</v>
      </c>
      <c r="V2139" s="160"/>
      <c r="W2139" s="26"/>
      <c r="X2139" s="8"/>
      <c r="Y2139" s="9"/>
      <c r="Z2139" s="10"/>
      <c r="AA2139" s="11">
        <f t="shared" si="1057"/>
        <v>0</v>
      </c>
      <c r="AB2139" s="12"/>
      <c r="AC2139" s="9"/>
      <c r="AD2139" s="10"/>
      <c r="AE2139" s="11">
        <f t="shared" si="1058"/>
        <v>0</v>
      </c>
      <c r="AF2139" s="11">
        <f t="shared" si="1050"/>
        <v>0</v>
      </c>
    </row>
    <row r="2140" spans="1:32" x14ac:dyDescent="0.15">
      <c r="A2140" s="27" t="s">
        <v>207</v>
      </c>
      <c r="B2140" s="8"/>
      <c r="C2140" s="9">
        <v>2</v>
      </c>
      <c r="D2140" s="10"/>
      <c r="E2140" s="11">
        <f t="shared" si="1059"/>
        <v>2</v>
      </c>
      <c r="F2140" s="12"/>
      <c r="G2140" s="9"/>
      <c r="H2140" s="10"/>
      <c r="I2140" s="11">
        <f t="shared" si="1060"/>
        <v>0</v>
      </c>
      <c r="J2140" s="11">
        <f t="shared" si="1054"/>
        <v>2</v>
      </c>
      <c r="K2140" s="71">
        <v>44725</v>
      </c>
      <c r="L2140" s="26"/>
      <c r="M2140" s="8"/>
      <c r="N2140" s="9"/>
      <c r="O2140" s="10"/>
      <c r="P2140" s="11">
        <f t="shared" si="1055"/>
        <v>0</v>
      </c>
      <c r="Q2140" s="12"/>
      <c r="R2140" s="9"/>
      <c r="S2140" s="10"/>
      <c r="T2140" s="11">
        <f t="shared" si="1056"/>
        <v>0</v>
      </c>
      <c r="U2140" s="11">
        <f t="shared" si="1051"/>
        <v>0</v>
      </c>
      <c r="V2140" s="160"/>
      <c r="W2140" s="26"/>
      <c r="X2140" s="8"/>
      <c r="Y2140" s="9"/>
      <c r="Z2140" s="10"/>
      <c r="AA2140" s="11">
        <f t="shared" si="1057"/>
        <v>0</v>
      </c>
      <c r="AB2140" s="12"/>
      <c r="AC2140" s="9"/>
      <c r="AD2140" s="10"/>
      <c r="AE2140" s="11">
        <f t="shared" si="1058"/>
        <v>0</v>
      </c>
      <c r="AF2140" s="11">
        <f t="shared" si="1050"/>
        <v>0</v>
      </c>
    </row>
    <row r="2141" spans="1:32" x14ac:dyDescent="0.15">
      <c r="A2141" s="27" t="s">
        <v>207</v>
      </c>
      <c r="B2141" s="8"/>
      <c r="C2141" s="9">
        <v>2</v>
      </c>
      <c r="D2141" s="10"/>
      <c r="E2141" s="11">
        <f t="shared" si="1059"/>
        <v>2</v>
      </c>
      <c r="F2141" s="12"/>
      <c r="G2141" s="9"/>
      <c r="H2141" s="10"/>
      <c r="I2141" s="11">
        <f t="shared" si="1060"/>
        <v>0</v>
      </c>
      <c r="J2141" s="11">
        <f t="shared" si="1054"/>
        <v>2</v>
      </c>
      <c r="K2141" s="71">
        <v>44726</v>
      </c>
      <c r="L2141" s="27"/>
      <c r="M2141" s="8"/>
      <c r="N2141" s="9"/>
      <c r="O2141" s="10"/>
      <c r="P2141" s="11">
        <f t="shared" si="1055"/>
        <v>0</v>
      </c>
      <c r="Q2141" s="12"/>
      <c r="R2141" s="9"/>
      <c r="S2141" s="10"/>
      <c r="T2141" s="11">
        <f t="shared" si="1056"/>
        <v>0</v>
      </c>
      <c r="U2141" s="11">
        <f t="shared" si="1051"/>
        <v>0</v>
      </c>
      <c r="V2141" s="160"/>
      <c r="W2141" s="27"/>
      <c r="X2141" s="8"/>
      <c r="Y2141" s="9"/>
      <c r="Z2141" s="10"/>
      <c r="AA2141" s="11">
        <f t="shared" si="1057"/>
        <v>0</v>
      </c>
      <c r="AB2141" s="12"/>
      <c r="AC2141" s="9"/>
      <c r="AD2141" s="10"/>
      <c r="AE2141" s="11">
        <f t="shared" si="1058"/>
        <v>0</v>
      </c>
      <c r="AF2141" s="11">
        <f t="shared" si="1050"/>
        <v>0</v>
      </c>
    </row>
    <row r="2142" spans="1:32" x14ac:dyDescent="0.15">
      <c r="A2142" s="27" t="s">
        <v>207</v>
      </c>
      <c r="B2142" s="13"/>
      <c r="C2142" s="14">
        <v>2</v>
      </c>
      <c r="D2142" s="15"/>
      <c r="E2142" s="11">
        <f t="shared" si="1059"/>
        <v>2</v>
      </c>
      <c r="F2142" s="16"/>
      <c r="G2142" s="14">
        <v>2</v>
      </c>
      <c r="H2142" s="15"/>
      <c r="I2142" s="11">
        <f t="shared" si="1060"/>
        <v>2</v>
      </c>
      <c r="J2142" s="11">
        <f t="shared" si="1054"/>
        <v>4</v>
      </c>
      <c r="K2142" s="65">
        <v>44729</v>
      </c>
      <c r="L2142" s="27"/>
      <c r="M2142" s="13"/>
      <c r="N2142" s="14"/>
      <c r="O2142" s="15"/>
      <c r="P2142" s="11">
        <f t="shared" si="1055"/>
        <v>0</v>
      </c>
      <c r="Q2142" s="16"/>
      <c r="R2142" s="14"/>
      <c r="S2142" s="15"/>
      <c r="T2142" s="11">
        <f t="shared" si="1056"/>
        <v>0</v>
      </c>
      <c r="U2142" s="11">
        <f t="shared" si="1051"/>
        <v>0</v>
      </c>
      <c r="V2142" s="159"/>
      <c r="W2142" s="27"/>
      <c r="X2142" s="13"/>
      <c r="Y2142" s="14"/>
      <c r="Z2142" s="15"/>
      <c r="AA2142" s="11">
        <f t="shared" si="1057"/>
        <v>0</v>
      </c>
      <c r="AB2142" s="16"/>
      <c r="AC2142" s="14"/>
      <c r="AD2142" s="15"/>
      <c r="AE2142" s="11">
        <f t="shared" si="1058"/>
        <v>0</v>
      </c>
      <c r="AF2142" s="11">
        <f t="shared" si="1050"/>
        <v>0</v>
      </c>
    </row>
    <row r="2143" spans="1:32" x14ac:dyDescent="0.15">
      <c r="A2143" s="27" t="s">
        <v>207</v>
      </c>
      <c r="B2143" s="8"/>
      <c r="C2143" s="9"/>
      <c r="D2143" s="10"/>
      <c r="E2143" s="11">
        <f t="shared" si="1059"/>
        <v>0</v>
      </c>
      <c r="F2143" s="12">
        <v>1</v>
      </c>
      <c r="G2143" s="9"/>
      <c r="H2143" s="10"/>
      <c r="I2143" s="11">
        <f t="shared" si="1060"/>
        <v>1</v>
      </c>
      <c r="J2143" s="11">
        <f t="shared" si="1054"/>
        <v>1</v>
      </c>
      <c r="K2143" s="71">
        <v>44733</v>
      </c>
      <c r="L2143" s="6"/>
      <c r="M2143" s="13"/>
      <c r="N2143" s="14"/>
      <c r="O2143" s="15"/>
      <c r="P2143" s="11">
        <f t="shared" si="1055"/>
        <v>0</v>
      </c>
      <c r="Q2143" s="16"/>
      <c r="R2143" s="14"/>
      <c r="S2143" s="15"/>
      <c r="T2143" s="11">
        <f t="shared" si="1056"/>
        <v>0</v>
      </c>
      <c r="U2143" s="11">
        <f t="shared" si="1051"/>
        <v>0</v>
      </c>
      <c r="V2143" s="159"/>
      <c r="W2143" s="86"/>
      <c r="X2143" s="13"/>
      <c r="Y2143" s="14"/>
      <c r="Z2143" s="15"/>
      <c r="AA2143" s="11">
        <f t="shared" si="1057"/>
        <v>0</v>
      </c>
      <c r="AB2143" s="16"/>
      <c r="AC2143" s="14"/>
      <c r="AD2143" s="15"/>
      <c r="AE2143" s="11">
        <f t="shared" si="1058"/>
        <v>0</v>
      </c>
      <c r="AF2143" s="11">
        <f t="shared" si="1050"/>
        <v>0</v>
      </c>
    </row>
    <row r="2144" spans="1:32" x14ac:dyDescent="0.15">
      <c r="A2144" s="27" t="s">
        <v>207</v>
      </c>
      <c r="B2144" s="8">
        <v>2</v>
      </c>
      <c r="C2144" s="9"/>
      <c r="D2144" s="10"/>
      <c r="E2144" s="11">
        <f t="shared" si="1059"/>
        <v>2</v>
      </c>
      <c r="F2144" s="12">
        <v>2</v>
      </c>
      <c r="G2144" s="9"/>
      <c r="H2144" s="10"/>
      <c r="I2144" s="11">
        <f t="shared" si="1060"/>
        <v>2</v>
      </c>
      <c r="J2144" s="11">
        <f t="shared" si="1054"/>
        <v>4</v>
      </c>
      <c r="K2144" s="71">
        <v>44735</v>
      </c>
      <c r="L2144" s="86"/>
      <c r="M2144" s="13"/>
      <c r="N2144" s="14"/>
      <c r="O2144" s="15"/>
      <c r="P2144" s="11">
        <f t="shared" si="1055"/>
        <v>0</v>
      </c>
      <c r="Q2144" s="16"/>
      <c r="R2144" s="14"/>
      <c r="S2144" s="15"/>
      <c r="T2144" s="11">
        <f t="shared" si="1056"/>
        <v>0</v>
      </c>
      <c r="U2144" s="11">
        <f t="shared" si="1051"/>
        <v>0</v>
      </c>
      <c r="V2144" s="159"/>
      <c r="W2144" s="86"/>
      <c r="X2144" s="13"/>
      <c r="Y2144" s="14"/>
      <c r="Z2144" s="15"/>
      <c r="AA2144" s="11">
        <f t="shared" si="1057"/>
        <v>0</v>
      </c>
      <c r="AB2144" s="16"/>
      <c r="AC2144" s="14"/>
      <c r="AD2144" s="15"/>
      <c r="AE2144" s="11">
        <f t="shared" si="1058"/>
        <v>0</v>
      </c>
      <c r="AF2144" s="11">
        <f t="shared" si="1050"/>
        <v>0</v>
      </c>
    </row>
    <row r="2145" spans="1:32" x14ac:dyDescent="0.15">
      <c r="A2145" s="27" t="s">
        <v>207</v>
      </c>
      <c r="B2145" s="8">
        <v>2</v>
      </c>
      <c r="C2145" s="9"/>
      <c r="D2145" s="10"/>
      <c r="E2145" s="11">
        <f t="shared" si="1059"/>
        <v>2</v>
      </c>
      <c r="F2145" s="12"/>
      <c r="G2145" s="9"/>
      <c r="H2145" s="10"/>
      <c r="I2145" s="11">
        <f t="shared" si="1060"/>
        <v>0</v>
      </c>
      <c r="J2145" s="11">
        <f t="shared" si="1054"/>
        <v>2</v>
      </c>
      <c r="K2145" s="71">
        <v>44739</v>
      </c>
      <c r="L2145" s="27"/>
      <c r="M2145" s="13"/>
      <c r="N2145" s="14"/>
      <c r="O2145" s="15"/>
      <c r="P2145" s="11">
        <f t="shared" si="1055"/>
        <v>0</v>
      </c>
      <c r="Q2145" s="16"/>
      <c r="R2145" s="14"/>
      <c r="S2145" s="15"/>
      <c r="T2145" s="11">
        <f t="shared" si="1056"/>
        <v>0</v>
      </c>
      <c r="U2145" s="11">
        <f t="shared" si="1051"/>
        <v>0</v>
      </c>
      <c r="V2145" s="159"/>
      <c r="W2145" s="86"/>
      <c r="X2145" s="13"/>
      <c r="Y2145" s="14"/>
      <c r="Z2145" s="15"/>
      <c r="AA2145" s="11">
        <f t="shared" si="1057"/>
        <v>0</v>
      </c>
      <c r="AB2145" s="16"/>
      <c r="AC2145" s="14"/>
      <c r="AD2145" s="15"/>
      <c r="AE2145" s="11">
        <f t="shared" si="1058"/>
        <v>0</v>
      </c>
      <c r="AF2145" s="11">
        <f t="shared" si="1050"/>
        <v>0</v>
      </c>
    </row>
    <row r="2146" spans="1:32" ht="14.25" thickBot="1" x14ac:dyDescent="0.2">
      <c r="A2146" s="27" t="s">
        <v>207</v>
      </c>
      <c r="B2146" s="8"/>
      <c r="C2146" s="9">
        <v>2</v>
      </c>
      <c r="D2146" s="10"/>
      <c r="E2146" s="11">
        <f t="shared" si="1059"/>
        <v>2</v>
      </c>
      <c r="F2146" s="12"/>
      <c r="G2146" s="9"/>
      <c r="H2146" s="10"/>
      <c r="I2146" s="11">
        <f t="shared" si="1060"/>
        <v>0</v>
      </c>
      <c r="J2146" s="11">
        <f t="shared" si="1054"/>
        <v>2</v>
      </c>
      <c r="K2146" s="71">
        <v>44744</v>
      </c>
      <c r="L2146" s="27"/>
      <c r="M2146" s="13"/>
      <c r="N2146" s="14"/>
      <c r="O2146" s="15"/>
      <c r="P2146" s="11">
        <f t="shared" si="1055"/>
        <v>0</v>
      </c>
      <c r="Q2146" s="16"/>
      <c r="R2146" s="14"/>
      <c r="S2146" s="15"/>
      <c r="T2146" s="11">
        <f t="shared" si="1056"/>
        <v>0</v>
      </c>
      <c r="U2146" s="11">
        <f t="shared" si="1051"/>
        <v>0</v>
      </c>
      <c r="V2146" s="159"/>
      <c r="W2146" s="86"/>
      <c r="X2146" s="13"/>
      <c r="Y2146" s="14"/>
      <c r="Z2146" s="15"/>
      <c r="AA2146" s="11">
        <f t="shared" si="1057"/>
        <v>0</v>
      </c>
      <c r="AB2146" s="16"/>
      <c r="AC2146" s="14"/>
      <c r="AD2146" s="15"/>
      <c r="AE2146" s="11">
        <f t="shared" si="1058"/>
        <v>0</v>
      </c>
      <c r="AF2146" s="11">
        <f t="shared" si="1050"/>
        <v>0</v>
      </c>
    </row>
    <row r="2147" spans="1:32" ht="14.25" thickBot="1" x14ac:dyDescent="0.2">
      <c r="A2147" s="44" t="s">
        <v>13</v>
      </c>
      <c r="B2147" s="48">
        <f t="shared" ref="B2147:I2147" si="1061">SUM(B2121:B2146)</f>
        <v>16</v>
      </c>
      <c r="C2147" s="49">
        <f t="shared" si="1061"/>
        <v>16</v>
      </c>
      <c r="D2147" s="163">
        <f t="shared" si="1061"/>
        <v>2</v>
      </c>
      <c r="E2147" s="46">
        <f t="shared" si="1061"/>
        <v>34</v>
      </c>
      <c r="F2147" s="48">
        <f t="shared" si="1061"/>
        <v>11</v>
      </c>
      <c r="G2147" s="49">
        <f t="shared" si="1061"/>
        <v>15</v>
      </c>
      <c r="H2147" s="163">
        <f t="shared" si="1061"/>
        <v>7</v>
      </c>
      <c r="I2147" s="46">
        <f t="shared" si="1061"/>
        <v>33</v>
      </c>
      <c r="J2147" s="35">
        <f>E2147+I2147</f>
        <v>67</v>
      </c>
      <c r="L2147" s="44" t="s">
        <v>13</v>
      </c>
      <c r="M2147" s="48">
        <f t="shared" ref="M2147:T2147" si="1062">SUM(M2121:M2146)</f>
        <v>102</v>
      </c>
      <c r="N2147" s="162">
        <f t="shared" si="1062"/>
        <v>58</v>
      </c>
      <c r="O2147" s="163">
        <f t="shared" si="1062"/>
        <v>0</v>
      </c>
      <c r="P2147" s="46">
        <f t="shared" si="1062"/>
        <v>160</v>
      </c>
      <c r="Q2147" s="48">
        <f t="shared" si="1062"/>
        <v>36</v>
      </c>
      <c r="R2147" s="49">
        <f t="shared" si="1062"/>
        <v>56</v>
      </c>
      <c r="S2147" s="163">
        <f t="shared" si="1062"/>
        <v>8</v>
      </c>
      <c r="T2147" s="46">
        <f t="shared" si="1062"/>
        <v>100</v>
      </c>
      <c r="U2147" s="35">
        <f>P2147+T2147</f>
        <v>260</v>
      </c>
      <c r="V2147" s="160"/>
      <c r="W2147" s="44" t="s">
        <v>13</v>
      </c>
      <c r="X2147" s="48">
        <f t="shared" ref="X2147:AE2147" si="1063">SUM(X2121:X2146)</f>
        <v>0</v>
      </c>
      <c r="Y2147" s="49">
        <f t="shared" si="1063"/>
        <v>0</v>
      </c>
      <c r="Z2147" s="50">
        <f t="shared" si="1063"/>
        <v>0</v>
      </c>
      <c r="AA2147" s="46">
        <f t="shared" si="1063"/>
        <v>0</v>
      </c>
      <c r="AB2147" s="48">
        <f t="shared" si="1063"/>
        <v>0</v>
      </c>
      <c r="AC2147" s="49">
        <f t="shared" si="1063"/>
        <v>0</v>
      </c>
      <c r="AD2147" s="50">
        <f t="shared" si="1063"/>
        <v>0</v>
      </c>
      <c r="AE2147" s="46">
        <f t="shared" si="1063"/>
        <v>0</v>
      </c>
      <c r="AF2147" s="35">
        <f>AA2147+AE2147</f>
        <v>0</v>
      </c>
    </row>
    <row r="2148" spans="1:32" ht="14.25" thickBot="1" x14ac:dyDescent="0.2">
      <c r="A2148" s="23" t="s">
        <v>14</v>
      </c>
      <c r="B2148" s="24">
        <f t="shared" ref="B2148:J2148" si="1064">B2120-B2147</f>
        <v>6</v>
      </c>
      <c r="C2148" s="25">
        <f t="shared" si="1064"/>
        <v>2</v>
      </c>
      <c r="D2148" s="165">
        <f t="shared" si="1064"/>
        <v>0</v>
      </c>
      <c r="E2148" s="51">
        <f t="shared" si="1064"/>
        <v>8</v>
      </c>
      <c r="F2148" s="24">
        <f t="shared" si="1064"/>
        <v>6</v>
      </c>
      <c r="G2148" s="25">
        <f t="shared" si="1064"/>
        <v>8</v>
      </c>
      <c r="H2148" s="165">
        <f t="shared" si="1064"/>
        <v>0</v>
      </c>
      <c r="I2148" s="47">
        <f t="shared" si="1064"/>
        <v>14</v>
      </c>
      <c r="J2148" s="79">
        <f t="shared" si="1064"/>
        <v>22</v>
      </c>
      <c r="L2148" s="23" t="s">
        <v>14</v>
      </c>
      <c r="M2148" s="24">
        <f t="shared" ref="M2148:U2148" si="1065">M2120-M2147</f>
        <v>126</v>
      </c>
      <c r="N2148" s="164">
        <f t="shared" si="1065"/>
        <v>0</v>
      </c>
      <c r="O2148" s="165">
        <f t="shared" si="1065"/>
        <v>0</v>
      </c>
      <c r="P2148" s="51">
        <f t="shared" si="1065"/>
        <v>126</v>
      </c>
      <c r="Q2148" s="24">
        <f t="shared" si="1065"/>
        <v>140</v>
      </c>
      <c r="R2148" s="25">
        <f t="shared" si="1065"/>
        <v>31</v>
      </c>
      <c r="S2148" s="165">
        <f t="shared" si="1065"/>
        <v>0</v>
      </c>
      <c r="T2148" s="47">
        <f t="shared" si="1065"/>
        <v>171</v>
      </c>
      <c r="U2148" s="79">
        <f t="shared" si="1065"/>
        <v>297</v>
      </c>
      <c r="W2148" s="23" t="s">
        <v>14</v>
      </c>
      <c r="X2148" s="24">
        <f t="shared" ref="X2148:AF2148" si="1066">X2120-X2147</f>
        <v>0</v>
      </c>
      <c r="Y2148" s="25">
        <f t="shared" si="1066"/>
        <v>0</v>
      </c>
      <c r="Z2148" s="30">
        <f t="shared" si="1066"/>
        <v>0</v>
      </c>
      <c r="AA2148" s="51">
        <f t="shared" si="1066"/>
        <v>0</v>
      </c>
      <c r="AB2148" s="24">
        <f t="shared" si="1066"/>
        <v>0</v>
      </c>
      <c r="AC2148" s="25">
        <f t="shared" si="1066"/>
        <v>0</v>
      </c>
      <c r="AD2148" s="30">
        <f t="shared" si="1066"/>
        <v>0</v>
      </c>
      <c r="AE2148" s="47">
        <f t="shared" si="1066"/>
        <v>0</v>
      </c>
      <c r="AF2148" s="79">
        <f t="shared" si="1066"/>
        <v>0</v>
      </c>
    </row>
    <row r="2151" spans="1:32" ht="19.5" thickBot="1" x14ac:dyDescent="0.25">
      <c r="A2151" s="142" t="s">
        <v>850</v>
      </c>
      <c r="B2151" s="143"/>
      <c r="C2151" s="143"/>
      <c r="D2151" s="143"/>
      <c r="E2151" s="143"/>
      <c r="F2151" s="1"/>
      <c r="G2151" s="1"/>
      <c r="H2151" s="1"/>
      <c r="I2151" s="1"/>
      <c r="J2151" s="1"/>
      <c r="L2151" s="148" t="s">
        <v>851</v>
      </c>
      <c r="M2151" s="149"/>
      <c r="N2151" s="149"/>
      <c r="O2151" s="149"/>
      <c r="P2151" s="149"/>
      <c r="Q2151" s="2"/>
      <c r="R2151" s="1"/>
      <c r="S2151" s="1"/>
      <c r="T2151" s="1"/>
      <c r="U2151" s="1"/>
      <c r="W2151" s="150" t="s">
        <v>765</v>
      </c>
      <c r="X2151" s="151"/>
      <c r="Y2151" s="151"/>
      <c r="Z2151" s="151"/>
      <c r="AA2151" s="106"/>
      <c r="AB2151" s="1"/>
      <c r="AC2151" s="1"/>
      <c r="AD2151" s="1"/>
      <c r="AE2151" s="1"/>
      <c r="AF2151" s="1"/>
    </row>
    <row r="2152" spans="1:32" ht="14.25" thickBot="1" x14ac:dyDescent="0.2">
      <c r="A2152" s="7" t="s">
        <v>0</v>
      </c>
      <c r="B2152" s="168" t="s">
        <v>1</v>
      </c>
      <c r="C2152" s="169"/>
      <c r="D2152" s="169"/>
      <c r="E2152" s="170"/>
      <c r="F2152" s="168" t="s">
        <v>2</v>
      </c>
      <c r="G2152" s="169"/>
      <c r="H2152" s="169"/>
      <c r="I2152" s="171"/>
      <c r="J2152" s="172" t="s">
        <v>3</v>
      </c>
      <c r="L2152" s="7" t="s">
        <v>0</v>
      </c>
      <c r="M2152" s="174" t="s">
        <v>1</v>
      </c>
      <c r="N2152" s="175"/>
      <c r="O2152" s="176"/>
      <c r="P2152" s="101"/>
      <c r="Q2152" s="174" t="s">
        <v>2</v>
      </c>
      <c r="R2152" s="175"/>
      <c r="S2152" s="176"/>
      <c r="T2152" s="102"/>
      <c r="U2152" s="103" t="s">
        <v>3</v>
      </c>
      <c r="W2152" s="7" t="s">
        <v>0</v>
      </c>
      <c r="X2152" s="174" t="s">
        <v>1</v>
      </c>
      <c r="Y2152" s="175"/>
      <c r="Z2152" s="176"/>
      <c r="AA2152" s="101"/>
      <c r="AB2152" s="174" t="s">
        <v>2</v>
      </c>
      <c r="AC2152" s="175"/>
      <c r="AD2152" s="176"/>
      <c r="AE2152" s="102"/>
      <c r="AF2152" s="103" t="s">
        <v>3</v>
      </c>
    </row>
    <row r="2153" spans="1:32" ht="14.25" thickBot="1" x14ac:dyDescent="0.2">
      <c r="A2153" s="7" t="s">
        <v>4</v>
      </c>
      <c r="B2153" s="3" t="s">
        <v>5</v>
      </c>
      <c r="C2153" s="4" t="s">
        <v>6</v>
      </c>
      <c r="D2153" s="5" t="s">
        <v>7</v>
      </c>
      <c r="E2153" s="7" t="s">
        <v>8</v>
      </c>
      <c r="F2153" s="3" t="s">
        <v>5</v>
      </c>
      <c r="G2153" s="4" t="s">
        <v>6</v>
      </c>
      <c r="H2153" s="5" t="s">
        <v>7</v>
      </c>
      <c r="I2153" s="7" t="s">
        <v>8</v>
      </c>
      <c r="J2153" s="173"/>
      <c r="L2153" s="7" t="s">
        <v>4</v>
      </c>
      <c r="M2153" s="3" t="s">
        <v>5</v>
      </c>
      <c r="N2153" s="4" t="s">
        <v>6</v>
      </c>
      <c r="O2153" s="5" t="s">
        <v>7</v>
      </c>
      <c r="P2153" s="7" t="s">
        <v>8</v>
      </c>
      <c r="Q2153" s="107" t="s">
        <v>5</v>
      </c>
      <c r="R2153" s="108" t="s">
        <v>6</v>
      </c>
      <c r="S2153" s="109" t="s">
        <v>7</v>
      </c>
      <c r="T2153" s="7" t="s">
        <v>8</v>
      </c>
      <c r="U2153" s="104"/>
      <c r="W2153" s="7" t="s">
        <v>4</v>
      </c>
      <c r="X2153" s="3" t="s">
        <v>5</v>
      </c>
      <c r="Y2153" s="4" t="s">
        <v>6</v>
      </c>
      <c r="Z2153" s="5" t="s">
        <v>7</v>
      </c>
      <c r="AA2153" s="7" t="s">
        <v>8</v>
      </c>
      <c r="AB2153" s="107" t="s">
        <v>5</v>
      </c>
      <c r="AC2153" s="108" t="s">
        <v>6</v>
      </c>
      <c r="AD2153" s="109" t="s">
        <v>7</v>
      </c>
      <c r="AE2153" s="7" t="s">
        <v>8</v>
      </c>
      <c r="AF2153" s="104"/>
    </row>
    <row r="2154" spans="1:32" ht="14.25" thickBot="1" x14ac:dyDescent="0.2">
      <c r="A2154" s="31" t="s">
        <v>14</v>
      </c>
      <c r="B2154" s="32">
        <f>B2148</f>
        <v>6</v>
      </c>
      <c r="C2154" s="33">
        <f>C2148</f>
        <v>2</v>
      </c>
      <c r="D2154" s="34">
        <f>D2148</f>
        <v>0</v>
      </c>
      <c r="E2154" s="41">
        <f>SUM(B2154:D2154)</f>
        <v>8</v>
      </c>
      <c r="F2154" s="32">
        <f>F2148</f>
        <v>6</v>
      </c>
      <c r="G2154" s="33">
        <f>G2148</f>
        <v>8</v>
      </c>
      <c r="H2154" s="34">
        <f>H2148</f>
        <v>0</v>
      </c>
      <c r="I2154" s="41">
        <f>SUM(F2154:H2154)</f>
        <v>14</v>
      </c>
      <c r="J2154" s="41">
        <f>E2154+I2154</f>
        <v>22</v>
      </c>
      <c r="L2154" s="31" t="s">
        <v>14</v>
      </c>
      <c r="M2154" s="32">
        <f>M2148</f>
        <v>126</v>
      </c>
      <c r="N2154" s="33">
        <f>N2148</f>
        <v>0</v>
      </c>
      <c r="O2154" s="33">
        <f>O2148</f>
        <v>0</v>
      </c>
      <c r="P2154" s="111">
        <f>SUM(M2154:O2154)</f>
        <v>126</v>
      </c>
      <c r="Q2154" s="32">
        <f>Q2148</f>
        <v>140</v>
      </c>
      <c r="R2154" s="33">
        <f>R2148</f>
        <v>31</v>
      </c>
      <c r="S2154" s="95">
        <f>S2148</f>
        <v>0</v>
      </c>
      <c r="T2154" s="46">
        <f>SUM(Q2154:S2154)</f>
        <v>171</v>
      </c>
      <c r="U2154" s="35">
        <f>P2154+T2154</f>
        <v>297</v>
      </c>
      <c r="W2154" s="31" t="s">
        <v>14</v>
      </c>
      <c r="X2154" s="32">
        <f>X2148</f>
        <v>0</v>
      </c>
      <c r="Y2154" s="33">
        <f>Y2148</f>
        <v>0</v>
      </c>
      <c r="Z2154" s="33">
        <f>Z2148</f>
        <v>0</v>
      </c>
      <c r="AA2154" s="111">
        <f>SUM(X2154:Z2154)</f>
        <v>0</v>
      </c>
      <c r="AB2154" s="32">
        <f>AB2148</f>
        <v>0</v>
      </c>
      <c r="AC2154" s="33">
        <f>AC2148</f>
        <v>0</v>
      </c>
      <c r="AD2154" s="95">
        <f>AD2148</f>
        <v>0</v>
      </c>
      <c r="AE2154" s="46">
        <f>SUM(AB2154:AD2154)</f>
        <v>0</v>
      </c>
      <c r="AF2154" s="35">
        <f>AA2154+AE2154</f>
        <v>0</v>
      </c>
    </row>
    <row r="2155" spans="1:32" x14ac:dyDescent="0.15">
      <c r="A2155" s="28" t="s">
        <v>9</v>
      </c>
      <c r="B2155" s="17"/>
      <c r="C2155" s="18">
        <v>1</v>
      </c>
      <c r="D2155" s="19"/>
      <c r="E2155" s="20">
        <f>SUM(B2155:D2155)</f>
        <v>1</v>
      </c>
      <c r="F2155" s="21"/>
      <c r="G2155" s="18"/>
      <c r="H2155" s="19"/>
      <c r="I2155" s="20">
        <f>SUM(F2155:H2155)</f>
        <v>0</v>
      </c>
      <c r="J2155" s="20">
        <f>E2155+I2155</f>
        <v>1</v>
      </c>
      <c r="K2155" s="65"/>
      <c r="L2155" s="28" t="s">
        <v>9</v>
      </c>
      <c r="M2155" s="13">
        <v>4</v>
      </c>
      <c r="N2155" s="14"/>
      <c r="O2155" s="15"/>
      <c r="P2155" s="11">
        <f t="shared" ref="P2155" si="1067">SUM(M2155:O2155)</f>
        <v>4</v>
      </c>
      <c r="Q2155" s="16"/>
      <c r="R2155" s="14">
        <v>4</v>
      </c>
      <c r="S2155" s="15"/>
      <c r="T2155" s="11">
        <f t="shared" ref="T2155" si="1068">SUM(Q2155:S2155)</f>
        <v>4</v>
      </c>
      <c r="U2155" s="11">
        <f t="shared" ref="U2155" si="1069">P2155+T2155</f>
        <v>8</v>
      </c>
      <c r="V2155" s="71">
        <v>44793</v>
      </c>
      <c r="W2155" s="28"/>
      <c r="X2155" s="8"/>
      <c r="Y2155" s="9"/>
      <c r="Z2155" s="10"/>
      <c r="AA2155" s="78">
        <f t="shared" ref="AA2155:AA2162" si="1070">SUM(X2155:Z2155)</f>
        <v>0</v>
      </c>
      <c r="AB2155" s="21"/>
      <c r="AC2155" s="18"/>
      <c r="AD2155" s="19"/>
      <c r="AE2155" s="78">
        <f t="shared" ref="AE2155:AE2162" si="1071">SUM(AB2155:AD2155)</f>
        <v>0</v>
      </c>
      <c r="AF2155" s="78">
        <f t="shared" ref="AF2155:AF2162" si="1072">AA2155+AE2155</f>
        <v>0</v>
      </c>
    </row>
    <row r="2156" spans="1:32" x14ac:dyDescent="0.15">
      <c r="A2156" s="28" t="s">
        <v>10</v>
      </c>
      <c r="B2156" s="8"/>
      <c r="C2156" s="9"/>
      <c r="D2156" s="10"/>
      <c r="E2156" s="11">
        <f t="shared" ref="E2156:E2162" si="1073">SUM(B2156:D2156)</f>
        <v>0</v>
      </c>
      <c r="F2156" s="12">
        <v>2</v>
      </c>
      <c r="G2156" s="9"/>
      <c r="H2156" s="10"/>
      <c r="I2156" s="11">
        <f t="shared" ref="I2156:I2162" si="1074">SUM(F2156:H2156)</f>
        <v>2</v>
      </c>
      <c r="J2156" s="11">
        <f t="shared" ref="J2156:J2162" si="1075">E2156+I2156</f>
        <v>2</v>
      </c>
      <c r="K2156" s="65">
        <v>44791</v>
      </c>
      <c r="L2156" s="28" t="s">
        <v>10</v>
      </c>
      <c r="M2156" s="8"/>
      <c r="N2156" s="9"/>
      <c r="O2156" s="10"/>
      <c r="P2156" s="11">
        <f t="shared" ref="P2156:P2162" si="1076">SUM(M2156:O2156)</f>
        <v>0</v>
      </c>
      <c r="Q2156" s="12"/>
      <c r="R2156" s="9"/>
      <c r="S2156" s="10"/>
      <c r="T2156" s="11">
        <f>SUM(Q2156:S2156)</f>
        <v>0</v>
      </c>
      <c r="U2156" s="11">
        <f t="shared" ref="U2156:U2162" si="1077">P2156+T2156</f>
        <v>0</v>
      </c>
      <c r="V2156" s="65"/>
      <c r="W2156" s="28"/>
      <c r="X2156" s="8"/>
      <c r="Y2156" s="9"/>
      <c r="Z2156" s="10"/>
      <c r="AA2156" s="11">
        <f t="shared" si="1070"/>
        <v>0</v>
      </c>
      <c r="AB2156" s="12"/>
      <c r="AC2156" s="9"/>
      <c r="AD2156" s="10"/>
      <c r="AE2156" s="11">
        <f t="shared" si="1071"/>
        <v>0</v>
      </c>
      <c r="AF2156" s="11">
        <f t="shared" si="1072"/>
        <v>0</v>
      </c>
    </row>
    <row r="2157" spans="1:32" x14ac:dyDescent="0.15">
      <c r="A2157" s="28" t="s">
        <v>11</v>
      </c>
      <c r="B2157" s="8"/>
      <c r="C2157" s="9"/>
      <c r="D2157" s="10"/>
      <c r="E2157" s="11">
        <f t="shared" si="1073"/>
        <v>0</v>
      </c>
      <c r="F2157" s="12">
        <v>2</v>
      </c>
      <c r="G2157" s="9"/>
      <c r="H2157" s="10"/>
      <c r="I2157" s="11">
        <f t="shared" si="1074"/>
        <v>2</v>
      </c>
      <c r="J2157" s="11">
        <f t="shared" si="1075"/>
        <v>2</v>
      </c>
      <c r="K2157" s="65">
        <v>44792</v>
      </c>
      <c r="L2157" s="28" t="s">
        <v>11</v>
      </c>
      <c r="M2157" s="8"/>
      <c r="N2157" s="9"/>
      <c r="O2157" s="10"/>
      <c r="P2157" s="11">
        <f t="shared" si="1076"/>
        <v>0</v>
      </c>
      <c r="Q2157" s="12"/>
      <c r="R2157" s="9"/>
      <c r="S2157" s="10"/>
      <c r="T2157" s="11">
        <f t="shared" ref="T2157:T2162" si="1078">SUM(Q2157:S2157)</f>
        <v>0</v>
      </c>
      <c r="U2157" s="11">
        <f t="shared" si="1077"/>
        <v>0</v>
      </c>
      <c r="V2157" s="65"/>
      <c r="W2157" s="28"/>
      <c r="X2157" s="8"/>
      <c r="Y2157" s="9"/>
      <c r="Z2157" s="10"/>
      <c r="AA2157" s="11">
        <f t="shared" si="1070"/>
        <v>0</v>
      </c>
      <c r="AB2157" s="12"/>
      <c r="AC2157" s="9"/>
      <c r="AD2157" s="10"/>
      <c r="AE2157" s="11">
        <f t="shared" si="1071"/>
        <v>0</v>
      </c>
      <c r="AF2157" s="11">
        <f t="shared" si="1072"/>
        <v>0</v>
      </c>
    </row>
    <row r="2158" spans="1:32" x14ac:dyDescent="0.15">
      <c r="A2158" s="28" t="s">
        <v>12</v>
      </c>
      <c r="B2158" s="8"/>
      <c r="C2158" s="9"/>
      <c r="D2158" s="10"/>
      <c r="E2158" s="11">
        <f t="shared" si="1073"/>
        <v>0</v>
      </c>
      <c r="F2158" s="12"/>
      <c r="G2158" s="9"/>
      <c r="H2158" s="10"/>
      <c r="I2158" s="11">
        <f t="shared" si="1074"/>
        <v>0</v>
      </c>
      <c r="J2158" s="11">
        <f t="shared" si="1075"/>
        <v>0</v>
      </c>
      <c r="K2158" s="65"/>
      <c r="L2158" s="28" t="s">
        <v>12</v>
      </c>
      <c r="M2158" s="8"/>
      <c r="N2158" s="9"/>
      <c r="O2158" s="10"/>
      <c r="P2158" s="11">
        <f t="shared" si="1076"/>
        <v>0</v>
      </c>
      <c r="Q2158" s="12"/>
      <c r="R2158" s="9"/>
      <c r="S2158" s="10"/>
      <c r="T2158" s="11">
        <f t="shared" si="1078"/>
        <v>0</v>
      </c>
      <c r="U2158" s="11">
        <f t="shared" si="1077"/>
        <v>0</v>
      </c>
      <c r="V2158" s="71"/>
      <c r="W2158" s="28"/>
      <c r="X2158" s="8"/>
      <c r="Y2158" s="9"/>
      <c r="Z2158" s="10"/>
      <c r="AA2158" s="11">
        <f t="shared" si="1070"/>
        <v>0</v>
      </c>
      <c r="AB2158" s="12"/>
      <c r="AC2158" s="9"/>
      <c r="AD2158" s="10"/>
      <c r="AE2158" s="11">
        <f t="shared" si="1071"/>
        <v>0</v>
      </c>
      <c r="AF2158" s="11">
        <f t="shared" si="1072"/>
        <v>0</v>
      </c>
    </row>
    <row r="2159" spans="1:32" x14ac:dyDescent="0.15">
      <c r="A2159" s="28" t="s">
        <v>967</v>
      </c>
      <c r="B2159" s="8">
        <v>1</v>
      </c>
      <c r="C2159" s="9"/>
      <c r="D2159" s="10"/>
      <c r="E2159" s="11">
        <f t="shared" si="1073"/>
        <v>1</v>
      </c>
      <c r="F2159" s="12">
        <v>7</v>
      </c>
      <c r="G2159" s="9"/>
      <c r="H2159" s="10"/>
      <c r="I2159" s="11">
        <f t="shared" si="1074"/>
        <v>7</v>
      </c>
      <c r="J2159" s="11">
        <f t="shared" si="1075"/>
        <v>8</v>
      </c>
      <c r="K2159" s="65">
        <v>45141</v>
      </c>
      <c r="L2159" s="28" t="s">
        <v>15</v>
      </c>
      <c r="M2159" s="8"/>
      <c r="N2159" s="9"/>
      <c r="O2159" s="10"/>
      <c r="P2159" s="11">
        <f t="shared" si="1076"/>
        <v>0</v>
      </c>
      <c r="Q2159" s="12"/>
      <c r="R2159" s="9"/>
      <c r="S2159" s="10"/>
      <c r="T2159" s="11">
        <f t="shared" si="1078"/>
        <v>0</v>
      </c>
      <c r="U2159" s="11">
        <f t="shared" si="1077"/>
        <v>0</v>
      </c>
      <c r="V2159" s="65"/>
      <c r="W2159" s="28"/>
      <c r="X2159" s="8"/>
      <c r="Y2159" s="9"/>
      <c r="Z2159" s="10"/>
      <c r="AA2159" s="11">
        <f t="shared" si="1070"/>
        <v>0</v>
      </c>
      <c r="AB2159" s="12"/>
      <c r="AC2159" s="9"/>
      <c r="AD2159" s="10"/>
      <c r="AE2159" s="11">
        <f t="shared" si="1071"/>
        <v>0</v>
      </c>
      <c r="AF2159" s="11">
        <f t="shared" si="1072"/>
        <v>0</v>
      </c>
    </row>
    <row r="2160" spans="1:32" x14ac:dyDescent="0.15">
      <c r="A2160" s="28" t="s">
        <v>16</v>
      </c>
      <c r="B2160" s="8"/>
      <c r="C2160" s="9"/>
      <c r="D2160" s="10"/>
      <c r="E2160" s="11">
        <f t="shared" si="1073"/>
        <v>0</v>
      </c>
      <c r="F2160" s="12"/>
      <c r="G2160" s="9"/>
      <c r="H2160" s="10"/>
      <c r="I2160" s="11">
        <f t="shared" si="1074"/>
        <v>0</v>
      </c>
      <c r="J2160" s="11">
        <f t="shared" si="1075"/>
        <v>0</v>
      </c>
      <c r="K2160" s="65"/>
      <c r="L2160" s="28" t="s">
        <v>16</v>
      </c>
      <c r="M2160" s="8"/>
      <c r="N2160" s="9"/>
      <c r="O2160" s="10"/>
      <c r="P2160" s="11">
        <f t="shared" si="1076"/>
        <v>0</v>
      </c>
      <c r="Q2160" s="12"/>
      <c r="R2160" s="9"/>
      <c r="S2160" s="10"/>
      <c r="T2160" s="11">
        <f t="shared" si="1078"/>
        <v>0</v>
      </c>
      <c r="U2160" s="11">
        <f t="shared" si="1077"/>
        <v>0</v>
      </c>
      <c r="V2160" s="65"/>
      <c r="W2160" s="28"/>
      <c r="X2160" s="8"/>
      <c r="Y2160" s="9"/>
      <c r="Z2160" s="10"/>
      <c r="AA2160" s="11">
        <f t="shared" si="1070"/>
        <v>0</v>
      </c>
      <c r="AB2160" s="12"/>
      <c r="AC2160" s="9"/>
      <c r="AD2160" s="10"/>
      <c r="AE2160" s="11">
        <f t="shared" si="1071"/>
        <v>0</v>
      </c>
      <c r="AF2160" s="11">
        <f t="shared" si="1072"/>
        <v>0</v>
      </c>
    </row>
    <row r="2161" spans="1:32" x14ac:dyDescent="0.15">
      <c r="A2161" s="28" t="s">
        <v>17</v>
      </c>
      <c r="B2161" s="13"/>
      <c r="C2161" s="14"/>
      <c r="D2161" s="15"/>
      <c r="E2161" s="11">
        <f t="shared" si="1073"/>
        <v>0</v>
      </c>
      <c r="F2161" s="16"/>
      <c r="G2161" s="14"/>
      <c r="H2161" s="15"/>
      <c r="I2161" s="11">
        <f t="shared" si="1074"/>
        <v>0</v>
      </c>
      <c r="J2161" s="11">
        <f t="shared" si="1075"/>
        <v>0</v>
      </c>
      <c r="K2161" s="65"/>
      <c r="L2161" s="28" t="s">
        <v>17</v>
      </c>
      <c r="M2161" s="8"/>
      <c r="N2161" s="9"/>
      <c r="O2161" s="10"/>
      <c r="P2161" s="11">
        <f t="shared" si="1076"/>
        <v>0</v>
      </c>
      <c r="Q2161" s="12"/>
      <c r="R2161" s="12"/>
      <c r="S2161" s="87"/>
      <c r="T2161" s="11">
        <f t="shared" si="1078"/>
        <v>0</v>
      </c>
      <c r="U2161" s="11">
        <f t="shared" si="1077"/>
        <v>0</v>
      </c>
      <c r="V2161" s="126"/>
      <c r="W2161" s="28"/>
      <c r="X2161" s="8"/>
      <c r="Y2161" s="9"/>
      <c r="Z2161" s="10"/>
      <c r="AA2161" s="11">
        <f t="shared" si="1070"/>
        <v>0</v>
      </c>
      <c r="AB2161" s="12"/>
      <c r="AC2161" s="12"/>
      <c r="AD2161" s="87"/>
      <c r="AE2161" s="11">
        <f t="shared" si="1071"/>
        <v>0</v>
      </c>
      <c r="AF2161" s="11">
        <f t="shared" si="1072"/>
        <v>0</v>
      </c>
    </row>
    <row r="2162" spans="1:32" ht="14.25" thickBot="1" x14ac:dyDescent="0.2">
      <c r="A2162" s="28" t="s">
        <v>18</v>
      </c>
      <c r="B2162" s="36"/>
      <c r="C2162" s="37"/>
      <c r="D2162" s="40"/>
      <c r="E2162" s="22">
        <f t="shared" si="1073"/>
        <v>0</v>
      </c>
      <c r="F2162" s="38"/>
      <c r="G2162" s="38"/>
      <c r="H2162" s="43"/>
      <c r="I2162" s="22">
        <f t="shared" si="1074"/>
        <v>0</v>
      </c>
      <c r="J2162" s="22">
        <f t="shared" si="1075"/>
        <v>0</v>
      </c>
      <c r="K2162" s="65"/>
      <c r="L2162" s="28" t="s">
        <v>18</v>
      </c>
      <c r="M2162" s="127"/>
      <c r="N2162" s="128"/>
      <c r="O2162" s="129"/>
      <c r="P2162" s="130">
        <f t="shared" si="1076"/>
        <v>0</v>
      </c>
      <c r="Q2162" s="131"/>
      <c r="R2162" s="131"/>
      <c r="S2162" s="132"/>
      <c r="T2162" s="130">
        <f t="shared" si="1078"/>
        <v>0</v>
      </c>
      <c r="U2162" s="130">
        <f t="shared" si="1077"/>
        <v>0</v>
      </c>
      <c r="W2162" s="28"/>
      <c r="X2162" s="127"/>
      <c r="Y2162" s="128"/>
      <c r="Z2162" s="129"/>
      <c r="AA2162" s="130">
        <f t="shared" si="1070"/>
        <v>0</v>
      </c>
      <c r="AB2162" s="131"/>
      <c r="AC2162" s="131"/>
      <c r="AD2162" s="132"/>
      <c r="AE2162" s="130">
        <f t="shared" si="1071"/>
        <v>0</v>
      </c>
      <c r="AF2162" s="130">
        <f t="shared" si="1072"/>
        <v>0</v>
      </c>
    </row>
    <row r="2163" spans="1:32" ht="14.25" thickBot="1" x14ac:dyDescent="0.2">
      <c r="A2163" s="39" t="s">
        <v>20</v>
      </c>
      <c r="B2163" s="32">
        <f t="shared" ref="B2163:J2163" si="1079">SUM(B2154:B2162)</f>
        <v>7</v>
      </c>
      <c r="C2163" s="33">
        <f t="shared" si="1079"/>
        <v>3</v>
      </c>
      <c r="D2163" s="34">
        <f t="shared" si="1079"/>
        <v>0</v>
      </c>
      <c r="E2163" s="42">
        <f t="shared" si="1079"/>
        <v>10</v>
      </c>
      <c r="F2163" s="32">
        <f t="shared" si="1079"/>
        <v>17</v>
      </c>
      <c r="G2163" s="33">
        <f t="shared" si="1079"/>
        <v>8</v>
      </c>
      <c r="H2163" s="34">
        <f t="shared" si="1079"/>
        <v>0</v>
      </c>
      <c r="I2163" s="42">
        <f t="shared" si="1079"/>
        <v>25</v>
      </c>
      <c r="J2163" s="42">
        <f t="shared" si="1079"/>
        <v>35</v>
      </c>
      <c r="L2163" s="39" t="s">
        <v>20</v>
      </c>
      <c r="M2163" s="32">
        <f t="shared" ref="M2163:U2163" si="1080">SUM(M2154:M2162)</f>
        <v>130</v>
      </c>
      <c r="N2163" s="33">
        <f t="shared" si="1080"/>
        <v>0</v>
      </c>
      <c r="O2163" s="34">
        <f t="shared" si="1080"/>
        <v>0</v>
      </c>
      <c r="P2163" s="42">
        <f t="shared" si="1080"/>
        <v>130</v>
      </c>
      <c r="Q2163" s="32">
        <f t="shared" si="1080"/>
        <v>140</v>
      </c>
      <c r="R2163" s="33">
        <f t="shared" si="1080"/>
        <v>35</v>
      </c>
      <c r="S2163" s="34">
        <f t="shared" si="1080"/>
        <v>0</v>
      </c>
      <c r="T2163" s="42">
        <f t="shared" si="1080"/>
        <v>175</v>
      </c>
      <c r="U2163" s="42">
        <f t="shared" si="1080"/>
        <v>305</v>
      </c>
      <c r="W2163" s="39" t="s">
        <v>20</v>
      </c>
      <c r="X2163" s="32">
        <f t="shared" ref="X2163:AF2163" si="1081">SUM(X2154:X2162)</f>
        <v>0</v>
      </c>
      <c r="Y2163" s="33">
        <f t="shared" si="1081"/>
        <v>0</v>
      </c>
      <c r="Z2163" s="34">
        <f t="shared" si="1081"/>
        <v>0</v>
      </c>
      <c r="AA2163" s="42">
        <f t="shared" si="1081"/>
        <v>0</v>
      </c>
      <c r="AB2163" s="32">
        <f t="shared" si="1081"/>
        <v>0</v>
      </c>
      <c r="AC2163" s="33">
        <f t="shared" si="1081"/>
        <v>0</v>
      </c>
      <c r="AD2163" s="34">
        <f t="shared" si="1081"/>
        <v>0</v>
      </c>
      <c r="AE2163" s="42">
        <f t="shared" si="1081"/>
        <v>0</v>
      </c>
      <c r="AF2163" s="42">
        <f t="shared" si="1081"/>
        <v>0</v>
      </c>
    </row>
    <row r="2164" spans="1:32" x14ac:dyDescent="0.15">
      <c r="A2164" s="27" t="s">
        <v>207</v>
      </c>
      <c r="B2164" s="13"/>
      <c r="C2164" s="14"/>
      <c r="D2164" s="15"/>
      <c r="E2164" s="11">
        <f t="shared" ref="E2164:E2168" si="1082">SUM(B2164:D2164)</f>
        <v>0</v>
      </c>
      <c r="F2164" s="16">
        <v>2</v>
      </c>
      <c r="G2164" s="14"/>
      <c r="H2164" s="15"/>
      <c r="I2164" s="11">
        <f t="shared" ref="I2164:I2167" si="1083">SUM(F2164:H2164)</f>
        <v>2</v>
      </c>
      <c r="J2164" s="11">
        <f t="shared" ref="J2164:J2189" si="1084">E2164+I2164</f>
        <v>2</v>
      </c>
      <c r="K2164" s="65">
        <v>44746</v>
      </c>
      <c r="L2164" s="28" t="s">
        <v>968</v>
      </c>
      <c r="M2164" s="17"/>
      <c r="N2164" s="18"/>
      <c r="O2164" s="19"/>
      <c r="P2164" s="20">
        <f>SUM(M2164:O2164)</f>
        <v>0</v>
      </c>
      <c r="Q2164" s="21">
        <v>2</v>
      </c>
      <c r="R2164" s="18"/>
      <c r="S2164" s="19"/>
      <c r="T2164" s="20">
        <f>SUM(Q2164:S2164)</f>
        <v>2</v>
      </c>
      <c r="U2164" s="20">
        <f>P2164+T2164</f>
        <v>2</v>
      </c>
      <c r="V2164" s="158">
        <v>44791</v>
      </c>
      <c r="W2164" s="86"/>
      <c r="X2164" s="8"/>
      <c r="Y2164" s="9"/>
      <c r="Z2164" s="10"/>
      <c r="AA2164" s="11">
        <f>SUM(X2164:Z2164)</f>
        <v>0</v>
      </c>
      <c r="AB2164" s="12"/>
      <c r="AC2164" s="9"/>
      <c r="AD2164" s="10"/>
      <c r="AE2164" s="11">
        <f>SUM(AB2164:AD2164)</f>
        <v>0</v>
      </c>
      <c r="AF2164" s="11">
        <f t="shared" ref="AF2164:AF2189" si="1085">AA2164+AE2164</f>
        <v>0</v>
      </c>
    </row>
    <row r="2165" spans="1:32" x14ac:dyDescent="0.15">
      <c r="A2165" s="27" t="s">
        <v>207</v>
      </c>
      <c r="B2165" s="8"/>
      <c r="C2165" s="9">
        <v>2</v>
      </c>
      <c r="D2165" s="10"/>
      <c r="E2165" s="11">
        <f t="shared" si="1082"/>
        <v>2</v>
      </c>
      <c r="F2165" s="12"/>
      <c r="G2165" s="9"/>
      <c r="H2165" s="10"/>
      <c r="I2165" s="11">
        <f t="shared" si="1083"/>
        <v>0</v>
      </c>
      <c r="J2165" s="11">
        <f t="shared" si="1084"/>
        <v>2</v>
      </c>
      <c r="K2165" s="71">
        <v>44753</v>
      </c>
      <c r="L2165" s="28" t="s">
        <v>41</v>
      </c>
      <c r="M2165" s="8"/>
      <c r="N2165" s="9"/>
      <c r="O2165" s="10"/>
      <c r="P2165" s="11">
        <f>SUM(M2165:O2165)</f>
        <v>0</v>
      </c>
      <c r="Q2165" s="12">
        <v>2</v>
      </c>
      <c r="R2165" s="9"/>
      <c r="S2165" s="10"/>
      <c r="T2165" s="11">
        <f>SUM(Q2165:S2165)</f>
        <v>2</v>
      </c>
      <c r="U2165" s="11">
        <f t="shared" ref="U2165:U2189" si="1086">P2165+T2165</f>
        <v>2</v>
      </c>
      <c r="V2165" s="158">
        <v>44792</v>
      </c>
      <c r="W2165" s="86"/>
      <c r="X2165" s="8"/>
      <c r="Y2165" s="9"/>
      <c r="Z2165" s="10"/>
      <c r="AA2165" s="11">
        <f>SUM(X2165:Z2165)</f>
        <v>0</v>
      </c>
      <c r="AB2165" s="12"/>
      <c r="AC2165" s="9"/>
      <c r="AD2165" s="10"/>
      <c r="AE2165" s="11">
        <f>SUM(AB2165:AD2165)</f>
        <v>0</v>
      </c>
      <c r="AF2165" s="11">
        <f t="shared" si="1085"/>
        <v>0</v>
      </c>
    </row>
    <row r="2166" spans="1:32" x14ac:dyDescent="0.15">
      <c r="A2166" s="27" t="s">
        <v>207</v>
      </c>
      <c r="B2166" s="8"/>
      <c r="C2166" s="9"/>
      <c r="D2166" s="10"/>
      <c r="E2166" s="11">
        <f t="shared" si="1082"/>
        <v>0</v>
      </c>
      <c r="F2166" s="12">
        <v>2</v>
      </c>
      <c r="G2166" s="9"/>
      <c r="H2166" s="10"/>
      <c r="I2166" s="11">
        <f t="shared" si="1083"/>
        <v>2</v>
      </c>
      <c r="J2166" s="11">
        <f t="shared" si="1084"/>
        <v>2</v>
      </c>
      <c r="K2166" s="65">
        <v>44755</v>
      </c>
      <c r="L2166" s="86" t="s">
        <v>970</v>
      </c>
      <c r="M2166" s="8">
        <v>130</v>
      </c>
      <c r="N2166" s="9"/>
      <c r="O2166" s="10"/>
      <c r="P2166" s="11">
        <f t="shared" ref="P2166:P2189" si="1087">SUM(M2166:O2166)</f>
        <v>130</v>
      </c>
      <c r="Q2166" s="12">
        <v>136</v>
      </c>
      <c r="R2166" s="9">
        <v>35</v>
      </c>
      <c r="S2166" s="10"/>
      <c r="T2166" s="11">
        <f t="shared" ref="T2166:T2189" si="1088">SUM(Q2166:S2166)</f>
        <v>171</v>
      </c>
      <c r="U2166" s="11">
        <f t="shared" si="1086"/>
        <v>301</v>
      </c>
      <c r="V2166" s="158">
        <v>44802</v>
      </c>
      <c r="W2166" s="86"/>
      <c r="X2166" s="8"/>
      <c r="Y2166" s="9"/>
      <c r="Z2166" s="10"/>
      <c r="AA2166" s="11">
        <f t="shared" ref="AA2166:AA2189" si="1089">SUM(X2166:Z2166)</f>
        <v>0</v>
      </c>
      <c r="AB2166" s="12"/>
      <c r="AC2166" s="9"/>
      <c r="AD2166" s="10"/>
      <c r="AE2166" s="11">
        <f t="shared" ref="AE2166:AE2189" si="1090">SUM(AB2166:AD2166)</f>
        <v>0</v>
      </c>
      <c r="AF2166" s="11">
        <f t="shared" si="1085"/>
        <v>0</v>
      </c>
    </row>
    <row r="2167" spans="1:32" x14ac:dyDescent="0.15">
      <c r="A2167" s="27" t="s">
        <v>207</v>
      </c>
      <c r="B2167" s="8"/>
      <c r="C2167" s="9"/>
      <c r="D2167" s="10"/>
      <c r="E2167" s="11">
        <f t="shared" si="1082"/>
        <v>0</v>
      </c>
      <c r="F2167" s="12"/>
      <c r="G2167" s="9">
        <v>2</v>
      </c>
      <c r="H2167" s="10"/>
      <c r="I2167" s="11">
        <f t="shared" si="1083"/>
        <v>2</v>
      </c>
      <c r="J2167" s="11">
        <f t="shared" si="1084"/>
        <v>2</v>
      </c>
      <c r="K2167" s="71">
        <v>44757</v>
      </c>
      <c r="L2167" s="86"/>
      <c r="M2167" s="8"/>
      <c r="N2167" s="9"/>
      <c r="O2167" s="10"/>
      <c r="P2167" s="11">
        <f t="shared" si="1087"/>
        <v>0</v>
      </c>
      <c r="Q2167" s="12"/>
      <c r="R2167" s="9"/>
      <c r="S2167" s="10"/>
      <c r="T2167" s="11">
        <f t="shared" si="1088"/>
        <v>0</v>
      </c>
      <c r="U2167" s="11">
        <f t="shared" si="1086"/>
        <v>0</v>
      </c>
      <c r="V2167" s="158"/>
      <c r="W2167" s="86"/>
      <c r="X2167" s="8"/>
      <c r="Y2167" s="9"/>
      <c r="Z2167" s="10"/>
      <c r="AA2167" s="11">
        <f t="shared" si="1089"/>
        <v>0</v>
      </c>
      <c r="AB2167" s="12"/>
      <c r="AC2167" s="9"/>
      <c r="AD2167" s="10"/>
      <c r="AE2167" s="11">
        <f t="shared" si="1090"/>
        <v>0</v>
      </c>
      <c r="AF2167" s="11">
        <f t="shared" si="1085"/>
        <v>0</v>
      </c>
    </row>
    <row r="2168" spans="1:32" x14ac:dyDescent="0.15">
      <c r="A2168" s="27" t="s">
        <v>207</v>
      </c>
      <c r="B2168" s="8">
        <f>1+1</f>
        <v>2</v>
      </c>
      <c r="C2168" s="9"/>
      <c r="D2168" s="10"/>
      <c r="E2168" s="11">
        <f t="shared" si="1082"/>
        <v>2</v>
      </c>
      <c r="F2168" s="12"/>
      <c r="G2168" s="9"/>
      <c r="H2168" s="10"/>
      <c r="I2168" s="11">
        <f>SUM(F2168:H2168)</f>
        <v>0</v>
      </c>
      <c r="J2168" s="11">
        <f t="shared" si="1084"/>
        <v>2</v>
      </c>
      <c r="K2168" s="65">
        <v>44761</v>
      </c>
      <c r="L2168" s="28"/>
      <c r="M2168" s="8"/>
      <c r="N2168" s="9"/>
      <c r="O2168" s="10"/>
      <c r="P2168" s="11">
        <f t="shared" si="1087"/>
        <v>0</v>
      </c>
      <c r="Q2168" s="12"/>
      <c r="R2168" s="9"/>
      <c r="S2168" s="10"/>
      <c r="T2168" s="11">
        <f t="shared" si="1088"/>
        <v>0</v>
      </c>
      <c r="U2168" s="11">
        <f t="shared" si="1086"/>
        <v>0</v>
      </c>
      <c r="V2168" s="158"/>
      <c r="W2168" s="86"/>
      <c r="X2168" s="8"/>
      <c r="Y2168" s="9"/>
      <c r="Z2168" s="10"/>
      <c r="AA2168" s="11">
        <f t="shared" si="1089"/>
        <v>0</v>
      </c>
      <c r="AB2168" s="12"/>
      <c r="AC2168" s="9"/>
      <c r="AD2168" s="10"/>
      <c r="AE2168" s="11">
        <f t="shared" si="1090"/>
        <v>0</v>
      </c>
      <c r="AF2168" s="11">
        <f t="shared" si="1085"/>
        <v>0</v>
      </c>
    </row>
    <row r="2169" spans="1:32" x14ac:dyDescent="0.15">
      <c r="A2169" s="27" t="s">
        <v>207</v>
      </c>
      <c r="B2169" s="8"/>
      <c r="C2169" s="9">
        <v>1</v>
      </c>
      <c r="D2169" s="10"/>
      <c r="E2169" s="11">
        <f>SUM(B2169:D2169)</f>
        <v>1</v>
      </c>
      <c r="F2169" s="12"/>
      <c r="G2169" s="9"/>
      <c r="H2169" s="10"/>
      <c r="I2169" s="11">
        <f>SUM(F2169:H2169)</f>
        <v>0</v>
      </c>
      <c r="J2169" s="11">
        <f t="shared" si="1084"/>
        <v>1</v>
      </c>
      <c r="K2169" s="71">
        <v>44774</v>
      </c>
      <c r="L2169" s="86"/>
      <c r="M2169" s="8"/>
      <c r="N2169" s="9"/>
      <c r="O2169" s="10"/>
      <c r="P2169" s="11">
        <f t="shared" si="1087"/>
        <v>0</v>
      </c>
      <c r="Q2169" s="12"/>
      <c r="R2169" s="9"/>
      <c r="S2169" s="10"/>
      <c r="T2169" s="11">
        <f t="shared" si="1088"/>
        <v>0</v>
      </c>
      <c r="U2169" s="11">
        <f t="shared" si="1086"/>
        <v>0</v>
      </c>
      <c r="V2169" s="158"/>
      <c r="W2169" s="29"/>
      <c r="X2169" s="8"/>
      <c r="Y2169" s="9"/>
      <c r="Z2169" s="10"/>
      <c r="AA2169" s="11">
        <f t="shared" si="1089"/>
        <v>0</v>
      </c>
      <c r="AB2169" s="12"/>
      <c r="AC2169" s="9"/>
      <c r="AD2169" s="10"/>
      <c r="AE2169" s="11">
        <f t="shared" si="1090"/>
        <v>0</v>
      </c>
      <c r="AF2169" s="11">
        <f t="shared" si="1085"/>
        <v>0</v>
      </c>
    </row>
    <row r="2170" spans="1:32" x14ac:dyDescent="0.15">
      <c r="A2170" s="27" t="s">
        <v>207</v>
      </c>
      <c r="B2170" s="8"/>
      <c r="C2170" s="9"/>
      <c r="D2170" s="10"/>
      <c r="E2170" s="11">
        <f t="shared" ref="E2170:E2189" si="1091">SUM(B2170:D2170)</f>
        <v>0</v>
      </c>
      <c r="F2170" s="140"/>
      <c r="G2170" s="140">
        <v>2</v>
      </c>
      <c r="H2170" s="10"/>
      <c r="I2170" s="11">
        <f t="shared" ref="I2170:I2189" si="1092">SUM(F2170:H2170)</f>
        <v>2</v>
      </c>
      <c r="J2170" s="11">
        <f t="shared" si="1084"/>
        <v>2</v>
      </c>
      <c r="K2170" s="71">
        <v>44782</v>
      </c>
      <c r="L2170" s="28"/>
      <c r="M2170" s="8"/>
      <c r="N2170" s="9"/>
      <c r="O2170" s="10"/>
      <c r="P2170" s="11">
        <f t="shared" si="1087"/>
        <v>0</v>
      </c>
      <c r="Q2170" s="12"/>
      <c r="R2170" s="9"/>
      <c r="S2170" s="10"/>
      <c r="T2170" s="11">
        <f t="shared" si="1088"/>
        <v>0</v>
      </c>
      <c r="U2170" s="11">
        <f t="shared" si="1086"/>
        <v>0</v>
      </c>
      <c r="V2170" s="158"/>
      <c r="W2170" s="86"/>
      <c r="X2170" s="8"/>
      <c r="Y2170" s="9"/>
      <c r="Z2170" s="10"/>
      <c r="AA2170" s="11">
        <f t="shared" si="1089"/>
        <v>0</v>
      </c>
      <c r="AB2170" s="12"/>
      <c r="AC2170" s="9"/>
      <c r="AD2170" s="10"/>
      <c r="AE2170" s="11">
        <f t="shared" si="1090"/>
        <v>0</v>
      </c>
      <c r="AF2170" s="11">
        <f t="shared" si="1085"/>
        <v>0</v>
      </c>
    </row>
    <row r="2171" spans="1:32" x14ac:dyDescent="0.15">
      <c r="A2171" s="27" t="s">
        <v>207</v>
      </c>
      <c r="B2171" s="8"/>
      <c r="C2171" s="9"/>
      <c r="D2171" s="10"/>
      <c r="E2171" s="11">
        <f t="shared" si="1091"/>
        <v>0</v>
      </c>
      <c r="F2171" s="12">
        <v>2</v>
      </c>
      <c r="G2171" s="9"/>
      <c r="H2171" s="10"/>
      <c r="I2171" s="11">
        <f t="shared" si="1092"/>
        <v>2</v>
      </c>
      <c r="J2171" s="11">
        <f t="shared" si="1084"/>
        <v>2</v>
      </c>
      <c r="K2171" s="71">
        <v>44783</v>
      </c>
      <c r="L2171" s="86"/>
      <c r="M2171" s="8"/>
      <c r="N2171" s="9"/>
      <c r="O2171" s="10"/>
      <c r="P2171" s="11">
        <f t="shared" si="1087"/>
        <v>0</v>
      </c>
      <c r="Q2171" s="12"/>
      <c r="R2171" s="9"/>
      <c r="S2171" s="10"/>
      <c r="T2171" s="11">
        <f t="shared" si="1088"/>
        <v>0</v>
      </c>
      <c r="U2171" s="11">
        <f t="shared" si="1086"/>
        <v>0</v>
      </c>
      <c r="V2171" s="158"/>
      <c r="W2171" s="29"/>
      <c r="X2171" s="8"/>
      <c r="Y2171" s="9"/>
      <c r="Z2171" s="10"/>
      <c r="AA2171" s="11">
        <f t="shared" si="1089"/>
        <v>0</v>
      </c>
      <c r="AB2171" s="12"/>
      <c r="AC2171" s="9"/>
      <c r="AD2171" s="10"/>
      <c r="AE2171" s="11">
        <f t="shared" si="1090"/>
        <v>0</v>
      </c>
      <c r="AF2171" s="11">
        <f t="shared" si="1085"/>
        <v>0</v>
      </c>
    </row>
    <row r="2172" spans="1:32" x14ac:dyDescent="0.15">
      <c r="A2172" s="27" t="s">
        <v>207</v>
      </c>
      <c r="B2172" s="13"/>
      <c r="C2172" s="14"/>
      <c r="D2172" s="15"/>
      <c r="E2172" s="11">
        <f t="shared" si="1091"/>
        <v>0</v>
      </c>
      <c r="F2172" s="16">
        <v>4</v>
      </c>
      <c r="G2172" s="14"/>
      <c r="H2172" s="15"/>
      <c r="I2172" s="11">
        <f t="shared" si="1092"/>
        <v>4</v>
      </c>
      <c r="J2172" s="11">
        <f t="shared" si="1084"/>
        <v>4</v>
      </c>
      <c r="K2172" s="71">
        <v>44792</v>
      </c>
      <c r="L2172" s="28"/>
      <c r="M2172" s="8"/>
      <c r="N2172" s="9"/>
      <c r="O2172" s="10"/>
      <c r="P2172" s="11">
        <f t="shared" si="1087"/>
        <v>0</v>
      </c>
      <c r="Q2172" s="12"/>
      <c r="R2172" s="9"/>
      <c r="S2172" s="10"/>
      <c r="T2172" s="11">
        <f t="shared" si="1088"/>
        <v>0</v>
      </c>
      <c r="U2172" s="11">
        <f t="shared" si="1086"/>
        <v>0</v>
      </c>
      <c r="V2172" s="158"/>
      <c r="W2172" s="29"/>
      <c r="X2172" s="8"/>
      <c r="Y2172" s="9"/>
      <c r="Z2172" s="10"/>
      <c r="AA2172" s="11">
        <f t="shared" si="1089"/>
        <v>0</v>
      </c>
      <c r="AB2172" s="12"/>
      <c r="AC2172" s="9"/>
      <c r="AD2172" s="10"/>
      <c r="AE2172" s="11">
        <f t="shared" si="1090"/>
        <v>0</v>
      </c>
      <c r="AF2172" s="11">
        <f t="shared" si="1085"/>
        <v>0</v>
      </c>
    </row>
    <row r="2173" spans="1:32" x14ac:dyDescent="0.15">
      <c r="A2173" s="27" t="s">
        <v>969</v>
      </c>
      <c r="B2173" s="13">
        <v>4</v>
      </c>
      <c r="C2173" s="14"/>
      <c r="D2173" s="15"/>
      <c r="E2173" s="11">
        <f t="shared" si="1091"/>
        <v>4</v>
      </c>
      <c r="F2173" s="16"/>
      <c r="G2173" s="14">
        <v>4</v>
      </c>
      <c r="H2173" s="15"/>
      <c r="I2173" s="11">
        <f t="shared" si="1092"/>
        <v>4</v>
      </c>
      <c r="J2173" s="11">
        <f t="shared" si="1084"/>
        <v>8</v>
      </c>
      <c r="K2173" s="71">
        <v>44793</v>
      </c>
      <c r="L2173" s="86"/>
      <c r="M2173" s="13"/>
      <c r="N2173" s="14"/>
      <c r="O2173" s="15"/>
      <c r="P2173" s="11">
        <f t="shared" si="1087"/>
        <v>0</v>
      </c>
      <c r="Q2173" s="16"/>
      <c r="R2173" s="14"/>
      <c r="S2173" s="15"/>
      <c r="T2173" s="11">
        <f t="shared" si="1088"/>
        <v>0</v>
      </c>
      <c r="U2173" s="11">
        <f t="shared" si="1086"/>
        <v>0</v>
      </c>
      <c r="V2173" s="158"/>
      <c r="W2173" s="29"/>
      <c r="X2173" s="13"/>
      <c r="Y2173" s="14"/>
      <c r="Z2173" s="15"/>
      <c r="AA2173" s="11">
        <f t="shared" si="1089"/>
        <v>0</v>
      </c>
      <c r="AB2173" s="16"/>
      <c r="AC2173" s="14"/>
      <c r="AD2173" s="15"/>
      <c r="AE2173" s="11">
        <f t="shared" si="1090"/>
        <v>0</v>
      </c>
      <c r="AF2173" s="11">
        <f t="shared" si="1085"/>
        <v>0</v>
      </c>
    </row>
    <row r="2174" spans="1:32" x14ac:dyDescent="0.15">
      <c r="A2174" s="27" t="s">
        <v>207</v>
      </c>
      <c r="B2174" s="8"/>
      <c r="C2174" s="9"/>
      <c r="D2174" s="10"/>
      <c r="E2174" s="11">
        <f t="shared" si="1091"/>
        <v>0</v>
      </c>
      <c r="F2174" s="12">
        <v>1</v>
      </c>
      <c r="G2174" s="9"/>
      <c r="H2174" s="10"/>
      <c r="I2174" s="11">
        <f t="shared" si="1092"/>
        <v>1</v>
      </c>
      <c r="J2174" s="11">
        <f t="shared" si="1084"/>
        <v>1</v>
      </c>
      <c r="K2174" s="71">
        <v>45329</v>
      </c>
      <c r="L2174" s="86"/>
      <c r="M2174" s="8"/>
      <c r="N2174" s="9"/>
      <c r="O2174" s="10"/>
      <c r="P2174" s="11">
        <f t="shared" si="1087"/>
        <v>0</v>
      </c>
      <c r="Q2174" s="12"/>
      <c r="R2174" s="9"/>
      <c r="S2174" s="10"/>
      <c r="T2174" s="11">
        <f t="shared" si="1088"/>
        <v>0</v>
      </c>
      <c r="U2174" s="11">
        <f t="shared" si="1086"/>
        <v>0</v>
      </c>
      <c r="V2174" s="158"/>
      <c r="W2174" s="29"/>
      <c r="X2174" s="8"/>
      <c r="Y2174" s="9"/>
      <c r="Z2174" s="10"/>
      <c r="AA2174" s="11">
        <f t="shared" si="1089"/>
        <v>0</v>
      </c>
      <c r="AB2174" s="12"/>
      <c r="AC2174" s="9"/>
      <c r="AD2174" s="10"/>
      <c r="AE2174" s="11">
        <f t="shared" si="1090"/>
        <v>0</v>
      </c>
      <c r="AF2174" s="11">
        <f t="shared" si="1085"/>
        <v>0</v>
      </c>
    </row>
    <row r="2175" spans="1:32" x14ac:dyDescent="0.15">
      <c r="A2175" s="27" t="s">
        <v>207</v>
      </c>
      <c r="B2175" s="8">
        <v>1</v>
      </c>
      <c r="C2175" s="9"/>
      <c r="D2175" s="10"/>
      <c r="E2175" s="11">
        <f t="shared" si="1091"/>
        <v>1</v>
      </c>
      <c r="F2175" s="12"/>
      <c r="G2175" s="9"/>
      <c r="H2175" s="10"/>
      <c r="I2175" s="11">
        <f t="shared" si="1092"/>
        <v>0</v>
      </c>
      <c r="J2175" s="11">
        <f t="shared" si="1084"/>
        <v>1</v>
      </c>
      <c r="K2175" s="71">
        <v>45404</v>
      </c>
      <c r="L2175" s="28"/>
      <c r="M2175" s="8"/>
      <c r="N2175" s="9"/>
      <c r="O2175" s="10"/>
      <c r="P2175" s="11">
        <f t="shared" si="1087"/>
        <v>0</v>
      </c>
      <c r="Q2175" s="12"/>
      <c r="R2175" s="9"/>
      <c r="S2175" s="10"/>
      <c r="T2175" s="11">
        <f t="shared" si="1088"/>
        <v>0</v>
      </c>
      <c r="U2175" s="11">
        <f t="shared" si="1086"/>
        <v>0</v>
      </c>
      <c r="V2175" s="158"/>
      <c r="W2175" s="29"/>
      <c r="X2175" s="8"/>
      <c r="Y2175" s="9"/>
      <c r="Z2175" s="10"/>
      <c r="AA2175" s="11">
        <f t="shared" si="1089"/>
        <v>0</v>
      </c>
      <c r="AB2175" s="12"/>
      <c r="AC2175" s="9"/>
      <c r="AD2175" s="10"/>
      <c r="AE2175" s="11">
        <f t="shared" si="1090"/>
        <v>0</v>
      </c>
      <c r="AF2175" s="11">
        <f t="shared" si="1085"/>
        <v>0</v>
      </c>
    </row>
    <row r="2176" spans="1:32" x14ac:dyDescent="0.15">
      <c r="A2176" s="27" t="s">
        <v>207</v>
      </c>
      <c r="B2176" s="8"/>
      <c r="C2176" s="9"/>
      <c r="D2176" s="10"/>
      <c r="E2176" s="11">
        <f t="shared" si="1091"/>
        <v>0</v>
      </c>
      <c r="F2176" s="12">
        <v>1</v>
      </c>
      <c r="G2176" s="9"/>
      <c r="H2176" s="10"/>
      <c r="I2176" s="11">
        <f t="shared" si="1092"/>
        <v>1</v>
      </c>
      <c r="J2176" s="11">
        <f t="shared" si="1084"/>
        <v>1</v>
      </c>
      <c r="K2176" s="71">
        <v>45575</v>
      </c>
      <c r="L2176" s="86"/>
      <c r="M2176" s="8"/>
      <c r="N2176" s="9"/>
      <c r="O2176" s="10"/>
      <c r="P2176" s="11">
        <f t="shared" si="1087"/>
        <v>0</v>
      </c>
      <c r="Q2176" s="12"/>
      <c r="R2176" s="9"/>
      <c r="S2176" s="10"/>
      <c r="T2176" s="11">
        <f t="shared" si="1088"/>
        <v>0</v>
      </c>
      <c r="U2176" s="11">
        <f t="shared" si="1086"/>
        <v>0</v>
      </c>
      <c r="V2176" s="158"/>
      <c r="W2176" s="27"/>
      <c r="X2176" s="8"/>
      <c r="Y2176" s="9"/>
      <c r="Z2176" s="10"/>
      <c r="AA2176" s="11">
        <f t="shared" si="1089"/>
        <v>0</v>
      </c>
      <c r="AB2176" s="12"/>
      <c r="AC2176" s="9"/>
      <c r="AD2176" s="10"/>
      <c r="AE2176" s="11">
        <f t="shared" si="1090"/>
        <v>0</v>
      </c>
      <c r="AF2176" s="11">
        <f t="shared" si="1085"/>
        <v>0</v>
      </c>
    </row>
    <row r="2177" spans="1:32" x14ac:dyDescent="0.15">
      <c r="A2177" s="27" t="s">
        <v>207</v>
      </c>
      <c r="B2177" s="8"/>
      <c r="C2177" s="9"/>
      <c r="D2177" s="10"/>
      <c r="E2177" s="11">
        <f t="shared" si="1091"/>
        <v>0</v>
      </c>
      <c r="F2177" s="12">
        <v>-1</v>
      </c>
      <c r="G2177" s="9"/>
      <c r="H2177" s="10"/>
      <c r="I2177" s="11">
        <f t="shared" si="1092"/>
        <v>-1</v>
      </c>
      <c r="J2177" s="11">
        <f t="shared" si="1084"/>
        <v>-1</v>
      </c>
      <c r="K2177" s="71">
        <v>45586</v>
      </c>
      <c r="L2177" s="28"/>
      <c r="M2177" s="8"/>
      <c r="N2177" s="9"/>
      <c r="O2177" s="10"/>
      <c r="P2177" s="11">
        <f t="shared" si="1087"/>
        <v>0</v>
      </c>
      <c r="Q2177" s="12"/>
      <c r="R2177" s="9"/>
      <c r="S2177" s="10"/>
      <c r="T2177" s="11">
        <f t="shared" si="1088"/>
        <v>0</v>
      </c>
      <c r="U2177" s="11">
        <f t="shared" si="1086"/>
        <v>0</v>
      </c>
      <c r="V2177" s="158"/>
      <c r="W2177" s="29"/>
      <c r="X2177" s="8"/>
      <c r="Y2177" s="9"/>
      <c r="Z2177" s="10"/>
      <c r="AA2177" s="11">
        <f t="shared" si="1089"/>
        <v>0</v>
      </c>
      <c r="AB2177" s="12"/>
      <c r="AC2177" s="9"/>
      <c r="AD2177" s="10"/>
      <c r="AE2177" s="11">
        <f t="shared" si="1090"/>
        <v>0</v>
      </c>
      <c r="AF2177" s="11">
        <f t="shared" si="1085"/>
        <v>0</v>
      </c>
    </row>
    <row r="2178" spans="1:32" x14ac:dyDescent="0.15">
      <c r="A2178" s="27"/>
      <c r="B2178" s="8"/>
      <c r="C2178" s="9"/>
      <c r="D2178" s="10"/>
      <c r="E2178" s="11">
        <f t="shared" si="1091"/>
        <v>0</v>
      </c>
      <c r="F2178" s="12"/>
      <c r="G2178" s="9"/>
      <c r="H2178" s="10"/>
      <c r="I2178" s="11">
        <f t="shared" si="1092"/>
        <v>0</v>
      </c>
      <c r="J2178" s="11">
        <f t="shared" si="1084"/>
        <v>0</v>
      </c>
      <c r="K2178" s="71"/>
      <c r="L2178" s="86"/>
      <c r="M2178" s="8"/>
      <c r="N2178" s="9"/>
      <c r="O2178" s="10"/>
      <c r="P2178" s="11">
        <f t="shared" si="1087"/>
        <v>0</v>
      </c>
      <c r="Q2178" s="12"/>
      <c r="R2178" s="9"/>
      <c r="S2178" s="10"/>
      <c r="T2178" s="11">
        <f t="shared" si="1088"/>
        <v>0</v>
      </c>
      <c r="U2178" s="11">
        <f t="shared" si="1086"/>
        <v>0</v>
      </c>
      <c r="V2178" s="158"/>
      <c r="W2178" s="29"/>
      <c r="X2178" s="8"/>
      <c r="Y2178" s="9"/>
      <c r="Z2178" s="10"/>
      <c r="AA2178" s="11">
        <f t="shared" si="1089"/>
        <v>0</v>
      </c>
      <c r="AB2178" s="12"/>
      <c r="AC2178" s="9"/>
      <c r="AD2178" s="10"/>
      <c r="AE2178" s="11">
        <f t="shared" si="1090"/>
        <v>0</v>
      </c>
      <c r="AF2178" s="11">
        <f t="shared" si="1085"/>
        <v>0</v>
      </c>
    </row>
    <row r="2179" spans="1:32" x14ac:dyDescent="0.15">
      <c r="A2179" s="27"/>
      <c r="B2179" s="8"/>
      <c r="C2179" s="9"/>
      <c r="D2179" s="10"/>
      <c r="E2179" s="11">
        <f t="shared" si="1091"/>
        <v>0</v>
      </c>
      <c r="F2179" s="12"/>
      <c r="G2179" s="9"/>
      <c r="H2179" s="10"/>
      <c r="I2179" s="11">
        <f t="shared" si="1092"/>
        <v>0</v>
      </c>
      <c r="J2179" s="11">
        <f t="shared" si="1084"/>
        <v>0</v>
      </c>
      <c r="K2179" s="71"/>
      <c r="L2179" s="27"/>
      <c r="M2179" s="8"/>
      <c r="N2179" s="9"/>
      <c r="O2179" s="10"/>
      <c r="P2179" s="11">
        <f t="shared" si="1087"/>
        <v>0</v>
      </c>
      <c r="Q2179" s="12"/>
      <c r="R2179" s="9"/>
      <c r="S2179" s="10"/>
      <c r="T2179" s="11">
        <f t="shared" si="1088"/>
        <v>0</v>
      </c>
      <c r="U2179" s="11">
        <f t="shared" si="1086"/>
        <v>0</v>
      </c>
      <c r="V2179" s="160"/>
      <c r="W2179" s="27"/>
      <c r="X2179" s="8"/>
      <c r="Y2179" s="9"/>
      <c r="Z2179" s="10"/>
      <c r="AA2179" s="11">
        <f t="shared" si="1089"/>
        <v>0</v>
      </c>
      <c r="AB2179" s="12"/>
      <c r="AC2179" s="9"/>
      <c r="AD2179" s="10"/>
      <c r="AE2179" s="11">
        <f t="shared" si="1090"/>
        <v>0</v>
      </c>
      <c r="AF2179" s="11">
        <f t="shared" si="1085"/>
        <v>0</v>
      </c>
    </row>
    <row r="2180" spans="1:32" x14ac:dyDescent="0.15">
      <c r="A2180" s="27"/>
      <c r="B2180" s="8"/>
      <c r="C2180" s="9"/>
      <c r="D2180" s="10"/>
      <c r="E2180" s="11">
        <f t="shared" si="1091"/>
        <v>0</v>
      </c>
      <c r="F2180" s="12"/>
      <c r="G2180" s="9"/>
      <c r="H2180" s="10"/>
      <c r="I2180" s="11">
        <f t="shared" si="1092"/>
        <v>0</v>
      </c>
      <c r="J2180" s="11">
        <f t="shared" si="1084"/>
        <v>0</v>
      </c>
      <c r="K2180" s="71"/>
      <c r="L2180" s="29"/>
      <c r="M2180" s="8"/>
      <c r="N2180" s="9"/>
      <c r="O2180" s="10"/>
      <c r="P2180" s="11">
        <f t="shared" si="1087"/>
        <v>0</v>
      </c>
      <c r="Q2180" s="12"/>
      <c r="R2180" s="9"/>
      <c r="S2180" s="10"/>
      <c r="T2180" s="11">
        <f t="shared" si="1088"/>
        <v>0</v>
      </c>
      <c r="U2180" s="11">
        <f t="shared" si="1086"/>
        <v>0</v>
      </c>
      <c r="V2180" s="160"/>
      <c r="W2180" s="29"/>
      <c r="X2180" s="8"/>
      <c r="Y2180" s="9"/>
      <c r="Z2180" s="10"/>
      <c r="AA2180" s="11">
        <f t="shared" si="1089"/>
        <v>0</v>
      </c>
      <c r="AB2180" s="12"/>
      <c r="AC2180" s="9"/>
      <c r="AD2180" s="10"/>
      <c r="AE2180" s="11">
        <f t="shared" si="1090"/>
        <v>0</v>
      </c>
      <c r="AF2180" s="11">
        <f t="shared" si="1085"/>
        <v>0</v>
      </c>
    </row>
    <row r="2181" spans="1:32" x14ac:dyDescent="0.15">
      <c r="A2181" s="27"/>
      <c r="B2181" s="8"/>
      <c r="C2181" s="9"/>
      <c r="D2181" s="10"/>
      <c r="E2181" s="11">
        <f t="shared" si="1091"/>
        <v>0</v>
      </c>
      <c r="F2181" s="12"/>
      <c r="G2181" s="9"/>
      <c r="H2181" s="10"/>
      <c r="I2181" s="11">
        <f t="shared" si="1092"/>
        <v>0</v>
      </c>
      <c r="J2181" s="11">
        <f t="shared" si="1084"/>
        <v>0</v>
      </c>
      <c r="K2181" s="71"/>
      <c r="L2181" s="27"/>
      <c r="M2181" s="8"/>
      <c r="N2181" s="9"/>
      <c r="O2181" s="10"/>
      <c r="P2181" s="11">
        <f t="shared" si="1087"/>
        <v>0</v>
      </c>
      <c r="Q2181" s="12"/>
      <c r="R2181" s="9"/>
      <c r="S2181" s="10"/>
      <c r="T2181" s="11">
        <f t="shared" si="1088"/>
        <v>0</v>
      </c>
      <c r="U2181" s="11">
        <f t="shared" si="1086"/>
        <v>0</v>
      </c>
      <c r="V2181" s="160"/>
      <c r="W2181" s="27"/>
      <c r="X2181" s="8"/>
      <c r="Y2181" s="9"/>
      <c r="Z2181" s="10"/>
      <c r="AA2181" s="11">
        <f t="shared" si="1089"/>
        <v>0</v>
      </c>
      <c r="AB2181" s="12"/>
      <c r="AC2181" s="9"/>
      <c r="AD2181" s="10"/>
      <c r="AE2181" s="11">
        <f t="shared" si="1090"/>
        <v>0</v>
      </c>
      <c r="AF2181" s="11">
        <f t="shared" si="1085"/>
        <v>0</v>
      </c>
    </row>
    <row r="2182" spans="1:32" x14ac:dyDescent="0.15">
      <c r="A2182" s="27"/>
      <c r="B2182" s="8"/>
      <c r="C2182" s="9"/>
      <c r="D2182" s="10"/>
      <c r="E2182" s="11">
        <f t="shared" si="1091"/>
        <v>0</v>
      </c>
      <c r="F2182" s="12"/>
      <c r="G2182" s="9"/>
      <c r="H2182" s="10"/>
      <c r="I2182" s="11">
        <f t="shared" si="1092"/>
        <v>0</v>
      </c>
      <c r="J2182" s="11">
        <f t="shared" si="1084"/>
        <v>0</v>
      </c>
      <c r="K2182" s="71"/>
      <c r="L2182" s="26"/>
      <c r="M2182" s="8"/>
      <c r="N2182" s="9"/>
      <c r="O2182" s="10"/>
      <c r="P2182" s="11">
        <f t="shared" si="1087"/>
        <v>0</v>
      </c>
      <c r="Q2182" s="12"/>
      <c r="R2182" s="9"/>
      <c r="S2182" s="10"/>
      <c r="T2182" s="11">
        <f t="shared" si="1088"/>
        <v>0</v>
      </c>
      <c r="U2182" s="11">
        <f t="shared" si="1086"/>
        <v>0</v>
      </c>
      <c r="V2182" s="160"/>
      <c r="W2182" s="26"/>
      <c r="X2182" s="8"/>
      <c r="Y2182" s="9"/>
      <c r="Z2182" s="10"/>
      <c r="AA2182" s="11">
        <f t="shared" si="1089"/>
        <v>0</v>
      </c>
      <c r="AB2182" s="12"/>
      <c r="AC2182" s="9"/>
      <c r="AD2182" s="10"/>
      <c r="AE2182" s="11">
        <f t="shared" si="1090"/>
        <v>0</v>
      </c>
      <c r="AF2182" s="11">
        <f t="shared" si="1085"/>
        <v>0</v>
      </c>
    </row>
    <row r="2183" spans="1:32" x14ac:dyDescent="0.15">
      <c r="A2183" s="27"/>
      <c r="B2183" s="8"/>
      <c r="C2183" s="9"/>
      <c r="D2183" s="10"/>
      <c r="E2183" s="11">
        <f t="shared" si="1091"/>
        <v>0</v>
      </c>
      <c r="F2183" s="12"/>
      <c r="G2183" s="9"/>
      <c r="H2183" s="10"/>
      <c r="I2183" s="11">
        <f t="shared" si="1092"/>
        <v>0</v>
      </c>
      <c r="J2183" s="11">
        <f t="shared" si="1084"/>
        <v>0</v>
      </c>
      <c r="K2183" s="71"/>
      <c r="L2183" s="26"/>
      <c r="M2183" s="8"/>
      <c r="N2183" s="9"/>
      <c r="O2183" s="10"/>
      <c r="P2183" s="11">
        <f t="shared" si="1087"/>
        <v>0</v>
      </c>
      <c r="Q2183" s="12"/>
      <c r="R2183" s="9"/>
      <c r="S2183" s="10"/>
      <c r="T2183" s="11">
        <f t="shared" si="1088"/>
        <v>0</v>
      </c>
      <c r="U2183" s="11">
        <f t="shared" si="1086"/>
        <v>0</v>
      </c>
      <c r="V2183" s="160"/>
      <c r="W2183" s="26"/>
      <c r="X2183" s="8"/>
      <c r="Y2183" s="9"/>
      <c r="Z2183" s="10"/>
      <c r="AA2183" s="11">
        <f t="shared" si="1089"/>
        <v>0</v>
      </c>
      <c r="AB2183" s="12"/>
      <c r="AC2183" s="9"/>
      <c r="AD2183" s="10"/>
      <c r="AE2183" s="11">
        <f t="shared" si="1090"/>
        <v>0</v>
      </c>
      <c r="AF2183" s="11">
        <f t="shared" si="1085"/>
        <v>0</v>
      </c>
    </row>
    <row r="2184" spans="1:32" x14ac:dyDescent="0.15">
      <c r="A2184" s="27"/>
      <c r="B2184" s="8"/>
      <c r="C2184" s="9"/>
      <c r="D2184" s="10"/>
      <c r="E2184" s="11">
        <f t="shared" si="1091"/>
        <v>0</v>
      </c>
      <c r="F2184" s="12"/>
      <c r="G2184" s="9"/>
      <c r="H2184" s="10"/>
      <c r="I2184" s="11">
        <f t="shared" si="1092"/>
        <v>0</v>
      </c>
      <c r="J2184" s="11">
        <f t="shared" si="1084"/>
        <v>0</v>
      </c>
      <c r="K2184" s="71"/>
      <c r="L2184" s="27"/>
      <c r="M2184" s="8"/>
      <c r="N2184" s="9"/>
      <c r="O2184" s="10"/>
      <c r="P2184" s="11">
        <f t="shared" si="1087"/>
        <v>0</v>
      </c>
      <c r="Q2184" s="12"/>
      <c r="R2184" s="9"/>
      <c r="S2184" s="10"/>
      <c r="T2184" s="11">
        <f t="shared" si="1088"/>
        <v>0</v>
      </c>
      <c r="U2184" s="11">
        <f t="shared" si="1086"/>
        <v>0</v>
      </c>
      <c r="V2184" s="160"/>
      <c r="W2184" s="27"/>
      <c r="X2184" s="8"/>
      <c r="Y2184" s="9"/>
      <c r="Z2184" s="10"/>
      <c r="AA2184" s="11">
        <f t="shared" si="1089"/>
        <v>0</v>
      </c>
      <c r="AB2184" s="12"/>
      <c r="AC2184" s="9"/>
      <c r="AD2184" s="10"/>
      <c r="AE2184" s="11">
        <f t="shared" si="1090"/>
        <v>0</v>
      </c>
      <c r="AF2184" s="11">
        <f t="shared" si="1085"/>
        <v>0</v>
      </c>
    </row>
    <row r="2185" spans="1:32" x14ac:dyDescent="0.15">
      <c r="A2185" s="27"/>
      <c r="B2185" s="13"/>
      <c r="C2185" s="14"/>
      <c r="D2185" s="15"/>
      <c r="E2185" s="11">
        <f t="shared" si="1091"/>
        <v>0</v>
      </c>
      <c r="F2185" s="16"/>
      <c r="G2185" s="14"/>
      <c r="H2185" s="15"/>
      <c r="I2185" s="11">
        <f t="shared" si="1092"/>
        <v>0</v>
      </c>
      <c r="J2185" s="11">
        <f t="shared" si="1084"/>
        <v>0</v>
      </c>
      <c r="K2185" s="65"/>
      <c r="L2185" s="27"/>
      <c r="M2185" s="13"/>
      <c r="N2185" s="14"/>
      <c r="O2185" s="15"/>
      <c r="P2185" s="11">
        <f t="shared" si="1087"/>
        <v>0</v>
      </c>
      <c r="Q2185" s="16"/>
      <c r="R2185" s="14"/>
      <c r="S2185" s="15"/>
      <c r="T2185" s="11">
        <f t="shared" si="1088"/>
        <v>0</v>
      </c>
      <c r="U2185" s="11">
        <f t="shared" si="1086"/>
        <v>0</v>
      </c>
      <c r="V2185" s="159"/>
      <c r="W2185" s="27"/>
      <c r="X2185" s="13"/>
      <c r="Y2185" s="14"/>
      <c r="Z2185" s="15"/>
      <c r="AA2185" s="11">
        <f t="shared" si="1089"/>
        <v>0</v>
      </c>
      <c r="AB2185" s="16"/>
      <c r="AC2185" s="14"/>
      <c r="AD2185" s="15"/>
      <c r="AE2185" s="11">
        <f t="shared" si="1090"/>
        <v>0</v>
      </c>
      <c r="AF2185" s="11">
        <f t="shared" si="1085"/>
        <v>0</v>
      </c>
    </row>
    <row r="2186" spans="1:32" x14ac:dyDescent="0.15">
      <c r="A2186" s="27"/>
      <c r="B2186" s="8"/>
      <c r="C2186" s="9"/>
      <c r="D2186" s="10"/>
      <c r="E2186" s="11">
        <f t="shared" si="1091"/>
        <v>0</v>
      </c>
      <c r="F2186" s="12"/>
      <c r="G2186" s="9"/>
      <c r="H2186" s="10"/>
      <c r="I2186" s="11">
        <f t="shared" si="1092"/>
        <v>0</v>
      </c>
      <c r="J2186" s="11">
        <f t="shared" si="1084"/>
        <v>0</v>
      </c>
      <c r="K2186" s="71"/>
      <c r="L2186" s="6"/>
      <c r="M2186" s="13"/>
      <c r="N2186" s="14"/>
      <c r="O2186" s="15"/>
      <c r="P2186" s="11">
        <f t="shared" si="1087"/>
        <v>0</v>
      </c>
      <c r="Q2186" s="16"/>
      <c r="R2186" s="14"/>
      <c r="S2186" s="15"/>
      <c r="T2186" s="11">
        <f t="shared" si="1088"/>
        <v>0</v>
      </c>
      <c r="U2186" s="11">
        <f t="shared" si="1086"/>
        <v>0</v>
      </c>
      <c r="V2186" s="159"/>
      <c r="W2186" s="86"/>
      <c r="X2186" s="13"/>
      <c r="Y2186" s="14"/>
      <c r="Z2186" s="15"/>
      <c r="AA2186" s="11">
        <f t="shared" si="1089"/>
        <v>0</v>
      </c>
      <c r="AB2186" s="16"/>
      <c r="AC2186" s="14"/>
      <c r="AD2186" s="15"/>
      <c r="AE2186" s="11">
        <f t="shared" si="1090"/>
        <v>0</v>
      </c>
      <c r="AF2186" s="11">
        <f t="shared" si="1085"/>
        <v>0</v>
      </c>
    </row>
    <row r="2187" spans="1:32" x14ac:dyDescent="0.15">
      <c r="A2187" s="27"/>
      <c r="B2187" s="8"/>
      <c r="C2187" s="9"/>
      <c r="D2187" s="10"/>
      <c r="E2187" s="11">
        <f t="shared" si="1091"/>
        <v>0</v>
      </c>
      <c r="F2187" s="12"/>
      <c r="G2187" s="9"/>
      <c r="H2187" s="10"/>
      <c r="I2187" s="11">
        <f t="shared" si="1092"/>
        <v>0</v>
      </c>
      <c r="J2187" s="11">
        <f t="shared" si="1084"/>
        <v>0</v>
      </c>
      <c r="L2187" s="86"/>
      <c r="M2187" s="13"/>
      <c r="N2187" s="14"/>
      <c r="O2187" s="15"/>
      <c r="P2187" s="11">
        <f t="shared" si="1087"/>
        <v>0</v>
      </c>
      <c r="Q2187" s="16"/>
      <c r="R2187" s="14"/>
      <c r="S2187" s="15"/>
      <c r="T2187" s="11">
        <f t="shared" si="1088"/>
        <v>0</v>
      </c>
      <c r="U2187" s="11">
        <f t="shared" si="1086"/>
        <v>0</v>
      </c>
      <c r="V2187" s="159"/>
      <c r="W2187" s="86"/>
      <c r="X2187" s="13"/>
      <c r="Y2187" s="14"/>
      <c r="Z2187" s="15"/>
      <c r="AA2187" s="11">
        <f t="shared" si="1089"/>
        <v>0</v>
      </c>
      <c r="AB2187" s="16"/>
      <c r="AC2187" s="14"/>
      <c r="AD2187" s="15"/>
      <c r="AE2187" s="11">
        <f t="shared" si="1090"/>
        <v>0</v>
      </c>
      <c r="AF2187" s="11">
        <f t="shared" si="1085"/>
        <v>0</v>
      </c>
    </row>
    <row r="2188" spans="1:32" x14ac:dyDescent="0.15">
      <c r="A2188" s="29"/>
      <c r="B2188" s="8"/>
      <c r="C2188" s="9"/>
      <c r="D2188" s="10"/>
      <c r="E2188" s="11">
        <f t="shared" si="1091"/>
        <v>0</v>
      </c>
      <c r="F2188" s="12"/>
      <c r="G2188" s="9"/>
      <c r="H2188" s="10"/>
      <c r="I2188" s="11">
        <f t="shared" si="1092"/>
        <v>0</v>
      </c>
      <c r="J2188" s="11">
        <f t="shared" si="1084"/>
        <v>0</v>
      </c>
      <c r="L2188" s="27"/>
      <c r="M2188" s="13"/>
      <c r="N2188" s="14"/>
      <c r="O2188" s="15"/>
      <c r="P2188" s="11">
        <f t="shared" si="1087"/>
        <v>0</v>
      </c>
      <c r="Q2188" s="16"/>
      <c r="R2188" s="14"/>
      <c r="S2188" s="15"/>
      <c r="T2188" s="11">
        <f t="shared" si="1088"/>
        <v>0</v>
      </c>
      <c r="U2188" s="11">
        <f t="shared" si="1086"/>
        <v>0</v>
      </c>
      <c r="V2188" s="159"/>
      <c r="W2188" s="86"/>
      <c r="X2188" s="13"/>
      <c r="Y2188" s="14"/>
      <c r="Z2188" s="15"/>
      <c r="AA2188" s="11">
        <f t="shared" si="1089"/>
        <v>0</v>
      </c>
      <c r="AB2188" s="16"/>
      <c r="AC2188" s="14"/>
      <c r="AD2188" s="15"/>
      <c r="AE2188" s="11">
        <f t="shared" si="1090"/>
        <v>0</v>
      </c>
      <c r="AF2188" s="11">
        <f t="shared" si="1085"/>
        <v>0</v>
      </c>
    </row>
    <row r="2189" spans="1:32" ht="14.25" thickBot="1" x14ac:dyDescent="0.2">
      <c r="A2189" s="29"/>
      <c r="B2189" s="8"/>
      <c r="C2189" s="9"/>
      <c r="D2189" s="10"/>
      <c r="E2189" s="11">
        <f t="shared" si="1091"/>
        <v>0</v>
      </c>
      <c r="F2189" s="12"/>
      <c r="G2189" s="9"/>
      <c r="H2189" s="10"/>
      <c r="I2189" s="11">
        <f t="shared" si="1092"/>
        <v>0</v>
      </c>
      <c r="J2189" s="11">
        <f t="shared" si="1084"/>
        <v>0</v>
      </c>
      <c r="L2189" s="27"/>
      <c r="M2189" s="13"/>
      <c r="N2189" s="14"/>
      <c r="O2189" s="15"/>
      <c r="P2189" s="11">
        <f t="shared" si="1087"/>
        <v>0</v>
      </c>
      <c r="Q2189" s="16"/>
      <c r="R2189" s="14"/>
      <c r="S2189" s="15"/>
      <c r="T2189" s="11">
        <f t="shared" si="1088"/>
        <v>0</v>
      </c>
      <c r="U2189" s="11">
        <f t="shared" si="1086"/>
        <v>0</v>
      </c>
      <c r="V2189" s="159"/>
      <c r="W2189" s="86"/>
      <c r="X2189" s="13"/>
      <c r="Y2189" s="14"/>
      <c r="Z2189" s="15"/>
      <c r="AA2189" s="11">
        <f t="shared" si="1089"/>
        <v>0</v>
      </c>
      <c r="AB2189" s="16"/>
      <c r="AC2189" s="14"/>
      <c r="AD2189" s="15"/>
      <c r="AE2189" s="11">
        <f t="shared" si="1090"/>
        <v>0</v>
      </c>
      <c r="AF2189" s="11">
        <f t="shared" si="1085"/>
        <v>0</v>
      </c>
    </row>
    <row r="2190" spans="1:32" ht="14.25" thickBot="1" x14ac:dyDescent="0.2">
      <c r="A2190" s="44" t="s">
        <v>13</v>
      </c>
      <c r="B2190" s="166">
        <f t="shared" ref="B2190:I2190" si="1093">SUM(B2164:B2189)</f>
        <v>7</v>
      </c>
      <c r="C2190" s="162">
        <f t="shared" si="1093"/>
        <v>3</v>
      </c>
      <c r="D2190" s="163">
        <f t="shared" si="1093"/>
        <v>0</v>
      </c>
      <c r="E2190" s="46">
        <f t="shared" si="1093"/>
        <v>10</v>
      </c>
      <c r="F2190" s="48">
        <f t="shared" si="1093"/>
        <v>11</v>
      </c>
      <c r="G2190" s="162">
        <f t="shared" ref="G2190" si="1094">SUM(G2164:G2189)</f>
        <v>8</v>
      </c>
      <c r="H2190" s="163">
        <f t="shared" si="1093"/>
        <v>0</v>
      </c>
      <c r="I2190" s="46">
        <f t="shared" si="1093"/>
        <v>19</v>
      </c>
      <c r="J2190" s="35">
        <f>E2190+I2190</f>
        <v>29</v>
      </c>
      <c r="L2190" s="44" t="s">
        <v>13</v>
      </c>
      <c r="M2190" s="166">
        <f t="shared" ref="M2190:T2190" si="1095">SUM(M2164:M2189)</f>
        <v>130</v>
      </c>
      <c r="N2190" s="162">
        <f t="shared" si="1095"/>
        <v>0</v>
      </c>
      <c r="O2190" s="163">
        <f t="shared" si="1095"/>
        <v>0</v>
      </c>
      <c r="P2190" s="46">
        <f t="shared" si="1095"/>
        <v>130</v>
      </c>
      <c r="Q2190" s="166">
        <f t="shared" si="1095"/>
        <v>140</v>
      </c>
      <c r="R2190" s="162">
        <f t="shared" si="1095"/>
        <v>35</v>
      </c>
      <c r="S2190" s="163">
        <f t="shared" si="1095"/>
        <v>0</v>
      </c>
      <c r="T2190" s="46">
        <f t="shared" si="1095"/>
        <v>175</v>
      </c>
      <c r="U2190" s="35">
        <f>P2190+T2190</f>
        <v>305</v>
      </c>
      <c r="V2190" s="160"/>
      <c r="W2190" s="44" t="s">
        <v>13</v>
      </c>
      <c r="X2190" s="48">
        <f t="shared" ref="X2190:AE2190" si="1096">SUM(X2164:X2189)</f>
        <v>0</v>
      </c>
      <c r="Y2190" s="49">
        <f t="shared" si="1096"/>
        <v>0</v>
      </c>
      <c r="Z2190" s="50">
        <f t="shared" si="1096"/>
        <v>0</v>
      </c>
      <c r="AA2190" s="46">
        <f t="shared" si="1096"/>
        <v>0</v>
      </c>
      <c r="AB2190" s="48">
        <f t="shared" si="1096"/>
        <v>0</v>
      </c>
      <c r="AC2190" s="49">
        <f t="shared" si="1096"/>
        <v>0</v>
      </c>
      <c r="AD2190" s="50">
        <f t="shared" si="1096"/>
        <v>0</v>
      </c>
      <c r="AE2190" s="46">
        <f t="shared" si="1096"/>
        <v>0</v>
      </c>
      <c r="AF2190" s="35">
        <f>AA2190+AE2190</f>
        <v>0</v>
      </c>
    </row>
    <row r="2191" spans="1:32" ht="14.25" thickBot="1" x14ac:dyDescent="0.2">
      <c r="A2191" s="23" t="s">
        <v>14</v>
      </c>
      <c r="B2191" s="167">
        <f t="shared" ref="B2191:J2191" si="1097">B2163-B2190</f>
        <v>0</v>
      </c>
      <c r="C2191" s="164">
        <f t="shared" si="1097"/>
        <v>0</v>
      </c>
      <c r="D2191" s="165">
        <f t="shared" si="1097"/>
        <v>0</v>
      </c>
      <c r="E2191" s="51">
        <f t="shared" si="1097"/>
        <v>0</v>
      </c>
      <c r="F2191" s="24">
        <f t="shared" si="1097"/>
        <v>6</v>
      </c>
      <c r="G2191" s="164">
        <f t="shared" ref="G2191" si="1098">G2163-G2190</f>
        <v>0</v>
      </c>
      <c r="H2191" s="165">
        <f t="shared" si="1097"/>
        <v>0</v>
      </c>
      <c r="I2191" s="47">
        <f t="shared" si="1097"/>
        <v>6</v>
      </c>
      <c r="J2191" s="79">
        <f t="shared" si="1097"/>
        <v>6</v>
      </c>
      <c r="L2191" s="23" t="s">
        <v>14</v>
      </c>
      <c r="M2191" s="167">
        <f t="shared" ref="M2191:U2191" si="1099">M2163-M2190</f>
        <v>0</v>
      </c>
      <c r="N2191" s="164">
        <f t="shared" si="1099"/>
        <v>0</v>
      </c>
      <c r="O2191" s="165">
        <f t="shared" si="1099"/>
        <v>0</v>
      </c>
      <c r="P2191" s="51">
        <f t="shared" si="1099"/>
        <v>0</v>
      </c>
      <c r="Q2191" s="167">
        <f t="shared" si="1099"/>
        <v>0</v>
      </c>
      <c r="R2191" s="164">
        <f t="shared" si="1099"/>
        <v>0</v>
      </c>
      <c r="S2191" s="165">
        <f t="shared" si="1099"/>
        <v>0</v>
      </c>
      <c r="T2191" s="47">
        <f t="shared" si="1099"/>
        <v>0</v>
      </c>
      <c r="U2191" s="79">
        <f t="shared" si="1099"/>
        <v>0</v>
      </c>
      <c r="W2191" s="23" t="s">
        <v>14</v>
      </c>
      <c r="X2191" s="24">
        <f t="shared" ref="X2191:AF2191" si="1100">X2163-X2190</f>
        <v>0</v>
      </c>
      <c r="Y2191" s="25">
        <f t="shared" si="1100"/>
        <v>0</v>
      </c>
      <c r="Z2191" s="30">
        <f t="shared" si="1100"/>
        <v>0</v>
      </c>
      <c r="AA2191" s="51">
        <f t="shared" si="1100"/>
        <v>0</v>
      </c>
      <c r="AB2191" s="24">
        <f t="shared" si="1100"/>
        <v>0</v>
      </c>
      <c r="AC2191" s="25">
        <f t="shared" si="1100"/>
        <v>0</v>
      </c>
      <c r="AD2191" s="30">
        <f t="shared" si="1100"/>
        <v>0</v>
      </c>
      <c r="AE2191" s="47">
        <f t="shared" si="1100"/>
        <v>0</v>
      </c>
      <c r="AF2191" s="79">
        <f t="shared" si="1100"/>
        <v>0</v>
      </c>
    </row>
    <row r="2194" spans="1:11" ht="19.5" thickBot="1" x14ac:dyDescent="0.25">
      <c r="A2194" s="142" t="s">
        <v>850</v>
      </c>
      <c r="B2194" s="143"/>
      <c r="C2194" s="143"/>
      <c r="D2194" s="143"/>
      <c r="E2194" s="143"/>
      <c r="F2194" s="1"/>
      <c r="G2194" s="1"/>
      <c r="H2194" s="1"/>
      <c r="I2194" s="1"/>
      <c r="J2194" s="1"/>
    </row>
    <row r="2195" spans="1:11" ht="14.25" thickBot="1" x14ac:dyDescent="0.2">
      <c r="A2195" s="7" t="s">
        <v>0</v>
      </c>
      <c r="B2195" s="168" t="s">
        <v>1</v>
      </c>
      <c r="C2195" s="169"/>
      <c r="D2195" s="169"/>
      <c r="E2195" s="170"/>
      <c r="F2195" s="168" t="s">
        <v>2</v>
      </c>
      <c r="G2195" s="169"/>
      <c r="H2195" s="169"/>
      <c r="I2195" s="171"/>
      <c r="J2195" s="172" t="s">
        <v>3</v>
      </c>
    </row>
    <row r="2196" spans="1:11" ht="14.25" thickBot="1" x14ac:dyDescent="0.2">
      <c r="A2196" s="7" t="s">
        <v>4</v>
      </c>
      <c r="B2196" s="3" t="s">
        <v>5</v>
      </c>
      <c r="C2196" s="4" t="s">
        <v>6</v>
      </c>
      <c r="D2196" s="5" t="s">
        <v>7</v>
      </c>
      <c r="E2196" s="7" t="s">
        <v>8</v>
      </c>
      <c r="F2196" s="3" t="s">
        <v>5</v>
      </c>
      <c r="G2196" s="4" t="s">
        <v>6</v>
      </c>
      <c r="H2196" s="5" t="s">
        <v>7</v>
      </c>
      <c r="I2196" s="7" t="s">
        <v>8</v>
      </c>
      <c r="J2196" s="173"/>
    </row>
    <row r="2197" spans="1:11" ht="14.25" thickBot="1" x14ac:dyDescent="0.2">
      <c r="A2197" s="31" t="s">
        <v>14</v>
      </c>
      <c r="B2197" s="32">
        <f>B2191</f>
        <v>0</v>
      </c>
      <c r="C2197" s="33">
        <f>C2191</f>
        <v>0</v>
      </c>
      <c r="D2197" s="34">
        <f>D2191</f>
        <v>0</v>
      </c>
      <c r="E2197" s="35">
        <f>SUM(B2197:D2197)</f>
        <v>0</v>
      </c>
      <c r="F2197" s="32">
        <f>F2191</f>
        <v>6</v>
      </c>
      <c r="G2197" s="33">
        <f>G2191</f>
        <v>0</v>
      </c>
      <c r="H2197" s="34">
        <f>H2191</f>
        <v>0</v>
      </c>
      <c r="I2197" s="35">
        <f>SUM(F2197:H2197)</f>
        <v>6</v>
      </c>
      <c r="J2197" s="35">
        <f>E2197+I2197</f>
        <v>6</v>
      </c>
    </row>
    <row r="2198" spans="1:11" x14ac:dyDescent="0.15">
      <c r="A2198" s="28" t="s">
        <v>9</v>
      </c>
      <c r="B2198" s="17"/>
      <c r="C2198" s="18"/>
      <c r="D2198" s="19"/>
      <c r="E2198" s="78">
        <f t="shared" ref="E2198:E2202" si="1101">SUM(B2198:D2198)</f>
        <v>0</v>
      </c>
      <c r="F2198" s="21"/>
      <c r="G2198" s="18"/>
      <c r="H2198" s="19"/>
      <c r="I2198" s="78">
        <f t="shared" ref="I2198:I2202" si="1102">SUM(F2198:H2198)</f>
        <v>0</v>
      </c>
      <c r="J2198" s="78">
        <f t="shared" ref="J2198:J2202" si="1103">E2198+I2198</f>
        <v>0</v>
      </c>
      <c r="K2198" s="65"/>
    </row>
    <row r="2199" spans="1:11" x14ac:dyDescent="0.15">
      <c r="A2199" s="28" t="s">
        <v>10</v>
      </c>
      <c r="B2199" s="8"/>
      <c r="C2199" s="9"/>
      <c r="D2199" s="10"/>
      <c r="E2199" s="11">
        <f t="shared" si="1101"/>
        <v>0</v>
      </c>
      <c r="F2199" s="12"/>
      <c r="G2199" s="9"/>
      <c r="H2199" s="10"/>
      <c r="I2199" s="11">
        <f t="shared" si="1102"/>
        <v>0</v>
      </c>
      <c r="J2199" s="11">
        <f t="shared" si="1103"/>
        <v>0</v>
      </c>
      <c r="K2199" s="65"/>
    </row>
    <row r="2200" spans="1:11" x14ac:dyDescent="0.15">
      <c r="A2200" s="28" t="s">
        <v>11</v>
      </c>
      <c r="B2200" s="8"/>
      <c r="C2200" s="9"/>
      <c r="D2200" s="10"/>
      <c r="E2200" s="11">
        <f t="shared" si="1101"/>
        <v>0</v>
      </c>
      <c r="F2200" s="12"/>
      <c r="G2200" s="9"/>
      <c r="H2200" s="10"/>
      <c r="I2200" s="11">
        <f t="shared" si="1102"/>
        <v>0</v>
      </c>
      <c r="J2200" s="11">
        <f t="shared" si="1103"/>
        <v>0</v>
      </c>
      <c r="K2200" s="65"/>
    </row>
    <row r="2201" spans="1:11" x14ac:dyDescent="0.15">
      <c r="A2201" s="28" t="s">
        <v>12</v>
      </c>
      <c r="B2201" s="8"/>
      <c r="C2201" s="9"/>
      <c r="D2201" s="10"/>
      <c r="E2201" s="11">
        <f t="shared" si="1101"/>
        <v>0</v>
      </c>
      <c r="F2201" s="12"/>
      <c r="G2201" s="9"/>
      <c r="H2201" s="10"/>
      <c r="I2201" s="11">
        <f t="shared" si="1102"/>
        <v>0</v>
      </c>
      <c r="J2201" s="11">
        <f t="shared" si="1103"/>
        <v>0</v>
      </c>
      <c r="K2201" s="65"/>
    </row>
    <row r="2202" spans="1:11" x14ac:dyDescent="0.15">
      <c r="A2202" s="28" t="s">
        <v>15</v>
      </c>
      <c r="B2202" s="8"/>
      <c r="C2202" s="9"/>
      <c r="D2202" s="10"/>
      <c r="E2202" s="11">
        <f t="shared" si="1101"/>
        <v>0</v>
      </c>
      <c r="F2202" s="12"/>
      <c r="G2202" s="9"/>
      <c r="H2202" s="10"/>
      <c r="I2202" s="11">
        <f t="shared" si="1102"/>
        <v>0</v>
      </c>
      <c r="J2202" s="11">
        <f t="shared" si="1103"/>
        <v>0</v>
      </c>
      <c r="K2202" s="65"/>
    </row>
    <row r="2203" spans="1:11" x14ac:dyDescent="0.15">
      <c r="A2203" s="28" t="s">
        <v>16</v>
      </c>
      <c r="B2203" s="8"/>
      <c r="C2203" s="9"/>
      <c r="D2203" s="10"/>
      <c r="E2203" s="11">
        <f t="shared" ref="E2203:E2205" si="1104">SUM(B2203:D2203)</f>
        <v>0</v>
      </c>
      <c r="F2203" s="12"/>
      <c r="G2203" s="9"/>
      <c r="H2203" s="10"/>
      <c r="I2203" s="11">
        <f t="shared" ref="I2203:I2205" si="1105">SUM(F2203:H2203)</f>
        <v>0</v>
      </c>
      <c r="J2203" s="11">
        <f t="shared" ref="J2203:J2205" si="1106">E2203+I2203</f>
        <v>0</v>
      </c>
      <c r="K2203" s="65"/>
    </row>
    <row r="2204" spans="1:11" x14ac:dyDescent="0.15">
      <c r="A2204" s="28" t="s">
        <v>17</v>
      </c>
      <c r="B2204" s="13"/>
      <c r="C2204" s="14"/>
      <c r="D2204" s="15"/>
      <c r="E2204" s="11">
        <f t="shared" si="1104"/>
        <v>0</v>
      </c>
      <c r="F2204" s="16"/>
      <c r="G2204" s="14"/>
      <c r="H2204" s="15"/>
      <c r="I2204" s="11">
        <f t="shared" si="1105"/>
        <v>0</v>
      </c>
      <c r="J2204" s="11">
        <f t="shared" si="1106"/>
        <v>0</v>
      </c>
      <c r="K2204" s="65"/>
    </row>
    <row r="2205" spans="1:11" ht="14.25" thickBot="1" x14ac:dyDescent="0.2">
      <c r="A2205" s="28" t="s">
        <v>18</v>
      </c>
      <c r="B2205" s="36"/>
      <c r="C2205" s="37"/>
      <c r="D2205" s="40"/>
      <c r="E2205" s="22">
        <f t="shared" si="1104"/>
        <v>0</v>
      </c>
      <c r="F2205" s="38"/>
      <c r="G2205" s="38"/>
      <c r="H2205" s="43"/>
      <c r="I2205" s="22">
        <f t="shared" si="1105"/>
        <v>0</v>
      </c>
      <c r="J2205" s="22">
        <f t="shared" si="1106"/>
        <v>0</v>
      </c>
      <c r="K2205" s="65"/>
    </row>
    <row r="2206" spans="1:11" ht="14.25" thickBot="1" x14ac:dyDescent="0.2">
      <c r="A2206" s="39" t="s">
        <v>20</v>
      </c>
      <c r="B2206" s="32">
        <f t="shared" ref="B2206:J2206" si="1107">SUM(B2197:B2205)</f>
        <v>0</v>
      </c>
      <c r="C2206" s="33">
        <f t="shared" si="1107"/>
        <v>0</v>
      </c>
      <c r="D2206" s="34">
        <f t="shared" si="1107"/>
        <v>0</v>
      </c>
      <c r="E2206" s="42">
        <f t="shared" si="1107"/>
        <v>0</v>
      </c>
      <c r="F2206" s="32">
        <f t="shared" si="1107"/>
        <v>6</v>
      </c>
      <c r="G2206" s="33">
        <f t="shared" si="1107"/>
        <v>0</v>
      </c>
      <c r="H2206" s="34">
        <f t="shared" si="1107"/>
        <v>0</v>
      </c>
      <c r="I2206" s="42">
        <f t="shared" si="1107"/>
        <v>6</v>
      </c>
      <c r="J2206" s="42">
        <f t="shared" si="1107"/>
        <v>6</v>
      </c>
    </row>
    <row r="2207" spans="1:11" x14ac:dyDescent="0.15">
      <c r="A2207" s="27" t="s">
        <v>207</v>
      </c>
      <c r="B2207" s="8"/>
      <c r="C2207" s="9"/>
      <c r="D2207" s="10"/>
      <c r="E2207" s="11">
        <f t="shared" ref="E2207:E2222" si="1108">SUM(B2207:D2207)</f>
        <v>0</v>
      </c>
      <c r="F2207" s="12">
        <v>1</v>
      </c>
      <c r="G2207" s="9"/>
      <c r="H2207" s="10"/>
      <c r="I2207" s="11">
        <f t="shared" ref="I2207:I2222" si="1109">SUM(F2207:H2207)</f>
        <v>1</v>
      </c>
      <c r="J2207" s="11">
        <f t="shared" ref="J2207:J2222" si="1110">E2207+I2207</f>
        <v>1</v>
      </c>
      <c r="K2207" s="71">
        <v>45740</v>
      </c>
    </row>
    <row r="2208" spans="1:11" x14ac:dyDescent="0.15">
      <c r="A2208" s="27" t="s">
        <v>207</v>
      </c>
      <c r="B2208" s="8"/>
      <c r="C2208" s="9"/>
      <c r="D2208" s="10"/>
      <c r="E2208" s="11">
        <f t="shared" si="1108"/>
        <v>0</v>
      </c>
      <c r="F2208" s="12">
        <v>1</v>
      </c>
      <c r="G2208" s="9"/>
      <c r="H2208" s="10"/>
      <c r="I2208" s="11">
        <f t="shared" si="1109"/>
        <v>1</v>
      </c>
      <c r="J2208" s="11">
        <f t="shared" si="1110"/>
        <v>1</v>
      </c>
      <c r="K2208" s="71">
        <v>45826</v>
      </c>
    </row>
    <row r="2209" spans="1:11" x14ac:dyDescent="0.15">
      <c r="A2209" s="27" t="s">
        <v>207</v>
      </c>
      <c r="B2209" s="8"/>
      <c r="C2209" s="9"/>
      <c r="D2209" s="10"/>
      <c r="E2209" s="11">
        <f t="shared" si="1108"/>
        <v>0</v>
      </c>
      <c r="F2209" s="12">
        <v>1</v>
      </c>
      <c r="G2209" s="9"/>
      <c r="H2209" s="10"/>
      <c r="I2209" s="11">
        <f t="shared" si="1109"/>
        <v>1</v>
      </c>
      <c r="J2209" s="11">
        <f t="shared" si="1110"/>
        <v>1</v>
      </c>
      <c r="K2209" s="71">
        <v>45831</v>
      </c>
    </row>
    <row r="2210" spans="1:11" x14ac:dyDescent="0.15">
      <c r="A2210" s="27"/>
      <c r="B2210" s="8"/>
      <c r="C2210" s="9"/>
      <c r="D2210" s="10"/>
      <c r="E2210" s="11">
        <f t="shared" si="1108"/>
        <v>0</v>
      </c>
      <c r="F2210" s="12"/>
      <c r="G2210" s="9"/>
      <c r="H2210" s="10"/>
      <c r="I2210" s="11">
        <f t="shared" si="1109"/>
        <v>0</v>
      </c>
      <c r="J2210" s="11">
        <f t="shared" si="1110"/>
        <v>0</v>
      </c>
      <c r="K2210" s="71"/>
    </row>
    <row r="2211" spans="1:11" x14ac:dyDescent="0.15">
      <c r="A2211" s="27"/>
      <c r="B2211" s="8"/>
      <c r="C2211" s="9"/>
      <c r="D2211" s="10"/>
      <c r="E2211" s="11">
        <f t="shared" si="1108"/>
        <v>0</v>
      </c>
      <c r="F2211" s="12"/>
      <c r="G2211" s="9"/>
      <c r="H2211" s="10"/>
      <c r="I2211" s="11">
        <f t="shared" si="1109"/>
        <v>0</v>
      </c>
      <c r="J2211" s="11">
        <f t="shared" si="1110"/>
        <v>0</v>
      </c>
      <c r="K2211" s="71"/>
    </row>
    <row r="2212" spans="1:11" x14ac:dyDescent="0.15">
      <c r="A2212" s="27"/>
      <c r="B2212" s="8"/>
      <c r="C2212" s="9"/>
      <c r="D2212" s="10"/>
      <c r="E2212" s="11">
        <f t="shared" si="1108"/>
        <v>0</v>
      </c>
      <c r="F2212" s="12"/>
      <c r="G2212" s="9"/>
      <c r="H2212" s="10"/>
      <c r="I2212" s="11">
        <f t="shared" si="1109"/>
        <v>0</v>
      </c>
      <c r="J2212" s="11">
        <f t="shared" si="1110"/>
        <v>0</v>
      </c>
      <c r="K2212" s="71"/>
    </row>
    <row r="2213" spans="1:11" x14ac:dyDescent="0.15">
      <c r="A2213" s="27"/>
      <c r="B2213" s="8"/>
      <c r="C2213" s="9"/>
      <c r="D2213" s="10"/>
      <c r="E2213" s="11">
        <f t="shared" si="1108"/>
        <v>0</v>
      </c>
      <c r="F2213" s="12"/>
      <c r="G2213" s="9"/>
      <c r="H2213" s="10"/>
      <c r="I2213" s="11">
        <f t="shared" si="1109"/>
        <v>0</v>
      </c>
      <c r="J2213" s="11">
        <f t="shared" si="1110"/>
        <v>0</v>
      </c>
      <c r="K2213" s="71"/>
    </row>
    <row r="2214" spans="1:11" x14ac:dyDescent="0.15">
      <c r="A2214" s="27"/>
      <c r="B2214" s="8"/>
      <c r="C2214" s="9"/>
      <c r="D2214" s="10"/>
      <c r="E2214" s="11">
        <f t="shared" si="1108"/>
        <v>0</v>
      </c>
      <c r="F2214" s="12"/>
      <c r="G2214" s="9"/>
      <c r="H2214" s="10"/>
      <c r="I2214" s="11">
        <f t="shared" si="1109"/>
        <v>0</v>
      </c>
      <c r="J2214" s="11">
        <f t="shared" si="1110"/>
        <v>0</v>
      </c>
      <c r="K2214" s="71"/>
    </row>
    <row r="2215" spans="1:11" x14ac:dyDescent="0.15">
      <c r="A2215" s="27"/>
      <c r="B2215" s="8"/>
      <c r="C2215" s="9"/>
      <c r="D2215" s="10"/>
      <c r="E2215" s="11">
        <f t="shared" si="1108"/>
        <v>0</v>
      </c>
      <c r="F2215" s="12"/>
      <c r="G2215" s="9"/>
      <c r="H2215" s="10"/>
      <c r="I2215" s="11">
        <f t="shared" si="1109"/>
        <v>0</v>
      </c>
      <c r="J2215" s="11">
        <f t="shared" si="1110"/>
        <v>0</v>
      </c>
      <c r="K2215" s="71"/>
    </row>
    <row r="2216" spans="1:11" x14ac:dyDescent="0.15">
      <c r="A2216" s="27"/>
      <c r="B2216" s="8"/>
      <c r="C2216" s="9"/>
      <c r="D2216" s="10"/>
      <c r="E2216" s="11">
        <f t="shared" si="1108"/>
        <v>0</v>
      </c>
      <c r="F2216" s="12"/>
      <c r="G2216" s="9"/>
      <c r="H2216" s="10"/>
      <c r="I2216" s="11">
        <f t="shared" si="1109"/>
        <v>0</v>
      </c>
      <c r="J2216" s="11">
        <f t="shared" si="1110"/>
        <v>0</v>
      </c>
      <c r="K2216" s="71"/>
    </row>
    <row r="2217" spans="1:11" x14ac:dyDescent="0.15">
      <c r="A2217" s="27"/>
      <c r="B2217" s="8"/>
      <c r="C2217" s="9"/>
      <c r="D2217" s="10"/>
      <c r="E2217" s="11">
        <f t="shared" si="1108"/>
        <v>0</v>
      </c>
      <c r="F2217" s="12"/>
      <c r="G2217" s="9"/>
      <c r="H2217" s="10"/>
      <c r="I2217" s="11">
        <f t="shared" si="1109"/>
        <v>0</v>
      </c>
      <c r="J2217" s="11">
        <f t="shared" si="1110"/>
        <v>0</v>
      </c>
      <c r="K2217" s="71"/>
    </row>
    <row r="2218" spans="1:11" x14ac:dyDescent="0.15">
      <c r="A2218" s="27"/>
      <c r="B2218" s="8"/>
      <c r="C2218" s="9"/>
      <c r="D2218" s="10"/>
      <c r="E2218" s="11">
        <f t="shared" si="1108"/>
        <v>0</v>
      </c>
      <c r="F2218" s="12"/>
      <c r="G2218" s="9"/>
      <c r="H2218" s="10"/>
      <c r="I2218" s="11">
        <f t="shared" si="1109"/>
        <v>0</v>
      </c>
      <c r="J2218" s="11">
        <f t="shared" si="1110"/>
        <v>0</v>
      </c>
      <c r="K2218" s="71"/>
    </row>
    <row r="2219" spans="1:11" x14ac:dyDescent="0.15">
      <c r="A2219" s="27"/>
      <c r="B2219" s="8"/>
      <c r="C2219" s="9"/>
      <c r="D2219" s="10"/>
      <c r="E2219" s="11">
        <f t="shared" si="1108"/>
        <v>0</v>
      </c>
      <c r="F2219" s="12"/>
      <c r="G2219" s="9"/>
      <c r="H2219" s="10"/>
      <c r="I2219" s="11">
        <f t="shared" si="1109"/>
        <v>0</v>
      </c>
      <c r="J2219" s="11">
        <f t="shared" si="1110"/>
        <v>0</v>
      </c>
      <c r="K2219" s="71"/>
    </row>
    <row r="2220" spans="1:11" x14ac:dyDescent="0.15">
      <c r="A2220" s="27"/>
      <c r="B2220" s="8"/>
      <c r="C2220" s="9"/>
      <c r="D2220" s="10"/>
      <c r="E2220" s="11">
        <f t="shared" si="1108"/>
        <v>0</v>
      </c>
      <c r="F2220" s="12"/>
      <c r="G2220" s="9"/>
      <c r="H2220" s="10"/>
      <c r="I2220" s="11">
        <f t="shared" si="1109"/>
        <v>0</v>
      </c>
      <c r="J2220" s="11">
        <f t="shared" si="1110"/>
        <v>0</v>
      </c>
      <c r="K2220" s="71"/>
    </row>
    <row r="2221" spans="1:11" x14ac:dyDescent="0.15">
      <c r="A2221" s="27"/>
      <c r="B2221" s="8"/>
      <c r="C2221" s="9"/>
      <c r="D2221" s="10"/>
      <c r="E2221" s="11">
        <f t="shared" si="1108"/>
        <v>0</v>
      </c>
      <c r="F2221" s="12"/>
      <c r="G2221" s="9"/>
      <c r="H2221" s="10"/>
      <c r="I2221" s="11">
        <f t="shared" si="1109"/>
        <v>0</v>
      </c>
      <c r="J2221" s="11">
        <f t="shared" si="1110"/>
        <v>0</v>
      </c>
      <c r="K2221" s="71"/>
    </row>
    <row r="2222" spans="1:11" x14ac:dyDescent="0.15">
      <c r="A2222" s="27"/>
      <c r="B2222" s="8"/>
      <c r="C2222" s="9"/>
      <c r="D2222" s="10"/>
      <c r="E2222" s="11">
        <f t="shared" si="1108"/>
        <v>0</v>
      </c>
      <c r="F2222" s="12"/>
      <c r="G2222" s="9"/>
      <c r="H2222" s="10"/>
      <c r="I2222" s="11">
        <f t="shared" si="1109"/>
        <v>0</v>
      </c>
      <c r="J2222" s="11">
        <f t="shared" si="1110"/>
        <v>0</v>
      </c>
      <c r="K2222" s="71"/>
    </row>
    <row r="2223" spans="1:11" x14ac:dyDescent="0.15">
      <c r="A2223" s="27"/>
      <c r="B2223" s="8"/>
      <c r="C2223" s="9"/>
      <c r="D2223" s="10"/>
      <c r="E2223" s="11">
        <f t="shared" ref="E2223:E2232" si="1111">SUM(B2223:D2223)</f>
        <v>0</v>
      </c>
      <c r="F2223" s="12"/>
      <c r="G2223" s="9"/>
      <c r="H2223" s="10"/>
      <c r="I2223" s="11">
        <f t="shared" ref="I2223:I2232" si="1112">SUM(F2223:H2223)</f>
        <v>0</v>
      </c>
      <c r="J2223" s="11">
        <f t="shared" ref="J2223:J2232" si="1113">E2223+I2223</f>
        <v>0</v>
      </c>
      <c r="K2223" s="71"/>
    </row>
    <row r="2224" spans="1:11" x14ac:dyDescent="0.15">
      <c r="A2224" s="27"/>
      <c r="B2224" s="8"/>
      <c r="C2224" s="9"/>
      <c r="D2224" s="10"/>
      <c r="E2224" s="11">
        <f t="shared" si="1111"/>
        <v>0</v>
      </c>
      <c r="F2224" s="12"/>
      <c r="G2224" s="9"/>
      <c r="H2224" s="10"/>
      <c r="I2224" s="11">
        <f t="shared" si="1112"/>
        <v>0</v>
      </c>
      <c r="J2224" s="11">
        <f t="shared" si="1113"/>
        <v>0</v>
      </c>
      <c r="K2224" s="71"/>
    </row>
    <row r="2225" spans="1:11" x14ac:dyDescent="0.15">
      <c r="A2225" s="27"/>
      <c r="B2225" s="8"/>
      <c r="C2225" s="9"/>
      <c r="D2225" s="10"/>
      <c r="E2225" s="11">
        <f t="shared" si="1111"/>
        <v>0</v>
      </c>
      <c r="F2225" s="12"/>
      <c r="G2225" s="9"/>
      <c r="H2225" s="10"/>
      <c r="I2225" s="11">
        <f t="shared" si="1112"/>
        <v>0</v>
      </c>
      <c r="J2225" s="11">
        <f t="shared" si="1113"/>
        <v>0</v>
      </c>
      <c r="K2225" s="71"/>
    </row>
    <row r="2226" spans="1:11" x14ac:dyDescent="0.15">
      <c r="A2226" s="27"/>
      <c r="B2226" s="8"/>
      <c r="C2226" s="9"/>
      <c r="D2226" s="10"/>
      <c r="E2226" s="11">
        <f t="shared" si="1111"/>
        <v>0</v>
      </c>
      <c r="F2226" s="12"/>
      <c r="G2226" s="9"/>
      <c r="H2226" s="10"/>
      <c r="I2226" s="11">
        <f t="shared" si="1112"/>
        <v>0</v>
      </c>
      <c r="J2226" s="11">
        <f t="shared" si="1113"/>
        <v>0</v>
      </c>
      <c r="K2226" s="71"/>
    </row>
    <row r="2227" spans="1:11" x14ac:dyDescent="0.15">
      <c r="A2227" s="27"/>
      <c r="B2227" s="8"/>
      <c r="C2227" s="9"/>
      <c r="D2227" s="10"/>
      <c r="E2227" s="11">
        <f t="shared" si="1111"/>
        <v>0</v>
      </c>
      <c r="F2227" s="12"/>
      <c r="G2227" s="9"/>
      <c r="H2227" s="10"/>
      <c r="I2227" s="11">
        <f t="shared" si="1112"/>
        <v>0</v>
      </c>
      <c r="J2227" s="11">
        <f t="shared" si="1113"/>
        <v>0</v>
      </c>
      <c r="K2227" s="71"/>
    </row>
    <row r="2228" spans="1:11" x14ac:dyDescent="0.15">
      <c r="A2228" s="27"/>
      <c r="B2228" s="13"/>
      <c r="C2228" s="14"/>
      <c r="D2228" s="15"/>
      <c r="E2228" s="11">
        <f t="shared" si="1111"/>
        <v>0</v>
      </c>
      <c r="F2228" s="16"/>
      <c r="G2228" s="14"/>
      <c r="H2228" s="15"/>
      <c r="I2228" s="11">
        <f t="shared" si="1112"/>
        <v>0</v>
      </c>
      <c r="J2228" s="11">
        <f t="shared" si="1113"/>
        <v>0</v>
      </c>
      <c r="K2228" s="65"/>
    </row>
    <row r="2229" spans="1:11" x14ac:dyDescent="0.15">
      <c r="A2229" s="27"/>
      <c r="B2229" s="8"/>
      <c r="C2229" s="9"/>
      <c r="D2229" s="10"/>
      <c r="E2229" s="11">
        <f t="shared" si="1111"/>
        <v>0</v>
      </c>
      <c r="F2229" s="12"/>
      <c r="G2229" s="9"/>
      <c r="H2229" s="10"/>
      <c r="I2229" s="11">
        <f t="shared" si="1112"/>
        <v>0</v>
      </c>
      <c r="J2229" s="11">
        <f t="shared" si="1113"/>
        <v>0</v>
      </c>
      <c r="K2229" s="71"/>
    </row>
    <row r="2230" spans="1:11" x14ac:dyDescent="0.15">
      <c r="A2230" s="27"/>
      <c r="B2230" s="8"/>
      <c r="C2230" s="9"/>
      <c r="D2230" s="10"/>
      <c r="E2230" s="11">
        <f t="shared" si="1111"/>
        <v>0</v>
      </c>
      <c r="F2230" s="12"/>
      <c r="G2230" s="9"/>
      <c r="H2230" s="10"/>
      <c r="I2230" s="11">
        <f t="shared" si="1112"/>
        <v>0</v>
      </c>
      <c r="J2230" s="11">
        <f t="shared" si="1113"/>
        <v>0</v>
      </c>
    </row>
    <row r="2231" spans="1:11" x14ac:dyDescent="0.15">
      <c r="A2231" s="29"/>
      <c r="B2231" s="8"/>
      <c r="C2231" s="9"/>
      <c r="D2231" s="10"/>
      <c r="E2231" s="11">
        <f t="shared" si="1111"/>
        <v>0</v>
      </c>
      <c r="F2231" s="12"/>
      <c r="G2231" s="9"/>
      <c r="H2231" s="10"/>
      <c r="I2231" s="11">
        <f t="shared" si="1112"/>
        <v>0</v>
      </c>
      <c r="J2231" s="11">
        <f t="shared" si="1113"/>
        <v>0</v>
      </c>
    </row>
    <row r="2232" spans="1:11" ht="14.25" thickBot="1" x14ac:dyDescent="0.2">
      <c r="A2232" s="29"/>
      <c r="B2232" s="8"/>
      <c r="C2232" s="9"/>
      <c r="D2232" s="10"/>
      <c r="E2232" s="11">
        <f t="shared" si="1111"/>
        <v>0</v>
      </c>
      <c r="F2232" s="12"/>
      <c r="G2232" s="9"/>
      <c r="H2232" s="10"/>
      <c r="I2232" s="11">
        <f t="shared" si="1112"/>
        <v>0</v>
      </c>
      <c r="J2232" s="11">
        <f t="shared" si="1113"/>
        <v>0</v>
      </c>
    </row>
    <row r="2233" spans="1:11" ht="14.25" thickBot="1" x14ac:dyDescent="0.2">
      <c r="A2233" s="44" t="s">
        <v>13</v>
      </c>
      <c r="B2233" s="166">
        <f t="shared" ref="B2233:I2233" si="1114">SUM(B2207:B2232)</f>
        <v>0</v>
      </c>
      <c r="C2233" s="162">
        <f t="shared" si="1114"/>
        <v>0</v>
      </c>
      <c r="D2233" s="163">
        <f t="shared" si="1114"/>
        <v>0</v>
      </c>
      <c r="E2233" s="46">
        <f t="shared" si="1114"/>
        <v>0</v>
      </c>
      <c r="F2233" s="48">
        <f t="shared" si="1114"/>
        <v>3</v>
      </c>
      <c r="G2233" s="162">
        <f t="shared" si="1114"/>
        <v>0</v>
      </c>
      <c r="H2233" s="163">
        <f t="shared" si="1114"/>
        <v>0</v>
      </c>
      <c r="I2233" s="46">
        <f t="shared" si="1114"/>
        <v>3</v>
      </c>
      <c r="J2233" s="35">
        <f>E2233+I2233</f>
        <v>3</v>
      </c>
    </row>
    <row r="2234" spans="1:11" ht="14.25" thickBot="1" x14ac:dyDescent="0.2">
      <c r="A2234" s="23" t="s">
        <v>14</v>
      </c>
      <c r="B2234" s="167">
        <f t="shared" ref="B2234:J2234" si="1115">B2206-B2233</f>
        <v>0</v>
      </c>
      <c r="C2234" s="164">
        <f t="shared" si="1115"/>
        <v>0</v>
      </c>
      <c r="D2234" s="165">
        <f t="shared" si="1115"/>
        <v>0</v>
      </c>
      <c r="E2234" s="51">
        <f t="shared" si="1115"/>
        <v>0</v>
      </c>
      <c r="F2234" s="24">
        <f t="shared" si="1115"/>
        <v>3</v>
      </c>
      <c r="G2234" s="164">
        <f t="shared" si="1115"/>
        <v>0</v>
      </c>
      <c r="H2234" s="165">
        <f t="shared" si="1115"/>
        <v>0</v>
      </c>
      <c r="I2234" s="47">
        <f t="shared" si="1115"/>
        <v>3</v>
      </c>
      <c r="J2234" s="79">
        <f t="shared" si="1115"/>
        <v>3</v>
      </c>
    </row>
  </sheetData>
  <mergeCells count="293">
    <mergeCell ref="X1980:Z1980"/>
    <mergeCell ref="AB1980:AD1980"/>
    <mergeCell ref="M1980:O1980"/>
    <mergeCell ref="B2109:E2109"/>
    <mergeCell ref="F2109:I2109"/>
    <mergeCell ref="J2109:J2110"/>
    <mergeCell ref="M2109:O2109"/>
    <mergeCell ref="Q2109:S2109"/>
    <mergeCell ref="X2109:Z2109"/>
    <mergeCell ref="AB2109:AD2109"/>
    <mergeCell ref="Q1980:S1980"/>
    <mergeCell ref="B1980:E1980"/>
    <mergeCell ref="F1980:I1980"/>
    <mergeCell ref="J1980:J1981"/>
    <mergeCell ref="B2066:E2066"/>
    <mergeCell ref="F2066:I2066"/>
    <mergeCell ref="B1593:E1593"/>
    <mergeCell ref="F1593:I1593"/>
    <mergeCell ref="J1593:J1594"/>
    <mergeCell ref="X1593:Z1593"/>
    <mergeCell ref="AB1593:AD1593"/>
    <mergeCell ref="B1937:E1937"/>
    <mergeCell ref="F1937:I1937"/>
    <mergeCell ref="J1937:J1938"/>
    <mergeCell ref="M1937:O1937"/>
    <mergeCell ref="Q1937:S1937"/>
    <mergeCell ref="X1937:Z1937"/>
    <mergeCell ref="AB1937:AD1937"/>
    <mergeCell ref="B1722:E1722"/>
    <mergeCell ref="F1722:I1722"/>
    <mergeCell ref="J1722:J1723"/>
    <mergeCell ref="X1722:Z1722"/>
    <mergeCell ref="AB1722:AD1722"/>
    <mergeCell ref="B1679:E1679"/>
    <mergeCell ref="F1679:I1679"/>
    <mergeCell ref="J1679:J1680"/>
    <mergeCell ref="X1679:Z1679"/>
    <mergeCell ref="AB1679:AD1679"/>
    <mergeCell ref="B1765:E1765"/>
    <mergeCell ref="F1765:I1765"/>
    <mergeCell ref="J1765:J1766"/>
    <mergeCell ref="B1636:E1636"/>
    <mergeCell ref="F1636:I1636"/>
    <mergeCell ref="J1636:J1637"/>
    <mergeCell ref="X1636:Z1636"/>
    <mergeCell ref="AB1636:AD1636"/>
    <mergeCell ref="M1765:O1765"/>
    <mergeCell ref="Q1765:S1765"/>
    <mergeCell ref="M1679:O1679"/>
    <mergeCell ref="Q1679:S1679"/>
    <mergeCell ref="M1722:O1722"/>
    <mergeCell ref="Q1722:S1722"/>
    <mergeCell ref="B1507:E1507"/>
    <mergeCell ref="F1507:I1507"/>
    <mergeCell ref="J1507:J1508"/>
    <mergeCell ref="X1507:Z1507"/>
    <mergeCell ref="AB1507:AD1507"/>
    <mergeCell ref="B1550:E1550"/>
    <mergeCell ref="F1550:I1550"/>
    <mergeCell ref="J1550:J1551"/>
    <mergeCell ref="X1550:Z1550"/>
    <mergeCell ref="AB1550:AD1550"/>
    <mergeCell ref="B1335:E1335"/>
    <mergeCell ref="F1335:I1335"/>
    <mergeCell ref="J1335:J1336"/>
    <mergeCell ref="X1292:Z1292"/>
    <mergeCell ref="AB1292:AD1292"/>
    <mergeCell ref="B1464:E1464"/>
    <mergeCell ref="F1464:I1464"/>
    <mergeCell ref="J1464:J1465"/>
    <mergeCell ref="X1421:Z1421"/>
    <mergeCell ref="AB1421:AD1421"/>
    <mergeCell ref="B1421:E1421"/>
    <mergeCell ref="F1421:I1421"/>
    <mergeCell ref="J1421:J1422"/>
    <mergeCell ref="X1464:Z1464"/>
    <mergeCell ref="AB1464:AD1464"/>
    <mergeCell ref="AB1077:AD1077"/>
    <mergeCell ref="X1034:Z1034"/>
    <mergeCell ref="AB1034:AD1034"/>
    <mergeCell ref="B1292:E1292"/>
    <mergeCell ref="F1292:I1292"/>
    <mergeCell ref="AB991:AD991"/>
    <mergeCell ref="X991:Z991"/>
    <mergeCell ref="B1378:E1378"/>
    <mergeCell ref="F1378:I1378"/>
    <mergeCell ref="J1378:J1379"/>
    <mergeCell ref="X1378:Z1378"/>
    <mergeCell ref="AB1378:AD1378"/>
    <mergeCell ref="X1206:Z1206"/>
    <mergeCell ref="AB1206:AD1206"/>
    <mergeCell ref="B1206:E1206"/>
    <mergeCell ref="F1206:I1206"/>
    <mergeCell ref="J1206:J1207"/>
    <mergeCell ref="X1249:Z1249"/>
    <mergeCell ref="AB1249:AD1249"/>
    <mergeCell ref="B1249:E1249"/>
    <mergeCell ref="F1249:I1249"/>
    <mergeCell ref="J1249:J1250"/>
    <mergeCell ref="X1335:Z1335"/>
    <mergeCell ref="AB1335:AD1335"/>
    <mergeCell ref="AB905:AD905"/>
    <mergeCell ref="X862:Z862"/>
    <mergeCell ref="AB862:AD862"/>
    <mergeCell ref="J819:J820"/>
    <mergeCell ref="B819:E819"/>
    <mergeCell ref="F819:I819"/>
    <mergeCell ref="J1292:J1293"/>
    <mergeCell ref="X1163:Z1163"/>
    <mergeCell ref="AB1163:AD1163"/>
    <mergeCell ref="B1163:E1163"/>
    <mergeCell ref="F1163:I1163"/>
    <mergeCell ref="J1163:J1164"/>
    <mergeCell ref="B1034:E1034"/>
    <mergeCell ref="F1034:I1034"/>
    <mergeCell ref="J1034:J1035"/>
    <mergeCell ref="X1120:Z1120"/>
    <mergeCell ref="AB1120:AD1120"/>
    <mergeCell ref="B1120:E1120"/>
    <mergeCell ref="F1120:I1120"/>
    <mergeCell ref="J1120:J1121"/>
    <mergeCell ref="B1077:E1077"/>
    <mergeCell ref="F1077:I1077"/>
    <mergeCell ref="J1077:J1078"/>
    <mergeCell ref="X1077:Z1077"/>
    <mergeCell ref="AB733:AD733"/>
    <mergeCell ref="B733:E733"/>
    <mergeCell ref="F733:I733"/>
    <mergeCell ref="J733:J734"/>
    <mergeCell ref="X733:Z733"/>
    <mergeCell ref="AB776:AD776"/>
    <mergeCell ref="X776:Z776"/>
    <mergeCell ref="J862:J863"/>
    <mergeCell ref="AB819:AD819"/>
    <mergeCell ref="X819:Z819"/>
    <mergeCell ref="B561:E561"/>
    <mergeCell ref="F561:I561"/>
    <mergeCell ref="J561:J562"/>
    <mergeCell ref="F604:I604"/>
    <mergeCell ref="X561:Z561"/>
    <mergeCell ref="J604:J605"/>
    <mergeCell ref="X604:Z604"/>
    <mergeCell ref="B948:E948"/>
    <mergeCell ref="F948:I948"/>
    <mergeCell ref="J948:J949"/>
    <mergeCell ref="B905:E905"/>
    <mergeCell ref="F905:I905"/>
    <mergeCell ref="J905:J906"/>
    <mergeCell ref="X905:Z905"/>
    <mergeCell ref="F690:I690"/>
    <mergeCell ref="B647:E647"/>
    <mergeCell ref="X647:Z647"/>
    <mergeCell ref="X690:Z690"/>
    <mergeCell ref="B776:E776"/>
    <mergeCell ref="F776:I776"/>
    <mergeCell ref="J776:J777"/>
    <mergeCell ref="J690:J691"/>
    <mergeCell ref="B604:E604"/>
    <mergeCell ref="B260:E260"/>
    <mergeCell ref="F260:I260"/>
    <mergeCell ref="J260:J261"/>
    <mergeCell ref="B217:E217"/>
    <mergeCell ref="F217:I217"/>
    <mergeCell ref="J217:J218"/>
    <mergeCell ref="B303:E303"/>
    <mergeCell ref="B174:E174"/>
    <mergeCell ref="Q217:T217"/>
    <mergeCell ref="M217:P217"/>
    <mergeCell ref="B88:E88"/>
    <mergeCell ref="F88:I88"/>
    <mergeCell ref="B131:E131"/>
    <mergeCell ref="F131:I131"/>
    <mergeCell ref="J131:J132"/>
    <mergeCell ref="M131:P131"/>
    <mergeCell ref="Q131:T131"/>
    <mergeCell ref="J88:J89"/>
    <mergeCell ref="M88:P88"/>
    <mergeCell ref="U88:U89"/>
    <mergeCell ref="M174:P174"/>
    <mergeCell ref="Q174:T174"/>
    <mergeCell ref="U174:U175"/>
    <mergeCell ref="F174:I174"/>
    <mergeCell ref="U131:U132"/>
    <mergeCell ref="U217:U218"/>
    <mergeCell ref="M303:P303"/>
    <mergeCell ref="Q303:T303"/>
    <mergeCell ref="J174:J175"/>
    <mergeCell ref="Q88:T88"/>
    <mergeCell ref="F303:I303"/>
    <mergeCell ref="J303:J304"/>
    <mergeCell ref="U2:U3"/>
    <mergeCell ref="B45:E45"/>
    <mergeCell ref="F45:I45"/>
    <mergeCell ref="J45:J46"/>
    <mergeCell ref="M45:P45"/>
    <mergeCell ref="Q45:T45"/>
    <mergeCell ref="U45:U46"/>
    <mergeCell ref="B2:E2"/>
    <mergeCell ref="F2:I2"/>
    <mergeCell ref="J2:J3"/>
    <mergeCell ref="M2:P2"/>
    <mergeCell ref="Q2:T2"/>
    <mergeCell ref="AB561:AD561"/>
    <mergeCell ref="X1765:Z1765"/>
    <mergeCell ref="AB1765:AD1765"/>
    <mergeCell ref="AB604:AD604"/>
    <mergeCell ref="AB647:AD647"/>
    <mergeCell ref="AB690:AD690"/>
    <mergeCell ref="U303:U304"/>
    <mergeCell ref="M260:P260"/>
    <mergeCell ref="Q260:T260"/>
    <mergeCell ref="U260:U261"/>
    <mergeCell ref="U518:U519"/>
    <mergeCell ref="U475:U476"/>
    <mergeCell ref="U432:U433"/>
    <mergeCell ref="M389:P389"/>
    <mergeCell ref="M432:P432"/>
    <mergeCell ref="Q432:T432"/>
    <mergeCell ref="Q389:T389"/>
    <mergeCell ref="M475:P475"/>
    <mergeCell ref="U389:U390"/>
    <mergeCell ref="M346:P346"/>
    <mergeCell ref="Q346:T346"/>
    <mergeCell ref="U346:U347"/>
    <mergeCell ref="M518:P518"/>
    <mergeCell ref="Q518:T518"/>
    <mergeCell ref="X1894:Z1894"/>
    <mergeCell ref="AB1894:AD1894"/>
    <mergeCell ref="M1808:O1808"/>
    <mergeCell ref="Q1808:S1808"/>
    <mergeCell ref="X1808:Z1808"/>
    <mergeCell ref="AB1808:AD1808"/>
    <mergeCell ref="B1851:E1851"/>
    <mergeCell ref="F1851:I1851"/>
    <mergeCell ref="J1851:J1852"/>
    <mergeCell ref="M1851:O1851"/>
    <mergeCell ref="Q1851:S1851"/>
    <mergeCell ref="X1851:Z1851"/>
    <mergeCell ref="AB1851:AD1851"/>
    <mergeCell ref="B1808:E1808"/>
    <mergeCell ref="F1808:I1808"/>
    <mergeCell ref="J1808:J1809"/>
    <mergeCell ref="B1894:E1894"/>
    <mergeCell ref="F1894:I1894"/>
    <mergeCell ref="J1894:J1895"/>
    <mergeCell ref="M1894:O1894"/>
    <mergeCell ref="Q1894:S1894"/>
    <mergeCell ref="Q475:T475"/>
    <mergeCell ref="F346:I346"/>
    <mergeCell ref="J346:J347"/>
    <mergeCell ref="B475:E475"/>
    <mergeCell ref="B518:E518"/>
    <mergeCell ref="F647:I647"/>
    <mergeCell ref="B991:E991"/>
    <mergeCell ref="F991:I991"/>
    <mergeCell ref="J991:J992"/>
    <mergeCell ref="B862:E862"/>
    <mergeCell ref="F862:I862"/>
    <mergeCell ref="B389:E389"/>
    <mergeCell ref="F389:I389"/>
    <mergeCell ref="J389:J390"/>
    <mergeCell ref="B432:E432"/>
    <mergeCell ref="F432:I432"/>
    <mergeCell ref="J432:J433"/>
    <mergeCell ref="F475:I475"/>
    <mergeCell ref="J475:J476"/>
    <mergeCell ref="B346:E346"/>
    <mergeCell ref="F518:I518"/>
    <mergeCell ref="J518:J519"/>
    <mergeCell ref="J647:J648"/>
    <mergeCell ref="B690:E690"/>
    <mergeCell ref="B2195:E2195"/>
    <mergeCell ref="F2195:I2195"/>
    <mergeCell ref="J2195:J2196"/>
    <mergeCell ref="J2066:J2067"/>
    <mergeCell ref="M2066:O2066"/>
    <mergeCell ref="Q2066:S2066"/>
    <mergeCell ref="X2066:Z2066"/>
    <mergeCell ref="AB2066:AD2066"/>
    <mergeCell ref="B2023:E2023"/>
    <mergeCell ref="F2023:I2023"/>
    <mergeCell ref="J2023:J2024"/>
    <mergeCell ref="M2023:O2023"/>
    <mergeCell ref="Q2023:S2023"/>
    <mergeCell ref="X2023:Z2023"/>
    <mergeCell ref="B2152:E2152"/>
    <mergeCell ref="F2152:I2152"/>
    <mergeCell ref="J2152:J2153"/>
    <mergeCell ref="M2152:O2152"/>
    <mergeCell ref="Q2152:S2152"/>
    <mergeCell ref="X2152:Z2152"/>
    <mergeCell ref="AB2152:AD2152"/>
    <mergeCell ref="AB2023:AD2023"/>
  </mergeCells>
  <phoneticPr fontId="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ソフトブラオリジナル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村田敦彦</cp:lastModifiedBy>
  <cp:lastPrinted>2016-04-25T04:58:47Z</cp:lastPrinted>
  <dcterms:created xsi:type="dcterms:W3CDTF">2014-02-28T08:53:09Z</dcterms:created>
  <dcterms:modified xsi:type="dcterms:W3CDTF">2025-06-23T05:13:26Z</dcterms:modified>
</cp:coreProperties>
</file>