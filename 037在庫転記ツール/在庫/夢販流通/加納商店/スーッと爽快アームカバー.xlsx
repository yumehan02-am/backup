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加納商店\"/>
    </mc:Choice>
  </mc:AlternateContent>
  <xr:revisionPtr revIDLastSave="0" documentId="13_ncr:1_{4D31276F-0E72-42C9-A826-5014BA02BD1A}" xr6:coauthVersionLast="47" xr6:coauthVersionMax="47" xr10:uidLastSave="{00000000-0000-0000-0000-000000000000}"/>
  <bookViews>
    <workbookView xWindow="10920" yWindow="1425" windowWidth="16065" windowHeight="12450" firstSheet="1" activeTab="1" xr2:uid="{00000000-000D-0000-FFFF-FFFF00000000}"/>
  </bookViews>
  <sheets>
    <sheet name="ブラックオンリー従来品" sheetId="1" r:id="rId1"/>
    <sheet name="スーッと爽快アームカバー3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04" i="2" l="1"/>
  <c r="I2302" i="2"/>
  <c r="L2302" i="2" s="1"/>
  <c r="J2302" i="2"/>
  <c r="K2302" i="2"/>
  <c r="K2307" i="2" s="1"/>
  <c r="T2306" i="2"/>
  <c r="K2304" i="2"/>
  <c r="I2304" i="2"/>
  <c r="U2345" i="2"/>
  <c r="U2346" i="2"/>
  <c r="U2347" i="2"/>
  <c r="U2348" i="2"/>
  <c r="U2325" i="2"/>
  <c r="P2349" i="2"/>
  <c r="Q2348" i="2"/>
  <c r="Q2347" i="2"/>
  <c r="Q2346" i="2"/>
  <c r="Q2345" i="2"/>
  <c r="U2344" i="2"/>
  <c r="Q2344" i="2"/>
  <c r="U2343" i="2"/>
  <c r="Q2343" i="2"/>
  <c r="U2342" i="2"/>
  <c r="Q2342" i="2"/>
  <c r="U2341" i="2"/>
  <c r="Q2341" i="2"/>
  <c r="U2340" i="2"/>
  <c r="Q2340" i="2"/>
  <c r="U2339" i="2"/>
  <c r="Q2339" i="2"/>
  <c r="U2338" i="2"/>
  <c r="Q2338" i="2"/>
  <c r="U2337" i="2"/>
  <c r="Q2337" i="2"/>
  <c r="U2336" i="2"/>
  <c r="Q2336" i="2"/>
  <c r="U2335" i="2"/>
  <c r="Q2335" i="2"/>
  <c r="U2334" i="2"/>
  <c r="Q2334" i="2"/>
  <c r="U2333" i="2"/>
  <c r="Q2333" i="2"/>
  <c r="U2332" i="2"/>
  <c r="Q2332" i="2"/>
  <c r="U2331" i="2"/>
  <c r="Q2331" i="2"/>
  <c r="U2330" i="2"/>
  <c r="Q2330" i="2"/>
  <c r="U2329" i="2"/>
  <c r="Q2329" i="2"/>
  <c r="U2328" i="2"/>
  <c r="Q2328" i="2"/>
  <c r="U2327" i="2"/>
  <c r="Q2327" i="2"/>
  <c r="U2326" i="2"/>
  <c r="Q2326" i="2"/>
  <c r="Q2349" i="2" s="1"/>
  <c r="Q2325" i="2"/>
  <c r="U2323" i="2"/>
  <c r="Q2323" i="2"/>
  <c r="U2322" i="2"/>
  <c r="Q2322" i="2"/>
  <c r="U2321" i="2"/>
  <c r="Q2321" i="2"/>
  <c r="U2320" i="2"/>
  <c r="Q2320" i="2"/>
  <c r="U2319" i="2"/>
  <c r="Q2319" i="2"/>
  <c r="U2318" i="2"/>
  <c r="Q2318" i="2"/>
  <c r="U2317" i="2"/>
  <c r="Q2317" i="2"/>
  <c r="U2316" i="2"/>
  <c r="Q2316" i="2"/>
  <c r="U2315" i="2"/>
  <c r="Q2315" i="2"/>
  <c r="U2314" i="2"/>
  <c r="Q2314" i="2"/>
  <c r="Q2313" i="2"/>
  <c r="Q2324" i="2" s="1"/>
  <c r="Q2350" i="2" s="1"/>
  <c r="P2313" i="2"/>
  <c r="P2324" i="2" s="1"/>
  <c r="P2350" i="2" s="1"/>
  <c r="F2325" i="2"/>
  <c r="F2349" i="2" s="1"/>
  <c r="F2326" i="2"/>
  <c r="F2327" i="2"/>
  <c r="F2328" i="2"/>
  <c r="F2329" i="2"/>
  <c r="E2349" i="2"/>
  <c r="D2349" i="2"/>
  <c r="C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3" i="2"/>
  <c r="F2322" i="2"/>
  <c r="F2321" i="2"/>
  <c r="F2320" i="2"/>
  <c r="F2319" i="2"/>
  <c r="F2318" i="2"/>
  <c r="F2317" i="2"/>
  <c r="F2316" i="2"/>
  <c r="F2315" i="2"/>
  <c r="F2314" i="2"/>
  <c r="L2295" i="2"/>
  <c r="L2296" i="2"/>
  <c r="L2297" i="2"/>
  <c r="L2298" i="2"/>
  <c r="L2299" i="2"/>
  <c r="L2300" i="2"/>
  <c r="I2306" i="2"/>
  <c r="L2306" i="2" s="1"/>
  <c r="L2305" i="2"/>
  <c r="L2304" i="2"/>
  <c r="L2303" i="2"/>
  <c r="J2307" i="2"/>
  <c r="L2301" i="2"/>
  <c r="L2337" i="2"/>
  <c r="L2338" i="2"/>
  <c r="L2339" i="2"/>
  <c r="L2340" i="2"/>
  <c r="L2341" i="2"/>
  <c r="L2342" i="2"/>
  <c r="L2325" i="2"/>
  <c r="L2326" i="2"/>
  <c r="L2327" i="2"/>
  <c r="L2348" i="2"/>
  <c r="L2347" i="2"/>
  <c r="L2346" i="2"/>
  <c r="L2345" i="2"/>
  <c r="L2344" i="2"/>
  <c r="L2343" i="2"/>
  <c r="I2349" i="2"/>
  <c r="K2349" i="2"/>
  <c r="J2349" i="2"/>
  <c r="L2336" i="2"/>
  <c r="L2335" i="2"/>
  <c r="L2334" i="2"/>
  <c r="L2333" i="2"/>
  <c r="L2332" i="2"/>
  <c r="L2331" i="2"/>
  <c r="L2330" i="2"/>
  <c r="L2329" i="2"/>
  <c r="L2328" i="2"/>
  <c r="L2323" i="2"/>
  <c r="L2322" i="2"/>
  <c r="L2321" i="2"/>
  <c r="L2320" i="2"/>
  <c r="L2319" i="2"/>
  <c r="L2318" i="2"/>
  <c r="L2317" i="2"/>
  <c r="L2316" i="2"/>
  <c r="L2315" i="2"/>
  <c r="L2314" i="2"/>
  <c r="T2303" i="2"/>
  <c r="L2246" i="2"/>
  <c r="L2283" i="2"/>
  <c r="F2272" i="2"/>
  <c r="F2273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L2284" i="2"/>
  <c r="L2285" i="2"/>
  <c r="L2286" i="2"/>
  <c r="U2261" i="2"/>
  <c r="U2262" i="2"/>
  <c r="U2265" i="2" s="1"/>
  <c r="U2263" i="2"/>
  <c r="U2264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T2307" i="2"/>
  <c r="P2307" i="2"/>
  <c r="E2307" i="2"/>
  <c r="D2307" i="2"/>
  <c r="C2307" i="2"/>
  <c r="U2306" i="2"/>
  <c r="Q2306" i="2"/>
  <c r="F2306" i="2"/>
  <c r="U2305" i="2"/>
  <c r="Q2305" i="2"/>
  <c r="F2305" i="2"/>
  <c r="U2304" i="2"/>
  <c r="Q2304" i="2"/>
  <c r="F2304" i="2"/>
  <c r="U2303" i="2"/>
  <c r="Q2303" i="2"/>
  <c r="F2303" i="2"/>
  <c r="U2302" i="2"/>
  <c r="Q2302" i="2"/>
  <c r="U2301" i="2"/>
  <c r="Q2301" i="2"/>
  <c r="U2300" i="2"/>
  <c r="Q2300" i="2"/>
  <c r="U2299" i="2"/>
  <c r="Q2299" i="2"/>
  <c r="U2298" i="2"/>
  <c r="Q2298" i="2"/>
  <c r="U2297" i="2"/>
  <c r="Q2297" i="2"/>
  <c r="U2296" i="2"/>
  <c r="Q2296" i="2"/>
  <c r="U2295" i="2"/>
  <c r="Q2295" i="2"/>
  <c r="U2294" i="2"/>
  <c r="Q2294" i="2"/>
  <c r="L2294" i="2"/>
  <c r="U2293" i="2"/>
  <c r="Q2293" i="2"/>
  <c r="L2293" i="2"/>
  <c r="U2292" i="2"/>
  <c r="Q2292" i="2"/>
  <c r="L2292" i="2"/>
  <c r="U2291" i="2"/>
  <c r="Q2291" i="2"/>
  <c r="L2291" i="2"/>
  <c r="U2290" i="2"/>
  <c r="Q2290" i="2"/>
  <c r="L2290" i="2"/>
  <c r="U2289" i="2"/>
  <c r="Q2289" i="2"/>
  <c r="L2289" i="2"/>
  <c r="U2288" i="2"/>
  <c r="Q2288" i="2"/>
  <c r="L2288" i="2"/>
  <c r="U2287" i="2"/>
  <c r="Q2287" i="2"/>
  <c r="L2287" i="2"/>
  <c r="U2286" i="2"/>
  <c r="Q2286" i="2"/>
  <c r="U2285" i="2"/>
  <c r="Q2285" i="2"/>
  <c r="U2284" i="2"/>
  <c r="Q2284" i="2"/>
  <c r="U2283" i="2"/>
  <c r="U2307" i="2" s="1"/>
  <c r="Q2283" i="2"/>
  <c r="Q2307" i="2" s="1"/>
  <c r="U2281" i="2"/>
  <c r="Q2281" i="2"/>
  <c r="L2281" i="2"/>
  <c r="F2281" i="2"/>
  <c r="U2280" i="2"/>
  <c r="Q2280" i="2"/>
  <c r="L2280" i="2"/>
  <c r="F2280" i="2"/>
  <c r="U2279" i="2"/>
  <c r="Q2279" i="2"/>
  <c r="L2279" i="2"/>
  <c r="F2279" i="2"/>
  <c r="U2278" i="2"/>
  <c r="Q2278" i="2"/>
  <c r="L2278" i="2"/>
  <c r="F2278" i="2"/>
  <c r="U2277" i="2"/>
  <c r="Q2277" i="2"/>
  <c r="L2277" i="2"/>
  <c r="F2277" i="2"/>
  <c r="U2276" i="2"/>
  <c r="Q2276" i="2"/>
  <c r="L2276" i="2"/>
  <c r="F2276" i="2"/>
  <c r="U2275" i="2"/>
  <c r="Q2275" i="2"/>
  <c r="L2275" i="2"/>
  <c r="F2275" i="2"/>
  <c r="U2274" i="2"/>
  <c r="Q2274" i="2"/>
  <c r="L2274" i="2"/>
  <c r="F2274" i="2"/>
  <c r="U2273" i="2"/>
  <c r="Q2273" i="2"/>
  <c r="L2273" i="2"/>
  <c r="U2272" i="2"/>
  <c r="Q2272" i="2"/>
  <c r="L2272" i="2"/>
  <c r="Q2271" i="2"/>
  <c r="Q2282" i="2" s="1"/>
  <c r="Q2308" i="2" s="1"/>
  <c r="P2271" i="2"/>
  <c r="P2282" i="2" s="1"/>
  <c r="P2308" i="2" s="1"/>
  <c r="U2219" i="2"/>
  <c r="U2220" i="2"/>
  <c r="U2221" i="2"/>
  <c r="U2222" i="2"/>
  <c r="L2241" i="2"/>
  <c r="L2242" i="2"/>
  <c r="L2217" i="2"/>
  <c r="L2218" i="2"/>
  <c r="L2219" i="2"/>
  <c r="L2220" i="2"/>
  <c r="L2221" i="2"/>
  <c r="L2222" i="2"/>
  <c r="F2230" i="2"/>
  <c r="F2231" i="2"/>
  <c r="P2266" i="2"/>
  <c r="T2265" i="2"/>
  <c r="Q2265" i="2"/>
  <c r="P2265" i="2"/>
  <c r="K2265" i="2"/>
  <c r="J2265" i="2"/>
  <c r="I2265" i="2"/>
  <c r="E2265" i="2"/>
  <c r="D2265" i="2"/>
  <c r="C2265" i="2"/>
  <c r="Q2264" i="2"/>
  <c r="F2264" i="2"/>
  <c r="Q2263" i="2"/>
  <c r="F2263" i="2"/>
  <c r="Q2262" i="2"/>
  <c r="F2262" i="2"/>
  <c r="Q2261" i="2"/>
  <c r="F2261" i="2"/>
  <c r="U2260" i="2"/>
  <c r="Q2260" i="2"/>
  <c r="F2260" i="2"/>
  <c r="U2259" i="2"/>
  <c r="Q2259" i="2"/>
  <c r="F2259" i="2"/>
  <c r="U2258" i="2"/>
  <c r="Q2258" i="2"/>
  <c r="F2258" i="2"/>
  <c r="U2257" i="2"/>
  <c r="Q2257" i="2"/>
  <c r="F2257" i="2"/>
  <c r="U2256" i="2"/>
  <c r="Q2256" i="2"/>
  <c r="F2256" i="2"/>
  <c r="U2255" i="2"/>
  <c r="Q2255" i="2"/>
  <c r="F2255" i="2"/>
  <c r="U2254" i="2"/>
  <c r="Q2254" i="2"/>
  <c r="F2254" i="2"/>
  <c r="U2253" i="2"/>
  <c r="Q2253" i="2"/>
  <c r="F2253" i="2"/>
  <c r="U2252" i="2"/>
  <c r="Q2252" i="2"/>
  <c r="L2252" i="2"/>
  <c r="F2252" i="2"/>
  <c r="U2251" i="2"/>
  <c r="Q2251" i="2"/>
  <c r="L2251" i="2"/>
  <c r="F2251" i="2"/>
  <c r="U2250" i="2"/>
  <c r="Q2250" i="2"/>
  <c r="L2250" i="2"/>
  <c r="F2250" i="2"/>
  <c r="U2249" i="2"/>
  <c r="Q2249" i="2"/>
  <c r="L2249" i="2"/>
  <c r="F2249" i="2"/>
  <c r="U2248" i="2"/>
  <c r="Q2248" i="2"/>
  <c r="L2248" i="2"/>
  <c r="F2248" i="2"/>
  <c r="U2247" i="2"/>
  <c r="Q2247" i="2"/>
  <c r="L2247" i="2"/>
  <c r="F2247" i="2"/>
  <c r="U2246" i="2"/>
  <c r="Q2246" i="2"/>
  <c r="F2246" i="2"/>
  <c r="U2245" i="2"/>
  <c r="Q2245" i="2"/>
  <c r="L2245" i="2"/>
  <c r="F2245" i="2"/>
  <c r="U2244" i="2"/>
  <c r="Q2244" i="2"/>
  <c r="L2244" i="2"/>
  <c r="F2244" i="2"/>
  <c r="U2243" i="2"/>
  <c r="Q2243" i="2"/>
  <c r="L2243" i="2"/>
  <c r="F2243" i="2"/>
  <c r="U2242" i="2"/>
  <c r="Q2242" i="2"/>
  <c r="F2242" i="2"/>
  <c r="U2241" i="2"/>
  <c r="Q2241" i="2"/>
  <c r="F2241" i="2"/>
  <c r="Q2240" i="2"/>
  <c r="Q2266" i="2" s="1"/>
  <c r="P2240" i="2"/>
  <c r="E2240" i="2"/>
  <c r="D2240" i="2"/>
  <c r="C2240" i="2"/>
  <c r="U2239" i="2"/>
  <c r="Q2239" i="2"/>
  <c r="L2239" i="2"/>
  <c r="F2239" i="2"/>
  <c r="U2238" i="2"/>
  <c r="Q2238" i="2"/>
  <c r="L2238" i="2"/>
  <c r="F2238" i="2"/>
  <c r="U2237" i="2"/>
  <c r="Q2237" i="2"/>
  <c r="L2237" i="2"/>
  <c r="F2237" i="2"/>
  <c r="U2236" i="2"/>
  <c r="Q2236" i="2"/>
  <c r="L2236" i="2"/>
  <c r="F2236" i="2"/>
  <c r="U2235" i="2"/>
  <c r="Q2235" i="2"/>
  <c r="L2235" i="2"/>
  <c r="F2235" i="2"/>
  <c r="U2234" i="2"/>
  <c r="Q2234" i="2"/>
  <c r="L2234" i="2"/>
  <c r="F2234" i="2"/>
  <c r="U2233" i="2"/>
  <c r="Q2233" i="2"/>
  <c r="L2233" i="2"/>
  <c r="F2233" i="2"/>
  <c r="U2232" i="2"/>
  <c r="Q2232" i="2"/>
  <c r="L2232" i="2"/>
  <c r="F2232" i="2"/>
  <c r="F2240" i="2" s="1"/>
  <c r="U2231" i="2"/>
  <c r="Q2231" i="2"/>
  <c r="L2231" i="2"/>
  <c r="U2230" i="2"/>
  <c r="Q2230" i="2"/>
  <c r="L2230" i="2"/>
  <c r="Q2229" i="2"/>
  <c r="P2229" i="2"/>
  <c r="F2229" i="2"/>
  <c r="E2229" i="2"/>
  <c r="D2229" i="2"/>
  <c r="C2229" i="2"/>
  <c r="C2209" i="2"/>
  <c r="L2216" i="2"/>
  <c r="L2180" i="2"/>
  <c r="L2181" i="2" s="1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188" i="2"/>
  <c r="T2223" i="2"/>
  <c r="Q2223" i="2"/>
  <c r="P2223" i="2"/>
  <c r="K2223" i="2"/>
  <c r="J2223" i="2"/>
  <c r="I2223" i="2"/>
  <c r="E2223" i="2"/>
  <c r="D2223" i="2"/>
  <c r="C2223" i="2"/>
  <c r="Q2222" i="2"/>
  <c r="F2222" i="2"/>
  <c r="Q2221" i="2"/>
  <c r="F2221" i="2"/>
  <c r="Q2220" i="2"/>
  <c r="F2220" i="2"/>
  <c r="Q2219" i="2"/>
  <c r="F2219" i="2"/>
  <c r="U2218" i="2"/>
  <c r="Q2218" i="2"/>
  <c r="F2218" i="2"/>
  <c r="U2217" i="2"/>
  <c r="Q2217" i="2"/>
  <c r="F2217" i="2"/>
  <c r="U2216" i="2"/>
  <c r="Q2216" i="2"/>
  <c r="F2216" i="2"/>
  <c r="U2215" i="2"/>
  <c r="Q2215" i="2"/>
  <c r="L2215" i="2"/>
  <c r="F2215" i="2"/>
  <c r="U2214" i="2"/>
  <c r="Q2214" i="2"/>
  <c r="L2214" i="2"/>
  <c r="U2213" i="2"/>
  <c r="Q2213" i="2"/>
  <c r="L2213" i="2"/>
  <c r="U2212" i="2"/>
  <c r="Q2212" i="2"/>
  <c r="L2212" i="2"/>
  <c r="U2211" i="2"/>
  <c r="Q2211" i="2"/>
  <c r="L2211" i="2"/>
  <c r="U2210" i="2"/>
  <c r="Q2210" i="2"/>
  <c r="L2210" i="2"/>
  <c r="U2209" i="2"/>
  <c r="Q2209" i="2"/>
  <c r="L2209" i="2"/>
  <c r="U2208" i="2"/>
  <c r="Q2208" i="2"/>
  <c r="L2208" i="2"/>
  <c r="U2207" i="2"/>
  <c r="Q2207" i="2"/>
  <c r="L2207" i="2"/>
  <c r="U2206" i="2"/>
  <c r="Q2206" i="2"/>
  <c r="L2206" i="2"/>
  <c r="U2205" i="2"/>
  <c r="Q2205" i="2"/>
  <c r="L2205" i="2"/>
  <c r="U2204" i="2"/>
  <c r="Q2204" i="2"/>
  <c r="L2204" i="2"/>
  <c r="U2203" i="2"/>
  <c r="Q2203" i="2"/>
  <c r="L2203" i="2"/>
  <c r="U2202" i="2"/>
  <c r="Q2202" i="2"/>
  <c r="L2202" i="2"/>
  <c r="U2201" i="2"/>
  <c r="Q2201" i="2"/>
  <c r="L2201" i="2"/>
  <c r="U2200" i="2"/>
  <c r="Q2200" i="2"/>
  <c r="L2200" i="2"/>
  <c r="U2199" i="2"/>
  <c r="Q2199" i="2"/>
  <c r="L2199" i="2"/>
  <c r="U2197" i="2"/>
  <c r="Q2197" i="2"/>
  <c r="L2197" i="2"/>
  <c r="F2197" i="2"/>
  <c r="U2196" i="2"/>
  <c r="Q2196" i="2"/>
  <c r="L2196" i="2"/>
  <c r="F2196" i="2"/>
  <c r="U2195" i="2"/>
  <c r="Q2195" i="2"/>
  <c r="L2195" i="2"/>
  <c r="F2195" i="2"/>
  <c r="U2194" i="2"/>
  <c r="Q2194" i="2"/>
  <c r="L2194" i="2"/>
  <c r="F2194" i="2"/>
  <c r="U2193" i="2"/>
  <c r="Q2193" i="2"/>
  <c r="L2193" i="2"/>
  <c r="F2193" i="2"/>
  <c r="U2192" i="2"/>
  <c r="Q2192" i="2"/>
  <c r="L2192" i="2"/>
  <c r="F2192" i="2"/>
  <c r="U2191" i="2"/>
  <c r="Q2191" i="2"/>
  <c r="L2191" i="2"/>
  <c r="F2191" i="2"/>
  <c r="U2190" i="2"/>
  <c r="Q2190" i="2"/>
  <c r="L2190" i="2"/>
  <c r="F2190" i="2"/>
  <c r="U2189" i="2"/>
  <c r="Q2189" i="2"/>
  <c r="L2189" i="2"/>
  <c r="F2189" i="2"/>
  <c r="U2188" i="2"/>
  <c r="Q2188" i="2"/>
  <c r="L2188" i="2"/>
  <c r="Q2187" i="2"/>
  <c r="Q2198" i="2" s="1"/>
  <c r="Q2224" i="2" s="1"/>
  <c r="P2187" i="2"/>
  <c r="P2198" i="2" s="1"/>
  <c r="P2224" i="2" s="1"/>
  <c r="E2187" i="2"/>
  <c r="E2198" i="2" s="1"/>
  <c r="T2181" i="2"/>
  <c r="P2181" i="2"/>
  <c r="U2180" i="2"/>
  <c r="Q2180" i="2"/>
  <c r="U2179" i="2"/>
  <c r="Q2179" i="2"/>
  <c r="U2178" i="2"/>
  <c r="Q2178" i="2"/>
  <c r="U2177" i="2"/>
  <c r="Q2177" i="2"/>
  <c r="U2176" i="2"/>
  <c r="Q2176" i="2"/>
  <c r="U2175" i="2"/>
  <c r="Q2175" i="2"/>
  <c r="U2174" i="2"/>
  <c r="Q2174" i="2"/>
  <c r="U2173" i="2"/>
  <c r="Q2173" i="2"/>
  <c r="U2172" i="2"/>
  <c r="Q2172" i="2"/>
  <c r="U2171" i="2"/>
  <c r="Q2171" i="2"/>
  <c r="U2170" i="2"/>
  <c r="Q2170" i="2"/>
  <c r="U2169" i="2"/>
  <c r="Q2169" i="2"/>
  <c r="U2168" i="2"/>
  <c r="Q2168" i="2"/>
  <c r="U2167" i="2"/>
  <c r="Q2167" i="2"/>
  <c r="U2166" i="2"/>
  <c r="Q2166" i="2"/>
  <c r="U2165" i="2"/>
  <c r="Q2165" i="2"/>
  <c r="U2164" i="2"/>
  <c r="Q2164" i="2"/>
  <c r="U2163" i="2"/>
  <c r="Q2163" i="2"/>
  <c r="U2162" i="2"/>
  <c r="Q2162" i="2"/>
  <c r="U2161" i="2"/>
  <c r="Q2161" i="2"/>
  <c r="U2160" i="2"/>
  <c r="Q2160" i="2"/>
  <c r="U2159" i="2"/>
  <c r="Q2159" i="2"/>
  <c r="U2158" i="2"/>
  <c r="Q2158" i="2"/>
  <c r="U2157" i="2"/>
  <c r="U2181" i="2" s="1"/>
  <c r="Q2157" i="2"/>
  <c r="Q2181" i="2" s="1"/>
  <c r="U2155" i="2"/>
  <c r="Q2155" i="2"/>
  <c r="U2154" i="2"/>
  <c r="Q2154" i="2"/>
  <c r="U2153" i="2"/>
  <c r="Q2153" i="2"/>
  <c r="U2152" i="2"/>
  <c r="Q2152" i="2"/>
  <c r="U2151" i="2"/>
  <c r="Q2151" i="2"/>
  <c r="U2150" i="2"/>
  <c r="Q2150" i="2"/>
  <c r="U2149" i="2"/>
  <c r="Q2149" i="2"/>
  <c r="U2148" i="2"/>
  <c r="Q2148" i="2"/>
  <c r="U2147" i="2"/>
  <c r="Q2147" i="2"/>
  <c r="U2146" i="2"/>
  <c r="Q2146" i="2"/>
  <c r="Q2145" i="2"/>
  <c r="Q2156" i="2" s="1"/>
  <c r="P2145" i="2"/>
  <c r="P2156" i="2" s="1"/>
  <c r="P2182" i="2" s="1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L2157" i="2"/>
  <c r="F2146" i="2"/>
  <c r="F2147" i="2"/>
  <c r="K2181" i="2"/>
  <c r="J2181" i="2"/>
  <c r="I2181" i="2"/>
  <c r="E2181" i="2"/>
  <c r="C2181" i="2"/>
  <c r="F2180" i="2"/>
  <c r="L2179" i="2"/>
  <c r="F2179" i="2"/>
  <c r="L2178" i="2"/>
  <c r="F2178" i="2"/>
  <c r="L2177" i="2"/>
  <c r="F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D2181" i="2"/>
  <c r="L2159" i="2"/>
  <c r="L2158" i="2"/>
  <c r="L2155" i="2"/>
  <c r="F2155" i="2"/>
  <c r="L2154" i="2"/>
  <c r="F2154" i="2"/>
  <c r="L2153" i="2"/>
  <c r="F2153" i="2"/>
  <c r="L2152" i="2"/>
  <c r="F2152" i="2"/>
  <c r="L2151" i="2"/>
  <c r="F2151" i="2"/>
  <c r="L2150" i="2"/>
  <c r="F2150" i="2"/>
  <c r="L2149" i="2"/>
  <c r="F2149" i="2"/>
  <c r="L2148" i="2"/>
  <c r="F2148" i="2"/>
  <c r="L2147" i="2"/>
  <c r="L2146" i="2"/>
  <c r="K2145" i="2"/>
  <c r="K2156" i="2" s="1"/>
  <c r="K2182" i="2" s="1"/>
  <c r="K2187" i="2" s="1"/>
  <c r="K2198" i="2" s="1"/>
  <c r="J2145" i="2"/>
  <c r="J2156" i="2" s="1"/>
  <c r="D2133" i="2"/>
  <c r="L2115" i="2"/>
  <c r="D2118" i="2"/>
  <c r="C2118" i="2"/>
  <c r="F2104" i="2"/>
  <c r="F2105" i="2"/>
  <c r="U2115" i="2"/>
  <c r="U2137" i="2"/>
  <c r="U2138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L2116" i="2"/>
  <c r="T2139" i="2"/>
  <c r="P2139" i="2"/>
  <c r="K2139" i="2"/>
  <c r="J2139" i="2"/>
  <c r="I2139" i="2"/>
  <c r="D2139" i="2"/>
  <c r="C2139" i="2"/>
  <c r="Q2138" i="2"/>
  <c r="L2138" i="2"/>
  <c r="Q2137" i="2"/>
  <c r="L2137" i="2"/>
  <c r="U2136" i="2"/>
  <c r="Q2136" i="2"/>
  <c r="L2136" i="2"/>
  <c r="U2135" i="2"/>
  <c r="Q2135" i="2"/>
  <c r="L2135" i="2"/>
  <c r="U2134" i="2"/>
  <c r="Q2134" i="2"/>
  <c r="L2134" i="2"/>
  <c r="U2133" i="2"/>
  <c r="Q2133" i="2"/>
  <c r="L2133" i="2"/>
  <c r="U2132" i="2"/>
  <c r="Q2132" i="2"/>
  <c r="L2132" i="2"/>
  <c r="U2131" i="2"/>
  <c r="Q2131" i="2"/>
  <c r="L2131" i="2"/>
  <c r="U2130" i="2"/>
  <c r="Q2130" i="2"/>
  <c r="L2130" i="2"/>
  <c r="U2129" i="2"/>
  <c r="Q2129" i="2"/>
  <c r="L2129" i="2"/>
  <c r="U2128" i="2"/>
  <c r="Q2128" i="2"/>
  <c r="L2128" i="2"/>
  <c r="U2127" i="2"/>
  <c r="Q2127" i="2"/>
  <c r="L2127" i="2"/>
  <c r="U2126" i="2"/>
  <c r="Q2126" i="2"/>
  <c r="L2126" i="2"/>
  <c r="U2125" i="2"/>
  <c r="Q2125" i="2"/>
  <c r="L2125" i="2"/>
  <c r="U2124" i="2"/>
  <c r="Q2124" i="2"/>
  <c r="L2124" i="2"/>
  <c r="U2123" i="2"/>
  <c r="Q2123" i="2"/>
  <c r="L2123" i="2"/>
  <c r="U2122" i="2"/>
  <c r="Q2122" i="2"/>
  <c r="L2122" i="2"/>
  <c r="U2121" i="2"/>
  <c r="Q2121" i="2"/>
  <c r="L2121" i="2"/>
  <c r="U2120" i="2"/>
  <c r="Q2120" i="2"/>
  <c r="L2120" i="2"/>
  <c r="U2119" i="2"/>
  <c r="Q2119" i="2"/>
  <c r="L2119" i="2"/>
  <c r="U2118" i="2"/>
  <c r="Q2118" i="2"/>
  <c r="L2118" i="2"/>
  <c r="U2117" i="2"/>
  <c r="Q2117" i="2"/>
  <c r="L2117" i="2"/>
  <c r="U2116" i="2"/>
  <c r="Q2116" i="2"/>
  <c r="E2139" i="2"/>
  <c r="U2139" i="2"/>
  <c r="Q2115" i="2"/>
  <c r="Q2139" i="2" s="1"/>
  <c r="Q2114" i="2"/>
  <c r="I2114" i="2"/>
  <c r="U2113" i="2"/>
  <c r="Q2113" i="2"/>
  <c r="L2113" i="2"/>
  <c r="F2113" i="2"/>
  <c r="U2112" i="2"/>
  <c r="Q2112" i="2"/>
  <c r="L2112" i="2"/>
  <c r="F2112" i="2"/>
  <c r="U2111" i="2"/>
  <c r="Q2111" i="2"/>
  <c r="L2111" i="2"/>
  <c r="F2111" i="2"/>
  <c r="U2110" i="2"/>
  <c r="Q2110" i="2"/>
  <c r="L2110" i="2"/>
  <c r="F2110" i="2"/>
  <c r="U2109" i="2"/>
  <c r="Q2109" i="2"/>
  <c r="L2109" i="2"/>
  <c r="F2109" i="2"/>
  <c r="U2108" i="2"/>
  <c r="Q2108" i="2"/>
  <c r="L2108" i="2"/>
  <c r="F2108" i="2"/>
  <c r="U2107" i="2"/>
  <c r="Q2107" i="2"/>
  <c r="L2107" i="2"/>
  <c r="F2107" i="2"/>
  <c r="U2106" i="2"/>
  <c r="Q2106" i="2"/>
  <c r="L2106" i="2"/>
  <c r="F2106" i="2"/>
  <c r="U2105" i="2"/>
  <c r="Q2105" i="2"/>
  <c r="L2105" i="2"/>
  <c r="U2104" i="2"/>
  <c r="Q2104" i="2"/>
  <c r="L2104" i="2"/>
  <c r="Q2103" i="2"/>
  <c r="P2103" i="2"/>
  <c r="P2114" i="2" s="1"/>
  <c r="P2140" i="2" s="1"/>
  <c r="L2103" i="2"/>
  <c r="L2114" i="2" s="1"/>
  <c r="K2103" i="2"/>
  <c r="K2114" i="2" s="1"/>
  <c r="J2103" i="2"/>
  <c r="J2114" i="2" s="1"/>
  <c r="I2103" i="2"/>
  <c r="E2103" i="2"/>
  <c r="E2114" i="2" s="1"/>
  <c r="D2103" i="2"/>
  <c r="D2114" i="2" s="1"/>
  <c r="C2090" i="2"/>
  <c r="C2088" i="2"/>
  <c r="L2073" i="2"/>
  <c r="L2097" i="2" s="1"/>
  <c r="L1725" i="2"/>
  <c r="K1725" i="2"/>
  <c r="J1725" i="2"/>
  <c r="I1725" i="2"/>
  <c r="L1652" i="2"/>
  <c r="K1652" i="2"/>
  <c r="J1652" i="2"/>
  <c r="I1652" i="2"/>
  <c r="L1803" i="2"/>
  <c r="K1803" i="2"/>
  <c r="J1803" i="2"/>
  <c r="I1803" i="2"/>
  <c r="L1845" i="2"/>
  <c r="K1845" i="2"/>
  <c r="J1845" i="2"/>
  <c r="I1845" i="2"/>
  <c r="L1887" i="2"/>
  <c r="K1887" i="2"/>
  <c r="J1887" i="2"/>
  <c r="I1887" i="2"/>
  <c r="L1929" i="2"/>
  <c r="K1929" i="2"/>
  <c r="J1929" i="2"/>
  <c r="I1929" i="2"/>
  <c r="L1971" i="2"/>
  <c r="K1971" i="2"/>
  <c r="J1971" i="2"/>
  <c r="I1971" i="2"/>
  <c r="L2013" i="2"/>
  <c r="K2013" i="2"/>
  <c r="J2013" i="2"/>
  <c r="I2013" i="2"/>
  <c r="L2055" i="2"/>
  <c r="K2055" i="2"/>
  <c r="J2055" i="2"/>
  <c r="I2055" i="2"/>
  <c r="J2097" i="2"/>
  <c r="K2097" i="2"/>
  <c r="I2097" i="2"/>
  <c r="C2086" i="2"/>
  <c r="C2085" i="2"/>
  <c r="F2085" i="2" s="1"/>
  <c r="D2084" i="2"/>
  <c r="F2084" i="2" s="1"/>
  <c r="C2084" i="2"/>
  <c r="C2083" i="2"/>
  <c r="U2096" i="2"/>
  <c r="C2080" i="2"/>
  <c r="E2079" i="2"/>
  <c r="F2079" i="2" s="1"/>
  <c r="C2079" i="2"/>
  <c r="E2078" i="2"/>
  <c r="D2078" i="2"/>
  <c r="C2078" i="2"/>
  <c r="F2078" i="2" s="1"/>
  <c r="C2077" i="2"/>
  <c r="F2077" i="2" s="1"/>
  <c r="C2076" i="2"/>
  <c r="E2075" i="2"/>
  <c r="D2075" i="2"/>
  <c r="F2075" i="2" s="1"/>
  <c r="C2075" i="2"/>
  <c r="E2074" i="2"/>
  <c r="C2074" i="2"/>
  <c r="D2074" i="2"/>
  <c r="E2054" i="2"/>
  <c r="D2054" i="2"/>
  <c r="F2054" i="2" s="1"/>
  <c r="C2054" i="2"/>
  <c r="E2053" i="2"/>
  <c r="D2053" i="2"/>
  <c r="C2053" i="2"/>
  <c r="C2052" i="2"/>
  <c r="L2033" i="2"/>
  <c r="U2093" i="2"/>
  <c r="U2094" i="2"/>
  <c r="U2095" i="2"/>
  <c r="F2062" i="2"/>
  <c r="F2063" i="2"/>
  <c r="F2064" i="2"/>
  <c r="F2065" i="2"/>
  <c r="F2066" i="2"/>
  <c r="F2096" i="2"/>
  <c r="F2095" i="2"/>
  <c r="F2094" i="2"/>
  <c r="F2093" i="2"/>
  <c r="F2092" i="2"/>
  <c r="F2091" i="2"/>
  <c r="F2090" i="2"/>
  <c r="F2089" i="2"/>
  <c r="F2088" i="2"/>
  <c r="F2087" i="2"/>
  <c r="F2086" i="2"/>
  <c r="F2083" i="2"/>
  <c r="F2082" i="2"/>
  <c r="F2081" i="2"/>
  <c r="F2080" i="2"/>
  <c r="F2076" i="2"/>
  <c r="F2074" i="2"/>
  <c r="F2073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74" i="2"/>
  <c r="L2075" i="2"/>
  <c r="L2076" i="2"/>
  <c r="T2097" i="2"/>
  <c r="P2097" i="2"/>
  <c r="Q2096" i="2"/>
  <c r="Q2095" i="2"/>
  <c r="Q2094" i="2"/>
  <c r="Q2093" i="2"/>
  <c r="U2092" i="2"/>
  <c r="Q2092" i="2"/>
  <c r="U2091" i="2"/>
  <c r="Q2091" i="2"/>
  <c r="U2090" i="2"/>
  <c r="Q2090" i="2"/>
  <c r="U2089" i="2"/>
  <c r="Q2089" i="2"/>
  <c r="U2088" i="2"/>
  <c r="Q2088" i="2"/>
  <c r="U2087" i="2"/>
  <c r="Q2087" i="2"/>
  <c r="U2086" i="2"/>
  <c r="Q2086" i="2"/>
  <c r="U2085" i="2"/>
  <c r="Q2085" i="2"/>
  <c r="U2084" i="2"/>
  <c r="Q2084" i="2"/>
  <c r="U2083" i="2"/>
  <c r="Q2083" i="2"/>
  <c r="U2082" i="2"/>
  <c r="Q2082" i="2"/>
  <c r="U2081" i="2"/>
  <c r="Q2081" i="2"/>
  <c r="U2080" i="2"/>
  <c r="Q2080" i="2"/>
  <c r="U2079" i="2"/>
  <c r="Q2079" i="2"/>
  <c r="U2078" i="2"/>
  <c r="Q2078" i="2"/>
  <c r="U2077" i="2"/>
  <c r="Q2077" i="2"/>
  <c r="L2077" i="2"/>
  <c r="U2076" i="2"/>
  <c r="Q2076" i="2"/>
  <c r="U2075" i="2"/>
  <c r="Q2075" i="2"/>
  <c r="U2074" i="2"/>
  <c r="Q2074" i="2"/>
  <c r="U2073" i="2"/>
  <c r="U2097" i="2" s="1"/>
  <c r="Q2073" i="2"/>
  <c r="Q2097" i="2" s="1"/>
  <c r="U2071" i="2"/>
  <c r="Q2071" i="2"/>
  <c r="L2071" i="2"/>
  <c r="F2071" i="2"/>
  <c r="U2070" i="2"/>
  <c r="Q2070" i="2"/>
  <c r="L2070" i="2"/>
  <c r="F2070" i="2"/>
  <c r="U2069" i="2"/>
  <c r="Q2069" i="2"/>
  <c r="L2069" i="2"/>
  <c r="F2069" i="2"/>
  <c r="U2068" i="2"/>
  <c r="Q2068" i="2"/>
  <c r="L2068" i="2"/>
  <c r="F2068" i="2"/>
  <c r="U2067" i="2"/>
  <c r="Q2067" i="2"/>
  <c r="L2067" i="2"/>
  <c r="F2067" i="2"/>
  <c r="U2066" i="2"/>
  <c r="Q2066" i="2"/>
  <c r="L2066" i="2"/>
  <c r="U2065" i="2"/>
  <c r="Q2065" i="2"/>
  <c r="L2065" i="2"/>
  <c r="U2064" i="2"/>
  <c r="Q2064" i="2"/>
  <c r="L2064" i="2"/>
  <c r="U2063" i="2"/>
  <c r="Q2063" i="2"/>
  <c r="L2063" i="2"/>
  <c r="U2062" i="2"/>
  <c r="Q2062" i="2"/>
  <c r="L2062" i="2"/>
  <c r="Q2061" i="2"/>
  <c r="Q2072" i="2" s="1"/>
  <c r="Q2098" i="2" s="1"/>
  <c r="P2061" i="2"/>
  <c r="P2072" i="2" s="1"/>
  <c r="P2098" i="2" s="1"/>
  <c r="C2051" i="2"/>
  <c r="D2051" i="2"/>
  <c r="F2051" i="2" s="1"/>
  <c r="C2050" i="2"/>
  <c r="C2049" i="2"/>
  <c r="F2049" i="2" s="1"/>
  <c r="C2047" i="2"/>
  <c r="L2032" i="2"/>
  <c r="E2047" i="2"/>
  <c r="D2047" i="2"/>
  <c r="F2047" i="2"/>
  <c r="C2046" i="2"/>
  <c r="D2045" i="2"/>
  <c r="C2045" i="2"/>
  <c r="C2044" i="2"/>
  <c r="F2044" i="2"/>
  <c r="D2043" i="2"/>
  <c r="C2043" i="2"/>
  <c r="F2043" i="2"/>
  <c r="D2042" i="2"/>
  <c r="F2042" i="2" s="1"/>
  <c r="C2042" i="2"/>
  <c r="C2041" i="2"/>
  <c r="D2040" i="2"/>
  <c r="C2040" i="2"/>
  <c r="D2039" i="2"/>
  <c r="D2038" i="2"/>
  <c r="L2031" i="2"/>
  <c r="E2037" i="2"/>
  <c r="D2037" i="2"/>
  <c r="C2037" i="2"/>
  <c r="C2036" i="2"/>
  <c r="D2035" i="2"/>
  <c r="C2035" i="2"/>
  <c r="E2035" i="2"/>
  <c r="F2035" i="2" s="1"/>
  <c r="C2034" i="2"/>
  <c r="E2034" i="2"/>
  <c r="F2034" i="2" s="1"/>
  <c r="C2033" i="2"/>
  <c r="F2033" i="2" s="1"/>
  <c r="D2033" i="2"/>
  <c r="C2032" i="2"/>
  <c r="L1998" i="2"/>
  <c r="D2032" i="2"/>
  <c r="F2032" i="2" s="1"/>
  <c r="E2032" i="2"/>
  <c r="C2031" i="2"/>
  <c r="F2031" i="2" s="1"/>
  <c r="U2012" i="2"/>
  <c r="U2054" i="2"/>
  <c r="U2055" i="2" s="1"/>
  <c r="L2020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F2053" i="2"/>
  <c r="F2052" i="2"/>
  <c r="F2050" i="2"/>
  <c r="F2048" i="2"/>
  <c r="F2046" i="2"/>
  <c r="F2045" i="2"/>
  <c r="F2041" i="2"/>
  <c r="F2040" i="2"/>
  <c r="F2039" i="2"/>
  <c r="F2038" i="2"/>
  <c r="F2037" i="2"/>
  <c r="F2036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34" i="2"/>
  <c r="L2035" i="2"/>
  <c r="L2036" i="2"/>
  <c r="L2037" i="2"/>
  <c r="L2038" i="2"/>
  <c r="L2039" i="2"/>
  <c r="L2040" i="2"/>
  <c r="L2041" i="2"/>
  <c r="F2020" i="2"/>
  <c r="F2021" i="2"/>
  <c r="F2029" i="2"/>
  <c r="F2028" i="2"/>
  <c r="F2027" i="2"/>
  <c r="F2026" i="2"/>
  <c r="F2025" i="2"/>
  <c r="F2024" i="2"/>
  <c r="F2023" i="2"/>
  <c r="F2022" i="2"/>
  <c r="T2055" i="2"/>
  <c r="P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L2042" i="2"/>
  <c r="Q2041" i="2"/>
  <c r="Q2040" i="2"/>
  <c r="Q2039" i="2"/>
  <c r="Q2038" i="2"/>
  <c r="Q2037" i="2"/>
  <c r="Q2036" i="2"/>
  <c r="Q2035" i="2"/>
  <c r="Q2034" i="2"/>
  <c r="Q2033" i="2"/>
  <c r="Q2032" i="2"/>
  <c r="Q2031" i="2"/>
  <c r="Q2055" i="2" s="1"/>
  <c r="E2055" i="2"/>
  <c r="P2030" i="2"/>
  <c r="P2056" i="2" s="1"/>
  <c r="U2029" i="2"/>
  <c r="Q2029" i="2"/>
  <c r="L2029" i="2"/>
  <c r="U2028" i="2"/>
  <c r="Q2028" i="2"/>
  <c r="L2028" i="2"/>
  <c r="U2027" i="2"/>
  <c r="Q2027" i="2"/>
  <c r="L2027" i="2"/>
  <c r="U2026" i="2"/>
  <c r="Q2026" i="2"/>
  <c r="L2026" i="2"/>
  <c r="U2025" i="2"/>
  <c r="Q2025" i="2"/>
  <c r="L2025" i="2"/>
  <c r="U2024" i="2"/>
  <c r="Q2024" i="2"/>
  <c r="L2024" i="2"/>
  <c r="U2023" i="2"/>
  <c r="Q2023" i="2"/>
  <c r="L2023" i="2"/>
  <c r="U2022" i="2"/>
  <c r="Q2022" i="2"/>
  <c r="L2022" i="2"/>
  <c r="U2021" i="2"/>
  <c r="Q2021" i="2"/>
  <c r="L2021" i="2"/>
  <c r="U2020" i="2"/>
  <c r="Q2020" i="2"/>
  <c r="Q2019" i="2"/>
  <c r="Q2030" i="2" s="1"/>
  <c r="P2019" i="2"/>
  <c r="C2012" i="2"/>
  <c r="L1997" i="2"/>
  <c r="C2011" i="2"/>
  <c r="L1996" i="2"/>
  <c r="C2010" i="2"/>
  <c r="D2010" i="2"/>
  <c r="F2010" i="2" s="1"/>
  <c r="E2009" i="2"/>
  <c r="D2009" i="2"/>
  <c r="F2009" i="2" s="1"/>
  <c r="C2009" i="2"/>
  <c r="E2008" i="2"/>
  <c r="C2008" i="2"/>
  <c r="D2008" i="2"/>
  <c r="C2007" i="2"/>
  <c r="F2007" i="2" s="1"/>
  <c r="E2005" i="2"/>
  <c r="F2005" i="2" s="1"/>
  <c r="C2005" i="2"/>
  <c r="D2005" i="2"/>
  <c r="E2004" i="2"/>
  <c r="C2004" i="2"/>
  <c r="D2004" i="2"/>
  <c r="D2003" i="2"/>
  <c r="C2002" i="2"/>
  <c r="E2002" i="2"/>
  <c r="D2002" i="2"/>
  <c r="D2001" i="2"/>
  <c r="C2001" i="2"/>
  <c r="L1978" i="2"/>
  <c r="C1999" i="2"/>
  <c r="E1999" i="2"/>
  <c r="E1998" i="2"/>
  <c r="F1998" i="2" s="1"/>
  <c r="C1998" i="2"/>
  <c r="D1997" i="2"/>
  <c r="C1997" i="2"/>
  <c r="F1997" i="2"/>
  <c r="C1995" i="2"/>
  <c r="C1994" i="2"/>
  <c r="F1994" i="2" s="1"/>
  <c r="C1993" i="2"/>
  <c r="L1990" i="2"/>
  <c r="E1993" i="2"/>
  <c r="D1993" i="2"/>
  <c r="C1992" i="2"/>
  <c r="C1991" i="2"/>
  <c r="F1991" i="2" s="1"/>
  <c r="D1991" i="2"/>
  <c r="C1990" i="2"/>
  <c r="F1990" i="2" s="1"/>
  <c r="L1969" i="2"/>
  <c r="L1970" i="2"/>
  <c r="L2012" i="2"/>
  <c r="L2011" i="2"/>
  <c r="E1989" i="2"/>
  <c r="F1989" i="2" s="1"/>
  <c r="D1989" i="2"/>
  <c r="C1989" i="2"/>
  <c r="C1970" i="2"/>
  <c r="D1969" i="2"/>
  <c r="C1969" i="2"/>
  <c r="F1969" i="2" s="1"/>
  <c r="F1987" i="2"/>
  <c r="F1986" i="2"/>
  <c r="F1985" i="2"/>
  <c r="F1984" i="2"/>
  <c r="F1983" i="2"/>
  <c r="F1982" i="2"/>
  <c r="F1981" i="2"/>
  <c r="F1980" i="2"/>
  <c r="F1979" i="2"/>
  <c r="F1978" i="2"/>
  <c r="L1989" i="2"/>
  <c r="L1991" i="2"/>
  <c r="L1993" i="2"/>
  <c r="L1994" i="2"/>
  <c r="L1995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T2013" i="2"/>
  <c r="P2013" i="2"/>
  <c r="Q2012" i="2"/>
  <c r="F2012" i="2"/>
  <c r="U2011" i="2"/>
  <c r="Q2011" i="2"/>
  <c r="F2011" i="2"/>
  <c r="U2010" i="2"/>
  <c r="Q2010" i="2"/>
  <c r="U2009" i="2"/>
  <c r="Q2009" i="2"/>
  <c r="U2008" i="2"/>
  <c r="Q2008" i="2"/>
  <c r="U2007" i="2"/>
  <c r="Q2007" i="2"/>
  <c r="U2006" i="2"/>
  <c r="Q2006" i="2"/>
  <c r="F2006" i="2"/>
  <c r="U2005" i="2"/>
  <c r="Q2005" i="2"/>
  <c r="U2004" i="2"/>
  <c r="Q2004" i="2"/>
  <c r="U2003" i="2"/>
  <c r="Q2003" i="2"/>
  <c r="F2003" i="2"/>
  <c r="U2002" i="2"/>
  <c r="Q2002" i="2"/>
  <c r="U2001" i="2"/>
  <c r="Q2001" i="2"/>
  <c r="F2001" i="2"/>
  <c r="U2000" i="2"/>
  <c r="Q2000" i="2"/>
  <c r="F2000" i="2"/>
  <c r="U1999" i="2"/>
  <c r="Q1999" i="2"/>
  <c r="F1999" i="2"/>
  <c r="U1998" i="2"/>
  <c r="Q1998" i="2"/>
  <c r="U1997" i="2"/>
  <c r="Q1997" i="2"/>
  <c r="U1996" i="2"/>
  <c r="Q1996" i="2"/>
  <c r="F1996" i="2"/>
  <c r="U1995" i="2"/>
  <c r="Q1995" i="2"/>
  <c r="F1995" i="2"/>
  <c r="U1994" i="2"/>
  <c r="Q1994" i="2"/>
  <c r="Q2013" i="2" s="1"/>
  <c r="U1993" i="2"/>
  <c r="Q1993" i="2"/>
  <c r="U1992" i="2"/>
  <c r="Q1992" i="2"/>
  <c r="L1992" i="2"/>
  <c r="F1992" i="2"/>
  <c r="U1991" i="2"/>
  <c r="Q1991" i="2"/>
  <c r="U1990" i="2"/>
  <c r="Q1990" i="2"/>
  <c r="U1989" i="2"/>
  <c r="Q1989" i="2"/>
  <c r="P1988" i="2"/>
  <c r="P2014" i="2" s="1"/>
  <c r="U1987" i="2"/>
  <c r="Q1987" i="2"/>
  <c r="L1987" i="2"/>
  <c r="U1986" i="2"/>
  <c r="Q1986" i="2"/>
  <c r="L1986" i="2"/>
  <c r="U1985" i="2"/>
  <c r="Q1985" i="2"/>
  <c r="L1985" i="2"/>
  <c r="U1984" i="2"/>
  <c r="Q1984" i="2"/>
  <c r="L1984" i="2"/>
  <c r="U1983" i="2"/>
  <c r="Q1983" i="2"/>
  <c r="L1983" i="2"/>
  <c r="U1982" i="2"/>
  <c r="Q1982" i="2"/>
  <c r="L1982" i="2"/>
  <c r="U1981" i="2"/>
  <c r="Q1981" i="2"/>
  <c r="L1981" i="2"/>
  <c r="U1980" i="2"/>
  <c r="Q1980" i="2"/>
  <c r="L1980" i="2"/>
  <c r="U1979" i="2"/>
  <c r="Q1979" i="2"/>
  <c r="L1979" i="2"/>
  <c r="U1978" i="2"/>
  <c r="U1988" i="2" s="1"/>
  <c r="Q1978" i="2"/>
  <c r="U1977" i="2"/>
  <c r="T1977" i="2"/>
  <c r="T1988" i="2" s="1"/>
  <c r="Q1977" i="2"/>
  <c r="Q1988" i="2" s="1"/>
  <c r="Q2014" i="2" s="1"/>
  <c r="P1977" i="2"/>
  <c r="D1968" i="2"/>
  <c r="C1968" i="2"/>
  <c r="C1967" i="2"/>
  <c r="C1965" i="2"/>
  <c r="D1965" i="2"/>
  <c r="F1965" i="2" s="1"/>
  <c r="C1960" i="2"/>
  <c r="F1960" i="2" s="1"/>
  <c r="E1959" i="2"/>
  <c r="D1959" i="2"/>
  <c r="C1959" i="2"/>
  <c r="C1958" i="2"/>
  <c r="C1957" i="2"/>
  <c r="D1956" i="2"/>
  <c r="C1956" i="2"/>
  <c r="E1955" i="2"/>
  <c r="C1955" i="2"/>
  <c r="C1954" i="2"/>
  <c r="E1954" i="2"/>
  <c r="D1954" i="2"/>
  <c r="C1953" i="2"/>
  <c r="F1953" i="2"/>
  <c r="C1952" i="2"/>
  <c r="C1951" i="2"/>
  <c r="F1951" i="2" s="1"/>
  <c r="D1950" i="2"/>
  <c r="C1950" i="2"/>
  <c r="C1949" i="2"/>
  <c r="D1947" i="2"/>
  <c r="C1947" i="2"/>
  <c r="L1912" i="2"/>
  <c r="C1926" i="2"/>
  <c r="F1926" i="2" s="1"/>
  <c r="C1925" i="2"/>
  <c r="E1925" i="2"/>
  <c r="D1924" i="2"/>
  <c r="C1923" i="2"/>
  <c r="C1922" i="2"/>
  <c r="F1922" i="2" s="1"/>
  <c r="C1920" i="2"/>
  <c r="D1918" i="2"/>
  <c r="F1918" i="2" s="1"/>
  <c r="C1918" i="2"/>
  <c r="E1916" i="2"/>
  <c r="D1915" i="2"/>
  <c r="F1913" i="2"/>
  <c r="L1909" i="2"/>
  <c r="C1912" i="2"/>
  <c r="F1912" i="2"/>
  <c r="C1911" i="2"/>
  <c r="L1907" i="2"/>
  <c r="U1886" i="2"/>
  <c r="U1928" i="2"/>
  <c r="L1882" i="2"/>
  <c r="L1883" i="2"/>
  <c r="L1884" i="2"/>
  <c r="L1885" i="2"/>
  <c r="L1886" i="2"/>
  <c r="L1928" i="2"/>
  <c r="L1927" i="2"/>
  <c r="L1926" i="2"/>
  <c r="L1925" i="2"/>
  <c r="L1924" i="2"/>
  <c r="C1884" i="2"/>
  <c r="F1884" i="2" s="1"/>
  <c r="D1883" i="2"/>
  <c r="T1971" i="2"/>
  <c r="P1971" i="2"/>
  <c r="U1970" i="2"/>
  <c r="Q1970" i="2"/>
  <c r="F1970" i="2"/>
  <c r="U1969" i="2"/>
  <c r="Q1969" i="2"/>
  <c r="U1968" i="2"/>
  <c r="Q1968" i="2"/>
  <c r="L1968" i="2"/>
  <c r="F1968" i="2"/>
  <c r="U1967" i="2"/>
  <c r="Q1967" i="2"/>
  <c r="L1967" i="2"/>
  <c r="F1967" i="2"/>
  <c r="U1966" i="2"/>
  <c r="Q1966" i="2"/>
  <c r="L1966" i="2"/>
  <c r="F1966" i="2"/>
  <c r="U1965" i="2"/>
  <c r="Q1965" i="2"/>
  <c r="L1965" i="2"/>
  <c r="U1964" i="2"/>
  <c r="Q1964" i="2"/>
  <c r="L1964" i="2"/>
  <c r="F1964" i="2"/>
  <c r="U1963" i="2"/>
  <c r="Q1963" i="2"/>
  <c r="L1963" i="2"/>
  <c r="F1963" i="2"/>
  <c r="U1962" i="2"/>
  <c r="Q1962" i="2"/>
  <c r="L1962" i="2"/>
  <c r="F1962" i="2"/>
  <c r="U1961" i="2"/>
  <c r="Q1961" i="2"/>
  <c r="L1961" i="2"/>
  <c r="F1961" i="2"/>
  <c r="U1960" i="2"/>
  <c r="Q1960" i="2"/>
  <c r="L1960" i="2"/>
  <c r="U1959" i="2"/>
  <c r="Q1959" i="2"/>
  <c r="L1959" i="2"/>
  <c r="F1959" i="2"/>
  <c r="U1958" i="2"/>
  <c r="Q1958" i="2"/>
  <c r="L1958" i="2"/>
  <c r="F1958" i="2"/>
  <c r="U1957" i="2"/>
  <c r="Q1957" i="2"/>
  <c r="L1957" i="2"/>
  <c r="F1957" i="2"/>
  <c r="U1956" i="2"/>
  <c r="Q1956" i="2"/>
  <c r="L1956" i="2"/>
  <c r="F1956" i="2"/>
  <c r="U1955" i="2"/>
  <c r="Q1955" i="2"/>
  <c r="L1955" i="2"/>
  <c r="U1954" i="2"/>
  <c r="Q1954" i="2"/>
  <c r="L1954" i="2"/>
  <c r="U1953" i="2"/>
  <c r="Q1953" i="2"/>
  <c r="L1953" i="2"/>
  <c r="U1952" i="2"/>
  <c r="Q1952" i="2"/>
  <c r="L1952" i="2"/>
  <c r="F1952" i="2"/>
  <c r="U1951" i="2"/>
  <c r="Q1951" i="2"/>
  <c r="L1951" i="2"/>
  <c r="U1950" i="2"/>
  <c r="Q1950" i="2"/>
  <c r="L1950" i="2"/>
  <c r="F1950" i="2"/>
  <c r="U1949" i="2"/>
  <c r="Q1949" i="2"/>
  <c r="L1949" i="2"/>
  <c r="F1949" i="2"/>
  <c r="U1948" i="2"/>
  <c r="Q1948" i="2"/>
  <c r="L1948" i="2"/>
  <c r="F1948" i="2"/>
  <c r="U1947" i="2"/>
  <c r="U1971" i="2" s="1"/>
  <c r="Q1947" i="2"/>
  <c r="Q1971" i="2" s="1"/>
  <c r="L1947" i="2"/>
  <c r="F1947" i="2"/>
  <c r="P1946" i="2"/>
  <c r="P1972" i="2" s="1"/>
  <c r="U1945" i="2"/>
  <c r="Q1945" i="2"/>
  <c r="L1945" i="2"/>
  <c r="F1945" i="2"/>
  <c r="U1944" i="2"/>
  <c r="Q1944" i="2"/>
  <c r="L1944" i="2"/>
  <c r="F1944" i="2"/>
  <c r="U1943" i="2"/>
  <c r="Q1943" i="2"/>
  <c r="L1943" i="2"/>
  <c r="F1943" i="2"/>
  <c r="U1942" i="2"/>
  <c r="Q1942" i="2"/>
  <c r="L1942" i="2"/>
  <c r="F1942" i="2"/>
  <c r="U1941" i="2"/>
  <c r="Q1941" i="2"/>
  <c r="L1941" i="2"/>
  <c r="F1941" i="2"/>
  <c r="U1940" i="2"/>
  <c r="Q1940" i="2"/>
  <c r="L1940" i="2"/>
  <c r="F1940" i="2"/>
  <c r="U1939" i="2"/>
  <c r="Q1939" i="2"/>
  <c r="L1939" i="2"/>
  <c r="F1939" i="2"/>
  <c r="U1938" i="2"/>
  <c r="Q1938" i="2"/>
  <c r="L1938" i="2"/>
  <c r="F1938" i="2"/>
  <c r="U1937" i="2"/>
  <c r="Q1937" i="2"/>
  <c r="Q1946" i="2" s="1"/>
  <c r="Q1972" i="2" s="1"/>
  <c r="L1937" i="2"/>
  <c r="F1937" i="2"/>
  <c r="U1936" i="2"/>
  <c r="Q1936" i="2"/>
  <c r="L1936" i="2"/>
  <c r="F1936" i="2"/>
  <c r="Q1935" i="2"/>
  <c r="P1935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29" i="2" s="1"/>
  <c r="U1903" i="2"/>
  <c r="U1902" i="2"/>
  <c r="U1901" i="2"/>
  <c r="U1900" i="2"/>
  <c r="U1899" i="2"/>
  <c r="U1898" i="2"/>
  <c r="U1897" i="2"/>
  <c r="U1896" i="2"/>
  <c r="U1895" i="2"/>
  <c r="U1894" i="2"/>
  <c r="L1923" i="2"/>
  <c r="L1922" i="2"/>
  <c r="L1921" i="2"/>
  <c r="L1920" i="2"/>
  <c r="L1919" i="2"/>
  <c r="L1918" i="2"/>
  <c r="L1917" i="2"/>
  <c r="L1916" i="2"/>
  <c r="L1915" i="2"/>
  <c r="L1914" i="2"/>
  <c r="L1913" i="2"/>
  <c r="L1911" i="2"/>
  <c r="L1910" i="2"/>
  <c r="L1908" i="2"/>
  <c r="L1906" i="2"/>
  <c r="L1905" i="2"/>
  <c r="L1903" i="2"/>
  <c r="L1902" i="2"/>
  <c r="L1901" i="2"/>
  <c r="L1900" i="2"/>
  <c r="L1899" i="2"/>
  <c r="L1898" i="2"/>
  <c r="L1897" i="2"/>
  <c r="L1896" i="2"/>
  <c r="L1895" i="2"/>
  <c r="L1894" i="2"/>
  <c r="F1894" i="2"/>
  <c r="F1895" i="2"/>
  <c r="F1896" i="2"/>
  <c r="F1905" i="2"/>
  <c r="F1906" i="2"/>
  <c r="F1907" i="2"/>
  <c r="F1908" i="2"/>
  <c r="F1909" i="2"/>
  <c r="F1910" i="2"/>
  <c r="F1911" i="2"/>
  <c r="F1914" i="2"/>
  <c r="F1915" i="2"/>
  <c r="F1916" i="2"/>
  <c r="F1917" i="2"/>
  <c r="F1919" i="2"/>
  <c r="F1920" i="2"/>
  <c r="F1921" i="2"/>
  <c r="T1929" i="2"/>
  <c r="P1929" i="2"/>
  <c r="E1929" i="2"/>
  <c r="Q1928" i="2"/>
  <c r="F1928" i="2"/>
  <c r="Q1927" i="2"/>
  <c r="F1927" i="2"/>
  <c r="Q1926" i="2"/>
  <c r="Q1925" i="2"/>
  <c r="Q1924" i="2"/>
  <c r="F1924" i="2"/>
  <c r="Q1923" i="2"/>
  <c r="F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29" i="2" s="1"/>
  <c r="Q1906" i="2"/>
  <c r="Q1905" i="2"/>
  <c r="Q1903" i="2"/>
  <c r="F1903" i="2"/>
  <c r="Q1902" i="2"/>
  <c r="F1902" i="2"/>
  <c r="Q1901" i="2"/>
  <c r="F1901" i="2"/>
  <c r="Q1900" i="2"/>
  <c r="F1900" i="2"/>
  <c r="Q1899" i="2"/>
  <c r="F1899" i="2"/>
  <c r="Q1898" i="2"/>
  <c r="F1898" i="2"/>
  <c r="Q1897" i="2"/>
  <c r="F1897" i="2"/>
  <c r="Q1896" i="2"/>
  <c r="Q1895" i="2"/>
  <c r="Q1894" i="2"/>
  <c r="Q1893" i="2"/>
  <c r="Q1904" i="2" s="1"/>
  <c r="P1893" i="2"/>
  <c r="P1904" i="2" s="1"/>
  <c r="P1930" i="2" s="1"/>
  <c r="L1881" i="2"/>
  <c r="F1854" i="2"/>
  <c r="C1865" i="2"/>
  <c r="F1865" i="2" s="1"/>
  <c r="C1863" i="2"/>
  <c r="L1811" i="2"/>
  <c r="U1852" i="2"/>
  <c r="U1853" i="2"/>
  <c r="U1854" i="2"/>
  <c r="U1855" i="2"/>
  <c r="U1856" i="2"/>
  <c r="L1852" i="2"/>
  <c r="L1853" i="2"/>
  <c r="L1854" i="2"/>
  <c r="L1855" i="2"/>
  <c r="L1856" i="2"/>
  <c r="T1887" i="2"/>
  <c r="P1887" i="2"/>
  <c r="E1887" i="2"/>
  <c r="D1887" i="2"/>
  <c r="Q1886" i="2"/>
  <c r="F1886" i="2"/>
  <c r="U1885" i="2"/>
  <c r="Q1885" i="2"/>
  <c r="F1885" i="2"/>
  <c r="U1884" i="2"/>
  <c r="Q1884" i="2"/>
  <c r="U1883" i="2"/>
  <c r="Q1883" i="2"/>
  <c r="F1883" i="2"/>
  <c r="U1882" i="2"/>
  <c r="Q1882" i="2"/>
  <c r="F1882" i="2"/>
  <c r="U1881" i="2"/>
  <c r="Q1881" i="2"/>
  <c r="F1881" i="2"/>
  <c r="U1880" i="2"/>
  <c r="Q1880" i="2"/>
  <c r="L1880" i="2"/>
  <c r="F1880" i="2"/>
  <c r="U1879" i="2"/>
  <c r="Q1879" i="2"/>
  <c r="L1879" i="2"/>
  <c r="F1879" i="2"/>
  <c r="U1878" i="2"/>
  <c r="Q1878" i="2"/>
  <c r="L1878" i="2"/>
  <c r="F1878" i="2"/>
  <c r="U1877" i="2"/>
  <c r="Q1877" i="2"/>
  <c r="L1877" i="2"/>
  <c r="F1877" i="2"/>
  <c r="U1876" i="2"/>
  <c r="Q1876" i="2"/>
  <c r="L1876" i="2"/>
  <c r="F1876" i="2"/>
  <c r="U1875" i="2"/>
  <c r="Q1875" i="2"/>
  <c r="L1875" i="2"/>
  <c r="F1875" i="2"/>
  <c r="U1874" i="2"/>
  <c r="Q1874" i="2"/>
  <c r="L1874" i="2"/>
  <c r="F1874" i="2"/>
  <c r="U1873" i="2"/>
  <c r="Q1873" i="2"/>
  <c r="L1873" i="2"/>
  <c r="F1873" i="2"/>
  <c r="U1872" i="2"/>
  <c r="Q1872" i="2"/>
  <c r="L1872" i="2"/>
  <c r="F1872" i="2"/>
  <c r="U1871" i="2"/>
  <c r="Q1871" i="2"/>
  <c r="L1871" i="2"/>
  <c r="F1871" i="2"/>
  <c r="U1870" i="2"/>
  <c r="Q1870" i="2"/>
  <c r="L1870" i="2"/>
  <c r="F1870" i="2"/>
  <c r="U1869" i="2"/>
  <c r="Q1869" i="2"/>
  <c r="L1869" i="2"/>
  <c r="F1869" i="2"/>
  <c r="U1868" i="2"/>
  <c r="Q1868" i="2"/>
  <c r="L1868" i="2"/>
  <c r="F1868" i="2"/>
  <c r="U1867" i="2"/>
  <c r="Q1867" i="2"/>
  <c r="L1867" i="2"/>
  <c r="F1867" i="2"/>
  <c r="U1866" i="2"/>
  <c r="U1887" i="2" s="1"/>
  <c r="Q1866" i="2"/>
  <c r="L1866" i="2"/>
  <c r="F1866" i="2"/>
  <c r="U1865" i="2"/>
  <c r="Q1865" i="2"/>
  <c r="L1865" i="2"/>
  <c r="U1864" i="2"/>
  <c r="Q1864" i="2"/>
  <c r="L1864" i="2"/>
  <c r="F1864" i="2"/>
  <c r="U1863" i="2"/>
  <c r="Q1863" i="2"/>
  <c r="Q1887" i="2" s="1"/>
  <c r="L1863" i="2"/>
  <c r="F1863" i="2"/>
  <c r="U1861" i="2"/>
  <c r="Q1861" i="2"/>
  <c r="L1861" i="2"/>
  <c r="F1861" i="2"/>
  <c r="U1860" i="2"/>
  <c r="Q1860" i="2"/>
  <c r="L1860" i="2"/>
  <c r="F1860" i="2"/>
  <c r="U1859" i="2"/>
  <c r="Q1859" i="2"/>
  <c r="L1859" i="2"/>
  <c r="F1859" i="2"/>
  <c r="U1858" i="2"/>
  <c r="Q1858" i="2"/>
  <c r="L1858" i="2"/>
  <c r="F1858" i="2"/>
  <c r="U1857" i="2"/>
  <c r="Q1857" i="2"/>
  <c r="L1857" i="2"/>
  <c r="F1857" i="2"/>
  <c r="Q1856" i="2"/>
  <c r="F1856" i="2"/>
  <c r="Q1855" i="2"/>
  <c r="F1855" i="2"/>
  <c r="Q1854" i="2"/>
  <c r="Q1853" i="2"/>
  <c r="F1853" i="2"/>
  <c r="Q1852" i="2"/>
  <c r="F1852" i="2"/>
  <c r="U1851" i="2"/>
  <c r="T1851" i="2"/>
  <c r="T1862" i="2" s="1"/>
  <c r="Q1851" i="2"/>
  <c r="Q1862" i="2" s="1"/>
  <c r="P1851" i="2"/>
  <c r="P1862" i="2" s="1"/>
  <c r="P1888" i="2" s="1"/>
  <c r="C1839" i="2"/>
  <c r="C1837" i="2"/>
  <c r="C1833" i="2"/>
  <c r="F1833" i="2" s="1"/>
  <c r="C1831" i="2"/>
  <c r="C1830" i="2"/>
  <c r="C1829" i="2"/>
  <c r="F1829" i="2"/>
  <c r="C1828" i="2"/>
  <c r="C1827" i="2"/>
  <c r="C1825" i="2"/>
  <c r="F1825" i="2" s="1"/>
  <c r="C1824" i="2"/>
  <c r="C1823" i="2"/>
  <c r="C1822" i="2"/>
  <c r="F1822" i="2" s="1"/>
  <c r="C1821" i="2"/>
  <c r="F1819" i="2"/>
  <c r="F1818" i="2"/>
  <c r="F1817" i="2"/>
  <c r="F1816" i="2"/>
  <c r="F1815" i="2"/>
  <c r="F1814" i="2"/>
  <c r="F1813" i="2"/>
  <c r="F1812" i="2"/>
  <c r="F1811" i="2"/>
  <c r="F1810" i="2"/>
  <c r="U1819" i="2"/>
  <c r="U1818" i="2"/>
  <c r="U1817" i="2"/>
  <c r="U1816" i="2"/>
  <c r="U1815" i="2"/>
  <c r="U1814" i="2"/>
  <c r="U1813" i="2"/>
  <c r="U1812" i="2"/>
  <c r="U1811" i="2"/>
  <c r="U1810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45" i="2" s="1"/>
  <c r="U1823" i="2"/>
  <c r="U1822" i="2"/>
  <c r="U1821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F1821" i="2"/>
  <c r="F1823" i="2"/>
  <c r="F1824" i="2"/>
  <c r="F1826" i="2"/>
  <c r="F1827" i="2"/>
  <c r="F1828" i="2"/>
  <c r="F1830" i="2"/>
  <c r="F1831" i="2"/>
  <c r="F1832" i="2"/>
  <c r="F1834" i="2"/>
  <c r="F1835" i="2"/>
  <c r="F1836" i="2"/>
  <c r="F1837" i="2"/>
  <c r="F1838" i="2"/>
  <c r="F1839" i="2"/>
  <c r="T1845" i="2"/>
  <c r="P1845" i="2"/>
  <c r="Q1844" i="2"/>
  <c r="F1844" i="2"/>
  <c r="Q1843" i="2"/>
  <c r="F1843" i="2"/>
  <c r="Q1842" i="2"/>
  <c r="F1842" i="2"/>
  <c r="Q1841" i="2"/>
  <c r="F1841" i="2"/>
  <c r="Q1840" i="2"/>
  <c r="F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45" i="2" s="1"/>
  <c r="E1845" i="2"/>
  <c r="D1845" i="2"/>
  <c r="T1820" i="2"/>
  <c r="Q1819" i="2"/>
  <c r="L1819" i="2"/>
  <c r="Q1818" i="2"/>
  <c r="L1818" i="2"/>
  <c r="Q1817" i="2"/>
  <c r="L1817" i="2"/>
  <c r="Q1816" i="2"/>
  <c r="L1816" i="2"/>
  <c r="Q1815" i="2"/>
  <c r="L1815" i="2"/>
  <c r="Q1814" i="2"/>
  <c r="L1814" i="2"/>
  <c r="Q1813" i="2"/>
  <c r="L1813" i="2"/>
  <c r="Q1812" i="2"/>
  <c r="L1812" i="2"/>
  <c r="Q1811" i="2"/>
  <c r="Q1810" i="2"/>
  <c r="L1810" i="2"/>
  <c r="U1809" i="2"/>
  <c r="T1809" i="2"/>
  <c r="Q1809" i="2"/>
  <c r="Q1820" i="2" s="1"/>
  <c r="P1809" i="2"/>
  <c r="P1820" i="2" s="1"/>
  <c r="P1846" i="2" s="1"/>
  <c r="C1796" i="2"/>
  <c r="D1796" i="2"/>
  <c r="E1796" i="2"/>
  <c r="C1793" i="2"/>
  <c r="D1792" i="2"/>
  <c r="C1791" i="2"/>
  <c r="E1789" i="2"/>
  <c r="F1789" i="2" s="1"/>
  <c r="D1789" i="2"/>
  <c r="C1789" i="2"/>
  <c r="C1787" i="2"/>
  <c r="D1786" i="2"/>
  <c r="C1786" i="2"/>
  <c r="F1786" i="2" s="1"/>
  <c r="L1784" i="2"/>
  <c r="L1796" i="2"/>
  <c r="L1797" i="2"/>
  <c r="E1785" i="2"/>
  <c r="C1785" i="2"/>
  <c r="D1784" i="2"/>
  <c r="C1784" i="2"/>
  <c r="L1780" i="2"/>
  <c r="E1783" i="2"/>
  <c r="D1783" i="2"/>
  <c r="C1783" i="2"/>
  <c r="P1726" i="2"/>
  <c r="E1779" i="2"/>
  <c r="D1779" i="2"/>
  <c r="C1779" i="2"/>
  <c r="D1759" i="2"/>
  <c r="C1759" i="2"/>
  <c r="C1758" i="2"/>
  <c r="F1758" i="2" s="1"/>
  <c r="E1756" i="2"/>
  <c r="D1756" i="2"/>
  <c r="C1756" i="2"/>
  <c r="C1755" i="2"/>
  <c r="L1749" i="2"/>
  <c r="D1755" i="2"/>
  <c r="E1755" i="2"/>
  <c r="E1761" i="2"/>
  <c r="C1754" i="2"/>
  <c r="L1748" i="2"/>
  <c r="E1754" i="2"/>
  <c r="F1754" i="2" s="1"/>
  <c r="D1754" i="2"/>
  <c r="C1753" i="2"/>
  <c r="E1753" i="2"/>
  <c r="D1753" i="2"/>
  <c r="D1751" i="2"/>
  <c r="C1751" i="2"/>
  <c r="D1750" i="2"/>
  <c r="C1749" i="2"/>
  <c r="E1749" i="2"/>
  <c r="D1749" i="2"/>
  <c r="C1747" i="2"/>
  <c r="D1747" i="2"/>
  <c r="C1746" i="2"/>
  <c r="L1744" i="2"/>
  <c r="L1799" i="2"/>
  <c r="U1728" i="2"/>
  <c r="U1729" i="2"/>
  <c r="U1771" i="2"/>
  <c r="U1770" i="2"/>
  <c r="L1728" i="2"/>
  <c r="L1729" i="2"/>
  <c r="L1771" i="2"/>
  <c r="L1770" i="2"/>
  <c r="C1744" i="2"/>
  <c r="F1744" i="2" s="1"/>
  <c r="C1743" i="2"/>
  <c r="D1742" i="2"/>
  <c r="C1742" i="2"/>
  <c r="C1741" i="2"/>
  <c r="D1740" i="2"/>
  <c r="F1740" i="2" s="1"/>
  <c r="C1740" i="2"/>
  <c r="E1740" i="2"/>
  <c r="C1739" i="2"/>
  <c r="L1740" i="2"/>
  <c r="D1738" i="2"/>
  <c r="C1738" i="2"/>
  <c r="C1737" i="2"/>
  <c r="L1739" i="2"/>
  <c r="D1737" i="2"/>
  <c r="F1737" i="2" s="1"/>
  <c r="E1737" i="2"/>
  <c r="L1757" i="2"/>
  <c r="C1717" i="2"/>
  <c r="F1717" i="2" s="1"/>
  <c r="D1717" i="2"/>
  <c r="E1716" i="2"/>
  <c r="D1716" i="2"/>
  <c r="C1716" i="2"/>
  <c r="L1737" i="2"/>
  <c r="C1714" i="2"/>
  <c r="U1772" i="2"/>
  <c r="U1755" i="2"/>
  <c r="U1756" i="2"/>
  <c r="U1757" i="2"/>
  <c r="U1760" i="2"/>
  <c r="U1759" i="2"/>
  <c r="U1797" i="2"/>
  <c r="U1798" i="2"/>
  <c r="U1799" i="2"/>
  <c r="U1800" i="2"/>
  <c r="T1803" i="2"/>
  <c r="P1803" i="2"/>
  <c r="U1802" i="2"/>
  <c r="Q1802" i="2"/>
  <c r="U1801" i="2"/>
  <c r="Q1801" i="2"/>
  <c r="Q1800" i="2"/>
  <c r="Q1799" i="2"/>
  <c r="Q1798" i="2"/>
  <c r="Q1797" i="2"/>
  <c r="U1796" i="2"/>
  <c r="Q1796" i="2"/>
  <c r="U1795" i="2"/>
  <c r="Q1795" i="2"/>
  <c r="U1794" i="2"/>
  <c r="Q1794" i="2"/>
  <c r="U1793" i="2"/>
  <c r="Q1793" i="2"/>
  <c r="U1792" i="2"/>
  <c r="Q1792" i="2"/>
  <c r="U1791" i="2"/>
  <c r="Q1791" i="2"/>
  <c r="U1790" i="2"/>
  <c r="Q1790" i="2"/>
  <c r="U1789" i="2"/>
  <c r="Q1789" i="2"/>
  <c r="U1788" i="2"/>
  <c r="Q1788" i="2"/>
  <c r="U1787" i="2"/>
  <c r="Q1787" i="2"/>
  <c r="U1786" i="2"/>
  <c r="Q1786" i="2"/>
  <c r="U1785" i="2"/>
  <c r="Q1785" i="2"/>
  <c r="U1784" i="2"/>
  <c r="Q1784" i="2"/>
  <c r="U1783" i="2"/>
  <c r="Q1783" i="2"/>
  <c r="U1782" i="2"/>
  <c r="Q1782" i="2"/>
  <c r="U1781" i="2"/>
  <c r="Q1781" i="2"/>
  <c r="U1780" i="2"/>
  <c r="Q1780" i="2"/>
  <c r="U1779" i="2"/>
  <c r="Q1779" i="2"/>
  <c r="Q1803" i="2" s="1"/>
  <c r="U1777" i="2"/>
  <c r="Q1777" i="2"/>
  <c r="U1776" i="2"/>
  <c r="Q1776" i="2"/>
  <c r="U1775" i="2"/>
  <c r="Q1775" i="2"/>
  <c r="U1774" i="2"/>
  <c r="Q1774" i="2"/>
  <c r="U1773" i="2"/>
  <c r="Q1773" i="2"/>
  <c r="Q1772" i="2"/>
  <c r="Q1771" i="2"/>
  <c r="Q1770" i="2"/>
  <c r="U1769" i="2"/>
  <c r="Q1769" i="2"/>
  <c r="U1768" i="2"/>
  <c r="Q1768" i="2"/>
  <c r="L1712" i="2"/>
  <c r="L1713" i="2"/>
  <c r="L1714" i="2"/>
  <c r="L1715" i="2"/>
  <c r="L1716" i="2"/>
  <c r="F1802" i="2"/>
  <c r="F1801" i="2"/>
  <c r="F1800" i="2"/>
  <c r="F1799" i="2"/>
  <c r="F1798" i="2"/>
  <c r="F1797" i="2"/>
  <c r="F1795" i="2"/>
  <c r="F1794" i="2"/>
  <c r="F1793" i="2"/>
  <c r="F1792" i="2"/>
  <c r="F1791" i="2"/>
  <c r="F1790" i="2"/>
  <c r="F1788" i="2"/>
  <c r="F1787" i="2"/>
  <c r="F1785" i="2"/>
  <c r="F1784" i="2"/>
  <c r="F1782" i="2"/>
  <c r="F1781" i="2"/>
  <c r="F1780" i="2"/>
  <c r="F1779" i="2"/>
  <c r="F1777" i="2"/>
  <c r="F1776" i="2"/>
  <c r="F1775" i="2"/>
  <c r="F1774" i="2"/>
  <c r="F1773" i="2"/>
  <c r="F1772" i="2"/>
  <c r="F1771" i="2"/>
  <c r="F1770" i="2"/>
  <c r="F1769" i="2"/>
  <c r="F1768" i="2"/>
  <c r="L1756" i="2"/>
  <c r="L1760" i="2"/>
  <c r="L1759" i="2"/>
  <c r="L1798" i="2"/>
  <c r="L1800" i="2"/>
  <c r="L1801" i="2"/>
  <c r="L1754" i="2"/>
  <c r="L1755" i="2"/>
  <c r="L1758" i="2"/>
  <c r="L1802" i="2"/>
  <c r="L1795" i="2"/>
  <c r="L1794" i="2"/>
  <c r="L1793" i="2"/>
  <c r="L1792" i="2"/>
  <c r="L1791" i="2"/>
  <c r="L1790" i="2"/>
  <c r="L1789" i="2"/>
  <c r="L1788" i="2"/>
  <c r="L1787" i="2"/>
  <c r="L1786" i="2"/>
  <c r="L1785" i="2"/>
  <c r="L1783" i="2"/>
  <c r="L1782" i="2"/>
  <c r="L1781" i="2"/>
  <c r="L1779" i="2"/>
  <c r="L1777" i="2"/>
  <c r="L1776" i="2"/>
  <c r="L1775" i="2"/>
  <c r="L1774" i="2"/>
  <c r="L1773" i="2"/>
  <c r="L1772" i="2"/>
  <c r="L1769" i="2"/>
  <c r="L1768" i="2"/>
  <c r="D1713" i="2"/>
  <c r="C1713" i="2"/>
  <c r="D1711" i="2"/>
  <c r="F1711" i="2" s="1"/>
  <c r="C1711" i="2"/>
  <c r="C1709" i="2"/>
  <c r="L1705" i="2"/>
  <c r="L1706" i="2"/>
  <c r="D1707" i="2"/>
  <c r="F1707" i="2" s="1"/>
  <c r="C1707" i="2"/>
  <c r="E1707" i="2"/>
  <c r="E1719" i="2" s="1"/>
  <c r="L1707" i="2"/>
  <c r="L1704" i="2"/>
  <c r="L1703" i="2"/>
  <c r="L1702" i="2"/>
  <c r="L1701" i="2"/>
  <c r="L1700" i="2"/>
  <c r="L1699" i="2"/>
  <c r="L1698" i="2"/>
  <c r="L1697" i="2"/>
  <c r="L1696" i="2"/>
  <c r="L1695" i="2"/>
  <c r="L1662" i="2"/>
  <c r="L1661" i="2"/>
  <c r="L1660" i="2"/>
  <c r="U1701" i="2"/>
  <c r="U1700" i="2"/>
  <c r="U1699" i="2"/>
  <c r="U1698" i="2"/>
  <c r="U1697" i="2"/>
  <c r="U1696" i="2"/>
  <c r="U1695" i="2"/>
  <c r="U1655" i="2"/>
  <c r="U1712" i="2"/>
  <c r="U1711" i="2"/>
  <c r="U1674" i="2"/>
  <c r="U1673" i="2"/>
  <c r="L1710" i="2"/>
  <c r="L1711" i="2"/>
  <c r="L1674" i="2"/>
  <c r="L1673" i="2"/>
  <c r="D1706" i="2"/>
  <c r="C1706" i="2"/>
  <c r="C1705" i="2"/>
  <c r="D1705" i="2"/>
  <c r="F1705" i="2" s="1"/>
  <c r="E1705" i="2"/>
  <c r="C1704" i="2"/>
  <c r="E1702" i="2"/>
  <c r="D1702" i="2"/>
  <c r="C1702" i="2"/>
  <c r="D1700" i="2"/>
  <c r="C1700" i="2"/>
  <c r="E1699" i="2"/>
  <c r="C1699" i="2"/>
  <c r="U1708" i="2"/>
  <c r="U1709" i="2"/>
  <c r="U1710" i="2"/>
  <c r="U1713" i="2"/>
  <c r="U1714" i="2"/>
  <c r="U1715" i="2"/>
  <c r="U1716" i="2"/>
  <c r="U1717" i="2"/>
  <c r="U1718" i="2"/>
  <c r="U1758" i="2"/>
  <c r="L1717" i="2"/>
  <c r="L1718" i="2"/>
  <c r="C1696" i="2"/>
  <c r="F1696" i="2" s="1"/>
  <c r="D1695" i="2"/>
  <c r="C1695" i="2"/>
  <c r="E1674" i="2"/>
  <c r="D1674" i="2"/>
  <c r="C1674" i="2"/>
  <c r="C1673" i="2"/>
  <c r="D1673" i="2"/>
  <c r="E1673" i="2"/>
  <c r="L1659" i="2"/>
  <c r="D1672" i="2"/>
  <c r="C1672" i="2"/>
  <c r="F1672" i="2" s="1"/>
  <c r="E1670" i="2"/>
  <c r="F1670" i="2" s="1"/>
  <c r="D1670" i="2"/>
  <c r="C1670" i="2"/>
  <c r="J1761" i="2"/>
  <c r="U1730" i="2"/>
  <c r="L1658" i="2"/>
  <c r="E1669" i="2"/>
  <c r="D1669" i="2"/>
  <c r="C1669" i="2"/>
  <c r="U1750" i="2"/>
  <c r="U1751" i="2"/>
  <c r="U1752" i="2"/>
  <c r="U1753" i="2"/>
  <c r="U1754" i="2"/>
  <c r="T1761" i="2"/>
  <c r="P1761" i="2"/>
  <c r="Q1760" i="2"/>
  <c r="Q1759" i="2"/>
  <c r="Q1758" i="2"/>
  <c r="Q1757" i="2"/>
  <c r="Q1756" i="2"/>
  <c r="Q1755" i="2"/>
  <c r="Q1754" i="2"/>
  <c r="Q1753" i="2"/>
  <c r="Q1752" i="2"/>
  <c r="Q1751" i="2"/>
  <c r="Q1750" i="2"/>
  <c r="U1749" i="2"/>
  <c r="Q1749" i="2"/>
  <c r="U1748" i="2"/>
  <c r="Q1748" i="2"/>
  <c r="U1747" i="2"/>
  <c r="Q1747" i="2"/>
  <c r="U1746" i="2"/>
  <c r="Q1746" i="2"/>
  <c r="U1745" i="2"/>
  <c r="Q1745" i="2"/>
  <c r="U1744" i="2"/>
  <c r="Q1744" i="2"/>
  <c r="U1743" i="2"/>
  <c r="Q1743" i="2"/>
  <c r="U1742" i="2"/>
  <c r="Q1742" i="2"/>
  <c r="U1741" i="2"/>
  <c r="Q1741" i="2"/>
  <c r="U1740" i="2"/>
  <c r="Q1740" i="2"/>
  <c r="U1739" i="2"/>
  <c r="Q1739" i="2"/>
  <c r="U1738" i="2"/>
  <c r="Q1738" i="2"/>
  <c r="U1737" i="2"/>
  <c r="Q1737" i="2"/>
  <c r="U1735" i="2"/>
  <c r="Q1735" i="2"/>
  <c r="U1734" i="2"/>
  <c r="Q1734" i="2"/>
  <c r="U1733" i="2"/>
  <c r="Q1733" i="2"/>
  <c r="U1732" i="2"/>
  <c r="Q1732" i="2"/>
  <c r="U1731" i="2"/>
  <c r="Q1731" i="2"/>
  <c r="Q1730" i="2"/>
  <c r="Q1729" i="2"/>
  <c r="Q1728" i="2"/>
  <c r="U1727" i="2"/>
  <c r="Q1727" i="2"/>
  <c r="U1726" i="2"/>
  <c r="Q1726" i="2"/>
  <c r="Q1725" i="2"/>
  <c r="P1725" i="2"/>
  <c r="P1736" i="2" s="1"/>
  <c r="L1750" i="2"/>
  <c r="L1751" i="2"/>
  <c r="L1752" i="2"/>
  <c r="L1753" i="2"/>
  <c r="K1761" i="2"/>
  <c r="I1761" i="2"/>
  <c r="F1760" i="2"/>
  <c r="F1757" i="2"/>
  <c r="F1756" i="2"/>
  <c r="F1753" i="2"/>
  <c r="F1752" i="2"/>
  <c r="F1751" i="2"/>
  <c r="F1750" i="2"/>
  <c r="F1748" i="2"/>
  <c r="L1747" i="2"/>
  <c r="F1747" i="2"/>
  <c r="L1746" i="2"/>
  <c r="F1746" i="2"/>
  <c r="L1745" i="2"/>
  <c r="F1745" i="2"/>
  <c r="L1743" i="2"/>
  <c r="F1743" i="2"/>
  <c r="L1742" i="2"/>
  <c r="L1741" i="2"/>
  <c r="F1741" i="2"/>
  <c r="F1739" i="2"/>
  <c r="L1738" i="2"/>
  <c r="L1735" i="2"/>
  <c r="F1735" i="2"/>
  <c r="L1734" i="2"/>
  <c r="F1734" i="2"/>
  <c r="L1733" i="2"/>
  <c r="F1733" i="2"/>
  <c r="L1732" i="2"/>
  <c r="F1732" i="2"/>
  <c r="L1731" i="2"/>
  <c r="F1731" i="2"/>
  <c r="L1730" i="2"/>
  <c r="F1730" i="2"/>
  <c r="F1729" i="2"/>
  <c r="F1728" i="2"/>
  <c r="L1727" i="2"/>
  <c r="F1727" i="2"/>
  <c r="L1726" i="2"/>
  <c r="F1726" i="2"/>
  <c r="E1668" i="2"/>
  <c r="D1668" i="2"/>
  <c r="F1668" i="2" s="1"/>
  <c r="C1668" i="2"/>
  <c r="C1667" i="2"/>
  <c r="F1667" i="2" s="1"/>
  <c r="F1645" i="2"/>
  <c r="L1657" i="2"/>
  <c r="E1664" i="2"/>
  <c r="F1664" i="2" s="1"/>
  <c r="C1664" i="2"/>
  <c r="C1663" i="2"/>
  <c r="F1663" i="2" s="1"/>
  <c r="C1661" i="2"/>
  <c r="D1661" i="2"/>
  <c r="F1661" i="2" s="1"/>
  <c r="E1661" i="2"/>
  <c r="D1660" i="2"/>
  <c r="C1660" i="2"/>
  <c r="L1654" i="2"/>
  <c r="C1659" i="2"/>
  <c r="F1659" i="2" s="1"/>
  <c r="C1657" i="2"/>
  <c r="D1656" i="2"/>
  <c r="C1656" i="2"/>
  <c r="C1655" i="2"/>
  <c r="D1655" i="2"/>
  <c r="C1653" i="2"/>
  <c r="F1653" i="2" s="1"/>
  <c r="L1613" i="2"/>
  <c r="C1633" i="2"/>
  <c r="L1600" i="2"/>
  <c r="L1601" i="2"/>
  <c r="L1644" i="2"/>
  <c r="L1670" i="2"/>
  <c r="L1671" i="2"/>
  <c r="L1672" i="2"/>
  <c r="L1676" i="2"/>
  <c r="L1675" i="2"/>
  <c r="L1666" i="2"/>
  <c r="L1667" i="2"/>
  <c r="L1668" i="2"/>
  <c r="L1669" i="2"/>
  <c r="K1719" i="2"/>
  <c r="J1719" i="2"/>
  <c r="F1718" i="2"/>
  <c r="F1715" i="2"/>
  <c r="F1714" i="2"/>
  <c r="F1713" i="2"/>
  <c r="F1712" i="2"/>
  <c r="F1710" i="2"/>
  <c r="F1709" i="2"/>
  <c r="F1708" i="2"/>
  <c r="F1706" i="2"/>
  <c r="F1704" i="2"/>
  <c r="F1703" i="2"/>
  <c r="F1702" i="2"/>
  <c r="F1701" i="2"/>
  <c r="F1700" i="2"/>
  <c r="F1699" i="2"/>
  <c r="F1698" i="2"/>
  <c r="F1697" i="2"/>
  <c r="L1693" i="2"/>
  <c r="F1693" i="2"/>
  <c r="L1692" i="2"/>
  <c r="F1692" i="2"/>
  <c r="L1691" i="2"/>
  <c r="F1691" i="2"/>
  <c r="L1690" i="2"/>
  <c r="F1690" i="2"/>
  <c r="L1689" i="2"/>
  <c r="F1689" i="2"/>
  <c r="L1688" i="2"/>
  <c r="F1688" i="2"/>
  <c r="L1687" i="2"/>
  <c r="F1687" i="2"/>
  <c r="L1686" i="2"/>
  <c r="F1686" i="2"/>
  <c r="L1685" i="2"/>
  <c r="F1685" i="2"/>
  <c r="L1684" i="2"/>
  <c r="F1684" i="2"/>
  <c r="U1669" i="2"/>
  <c r="U1670" i="2"/>
  <c r="U1671" i="2"/>
  <c r="U1672" i="2"/>
  <c r="U1676" i="2"/>
  <c r="U1675" i="2"/>
  <c r="T1719" i="2"/>
  <c r="P1719" i="2"/>
  <c r="Q1718" i="2"/>
  <c r="Q1717" i="2"/>
  <c r="Q1716" i="2"/>
  <c r="Q1715" i="2"/>
  <c r="Q1714" i="2"/>
  <c r="Q1713" i="2"/>
  <c r="Q1712" i="2"/>
  <c r="Q1711" i="2"/>
  <c r="Q1710" i="2"/>
  <c r="Q1709" i="2"/>
  <c r="Q1708" i="2"/>
  <c r="U1707" i="2"/>
  <c r="Q1707" i="2"/>
  <c r="U1706" i="2"/>
  <c r="Q1706" i="2"/>
  <c r="U1705" i="2"/>
  <c r="Q1705" i="2"/>
  <c r="U1704" i="2"/>
  <c r="Q1704" i="2"/>
  <c r="U1703" i="2"/>
  <c r="Q1703" i="2"/>
  <c r="U1702" i="2"/>
  <c r="Q1702" i="2"/>
  <c r="Q1701" i="2"/>
  <c r="Q1700" i="2"/>
  <c r="Q1699" i="2"/>
  <c r="Q1698" i="2"/>
  <c r="Q1697" i="2"/>
  <c r="Q1696" i="2"/>
  <c r="Q1695" i="2"/>
  <c r="Q1719" i="2" s="1"/>
  <c r="U1693" i="2"/>
  <c r="Q1693" i="2"/>
  <c r="U1692" i="2"/>
  <c r="Q1692" i="2"/>
  <c r="U1691" i="2"/>
  <c r="Q1691" i="2"/>
  <c r="U1690" i="2"/>
  <c r="Q1690" i="2"/>
  <c r="U1689" i="2"/>
  <c r="Q1689" i="2"/>
  <c r="U1688" i="2"/>
  <c r="Q1688" i="2"/>
  <c r="U1687" i="2"/>
  <c r="Q1687" i="2"/>
  <c r="U1686" i="2"/>
  <c r="Q1686" i="2"/>
  <c r="U1685" i="2"/>
  <c r="Q1685" i="2"/>
  <c r="U1684" i="2"/>
  <c r="Q1684" i="2"/>
  <c r="Q1683" i="2"/>
  <c r="Q1694" i="2" s="1"/>
  <c r="Q1720" i="2" s="1"/>
  <c r="P1683" i="2"/>
  <c r="P1694" i="2" s="1"/>
  <c r="P1720" i="2" s="1"/>
  <c r="U1626" i="2"/>
  <c r="U1627" i="2"/>
  <c r="U1628" i="2"/>
  <c r="U1629" i="2"/>
  <c r="U1630" i="2"/>
  <c r="U1631" i="2"/>
  <c r="U1632" i="2"/>
  <c r="U1633" i="2"/>
  <c r="U1634" i="2"/>
  <c r="L1602" i="2"/>
  <c r="L1626" i="2"/>
  <c r="L1627" i="2"/>
  <c r="L1628" i="2"/>
  <c r="L1629" i="2"/>
  <c r="L1630" i="2"/>
  <c r="L1631" i="2"/>
  <c r="L1632" i="2"/>
  <c r="L1633" i="2"/>
  <c r="L1634" i="2"/>
  <c r="C1631" i="2"/>
  <c r="D1631" i="2"/>
  <c r="F1631" i="2" s="1"/>
  <c r="U1668" i="2"/>
  <c r="U1653" i="2"/>
  <c r="L1656" i="2"/>
  <c r="L1663" i="2"/>
  <c r="L1664" i="2"/>
  <c r="L1665" i="2"/>
  <c r="L1653" i="2"/>
  <c r="F1654" i="2"/>
  <c r="F1656" i="2"/>
  <c r="F1657" i="2"/>
  <c r="F1658" i="2"/>
  <c r="F1660" i="2"/>
  <c r="F1662" i="2"/>
  <c r="F1665" i="2"/>
  <c r="F1666" i="2"/>
  <c r="F1671" i="2"/>
  <c r="F1642" i="2"/>
  <c r="F1643" i="2"/>
  <c r="P1677" i="2"/>
  <c r="K1677" i="2"/>
  <c r="J1677" i="2"/>
  <c r="I1677" i="2"/>
  <c r="Q1676" i="2"/>
  <c r="F1676" i="2"/>
  <c r="Q1675" i="2"/>
  <c r="F1675" i="2"/>
  <c r="Q1674" i="2"/>
  <c r="Q1673" i="2"/>
  <c r="Q1672" i="2"/>
  <c r="Q1671" i="2"/>
  <c r="Q1670" i="2"/>
  <c r="Q1669" i="2"/>
  <c r="T1677" i="2"/>
  <c r="Q1668" i="2"/>
  <c r="U1667" i="2"/>
  <c r="Q1667" i="2"/>
  <c r="U1666" i="2"/>
  <c r="Q1666" i="2"/>
  <c r="U1665" i="2"/>
  <c r="Q1665" i="2"/>
  <c r="U1664" i="2"/>
  <c r="Q1664" i="2"/>
  <c r="U1663" i="2"/>
  <c r="Q1663" i="2"/>
  <c r="U1662" i="2"/>
  <c r="Q1662" i="2"/>
  <c r="U1661" i="2"/>
  <c r="Q1661" i="2"/>
  <c r="U1660" i="2"/>
  <c r="Q1660" i="2"/>
  <c r="U1659" i="2"/>
  <c r="Q1659" i="2"/>
  <c r="U1658" i="2"/>
  <c r="Q1658" i="2"/>
  <c r="U1657" i="2"/>
  <c r="Q1657" i="2"/>
  <c r="U1656" i="2"/>
  <c r="Q1656" i="2"/>
  <c r="Q1655" i="2"/>
  <c r="L1655" i="2"/>
  <c r="U1654" i="2"/>
  <c r="Q1654" i="2"/>
  <c r="Q1653" i="2"/>
  <c r="Q1677" i="2" s="1"/>
  <c r="U1651" i="2"/>
  <c r="Q1651" i="2"/>
  <c r="L1651" i="2"/>
  <c r="F1651" i="2"/>
  <c r="U1650" i="2"/>
  <c r="Q1650" i="2"/>
  <c r="L1650" i="2"/>
  <c r="F1650" i="2"/>
  <c r="U1649" i="2"/>
  <c r="Q1649" i="2"/>
  <c r="L1649" i="2"/>
  <c r="F1649" i="2"/>
  <c r="U1648" i="2"/>
  <c r="Q1648" i="2"/>
  <c r="L1648" i="2"/>
  <c r="F1648" i="2"/>
  <c r="U1647" i="2"/>
  <c r="Q1647" i="2"/>
  <c r="L1647" i="2"/>
  <c r="F1647" i="2"/>
  <c r="U1646" i="2"/>
  <c r="Q1646" i="2"/>
  <c r="L1646" i="2"/>
  <c r="F1646" i="2"/>
  <c r="U1645" i="2"/>
  <c r="Q1645" i="2"/>
  <c r="L1645" i="2"/>
  <c r="U1644" i="2"/>
  <c r="Q1644" i="2"/>
  <c r="F1644" i="2"/>
  <c r="U1643" i="2"/>
  <c r="Q1643" i="2"/>
  <c r="L1643" i="2"/>
  <c r="U1642" i="2"/>
  <c r="Q1642" i="2"/>
  <c r="L1642" i="2"/>
  <c r="Q1641" i="2"/>
  <c r="Q1652" i="2" s="1"/>
  <c r="P1641" i="2"/>
  <c r="P1652" i="2" s="1"/>
  <c r="P1678" i="2" s="1"/>
  <c r="C1629" i="2"/>
  <c r="F1629" i="2" s="1"/>
  <c r="L1612" i="2"/>
  <c r="D1626" i="2"/>
  <c r="C1626" i="2"/>
  <c r="D1625" i="2"/>
  <c r="E1625" i="2"/>
  <c r="C1625" i="2"/>
  <c r="C1624" i="2"/>
  <c r="U1590" i="2"/>
  <c r="C1620" i="2"/>
  <c r="C1618" i="2"/>
  <c r="L1603" i="2"/>
  <c r="L1604" i="2"/>
  <c r="L1605" i="2"/>
  <c r="L1606" i="2"/>
  <c r="L1607" i="2"/>
  <c r="L1608" i="2"/>
  <c r="L1609" i="2"/>
  <c r="L1611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I1635" i="2"/>
  <c r="J1635" i="2"/>
  <c r="K1635" i="2"/>
  <c r="C1616" i="2"/>
  <c r="U1589" i="2"/>
  <c r="U1592" i="2"/>
  <c r="C1615" i="2"/>
  <c r="F1615" i="2" s="1"/>
  <c r="K1593" i="2"/>
  <c r="I1593" i="2"/>
  <c r="C1589" i="2"/>
  <c r="F1589" i="2" s="1"/>
  <c r="C1585" i="2"/>
  <c r="F1585" i="2" s="1"/>
  <c r="U1591" i="2"/>
  <c r="L1591" i="2"/>
  <c r="L1590" i="2"/>
  <c r="L1588" i="2"/>
  <c r="L1570" i="2"/>
  <c r="F1542" i="2"/>
  <c r="F1541" i="2"/>
  <c r="F1540" i="2"/>
  <c r="T1635" i="2"/>
  <c r="P1635" i="2"/>
  <c r="Q1634" i="2"/>
  <c r="Q1633" i="2"/>
  <c r="Q1632" i="2"/>
  <c r="Q1631" i="2"/>
  <c r="Q1630" i="2"/>
  <c r="Q1629" i="2"/>
  <c r="Q1628" i="2"/>
  <c r="Q1627" i="2"/>
  <c r="Q1626" i="2"/>
  <c r="U1625" i="2"/>
  <c r="Q1625" i="2"/>
  <c r="U1624" i="2"/>
  <c r="Q1624" i="2"/>
  <c r="U1623" i="2"/>
  <c r="Q1623" i="2"/>
  <c r="U1622" i="2"/>
  <c r="Q1622" i="2"/>
  <c r="U1621" i="2"/>
  <c r="Q1621" i="2"/>
  <c r="U1620" i="2"/>
  <c r="Q1620" i="2"/>
  <c r="U1619" i="2"/>
  <c r="Q1619" i="2"/>
  <c r="U1618" i="2"/>
  <c r="Q1618" i="2"/>
  <c r="U1617" i="2"/>
  <c r="Q1617" i="2"/>
  <c r="U1616" i="2"/>
  <c r="Q1616" i="2"/>
  <c r="U1615" i="2"/>
  <c r="Q1615" i="2"/>
  <c r="U1614" i="2"/>
  <c r="Q1614" i="2"/>
  <c r="U1613" i="2"/>
  <c r="Q1613" i="2"/>
  <c r="U1612" i="2"/>
  <c r="Q1612" i="2"/>
  <c r="U1611" i="2"/>
  <c r="Q1611" i="2"/>
  <c r="U1609" i="2"/>
  <c r="Q1609" i="2"/>
  <c r="U1608" i="2"/>
  <c r="Q1608" i="2"/>
  <c r="U1607" i="2"/>
  <c r="Q1607" i="2"/>
  <c r="U1606" i="2"/>
  <c r="Q1606" i="2"/>
  <c r="U1605" i="2"/>
  <c r="Q1605" i="2"/>
  <c r="U1604" i="2"/>
  <c r="Q1604" i="2"/>
  <c r="U1603" i="2"/>
  <c r="Q1603" i="2"/>
  <c r="U1602" i="2"/>
  <c r="Q1602" i="2"/>
  <c r="U1601" i="2"/>
  <c r="Q1601" i="2"/>
  <c r="U1600" i="2"/>
  <c r="Q1600" i="2"/>
  <c r="E1635" i="2"/>
  <c r="F1634" i="2"/>
  <c r="F1633" i="2"/>
  <c r="F1632" i="2"/>
  <c r="F1630" i="2"/>
  <c r="F1628" i="2"/>
  <c r="F1627" i="2"/>
  <c r="F1626" i="2"/>
  <c r="F1624" i="2"/>
  <c r="F1623" i="2"/>
  <c r="F1622" i="2"/>
  <c r="F1621" i="2"/>
  <c r="F1620" i="2"/>
  <c r="F1619" i="2"/>
  <c r="F1618" i="2"/>
  <c r="F1617" i="2"/>
  <c r="F1614" i="2"/>
  <c r="F1613" i="2"/>
  <c r="F1612" i="2"/>
  <c r="F1611" i="2"/>
  <c r="F1609" i="2"/>
  <c r="F1608" i="2"/>
  <c r="F1607" i="2"/>
  <c r="F1606" i="2"/>
  <c r="F1605" i="2"/>
  <c r="F1604" i="2"/>
  <c r="F1603" i="2"/>
  <c r="F1602" i="2"/>
  <c r="F1601" i="2"/>
  <c r="F1600" i="2"/>
  <c r="L1550" i="2"/>
  <c r="L1592" i="2"/>
  <c r="U1518" i="2"/>
  <c r="U1476" i="2"/>
  <c r="L1516" i="2"/>
  <c r="L1517" i="2"/>
  <c r="L1476" i="2"/>
  <c r="F1569" i="2"/>
  <c r="F1570" i="2"/>
  <c r="F1571" i="2"/>
  <c r="F1572" i="2"/>
  <c r="F1573" i="2"/>
  <c r="F1574" i="2"/>
  <c r="F1575" i="2"/>
  <c r="F1576" i="2"/>
  <c r="F1577" i="2"/>
  <c r="E1593" i="2"/>
  <c r="D1593" i="2"/>
  <c r="F1592" i="2"/>
  <c r="F1591" i="2"/>
  <c r="F1590" i="2"/>
  <c r="F1588" i="2"/>
  <c r="F1587" i="2"/>
  <c r="F1586" i="2"/>
  <c r="F1584" i="2"/>
  <c r="F1583" i="2"/>
  <c r="F1582" i="2"/>
  <c r="F1581" i="2"/>
  <c r="F1580" i="2"/>
  <c r="F1579" i="2"/>
  <c r="F1578" i="2"/>
  <c r="F1567" i="2"/>
  <c r="F1566" i="2"/>
  <c r="F1565" i="2"/>
  <c r="F1564" i="2"/>
  <c r="F1563" i="2"/>
  <c r="F1562" i="2"/>
  <c r="F1561" i="2"/>
  <c r="F1560" i="2"/>
  <c r="F1559" i="2"/>
  <c r="F1558" i="2"/>
  <c r="L1475" i="2"/>
  <c r="L1508" i="2"/>
  <c r="Q1516" i="2"/>
  <c r="U1516" i="2"/>
  <c r="Q1517" i="2"/>
  <c r="U1517" i="2"/>
  <c r="L1518" i="2"/>
  <c r="Q1518" i="2"/>
  <c r="L1519" i="2"/>
  <c r="Q1519" i="2"/>
  <c r="U1519" i="2"/>
  <c r="L1520" i="2"/>
  <c r="Q1520" i="2"/>
  <c r="U1520" i="2"/>
  <c r="L1521" i="2"/>
  <c r="Q1521" i="2"/>
  <c r="U1521" i="2"/>
  <c r="L1522" i="2"/>
  <c r="Q1522" i="2"/>
  <c r="U1522" i="2"/>
  <c r="L1523" i="2"/>
  <c r="Q1523" i="2"/>
  <c r="U1523" i="2"/>
  <c r="L1524" i="2"/>
  <c r="Q1524" i="2"/>
  <c r="U1524" i="2"/>
  <c r="L1525" i="2"/>
  <c r="Q1525" i="2"/>
  <c r="U1525" i="2"/>
  <c r="L1527" i="2"/>
  <c r="Q1527" i="2"/>
  <c r="U1527" i="2"/>
  <c r="L1528" i="2"/>
  <c r="Q1528" i="2"/>
  <c r="Q1551" i="2" s="1"/>
  <c r="U1528" i="2"/>
  <c r="L1529" i="2"/>
  <c r="Q1529" i="2"/>
  <c r="U1529" i="2"/>
  <c r="L1530" i="2"/>
  <c r="Q1530" i="2"/>
  <c r="U1530" i="2"/>
  <c r="L1531" i="2"/>
  <c r="Q1531" i="2"/>
  <c r="U1531" i="2"/>
  <c r="L1532" i="2"/>
  <c r="Q1532" i="2"/>
  <c r="U1532" i="2"/>
  <c r="L1533" i="2"/>
  <c r="Q1533" i="2"/>
  <c r="U1533" i="2"/>
  <c r="L1534" i="2"/>
  <c r="Q1534" i="2"/>
  <c r="U1534" i="2"/>
  <c r="L1535" i="2"/>
  <c r="Q1535" i="2"/>
  <c r="U1535" i="2"/>
  <c r="L1536" i="2"/>
  <c r="Q1536" i="2"/>
  <c r="U1536" i="2"/>
  <c r="L1537" i="2"/>
  <c r="Q1537" i="2"/>
  <c r="U1537" i="2"/>
  <c r="L1538" i="2"/>
  <c r="Q1538" i="2"/>
  <c r="U1538" i="2"/>
  <c r="L1539" i="2"/>
  <c r="Q1539" i="2"/>
  <c r="U1539" i="2"/>
  <c r="L1540" i="2"/>
  <c r="Q1540" i="2"/>
  <c r="U1540" i="2"/>
  <c r="L1541" i="2"/>
  <c r="Q1541" i="2"/>
  <c r="U1541" i="2"/>
  <c r="L1542" i="2"/>
  <c r="Q1542" i="2"/>
  <c r="U1542" i="2"/>
  <c r="L1543" i="2"/>
  <c r="Q1543" i="2"/>
  <c r="U1543" i="2"/>
  <c r="L1544" i="2"/>
  <c r="Q1544" i="2"/>
  <c r="U1544" i="2"/>
  <c r="L1545" i="2"/>
  <c r="Q1545" i="2"/>
  <c r="U1545" i="2"/>
  <c r="L1546" i="2"/>
  <c r="Q1546" i="2"/>
  <c r="U1546" i="2"/>
  <c r="L1547" i="2"/>
  <c r="Q1547" i="2"/>
  <c r="U1547" i="2"/>
  <c r="L1548" i="2"/>
  <c r="Q1548" i="2"/>
  <c r="U1548" i="2"/>
  <c r="L1549" i="2"/>
  <c r="Q1549" i="2"/>
  <c r="U1549" i="2"/>
  <c r="Q1550" i="2"/>
  <c r="U1550" i="2"/>
  <c r="I1551" i="2"/>
  <c r="J1551" i="2"/>
  <c r="K1551" i="2"/>
  <c r="P1551" i="2"/>
  <c r="T1551" i="2"/>
  <c r="L1558" i="2"/>
  <c r="Q1558" i="2"/>
  <c r="U1558" i="2"/>
  <c r="L1559" i="2"/>
  <c r="Q1559" i="2"/>
  <c r="U1559" i="2"/>
  <c r="L1560" i="2"/>
  <c r="Q1560" i="2"/>
  <c r="U1560" i="2"/>
  <c r="L1561" i="2"/>
  <c r="Q1561" i="2"/>
  <c r="U1561" i="2"/>
  <c r="L1562" i="2"/>
  <c r="Q1562" i="2"/>
  <c r="U1562" i="2"/>
  <c r="L1563" i="2"/>
  <c r="Q1563" i="2"/>
  <c r="U1563" i="2"/>
  <c r="L1564" i="2"/>
  <c r="Q1564" i="2"/>
  <c r="U1564" i="2"/>
  <c r="L1565" i="2"/>
  <c r="Q1565" i="2"/>
  <c r="U1565" i="2"/>
  <c r="L1566" i="2"/>
  <c r="Q1566" i="2"/>
  <c r="U1566" i="2"/>
  <c r="L1567" i="2"/>
  <c r="Q1567" i="2"/>
  <c r="U1567" i="2"/>
  <c r="L1569" i="2"/>
  <c r="Q1569" i="2"/>
  <c r="U1569" i="2"/>
  <c r="Q1570" i="2"/>
  <c r="U1570" i="2"/>
  <c r="L1571" i="2"/>
  <c r="Q1571" i="2"/>
  <c r="U1571" i="2"/>
  <c r="L1572" i="2"/>
  <c r="Q1572" i="2"/>
  <c r="U1572" i="2"/>
  <c r="L1573" i="2"/>
  <c r="Q1573" i="2"/>
  <c r="U1573" i="2"/>
  <c r="L1574" i="2"/>
  <c r="Q1574" i="2"/>
  <c r="U1574" i="2"/>
  <c r="L1575" i="2"/>
  <c r="Q1575" i="2"/>
  <c r="U1575" i="2"/>
  <c r="L1576" i="2"/>
  <c r="Q1576" i="2"/>
  <c r="U1576" i="2"/>
  <c r="L1577" i="2"/>
  <c r="Q1577" i="2"/>
  <c r="U1577" i="2"/>
  <c r="L1578" i="2"/>
  <c r="Q1578" i="2"/>
  <c r="U1578" i="2"/>
  <c r="L1579" i="2"/>
  <c r="Q1579" i="2"/>
  <c r="U1579" i="2"/>
  <c r="L1580" i="2"/>
  <c r="Q1580" i="2"/>
  <c r="U1580" i="2"/>
  <c r="L1581" i="2"/>
  <c r="Q1581" i="2"/>
  <c r="U1581" i="2"/>
  <c r="L1582" i="2"/>
  <c r="Q1582" i="2"/>
  <c r="U1582" i="2"/>
  <c r="L1583" i="2"/>
  <c r="Q1583" i="2"/>
  <c r="U1583" i="2"/>
  <c r="L1584" i="2"/>
  <c r="Q1584" i="2"/>
  <c r="U1584" i="2"/>
  <c r="L1585" i="2"/>
  <c r="Q1585" i="2"/>
  <c r="U1585" i="2"/>
  <c r="L1586" i="2"/>
  <c r="Q1586" i="2"/>
  <c r="U1586" i="2"/>
  <c r="L1587" i="2"/>
  <c r="Q1587" i="2"/>
  <c r="U1587" i="2"/>
  <c r="Q1588" i="2"/>
  <c r="U1588" i="2"/>
  <c r="Q1589" i="2"/>
  <c r="Q1590" i="2"/>
  <c r="Q1591" i="2"/>
  <c r="Q1592" i="2"/>
  <c r="J1593" i="2"/>
  <c r="P1593" i="2"/>
  <c r="C1534" i="2"/>
  <c r="C1533" i="2"/>
  <c r="F1533" i="2" s="1"/>
  <c r="F1527" i="2"/>
  <c r="F1528" i="2"/>
  <c r="F1529" i="2"/>
  <c r="F1530" i="2"/>
  <c r="F1531" i="2"/>
  <c r="F1532" i="2"/>
  <c r="F1534" i="2"/>
  <c r="F1535" i="2"/>
  <c r="F1536" i="2"/>
  <c r="F1537" i="2"/>
  <c r="F1538" i="2"/>
  <c r="F1539" i="2"/>
  <c r="F1543" i="2"/>
  <c r="F1544" i="2"/>
  <c r="F1545" i="2"/>
  <c r="F1546" i="2"/>
  <c r="F1547" i="2"/>
  <c r="F1516" i="2"/>
  <c r="E1551" i="2"/>
  <c r="D1551" i="2"/>
  <c r="F1550" i="2"/>
  <c r="F1549" i="2"/>
  <c r="F1548" i="2"/>
  <c r="C1551" i="2"/>
  <c r="F1525" i="2"/>
  <c r="F1524" i="2"/>
  <c r="F1523" i="2"/>
  <c r="F1522" i="2"/>
  <c r="F1521" i="2"/>
  <c r="F1520" i="2"/>
  <c r="F1519" i="2"/>
  <c r="F1518" i="2"/>
  <c r="F1517" i="2"/>
  <c r="U2349" i="2" l="1"/>
  <c r="T2349" i="2"/>
  <c r="L2349" i="2"/>
  <c r="F2307" i="2"/>
  <c r="L2307" i="2"/>
  <c r="I2307" i="2"/>
  <c r="D2266" i="2"/>
  <c r="D2271" i="2" s="1"/>
  <c r="D2282" i="2" s="1"/>
  <c r="D2308" i="2" s="1"/>
  <c r="D2313" i="2" s="1"/>
  <c r="D2324" i="2" s="1"/>
  <c r="D2350" i="2" s="1"/>
  <c r="C2266" i="2"/>
  <c r="C2271" i="2" s="1"/>
  <c r="C2282" i="2" s="1"/>
  <c r="C2308" i="2" s="1"/>
  <c r="C2313" i="2" s="1"/>
  <c r="C2324" i="2" s="1"/>
  <c r="C2350" i="2" s="1"/>
  <c r="L2265" i="2"/>
  <c r="F2265" i="2"/>
  <c r="F2266" i="2" s="1"/>
  <c r="F2271" i="2" s="1"/>
  <c r="F2282" i="2" s="1"/>
  <c r="E2266" i="2"/>
  <c r="E2271" i="2" s="1"/>
  <c r="E2282" i="2" s="1"/>
  <c r="E2308" i="2" s="1"/>
  <c r="E2313" i="2" s="1"/>
  <c r="E2324" i="2" s="1"/>
  <c r="E2350" i="2" s="1"/>
  <c r="E2224" i="2"/>
  <c r="K2224" i="2"/>
  <c r="K2229" i="2" s="1"/>
  <c r="K2240" i="2" s="1"/>
  <c r="K2266" i="2" s="1"/>
  <c r="K2271" i="2" s="1"/>
  <c r="K2282" i="2" s="1"/>
  <c r="K2308" i="2" s="1"/>
  <c r="K2313" i="2" s="1"/>
  <c r="K2324" i="2" s="1"/>
  <c r="K2350" i="2" s="1"/>
  <c r="F2223" i="2"/>
  <c r="U2223" i="2"/>
  <c r="L2223" i="2"/>
  <c r="J2182" i="2"/>
  <c r="J2187" i="2" s="1"/>
  <c r="J2198" i="2" s="1"/>
  <c r="J2224" i="2" s="1"/>
  <c r="J2229" i="2" s="1"/>
  <c r="J2240" i="2" s="1"/>
  <c r="J2266" i="2" s="1"/>
  <c r="J2271" i="2" s="1"/>
  <c r="J2282" i="2" s="1"/>
  <c r="J2308" i="2" s="1"/>
  <c r="J2313" i="2" s="1"/>
  <c r="J2324" i="2" s="1"/>
  <c r="J2350" i="2" s="1"/>
  <c r="F2181" i="2"/>
  <c r="Q2182" i="2"/>
  <c r="F2139" i="2"/>
  <c r="D2140" i="2"/>
  <c r="D2145" i="2" s="1"/>
  <c r="D2156" i="2" s="1"/>
  <c r="D2182" i="2" s="1"/>
  <c r="D2187" i="2" s="1"/>
  <c r="D2198" i="2" s="1"/>
  <c r="D2224" i="2" s="1"/>
  <c r="E2140" i="2"/>
  <c r="E2145" i="2" s="1"/>
  <c r="E2156" i="2" s="1"/>
  <c r="E2182" i="2" s="1"/>
  <c r="L2139" i="2"/>
  <c r="L2140" i="2" s="1"/>
  <c r="L2145" i="2" s="1"/>
  <c r="L2156" i="2" s="1"/>
  <c r="L2182" i="2" s="1"/>
  <c r="L2187" i="2" s="1"/>
  <c r="L2198" i="2" s="1"/>
  <c r="J2140" i="2"/>
  <c r="I2140" i="2"/>
  <c r="I2145" i="2" s="1"/>
  <c r="I2156" i="2" s="1"/>
  <c r="I2182" i="2" s="1"/>
  <c r="I2187" i="2" s="1"/>
  <c r="I2198" i="2" s="1"/>
  <c r="I2224" i="2" s="1"/>
  <c r="I2229" i="2" s="1"/>
  <c r="I2240" i="2" s="1"/>
  <c r="I2266" i="2" s="1"/>
  <c r="I2271" i="2" s="1"/>
  <c r="I2282" i="2" s="1"/>
  <c r="K2140" i="2"/>
  <c r="Q2140" i="2"/>
  <c r="E2097" i="2"/>
  <c r="D2097" i="2"/>
  <c r="C2097" i="2"/>
  <c r="D2055" i="2"/>
  <c r="F2097" i="2"/>
  <c r="C2055" i="2"/>
  <c r="T2056" i="2"/>
  <c r="T2061" i="2" s="1"/>
  <c r="T2072" i="2" s="1"/>
  <c r="T2098" i="2" s="1"/>
  <c r="T2103" i="2" s="1"/>
  <c r="T2114" i="2" s="1"/>
  <c r="T2140" i="2" s="1"/>
  <c r="T2145" i="2" s="1"/>
  <c r="T2156" i="2" s="1"/>
  <c r="T2182" i="2" s="1"/>
  <c r="T2187" i="2" s="1"/>
  <c r="T2198" i="2" s="1"/>
  <c r="T2224" i="2" s="1"/>
  <c r="T2229" i="2" s="1"/>
  <c r="T2240" i="2" s="1"/>
  <c r="T2266" i="2" s="1"/>
  <c r="T2271" i="2" s="1"/>
  <c r="T2282" i="2" s="1"/>
  <c r="T2308" i="2" s="1"/>
  <c r="T2313" i="2" s="1"/>
  <c r="T2324" i="2" s="1"/>
  <c r="Q2056" i="2"/>
  <c r="F2055" i="2"/>
  <c r="T2014" i="2"/>
  <c r="T2019" i="2" s="1"/>
  <c r="T2030" i="2" s="1"/>
  <c r="U2013" i="2"/>
  <c r="U2014" i="2" s="1"/>
  <c r="U2019" i="2" s="1"/>
  <c r="U2030" i="2" s="1"/>
  <c r="U2056" i="2" s="1"/>
  <c r="U2061" i="2" s="1"/>
  <c r="U2072" i="2" s="1"/>
  <c r="U2098" i="2" s="1"/>
  <c r="U2103" i="2" s="1"/>
  <c r="U2114" i="2" s="1"/>
  <c r="U2140" i="2" s="1"/>
  <c r="U2145" i="2" s="1"/>
  <c r="U2156" i="2" s="1"/>
  <c r="U2182" i="2" s="1"/>
  <c r="U2187" i="2" s="1"/>
  <c r="U2198" i="2" s="1"/>
  <c r="U2224" i="2" s="1"/>
  <c r="U2229" i="2" s="1"/>
  <c r="U2240" i="2" s="1"/>
  <c r="U2266" i="2" s="1"/>
  <c r="U2271" i="2" s="1"/>
  <c r="U2282" i="2" s="1"/>
  <c r="U2308" i="2" s="1"/>
  <c r="U2313" i="2" s="1"/>
  <c r="U2324" i="2" s="1"/>
  <c r="U2350" i="2" s="1"/>
  <c r="F2008" i="2"/>
  <c r="F2004" i="2"/>
  <c r="F2002" i="2"/>
  <c r="D2013" i="2"/>
  <c r="F1993" i="2"/>
  <c r="E2013" i="2"/>
  <c r="C2013" i="2"/>
  <c r="C1971" i="2"/>
  <c r="D1971" i="2"/>
  <c r="E1971" i="2"/>
  <c r="F1955" i="2"/>
  <c r="F1954" i="2"/>
  <c r="F1971" i="2" s="1"/>
  <c r="F1925" i="2"/>
  <c r="F1929" i="2" s="1"/>
  <c r="D1929" i="2"/>
  <c r="T1930" i="2"/>
  <c r="T1935" i="2" s="1"/>
  <c r="T1946" i="2" s="1"/>
  <c r="T1972" i="2" s="1"/>
  <c r="Q1930" i="2"/>
  <c r="C1929" i="2"/>
  <c r="T1888" i="2"/>
  <c r="T1893" i="2" s="1"/>
  <c r="T1904" i="2" s="1"/>
  <c r="C1887" i="2"/>
  <c r="U1862" i="2"/>
  <c r="U1888" i="2" s="1"/>
  <c r="U1893" i="2" s="1"/>
  <c r="U1904" i="2" s="1"/>
  <c r="U1930" i="2" s="1"/>
  <c r="U1935" i="2" s="1"/>
  <c r="U1946" i="2" s="1"/>
  <c r="U1972" i="2" s="1"/>
  <c r="Q1888" i="2"/>
  <c r="F1887" i="2"/>
  <c r="C1845" i="2"/>
  <c r="U1820" i="2"/>
  <c r="U1846" i="2" s="1"/>
  <c r="T1846" i="2"/>
  <c r="F1845" i="2"/>
  <c r="Q1846" i="2"/>
  <c r="F1796" i="2"/>
  <c r="E1803" i="2"/>
  <c r="D1803" i="2"/>
  <c r="C1803" i="2"/>
  <c r="F1783" i="2"/>
  <c r="Q1761" i="2"/>
  <c r="P1762" i="2"/>
  <c r="P1767" i="2" s="1"/>
  <c r="P1778" i="2" s="1"/>
  <c r="P1804" i="2" s="1"/>
  <c r="F1759" i="2"/>
  <c r="Q1736" i="2"/>
  <c r="F1755" i="2"/>
  <c r="D1761" i="2"/>
  <c r="F1749" i="2"/>
  <c r="F1742" i="2"/>
  <c r="C1761" i="2"/>
  <c r="F1738" i="2"/>
  <c r="F1716" i="2"/>
  <c r="U1803" i="2"/>
  <c r="D1719" i="2"/>
  <c r="C1719" i="2"/>
  <c r="F1695" i="2"/>
  <c r="F1674" i="2"/>
  <c r="F1673" i="2"/>
  <c r="F1669" i="2"/>
  <c r="U1761" i="2"/>
  <c r="L1761" i="2"/>
  <c r="I1719" i="2"/>
  <c r="D1677" i="2"/>
  <c r="L1719" i="2"/>
  <c r="F1655" i="2"/>
  <c r="U1677" i="2"/>
  <c r="U1719" i="2"/>
  <c r="L1635" i="2"/>
  <c r="D1635" i="2"/>
  <c r="L1677" i="2"/>
  <c r="Q1678" i="2"/>
  <c r="C1677" i="2"/>
  <c r="E1677" i="2"/>
  <c r="F1625" i="2"/>
  <c r="L1589" i="2"/>
  <c r="L1593" i="2" s="1"/>
  <c r="T1593" i="2"/>
  <c r="C1635" i="2"/>
  <c r="F1616" i="2"/>
  <c r="U1593" i="2"/>
  <c r="Q1635" i="2"/>
  <c r="L1551" i="2"/>
  <c r="Q1593" i="2"/>
  <c r="U1551" i="2"/>
  <c r="U1635" i="2"/>
  <c r="F1593" i="2"/>
  <c r="C1593" i="2"/>
  <c r="F1551" i="2"/>
  <c r="C1491" i="2"/>
  <c r="C1509" i="2" s="1"/>
  <c r="U1434" i="2"/>
  <c r="L1434" i="2"/>
  <c r="U1475" i="2"/>
  <c r="L1485" i="2"/>
  <c r="F1474" i="2"/>
  <c r="F1475" i="2"/>
  <c r="T1509" i="2"/>
  <c r="P1509" i="2"/>
  <c r="K1509" i="2"/>
  <c r="J1509" i="2"/>
  <c r="I1509" i="2"/>
  <c r="D1509" i="2"/>
  <c r="U1508" i="2"/>
  <c r="Q1508" i="2"/>
  <c r="F1508" i="2"/>
  <c r="U1507" i="2"/>
  <c r="Q1507" i="2"/>
  <c r="L1507" i="2"/>
  <c r="F1507" i="2"/>
  <c r="U1506" i="2"/>
  <c r="Q1506" i="2"/>
  <c r="L1506" i="2"/>
  <c r="F1506" i="2"/>
  <c r="U1505" i="2"/>
  <c r="Q1505" i="2"/>
  <c r="L1505" i="2"/>
  <c r="F1505" i="2"/>
  <c r="U1504" i="2"/>
  <c r="Q1504" i="2"/>
  <c r="L1504" i="2"/>
  <c r="F1504" i="2"/>
  <c r="U1503" i="2"/>
  <c r="Q1503" i="2"/>
  <c r="L1503" i="2"/>
  <c r="F1503" i="2"/>
  <c r="U1502" i="2"/>
  <c r="Q1502" i="2"/>
  <c r="L1502" i="2"/>
  <c r="F1502" i="2"/>
  <c r="U1501" i="2"/>
  <c r="Q1501" i="2"/>
  <c r="L1501" i="2"/>
  <c r="F1501" i="2"/>
  <c r="U1500" i="2"/>
  <c r="Q1500" i="2"/>
  <c r="L1500" i="2"/>
  <c r="F1500" i="2"/>
  <c r="U1499" i="2"/>
  <c r="Q1499" i="2"/>
  <c r="L1499" i="2"/>
  <c r="F1499" i="2"/>
  <c r="U1498" i="2"/>
  <c r="Q1498" i="2"/>
  <c r="L1498" i="2"/>
  <c r="F1498" i="2"/>
  <c r="U1497" i="2"/>
  <c r="Q1497" i="2"/>
  <c r="L1497" i="2"/>
  <c r="F1497" i="2"/>
  <c r="U1496" i="2"/>
  <c r="Q1496" i="2"/>
  <c r="L1496" i="2"/>
  <c r="F1496" i="2"/>
  <c r="U1495" i="2"/>
  <c r="Q1495" i="2"/>
  <c r="L1495" i="2"/>
  <c r="F1495" i="2"/>
  <c r="U1494" i="2"/>
  <c r="Q1494" i="2"/>
  <c r="L1494" i="2"/>
  <c r="F1494" i="2"/>
  <c r="U1493" i="2"/>
  <c r="Q1493" i="2"/>
  <c r="L1493" i="2"/>
  <c r="F1493" i="2"/>
  <c r="E1509" i="2"/>
  <c r="U1492" i="2"/>
  <c r="Q1492" i="2"/>
  <c r="L1492" i="2"/>
  <c r="F1492" i="2"/>
  <c r="U1491" i="2"/>
  <c r="Q1491" i="2"/>
  <c r="L1491" i="2"/>
  <c r="U1490" i="2"/>
  <c r="Q1490" i="2"/>
  <c r="L1490" i="2"/>
  <c r="F1490" i="2"/>
  <c r="U1489" i="2"/>
  <c r="Q1489" i="2"/>
  <c r="L1489" i="2"/>
  <c r="F1489" i="2"/>
  <c r="U1488" i="2"/>
  <c r="Q1488" i="2"/>
  <c r="L1488" i="2"/>
  <c r="F1488" i="2"/>
  <c r="U1487" i="2"/>
  <c r="Q1487" i="2"/>
  <c r="L1487" i="2"/>
  <c r="U1486" i="2"/>
  <c r="Q1486" i="2"/>
  <c r="L1486" i="2"/>
  <c r="F1486" i="2"/>
  <c r="U1485" i="2"/>
  <c r="Q1485" i="2"/>
  <c r="F1485" i="2"/>
  <c r="U1483" i="2"/>
  <c r="Q1483" i="2"/>
  <c r="L1483" i="2"/>
  <c r="F1483" i="2"/>
  <c r="U1482" i="2"/>
  <c r="Q1482" i="2"/>
  <c r="L1482" i="2"/>
  <c r="F1482" i="2"/>
  <c r="U1481" i="2"/>
  <c r="Q1481" i="2"/>
  <c r="L1481" i="2"/>
  <c r="F1481" i="2"/>
  <c r="U1480" i="2"/>
  <c r="Q1480" i="2"/>
  <c r="L1480" i="2"/>
  <c r="F1480" i="2"/>
  <c r="U1479" i="2"/>
  <c r="Q1479" i="2"/>
  <c r="L1479" i="2"/>
  <c r="F1479" i="2"/>
  <c r="U1478" i="2"/>
  <c r="Q1478" i="2"/>
  <c r="L1478" i="2"/>
  <c r="F1478" i="2"/>
  <c r="U1477" i="2"/>
  <c r="Q1477" i="2"/>
  <c r="L1477" i="2"/>
  <c r="F1477" i="2"/>
  <c r="Q1476" i="2"/>
  <c r="F1476" i="2"/>
  <c r="Q1475" i="2"/>
  <c r="U1474" i="2"/>
  <c r="Q1474" i="2"/>
  <c r="L1474" i="2"/>
  <c r="F2308" i="2" l="1"/>
  <c r="F2313" i="2" s="1"/>
  <c r="F2324" i="2" s="1"/>
  <c r="F2350" i="2" s="1"/>
  <c r="T2350" i="2"/>
  <c r="I2308" i="2"/>
  <c r="I2313" i="2" s="1"/>
  <c r="I2324" i="2" s="1"/>
  <c r="I2350" i="2" s="1"/>
  <c r="L2224" i="2"/>
  <c r="L2229" i="2" s="1"/>
  <c r="L2240" i="2" s="1"/>
  <c r="L2266" i="2" s="1"/>
  <c r="L2271" i="2" s="1"/>
  <c r="L2282" i="2" s="1"/>
  <c r="L2308" i="2" s="1"/>
  <c r="L2313" i="2" s="1"/>
  <c r="L2324" i="2" s="1"/>
  <c r="L2350" i="2" s="1"/>
  <c r="F2013" i="2"/>
  <c r="F1803" i="2"/>
  <c r="Q1762" i="2"/>
  <c r="Q1767" i="2" s="1"/>
  <c r="Q1778" i="2" s="1"/>
  <c r="Q1804" i="2" s="1"/>
  <c r="F1761" i="2"/>
  <c r="F1719" i="2"/>
  <c r="F1677" i="2"/>
  <c r="F1635" i="2"/>
  <c r="L1509" i="2"/>
  <c r="Q1509" i="2"/>
  <c r="F1491" i="2"/>
  <c r="U1509" i="2"/>
  <c r="F1487" i="2"/>
  <c r="C1461" i="2"/>
  <c r="F1461" i="2" s="1"/>
  <c r="C1458" i="2"/>
  <c r="F1458" i="2" s="1"/>
  <c r="C1457" i="2"/>
  <c r="F1457" i="2" s="1"/>
  <c r="C1454" i="2"/>
  <c r="F1454" i="2" s="1"/>
  <c r="C1452" i="2"/>
  <c r="E1451" i="2"/>
  <c r="F1451" i="2" s="1"/>
  <c r="C1447" i="2"/>
  <c r="F1447" i="2" s="1"/>
  <c r="C1446" i="2"/>
  <c r="F1446" i="2" s="1"/>
  <c r="C1445" i="2"/>
  <c r="F1445" i="2" s="1"/>
  <c r="U1443" i="2"/>
  <c r="U1444" i="2"/>
  <c r="U1445" i="2"/>
  <c r="U1446" i="2"/>
  <c r="U1447" i="2"/>
  <c r="U1459" i="2"/>
  <c r="U1460" i="2"/>
  <c r="U1461" i="2"/>
  <c r="U1462" i="2"/>
  <c r="U1463" i="2"/>
  <c r="U1464" i="2"/>
  <c r="U1465" i="2"/>
  <c r="U1466" i="2"/>
  <c r="L1432" i="2"/>
  <c r="L1433" i="2"/>
  <c r="L1435" i="2"/>
  <c r="L1460" i="2"/>
  <c r="L1461" i="2"/>
  <c r="L1462" i="2"/>
  <c r="L1463" i="2"/>
  <c r="L1464" i="2"/>
  <c r="L1465" i="2"/>
  <c r="L1466" i="2"/>
  <c r="L1443" i="2"/>
  <c r="L1444" i="2"/>
  <c r="L1445" i="2"/>
  <c r="L1446" i="2"/>
  <c r="L1447" i="2"/>
  <c r="L1448" i="2"/>
  <c r="L1449" i="2"/>
  <c r="F1432" i="2"/>
  <c r="F1433" i="2"/>
  <c r="F1434" i="2"/>
  <c r="F1435" i="2"/>
  <c r="F1436" i="2"/>
  <c r="F1464" i="2"/>
  <c r="F1465" i="2"/>
  <c r="F1443" i="2"/>
  <c r="F1444" i="2"/>
  <c r="F1448" i="2"/>
  <c r="F1449" i="2"/>
  <c r="F1450" i="2"/>
  <c r="F1452" i="2"/>
  <c r="F1453" i="2"/>
  <c r="F1455" i="2"/>
  <c r="F1456" i="2"/>
  <c r="F1459" i="2"/>
  <c r="F1460" i="2"/>
  <c r="F1462" i="2"/>
  <c r="P1467" i="2"/>
  <c r="K1467" i="2"/>
  <c r="D1467" i="2"/>
  <c r="Q1466" i="2"/>
  <c r="J1467" i="2"/>
  <c r="F1466" i="2"/>
  <c r="Q1465" i="2"/>
  <c r="I1467" i="2"/>
  <c r="Q1464" i="2"/>
  <c r="Q1463" i="2"/>
  <c r="F1463" i="2"/>
  <c r="Q1462" i="2"/>
  <c r="Q1461" i="2"/>
  <c r="Q1460" i="2"/>
  <c r="Q1459" i="2"/>
  <c r="L1459" i="2"/>
  <c r="U1458" i="2"/>
  <c r="Q1458" i="2"/>
  <c r="L1458" i="2"/>
  <c r="U1457" i="2"/>
  <c r="Q1457" i="2"/>
  <c r="L1457" i="2"/>
  <c r="U1456" i="2"/>
  <c r="Q1456" i="2"/>
  <c r="L1456" i="2"/>
  <c r="U1455" i="2"/>
  <c r="Q1455" i="2"/>
  <c r="L1455" i="2"/>
  <c r="U1454" i="2"/>
  <c r="Q1454" i="2"/>
  <c r="L1454" i="2"/>
  <c r="U1453" i="2"/>
  <c r="Q1453" i="2"/>
  <c r="L1453" i="2"/>
  <c r="U1452" i="2"/>
  <c r="Q1452" i="2"/>
  <c r="L1452" i="2"/>
  <c r="U1451" i="2"/>
  <c r="Q1451" i="2"/>
  <c r="L1451" i="2"/>
  <c r="U1450" i="2"/>
  <c r="Q1450" i="2"/>
  <c r="L1450" i="2"/>
  <c r="U1449" i="2"/>
  <c r="Q1449" i="2"/>
  <c r="U1448" i="2"/>
  <c r="Q1448" i="2"/>
  <c r="Q1447" i="2"/>
  <c r="Q1446" i="2"/>
  <c r="Q1445" i="2"/>
  <c r="Q1444" i="2"/>
  <c r="Q1443" i="2"/>
  <c r="U1441" i="2"/>
  <c r="Q1441" i="2"/>
  <c r="L1441" i="2"/>
  <c r="F1441" i="2"/>
  <c r="U1440" i="2"/>
  <c r="Q1440" i="2"/>
  <c r="L1440" i="2"/>
  <c r="F1440" i="2"/>
  <c r="U1439" i="2"/>
  <c r="Q1439" i="2"/>
  <c r="L1439" i="2"/>
  <c r="F1439" i="2"/>
  <c r="U1438" i="2"/>
  <c r="Q1438" i="2"/>
  <c r="L1438" i="2"/>
  <c r="F1438" i="2"/>
  <c r="U1437" i="2"/>
  <c r="Q1437" i="2"/>
  <c r="L1437" i="2"/>
  <c r="F1437" i="2"/>
  <c r="U1436" i="2"/>
  <c r="Q1436" i="2"/>
  <c r="L1436" i="2"/>
  <c r="U1435" i="2"/>
  <c r="Q1435" i="2"/>
  <c r="Q1434" i="2"/>
  <c r="U1433" i="2"/>
  <c r="Q1433" i="2"/>
  <c r="U1432" i="2"/>
  <c r="Q1432" i="2"/>
  <c r="D1423" i="2"/>
  <c r="C1423" i="2"/>
  <c r="F1509" i="2" l="1"/>
  <c r="E1467" i="2"/>
  <c r="Q1467" i="2"/>
  <c r="U1467" i="2"/>
  <c r="L1467" i="2"/>
  <c r="C1467" i="2"/>
  <c r="F1467" i="2"/>
  <c r="T1467" i="2"/>
  <c r="C1418" i="2" l="1"/>
  <c r="C1416" i="2"/>
  <c r="C1415" i="2"/>
  <c r="C1414" i="2"/>
  <c r="C1410" i="2" l="1"/>
  <c r="D1408" i="2"/>
  <c r="C1408" i="2"/>
  <c r="C1407" i="2"/>
  <c r="E1405" i="2"/>
  <c r="D1405" i="2"/>
  <c r="C1405" i="2"/>
  <c r="C1403" i="2"/>
  <c r="L1378" i="2" l="1"/>
  <c r="L1420" i="2"/>
  <c r="E1401" i="2" l="1"/>
  <c r="D1380" i="2"/>
  <c r="C1380" i="2"/>
  <c r="E1380" i="2"/>
  <c r="L1364" i="2"/>
  <c r="D1378" i="2"/>
  <c r="C1378" i="2"/>
  <c r="C1377" i="2"/>
  <c r="D1373" i="2"/>
  <c r="C1373" i="2"/>
  <c r="D1370" i="2" l="1"/>
  <c r="C1370" i="2"/>
  <c r="E1368" i="2"/>
  <c r="D1368" i="2"/>
  <c r="C1364" i="2" l="1"/>
  <c r="D1363" i="2" l="1"/>
  <c r="C1363" i="2"/>
  <c r="C1362" i="2"/>
  <c r="U1377" i="2"/>
  <c r="U1378" i="2"/>
  <c r="U1379" i="2"/>
  <c r="U1380" i="2"/>
  <c r="U1381" i="2"/>
  <c r="U1382" i="2"/>
  <c r="U1419" i="2"/>
  <c r="U1420" i="2"/>
  <c r="U1421" i="2"/>
  <c r="U1422" i="2"/>
  <c r="U1401" i="2"/>
  <c r="P1425" i="2"/>
  <c r="U1424" i="2"/>
  <c r="Q1424" i="2"/>
  <c r="U1423" i="2"/>
  <c r="Q1423" i="2"/>
  <c r="Q1422" i="2"/>
  <c r="Q1421" i="2"/>
  <c r="Q1420" i="2"/>
  <c r="Q1419" i="2"/>
  <c r="U1418" i="2"/>
  <c r="Q1418" i="2"/>
  <c r="U1417" i="2"/>
  <c r="Q1417" i="2"/>
  <c r="U1416" i="2"/>
  <c r="Q1416" i="2"/>
  <c r="U1415" i="2"/>
  <c r="Q1415" i="2"/>
  <c r="U1414" i="2"/>
  <c r="Q1414" i="2"/>
  <c r="U1413" i="2"/>
  <c r="Q1413" i="2"/>
  <c r="U1412" i="2"/>
  <c r="Q1412" i="2"/>
  <c r="U1411" i="2"/>
  <c r="Q1411" i="2"/>
  <c r="U1410" i="2"/>
  <c r="Q1410" i="2"/>
  <c r="U1409" i="2"/>
  <c r="Q1409" i="2"/>
  <c r="U1408" i="2"/>
  <c r="Q1408" i="2"/>
  <c r="U1407" i="2"/>
  <c r="Q1407" i="2"/>
  <c r="U1406" i="2"/>
  <c r="Q1406" i="2"/>
  <c r="U1405" i="2"/>
  <c r="Q1405" i="2"/>
  <c r="U1404" i="2"/>
  <c r="Q1404" i="2"/>
  <c r="U1403" i="2"/>
  <c r="Q1403" i="2"/>
  <c r="U1402" i="2"/>
  <c r="Q1402" i="2"/>
  <c r="Q1401" i="2"/>
  <c r="U1399" i="2"/>
  <c r="Q1399" i="2"/>
  <c r="U1398" i="2"/>
  <c r="Q1398" i="2"/>
  <c r="U1397" i="2"/>
  <c r="Q1397" i="2"/>
  <c r="U1396" i="2"/>
  <c r="Q1396" i="2"/>
  <c r="U1395" i="2"/>
  <c r="Q1395" i="2"/>
  <c r="U1394" i="2"/>
  <c r="Q1394" i="2"/>
  <c r="U1393" i="2"/>
  <c r="Q1393" i="2"/>
  <c r="U1392" i="2"/>
  <c r="Q1392" i="2"/>
  <c r="U1391" i="2"/>
  <c r="Q1391" i="2"/>
  <c r="U1390" i="2"/>
  <c r="Q1390" i="2"/>
  <c r="F1401" i="2"/>
  <c r="F1402" i="2"/>
  <c r="F1403" i="2"/>
  <c r="E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D1425" i="2"/>
  <c r="C1425" i="2"/>
  <c r="F1399" i="2"/>
  <c r="F1398" i="2"/>
  <c r="F1397" i="2"/>
  <c r="F1396" i="2"/>
  <c r="F1395" i="2"/>
  <c r="F1394" i="2"/>
  <c r="F1393" i="2"/>
  <c r="F1392" i="2"/>
  <c r="F1391" i="2"/>
  <c r="F1390" i="2"/>
  <c r="L1377" i="2"/>
  <c r="L1375" i="2"/>
  <c r="L1376" i="2"/>
  <c r="L1379" i="2"/>
  <c r="L1380" i="2"/>
  <c r="L1381" i="2"/>
  <c r="L1382" i="2"/>
  <c r="L1423" i="2"/>
  <c r="L1422" i="2"/>
  <c r="L1416" i="2"/>
  <c r="L1417" i="2"/>
  <c r="L1418" i="2"/>
  <c r="L1419" i="2"/>
  <c r="L1421" i="2"/>
  <c r="L1424" i="2"/>
  <c r="L1401" i="2"/>
  <c r="J1425" i="2"/>
  <c r="K1425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399" i="2"/>
  <c r="L1398" i="2"/>
  <c r="L1397" i="2"/>
  <c r="L1396" i="2"/>
  <c r="L1395" i="2"/>
  <c r="L1394" i="2"/>
  <c r="L1393" i="2"/>
  <c r="L1392" i="2"/>
  <c r="L1391" i="2"/>
  <c r="L1390" i="2"/>
  <c r="U1425" i="2" l="1"/>
  <c r="Q1425" i="2"/>
  <c r="T1425" i="2"/>
  <c r="F1425" i="2"/>
  <c r="L1425" i="2"/>
  <c r="I1425" i="2"/>
  <c r="C1360" i="2" l="1"/>
  <c r="C1359" i="2" l="1"/>
  <c r="D1359" i="2"/>
  <c r="E1339" i="2" l="1"/>
  <c r="D1339" i="2"/>
  <c r="C1339" i="2"/>
  <c r="C1338" i="2"/>
  <c r="U1338" i="2"/>
  <c r="U1333" i="2"/>
  <c r="U1334" i="2"/>
  <c r="U1335" i="2"/>
  <c r="U1336" i="2"/>
  <c r="U1337" i="2"/>
  <c r="U1340" i="2"/>
  <c r="U1339" i="2"/>
  <c r="U1375" i="2"/>
  <c r="U1376" i="2"/>
  <c r="P1383" i="2"/>
  <c r="Q1382" i="2"/>
  <c r="Q1381" i="2"/>
  <c r="Q1380" i="2"/>
  <c r="Q1379" i="2"/>
  <c r="T1383" i="2"/>
  <c r="Q1378" i="2"/>
  <c r="Q1377" i="2"/>
  <c r="Q1376" i="2"/>
  <c r="Q1375" i="2"/>
  <c r="U1374" i="2"/>
  <c r="Q1374" i="2"/>
  <c r="U1373" i="2"/>
  <c r="Q1373" i="2"/>
  <c r="U1372" i="2"/>
  <c r="Q1372" i="2"/>
  <c r="U1371" i="2"/>
  <c r="Q1371" i="2"/>
  <c r="U1370" i="2"/>
  <c r="Q1370" i="2"/>
  <c r="U1369" i="2"/>
  <c r="Q1369" i="2"/>
  <c r="U1368" i="2"/>
  <c r="Q1368" i="2"/>
  <c r="U1367" i="2"/>
  <c r="Q1367" i="2"/>
  <c r="U1366" i="2"/>
  <c r="Q1366" i="2"/>
  <c r="U1365" i="2"/>
  <c r="Q1365" i="2"/>
  <c r="U1364" i="2"/>
  <c r="Q1364" i="2"/>
  <c r="U1363" i="2"/>
  <c r="Q1363" i="2"/>
  <c r="U1362" i="2"/>
  <c r="Q1362" i="2"/>
  <c r="U1361" i="2"/>
  <c r="Q1361" i="2"/>
  <c r="U1360" i="2"/>
  <c r="Q1360" i="2"/>
  <c r="U1359" i="2"/>
  <c r="Q1359" i="2"/>
  <c r="U1357" i="2"/>
  <c r="Q1357" i="2"/>
  <c r="U1356" i="2"/>
  <c r="Q1356" i="2"/>
  <c r="U1355" i="2"/>
  <c r="Q1355" i="2"/>
  <c r="U1354" i="2"/>
  <c r="Q1354" i="2"/>
  <c r="U1353" i="2"/>
  <c r="Q1353" i="2"/>
  <c r="U1352" i="2"/>
  <c r="Q1352" i="2"/>
  <c r="U1351" i="2"/>
  <c r="Q1351" i="2"/>
  <c r="U1350" i="2"/>
  <c r="Q1350" i="2"/>
  <c r="U1349" i="2"/>
  <c r="Q1349" i="2"/>
  <c r="U1348" i="2"/>
  <c r="Q1348" i="2"/>
  <c r="L1334" i="2"/>
  <c r="L1335" i="2"/>
  <c r="L1336" i="2"/>
  <c r="L1337" i="2"/>
  <c r="L1338" i="2"/>
  <c r="L1339" i="2"/>
  <c r="L1340" i="2"/>
  <c r="F1348" i="2"/>
  <c r="F1349" i="2"/>
  <c r="F1350" i="2"/>
  <c r="F1351" i="2"/>
  <c r="F1352" i="2"/>
  <c r="F1353" i="2"/>
  <c r="L1360" i="2"/>
  <c r="L1361" i="2"/>
  <c r="L1362" i="2"/>
  <c r="L1363" i="2"/>
  <c r="L1365" i="2"/>
  <c r="L1348" i="2"/>
  <c r="L1349" i="2"/>
  <c r="L1350" i="2"/>
  <c r="L1351" i="2"/>
  <c r="L1352" i="2"/>
  <c r="L1353" i="2"/>
  <c r="F1354" i="2"/>
  <c r="L1354" i="2"/>
  <c r="F1355" i="2"/>
  <c r="L1355" i="2"/>
  <c r="F1356" i="2"/>
  <c r="L1356" i="2"/>
  <c r="F1357" i="2"/>
  <c r="L1357" i="2"/>
  <c r="F1359" i="2"/>
  <c r="L1359" i="2"/>
  <c r="F1360" i="2"/>
  <c r="F1361" i="2"/>
  <c r="F1362" i="2"/>
  <c r="F1363" i="2"/>
  <c r="F1364" i="2"/>
  <c r="F1365" i="2"/>
  <c r="E1383" i="2"/>
  <c r="F1366" i="2"/>
  <c r="L1366" i="2"/>
  <c r="F1367" i="2"/>
  <c r="L1367" i="2"/>
  <c r="F1368" i="2"/>
  <c r="L1368" i="2"/>
  <c r="F1369" i="2"/>
  <c r="L1369" i="2"/>
  <c r="F1370" i="2"/>
  <c r="L1370" i="2"/>
  <c r="F1371" i="2"/>
  <c r="L1371" i="2"/>
  <c r="F1372" i="2"/>
  <c r="L1372" i="2"/>
  <c r="F1373" i="2"/>
  <c r="L1373" i="2"/>
  <c r="F1374" i="2"/>
  <c r="L1374" i="2"/>
  <c r="F1375" i="2"/>
  <c r="F1376" i="2"/>
  <c r="J1383" i="2"/>
  <c r="F1377" i="2"/>
  <c r="F1378" i="2"/>
  <c r="F1379" i="2"/>
  <c r="F1380" i="2"/>
  <c r="F1381" i="2"/>
  <c r="F1382" i="2"/>
  <c r="D1383" i="2"/>
  <c r="K1383" i="2"/>
  <c r="N1389" i="2"/>
  <c r="Q1383" i="2" l="1"/>
  <c r="U1383" i="2"/>
  <c r="F1383" i="2"/>
  <c r="L1383" i="2"/>
  <c r="C1383" i="2"/>
  <c r="I1383" i="2"/>
  <c r="C1337" i="2"/>
  <c r="E1334" i="2" l="1"/>
  <c r="D1334" i="2"/>
  <c r="C1334" i="2"/>
  <c r="L1322" i="2"/>
  <c r="C1332" i="2"/>
  <c r="C1330" i="2"/>
  <c r="D1329" i="2" l="1"/>
  <c r="C1329" i="2"/>
  <c r="C1326" i="2"/>
  <c r="D1326" i="2"/>
  <c r="E1323" i="2"/>
  <c r="D1323" i="2"/>
  <c r="C1323" i="2"/>
  <c r="D1322" i="2" l="1"/>
  <c r="C1322" i="2"/>
  <c r="D1317" i="2"/>
  <c r="C1317" i="2"/>
  <c r="F1290" i="2"/>
  <c r="C1291" i="2"/>
  <c r="F1291" i="2" s="1"/>
  <c r="F1292" i="2"/>
  <c r="C1293" i="2"/>
  <c r="F1293" i="2" s="1"/>
  <c r="F1294" i="2"/>
  <c r="F1295" i="2"/>
  <c r="F1296" i="2"/>
  <c r="C1297" i="2"/>
  <c r="D1297" i="2"/>
  <c r="E1297" i="2"/>
  <c r="F1297" i="2" l="1"/>
  <c r="U1310" i="2"/>
  <c r="U1269" i="2"/>
  <c r="L1310" i="2"/>
  <c r="L1269" i="2"/>
  <c r="L1278" i="2" l="1"/>
  <c r="C1288" i="2"/>
  <c r="D1287" i="2" l="1"/>
  <c r="C1287" i="2"/>
  <c r="C1285" i="2" l="1"/>
  <c r="D1285" i="2"/>
  <c r="E1282" i="2"/>
  <c r="D1282" i="2"/>
  <c r="C1282" i="2"/>
  <c r="C1280" i="2"/>
  <c r="D1278" i="2"/>
  <c r="C1278" i="2"/>
  <c r="E1276" i="2"/>
  <c r="D1276" i="2"/>
  <c r="C1276" i="2"/>
  <c r="L1296" i="2" l="1"/>
  <c r="D1275" i="2"/>
  <c r="C1275" i="2"/>
  <c r="L1237" i="2" l="1"/>
  <c r="D1253" i="2"/>
  <c r="C1253" i="2"/>
  <c r="E1251" i="2"/>
  <c r="C1251" i="2"/>
  <c r="C1250" i="2"/>
  <c r="C1249" i="2"/>
  <c r="E1248" i="2" l="1"/>
  <c r="D1248" i="2"/>
  <c r="C1248" i="2"/>
  <c r="E1244" i="2"/>
  <c r="D1244" i="2"/>
  <c r="C1244" i="2"/>
  <c r="L1235" i="2"/>
  <c r="E1242" i="2" l="1"/>
  <c r="D1242" i="2"/>
  <c r="C1242" i="2"/>
  <c r="F1241" i="2"/>
  <c r="C1240" i="2" l="1"/>
  <c r="E1240" i="2"/>
  <c r="D1240" i="2"/>
  <c r="E1239" i="2"/>
  <c r="D1239" i="2"/>
  <c r="C1239" i="2"/>
  <c r="L1298" i="2"/>
  <c r="L1297" i="2"/>
  <c r="U1298" i="2"/>
  <c r="U1297" i="2"/>
  <c r="U1308" i="2"/>
  <c r="U1309" i="2"/>
  <c r="U1266" i="2"/>
  <c r="U1267" i="2"/>
  <c r="U1291" i="2"/>
  <c r="U1292" i="2"/>
  <c r="U1293" i="2"/>
  <c r="U1294" i="2"/>
  <c r="U1295" i="2"/>
  <c r="U1296" i="2"/>
  <c r="T1341" i="2"/>
  <c r="P1341" i="2"/>
  <c r="Q1340" i="2"/>
  <c r="Q1339" i="2"/>
  <c r="Q1338" i="2"/>
  <c r="Q1337" i="2"/>
  <c r="Q1336" i="2"/>
  <c r="Q1335" i="2"/>
  <c r="Q1334" i="2"/>
  <c r="Q1333" i="2"/>
  <c r="U1332" i="2"/>
  <c r="Q1332" i="2"/>
  <c r="U1331" i="2"/>
  <c r="Q1331" i="2"/>
  <c r="U1330" i="2"/>
  <c r="Q1330" i="2"/>
  <c r="U1329" i="2"/>
  <c r="Q1329" i="2"/>
  <c r="U1328" i="2"/>
  <c r="Q1328" i="2"/>
  <c r="U1327" i="2"/>
  <c r="Q1327" i="2"/>
  <c r="U1326" i="2"/>
  <c r="Q1326" i="2"/>
  <c r="U1325" i="2"/>
  <c r="Q1325" i="2"/>
  <c r="U1324" i="2"/>
  <c r="Q1324" i="2"/>
  <c r="U1323" i="2"/>
  <c r="Q1323" i="2"/>
  <c r="U1322" i="2"/>
  <c r="Q1322" i="2"/>
  <c r="U1321" i="2"/>
  <c r="Q1321" i="2"/>
  <c r="U1320" i="2"/>
  <c r="Q1320" i="2"/>
  <c r="U1319" i="2"/>
  <c r="Q1319" i="2"/>
  <c r="U1318" i="2"/>
  <c r="Q1318" i="2"/>
  <c r="U1317" i="2"/>
  <c r="Q1317" i="2"/>
  <c r="U1315" i="2"/>
  <c r="Q1315" i="2"/>
  <c r="U1314" i="2"/>
  <c r="Q1314" i="2"/>
  <c r="U1313" i="2"/>
  <c r="Q1313" i="2"/>
  <c r="U1312" i="2"/>
  <c r="Q1312" i="2"/>
  <c r="U1311" i="2"/>
  <c r="Q1311" i="2"/>
  <c r="Q1310" i="2"/>
  <c r="Q1309" i="2"/>
  <c r="Q1308" i="2"/>
  <c r="U1307" i="2"/>
  <c r="Q1307" i="2"/>
  <c r="U1306" i="2"/>
  <c r="Q1306" i="2"/>
  <c r="L1268" i="2"/>
  <c r="L1292" i="2"/>
  <c r="L1293" i="2"/>
  <c r="L1294" i="2"/>
  <c r="L1295" i="2"/>
  <c r="F1306" i="2"/>
  <c r="L1306" i="2"/>
  <c r="F1307" i="2"/>
  <c r="L1307" i="2"/>
  <c r="F1308" i="2"/>
  <c r="L1308" i="2"/>
  <c r="F1309" i="2"/>
  <c r="L1309" i="2"/>
  <c r="F1310" i="2"/>
  <c r="F1311" i="2"/>
  <c r="L1311" i="2"/>
  <c r="F1312" i="2"/>
  <c r="L1312" i="2"/>
  <c r="F1313" i="2"/>
  <c r="L1313" i="2"/>
  <c r="F1314" i="2"/>
  <c r="L1314" i="2"/>
  <c r="F1315" i="2"/>
  <c r="L1315" i="2"/>
  <c r="F1317" i="2"/>
  <c r="L1317" i="2"/>
  <c r="F1318" i="2"/>
  <c r="L1318" i="2"/>
  <c r="F1319" i="2"/>
  <c r="L1319" i="2"/>
  <c r="F1320" i="2"/>
  <c r="L1320" i="2"/>
  <c r="F1321" i="2"/>
  <c r="L1321" i="2"/>
  <c r="F1322" i="2"/>
  <c r="F1323" i="2"/>
  <c r="L1323" i="2"/>
  <c r="F1324" i="2"/>
  <c r="L1324" i="2"/>
  <c r="F1325" i="2"/>
  <c r="L1325" i="2"/>
  <c r="F1326" i="2"/>
  <c r="L1326" i="2"/>
  <c r="F1327" i="2"/>
  <c r="L1327" i="2"/>
  <c r="F1328" i="2"/>
  <c r="L1328" i="2"/>
  <c r="F1329" i="2"/>
  <c r="L1329" i="2"/>
  <c r="F1330" i="2"/>
  <c r="L1330" i="2"/>
  <c r="F1331" i="2"/>
  <c r="L1331" i="2"/>
  <c r="F1332" i="2"/>
  <c r="L1332" i="2"/>
  <c r="F1333" i="2"/>
  <c r="L1333" i="2"/>
  <c r="F1334" i="2"/>
  <c r="F1335" i="2"/>
  <c r="F1336" i="2"/>
  <c r="F1337" i="2"/>
  <c r="F1338" i="2"/>
  <c r="F1339" i="2"/>
  <c r="F1340" i="2"/>
  <c r="C1341" i="2"/>
  <c r="D1341" i="2"/>
  <c r="E1341" i="2"/>
  <c r="I1341" i="2"/>
  <c r="J1341" i="2"/>
  <c r="K1341" i="2"/>
  <c r="L1341" i="2" l="1"/>
  <c r="F1341" i="2"/>
  <c r="Q1341" i="2"/>
  <c r="U1341" i="2"/>
  <c r="L1212" i="2"/>
  <c r="L1254" i="2"/>
  <c r="C1236" i="2" l="1"/>
  <c r="L1234" i="2"/>
  <c r="D1234" i="2"/>
  <c r="C1234" i="2"/>
  <c r="L1201" i="2"/>
  <c r="E1233" i="2"/>
  <c r="D1233" i="2"/>
  <c r="C1233" i="2"/>
  <c r="F1234" i="2" l="1"/>
  <c r="I1214" i="2" l="1"/>
  <c r="E1213" i="2" l="1"/>
  <c r="C1213" i="2"/>
  <c r="L1198" i="2"/>
  <c r="D1211" i="2"/>
  <c r="C1211" i="2"/>
  <c r="E1211" i="2"/>
  <c r="E1210" i="2"/>
  <c r="C1210" i="2"/>
  <c r="D1208" i="2"/>
  <c r="C1208" i="2"/>
  <c r="C1207" i="2" l="1"/>
  <c r="C1205" i="2"/>
  <c r="D1204" i="2"/>
  <c r="C1204" i="2"/>
  <c r="C1200" i="2" l="1"/>
  <c r="D1199" i="2" l="1"/>
  <c r="C1199" i="2"/>
  <c r="L1193" i="2" l="1"/>
  <c r="E1197" i="2"/>
  <c r="C1197" i="2"/>
  <c r="E1195" i="2"/>
  <c r="C1195" i="2"/>
  <c r="U1170" i="2"/>
  <c r="U1212" i="2"/>
  <c r="U1256" i="2"/>
  <c r="U1224" i="2"/>
  <c r="U1249" i="2"/>
  <c r="U1250" i="2"/>
  <c r="U1251" i="2"/>
  <c r="U1252" i="2"/>
  <c r="U1253" i="2"/>
  <c r="U1254" i="2"/>
  <c r="U1255" i="2"/>
  <c r="T1299" i="2"/>
  <c r="P1299" i="2"/>
  <c r="Q1298" i="2"/>
  <c r="Q1297" i="2"/>
  <c r="Q1296" i="2"/>
  <c r="Q1295" i="2"/>
  <c r="Q1294" i="2"/>
  <c r="Q1293" i="2"/>
  <c r="Q1292" i="2"/>
  <c r="Q1291" i="2"/>
  <c r="U1290" i="2"/>
  <c r="Q1290" i="2"/>
  <c r="U1289" i="2"/>
  <c r="Q1289" i="2"/>
  <c r="U1288" i="2"/>
  <c r="Q1288" i="2"/>
  <c r="U1287" i="2"/>
  <c r="Q1287" i="2"/>
  <c r="U1286" i="2"/>
  <c r="Q1286" i="2"/>
  <c r="U1285" i="2"/>
  <c r="Q1285" i="2"/>
  <c r="U1284" i="2"/>
  <c r="Q1284" i="2"/>
  <c r="U1283" i="2"/>
  <c r="Q1283" i="2"/>
  <c r="U1282" i="2"/>
  <c r="Q1282" i="2"/>
  <c r="U1281" i="2"/>
  <c r="Q1281" i="2"/>
  <c r="U1280" i="2"/>
  <c r="Q1280" i="2"/>
  <c r="U1279" i="2"/>
  <c r="Q1279" i="2"/>
  <c r="U1278" i="2"/>
  <c r="Q1278" i="2"/>
  <c r="U1277" i="2"/>
  <c r="Q1277" i="2"/>
  <c r="U1276" i="2"/>
  <c r="Q1276" i="2"/>
  <c r="U1275" i="2"/>
  <c r="Q1275" i="2"/>
  <c r="U1273" i="2"/>
  <c r="Q1273" i="2"/>
  <c r="U1272" i="2"/>
  <c r="Q1272" i="2"/>
  <c r="U1271" i="2"/>
  <c r="Q1271" i="2"/>
  <c r="U1270" i="2"/>
  <c r="Q1270" i="2"/>
  <c r="Q1269" i="2"/>
  <c r="U1268" i="2"/>
  <c r="Q1268" i="2"/>
  <c r="Q1267" i="2"/>
  <c r="Q1266" i="2"/>
  <c r="U1265" i="2"/>
  <c r="Q1265" i="2"/>
  <c r="U1264" i="2"/>
  <c r="Q1264" i="2"/>
  <c r="L1168" i="2"/>
  <c r="L1211" i="2"/>
  <c r="L1255" i="2"/>
  <c r="E1299" i="2"/>
  <c r="D1299" i="2"/>
  <c r="C1299" i="2"/>
  <c r="F1298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3" i="2"/>
  <c r="F1272" i="2"/>
  <c r="F1271" i="2"/>
  <c r="F1270" i="2"/>
  <c r="F1269" i="2"/>
  <c r="F1268" i="2"/>
  <c r="F1267" i="2"/>
  <c r="F1266" i="2"/>
  <c r="F1265" i="2"/>
  <c r="F1264" i="2"/>
  <c r="L1226" i="2"/>
  <c r="L1250" i="2"/>
  <c r="L1251" i="2"/>
  <c r="L1252" i="2"/>
  <c r="L1253" i="2"/>
  <c r="K1299" i="2"/>
  <c r="J1299" i="2"/>
  <c r="I1299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7" i="2"/>
  <c r="L1276" i="2"/>
  <c r="L1275" i="2"/>
  <c r="L1273" i="2"/>
  <c r="L1272" i="2"/>
  <c r="L1271" i="2"/>
  <c r="L1270" i="2"/>
  <c r="L1267" i="2"/>
  <c r="L1266" i="2"/>
  <c r="L1265" i="2"/>
  <c r="L1264" i="2"/>
  <c r="L1256" i="2" l="1"/>
  <c r="U1299" i="2"/>
  <c r="F1299" i="2"/>
  <c r="Q1299" i="2"/>
  <c r="L1299" i="2"/>
  <c r="C1191" i="2"/>
  <c r="L1155" i="2"/>
  <c r="E1170" i="2" l="1"/>
  <c r="C1170" i="2"/>
  <c r="D1167" i="2"/>
  <c r="C1167" i="2"/>
  <c r="E1166" i="2"/>
  <c r="D1166" i="2"/>
  <c r="C1166" i="2"/>
  <c r="C1165" i="2"/>
  <c r="C1164" i="2" l="1"/>
  <c r="U1169" i="2" l="1"/>
  <c r="U1126" i="2"/>
  <c r="L1167" i="2"/>
  <c r="L1128" i="2"/>
  <c r="C1158" i="2" l="1"/>
  <c r="C1156" i="2"/>
  <c r="U1107" i="2" l="1"/>
  <c r="E1153" i="2" l="1"/>
  <c r="C1153" i="2"/>
  <c r="L1071" i="2"/>
  <c r="L1070" i="2"/>
  <c r="L1107" i="2"/>
  <c r="L1150" i="2" l="1"/>
  <c r="C1130" i="2"/>
  <c r="E1127" i="2"/>
  <c r="C1126" i="2"/>
  <c r="C1122" i="2" l="1"/>
  <c r="L1126" i="2"/>
  <c r="L1127" i="2"/>
  <c r="U1084" i="2"/>
  <c r="U1085" i="2"/>
  <c r="U1086" i="2"/>
  <c r="U1087" i="2"/>
  <c r="U1088" i="2"/>
  <c r="U1130" i="2"/>
  <c r="U1129" i="2"/>
  <c r="U1128" i="2"/>
  <c r="U1127" i="2"/>
  <c r="U1099" i="2"/>
  <c r="U1141" i="2"/>
  <c r="W1180" i="2"/>
  <c r="U1172" i="2"/>
  <c r="U1171" i="2"/>
  <c r="U1214" i="2"/>
  <c r="U1213" i="2"/>
  <c r="U1182" i="2"/>
  <c r="U1209" i="2"/>
  <c r="U1210" i="2"/>
  <c r="U1211" i="2"/>
  <c r="T1257" i="2"/>
  <c r="P1257" i="2"/>
  <c r="Q1256" i="2"/>
  <c r="Q1255" i="2"/>
  <c r="Q1254" i="2"/>
  <c r="Q1253" i="2"/>
  <c r="Q1252" i="2"/>
  <c r="Q1251" i="2"/>
  <c r="Q1250" i="2"/>
  <c r="Q1249" i="2"/>
  <c r="U1248" i="2"/>
  <c r="Q1248" i="2"/>
  <c r="U1247" i="2"/>
  <c r="Q1247" i="2"/>
  <c r="U1246" i="2"/>
  <c r="Q1246" i="2"/>
  <c r="U1245" i="2"/>
  <c r="Q1245" i="2"/>
  <c r="U1244" i="2"/>
  <c r="Q1244" i="2"/>
  <c r="U1243" i="2"/>
  <c r="Q1243" i="2"/>
  <c r="U1242" i="2"/>
  <c r="Q1242" i="2"/>
  <c r="U1241" i="2"/>
  <c r="Q1241" i="2"/>
  <c r="U1240" i="2"/>
  <c r="Q1240" i="2"/>
  <c r="U1239" i="2"/>
  <c r="Q1239" i="2"/>
  <c r="U1238" i="2"/>
  <c r="Q1238" i="2"/>
  <c r="U1237" i="2"/>
  <c r="Q1237" i="2"/>
  <c r="U1236" i="2"/>
  <c r="Q1236" i="2"/>
  <c r="U1235" i="2"/>
  <c r="Q1235" i="2"/>
  <c r="U1234" i="2"/>
  <c r="Q1234" i="2"/>
  <c r="U1233" i="2"/>
  <c r="Q1233" i="2"/>
  <c r="U1231" i="2"/>
  <c r="Q1231" i="2"/>
  <c r="U1230" i="2"/>
  <c r="Q1230" i="2"/>
  <c r="U1229" i="2"/>
  <c r="Q1229" i="2"/>
  <c r="U1228" i="2"/>
  <c r="Q1228" i="2"/>
  <c r="U1227" i="2"/>
  <c r="Q1227" i="2"/>
  <c r="U1226" i="2"/>
  <c r="Q1226" i="2"/>
  <c r="U1225" i="2"/>
  <c r="Q1225" i="2"/>
  <c r="Q1224" i="2"/>
  <c r="U1223" i="2"/>
  <c r="Q1223" i="2"/>
  <c r="U1222" i="2"/>
  <c r="Q1222" i="2"/>
  <c r="E1257" i="2"/>
  <c r="D1257" i="2"/>
  <c r="C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0" i="2"/>
  <c r="F1239" i="2"/>
  <c r="F1238" i="2"/>
  <c r="F1237" i="2"/>
  <c r="F1236" i="2"/>
  <c r="F1235" i="2"/>
  <c r="F1233" i="2"/>
  <c r="F1231" i="2"/>
  <c r="F1230" i="2"/>
  <c r="F1229" i="2"/>
  <c r="F1228" i="2"/>
  <c r="F1227" i="2"/>
  <c r="F1226" i="2"/>
  <c r="F1225" i="2"/>
  <c r="F1224" i="2"/>
  <c r="F1223" i="2"/>
  <c r="F1222" i="2"/>
  <c r="N1263" i="2"/>
  <c r="L1086" i="2"/>
  <c r="L1087" i="2"/>
  <c r="L1088" i="2"/>
  <c r="L1130" i="2"/>
  <c r="L1129" i="2"/>
  <c r="L1099" i="2"/>
  <c r="L1138" i="2"/>
  <c r="L1139" i="2"/>
  <c r="L1140" i="2"/>
  <c r="L1141" i="2"/>
  <c r="L1142" i="2"/>
  <c r="L1143" i="2"/>
  <c r="L1144" i="2"/>
  <c r="L1145" i="2"/>
  <c r="L1146" i="2"/>
  <c r="L1147" i="2"/>
  <c r="L1149" i="2"/>
  <c r="L1151" i="2"/>
  <c r="L1152" i="2"/>
  <c r="L1153" i="2"/>
  <c r="L1154" i="2"/>
  <c r="L1156" i="2"/>
  <c r="L1157" i="2"/>
  <c r="L1158" i="2"/>
  <c r="L1159" i="2"/>
  <c r="L1160" i="2"/>
  <c r="L1161" i="2"/>
  <c r="L1162" i="2"/>
  <c r="L1163" i="2"/>
  <c r="L1164" i="2"/>
  <c r="L1165" i="2"/>
  <c r="L1166" i="2"/>
  <c r="L1169" i="2"/>
  <c r="L1170" i="2"/>
  <c r="L1171" i="2"/>
  <c r="L1172" i="2"/>
  <c r="I1173" i="2"/>
  <c r="J1173" i="2"/>
  <c r="K1173" i="2"/>
  <c r="L1180" i="2"/>
  <c r="N1180" i="2"/>
  <c r="L1181" i="2"/>
  <c r="L1182" i="2"/>
  <c r="L1183" i="2"/>
  <c r="L1184" i="2"/>
  <c r="L1185" i="2"/>
  <c r="L1186" i="2"/>
  <c r="L1187" i="2"/>
  <c r="L1188" i="2"/>
  <c r="L1189" i="2"/>
  <c r="L1191" i="2"/>
  <c r="L1192" i="2"/>
  <c r="L1194" i="2"/>
  <c r="L1195" i="2"/>
  <c r="L1196" i="2"/>
  <c r="L1197" i="2"/>
  <c r="L1199" i="2"/>
  <c r="L1200" i="2"/>
  <c r="L1202" i="2"/>
  <c r="L1203" i="2"/>
  <c r="L1204" i="2"/>
  <c r="L1205" i="2"/>
  <c r="L1206" i="2"/>
  <c r="L1207" i="2"/>
  <c r="L1208" i="2"/>
  <c r="L1209" i="2"/>
  <c r="L1210" i="2"/>
  <c r="L1213" i="2"/>
  <c r="L1214" i="2"/>
  <c r="I1215" i="2"/>
  <c r="J1215" i="2"/>
  <c r="K1215" i="2"/>
  <c r="L1222" i="2"/>
  <c r="L1223" i="2"/>
  <c r="L1224" i="2"/>
  <c r="L1225" i="2"/>
  <c r="L1227" i="2"/>
  <c r="L1228" i="2"/>
  <c r="L1229" i="2"/>
  <c r="L1230" i="2"/>
  <c r="L1231" i="2"/>
  <c r="L1233" i="2"/>
  <c r="L1236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I1257" i="2"/>
  <c r="J1257" i="2"/>
  <c r="K1257" i="2"/>
  <c r="U1257" i="2" l="1"/>
  <c r="L1173" i="2"/>
  <c r="L1257" i="2"/>
  <c r="Q1257" i="2"/>
  <c r="L1215" i="2"/>
  <c r="F1257" i="2"/>
  <c r="L1069" i="2" l="1"/>
  <c r="D1111" i="2"/>
  <c r="C1111" i="2"/>
  <c r="C1107" i="2"/>
  <c r="T1215" i="2" l="1"/>
  <c r="P1215" i="2"/>
  <c r="E1215" i="2"/>
  <c r="D1215" i="2"/>
  <c r="C1215" i="2"/>
  <c r="Q1214" i="2"/>
  <c r="F1214" i="2"/>
  <c r="Q1213" i="2"/>
  <c r="F1213" i="2"/>
  <c r="Q1212" i="2"/>
  <c r="F1212" i="2"/>
  <c r="Q1211" i="2"/>
  <c r="F1211" i="2"/>
  <c r="Q1210" i="2"/>
  <c r="F1210" i="2"/>
  <c r="Q1209" i="2"/>
  <c r="F1209" i="2"/>
  <c r="U1208" i="2"/>
  <c r="Q1208" i="2"/>
  <c r="F1208" i="2"/>
  <c r="U1207" i="2"/>
  <c r="Q1207" i="2"/>
  <c r="F1207" i="2"/>
  <c r="U1206" i="2"/>
  <c r="Q1206" i="2"/>
  <c r="F1206" i="2"/>
  <c r="U1205" i="2"/>
  <c r="Q1205" i="2"/>
  <c r="F1205" i="2"/>
  <c r="U1204" i="2"/>
  <c r="Q1204" i="2"/>
  <c r="F1204" i="2"/>
  <c r="U1203" i="2"/>
  <c r="Q1203" i="2"/>
  <c r="F1203" i="2"/>
  <c r="U1202" i="2"/>
  <c r="Q1202" i="2"/>
  <c r="F1202" i="2"/>
  <c r="U1201" i="2"/>
  <c r="Q1201" i="2"/>
  <c r="F1201" i="2"/>
  <c r="U1200" i="2"/>
  <c r="Q1200" i="2"/>
  <c r="F1200" i="2"/>
  <c r="U1199" i="2"/>
  <c r="Q1199" i="2"/>
  <c r="F1199" i="2"/>
  <c r="U1198" i="2"/>
  <c r="Q1198" i="2"/>
  <c r="F1198" i="2"/>
  <c r="U1197" i="2"/>
  <c r="Q1197" i="2"/>
  <c r="F1197" i="2"/>
  <c r="U1196" i="2"/>
  <c r="Q1196" i="2"/>
  <c r="F1196" i="2"/>
  <c r="U1195" i="2"/>
  <c r="Q1195" i="2"/>
  <c r="F1195" i="2"/>
  <c r="U1194" i="2"/>
  <c r="Q1194" i="2"/>
  <c r="F1194" i="2"/>
  <c r="U1193" i="2"/>
  <c r="Q1193" i="2"/>
  <c r="F1193" i="2"/>
  <c r="U1192" i="2"/>
  <c r="Q1192" i="2"/>
  <c r="F1192" i="2"/>
  <c r="U1191" i="2"/>
  <c r="Q1191" i="2"/>
  <c r="F1191" i="2"/>
  <c r="U1189" i="2"/>
  <c r="Q1189" i="2"/>
  <c r="F1189" i="2"/>
  <c r="U1188" i="2"/>
  <c r="Q1188" i="2"/>
  <c r="F1188" i="2"/>
  <c r="U1187" i="2"/>
  <c r="Q1187" i="2"/>
  <c r="F1187" i="2"/>
  <c r="U1186" i="2"/>
  <c r="Q1186" i="2"/>
  <c r="F1186" i="2"/>
  <c r="U1185" i="2"/>
  <c r="Q1185" i="2"/>
  <c r="F1185" i="2"/>
  <c r="U1184" i="2"/>
  <c r="Q1184" i="2"/>
  <c r="F1184" i="2"/>
  <c r="U1183" i="2"/>
  <c r="Q1183" i="2"/>
  <c r="F1183" i="2"/>
  <c r="Q1182" i="2"/>
  <c r="F1182" i="2"/>
  <c r="U1181" i="2"/>
  <c r="Q1181" i="2"/>
  <c r="F1181" i="2"/>
  <c r="U1180" i="2"/>
  <c r="Q1180" i="2"/>
  <c r="F1180" i="2"/>
  <c r="F1215" i="2" l="1"/>
  <c r="Q1215" i="2"/>
  <c r="U1215" i="2"/>
  <c r="U1142" i="2"/>
  <c r="T1173" i="2"/>
  <c r="P1173" i="2"/>
  <c r="Q1172" i="2"/>
  <c r="Q1171" i="2"/>
  <c r="Q1170" i="2"/>
  <c r="Q1169" i="2"/>
  <c r="U1168" i="2"/>
  <c r="Q1168" i="2"/>
  <c r="U1167" i="2"/>
  <c r="Q1167" i="2"/>
  <c r="U1166" i="2"/>
  <c r="Q1166" i="2"/>
  <c r="U1165" i="2"/>
  <c r="Q1165" i="2"/>
  <c r="U1164" i="2"/>
  <c r="Q1164" i="2"/>
  <c r="U1163" i="2"/>
  <c r="Q1163" i="2"/>
  <c r="U1162" i="2"/>
  <c r="Q1162" i="2"/>
  <c r="U1161" i="2"/>
  <c r="Q1161" i="2"/>
  <c r="U1160" i="2"/>
  <c r="Q1160" i="2"/>
  <c r="U1159" i="2"/>
  <c r="Q1159" i="2"/>
  <c r="U1158" i="2"/>
  <c r="Q1158" i="2"/>
  <c r="U1157" i="2"/>
  <c r="Q1157" i="2"/>
  <c r="U1156" i="2"/>
  <c r="Q1156" i="2"/>
  <c r="U1155" i="2"/>
  <c r="Q1155" i="2"/>
  <c r="U1154" i="2"/>
  <c r="Q1154" i="2"/>
  <c r="U1153" i="2"/>
  <c r="Q1153" i="2"/>
  <c r="U1152" i="2"/>
  <c r="Q1152" i="2"/>
  <c r="U1151" i="2"/>
  <c r="Q1151" i="2"/>
  <c r="U1150" i="2"/>
  <c r="Q1150" i="2"/>
  <c r="U1149" i="2"/>
  <c r="Q1149" i="2"/>
  <c r="U1147" i="2"/>
  <c r="Q1147" i="2"/>
  <c r="U1146" i="2"/>
  <c r="Q1146" i="2"/>
  <c r="U1145" i="2"/>
  <c r="Q1145" i="2"/>
  <c r="U1144" i="2"/>
  <c r="Q1144" i="2"/>
  <c r="U1143" i="2"/>
  <c r="Q1143" i="2"/>
  <c r="Q1142" i="2"/>
  <c r="Q1141" i="2"/>
  <c r="U1140" i="2"/>
  <c r="Q1140" i="2"/>
  <c r="U1139" i="2"/>
  <c r="Q1139" i="2"/>
  <c r="U1138" i="2"/>
  <c r="Q1138" i="2"/>
  <c r="E1173" i="2"/>
  <c r="D1173" i="2"/>
  <c r="C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7" i="2"/>
  <c r="F1146" i="2"/>
  <c r="F1145" i="2"/>
  <c r="F1144" i="2"/>
  <c r="F1143" i="2"/>
  <c r="F1142" i="2"/>
  <c r="F1141" i="2"/>
  <c r="F1140" i="2"/>
  <c r="F1139" i="2"/>
  <c r="F1138" i="2"/>
  <c r="Q1173" i="2" l="1"/>
  <c r="U1173" i="2"/>
  <c r="F1173" i="2"/>
  <c r="C1082" i="2"/>
  <c r="C1081" i="2"/>
  <c r="C1080" i="2"/>
  <c r="C1078" i="2"/>
  <c r="C1073" i="2" l="1"/>
  <c r="E1073" i="2" l="1"/>
  <c r="D1073" i="2"/>
  <c r="T1131" i="2" l="1"/>
  <c r="P1131" i="2"/>
  <c r="K1131" i="2"/>
  <c r="J1131" i="2"/>
  <c r="I1131" i="2"/>
  <c r="E1131" i="2"/>
  <c r="D1131" i="2"/>
  <c r="C1131" i="2"/>
  <c r="Q1130" i="2"/>
  <c r="F1130" i="2"/>
  <c r="Q1129" i="2"/>
  <c r="F1129" i="2"/>
  <c r="Q1128" i="2"/>
  <c r="F1128" i="2"/>
  <c r="Q1127" i="2"/>
  <c r="F1127" i="2"/>
  <c r="Q1126" i="2"/>
  <c r="F1126" i="2"/>
  <c r="U1125" i="2"/>
  <c r="Q1125" i="2"/>
  <c r="L1125" i="2"/>
  <c r="F1125" i="2"/>
  <c r="U1124" i="2"/>
  <c r="Q1124" i="2"/>
  <c r="L1124" i="2"/>
  <c r="F1124" i="2"/>
  <c r="U1123" i="2"/>
  <c r="Q1123" i="2"/>
  <c r="L1123" i="2"/>
  <c r="F1123" i="2"/>
  <c r="U1122" i="2"/>
  <c r="Q1122" i="2"/>
  <c r="L1122" i="2"/>
  <c r="F1122" i="2"/>
  <c r="U1121" i="2"/>
  <c r="Q1121" i="2"/>
  <c r="L1121" i="2"/>
  <c r="F1121" i="2"/>
  <c r="U1120" i="2"/>
  <c r="Q1120" i="2"/>
  <c r="L1120" i="2"/>
  <c r="F1120" i="2"/>
  <c r="U1119" i="2"/>
  <c r="Q1119" i="2"/>
  <c r="L1119" i="2"/>
  <c r="F1119" i="2"/>
  <c r="U1118" i="2"/>
  <c r="Q1118" i="2"/>
  <c r="L1118" i="2"/>
  <c r="F1118" i="2"/>
  <c r="U1117" i="2"/>
  <c r="Q1117" i="2"/>
  <c r="L1117" i="2"/>
  <c r="F1117" i="2"/>
  <c r="U1116" i="2"/>
  <c r="Q1116" i="2"/>
  <c r="L1116" i="2"/>
  <c r="F1116" i="2"/>
  <c r="U1115" i="2"/>
  <c r="Q1115" i="2"/>
  <c r="L1115" i="2"/>
  <c r="F1115" i="2"/>
  <c r="U1114" i="2"/>
  <c r="Q1114" i="2"/>
  <c r="L1114" i="2"/>
  <c r="F1114" i="2"/>
  <c r="U1113" i="2"/>
  <c r="Q1113" i="2"/>
  <c r="L1113" i="2"/>
  <c r="F1113" i="2"/>
  <c r="U1112" i="2"/>
  <c r="Q1112" i="2"/>
  <c r="L1112" i="2"/>
  <c r="F1112" i="2"/>
  <c r="U1111" i="2"/>
  <c r="Q1111" i="2"/>
  <c r="L1111" i="2"/>
  <c r="F1111" i="2"/>
  <c r="U1110" i="2"/>
  <c r="Q1110" i="2"/>
  <c r="L1110" i="2"/>
  <c r="F1110" i="2"/>
  <c r="U1109" i="2"/>
  <c r="Q1109" i="2"/>
  <c r="L1109" i="2"/>
  <c r="F1109" i="2"/>
  <c r="U1108" i="2"/>
  <c r="Q1108" i="2"/>
  <c r="L1108" i="2"/>
  <c r="F1108" i="2"/>
  <c r="Q1107" i="2"/>
  <c r="F1107" i="2"/>
  <c r="U1105" i="2"/>
  <c r="Q1105" i="2"/>
  <c r="L1105" i="2"/>
  <c r="F1105" i="2"/>
  <c r="U1104" i="2"/>
  <c r="Q1104" i="2"/>
  <c r="L1104" i="2"/>
  <c r="F1104" i="2"/>
  <c r="U1103" i="2"/>
  <c r="Q1103" i="2"/>
  <c r="L1103" i="2"/>
  <c r="F1103" i="2"/>
  <c r="U1102" i="2"/>
  <c r="Q1102" i="2"/>
  <c r="L1102" i="2"/>
  <c r="F1102" i="2"/>
  <c r="U1101" i="2"/>
  <c r="Q1101" i="2"/>
  <c r="L1101" i="2"/>
  <c r="F1101" i="2"/>
  <c r="U1100" i="2"/>
  <c r="Q1100" i="2"/>
  <c r="L1100" i="2"/>
  <c r="F1100" i="2"/>
  <c r="Q1099" i="2"/>
  <c r="F1099" i="2"/>
  <c r="U1098" i="2"/>
  <c r="Q1098" i="2"/>
  <c r="L1098" i="2"/>
  <c r="F1098" i="2"/>
  <c r="U1097" i="2"/>
  <c r="Q1097" i="2"/>
  <c r="L1097" i="2"/>
  <c r="F1097" i="2"/>
  <c r="U1096" i="2"/>
  <c r="Q1096" i="2"/>
  <c r="L1096" i="2"/>
  <c r="F1096" i="2"/>
  <c r="Q1131" i="2" l="1"/>
  <c r="U1131" i="2"/>
  <c r="L1131" i="2"/>
  <c r="F1131" i="2"/>
  <c r="L1054" i="2"/>
  <c r="L1055" i="2"/>
  <c r="L1065" i="2"/>
  <c r="L1066" i="2"/>
  <c r="L1067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54" i="2"/>
  <c r="F1055" i="2"/>
  <c r="F1056" i="2"/>
  <c r="T1089" i="2"/>
  <c r="P1089" i="2"/>
  <c r="K1089" i="2"/>
  <c r="J1089" i="2"/>
  <c r="I1089" i="2"/>
  <c r="E1089" i="2"/>
  <c r="D1089" i="2"/>
  <c r="Q1088" i="2"/>
  <c r="F1088" i="2"/>
  <c r="Q1087" i="2"/>
  <c r="F1087" i="2"/>
  <c r="Q1086" i="2"/>
  <c r="Q1085" i="2"/>
  <c r="L1085" i="2"/>
  <c r="Q1084" i="2"/>
  <c r="L1084" i="2"/>
  <c r="U1083" i="2"/>
  <c r="Q1083" i="2"/>
  <c r="L1083" i="2"/>
  <c r="U1082" i="2"/>
  <c r="Q1082" i="2"/>
  <c r="L1082" i="2"/>
  <c r="U1081" i="2"/>
  <c r="Q1081" i="2"/>
  <c r="L1081" i="2"/>
  <c r="U1080" i="2"/>
  <c r="Q1080" i="2"/>
  <c r="L1080" i="2"/>
  <c r="U1079" i="2"/>
  <c r="Q1079" i="2"/>
  <c r="L1079" i="2"/>
  <c r="C1089" i="2"/>
  <c r="U1078" i="2"/>
  <c r="Q1078" i="2"/>
  <c r="L1078" i="2"/>
  <c r="U1077" i="2"/>
  <c r="Q1077" i="2"/>
  <c r="L1077" i="2"/>
  <c r="U1076" i="2"/>
  <c r="Q1076" i="2"/>
  <c r="L1076" i="2"/>
  <c r="U1075" i="2"/>
  <c r="Q1075" i="2"/>
  <c r="L1075" i="2"/>
  <c r="U1074" i="2"/>
  <c r="Q1074" i="2"/>
  <c r="L1074" i="2"/>
  <c r="U1073" i="2"/>
  <c r="Q1073" i="2"/>
  <c r="L1073" i="2"/>
  <c r="U1072" i="2"/>
  <c r="Q1072" i="2"/>
  <c r="L1072" i="2"/>
  <c r="U1071" i="2"/>
  <c r="Q1071" i="2"/>
  <c r="U1070" i="2"/>
  <c r="Q1070" i="2"/>
  <c r="U1069" i="2"/>
  <c r="Q1069" i="2"/>
  <c r="U1068" i="2"/>
  <c r="Q1068" i="2"/>
  <c r="L1068" i="2"/>
  <c r="U1067" i="2"/>
  <c r="Q1067" i="2"/>
  <c r="U1066" i="2"/>
  <c r="Q1066" i="2"/>
  <c r="U1065" i="2"/>
  <c r="Q1065" i="2"/>
  <c r="U1063" i="2"/>
  <c r="Q1063" i="2"/>
  <c r="L1063" i="2"/>
  <c r="F1063" i="2"/>
  <c r="U1062" i="2"/>
  <c r="Q1062" i="2"/>
  <c r="L1062" i="2"/>
  <c r="F1062" i="2"/>
  <c r="U1061" i="2"/>
  <c r="Q1061" i="2"/>
  <c r="L1061" i="2"/>
  <c r="F1061" i="2"/>
  <c r="U1060" i="2"/>
  <c r="Q1060" i="2"/>
  <c r="L1060" i="2"/>
  <c r="F1060" i="2"/>
  <c r="U1059" i="2"/>
  <c r="Q1059" i="2"/>
  <c r="L1059" i="2"/>
  <c r="F1059" i="2"/>
  <c r="U1058" i="2"/>
  <c r="Q1058" i="2"/>
  <c r="L1058" i="2"/>
  <c r="F1058" i="2"/>
  <c r="U1057" i="2"/>
  <c r="Q1057" i="2"/>
  <c r="L1057" i="2"/>
  <c r="F1057" i="2"/>
  <c r="U1056" i="2"/>
  <c r="Q1056" i="2"/>
  <c r="L1056" i="2"/>
  <c r="U1055" i="2"/>
  <c r="Q1055" i="2"/>
  <c r="U1054" i="2"/>
  <c r="Q1054" i="2"/>
  <c r="L1089" i="2" l="1"/>
  <c r="U1089" i="2"/>
  <c r="Q1089" i="2"/>
  <c r="F1089" i="2"/>
  <c r="C1042" i="2"/>
  <c r="C1037" i="2"/>
  <c r="L1024" i="2"/>
  <c r="E919" i="2"/>
  <c r="D919" i="2"/>
  <c r="C919" i="2"/>
  <c r="F918" i="2"/>
  <c r="F919" i="2" l="1"/>
  <c r="F1012" i="2"/>
  <c r="T1047" i="2"/>
  <c r="P1047" i="2"/>
  <c r="K1047" i="2"/>
  <c r="J1047" i="2"/>
  <c r="I1047" i="2"/>
  <c r="E1047" i="2"/>
  <c r="D1047" i="2"/>
  <c r="U1046" i="2"/>
  <c r="Q1046" i="2"/>
  <c r="L1046" i="2"/>
  <c r="F1046" i="2"/>
  <c r="U1045" i="2"/>
  <c r="Q1045" i="2"/>
  <c r="L1045" i="2"/>
  <c r="F1045" i="2"/>
  <c r="U1044" i="2"/>
  <c r="Q1044" i="2"/>
  <c r="L1044" i="2"/>
  <c r="F1044" i="2"/>
  <c r="U1043" i="2"/>
  <c r="Q1043" i="2"/>
  <c r="L1043" i="2"/>
  <c r="F1043" i="2"/>
  <c r="U1042" i="2"/>
  <c r="Q1042" i="2"/>
  <c r="L1042" i="2"/>
  <c r="F1042" i="2"/>
  <c r="U1041" i="2"/>
  <c r="Q1041" i="2"/>
  <c r="L1041" i="2"/>
  <c r="F1041" i="2"/>
  <c r="U1040" i="2"/>
  <c r="Q1040" i="2"/>
  <c r="L1040" i="2"/>
  <c r="F1040" i="2"/>
  <c r="U1039" i="2"/>
  <c r="Q1039" i="2"/>
  <c r="L1039" i="2"/>
  <c r="F1039" i="2"/>
  <c r="U1038" i="2"/>
  <c r="Q1038" i="2"/>
  <c r="L1038" i="2"/>
  <c r="F1038" i="2"/>
  <c r="U1037" i="2"/>
  <c r="Q1037" i="2"/>
  <c r="L1037" i="2"/>
  <c r="F1037" i="2"/>
  <c r="U1036" i="2"/>
  <c r="Q1036" i="2"/>
  <c r="L1036" i="2"/>
  <c r="F1036" i="2"/>
  <c r="U1035" i="2"/>
  <c r="Q1035" i="2"/>
  <c r="L1035" i="2"/>
  <c r="F1035" i="2"/>
  <c r="U1034" i="2"/>
  <c r="Q1034" i="2"/>
  <c r="L1034" i="2"/>
  <c r="F1034" i="2"/>
  <c r="U1033" i="2"/>
  <c r="Q1033" i="2"/>
  <c r="L1033" i="2"/>
  <c r="F1033" i="2"/>
  <c r="U1032" i="2"/>
  <c r="Q1032" i="2"/>
  <c r="L1032" i="2"/>
  <c r="F1032" i="2"/>
  <c r="U1031" i="2"/>
  <c r="Q1031" i="2"/>
  <c r="L1031" i="2"/>
  <c r="F1031" i="2"/>
  <c r="U1030" i="2"/>
  <c r="Q1030" i="2"/>
  <c r="L1030" i="2"/>
  <c r="F1030" i="2"/>
  <c r="U1029" i="2"/>
  <c r="Q1029" i="2"/>
  <c r="L1029" i="2"/>
  <c r="F1029" i="2"/>
  <c r="U1028" i="2"/>
  <c r="Q1028" i="2"/>
  <c r="L1028" i="2"/>
  <c r="F1028" i="2"/>
  <c r="U1027" i="2"/>
  <c r="Q1027" i="2"/>
  <c r="L1027" i="2"/>
  <c r="F1027" i="2"/>
  <c r="U1026" i="2"/>
  <c r="Q1026" i="2"/>
  <c r="L1026" i="2"/>
  <c r="F1026" i="2"/>
  <c r="U1025" i="2"/>
  <c r="Q1025" i="2"/>
  <c r="L1025" i="2"/>
  <c r="F1025" i="2"/>
  <c r="U1024" i="2"/>
  <c r="Q1024" i="2"/>
  <c r="F1024" i="2"/>
  <c r="U1023" i="2"/>
  <c r="Q1023" i="2"/>
  <c r="L1023" i="2"/>
  <c r="F1023" i="2"/>
  <c r="U1021" i="2"/>
  <c r="Q1021" i="2"/>
  <c r="L1021" i="2"/>
  <c r="F1021" i="2"/>
  <c r="U1020" i="2"/>
  <c r="Q1020" i="2"/>
  <c r="L1020" i="2"/>
  <c r="F1020" i="2"/>
  <c r="U1019" i="2"/>
  <c r="Q1019" i="2"/>
  <c r="L1019" i="2"/>
  <c r="F1019" i="2"/>
  <c r="U1018" i="2"/>
  <c r="Q1018" i="2"/>
  <c r="L1018" i="2"/>
  <c r="F1018" i="2"/>
  <c r="U1017" i="2"/>
  <c r="Q1017" i="2"/>
  <c r="L1017" i="2"/>
  <c r="F1017" i="2"/>
  <c r="U1016" i="2"/>
  <c r="Q1016" i="2"/>
  <c r="L1016" i="2"/>
  <c r="F1016" i="2"/>
  <c r="U1015" i="2"/>
  <c r="Q1015" i="2"/>
  <c r="L1015" i="2"/>
  <c r="F1015" i="2"/>
  <c r="U1014" i="2"/>
  <c r="Q1014" i="2"/>
  <c r="L1014" i="2"/>
  <c r="F1014" i="2"/>
  <c r="U1013" i="2"/>
  <c r="Q1013" i="2"/>
  <c r="L1013" i="2"/>
  <c r="F1013" i="2"/>
  <c r="U1012" i="2"/>
  <c r="Q1012" i="2"/>
  <c r="L1012" i="2"/>
  <c r="L1047" i="2" l="1"/>
  <c r="F1047" i="2"/>
  <c r="Q1047" i="2"/>
  <c r="U1047" i="2"/>
  <c r="C1047" i="2"/>
  <c r="C990" i="2"/>
  <c r="F990" i="2" s="1"/>
  <c r="C982" i="2"/>
  <c r="F982" i="2" s="1"/>
  <c r="C962" i="2"/>
  <c r="L971" i="2"/>
  <c r="L962" i="2"/>
  <c r="I963" i="2"/>
  <c r="J963" i="2"/>
  <c r="K963" i="2"/>
  <c r="L981" i="2"/>
  <c r="L982" i="2"/>
  <c r="F970" i="2"/>
  <c r="F971" i="2"/>
  <c r="F981" i="2"/>
  <c r="F983" i="2"/>
  <c r="F984" i="2"/>
  <c r="F985" i="2"/>
  <c r="F986" i="2"/>
  <c r="F987" i="2"/>
  <c r="F988" i="2"/>
  <c r="F989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T1005" i="2"/>
  <c r="P1005" i="2"/>
  <c r="K1005" i="2"/>
  <c r="J1005" i="2"/>
  <c r="I1005" i="2"/>
  <c r="E1005" i="2"/>
  <c r="D1005" i="2"/>
  <c r="U1004" i="2"/>
  <c r="Q1004" i="2"/>
  <c r="L1004" i="2"/>
  <c r="F1004" i="2"/>
  <c r="U1003" i="2"/>
  <c r="Q1003" i="2"/>
  <c r="L1003" i="2"/>
  <c r="F1003" i="2"/>
  <c r="U1002" i="2"/>
  <c r="Q1002" i="2"/>
  <c r="L1002" i="2"/>
  <c r="U1001" i="2"/>
  <c r="Q1001" i="2"/>
  <c r="L1001" i="2"/>
  <c r="U1000" i="2"/>
  <c r="Q1000" i="2"/>
  <c r="L1000" i="2"/>
  <c r="U999" i="2"/>
  <c r="Q999" i="2"/>
  <c r="L999" i="2"/>
  <c r="U998" i="2"/>
  <c r="Q998" i="2"/>
  <c r="L998" i="2"/>
  <c r="U997" i="2"/>
  <c r="Q997" i="2"/>
  <c r="L997" i="2"/>
  <c r="U996" i="2"/>
  <c r="Q996" i="2"/>
  <c r="L996" i="2"/>
  <c r="U995" i="2"/>
  <c r="Q995" i="2"/>
  <c r="L995" i="2"/>
  <c r="U994" i="2"/>
  <c r="Q994" i="2"/>
  <c r="L994" i="2"/>
  <c r="U993" i="2"/>
  <c r="Q993" i="2"/>
  <c r="L993" i="2"/>
  <c r="U992" i="2"/>
  <c r="Q992" i="2"/>
  <c r="L992" i="2"/>
  <c r="U991" i="2"/>
  <c r="Q991" i="2"/>
  <c r="L991" i="2"/>
  <c r="U990" i="2"/>
  <c r="Q990" i="2"/>
  <c r="L990" i="2"/>
  <c r="U989" i="2"/>
  <c r="Q989" i="2"/>
  <c r="L989" i="2"/>
  <c r="U988" i="2"/>
  <c r="Q988" i="2"/>
  <c r="L988" i="2"/>
  <c r="U987" i="2"/>
  <c r="Q987" i="2"/>
  <c r="L987" i="2"/>
  <c r="U986" i="2"/>
  <c r="Q986" i="2"/>
  <c r="L986" i="2"/>
  <c r="U985" i="2"/>
  <c r="Q985" i="2"/>
  <c r="L985" i="2"/>
  <c r="U984" i="2"/>
  <c r="Q984" i="2"/>
  <c r="L984" i="2"/>
  <c r="U983" i="2"/>
  <c r="Q983" i="2"/>
  <c r="L983" i="2"/>
  <c r="U982" i="2"/>
  <c r="Q982" i="2"/>
  <c r="U981" i="2"/>
  <c r="Q981" i="2"/>
  <c r="U979" i="2"/>
  <c r="Q979" i="2"/>
  <c r="L979" i="2"/>
  <c r="F979" i="2"/>
  <c r="U978" i="2"/>
  <c r="Q978" i="2"/>
  <c r="L978" i="2"/>
  <c r="F978" i="2"/>
  <c r="U977" i="2"/>
  <c r="Q977" i="2"/>
  <c r="L977" i="2"/>
  <c r="F977" i="2"/>
  <c r="U976" i="2"/>
  <c r="Q976" i="2"/>
  <c r="L976" i="2"/>
  <c r="F976" i="2"/>
  <c r="U975" i="2"/>
  <c r="Q975" i="2"/>
  <c r="L975" i="2"/>
  <c r="F975" i="2"/>
  <c r="U974" i="2"/>
  <c r="Q974" i="2"/>
  <c r="L974" i="2"/>
  <c r="F974" i="2"/>
  <c r="U973" i="2"/>
  <c r="Q973" i="2"/>
  <c r="L973" i="2"/>
  <c r="F973" i="2"/>
  <c r="U972" i="2"/>
  <c r="Q972" i="2"/>
  <c r="L972" i="2"/>
  <c r="F972" i="2"/>
  <c r="U971" i="2"/>
  <c r="Q971" i="2"/>
  <c r="U970" i="2"/>
  <c r="Q970" i="2"/>
  <c r="L970" i="2"/>
  <c r="C1005" i="2" l="1"/>
  <c r="F1005" i="2"/>
  <c r="L1005" i="2"/>
  <c r="Q1005" i="2"/>
  <c r="U1005" i="2"/>
  <c r="C960" i="2"/>
  <c r="C949" i="2"/>
  <c r="L939" i="2"/>
  <c r="T963" i="2"/>
  <c r="P963" i="2"/>
  <c r="U962" i="2"/>
  <c r="Q962" i="2"/>
  <c r="U961" i="2"/>
  <c r="Q961" i="2"/>
  <c r="U960" i="2"/>
  <c r="Q960" i="2"/>
  <c r="U959" i="2"/>
  <c r="Q959" i="2"/>
  <c r="U958" i="2"/>
  <c r="Q958" i="2"/>
  <c r="U957" i="2"/>
  <c r="Q957" i="2"/>
  <c r="U956" i="2"/>
  <c r="Q956" i="2"/>
  <c r="U955" i="2"/>
  <c r="Q955" i="2"/>
  <c r="U954" i="2"/>
  <c r="Q954" i="2"/>
  <c r="U953" i="2"/>
  <c r="Q953" i="2"/>
  <c r="U952" i="2"/>
  <c r="Q952" i="2"/>
  <c r="U951" i="2"/>
  <c r="Q951" i="2"/>
  <c r="U950" i="2"/>
  <c r="Q950" i="2"/>
  <c r="U949" i="2"/>
  <c r="Q949" i="2"/>
  <c r="U948" i="2"/>
  <c r="Q948" i="2"/>
  <c r="U947" i="2"/>
  <c r="Q947" i="2"/>
  <c r="U946" i="2"/>
  <c r="Q946" i="2"/>
  <c r="U945" i="2"/>
  <c r="Q945" i="2"/>
  <c r="U944" i="2"/>
  <c r="Q944" i="2"/>
  <c r="U943" i="2"/>
  <c r="Q943" i="2"/>
  <c r="U942" i="2"/>
  <c r="Q942" i="2"/>
  <c r="U941" i="2"/>
  <c r="Q941" i="2"/>
  <c r="U940" i="2"/>
  <c r="Q940" i="2"/>
  <c r="U939" i="2"/>
  <c r="Q939" i="2"/>
  <c r="U937" i="2"/>
  <c r="Q937" i="2"/>
  <c r="U936" i="2"/>
  <c r="Q936" i="2"/>
  <c r="U935" i="2"/>
  <c r="Q935" i="2"/>
  <c r="U934" i="2"/>
  <c r="Q934" i="2"/>
  <c r="U933" i="2"/>
  <c r="Q933" i="2"/>
  <c r="U932" i="2"/>
  <c r="Q932" i="2"/>
  <c r="U931" i="2"/>
  <c r="Q931" i="2"/>
  <c r="U930" i="2"/>
  <c r="Q930" i="2"/>
  <c r="U929" i="2"/>
  <c r="Q929" i="2"/>
  <c r="U928" i="2"/>
  <c r="Q928" i="2"/>
  <c r="Q963" i="2" l="1"/>
  <c r="U963" i="2"/>
  <c r="C943" i="2"/>
  <c r="F943" i="2" s="1"/>
  <c r="C940" i="2"/>
  <c r="F940" i="2" s="1"/>
  <c r="L940" i="2"/>
  <c r="L941" i="2"/>
  <c r="L942" i="2"/>
  <c r="L943" i="2"/>
  <c r="L960" i="2"/>
  <c r="L961" i="2"/>
  <c r="L889" i="2"/>
  <c r="L931" i="2"/>
  <c r="L929" i="2"/>
  <c r="L930" i="2"/>
  <c r="L928" i="2"/>
  <c r="L918" i="2"/>
  <c r="F928" i="2"/>
  <c r="F929" i="2"/>
  <c r="F930" i="2"/>
  <c r="F931" i="2"/>
  <c r="F939" i="2"/>
  <c r="F941" i="2"/>
  <c r="F942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E963" i="2"/>
  <c r="F962" i="2"/>
  <c r="F961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D963" i="2"/>
  <c r="L937" i="2"/>
  <c r="F937" i="2"/>
  <c r="L936" i="2"/>
  <c r="F936" i="2"/>
  <c r="L935" i="2"/>
  <c r="F935" i="2"/>
  <c r="L934" i="2"/>
  <c r="F934" i="2"/>
  <c r="L933" i="2"/>
  <c r="F933" i="2"/>
  <c r="L932" i="2"/>
  <c r="F932" i="2"/>
  <c r="L963" i="2" l="1"/>
  <c r="C963" i="2"/>
  <c r="F963" i="2"/>
  <c r="C914" i="2"/>
  <c r="F914" i="2" s="1"/>
  <c r="C912" i="2"/>
  <c r="F912" i="2" s="1"/>
  <c r="C910" i="2"/>
  <c r="E910" i="2"/>
  <c r="D910" i="2"/>
  <c r="D907" i="2"/>
  <c r="C907" i="2"/>
  <c r="F903" i="2"/>
  <c r="F902" i="2"/>
  <c r="F901" i="2"/>
  <c r="C899" i="2"/>
  <c r="E899" i="2"/>
  <c r="D899" i="2"/>
  <c r="F886" i="2"/>
  <c r="F887" i="2"/>
  <c r="F888" i="2"/>
  <c r="F889" i="2"/>
  <c r="F890" i="2"/>
  <c r="F891" i="2"/>
  <c r="F892" i="2"/>
  <c r="F893" i="2"/>
  <c r="F894" i="2"/>
  <c r="U877" i="2"/>
  <c r="U878" i="2"/>
  <c r="U844" i="2"/>
  <c r="U845" i="2"/>
  <c r="U846" i="2"/>
  <c r="L876" i="2"/>
  <c r="L877" i="2"/>
  <c r="L878" i="2"/>
  <c r="L844" i="2"/>
  <c r="L845" i="2"/>
  <c r="L846" i="2"/>
  <c r="T921" i="2"/>
  <c r="P921" i="2"/>
  <c r="K921" i="2"/>
  <c r="J921" i="2"/>
  <c r="I921" i="2"/>
  <c r="U920" i="2"/>
  <c r="Q920" i="2"/>
  <c r="L920" i="2"/>
  <c r="F920" i="2"/>
  <c r="U919" i="2"/>
  <c r="Q919" i="2"/>
  <c r="L919" i="2"/>
  <c r="U918" i="2"/>
  <c r="Q918" i="2"/>
  <c r="U917" i="2"/>
  <c r="Q917" i="2"/>
  <c r="L917" i="2"/>
  <c r="F917" i="2"/>
  <c r="U916" i="2"/>
  <c r="Q916" i="2"/>
  <c r="L916" i="2"/>
  <c r="F916" i="2"/>
  <c r="U915" i="2"/>
  <c r="Q915" i="2"/>
  <c r="L915" i="2"/>
  <c r="F915" i="2"/>
  <c r="U914" i="2"/>
  <c r="Q914" i="2"/>
  <c r="L914" i="2"/>
  <c r="U913" i="2"/>
  <c r="Q913" i="2"/>
  <c r="L913" i="2"/>
  <c r="F913" i="2"/>
  <c r="U912" i="2"/>
  <c r="Q912" i="2"/>
  <c r="L912" i="2"/>
  <c r="U911" i="2"/>
  <c r="Q911" i="2"/>
  <c r="L911" i="2"/>
  <c r="F911" i="2"/>
  <c r="U910" i="2"/>
  <c r="Q910" i="2"/>
  <c r="L910" i="2"/>
  <c r="U909" i="2"/>
  <c r="Q909" i="2"/>
  <c r="L909" i="2"/>
  <c r="F909" i="2"/>
  <c r="U908" i="2"/>
  <c r="Q908" i="2"/>
  <c r="L908" i="2"/>
  <c r="F908" i="2"/>
  <c r="U907" i="2"/>
  <c r="Q907" i="2"/>
  <c r="L907" i="2"/>
  <c r="U906" i="2"/>
  <c r="Q906" i="2"/>
  <c r="L906" i="2"/>
  <c r="F906" i="2"/>
  <c r="U905" i="2"/>
  <c r="Q905" i="2"/>
  <c r="L905" i="2"/>
  <c r="F905" i="2"/>
  <c r="U904" i="2"/>
  <c r="Q904" i="2"/>
  <c r="L904" i="2"/>
  <c r="F904" i="2"/>
  <c r="U903" i="2"/>
  <c r="Q903" i="2"/>
  <c r="L903" i="2"/>
  <c r="U902" i="2"/>
  <c r="Q902" i="2"/>
  <c r="L902" i="2"/>
  <c r="U901" i="2"/>
  <c r="Q901" i="2"/>
  <c r="L901" i="2"/>
  <c r="U900" i="2"/>
  <c r="Q900" i="2"/>
  <c r="L900" i="2"/>
  <c r="F900" i="2"/>
  <c r="U899" i="2"/>
  <c r="Q899" i="2"/>
  <c r="L899" i="2"/>
  <c r="U898" i="2"/>
  <c r="Q898" i="2"/>
  <c r="L898" i="2"/>
  <c r="F898" i="2"/>
  <c r="U897" i="2"/>
  <c r="Q897" i="2"/>
  <c r="L897" i="2"/>
  <c r="F897" i="2"/>
  <c r="U895" i="2"/>
  <c r="Q895" i="2"/>
  <c r="L895" i="2"/>
  <c r="F895" i="2"/>
  <c r="U894" i="2"/>
  <c r="Q894" i="2"/>
  <c r="L894" i="2"/>
  <c r="U893" i="2"/>
  <c r="Q893" i="2"/>
  <c r="L893" i="2"/>
  <c r="U892" i="2"/>
  <c r="Q892" i="2"/>
  <c r="L892" i="2"/>
  <c r="U891" i="2"/>
  <c r="Q891" i="2"/>
  <c r="L891" i="2"/>
  <c r="U890" i="2"/>
  <c r="Q890" i="2"/>
  <c r="L890" i="2"/>
  <c r="U889" i="2"/>
  <c r="Q889" i="2"/>
  <c r="U888" i="2"/>
  <c r="Q888" i="2"/>
  <c r="L888" i="2"/>
  <c r="U887" i="2"/>
  <c r="Q887" i="2"/>
  <c r="L887" i="2"/>
  <c r="U886" i="2"/>
  <c r="Q886" i="2"/>
  <c r="L886" i="2"/>
  <c r="E921" i="2" l="1"/>
  <c r="F907" i="2"/>
  <c r="D921" i="2"/>
  <c r="F910" i="2"/>
  <c r="Q921" i="2"/>
  <c r="U921" i="2"/>
  <c r="F899" i="2"/>
  <c r="L921" i="2"/>
  <c r="C921" i="2"/>
  <c r="C871" i="2"/>
  <c r="E871" i="2"/>
  <c r="D871" i="2"/>
  <c r="C866" i="2"/>
  <c r="U814" i="2"/>
  <c r="F921" i="2" l="1"/>
  <c r="E866" i="2"/>
  <c r="D866" i="2"/>
  <c r="E864" i="2"/>
  <c r="D864" i="2"/>
  <c r="C864" i="2"/>
  <c r="E863" i="2" l="1"/>
  <c r="D863" i="2"/>
  <c r="C863" i="2"/>
  <c r="C860" i="2"/>
  <c r="E860" i="2"/>
  <c r="D860" i="2"/>
  <c r="F856" i="2"/>
  <c r="C836" i="2" l="1"/>
  <c r="E836" i="2"/>
  <c r="D836" i="2"/>
  <c r="E833" i="2"/>
  <c r="D833" i="2"/>
  <c r="C833" i="2"/>
  <c r="C830" i="2" l="1"/>
  <c r="D830" i="2"/>
  <c r="E830" i="2"/>
  <c r="C828" i="2"/>
  <c r="E824" i="2"/>
  <c r="D824" i="2"/>
  <c r="C824" i="2"/>
  <c r="C822" i="2" l="1"/>
  <c r="D822" i="2"/>
  <c r="E822" i="2"/>
  <c r="D817" i="2" l="1"/>
  <c r="C817" i="2"/>
  <c r="L813" i="2" l="1"/>
  <c r="L804" i="2"/>
  <c r="U833" i="2"/>
  <c r="L833" i="2"/>
  <c r="U792" i="2"/>
  <c r="U793" i="2"/>
  <c r="U794" i="2"/>
  <c r="U836" i="2"/>
  <c r="U835" i="2"/>
  <c r="T879" i="2"/>
  <c r="P879" i="2"/>
  <c r="Q878" i="2"/>
  <c r="Q877" i="2"/>
  <c r="U876" i="2"/>
  <c r="Q876" i="2"/>
  <c r="U875" i="2"/>
  <c r="Q875" i="2"/>
  <c r="U874" i="2"/>
  <c r="Q874" i="2"/>
  <c r="U873" i="2"/>
  <c r="Q873" i="2"/>
  <c r="U872" i="2"/>
  <c r="Q872" i="2"/>
  <c r="U871" i="2"/>
  <c r="Q871" i="2"/>
  <c r="U870" i="2"/>
  <c r="Q870" i="2"/>
  <c r="U869" i="2"/>
  <c r="Q869" i="2"/>
  <c r="U868" i="2"/>
  <c r="Q868" i="2"/>
  <c r="U867" i="2"/>
  <c r="Q867" i="2"/>
  <c r="U866" i="2"/>
  <c r="Q866" i="2"/>
  <c r="U865" i="2"/>
  <c r="Q865" i="2"/>
  <c r="U864" i="2"/>
  <c r="Q864" i="2"/>
  <c r="U863" i="2"/>
  <c r="Q863" i="2"/>
  <c r="U862" i="2"/>
  <c r="Q862" i="2"/>
  <c r="U861" i="2"/>
  <c r="Q861" i="2"/>
  <c r="U860" i="2"/>
  <c r="Q860" i="2"/>
  <c r="U859" i="2"/>
  <c r="Q859" i="2"/>
  <c r="U858" i="2"/>
  <c r="Q858" i="2"/>
  <c r="U857" i="2"/>
  <c r="Q857" i="2"/>
  <c r="U856" i="2"/>
  <c r="Q856" i="2"/>
  <c r="U855" i="2"/>
  <c r="Q855" i="2"/>
  <c r="U853" i="2"/>
  <c r="Q853" i="2"/>
  <c r="U852" i="2"/>
  <c r="Q852" i="2"/>
  <c r="U851" i="2"/>
  <c r="Q851" i="2"/>
  <c r="U850" i="2"/>
  <c r="Q850" i="2"/>
  <c r="U849" i="2"/>
  <c r="Q849" i="2"/>
  <c r="U848" i="2"/>
  <c r="Q848" i="2"/>
  <c r="U847" i="2"/>
  <c r="Q847" i="2"/>
  <c r="Q846" i="2"/>
  <c r="Q845" i="2"/>
  <c r="Q844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E879" i="2"/>
  <c r="D879" i="2"/>
  <c r="F855" i="2"/>
  <c r="F853" i="2"/>
  <c r="F852" i="2"/>
  <c r="F851" i="2"/>
  <c r="F850" i="2"/>
  <c r="F849" i="2"/>
  <c r="F848" i="2"/>
  <c r="F847" i="2"/>
  <c r="F846" i="2"/>
  <c r="F845" i="2"/>
  <c r="F844" i="2"/>
  <c r="L792" i="2"/>
  <c r="L793" i="2"/>
  <c r="L794" i="2"/>
  <c r="L836" i="2"/>
  <c r="L835" i="2"/>
  <c r="K879" i="2"/>
  <c r="J879" i="2"/>
  <c r="I879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3" i="2"/>
  <c r="L852" i="2"/>
  <c r="L851" i="2"/>
  <c r="L850" i="2"/>
  <c r="L849" i="2"/>
  <c r="L848" i="2"/>
  <c r="L847" i="2"/>
  <c r="Q879" i="2" l="1"/>
  <c r="L879" i="2"/>
  <c r="U879" i="2"/>
  <c r="F879" i="2"/>
  <c r="C879" i="2"/>
  <c r="E814" i="2"/>
  <c r="D814" i="2"/>
  <c r="C814" i="2"/>
  <c r="D793" i="2"/>
  <c r="C793" i="2"/>
  <c r="D792" i="2" l="1"/>
  <c r="C792" i="2"/>
  <c r="U750" i="2" l="1"/>
  <c r="U751" i="2"/>
  <c r="U752" i="2"/>
  <c r="U791" i="2"/>
  <c r="U804" i="2"/>
  <c r="U803" i="2"/>
  <c r="T837" i="2"/>
  <c r="P837" i="2"/>
  <c r="Q836" i="2"/>
  <c r="Q835" i="2"/>
  <c r="U834" i="2"/>
  <c r="Q834" i="2"/>
  <c r="Q833" i="2"/>
  <c r="U832" i="2"/>
  <c r="Q832" i="2"/>
  <c r="U831" i="2"/>
  <c r="Q831" i="2"/>
  <c r="U830" i="2"/>
  <c r="Q830" i="2"/>
  <c r="U829" i="2"/>
  <c r="Q829" i="2"/>
  <c r="U828" i="2"/>
  <c r="Q828" i="2"/>
  <c r="U827" i="2"/>
  <c r="Q827" i="2"/>
  <c r="U826" i="2"/>
  <c r="Q826" i="2"/>
  <c r="U825" i="2"/>
  <c r="Q825" i="2"/>
  <c r="U824" i="2"/>
  <c r="Q824" i="2"/>
  <c r="U823" i="2"/>
  <c r="Q823" i="2"/>
  <c r="U822" i="2"/>
  <c r="Q822" i="2"/>
  <c r="U821" i="2"/>
  <c r="Q821" i="2"/>
  <c r="U820" i="2"/>
  <c r="Q820" i="2"/>
  <c r="U819" i="2"/>
  <c r="Q819" i="2"/>
  <c r="U818" i="2"/>
  <c r="Q818" i="2"/>
  <c r="U817" i="2"/>
  <c r="Q817" i="2"/>
  <c r="U816" i="2"/>
  <c r="Q816" i="2"/>
  <c r="U815" i="2"/>
  <c r="Q815" i="2"/>
  <c r="Q814" i="2"/>
  <c r="U813" i="2"/>
  <c r="Q813" i="2"/>
  <c r="U811" i="2"/>
  <c r="Q811" i="2"/>
  <c r="U810" i="2"/>
  <c r="Q810" i="2"/>
  <c r="U809" i="2"/>
  <c r="Q809" i="2"/>
  <c r="U808" i="2"/>
  <c r="Q808" i="2"/>
  <c r="U807" i="2"/>
  <c r="Q807" i="2"/>
  <c r="U806" i="2"/>
  <c r="Q806" i="2"/>
  <c r="U805" i="2"/>
  <c r="Q805" i="2"/>
  <c r="Q804" i="2"/>
  <c r="Q803" i="2"/>
  <c r="U802" i="2"/>
  <c r="Q802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D837" i="2"/>
  <c r="C837" i="2"/>
  <c r="F814" i="2"/>
  <c r="F813" i="2"/>
  <c r="F811" i="2"/>
  <c r="F810" i="2"/>
  <c r="F809" i="2"/>
  <c r="F808" i="2"/>
  <c r="F807" i="2"/>
  <c r="F806" i="2"/>
  <c r="F805" i="2"/>
  <c r="F804" i="2"/>
  <c r="F803" i="2"/>
  <c r="F802" i="2"/>
  <c r="L749" i="2"/>
  <c r="L750" i="2"/>
  <c r="L751" i="2"/>
  <c r="L752" i="2"/>
  <c r="L791" i="2"/>
  <c r="Q837" i="2" l="1"/>
  <c r="U837" i="2"/>
  <c r="F837" i="2"/>
  <c r="E837" i="2"/>
  <c r="L803" i="2"/>
  <c r="K837" i="2"/>
  <c r="L834" i="2"/>
  <c r="J837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1" i="2"/>
  <c r="L810" i="2"/>
  <c r="L809" i="2"/>
  <c r="L808" i="2"/>
  <c r="L807" i="2"/>
  <c r="L806" i="2"/>
  <c r="L805" i="2"/>
  <c r="L802" i="2"/>
  <c r="L837" i="2" l="1"/>
  <c r="I837" i="2"/>
  <c r="D791" i="2"/>
  <c r="C791" i="2"/>
  <c r="C787" i="2" l="1"/>
  <c r="D787" i="2"/>
  <c r="E787" i="2" l="1"/>
  <c r="C786" i="2"/>
  <c r="C783" i="2"/>
  <c r="D783" i="2"/>
  <c r="E783" i="2"/>
  <c r="D782" i="2"/>
  <c r="E782" i="2"/>
  <c r="C782" i="2"/>
  <c r="E781" i="2"/>
  <c r="D781" i="2"/>
  <c r="C781" i="2"/>
  <c r="C778" i="2"/>
  <c r="C763" i="2"/>
  <c r="C777" i="2" l="1"/>
  <c r="D777" i="2"/>
  <c r="E777" i="2"/>
  <c r="U748" i="2"/>
  <c r="E773" i="2" l="1"/>
  <c r="D773" i="2"/>
  <c r="C773" i="2"/>
  <c r="L771" i="2"/>
  <c r="F761" i="2"/>
  <c r="E771" i="2" l="1"/>
  <c r="C771" i="2"/>
  <c r="D771" i="2"/>
  <c r="E752" i="2" l="1"/>
  <c r="D752" i="2"/>
  <c r="C752" i="2"/>
  <c r="C749" i="2"/>
  <c r="L735" i="2"/>
  <c r="C747" i="2"/>
  <c r="D747" i="2"/>
  <c r="E747" i="2"/>
  <c r="U762" i="2"/>
  <c r="U761" i="2"/>
  <c r="L762" i="2"/>
  <c r="L761" i="2"/>
  <c r="L790" i="2"/>
  <c r="U790" i="2"/>
  <c r="E744" i="2" l="1"/>
  <c r="D744" i="2"/>
  <c r="C744" i="2"/>
  <c r="E743" i="2" l="1"/>
  <c r="D743" i="2"/>
  <c r="C743" i="2"/>
  <c r="E741" i="2"/>
  <c r="D741" i="2"/>
  <c r="C741" i="2"/>
  <c r="E740" i="2"/>
  <c r="D740" i="2"/>
  <c r="C740" i="2"/>
  <c r="E736" i="2"/>
  <c r="D736" i="2"/>
  <c r="C736" i="2"/>
  <c r="C732" i="2" l="1"/>
  <c r="E732" i="2"/>
  <c r="D732" i="2"/>
  <c r="L729" i="2"/>
  <c r="E731" i="2" l="1"/>
  <c r="D731" i="2"/>
  <c r="C731" i="2"/>
  <c r="L692" i="2"/>
  <c r="E709" i="2"/>
  <c r="D709" i="2"/>
  <c r="C709" i="2"/>
  <c r="L691" i="2"/>
  <c r="E708" i="2"/>
  <c r="D708" i="2"/>
  <c r="C708" i="2"/>
  <c r="F710" i="2"/>
  <c r="L702" i="2" l="1"/>
  <c r="L703" i="2"/>
  <c r="L704" i="2"/>
  <c r="L705" i="2"/>
  <c r="L706" i="2"/>
  <c r="L690" i="2"/>
  <c r="E706" i="2"/>
  <c r="C706" i="2"/>
  <c r="D706" i="2"/>
  <c r="D703" i="2"/>
  <c r="C703" i="2"/>
  <c r="E703" i="2"/>
  <c r="C702" i="2"/>
  <c r="D702" i="2"/>
  <c r="E702" i="2"/>
  <c r="C701" i="2" l="1"/>
  <c r="D701" i="2"/>
  <c r="E701" i="2"/>
  <c r="E699" i="2"/>
  <c r="D699" i="2"/>
  <c r="C699" i="2"/>
  <c r="C698" i="2"/>
  <c r="E696" i="2"/>
  <c r="D696" i="2"/>
  <c r="C696" i="2"/>
  <c r="C695" i="2"/>
  <c r="C694" i="2"/>
  <c r="D694" i="2"/>
  <c r="C691" i="2"/>
  <c r="E691" i="2"/>
  <c r="D691" i="2"/>
  <c r="D689" i="2"/>
  <c r="C689" i="2"/>
  <c r="E689" i="2"/>
  <c r="U725" i="2"/>
  <c r="U749" i="2"/>
  <c r="T795" i="2"/>
  <c r="P795" i="2"/>
  <c r="Q794" i="2"/>
  <c r="Q793" i="2"/>
  <c r="Q792" i="2"/>
  <c r="Q791" i="2"/>
  <c r="Q790" i="2"/>
  <c r="U789" i="2"/>
  <c r="Q789" i="2"/>
  <c r="U788" i="2"/>
  <c r="Q788" i="2"/>
  <c r="U787" i="2"/>
  <c r="Q787" i="2"/>
  <c r="U786" i="2"/>
  <c r="Q786" i="2"/>
  <c r="U785" i="2"/>
  <c r="Q785" i="2"/>
  <c r="U784" i="2"/>
  <c r="Q784" i="2"/>
  <c r="U783" i="2"/>
  <c r="Q783" i="2"/>
  <c r="U782" i="2"/>
  <c r="Q782" i="2"/>
  <c r="U781" i="2"/>
  <c r="Q781" i="2"/>
  <c r="U780" i="2"/>
  <c r="Q780" i="2"/>
  <c r="U779" i="2"/>
  <c r="Q779" i="2"/>
  <c r="U778" i="2"/>
  <c r="Q778" i="2"/>
  <c r="U777" i="2"/>
  <c r="Q777" i="2"/>
  <c r="U776" i="2"/>
  <c r="Q776" i="2"/>
  <c r="U775" i="2"/>
  <c r="Q775" i="2"/>
  <c r="U774" i="2"/>
  <c r="Q774" i="2"/>
  <c r="U773" i="2"/>
  <c r="Q773" i="2"/>
  <c r="U772" i="2"/>
  <c r="Q772" i="2"/>
  <c r="U771" i="2"/>
  <c r="Q771" i="2"/>
  <c r="U769" i="2"/>
  <c r="Q769" i="2"/>
  <c r="U768" i="2"/>
  <c r="Q768" i="2"/>
  <c r="U767" i="2"/>
  <c r="Q767" i="2"/>
  <c r="U766" i="2"/>
  <c r="Q766" i="2"/>
  <c r="U765" i="2"/>
  <c r="Q765" i="2"/>
  <c r="U764" i="2"/>
  <c r="Q764" i="2"/>
  <c r="U763" i="2"/>
  <c r="Q763" i="2"/>
  <c r="Q762" i="2"/>
  <c r="Q761" i="2"/>
  <c r="U760" i="2"/>
  <c r="Q760" i="2"/>
  <c r="E795" i="2"/>
  <c r="D795" i="2"/>
  <c r="C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69" i="2"/>
  <c r="F768" i="2"/>
  <c r="F767" i="2"/>
  <c r="F766" i="2"/>
  <c r="F765" i="2"/>
  <c r="F764" i="2"/>
  <c r="F763" i="2"/>
  <c r="F762" i="2"/>
  <c r="F760" i="2"/>
  <c r="L718" i="2"/>
  <c r="L719" i="2"/>
  <c r="L720" i="2"/>
  <c r="L721" i="2"/>
  <c r="L722" i="2"/>
  <c r="L723" i="2"/>
  <c r="L724" i="2"/>
  <c r="L725" i="2"/>
  <c r="L726" i="2"/>
  <c r="L727" i="2"/>
  <c r="L730" i="2"/>
  <c r="L731" i="2"/>
  <c r="L732" i="2"/>
  <c r="L733" i="2"/>
  <c r="L734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I753" i="2"/>
  <c r="J753" i="2"/>
  <c r="K753" i="2"/>
  <c r="L760" i="2"/>
  <c r="L763" i="2"/>
  <c r="L764" i="2"/>
  <c r="L765" i="2"/>
  <c r="L766" i="2"/>
  <c r="L767" i="2"/>
  <c r="L768" i="2"/>
  <c r="L769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I795" i="2"/>
  <c r="J795" i="2"/>
  <c r="K795" i="2"/>
  <c r="L795" i="2" l="1"/>
  <c r="U795" i="2"/>
  <c r="F795" i="2"/>
  <c r="L753" i="2"/>
  <c r="Q795" i="2"/>
  <c r="C687" i="2"/>
  <c r="D687" i="2"/>
  <c r="C666" i="2"/>
  <c r="D666" i="2"/>
  <c r="E666" i="2"/>
  <c r="E665" i="2"/>
  <c r="D665" i="2"/>
  <c r="C665" i="2"/>
  <c r="C664" i="2" l="1"/>
  <c r="E664" i="2"/>
  <c r="D664" i="2"/>
  <c r="E663" i="2"/>
  <c r="D663" i="2"/>
  <c r="C663" i="2"/>
  <c r="E660" i="2"/>
  <c r="D660" i="2"/>
  <c r="C660" i="2"/>
  <c r="F660" i="2" l="1"/>
  <c r="U707" i="2"/>
  <c r="U708" i="2"/>
  <c r="U709" i="2"/>
  <c r="U710" i="2"/>
  <c r="U706" i="2"/>
  <c r="U705" i="2"/>
  <c r="T753" i="2"/>
  <c r="P753" i="2"/>
  <c r="Q752" i="2"/>
  <c r="Q751" i="2"/>
  <c r="Q750" i="2"/>
  <c r="Q749" i="2"/>
  <c r="Q748" i="2"/>
  <c r="U747" i="2"/>
  <c r="Q747" i="2"/>
  <c r="U746" i="2"/>
  <c r="Q746" i="2"/>
  <c r="U745" i="2"/>
  <c r="Q745" i="2"/>
  <c r="U744" i="2"/>
  <c r="Q744" i="2"/>
  <c r="U743" i="2"/>
  <c r="Q743" i="2"/>
  <c r="U742" i="2"/>
  <c r="Q742" i="2"/>
  <c r="U741" i="2"/>
  <c r="Q741" i="2"/>
  <c r="U740" i="2"/>
  <c r="Q740" i="2"/>
  <c r="U739" i="2"/>
  <c r="Q739" i="2"/>
  <c r="U738" i="2"/>
  <c r="Q738" i="2"/>
  <c r="U737" i="2"/>
  <c r="Q737" i="2"/>
  <c r="U736" i="2"/>
  <c r="Q736" i="2"/>
  <c r="U735" i="2"/>
  <c r="Q735" i="2"/>
  <c r="U734" i="2"/>
  <c r="Q734" i="2"/>
  <c r="U733" i="2"/>
  <c r="Q733" i="2"/>
  <c r="U732" i="2"/>
  <c r="Q732" i="2"/>
  <c r="U731" i="2"/>
  <c r="Q731" i="2"/>
  <c r="U730" i="2"/>
  <c r="Q730" i="2"/>
  <c r="U729" i="2"/>
  <c r="Q729" i="2"/>
  <c r="U727" i="2"/>
  <c r="Q727" i="2"/>
  <c r="U726" i="2"/>
  <c r="Q726" i="2"/>
  <c r="Q725" i="2"/>
  <c r="U724" i="2"/>
  <c r="Q724" i="2"/>
  <c r="U723" i="2"/>
  <c r="Q723" i="2"/>
  <c r="U722" i="2"/>
  <c r="Q722" i="2"/>
  <c r="U721" i="2"/>
  <c r="Q721" i="2"/>
  <c r="U720" i="2"/>
  <c r="Q720" i="2"/>
  <c r="U719" i="2"/>
  <c r="Q719" i="2"/>
  <c r="U718" i="2"/>
  <c r="Q718" i="2"/>
  <c r="E753" i="2"/>
  <c r="D753" i="2"/>
  <c r="C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7" i="2"/>
  <c r="F726" i="2"/>
  <c r="F725" i="2"/>
  <c r="F724" i="2"/>
  <c r="F723" i="2"/>
  <c r="F722" i="2"/>
  <c r="F721" i="2"/>
  <c r="F720" i="2"/>
  <c r="F719" i="2"/>
  <c r="F718" i="2"/>
  <c r="L707" i="2"/>
  <c r="L708" i="2"/>
  <c r="L709" i="2"/>
  <c r="L710" i="2"/>
  <c r="L701" i="2"/>
  <c r="L700" i="2"/>
  <c r="U704" i="2"/>
  <c r="F753" i="2" l="1"/>
  <c r="Q753" i="2"/>
  <c r="U753" i="2"/>
  <c r="E657" i="2"/>
  <c r="D657" i="2"/>
  <c r="C657" i="2"/>
  <c r="C655" i="2"/>
  <c r="E655" i="2"/>
  <c r="D655" i="2"/>
  <c r="E652" i="2"/>
  <c r="C652" i="2"/>
  <c r="D652" i="2"/>
  <c r="C649" i="2"/>
  <c r="E649" i="2"/>
  <c r="D649" i="2"/>
  <c r="C647" i="2"/>
  <c r="D647" i="2"/>
  <c r="E647" i="2"/>
  <c r="C645" i="2"/>
  <c r="D645" i="2"/>
  <c r="E645" i="2"/>
  <c r="C626" i="2"/>
  <c r="D626" i="2"/>
  <c r="E624" i="2"/>
  <c r="C624" i="2"/>
  <c r="D624" i="2"/>
  <c r="C623" i="2"/>
  <c r="E623" i="2"/>
  <c r="D623" i="2"/>
  <c r="E622" i="2"/>
  <c r="D622" i="2"/>
  <c r="C622" i="2"/>
  <c r="E620" i="2"/>
  <c r="D620" i="2"/>
  <c r="C620" i="2"/>
  <c r="C618" i="2" l="1"/>
  <c r="C616" i="2"/>
  <c r="E611" i="2"/>
  <c r="D611" i="2"/>
  <c r="C611" i="2"/>
  <c r="C609" i="2"/>
  <c r="E609" i="2"/>
  <c r="E605" i="2"/>
  <c r="D605" i="2"/>
  <c r="C605" i="2"/>
  <c r="T711" i="2"/>
  <c r="P711" i="2"/>
  <c r="Q710" i="2"/>
  <c r="Q709" i="2"/>
  <c r="Q708" i="2"/>
  <c r="Q707" i="2"/>
  <c r="Q706" i="2"/>
  <c r="Q705" i="2"/>
  <c r="Q704" i="2"/>
  <c r="U703" i="2"/>
  <c r="Q703" i="2"/>
  <c r="U702" i="2"/>
  <c r="Q702" i="2"/>
  <c r="U701" i="2"/>
  <c r="Q701" i="2"/>
  <c r="U700" i="2"/>
  <c r="Q700" i="2"/>
  <c r="U699" i="2"/>
  <c r="Q699" i="2"/>
  <c r="U698" i="2"/>
  <c r="Q698" i="2"/>
  <c r="U697" i="2"/>
  <c r="Q697" i="2"/>
  <c r="U696" i="2"/>
  <c r="Q696" i="2"/>
  <c r="U695" i="2"/>
  <c r="Q695" i="2"/>
  <c r="U694" i="2"/>
  <c r="Q694" i="2"/>
  <c r="U693" i="2"/>
  <c r="Q693" i="2"/>
  <c r="U692" i="2"/>
  <c r="Q692" i="2"/>
  <c r="U691" i="2"/>
  <c r="Q691" i="2"/>
  <c r="U690" i="2"/>
  <c r="Q690" i="2"/>
  <c r="U689" i="2"/>
  <c r="Q689" i="2"/>
  <c r="U688" i="2"/>
  <c r="Q688" i="2"/>
  <c r="U687" i="2"/>
  <c r="Q687" i="2"/>
  <c r="U685" i="2"/>
  <c r="Q685" i="2"/>
  <c r="U684" i="2"/>
  <c r="Q684" i="2"/>
  <c r="U683" i="2"/>
  <c r="Q683" i="2"/>
  <c r="U682" i="2"/>
  <c r="Q682" i="2"/>
  <c r="U681" i="2"/>
  <c r="Q681" i="2"/>
  <c r="U680" i="2"/>
  <c r="Q680" i="2"/>
  <c r="U679" i="2"/>
  <c r="Q679" i="2"/>
  <c r="U678" i="2"/>
  <c r="Q678" i="2"/>
  <c r="U677" i="2"/>
  <c r="Q677" i="2"/>
  <c r="U676" i="2"/>
  <c r="Q676" i="2"/>
  <c r="F634" i="2"/>
  <c r="L634" i="2"/>
  <c r="F635" i="2"/>
  <c r="L635" i="2"/>
  <c r="F636" i="2"/>
  <c r="L636" i="2"/>
  <c r="F637" i="2"/>
  <c r="L637" i="2"/>
  <c r="F638" i="2"/>
  <c r="L638" i="2"/>
  <c r="F639" i="2"/>
  <c r="L639" i="2"/>
  <c r="F640" i="2"/>
  <c r="L640" i="2"/>
  <c r="F641" i="2"/>
  <c r="L641" i="2"/>
  <c r="F642" i="2"/>
  <c r="L642" i="2"/>
  <c r="F643" i="2"/>
  <c r="L643" i="2"/>
  <c r="F645" i="2"/>
  <c r="L645" i="2"/>
  <c r="F646" i="2"/>
  <c r="L646" i="2"/>
  <c r="F647" i="2"/>
  <c r="L647" i="2"/>
  <c r="F648" i="2"/>
  <c r="L648" i="2"/>
  <c r="F649" i="2"/>
  <c r="L649" i="2"/>
  <c r="F650" i="2"/>
  <c r="L650" i="2"/>
  <c r="F651" i="2"/>
  <c r="L651" i="2"/>
  <c r="F652" i="2"/>
  <c r="L652" i="2"/>
  <c r="F653" i="2"/>
  <c r="L653" i="2"/>
  <c r="F654" i="2"/>
  <c r="L654" i="2"/>
  <c r="F655" i="2"/>
  <c r="L655" i="2"/>
  <c r="F656" i="2"/>
  <c r="L656" i="2"/>
  <c r="F657" i="2"/>
  <c r="L657" i="2"/>
  <c r="F658" i="2"/>
  <c r="L658" i="2"/>
  <c r="F659" i="2"/>
  <c r="L659" i="2"/>
  <c r="L660" i="2"/>
  <c r="F661" i="2"/>
  <c r="L661" i="2"/>
  <c r="F662" i="2"/>
  <c r="L662" i="2"/>
  <c r="F663" i="2"/>
  <c r="L663" i="2"/>
  <c r="F664" i="2"/>
  <c r="L664" i="2"/>
  <c r="F665" i="2"/>
  <c r="L665" i="2"/>
  <c r="F666" i="2"/>
  <c r="L666" i="2"/>
  <c r="F667" i="2"/>
  <c r="L667" i="2"/>
  <c r="F668" i="2"/>
  <c r="L668" i="2"/>
  <c r="C669" i="2"/>
  <c r="D669" i="2"/>
  <c r="E669" i="2"/>
  <c r="I669" i="2"/>
  <c r="J669" i="2"/>
  <c r="K669" i="2"/>
  <c r="F676" i="2"/>
  <c r="L676" i="2"/>
  <c r="F677" i="2"/>
  <c r="L677" i="2"/>
  <c r="F678" i="2"/>
  <c r="L678" i="2"/>
  <c r="F679" i="2"/>
  <c r="L679" i="2"/>
  <c r="F680" i="2"/>
  <c r="L680" i="2"/>
  <c r="F681" i="2"/>
  <c r="L681" i="2"/>
  <c r="F682" i="2"/>
  <c r="L682" i="2"/>
  <c r="F683" i="2"/>
  <c r="L683" i="2"/>
  <c r="F684" i="2"/>
  <c r="L684" i="2"/>
  <c r="F685" i="2"/>
  <c r="L685" i="2"/>
  <c r="F687" i="2"/>
  <c r="L687" i="2"/>
  <c r="F688" i="2"/>
  <c r="L688" i="2"/>
  <c r="F689" i="2"/>
  <c r="L689" i="2"/>
  <c r="F690" i="2"/>
  <c r="F691" i="2"/>
  <c r="F692" i="2"/>
  <c r="F693" i="2"/>
  <c r="L693" i="2"/>
  <c r="F694" i="2"/>
  <c r="L694" i="2"/>
  <c r="F695" i="2"/>
  <c r="L695" i="2"/>
  <c r="F696" i="2"/>
  <c r="L696" i="2"/>
  <c r="F697" i="2"/>
  <c r="L697" i="2"/>
  <c r="F698" i="2"/>
  <c r="L698" i="2"/>
  <c r="F699" i="2"/>
  <c r="L699" i="2"/>
  <c r="F701" i="2"/>
  <c r="F702" i="2"/>
  <c r="F703" i="2"/>
  <c r="F704" i="2"/>
  <c r="F705" i="2"/>
  <c r="F706" i="2"/>
  <c r="F707" i="2"/>
  <c r="F708" i="2"/>
  <c r="F709" i="2"/>
  <c r="C711" i="2"/>
  <c r="D711" i="2"/>
  <c r="E711" i="2"/>
  <c r="I711" i="2"/>
  <c r="J711" i="2"/>
  <c r="K711" i="2"/>
  <c r="F711" i="2" l="1"/>
  <c r="Q711" i="2"/>
  <c r="U711" i="2"/>
  <c r="L669" i="2"/>
  <c r="L711" i="2"/>
  <c r="F669" i="2"/>
  <c r="T669" i="2"/>
  <c r="P669" i="2"/>
  <c r="U668" i="2"/>
  <c r="Q668" i="2"/>
  <c r="U667" i="2"/>
  <c r="Q667" i="2"/>
  <c r="U666" i="2"/>
  <c r="Q666" i="2"/>
  <c r="U665" i="2"/>
  <c r="Q665" i="2"/>
  <c r="U664" i="2"/>
  <c r="Q664" i="2"/>
  <c r="U663" i="2"/>
  <c r="Q663" i="2"/>
  <c r="U662" i="2"/>
  <c r="Q662" i="2"/>
  <c r="U661" i="2"/>
  <c r="Q661" i="2"/>
  <c r="U660" i="2"/>
  <c r="Q660" i="2"/>
  <c r="U659" i="2"/>
  <c r="Q659" i="2"/>
  <c r="U658" i="2"/>
  <c r="Q658" i="2"/>
  <c r="U657" i="2"/>
  <c r="Q657" i="2"/>
  <c r="U656" i="2"/>
  <c r="Q656" i="2"/>
  <c r="U655" i="2"/>
  <c r="Q655" i="2"/>
  <c r="U654" i="2"/>
  <c r="Q654" i="2"/>
  <c r="U653" i="2"/>
  <c r="Q653" i="2"/>
  <c r="U652" i="2"/>
  <c r="Q652" i="2"/>
  <c r="U651" i="2"/>
  <c r="Q651" i="2"/>
  <c r="U650" i="2"/>
  <c r="Q650" i="2"/>
  <c r="U649" i="2"/>
  <c r="Q649" i="2"/>
  <c r="U648" i="2"/>
  <c r="Q648" i="2"/>
  <c r="U647" i="2"/>
  <c r="Q647" i="2"/>
  <c r="U646" i="2"/>
  <c r="Q646" i="2"/>
  <c r="U645" i="2"/>
  <c r="Q645" i="2"/>
  <c r="U643" i="2"/>
  <c r="Q643" i="2"/>
  <c r="U642" i="2"/>
  <c r="Q642" i="2"/>
  <c r="U641" i="2"/>
  <c r="Q641" i="2"/>
  <c r="U640" i="2"/>
  <c r="Q640" i="2"/>
  <c r="U639" i="2"/>
  <c r="Q639" i="2"/>
  <c r="U638" i="2"/>
  <c r="Q638" i="2"/>
  <c r="U637" i="2"/>
  <c r="Q637" i="2"/>
  <c r="U636" i="2"/>
  <c r="Q636" i="2"/>
  <c r="U635" i="2"/>
  <c r="Q635" i="2"/>
  <c r="U634" i="2"/>
  <c r="Q634" i="2"/>
  <c r="Q669" i="2" l="1"/>
  <c r="U669" i="2"/>
  <c r="U556" i="2" l="1"/>
  <c r="C584" i="2" l="1"/>
  <c r="C583" i="2"/>
  <c r="D583" i="2"/>
  <c r="E583" i="2"/>
  <c r="C582" i="2" l="1"/>
  <c r="E579" i="2" l="1"/>
  <c r="C579" i="2"/>
  <c r="D579" i="2"/>
  <c r="E578" i="2" l="1"/>
  <c r="C578" i="2"/>
  <c r="D578" i="2"/>
  <c r="L624" i="2"/>
  <c r="L623" i="2"/>
  <c r="U582" i="2"/>
  <c r="U581" i="2"/>
  <c r="E577" i="2" l="1"/>
  <c r="D577" i="2"/>
  <c r="C577" i="2"/>
  <c r="D574" i="2"/>
  <c r="C574" i="2"/>
  <c r="E568" i="2"/>
  <c r="D568" i="2"/>
  <c r="C568" i="2"/>
  <c r="C571" i="2"/>
  <c r="E571" i="2"/>
  <c r="E567" i="2"/>
  <c r="C567" i="2"/>
  <c r="F566" i="2"/>
  <c r="E565" i="2" l="1"/>
  <c r="D565" i="2"/>
  <c r="C565" i="2"/>
  <c r="C535" i="2"/>
  <c r="E535" i="2"/>
  <c r="C534" i="2"/>
  <c r="E534" i="2"/>
  <c r="E533" i="2"/>
  <c r="C533" i="2"/>
  <c r="F565" i="2" l="1"/>
  <c r="C531" i="2"/>
  <c r="E529" i="2"/>
  <c r="C529" i="2"/>
  <c r="C511" i="2"/>
  <c r="E528" i="2" l="1"/>
  <c r="C527" i="2" l="1"/>
  <c r="E527" i="2"/>
  <c r="U520" i="2"/>
  <c r="U519" i="2"/>
  <c r="U542" i="2"/>
  <c r="U541" i="2"/>
  <c r="U540" i="2"/>
  <c r="D510" i="2" l="1"/>
  <c r="E511" i="2"/>
  <c r="D511" i="2"/>
  <c r="C525" i="2" l="1"/>
  <c r="E525" i="2"/>
  <c r="C524" i="2" l="1"/>
  <c r="U625" i="2"/>
  <c r="L552" i="2"/>
  <c r="F521" i="2"/>
  <c r="F520" i="2"/>
  <c r="T627" i="2"/>
  <c r="P627" i="2"/>
  <c r="K627" i="2"/>
  <c r="J627" i="2"/>
  <c r="I627" i="2"/>
  <c r="E627" i="2"/>
  <c r="D627" i="2"/>
  <c r="C627" i="2"/>
  <c r="U626" i="2"/>
  <c r="Q626" i="2"/>
  <c r="L626" i="2"/>
  <c r="F626" i="2"/>
  <c r="Q625" i="2"/>
  <c r="L625" i="2"/>
  <c r="F625" i="2"/>
  <c r="U624" i="2"/>
  <c r="Q624" i="2"/>
  <c r="F624" i="2"/>
  <c r="U623" i="2"/>
  <c r="Q623" i="2"/>
  <c r="F623" i="2"/>
  <c r="U622" i="2"/>
  <c r="Q622" i="2"/>
  <c r="L622" i="2"/>
  <c r="F622" i="2"/>
  <c r="U621" i="2"/>
  <c r="Q621" i="2"/>
  <c r="L621" i="2"/>
  <c r="F621" i="2"/>
  <c r="U620" i="2"/>
  <c r="Q620" i="2"/>
  <c r="L620" i="2"/>
  <c r="F620" i="2"/>
  <c r="U619" i="2"/>
  <c r="Q619" i="2"/>
  <c r="L619" i="2"/>
  <c r="F619" i="2"/>
  <c r="U618" i="2"/>
  <c r="Q618" i="2"/>
  <c r="L618" i="2"/>
  <c r="F618" i="2"/>
  <c r="U617" i="2"/>
  <c r="Q617" i="2"/>
  <c r="L617" i="2"/>
  <c r="F617" i="2"/>
  <c r="U616" i="2"/>
  <c r="Q616" i="2"/>
  <c r="L616" i="2"/>
  <c r="F616" i="2"/>
  <c r="U615" i="2"/>
  <c r="Q615" i="2"/>
  <c r="L615" i="2"/>
  <c r="F615" i="2"/>
  <c r="U614" i="2"/>
  <c r="Q614" i="2"/>
  <c r="L614" i="2"/>
  <c r="F614" i="2"/>
  <c r="U613" i="2"/>
  <c r="Q613" i="2"/>
  <c r="L613" i="2"/>
  <c r="F613" i="2"/>
  <c r="U612" i="2"/>
  <c r="Q612" i="2"/>
  <c r="L612" i="2"/>
  <c r="F612" i="2"/>
  <c r="U611" i="2"/>
  <c r="Q611" i="2"/>
  <c r="L611" i="2"/>
  <c r="F611" i="2"/>
  <c r="U610" i="2"/>
  <c r="Q610" i="2"/>
  <c r="L610" i="2"/>
  <c r="F610" i="2"/>
  <c r="U609" i="2"/>
  <c r="Q609" i="2"/>
  <c r="L609" i="2"/>
  <c r="F609" i="2"/>
  <c r="U608" i="2"/>
  <c r="Q608" i="2"/>
  <c r="L608" i="2"/>
  <c r="F608" i="2"/>
  <c r="U607" i="2"/>
  <c r="Q607" i="2"/>
  <c r="L607" i="2"/>
  <c r="F607" i="2"/>
  <c r="U606" i="2"/>
  <c r="Q606" i="2"/>
  <c r="L606" i="2"/>
  <c r="F606" i="2"/>
  <c r="U605" i="2"/>
  <c r="Q605" i="2"/>
  <c r="L605" i="2"/>
  <c r="F605" i="2"/>
  <c r="U604" i="2"/>
  <c r="Q604" i="2"/>
  <c r="L604" i="2"/>
  <c r="F604" i="2"/>
  <c r="U603" i="2"/>
  <c r="Q603" i="2"/>
  <c r="L603" i="2"/>
  <c r="F603" i="2"/>
  <c r="U601" i="2"/>
  <c r="Q601" i="2"/>
  <c r="L601" i="2"/>
  <c r="F601" i="2"/>
  <c r="U600" i="2"/>
  <c r="Q600" i="2"/>
  <c r="L600" i="2"/>
  <c r="F600" i="2"/>
  <c r="U599" i="2"/>
  <c r="Q599" i="2"/>
  <c r="L599" i="2"/>
  <c r="F599" i="2"/>
  <c r="U598" i="2"/>
  <c r="Q598" i="2"/>
  <c r="L598" i="2"/>
  <c r="F598" i="2"/>
  <c r="U597" i="2"/>
  <c r="Q597" i="2"/>
  <c r="L597" i="2"/>
  <c r="F597" i="2"/>
  <c r="U596" i="2"/>
  <c r="Q596" i="2"/>
  <c r="L596" i="2"/>
  <c r="F596" i="2"/>
  <c r="U595" i="2"/>
  <c r="Q595" i="2"/>
  <c r="L595" i="2"/>
  <c r="F595" i="2"/>
  <c r="U594" i="2"/>
  <c r="Q594" i="2"/>
  <c r="L594" i="2"/>
  <c r="F594" i="2"/>
  <c r="U593" i="2"/>
  <c r="Q593" i="2"/>
  <c r="L593" i="2"/>
  <c r="F593" i="2"/>
  <c r="U592" i="2"/>
  <c r="Q592" i="2"/>
  <c r="L592" i="2"/>
  <c r="F592" i="2"/>
  <c r="L510" i="2"/>
  <c r="T585" i="2"/>
  <c r="Q627" i="2" l="1"/>
  <c r="F627" i="2"/>
  <c r="U627" i="2"/>
  <c r="L627" i="2"/>
  <c r="C519" i="2"/>
  <c r="C543" i="2" s="1"/>
  <c r="F524" i="2"/>
  <c r="L524" i="2"/>
  <c r="Q524" i="2"/>
  <c r="U524" i="2"/>
  <c r="F525" i="2"/>
  <c r="L525" i="2"/>
  <c r="Q525" i="2"/>
  <c r="U525" i="2"/>
  <c r="F526" i="2"/>
  <c r="L526" i="2"/>
  <c r="Q526" i="2"/>
  <c r="U526" i="2"/>
  <c r="F527" i="2"/>
  <c r="L527" i="2"/>
  <c r="Q527" i="2"/>
  <c r="U527" i="2"/>
  <c r="F528" i="2"/>
  <c r="L528" i="2"/>
  <c r="Q528" i="2"/>
  <c r="U528" i="2"/>
  <c r="F529" i="2"/>
  <c r="L529" i="2"/>
  <c r="Q529" i="2"/>
  <c r="U529" i="2"/>
  <c r="F530" i="2"/>
  <c r="L530" i="2"/>
  <c r="Q530" i="2"/>
  <c r="U530" i="2"/>
  <c r="F531" i="2"/>
  <c r="L531" i="2"/>
  <c r="Q531" i="2"/>
  <c r="U531" i="2"/>
  <c r="F532" i="2"/>
  <c r="L532" i="2"/>
  <c r="Q532" i="2"/>
  <c r="U532" i="2"/>
  <c r="F533" i="2"/>
  <c r="L533" i="2"/>
  <c r="Q533" i="2"/>
  <c r="U533" i="2"/>
  <c r="F534" i="2"/>
  <c r="L534" i="2"/>
  <c r="Q534" i="2"/>
  <c r="U534" i="2"/>
  <c r="F535" i="2"/>
  <c r="L535" i="2"/>
  <c r="Q535" i="2"/>
  <c r="U535" i="2"/>
  <c r="F536" i="2"/>
  <c r="L536" i="2"/>
  <c r="Q536" i="2"/>
  <c r="U536" i="2"/>
  <c r="F537" i="2"/>
  <c r="L537" i="2"/>
  <c r="Q537" i="2"/>
  <c r="U537" i="2"/>
  <c r="F538" i="2"/>
  <c r="L538" i="2"/>
  <c r="Q538" i="2"/>
  <c r="U538" i="2"/>
  <c r="F539" i="2"/>
  <c r="L539" i="2"/>
  <c r="Q539" i="2"/>
  <c r="U539" i="2"/>
  <c r="F540" i="2"/>
  <c r="L540" i="2"/>
  <c r="Q540" i="2"/>
  <c r="F541" i="2"/>
  <c r="L541" i="2"/>
  <c r="Q541" i="2"/>
  <c r="F542" i="2"/>
  <c r="L542" i="2"/>
  <c r="Q542" i="2"/>
  <c r="F509" i="2"/>
  <c r="L509" i="2"/>
  <c r="Q509" i="2"/>
  <c r="U509" i="2"/>
  <c r="F510" i="2"/>
  <c r="Q510" i="2"/>
  <c r="U510" i="2"/>
  <c r="F511" i="2"/>
  <c r="L511" i="2"/>
  <c r="Q511" i="2"/>
  <c r="U511" i="2"/>
  <c r="F512" i="2"/>
  <c r="L512" i="2"/>
  <c r="Q512" i="2"/>
  <c r="U512" i="2"/>
  <c r="F513" i="2"/>
  <c r="L513" i="2"/>
  <c r="Q513" i="2"/>
  <c r="U513" i="2"/>
  <c r="F514" i="2"/>
  <c r="L514" i="2"/>
  <c r="Q514" i="2"/>
  <c r="U514" i="2"/>
  <c r="F515" i="2"/>
  <c r="L515" i="2"/>
  <c r="Q515" i="2"/>
  <c r="U515" i="2"/>
  <c r="T543" i="2"/>
  <c r="P543" i="2"/>
  <c r="K543" i="2"/>
  <c r="J543" i="2"/>
  <c r="I543" i="2"/>
  <c r="E543" i="2"/>
  <c r="D543" i="2"/>
  <c r="U523" i="2"/>
  <c r="Q523" i="2"/>
  <c r="L523" i="2"/>
  <c r="F523" i="2"/>
  <c r="U522" i="2"/>
  <c r="Q522" i="2"/>
  <c r="L522" i="2"/>
  <c r="F522" i="2"/>
  <c r="U521" i="2"/>
  <c r="Q521" i="2"/>
  <c r="L521" i="2"/>
  <c r="Q520" i="2"/>
  <c r="L520" i="2"/>
  <c r="Q519" i="2"/>
  <c r="L519" i="2"/>
  <c r="U517" i="2"/>
  <c r="Q517" i="2"/>
  <c r="L517" i="2"/>
  <c r="F517" i="2"/>
  <c r="U516" i="2"/>
  <c r="Q516" i="2"/>
  <c r="L516" i="2"/>
  <c r="F516" i="2"/>
  <c r="U508" i="2"/>
  <c r="Q508" i="2"/>
  <c r="L508" i="2"/>
  <c r="F508" i="2"/>
  <c r="C499" i="2"/>
  <c r="F519" i="2" l="1"/>
  <c r="F543" i="2" s="1"/>
  <c r="U543" i="2"/>
  <c r="L543" i="2"/>
  <c r="Q543" i="2"/>
  <c r="C498" i="2"/>
  <c r="C492" i="2" l="1"/>
  <c r="U583" i="2" l="1"/>
  <c r="U499" i="2"/>
  <c r="U500" i="2"/>
  <c r="U551" i="2"/>
  <c r="P585" i="2"/>
  <c r="U584" i="2"/>
  <c r="Q584" i="2"/>
  <c r="Q583" i="2"/>
  <c r="Q582" i="2"/>
  <c r="Q581" i="2"/>
  <c r="U580" i="2"/>
  <c r="Q580" i="2"/>
  <c r="U579" i="2"/>
  <c r="Q579" i="2"/>
  <c r="U578" i="2"/>
  <c r="Q578" i="2"/>
  <c r="U577" i="2"/>
  <c r="Q577" i="2"/>
  <c r="U576" i="2"/>
  <c r="Q576" i="2"/>
  <c r="U575" i="2"/>
  <c r="Q575" i="2"/>
  <c r="U574" i="2"/>
  <c r="Q574" i="2"/>
  <c r="U573" i="2"/>
  <c r="Q573" i="2"/>
  <c r="U572" i="2"/>
  <c r="Q572" i="2"/>
  <c r="U571" i="2"/>
  <c r="Q571" i="2"/>
  <c r="U570" i="2"/>
  <c r="Q570" i="2"/>
  <c r="U569" i="2"/>
  <c r="Q569" i="2"/>
  <c r="U568" i="2"/>
  <c r="Q568" i="2"/>
  <c r="U567" i="2"/>
  <c r="Q567" i="2"/>
  <c r="U566" i="2"/>
  <c r="Q566" i="2"/>
  <c r="U565" i="2"/>
  <c r="Q565" i="2"/>
  <c r="U564" i="2"/>
  <c r="Q564" i="2"/>
  <c r="U563" i="2"/>
  <c r="Q563" i="2"/>
  <c r="U562" i="2"/>
  <c r="Q562" i="2"/>
  <c r="U561" i="2"/>
  <c r="Q561" i="2"/>
  <c r="U559" i="2"/>
  <c r="Q559" i="2"/>
  <c r="U558" i="2"/>
  <c r="Q558" i="2"/>
  <c r="U557" i="2"/>
  <c r="Q557" i="2"/>
  <c r="Q556" i="2"/>
  <c r="U555" i="2"/>
  <c r="Q555" i="2"/>
  <c r="U554" i="2"/>
  <c r="Q554" i="2"/>
  <c r="U553" i="2"/>
  <c r="Q553" i="2"/>
  <c r="U552" i="2"/>
  <c r="Q552" i="2"/>
  <c r="Q551" i="2"/>
  <c r="U550" i="2"/>
  <c r="Q550" i="2"/>
  <c r="L551" i="2"/>
  <c r="K585" i="2"/>
  <c r="J585" i="2"/>
  <c r="I585" i="2"/>
  <c r="D585" i="2"/>
  <c r="L584" i="2"/>
  <c r="F584" i="2"/>
  <c r="L583" i="2"/>
  <c r="F583" i="2"/>
  <c r="L582" i="2"/>
  <c r="F582" i="2"/>
  <c r="L581" i="2"/>
  <c r="F581" i="2"/>
  <c r="L580" i="2"/>
  <c r="F580" i="2"/>
  <c r="L579" i="2"/>
  <c r="F579" i="2"/>
  <c r="L578" i="2"/>
  <c r="F578" i="2"/>
  <c r="L577" i="2"/>
  <c r="F577" i="2"/>
  <c r="L576" i="2"/>
  <c r="F576" i="2"/>
  <c r="L575" i="2"/>
  <c r="F575" i="2"/>
  <c r="L574" i="2"/>
  <c r="F574" i="2"/>
  <c r="L573" i="2"/>
  <c r="F573" i="2"/>
  <c r="L572" i="2"/>
  <c r="F572" i="2"/>
  <c r="L571" i="2"/>
  <c r="F571" i="2"/>
  <c r="L570" i="2"/>
  <c r="F570" i="2"/>
  <c r="L569" i="2"/>
  <c r="F569" i="2"/>
  <c r="L568" i="2"/>
  <c r="F568" i="2"/>
  <c r="L567" i="2"/>
  <c r="F567" i="2"/>
  <c r="L566" i="2"/>
  <c r="L565" i="2"/>
  <c r="L564" i="2"/>
  <c r="F564" i="2"/>
  <c r="L563" i="2"/>
  <c r="F563" i="2"/>
  <c r="L562" i="2"/>
  <c r="F562" i="2"/>
  <c r="C585" i="2"/>
  <c r="L561" i="2"/>
  <c r="F561" i="2"/>
  <c r="L559" i="2"/>
  <c r="F559" i="2"/>
  <c r="L558" i="2"/>
  <c r="F558" i="2"/>
  <c r="L557" i="2"/>
  <c r="F557" i="2"/>
  <c r="L556" i="2"/>
  <c r="F556" i="2"/>
  <c r="L555" i="2"/>
  <c r="F555" i="2"/>
  <c r="L554" i="2"/>
  <c r="F554" i="2"/>
  <c r="L553" i="2"/>
  <c r="F553" i="2"/>
  <c r="F552" i="2"/>
  <c r="F551" i="2"/>
  <c r="L550" i="2"/>
  <c r="F550" i="2"/>
  <c r="Q585" i="2" l="1"/>
  <c r="U585" i="2"/>
  <c r="L585" i="2"/>
  <c r="F585" i="2"/>
  <c r="E585" i="2"/>
  <c r="C490" i="2"/>
  <c r="E490" i="2"/>
  <c r="D490" i="2"/>
  <c r="D489" i="2" l="1"/>
  <c r="C489" i="2"/>
  <c r="C488" i="2"/>
  <c r="F488" i="2" s="1"/>
  <c r="C487" i="2"/>
  <c r="F487" i="2" s="1"/>
  <c r="C481" i="2"/>
  <c r="F481" i="2" s="1"/>
  <c r="C480" i="2"/>
  <c r="F480" i="2" s="1"/>
  <c r="C479" i="2"/>
  <c r="E479" i="2"/>
  <c r="D479" i="2"/>
  <c r="D478" i="2"/>
  <c r="C478" i="2"/>
  <c r="E478" i="2"/>
  <c r="C456" i="2"/>
  <c r="U494" i="2"/>
  <c r="C455" i="2"/>
  <c r="C450" i="2"/>
  <c r="C449" i="2"/>
  <c r="U498" i="2"/>
  <c r="U496" i="2"/>
  <c r="L472" i="2"/>
  <c r="T501" i="2"/>
  <c r="P501" i="2"/>
  <c r="K501" i="2"/>
  <c r="J501" i="2"/>
  <c r="I501" i="2"/>
  <c r="Q500" i="2"/>
  <c r="L500" i="2"/>
  <c r="F500" i="2"/>
  <c r="Q499" i="2"/>
  <c r="L499" i="2"/>
  <c r="F499" i="2"/>
  <c r="Q498" i="2"/>
  <c r="L498" i="2"/>
  <c r="F498" i="2"/>
  <c r="U497" i="2"/>
  <c r="Q497" i="2"/>
  <c r="L497" i="2"/>
  <c r="F497" i="2"/>
  <c r="Q496" i="2"/>
  <c r="L496" i="2"/>
  <c r="F496" i="2"/>
  <c r="U495" i="2"/>
  <c r="Q495" i="2"/>
  <c r="L495" i="2"/>
  <c r="F495" i="2"/>
  <c r="Q494" i="2"/>
  <c r="L494" i="2"/>
  <c r="F494" i="2"/>
  <c r="U493" i="2"/>
  <c r="Q493" i="2"/>
  <c r="L493" i="2"/>
  <c r="F493" i="2"/>
  <c r="U492" i="2"/>
  <c r="Q492" i="2"/>
  <c r="L492" i="2"/>
  <c r="F492" i="2"/>
  <c r="U491" i="2"/>
  <c r="Q491" i="2"/>
  <c r="L491" i="2"/>
  <c r="F491" i="2"/>
  <c r="U490" i="2"/>
  <c r="Q490" i="2"/>
  <c r="L490" i="2"/>
  <c r="F490" i="2"/>
  <c r="U489" i="2"/>
  <c r="Q489" i="2"/>
  <c r="L489" i="2"/>
  <c r="U488" i="2"/>
  <c r="Q488" i="2"/>
  <c r="L488" i="2"/>
  <c r="U487" i="2"/>
  <c r="Q487" i="2"/>
  <c r="L487" i="2"/>
  <c r="U486" i="2"/>
  <c r="Q486" i="2"/>
  <c r="L486" i="2"/>
  <c r="F486" i="2"/>
  <c r="U485" i="2"/>
  <c r="Q485" i="2"/>
  <c r="L485" i="2"/>
  <c r="F485" i="2"/>
  <c r="U484" i="2"/>
  <c r="Q484" i="2"/>
  <c r="L484" i="2"/>
  <c r="F484" i="2"/>
  <c r="U483" i="2"/>
  <c r="Q483" i="2"/>
  <c r="L483" i="2"/>
  <c r="F483" i="2"/>
  <c r="U482" i="2"/>
  <c r="Q482" i="2"/>
  <c r="L482" i="2"/>
  <c r="F482" i="2"/>
  <c r="U481" i="2"/>
  <c r="Q481" i="2"/>
  <c r="L481" i="2"/>
  <c r="U480" i="2"/>
  <c r="Q480" i="2"/>
  <c r="L480" i="2"/>
  <c r="U479" i="2"/>
  <c r="Q479" i="2"/>
  <c r="L479" i="2"/>
  <c r="U478" i="2"/>
  <c r="Q478" i="2"/>
  <c r="L478" i="2"/>
  <c r="U477" i="2"/>
  <c r="Q477" i="2"/>
  <c r="L477" i="2"/>
  <c r="F477" i="2"/>
  <c r="U475" i="2"/>
  <c r="Q475" i="2"/>
  <c r="L475" i="2"/>
  <c r="F475" i="2"/>
  <c r="U474" i="2"/>
  <c r="Q474" i="2"/>
  <c r="L474" i="2"/>
  <c r="F474" i="2"/>
  <c r="U473" i="2"/>
  <c r="Q473" i="2"/>
  <c r="L473" i="2"/>
  <c r="F473" i="2"/>
  <c r="U472" i="2"/>
  <c r="Q472" i="2"/>
  <c r="F472" i="2"/>
  <c r="U471" i="2"/>
  <c r="Q471" i="2"/>
  <c r="L471" i="2"/>
  <c r="F471" i="2"/>
  <c r="U470" i="2"/>
  <c r="Q470" i="2"/>
  <c r="L470" i="2"/>
  <c r="F470" i="2"/>
  <c r="U469" i="2"/>
  <c r="Q469" i="2"/>
  <c r="L469" i="2"/>
  <c r="F469" i="2"/>
  <c r="U468" i="2"/>
  <c r="Q468" i="2"/>
  <c r="L468" i="2"/>
  <c r="F468" i="2"/>
  <c r="U467" i="2"/>
  <c r="Q467" i="2"/>
  <c r="L467" i="2"/>
  <c r="F467" i="2"/>
  <c r="U466" i="2"/>
  <c r="Q466" i="2"/>
  <c r="L466" i="2"/>
  <c r="F466" i="2"/>
  <c r="F489" i="2" l="1"/>
  <c r="E501" i="2"/>
  <c r="D501" i="2"/>
  <c r="C501" i="2"/>
  <c r="F479" i="2"/>
  <c r="F478" i="2"/>
  <c r="U501" i="2"/>
  <c r="Q501" i="2"/>
  <c r="L501" i="2"/>
  <c r="D441" i="2"/>
  <c r="C441" i="2"/>
  <c r="C439" i="2"/>
  <c r="F458" i="2"/>
  <c r="F501" i="2" l="1"/>
  <c r="C402" i="2"/>
  <c r="T459" i="2"/>
  <c r="P459" i="2"/>
  <c r="K459" i="2"/>
  <c r="J459" i="2"/>
  <c r="I459" i="2"/>
  <c r="E459" i="2"/>
  <c r="D459" i="2"/>
  <c r="U458" i="2"/>
  <c r="Q458" i="2"/>
  <c r="L458" i="2"/>
  <c r="U457" i="2"/>
  <c r="Q457" i="2"/>
  <c r="L457" i="2"/>
  <c r="F457" i="2"/>
  <c r="U456" i="2"/>
  <c r="Q456" i="2"/>
  <c r="L456" i="2"/>
  <c r="F456" i="2"/>
  <c r="U455" i="2"/>
  <c r="Q455" i="2"/>
  <c r="L455" i="2"/>
  <c r="F455" i="2"/>
  <c r="U454" i="2"/>
  <c r="Q454" i="2"/>
  <c r="L454" i="2"/>
  <c r="F454" i="2"/>
  <c r="U453" i="2"/>
  <c r="Q453" i="2"/>
  <c r="L453" i="2"/>
  <c r="F453" i="2"/>
  <c r="U452" i="2"/>
  <c r="Q452" i="2"/>
  <c r="L452" i="2"/>
  <c r="F452" i="2"/>
  <c r="U451" i="2"/>
  <c r="Q451" i="2"/>
  <c r="L451" i="2"/>
  <c r="F451" i="2"/>
  <c r="U450" i="2"/>
  <c r="Q450" i="2"/>
  <c r="L450" i="2"/>
  <c r="F450" i="2"/>
  <c r="U449" i="2"/>
  <c r="Q449" i="2"/>
  <c r="L449" i="2"/>
  <c r="F449" i="2"/>
  <c r="U448" i="2"/>
  <c r="Q448" i="2"/>
  <c r="L448" i="2"/>
  <c r="F448" i="2"/>
  <c r="U447" i="2"/>
  <c r="Q447" i="2"/>
  <c r="L447" i="2"/>
  <c r="F447" i="2"/>
  <c r="U446" i="2"/>
  <c r="Q446" i="2"/>
  <c r="L446" i="2"/>
  <c r="F446" i="2"/>
  <c r="U445" i="2"/>
  <c r="Q445" i="2"/>
  <c r="L445" i="2"/>
  <c r="F445" i="2"/>
  <c r="U444" i="2"/>
  <c r="Q444" i="2"/>
  <c r="L444" i="2"/>
  <c r="F444" i="2"/>
  <c r="U443" i="2"/>
  <c r="Q443" i="2"/>
  <c r="L443" i="2"/>
  <c r="F443" i="2"/>
  <c r="U442" i="2"/>
  <c r="Q442" i="2"/>
  <c r="L442" i="2"/>
  <c r="F442" i="2"/>
  <c r="U441" i="2"/>
  <c r="Q441" i="2"/>
  <c r="L441" i="2"/>
  <c r="F441" i="2"/>
  <c r="U440" i="2"/>
  <c r="Q440" i="2"/>
  <c r="L440" i="2"/>
  <c r="F440" i="2"/>
  <c r="U439" i="2"/>
  <c r="Q439" i="2"/>
  <c r="L439" i="2"/>
  <c r="F439" i="2"/>
  <c r="U438" i="2"/>
  <c r="Q438" i="2"/>
  <c r="L438" i="2"/>
  <c r="C459" i="2"/>
  <c r="U437" i="2"/>
  <c r="Q437" i="2"/>
  <c r="L437" i="2"/>
  <c r="F437" i="2"/>
  <c r="U436" i="2"/>
  <c r="Q436" i="2"/>
  <c r="L436" i="2"/>
  <c r="F436" i="2"/>
  <c r="U435" i="2"/>
  <c r="Q435" i="2"/>
  <c r="L435" i="2"/>
  <c r="F435" i="2"/>
  <c r="U433" i="2"/>
  <c r="Q433" i="2"/>
  <c r="L433" i="2"/>
  <c r="F433" i="2"/>
  <c r="U432" i="2"/>
  <c r="Q432" i="2"/>
  <c r="L432" i="2"/>
  <c r="F432" i="2"/>
  <c r="U431" i="2"/>
  <c r="Q431" i="2"/>
  <c r="L431" i="2"/>
  <c r="F431" i="2"/>
  <c r="U430" i="2"/>
  <c r="Q430" i="2"/>
  <c r="L430" i="2"/>
  <c r="F430" i="2"/>
  <c r="U429" i="2"/>
  <c r="Q429" i="2"/>
  <c r="L429" i="2"/>
  <c r="F429" i="2"/>
  <c r="U428" i="2"/>
  <c r="Q428" i="2"/>
  <c r="L428" i="2"/>
  <c r="F428" i="2"/>
  <c r="U427" i="2"/>
  <c r="Q427" i="2"/>
  <c r="L427" i="2"/>
  <c r="F427" i="2"/>
  <c r="U426" i="2"/>
  <c r="Q426" i="2"/>
  <c r="L426" i="2"/>
  <c r="F426" i="2"/>
  <c r="U425" i="2"/>
  <c r="Q425" i="2"/>
  <c r="L425" i="2"/>
  <c r="F425" i="2"/>
  <c r="U424" i="2"/>
  <c r="Q424" i="2"/>
  <c r="L424" i="2"/>
  <c r="F424" i="2"/>
  <c r="Q459" i="2" l="1"/>
  <c r="L459" i="2"/>
  <c r="U459" i="2"/>
  <c r="F438" i="2"/>
  <c r="F459" i="2" s="1"/>
  <c r="C396" i="2"/>
  <c r="C417" i="2" s="1"/>
  <c r="C367" i="2"/>
  <c r="C359" i="2"/>
  <c r="C355" i="2"/>
  <c r="L340" i="2"/>
  <c r="T417" i="2"/>
  <c r="P417" i="2"/>
  <c r="K417" i="2"/>
  <c r="J417" i="2"/>
  <c r="I417" i="2"/>
  <c r="E417" i="2"/>
  <c r="D417" i="2"/>
  <c r="U416" i="2"/>
  <c r="Q416" i="2"/>
  <c r="L416" i="2"/>
  <c r="F416" i="2"/>
  <c r="U415" i="2"/>
  <c r="Q415" i="2"/>
  <c r="L415" i="2"/>
  <c r="F415" i="2"/>
  <c r="U414" i="2"/>
  <c r="Q414" i="2"/>
  <c r="L414" i="2"/>
  <c r="F414" i="2"/>
  <c r="U413" i="2"/>
  <c r="Q413" i="2"/>
  <c r="L413" i="2"/>
  <c r="F413" i="2"/>
  <c r="U412" i="2"/>
  <c r="Q412" i="2"/>
  <c r="L412" i="2"/>
  <c r="F412" i="2"/>
  <c r="U411" i="2"/>
  <c r="Q411" i="2"/>
  <c r="L411" i="2"/>
  <c r="F411" i="2"/>
  <c r="U410" i="2"/>
  <c r="Q410" i="2"/>
  <c r="L410" i="2"/>
  <c r="F410" i="2"/>
  <c r="U409" i="2"/>
  <c r="Q409" i="2"/>
  <c r="L409" i="2"/>
  <c r="F409" i="2"/>
  <c r="U408" i="2"/>
  <c r="Q408" i="2"/>
  <c r="L408" i="2"/>
  <c r="F408" i="2"/>
  <c r="U407" i="2"/>
  <c r="Q407" i="2"/>
  <c r="L407" i="2"/>
  <c r="F407" i="2"/>
  <c r="U406" i="2"/>
  <c r="Q406" i="2"/>
  <c r="L406" i="2"/>
  <c r="F406" i="2"/>
  <c r="U405" i="2"/>
  <c r="Q405" i="2"/>
  <c r="L405" i="2"/>
  <c r="F405" i="2"/>
  <c r="U404" i="2"/>
  <c r="Q404" i="2"/>
  <c r="L404" i="2"/>
  <c r="F404" i="2"/>
  <c r="U403" i="2"/>
  <c r="Q403" i="2"/>
  <c r="L403" i="2"/>
  <c r="F403" i="2"/>
  <c r="U402" i="2"/>
  <c r="Q402" i="2"/>
  <c r="L402" i="2"/>
  <c r="F402" i="2"/>
  <c r="U401" i="2"/>
  <c r="Q401" i="2"/>
  <c r="L401" i="2"/>
  <c r="F401" i="2"/>
  <c r="U400" i="2"/>
  <c r="Q400" i="2"/>
  <c r="L400" i="2"/>
  <c r="F400" i="2"/>
  <c r="U399" i="2"/>
  <c r="Q399" i="2"/>
  <c r="L399" i="2"/>
  <c r="F399" i="2"/>
  <c r="U398" i="2"/>
  <c r="Q398" i="2"/>
  <c r="L398" i="2"/>
  <c r="F398" i="2"/>
  <c r="U397" i="2"/>
  <c r="Q397" i="2"/>
  <c r="L397" i="2"/>
  <c r="F397" i="2"/>
  <c r="U396" i="2"/>
  <c r="Q396" i="2"/>
  <c r="L396" i="2"/>
  <c r="U395" i="2"/>
  <c r="Q395" i="2"/>
  <c r="L395" i="2"/>
  <c r="F395" i="2"/>
  <c r="U394" i="2"/>
  <c r="Q394" i="2"/>
  <c r="L394" i="2"/>
  <c r="F394" i="2"/>
  <c r="U393" i="2"/>
  <c r="Q393" i="2"/>
  <c r="L393" i="2"/>
  <c r="F393" i="2"/>
  <c r="U391" i="2"/>
  <c r="Q391" i="2"/>
  <c r="L391" i="2"/>
  <c r="F391" i="2"/>
  <c r="U390" i="2"/>
  <c r="Q390" i="2"/>
  <c r="L390" i="2"/>
  <c r="F390" i="2"/>
  <c r="U389" i="2"/>
  <c r="Q389" i="2"/>
  <c r="L389" i="2"/>
  <c r="F389" i="2"/>
  <c r="U388" i="2"/>
  <c r="Q388" i="2"/>
  <c r="L388" i="2"/>
  <c r="F388" i="2"/>
  <c r="U387" i="2"/>
  <c r="Q387" i="2"/>
  <c r="L387" i="2"/>
  <c r="F387" i="2"/>
  <c r="U386" i="2"/>
  <c r="Q386" i="2"/>
  <c r="L386" i="2"/>
  <c r="F386" i="2"/>
  <c r="U385" i="2"/>
  <c r="Q385" i="2"/>
  <c r="L385" i="2"/>
  <c r="F385" i="2"/>
  <c r="U384" i="2"/>
  <c r="Q384" i="2"/>
  <c r="L384" i="2"/>
  <c r="F384" i="2"/>
  <c r="U383" i="2"/>
  <c r="Q383" i="2"/>
  <c r="L383" i="2"/>
  <c r="F383" i="2"/>
  <c r="U382" i="2"/>
  <c r="Q382" i="2"/>
  <c r="L382" i="2"/>
  <c r="F382" i="2"/>
  <c r="F396" i="2" l="1"/>
  <c r="F417" i="2" s="1"/>
  <c r="L417" i="2"/>
  <c r="Q417" i="2"/>
  <c r="U417" i="2"/>
  <c r="C330" i="2"/>
  <c r="L310" i="2"/>
  <c r="D324" i="2"/>
  <c r="C324" i="2"/>
  <c r="C323" i="2"/>
  <c r="C322" i="2"/>
  <c r="L309" i="2"/>
  <c r="C314" i="2"/>
  <c r="E311" i="2"/>
  <c r="D311" i="2"/>
  <c r="C311" i="2"/>
  <c r="E309" i="2"/>
  <c r="C309" i="2"/>
  <c r="D309" i="2"/>
  <c r="L256" i="2"/>
  <c r="C288" i="2"/>
  <c r="C285" i="2"/>
  <c r="C284" i="2"/>
  <c r="D283" i="2"/>
  <c r="C283" i="2"/>
  <c r="C281" i="2"/>
  <c r="C278" i="2"/>
  <c r="D277" i="2"/>
  <c r="E277" i="2"/>
  <c r="C277" i="2"/>
  <c r="C275" i="2"/>
  <c r="C273" i="2"/>
  <c r="T375" i="2"/>
  <c r="P375" i="2"/>
  <c r="K375" i="2"/>
  <c r="J375" i="2"/>
  <c r="I375" i="2"/>
  <c r="E375" i="2"/>
  <c r="D375" i="2"/>
  <c r="C375" i="2"/>
  <c r="U374" i="2"/>
  <c r="Q374" i="2"/>
  <c r="L374" i="2"/>
  <c r="F374" i="2"/>
  <c r="U373" i="2"/>
  <c r="Q373" i="2"/>
  <c r="L373" i="2"/>
  <c r="F373" i="2"/>
  <c r="U372" i="2"/>
  <c r="Q372" i="2"/>
  <c r="L372" i="2"/>
  <c r="F372" i="2"/>
  <c r="U371" i="2"/>
  <c r="Q371" i="2"/>
  <c r="L371" i="2"/>
  <c r="F371" i="2"/>
  <c r="U370" i="2"/>
  <c r="Q370" i="2"/>
  <c r="L370" i="2"/>
  <c r="F370" i="2"/>
  <c r="U369" i="2"/>
  <c r="Q369" i="2"/>
  <c r="L369" i="2"/>
  <c r="F369" i="2"/>
  <c r="U368" i="2"/>
  <c r="Q368" i="2"/>
  <c r="L368" i="2"/>
  <c r="F368" i="2"/>
  <c r="U367" i="2"/>
  <c r="Q367" i="2"/>
  <c r="L367" i="2"/>
  <c r="F367" i="2"/>
  <c r="U366" i="2"/>
  <c r="Q366" i="2"/>
  <c r="L366" i="2"/>
  <c r="F366" i="2"/>
  <c r="U365" i="2"/>
  <c r="Q365" i="2"/>
  <c r="L365" i="2"/>
  <c r="F365" i="2"/>
  <c r="U364" i="2"/>
  <c r="Q364" i="2"/>
  <c r="L364" i="2"/>
  <c r="F364" i="2"/>
  <c r="U363" i="2"/>
  <c r="Q363" i="2"/>
  <c r="L363" i="2"/>
  <c r="F363" i="2"/>
  <c r="U362" i="2"/>
  <c r="Q362" i="2"/>
  <c r="L362" i="2"/>
  <c r="F362" i="2"/>
  <c r="U361" i="2"/>
  <c r="Q361" i="2"/>
  <c r="L361" i="2"/>
  <c r="F361" i="2"/>
  <c r="U360" i="2"/>
  <c r="Q360" i="2"/>
  <c r="L360" i="2"/>
  <c r="F360" i="2"/>
  <c r="U359" i="2"/>
  <c r="Q359" i="2"/>
  <c r="L359" i="2"/>
  <c r="F359" i="2"/>
  <c r="U358" i="2"/>
  <c r="Q358" i="2"/>
  <c r="L358" i="2"/>
  <c r="F358" i="2"/>
  <c r="U357" i="2"/>
  <c r="Q357" i="2"/>
  <c r="L357" i="2"/>
  <c r="F357" i="2"/>
  <c r="U356" i="2"/>
  <c r="Q356" i="2"/>
  <c r="L356" i="2"/>
  <c r="F356" i="2"/>
  <c r="U355" i="2"/>
  <c r="Q355" i="2"/>
  <c r="L355" i="2"/>
  <c r="F355" i="2"/>
  <c r="U354" i="2"/>
  <c r="Q354" i="2"/>
  <c r="L354" i="2"/>
  <c r="F354" i="2"/>
  <c r="U353" i="2"/>
  <c r="Q353" i="2"/>
  <c r="L353" i="2"/>
  <c r="F353" i="2"/>
  <c r="U352" i="2"/>
  <c r="Q352" i="2"/>
  <c r="L352" i="2"/>
  <c r="F352" i="2"/>
  <c r="U351" i="2"/>
  <c r="Q351" i="2"/>
  <c r="L351" i="2"/>
  <c r="F351" i="2"/>
  <c r="U349" i="2"/>
  <c r="Q349" i="2"/>
  <c r="L349" i="2"/>
  <c r="F349" i="2"/>
  <c r="U348" i="2"/>
  <c r="Q348" i="2"/>
  <c r="L348" i="2"/>
  <c r="F348" i="2"/>
  <c r="U347" i="2"/>
  <c r="Q347" i="2"/>
  <c r="L347" i="2"/>
  <c r="F347" i="2"/>
  <c r="U346" i="2"/>
  <c r="Q346" i="2"/>
  <c r="L346" i="2"/>
  <c r="F346" i="2"/>
  <c r="U345" i="2"/>
  <c r="Q345" i="2"/>
  <c r="L345" i="2"/>
  <c r="F345" i="2"/>
  <c r="U344" i="2"/>
  <c r="Q344" i="2"/>
  <c r="L344" i="2"/>
  <c r="F344" i="2"/>
  <c r="U343" i="2"/>
  <c r="Q343" i="2"/>
  <c r="L343" i="2"/>
  <c r="F343" i="2"/>
  <c r="U342" i="2"/>
  <c r="Q342" i="2"/>
  <c r="L342" i="2"/>
  <c r="F342" i="2"/>
  <c r="U341" i="2"/>
  <c r="Q341" i="2"/>
  <c r="L341" i="2"/>
  <c r="F341" i="2"/>
  <c r="U340" i="2"/>
  <c r="Q340" i="2"/>
  <c r="F340" i="2"/>
  <c r="U375" i="2" l="1"/>
  <c r="L375" i="2"/>
  <c r="Q375" i="2"/>
  <c r="F375" i="2"/>
  <c r="T333" i="2"/>
  <c r="P333" i="2"/>
  <c r="K333" i="2"/>
  <c r="J333" i="2"/>
  <c r="I333" i="2"/>
  <c r="U332" i="2"/>
  <c r="Q332" i="2"/>
  <c r="L332" i="2"/>
  <c r="F332" i="2"/>
  <c r="U331" i="2"/>
  <c r="Q331" i="2"/>
  <c r="L331" i="2"/>
  <c r="F331" i="2"/>
  <c r="U330" i="2"/>
  <c r="Q330" i="2"/>
  <c r="L330" i="2"/>
  <c r="F330" i="2"/>
  <c r="U329" i="2"/>
  <c r="Q329" i="2"/>
  <c r="L329" i="2"/>
  <c r="F329" i="2"/>
  <c r="U328" i="2"/>
  <c r="Q328" i="2"/>
  <c r="L328" i="2"/>
  <c r="F328" i="2"/>
  <c r="U327" i="2"/>
  <c r="Q327" i="2"/>
  <c r="L327" i="2"/>
  <c r="F327" i="2"/>
  <c r="U326" i="2"/>
  <c r="Q326" i="2"/>
  <c r="L326" i="2"/>
  <c r="F326" i="2"/>
  <c r="U325" i="2"/>
  <c r="Q325" i="2"/>
  <c r="L325" i="2"/>
  <c r="F325" i="2"/>
  <c r="U324" i="2"/>
  <c r="Q324" i="2"/>
  <c r="L324" i="2"/>
  <c r="F324" i="2"/>
  <c r="U323" i="2"/>
  <c r="Q323" i="2"/>
  <c r="L323" i="2"/>
  <c r="F323" i="2"/>
  <c r="U322" i="2"/>
  <c r="Q322" i="2"/>
  <c r="L322" i="2"/>
  <c r="F322" i="2"/>
  <c r="U321" i="2"/>
  <c r="Q321" i="2"/>
  <c r="L321" i="2"/>
  <c r="F321" i="2"/>
  <c r="U320" i="2"/>
  <c r="Q320" i="2"/>
  <c r="L320" i="2"/>
  <c r="F320" i="2"/>
  <c r="U319" i="2"/>
  <c r="Q319" i="2"/>
  <c r="L319" i="2"/>
  <c r="F319" i="2"/>
  <c r="U318" i="2"/>
  <c r="Q318" i="2"/>
  <c r="L318" i="2"/>
  <c r="F318" i="2"/>
  <c r="U317" i="2"/>
  <c r="Q317" i="2"/>
  <c r="L317" i="2"/>
  <c r="F317" i="2"/>
  <c r="U316" i="2"/>
  <c r="Q316" i="2"/>
  <c r="L316" i="2"/>
  <c r="F316" i="2"/>
  <c r="U315" i="2"/>
  <c r="Q315" i="2"/>
  <c r="L315" i="2"/>
  <c r="F315" i="2"/>
  <c r="U314" i="2"/>
  <c r="Q314" i="2"/>
  <c r="L314" i="2"/>
  <c r="F314" i="2"/>
  <c r="U313" i="2"/>
  <c r="Q313" i="2"/>
  <c r="L313" i="2"/>
  <c r="F313" i="2"/>
  <c r="U312" i="2"/>
  <c r="Q312" i="2"/>
  <c r="L312" i="2"/>
  <c r="F312" i="2"/>
  <c r="U311" i="2"/>
  <c r="Q311" i="2"/>
  <c r="L311" i="2"/>
  <c r="E333" i="2"/>
  <c r="D333" i="2"/>
  <c r="F311" i="2"/>
  <c r="U310" i="2"/>
  <c r="Q310" i="2"/>
  <c r="F310" i="2"/>
  <c r="U309" i="2"/>
  <c r="Q309" i="2"/>
  <c r="F309" i="2"/>
  <c r="U307" i="2"/>
  <c r="Q307" i="2"/>
  <c r="L307" i="2"/>
  <c r="F307" i="2"/>
  <c r="U306" i="2"/>
  <c r="Q306" i="2"/>
  <c r="L306" i="2"/>
  <c r="F306" i="2"/>
  <c r="U305" i="2"/>
  <c r="Q305" i="2"/>
  <c r="L305" i="2"/>
  <c r="F305" i="2"/>
  <c r="U304" i="2"/>
  <c r="Q304" i="2"/>
  <c r="L304" i="2"/>
  <c r="F304" i="2"/>
  <c r="U303" i="2"/>
  <c r="Q303" i="2"/>
  <c r="L303" i="2"/>
  <c r="F303" i="2"/>
  <c r="U302" i="2"/>
  <c r="Q302" i="2"/>
  <c r="L302" i="2"/>
  <c r="F302" i="2"/>
  <c r="U301" i="2"/>
  <c r="Q301" i="2"/>
  <c r="L301" i="2"/>
  <c r="F301" i="2"/>
  <c r="U300" i="2"/>
  <c r="Q300" i="2"/>
  <c r="L300" i="2"/>
  <c r="F300" i="2"/>
  <c r="U299" i="2"/>
  <c r="Q299" i="2"/>
  <c r="L299" i="2"/>
  <c r="F299" i="2"/>
  <c r="U298" i="2"/>
  <c r="Q298" i="2"/>
  <c r="L298" i="2"/>
  <c r="F298" i="2"/>
  <c r="F333" i="2" l="1"/>
  <c r="U333" i="2"/>
  <c r="L333" i="2"/>
  <c r="Q333" i="2"/>
  <c r="C333" i="2"/>
  <c r="L267" i="2"/>
  <c r="F256" i="2"/>
  <c r="C271" i="2"/>
  <c r="C269" i="2"/>
  <c r="D269" i="2"/>
  <c r="E269" i="2"/>
  <c r="C248" i="2"/>
  <c r="D248" i="2"/>
  <c r="C247" i="2"/>
  <c r="D247" i="2"/>
  <c r="D244" i="2"/>
  <c r="C244" i="2"/>
  <c r="C243" i="2"/>
  <c r="C242" i="2"/>
  <c r="E242" i="2"/>
  <c r="L225" i="2"/>
  <c r="L217" i="2"/>
  <c r="L216" i="2"/>
  <c r="L215" i="2"/>
  <c r="C240" i="2" l="1"/>
  <c r="L214" i="2"/>
  <c r="C238" i="2"/>
  <c r="C235" i="2"/>
  <c r="C234" i="2"/>
  <c r="E231" i="2"/>
  <c r="D231" i="2"/>
  <c r="C231" i="2"/>
  <c r="C229" i="2"/>
  <c r="D229" i="2"/>
  <c r="E229" i="2"/>
  <c r="E226" i="2"/>
  <c r="C226" i="2"/>
  <c r="D226" i="2"/>
  <c r="C148" i="2"/>
  <c r="F204" i="2" l="1"/>
  <c r="F203" i="2"/>
  <c r="E202" i="2"/>
  <c r="D202" i="2"/>
  <c r="C202" i="2"/>
  <c r="F225" i="2"/>
  <c r="F202" i="2" l="1"/>
  <c r="F248" i="2"/>
  <c r="D201" i="2"/>
  <c r="C201" i="2"/>
  <c r="F186" i="2"/>
  <c r="F188" i="2"/>
  <c r="F189" i="2"/>
  <c r="F191" i="2"/>
  <c r="F195" i="2"/>
  <c r="F197" i="2"/>
  <c r="F199" i="2"/>
  <c r="F205" i="2"/>
  <c r="F206" i="2" l="1"/>
  <c r="E201" i="2"/>
  <c r="E200" i="2"/>
  <c r="C200" i="2"/>
  <c r="D200" i="2"/>
  <c r="C198" i="2"/>
  <c r="E198" i="2"/>
  <c r="D198" i="2"/>
  <c r="L268" i="2"/>
  <c r="D196" i="2"/>
  <c r="C196" i="2"/>
  <c r="E196" i="2"/>
  <c r="T291" i="2"/>
  <c r="P291" i="2"/>
  <c r="U290" i="2"/>
  <c r="Q290" i="2"/>
  <c r="U289" i="2"/>
  <c r="Q289" i="2"/>
  <c r="U288" i="2"/>
  <c r="Q288" i="2"/>
  <c r="U287" i="2"/>
  <c r="Q287" i="2"/>
  <c r="U286" i="2"/>
  <c r="Q286" i="2"/>
  <c r="U285" i="2"/>
  <c r="Q285" i="2"/>
  <c r="U284" i="2"/>
  <c r="Q284" i="2"/>
  <c r="U283" i="2"/>
  <c r="Q283" i="2"/>
  <c r="U282" i="2"/>
  <c r="Q282" i="2"/>
  <c r="U281" i="2"/>
  <c r="Q281" i="2"/>
  <c r="U280" i="2"/>
  <c r="Q280" i="2"/>
  <c r="U279" i="2"/>
  <c r="Q279" i="2"/>
  <c r="U278" i="2"/>
  <c r="Q278" i="2"/>
  <c r="U277" i="2"/>
  <c r="Q277" i="2"/>
  <c r="U276" i="2"/>
  <c r="Q276" i="2"/>
  <c r="U275" i="2"/>
  <c r="Q275" i="2"/>
  <c r="U274" i="2"/>
  <c r="Q274" i="2"/>
  <c r="U273" i="2"/>
  <c r="Q273" i="2"/>
  <c r="U272" i="2"/>
  <c r="Q272" i="2"/>
  <c r="U271" i="2"/>
  <c r="Q271" i="2"/>
  <c r="U270" i="2"/>
  <c r="Q270" i="2"/>
  <c r="U269" i="2"/>
  <c r="Q269" i="2"/>
  <c r="U268" i="2"/>
  <c r="Q268" i="2"/>
  <c r="U267" i="2"/>
  <c r="Q267" i="2"/>
  <c r="U265" i="2"/>
  <c r="Q265" i="2"/>
  <c r="U264" i="2"/>
  <c r="Q264" i="2"/>
  <c r="U263" i="2"/>
  <c r="Q263" i="2"/>
  <c r="U262" i="2"/>
  <c r="Q262" i="2"/>
  <c r="U261" i="2"/>
  <c r="Q261" i="2"/>
  <c r="U260" i="2"/>
  <c r="Q260" i="2"/>
  <c r="U259" i="2"/>
  <c r="Q259" i="2"/>
  <c r="U258" i="2"/>
  <c r="Q258" i="2"/>
  <c r="U257" i="2"/>
  <c r="Q257" i="2"/>
  <c r="U256" i="2"/>
  <c r="Q256" i="2"/>
  <c r="F25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I291" i="2"/>
  <c r="J291" i="2"/>
  <c r="K291" i="2"/>
  <c r="E291" i="2"/>
  <c r="D291" i="2"/>
  <c r="C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5" i="2"/>
  <c r="F264" i="2"/>
  <c r="F263" i="2"/>
  <c r="F262" i="2"/>
  <c r="F261" i="2"/>
  <c r="F260" i="2"/>
  <c r="F259" i="2"/>
  <c r="F257" i="2"/>
  <c r="L265" i="2"/>
  <c r="L264" i="2"/>
  <c r="L263" i="2"/>
  <c r="L262" i="2"/>
  <c r="L261" i="2"/>
  <c r="L260" i="2"/>
  <c r="L259" i="2"/>
  <c r="L258" i="2"/>
  <c r="L257" i="2"/>
  <c r="F198" i="2" l="1"/>
  <c r="F196" i="2"/>
  <c r="F200" i="2"/>
  <c r="F201" i="2"/>
  <c r="Q291" i="2"/>
  <c r="L291" i="2"/>
  <c r="U291" i="2"/>
  <c r="F291" i="2"/>
  <c r="C194" i="2"/>
  <c r="E194" i="2"/>
  <c r="D194" i="2"/>
  <c r="C193" i="2"/>
  <c r="E193" i="2"/>
  <c r="D193" i="2"/>
  <c r="L186" i="2"/>
  <c r="E192" i="2"/>
  <c r="D192" i="2"/>
  <c r="F194" i="2" l="1"/>
  <c r="F193" i="2"/>
  <c r="F192" i="2"/>
  <c r="C190" i="2"/>
  <c r="E190" i="2"/>
  <c r="D190" i="2"/>
  <c r="C187" i="2"/>
  <c r="D187" i="2"/>
  <c r="E187" i="2"/>
  <c r="E185" i="2"/>
  <c r="E162" i="2"/>
  <c r="C162" i="2"/>
  <c r="T164" i="2"/>
  <c r="F187" i="2" l="1"/>
  <c r="F185" i="2"/>
  <c r="F190" i="2"/>
  <c r="D162" i="2"/>
  <c r="C159" i="2"/>
  <c r="D159" i="2"/>
  <c r="E159" i="2"/>
  <c r="T249" i="2" l="1"/>
  <c r="P249" i="2"/>
  <c r="U248" i="2"/>
  <c r="Q248" i="2"/>
  <c r="U247" i="2"/>
  <c r="Q247" i="2"/>
  <c r="U246" i="2"/>
  <c r="Q246" i="2"/>
  <c r="U245" i="2"/>
  <c r="Q245" i="2"/>
  <c r="U244" i="2"/>
  <c r="Q244" i="2"/>
  <c r="U243" i="2"/>
  <c r="Q243" i="2"/>
  <c r="U242" i="2"/>
  <c r="Q242" i="2"/>
  <c r="U241" i="2"/>
  <c r="Q241" i="2"/>
  <c r="U240" i="2"/>
  <c r="Q240" i="2"/>
  <c r="U239" i="2"/>
  <c r="Q239" i="2"/>
  <c r="U238" i="2"/>
  <c r="Q238" i="2"/>
  <c r="U237" i="2"/>
  <c r="Q237" i="2"/>
  <c r="U236" i="2"/>
  <c r="Q236" i="2"/>
  <c r="U235" i="2"/>
  <c r="Q235" i="2"/>
  <c r="U234" i="2"/>
  <c r="Q234" i="2"/>
  <c r="U233" i="2"/>
  <c r="Q233" i="2"/>
  <c r="U232" i="2"/>
  <c r="Q232" i="2"/>
  <c r="U231" i="2"/>
  <c r="Q231" i="2"/>
  <c r="U230" i="2"/>
  <c r="Q230" i="2"/>
  <c r="U229" i="2"/>
  <c r="Q229" i="2"/>
  <c r="U228" i="2"/>
  <c r="Q228" i="2"/>
  <c r="U227" i="2"/>
  <c r="Q227" i="2"/>
  <c r="U226" i="2"/>
  <c r="Q226" i="2"/>
  <c r="U225" i="2"/>
  <c r="Q225" i="2"/>
  <c r="U223" i="2"/>
  <c r="Q223" i="2"/>
  <c r="U222" i="2"/>
  <c r="Q222" i="2"/>
  <c r="U221" i="2"/>
  <c r="Q221" i="2"/>
  <c r="U220" i="2"/>
  <c r="Q220" i="2"/>
  <c r="U219" i="2"/>
  <c r="Q219" i="2"/>
  <c r="U218" i="2"/>
  <c r="Q218" i="2"/>
  <c r="U217" i="2"/>
  <c r="Q217" i="2"/>
  <c r="U216" i="2"/>
  <c r="Q216" i="2"/>
  <c r="U215" i="2"/>
  <c r="Q215" i="2"/>
  <c r="U214" i="2"/>
  <c r="Q214" i="2"/>
  <c r="K249" i="2"/>
  <c r="J249" i="2"/>
  <c r="I249" i="2"/>
  <c r="E249" i="2"/>
  <c r="D249" i="2"/>
  <c r="C249" i="2"/>
  <c r="L248" i="2"/>
  <c r="L247" i="2"/>
  <c r="F247" i="2"/>
  <c r="L246" i="2"/>
  <c r="F246" i="2"/>
  <c r="L245" i="2"/>
  <c r="F245" i="2"/>
  <c r="L244" i="2"/>
  <c r="F244" i="2"/>
  <c r="L243" i="2"/>
  <c r="F243" i="2"/>
  <c r="L242" i="2"/>
  <c r="F242" i="2"/>
  <c r="L241" i="2"/>
  <c r="F241" i="2"/>
  <c r="L240" i="2"/>
  <c r="F240" i="2"/>
  <c r="L239" i="2"/>
  <c r="F239" i="2"/>
  <c r="L238" i="2"/>
  <c r="F238" i="2"/>
  <c r="L237" i="2"/>
  <c r="F237" i="2"/>
  <c r="L236" i="2"/>
  <c r="F236" i="2"/>
  <c r="L235" i="2"/>
  <c r="F235" i="2"/>
  <c r="L234" i="2"/>
  <c r="F234" i="2"/>
  <c r="L233" i="2"/>
  <c r="F233" i="2"/>
  <c r="L232" i="2"/>
  <c r="F232" i="2"/>
  <c r="L231" i="2"/>
  <c r="F231" i="2"/>
  <c r="L230" i="2"/>
  <c r="F230" i="2"/>
  <c r="L229" i="2"/>
  <c r="F229" i="2"/>
  <c r="L228" i="2"/>
  <c r="F228" i="2"/>
  <c r="L227" i="2"/>
  <c r="F227" i="2"/>
  <c r="L226" i="2"/>
  <c r="F226" i="2"/>
  <c r="L223" i="2"/>
  <c r="F223" i="2"/>
  <c r="L222" i="2"/>
  <c r="F222" i="2"/>
  <c r="L221" i="2"/>
  <c r="F221" i="2"/>
  <c r="L220" i="2"/>
  <c r="F220" i="2"/>
  <c r="L219" i="2"/>
  <c r="F219" i="2"/>
  <c r="L218" i="2"/>
  <c r="F218" i="2"/>
  <c r="F217" i="2"/>
  <c r="F216" i="2"/>
  <c r="F215" i="2"/>
  <c r="F214" i="2"/>
  <c r="L173" i="2"/>
  <c r="Q249" i="2" l="1"/>
  <c r="L249" i="2"/>
  <c r="U249" i="2"/>
  <c r="F249" i="2"/>
  <c r="E156" i="2" l="1"/>
  <c r="D156" i="2"/>
  <c r="E154" i="2" l="1"/>
  <c r="D154" i="2"/>
  <c r="E151" i="2" l="1"/>
  <c r="D151" i="2"/>
  <c r="C151" i="2"/>
  <c r="D150" i="2" l="1"/>
  <c r="D148" i="2"/>
  <c r="E148" i="2"/>
  <c r="C145" i="2"/>
  <c r="D145" i="2"/>
  <c r="E145" i="2"/>
  <c r="F130" i="2"/>
  <c r="F172" i="2" l="1"/>
  <c r="C142" i="2" l="1"/>
  <c r="E142" i="2"/>
  <c r="D142" i="2"/>
  <c r="C122" i="2"/>
  <c r="E122" i="2"/>
  <c r="D122" i="2"/>
  <c r="U141" i="2"/>
  <c r="U103" i="2"/>
  <c r="E118" i="2" l="1"/>
  <c r="D118" i="2"/>
  <c r="C118" i="2"/>
  <c r="L132" i="2"/>
  <c r="U205" i="2"/>
  <c r="U206" i="2"/>
  <c r="T207" i="2"/>
  <c r="P207" i="2"/>
  <c r="K207" i="2"/>
  <c r="J207" i="2"/>
  <c r="I207" i="2"/>
  <c r="E207" i="2"/>
  <c r="D207" i="2"/>
  <c r="C207" i="2"/>
  <c r="Q206" i="2"/>
  <c r="L206" i="2"/>
  <c r="Q205" i="2"/>
  <c r="L205" i="2"/>
  <c r="U204" i="2"/>
  <c r="Q204" i="2"/>
  <c r="L204" i="2"/>
  <c r="U203" i="2"/>
  <c r="Q203" i="2"/>
  <c r="L203" i="2"/>
  <c r="U202" i="2"/>
  <c r="Q202" i="2"/>
  <c r="L202" i="2"/>
  <c r="U201" i="2"/>
  <c r="Q201" i="2"/>
  <c r="L201" i="2"/>
  <c r="U200" i="2"/>
  <c r="Q200" i="2"/>
  <c r="L200" i="2"/>
  <c r="U199" i="2"/>
  <c r="Q199" i="2"/>
  <c r="L199" i="2"/>
  <c r="U198" i="2"/>
  <c r="Q198" i="2"/>
  <c r="L198" i="2"/>
  <c r="U197" i="2"/>
  <c r="Q197" i="2"/>
  <c r="L197" i="2"/>
  <c r="U196" i="2"/>
  <c r="Q196" i="2"/>
  <c r="L196" i="2"/>
  <c r="U195" i="2"/>
  <c r="Q195" i="2"/>
  <c r="L195" i="2"/>
  <c r="U194" i="2"/>
  <c r="Q194" i="2"/>
  <c r="L194" i="2"/>
  <c r="U193" i="2"/>
  <c r="Q193" i="2"/>
  <c r="L193" i="2"/>
  <c r="U192" i="2"/>
  <c r="Q192" i="2"/>
  <c r="L192" i="2"/>
  <c r="U191" i="2"/>
  <c r="Q191" i="2"/>
  <c r="L191" i="2"/>
  <c r="U190" i="2"/>
  <c r="Q190" i="2"/>
  <c r="L190" i="2"/>
  <c r="U189" i="2"/>
  <c r="Q189" i="2"/>
  <c r="L189" i="2"/>
  <c r="U188" i="2"/>
  <c r="Q188" i="2"/>
  <c r="L188" i="2"/>
  <c r="U187" i="2"/>
  <c r="Q187" i="2"/>
  <c r="L187" i="2"/>
  <c r="U186" i="2"/>
  <c r="Q186" i="2"/>
  <c r="U185" i="2"/>
  <c r="Q185" i="2"/>
  <c r="L185" i="2"/>
  <c r="U184" i="2"/>
  <c r="Q184" i="2"/>
  <c r="L184" i="2"/>
  <c r="F184" i="2"/>
  <c r="U183" i="2"/>
  <c r="Q183" i="2"/>
  <c r="L183" i="2"/>
  <c r="F183" i="2"/>
  <c r="U181" i="2"/>
  <c r="Q181" i="2"/>
  <c r="L181" i="2"/>
  <c r="F181" i="2"/>
  <c r="U180" i="2"/>
  <c r="Q180" i="2"/>
  <c r="L180" i="2"/>
  <c r="F180" i="2"/>
  <c r="U179" i="2"/>
  <c r="Q179" i="2"/>
  <c r="L179" i="2"/>
  <c r="F179" i="2"/>
  <c r="U178" i="2"/>
  <c r="Q178" i="2"/>
  <c r="L178" i="2"/>
  <c r="F178" i="2"/>
  <c r="U177" i="2"/>
  <c r="Q177" i="2"/>
  <c r="L177" i="2"/>
  <c r="F177" i="2"/>
  <c r="U176" i="2"/>
  <c r="Q176" i="2"/>
  <c r="L176" i="2"/>
  <c r="F176" i="2"/>
  <c r="U175" i="2"/>
  <c r="Q175" i="2"/>
  <c r="L175" i="2"/>
  <c r="F175" i="2"/>
  <c r="U174" i="2"/>
  <c r="Q174" i="2"/>
  <c r="L174" i="2"/>
  <c r="F174" i="2"/>
  <c r="U173" i="2"/>
  <c r="Q173" i="2"/>
  <c r="F173" i="2"/>
  <c r="U172" i="2"/>
  <c r="Q172" i="2"/>
  <c r="L172" i="2"/>
  <c r="U207" i="2" l="1"/>
  <c r="L207" i="2"/>
  <c r="F207" i="2"/>
  <c r="Q207" i="2"/>
  <c r="C116" i="2"/>
  <c r="D116" i="2"/>
  <c r="E116" i="2"/>
  <c r="C114" i="2"/>
  <c r="E114" i="2"/>
  <c r="D114" i="2"/>
  <c r="C112" i="2"/>
  <c r="D112" i="2"/>
  <c r="E112" i="2"/>
  <c r="E109" i="2"/>
  <c r="C109" i="2"/>
  <c r="D109" i="2"/>
  <c r="E106" i="2"/>
  <c r="D106" i="2"/>
  <c r="C106" i="2"/>
  <c r="C104" i="2" l="1"/>
  <c r="E101" i="2"/>
  <c r="D101" i="2"/>
  <c r="C101" i="2"/>
  <c r="T122" i="2"/>
  <c r="T121" i="2"/>
  <c r="U122" i="2" l="1"/>
  <c r="U121" i="2"/>
  <c r="C78" i="2" l="1"/>
  <c r="C99" i="2"/>
  <c r="E99" i="2" l="1"/>
  <c r="D99" i="2"/>
  <c r="D78" i="2" l="1"/>
  <c r="T165" i="2"/>
  <c r="P165" i="2"/>
  <c r="U164" i="2"/>
  <c r="Q164" i="2"/>
  <c r="U163" i="2"/>
  <c r="Q163" i="2"/>
  <c r="U162" i="2"/>
  <c r="Q162" i="2"/>
  <c r="U161" i="2"/>
  <c r="Q161" i="2"/>
  <c r="U160" i="2"/>
  <c r="Q160" i="2"/>
  <c r="U159" i="2"/>
  <c r="Q159" i="2"/>
  <c r="U158" i="2"/>
  <c r="Q158" i="2"/>
  <c r="U157" i="2"/>
  <c r="Q157" i="2"/>
  <c r="U156" i="2"/>
  <c r="Q156" i="2"/>
  <c r="U155" i="2"/>
  <c r="Q155" i="2"/>
  <c r="U154" i="2"/>
  <c r="Q154" i="2"/>
  <c r="U153" i="2"/>
  <c r="Q153" i="2"/>
  <c r="U152" i="2"/>
  <c r="Q152" i="2"/>
  <c r="U151" i="2"/>
  <c r="Q151" i="2"/>
  <c r="U150" i="2"/>
  <c r="Q150" i="2"/>
  <c r="U149" i="2"/>
  <c r="Q149" i="2"/>
  <c r="U148" i="2"/>
  <c r="Q148" i="2"/>
  <c r="U147" i="2"/>
  <c r="Q147" i="2"/>
  <c r="U146" i="2"/>
  <c r="Q146" i="2"/>
  <c r="U145" i="2"/>
  <c r="Q145" i="2"/>
  <c r="U144" i="2"/>
  <c r="Q144" i="2"/>
  <c r="U143" i="2"/>
  <c r="Q143" i="2"/>
  <c r="U142" i="2"/>
  <c r="Q142" i="2"/>
  <c r="Q141" i="2"/>
  <c r="U139" i="2"/>
  <c r="Q139" i="2"/>
  <c r="U138" i="2"/>
  <c r="Q138" i="2"/>
  <c r="U137" i="2"/>
  <c r="Q137" i="2"/>
  <c r="U136" i="2"/>
  <c r="Q136" i="2"/>
  <c r="U135" i="2"/>
  <c r="Q135" i="2"/>
  <c r="U134" i="2"/>
  <c r="Q134" i="2"/>
  <c r="U133" i="2"/>
  <c r="Q133" i="2"/>
  <c r="U132" i="2"/>
  <c r="Q132" i="2"/>
  <c r="U131" i="2"/>
  <c r="Q131" i="2"/>
  <c r="U130" i="2"/>
  <c r="Q130" i="2"/>
  <c r="K165" i="2"/>
  <c r="J165" i="2"/>
  <c r="I165" i="2"/>
  <c r="E165" i="2"/>
  <c r="D165" i="2"/>
  <c r="C165" i="2"/>
  <c r="L164" i="2"/>
  <c r="F164" i="2"/>
  <c r="L163" i="2"/>
  <c r="F163" i="2"/>
  <c r="L162" i="2"/>
  <c r="F162" i="2"/>
  <c r="L161" i="2"/>
  <c r="F161" i="2"/>
  <c r="L160" i="2"/>
  <c r="F160" i="2"/>
  <c r="L159" i="2"/>
  <c r="F159" i="2"/>
  <c r="L158" i="2"/>
  <c r="F158" i="2"/>
  <c r="L157" i="2"/>
  <c r="F157" i="2"/>
  <c r="L156" i="2"/>
  <c r="F156" i="2"/>
  <c r="L155" i="2"/>
  <c r="F155" i="2"/>
  <c r="L154" i="2"/>
  <c r="F154" i="2"/>
  <c r="L153" i="2"/>
  <c r="F153" i="2"/>
  <c r="L152" i="2"/>
  <c r="F152" i="2"/>
  <c r="L151" i="2"/>
  <c r="F151" i="2"/>
  <c r="L150" i="2"/>
  <c r="F150" i="2"/>
  <c r="L149" i="2"/>
  <c r="F149" i="2"/>
  <c r="L148" i="2"/>
  <c r="F148" i="2"/>
  <c r="L147" i="2"/>
  <c r="F147" i="2"/>
  <c r="L146" i="2"/>
  <c r="F146" i="2"/>
  <c r="L145" i="2"/>
  <c r="F145" i="2"/>
  <c r="L144" i="2"/>
  <c r="F144" i="2"/>
  <c r="L143" i="2"/>
  <c r="F143" i="2"/>
  <c r="L142" i="2"/>
  <c r="F142" i="2"/>
  <c r="L141" i="2"/>
  <c r="F141" i="2"/>
  <c r="L139" i="2"/>
  <c r="F139" i="2"/>
  <c r="L138" i="2"/>
  <c r="F138" i="2"/>
  <c r="L137" i="2"/>
  <c r="F137" i="2"/>
  <c r="L136" i="2"/>
  <c r="F136" i="2"/>
  <c r="L135" i="2"/>
  <c r="F135" i="2"/>
  <c r="L134" i="2"/>
  <c r="F134" i="2"/>
  <c r="L133" i="2"/>
  <c r="F133" i="2"/>
  <c r="F132" i="2"/>
  <c r="L131" i="2"/>
  <c r="F131" i="2"/>
  <c r="L130" i="2"/>
  <c r="F165" i="2" l="1"/>
  <c r="Q165" i="2"/>
  <c r="L165" i="2"/>
  <c r="U165" i="2"/>
  <c r="E78" i="2"/>
  <c r="E76" i="2" l="1"/>
  <c r="D76" i="2"/>
  <c r="C76" i="2"/>
  <c r="C68" i="2" l="1"/>
  <c r="C36" i="2"/>
  <c r="C70" i="2"/>
  <c r="D72" i="2"/>
  <c r="C72" i="2"/>
  <c r="E72" i="2"/>
  <c r="E70" i="2" l="1"/>
  <c r="D70" i="2"/>
  <c r="U60" i="2" l="1"/>
  <c r="D68" i="2"/>
  <c r="E68" i="2"/>
  <c r="D67" i="2"/>
  <c r="C67" i="2"/>
  <c r="E67" i="2"/>
  <c r="D65" i="2"/>
  <c r="C65" i="2"/>
  <c r="E65" i="2"/>
  <c r="C63" i="2"/>
  <c r="E63" i="2"/>
  <c r="D63" i="2"/>
  <c r="D61" i="2"/>
  <c r="C61" i="2"/>
  <c r="E58" i="2" l="1"/>
  <c r="D58" i="2"/>
  <c r="C58" i="2"/>
  <c r="L58" i="2"/>
  <c r="C37" i="2" l="1"/>
  <c r="E37" i="2" l="1"/>
  <c r="D37" i="2"/>
  <c r="D36" i="2" l="1"/>
  <c r="E36" i="2" l="1"/>
  <c r="U21" i="2"/>
  <c r="U38" i="2"/>
  <c r="U80" i="2"/>
  <c r="L80" i="2"/>
  <c r="L38" i="2" l="1"/>
  <c r="L23" i="2" l="1"/>
  <c r="L24" i="2"/>
  <c r="E31" i="2"/>
  <c r="C31" i="2"/>
  <c r="D31" i="2"/>
  <c r="L25" i="2"/>
  <c r="L26" i="2"/>
  <c r="L27" i="2"/>
  <c r="L28" i="2"/>
  <c r="L29" i="2"/>
  <c r="L30" i="2"/>
  <c r="T123" i="2" l="1"/>
  <c r="P123" i="2"/>
  <c r="K123" i="2"/>
  <c r="J123" i="2"/>
  <c r="I123" i="2"/>
  <c r="E123" i="2"/>
  <c r="D123" i="2"/>
  <c r="C123" i="2"/>
  <c r="Q122" i="2"/>
  <c r="L122" i="2"/>
  <c r="F122" i="2"/>
  <c r="Q121" i="2"/>
  <c r="L121" i="2"/>
  <c r="F121" i="2"/>
  <c r="U120" i="2"/>
  <c r="Q120" i="2"/>
  <c r="L120" i="2"/>
  <c r="F120" i="2"/>
  <c r="U119" i="2"/>
  <c r="Q119" i="2"/>
  <c r="L119" i="2"/>
  <c r="F119" i="2"/>
  <c r="U118" i="2"/>
  <c r="Q118" i="2"/>
  <c r="L118" i="2"/>
  <c r="F118" i="2"/>
  <c r="U117" i="2"/>
  <c r="Q117" i="2"/>
  <c r="L117" i="2"/>
  <c r="F117" i="2"/>
  <c r="U116" i="2"/>
  <c r="Q116" i="2"/>
  <c r="L116" i="2"/>
  <c r="F116" i="2"/>
  <c r="U115" i="2"/>
  <c r="Q115" i="2"/>
  <c r="L115" i="2"/>
  <c r="F115" i="2"/>
  <c r="U114" i="2"/>
  <c r="Q114" i="2"/>
  <c r="L114" i="2"/>
  <c r="F114" i="2"/>
  <c r="U113" i="2"/>
  <c r="Q113" i="2"/>
  <c r="L113" i="2"/>
  <c r="F113" i="2"/>
  <c r="U112" i="2"/>
  <c r="Q112" i="2"/>
  <c r="L112" i="2"/>
  <c r="F112" i="2"/>
  <c r="U111" i="2"/>
  <c r="Q111" i="2"/>
  <c r="L111" i="2"/>
  <c r="F111" i="2"/>
  <c r="U110" i="2"/>
  <c r="Q110" i="2"/>
  <c r="L110" i="2"/>
  <c r="F110" i="2"/>
  <c r="U109" i="2"/>
  <c r="Q109" i="2"/>
  <c r="L109" i="2"/>
  <c r="F109" i="2"/>
  <c r="U108" i="2"/>
  <c r="Q108" i="2"/>
  <c r="L108" i="2"/>
  <c r="F108" i="2"/>
  <c r="U107" i="2"/>
  <c r="Q107" i="2"/>
  <c r="L107" i="2"/>
  <c r="F107" i="2"/>
  <c r="U106" i="2"/>
  <c r="Q106" i="2"/>
  <c r="L106" i="2"/>
  <c r="F106" i="2"/>
  <c r="U105" i="2"/>
  <c r="Q105" i="2"/>
  <c r="L105" i="2"/>
  <c r="F105" i="2"/>
  <c r="U104" i="2"/>
  <c r="Q104" i="2"/>
  <c r="L104" i="2"/>
  <c r="F104" i="2"/>
  <c r="Q103" i="2"/>
  <c r="L103" i="2"/>
  <c r="F103" i="2"/>
  <c r="U102" i="2"/>
  <c r="Q102" i="2"/>
  <c r="L102" i="2"/>
  <c r="F102" i="2"/>
  <c r="U101" i="2"/>
  <c r="Q101" i="2"/>
  <c r="L101" i="2"/>
  <c r="F101" i="2"/>
  <c r="U100" i="2"/>
  <c r="Q100" i="2"/>
  <c r="L100" i="2"/>
  <c r="F100" i="2"/>
  <c r="U99" i="2"/>
  <c r="Q99" i="2"/>
  <c r="L99" i="2"/>
  <c r="F99" i="2"/>
  <c r="U97" i="2"/>
  <c r="Q97" i="2"/>
  <c r="L97" i="2"/>
  <c r="F97" i="2"/>
  <c r="U96" i="2"/>
  <c r="Q96" i="2"/>
  <c r="L96" i="2"/>
  <c r="F96" i="2"/>
  <c r="U95" i="2"/>
  <c r="Q95" i="2"/>
  <c r="L95" i="2"/>
  <c r="F95" i="2"/>
  <c r="U94" i="2"/>
  <c r="Q94" i="2"/>
  <c r="L94" i="2"/>
  <c r="F94" i="2"/>
  <c r="U93" i="2"/>
  <c r="Q93" i="2"/>
  <c r="L93" i="2"/>
  <c r="F93" i="2"/>
  <c r="U92" i="2"/>
  <c r="Q92" i="2"/>
  <c r="L92" i="2"/>
  <c r="F92" i="2"/>
  <c r="U91" i="2"/>
  <c r="Q91" i="2"/>
  <c r="L91" i="2"/>
  <c r="F91" i="2"/>
  <c r="U90" i="2"/>
  <c r="Q90" i="2"/>
  <c r="L90" i="2"/>
  <c r="F90" i="2"/>
  <c r="U89" i="2"/>
  <c r="Q89" i="2"/>
  <c r="L89" i="2"/>
  <c r="F89" i="2"/>
  <c r="U88" i="2"/>
  <c r="Q88" i="2"/>
  <c r="L88" i="2"/>
  <c r="F88" i="2"/>
  <c r="U123" i="2" l="1"/>
  <c r="L123" i="2"/>
  <c r="Q123" i="2"/>
  <c r="F123" i="2"/>
  <c r="C30" i="2"/>
  <c r="D30" i="2"/>
  <c r="E30" i="2"/>
  <c r="F31" i="2"/>
  <c r="F32" i="2"/>
  <c r="L20" i="2"/>
  <c r="L21" i="2"/>
  <c r="L37" i="2"/>
  <c r="F30" i="2" l="1"/>
  <c r="H4016" i="1"/>
  <c r="C29" i="2" l="1"/>
  <c r="U37" i="2"/>
  <c r="E29" i="2"/>
  <c r="D29" i="2"/>
  <c r="E28" i="2"/>
  <c r="D28" i="2"/>
  <c r="C28" i="2"/>
  <c r="D27" i="2"/>
  <c r="E27" i="2"/>
  <c r="C3999" i="1"/>
  <c r="D3999" i="1" s="1"/>
  <c r="C3998" i="1"/>
  <c r="D3998" i="1" s="1"/>
  <c r="E26" i="2"/>
  <c r="D26" i="2"/>
  <c r="C3997" i="1"/>
  <c r="D3997" i="1" s="1"/>
  <c r="E25" i="2"/>
  <c r="D25" i="2"/>
  <c r="C3996" i="1"/>
  <c r="E24" i="2"/>
  <c r="D24" i="2"/>
  <c r="C3993" i="1"/>
  <c r="E23" i="2"/>
  <c r="D23" i="2"/>
  <c r="C3973" i="1"/>
  <c r="E22" i="2"/>
  <c r="D22" i="2"/>
  <c r="D21" i="2"/>
  <c r="C3972" i="1"/>
  <c r="C3971" i="1"/>
  <c r="D20" i="2"/>
  <c r="E20" i="2"/>
  <c r="D19" i="2"/>
  <c r="L4017" i="1"/>
  <c r="M4017" i="1" s="1"/>
  <c r="G4017" i="1"/>
  <c r="M4016" i="1"/>
  <c r="D4016" i="1"/>
  <c r="M4015" i="1"/>
  <c r="H4015" i="1"/>
  <c r="D4015" i="1"/>
  <c r="M4014" i="1"/>
  <c r="H4014" i="1"/>
  <c r="D4014" i="1"/>
  <c r="M4013" i="1"/>
  <c r="H4013" i="1"/>
  <c r="D4013" i="1"/>
  <c r="M4012" i="1"/>
  <c r="H4012" i="1"/>
  <c r="D4012" i="1"/>
  <c r="M4011" i="1"/>
  <c r="H4011" i="1"/>
  <c r="D4011" i="1"/>
  <c r="M4010" i="1"/>
  <c r="H4010" i="1"/>
  <c r="D4010" i="1"/>
  <c r="M4009" i="1"/>
  <c r="H4009" i="1"/>
  <c r="D4009" i="1"/>
  <c r="M4008" i="1"/>
  <c r="H4008" i="1"/>
  <c r="D4008" i="1"/>
  <c r="M4007" i="1"/>
  <c r="H4007" i="1"/>
  <c r="D4007" i="1"/>
  <c r="M4006" i="1"/>
  <c r="H4006" i="1"/>
  <c r="D4006" i="1"/>
  <c r="M4005" i="1"/>
  <c r="H4005" i="1"/>
  <c r="D4005" i="1"/>
  <c r="M4004" i="1"/>
  <c r="H4004" i="1"/>
  <c r="D4004" i="1"/>
  <c r="M4003" i="1"/>
  <c r="H4003" i="1"/>
  <c r="D4003" i="1"/>
  <c r="M4002" i="1"/>
  <c r="H4002" i="1"/>
  <c r="D4002" i="1"/>
  <c r="M4001" i="1"/>
  <c r="H4001" i="1"/>
  <c r="D4001" i="1"/>
  <c r="M4000" i="1"/>
  <c r="H4000" i="1"/>
  <c r="D4000" i="1"/>
  <c r="M3999" i="1"/>
  <c r="H3999" i="1"/>
  <c r="M3998" i="1"/>
  <c r="H3998" i="1"/>
  <c r="M3997" i="1"/>
  <c r="H3997" i="1"/>
  <c r="M3996" i="1"/>
  <c r="H3996" i="1"/>
  <c r="M3995" i="1"/>
  <c r="H3995" i="1"/>
  <c r="D3995" i="1"/>
  <c r="M3994" i="1"/>
  <c r="H3994" i="1"/>
  <c r="D3994" i="1"/>
  <c r="M3993" i="1"/>
  <c r="H3993" i="1"/>
  <c r="M3991" i="1"/>
  <c r="H3991" i="1"/>
  <c r="D3991" i="1"/>
  <c r="M3990" i="1"/>
  <c r="H3990" i="1"/>
  <c r="D3990" i="1"/>
  <c r="M3989" i="1"/>
  <c r="H3989" i="1"/>
  <c r="D3989" i="1"/>
  <c r="M3988" i="1"/>
  <c r="H3988" i="1"/>
  <c r="D3988" i="1"/>
  <c r="M3987" i="1"/>
  <c r="H3987" i="1"/>
  <c r="D3987" i="1"/>
  <c r="M3986" i="1"/>
  <c r="H3986" i="1"/>
  <c r="D3986" i="1"/>
  <c r="M3985" i="1"/>
  <c r="H3985" i="1"/>
  <c r="D3985" i="1"/>
  <c r="M3984" i="1"/>
  <c r="H3984" i="1"/>
  <c r="D3984" i="1"/>
  <c r="M3983" i="1"/>
  <c r="H3983" i="1"/>
  <c r="D3983" i="1"/>
  <c r="M3982" i="1"/>
  <c r="H3982" i="1"/>
  <c r="D3982" i="1"/>
  <c r="F29" i="2" l="1"/>
  <c r="C4017" i="1"/>
  <c r="D3996" i="1"/>
  <c r="H4017" i="1"/>
  <c r="D3993" i="1"/>
  <c r="E19" i="2"/>
  <c r="C3970" i="1"/>
  <c r="C3968" i="1"/>
  <c r="E18" i="2"/>
  <c r="D18" i="2"/>
  <c r="C3967" i="1"/>
  <c r="E17" i="2"/>
  <c r="D17" i="2"/>
  <c r="C3966" i="1"/>
  <c r="D15" i="2"/>
  <c r="E15" i="2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C3964" i="1"/>
  <c r="C3963" i="1"/>
  <c r="C3962" i="1"/>
  <c r="C3960" i="1"/>
  <c r="C3959" i="1"/>
  <c r="D4017" i="1" l="1"/>
  <c r="C3958" i="1"/>
  <c r="C3957" i="1" l="1"/>
  <c r="C3953" i="1"/>
  <c r="C3952" i="1"/>
  <c r="L79" i="2"/>
  <c r="C3933" i="1" l="1"/>
  <c r="C3932" i="1"/>
  <c r="H3975" i="1"/>
  <c r="C3931" i="1" l="1"/>
  <c r="J39" i="2"/>
  <c r="I39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15" i="2"/>
  <c r="P14" i="2"/>
  <c r="Q4" i="2"/>
  <c r="Q5" i="2"/>
  <c r="Q6" i="2"/>
  <c r="Q7" i="2"/>
  <c r="Q8" i="2"/>
  <c r="Q9" i="2"/>
  <c r="Q10" i="2"/>
  <c r="Q11" i="2"/>
  <c r="Q12" i="2"/>
  <c r="Q13" i="2"/>
  <c r="Q3" i="2"/>
  <c r="K39" i="2"/>
  <c r="L17" i="2"/>
  <c r="L18" i="2"/>
  <c r="L19" i="2"/>
  <c r="L22" i="2"/>
  <c r="L31" i="2"/>
  <c r="L32" i="2"/>
  <c r="L33" i="2"/>
  <c r="L34" i="2"/>
  <c r="L35" i="2"/>
  <c r="L36" i="2"/>
  <c r="L16" i="2"/>
  <c r="L15" i="2"/>
  <c r="T81" i="2"/>
  <c r="P81" i="2"/>
  <c r="K81" i="2"/>
  <c r="J81" i="2"/>
  <c r="I81" i="2"/>
  <c r="E81" i="2"/>
  <c r="D81" i="2"/>
  <c r="C81" i="2"/>
  <c r="Q80" i="2"/>
  <c r="F80" i="2"/>
  <c r="U79" i="2"/>
  <c r="Q79" i="2"/>
  <c r="F79" i="2"/>
  <c r="U78" i="2"/>
  <c r="Q78" i="2"/>
  <c r="L78" i="2"/>
  <c r="F78" i="2"/>
  <c r="U77" i="2"/>
  <c r="Q77" i="2"/>
  <c r="L77" i="2"/>
  <c r="F77" i="2"/>
  <c r="U76" i="2"/>
  <c r="Q76" i="2"/>
  <c r="L76" i="2"/>
  <c r="F76" i="2"/>
  <c r="U75" i="2"/>
  <c r="Q75" i="2"/>
  <c r="L75" i="2"/>
  <c r="F75" i="2"/>
  <c r="U74" i="2"/>
  <c r="Q74" i="2"/>
  <c r="L74" i="2"/>
  <c r="F74" i="2"/>
  <c r="U73" i="2"/>
  <c r="Q73" i="2"/>
  <c r="L73" i="2"/>
  <c r="F73" i="2"/>
  <c r="U72" i="2"/>
  <c r="Q72" i="2"/>
  <c r="L72" i="2"/>
  <c r="F72" i="2"/>
  <c r="U71" i="2"/>
  <c r="Q71" i="2"/>
  <c r="L71" i="2"/>
  <c r="F71" i="2"/>
  <c r="U70" i="2"/>
  <c r="Q70" i="2"/>
  <c r="L70" i="2"/>
  <c r="F70" i="2"/>
  <c r="U69" i="2"/>
  <c r="Q69" i="2"/>
  <c r="L69" i="2"/>
  <c r="F69" i="2"/>
  <c r="U68" i="2"/>
  <c r="Q68" i="2"/>
  <c r="L68" i="2"/>
  <c r="F68" i="2"/>
  <c r="U67" i="2"/>
  <c r="Q67" i="2"/>
  <c r="L67" i="2"/>
  <c r="F67" i="2"/>
  <c r="U66" i="2"/>
  <c r="Q66" i="2"/>
  <c r="L66" i="2"/>
  <c r="F66" i="2"/>
  <c r="U65" i="2"/>
  <c r="Q65" i="2"/>
  <c r="L65" i="2"/>
  <c r="F65" i="2"/>
  <c r="U64" i="2"/>
  <c r="Q64" i="2"/>
  <c r="L64" i="2"/>
  <c r="F64" i="2"/>
  <c r="U63" i="2"/>
  <c r="Q63" i="2"/>
  <c r="L63" i="2"/>
  <c r="F63" i="2"/>
  <c r="U62" i="2"/>
  <c r="Q62" i="2"/>
  <c r="L62" i="2"/>
  <c r="F62" i="2"/>
  <c r="U61" i="2"/>
  <c r="Q61" i="2"/>
  <c r="L61" i="2"/>
  <c r="F61" i="2"/>
  <c r="Q60" i="2"/>
  <c r="L60" i="2"/>
  <c r="F60" i="2"/>
  <c r="U59" i="2"/>
  <c r="Q59" i="2"/>
  <c r="L59" i="2"/>
  <c r="F59" i="2"/>
  <c r="U58" i="2"/>
  <c r="Q58" i="2"/>
  <c r="F58" i="2"/>
  <c r="U57" i="2"/>
  <c r="Q57" i="2"/>
  <c r="L57" i="2"/>
  <c r="F57" i="2"/>
  <c r="U55" i="2"/>
  <c r="Q55" i="2"/>
  <c r="L55" i="2"/>
  <c r="F55" i="2"/>
  <c r="U54" i="2"/>
  <c r="Q54" i="2"/>
  <c r="L54" i="2"/>
  <c r="F54" i="2"/>
  <c r="U53" i="2"/>
  <c r="Q53" i="2"/>
  <c r="L53" i="2"/>
  <c r="F53" i="2"/>
  <c r="U52" i="2"/>
  <c r="Q52" i="2"/>
  <c r="L52" i="2"/>
  <c r="F52" i="2"/>
  <c r="U51" i="2"/>
  <c r="Q51" i="2"/>
  <c r="L51" i="2"/>
  <c r="F51" i="2"/>
  <c r="U50" i="2"/>
  <c r="Q50" i="2"/>
  <c r="L50" i="2"/>
  <c r="F50" i="2"/>
  <c r="U49" i="2"/>
  <c r="Q49" i="2"/>
  <c r="L49" i="2"/>
  <c r="F49" i="2"/>
  <c r="U48" i="2"/>
  <c r="Q48" i="2"/>
  <c r="L48" i="2"/>
  <c r="F48" i="2"/>
  <c r="U47" i="2"/>
  <c r="Q47" i="2"/>
  <c r="L47" i="2"/>
  <c r="F47" i="2"/>
  <c r="U46" i="2"/>
  <c r="Q46" i="2"/>
  <c r="L46" i="2"/>
  <c r="F46" i="2"/>
  <c r="F3" i="2"/>
  <c r="E14" i="2"/>
  <c r="D14" i="2"/>
  <c r="C14" i="2"/>
  <c r="P39" i="2"/>
  <c r="K14" i="2"/>
  <c r="J14" i="2"/>
  <c r="I14" i="2"/>
  <c r="L13" i="2"/>
  <c r="L12" i="2"/>
  <c r="L11" i="2"/>
  <c r="L10" i="2"/>
  <c r="L9" i="2"/>
  <c r="L8" i="2"/>
  <c r="L7" i="2"/>
  <c r="L6" i="2"/>
  <c r="L5" i="2"/>
  <c r="L4" i="2"/>
  <c r="L3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33" i="2"/>
  <c r="F34" i="2"/>
  <c r="F35" i="2"/>
  <c r="F36" i="2"/>
  <c r="F37" i="2"/>
  <c r="F38" i="2"/>
  <c r="F15" i="2"/>
  <c r="F4" i="2"/>
  <c r="F5" i="2"/>
  <c r="F6" i="2"/>
  <c r="F7" i="2"/>
  <c r="F8" i="2"/>
  <c r="F9" i="2"/>
  <c r="F10" i="2"/>
  <c r="F11" i="2"/>
  <c r="F12" i="2"/>
  <c r="F13" i="2"/>
  <c r="E39" i="2"/>
  <c r="D39" i="2"/>
  <c r="C39" i="2"/>
  <c r="C3928" i="1"/>
  <c r="C3927" i="1"/>
  <c r="C3925" i="1"/>
  <c r="C3923" i="1"/>
  <c r="L3976" i="1"/>
  <c r="M3976" i="1" s="1"/>
  <c r="G3976" i="1"/>
  <c r="D3975" i="1"/>
  <c r="H3974" i="1"/>
  <c r="D3974" i="1"/>
  <c r="H3973" i="1"/>
  <c r="D3973" i="1"/>
  <c r="H3972" i="1"/>
  <c r="D3972" i="1"/>
  <c r="H3971" i="1"/>
  <c r="D3971" i="1"/>
  <c r="H3970" i="1"/>
  <c r="D3970" i="1"/>
  <c r="H3969" i="1"/>
  <c r="D3969" i="1"/>
  <c r="H3968" i="1"/>
  <c r="D3968" i="1"/>
  <c r="H3967" i="1"/>
  <c r="D3967" i="1"/>
  <c r="H3966" i="1"/>
  <c r="D3966" i="1"/>
  <c r="H3965" i="1"/>
  <c r="D3965" i="1"/>
  <c r="H3964" i="1"/>
  <c r="D3964" i="1"/>
  <c r="H3963" i="1"/>
  <c r="D3963" i="1"/>
  <c r="H3962" i="1"/>
  <c r="D3962" i="1"/>
  <c r="H3961" i="1"/>
  <c r="D3961" i="1"/>
  <c r="H3960" i="1"/>
  <c r="D3960" i="1"/>
  <c r="H3959" i="1"/>
  <c r="D3959" i="1"/>
  <c r="H3958" i="1"/>
  <c r="D3958" i="1"/>
  <c r="H3957" i="1"/>
  <c r="D3957" i="1"/>
  <c r="C3976" i="1"/>
  <c r="H3956" i="1"/>
  <c r="D3956" i="1"/>
  <c r="H3955" i="1"/>
  <c r="D3955" i="1"/>
  <c r="M3954" i="1"/>
  <c r="H3954" i="1"/>
  <c r="D3954" i="1"/>
  <c r="M3953" i="1"/>
  <c r="H3953" i="1"/>
  <c r="D3953" i="1"/>
  <c r="M3952" i="1"/>
  <c r="H3952" i="1"/>
  <c r="D3952" i="1"/>
  <c r="M3950" i="1"/>
  <c r="H3950" i="1"/>
  <c r="D3950" i="1"/>
  <c r="M3949" i="1"/>
  <c r="H3949" i="1"/>
  <c r="D3949" i="1"/>
  <c r="M3948" i="1"/>
  <c r="H3948" i="1"/>
  <c r="D3948" i="1"/>
  <c r="M3947" i="1"/>
  <c r="H3947" i="1"/>
  <c r="D3947" i="1"/>
  <c r="M3946" i="1"/>
  <c r="H3946" i="1"/>
  <c r="D3946" i="1"/>
  <c r="M3945" i="1"/>
  <c r="H3945" i="1"/>
  <c r="D3945" i="1"/>
  <c r="M3944" i="1"/>
  <c r="H3944" i="1"/>
  <c r="D3944" i="1"/>
  <c r="M3943" i="1"/>
  <c r="H3943" i="1"/>
  <c r="D3943" i="1"/>
  <c r="M3942" i="1"/>
  <c r="H3942" i="1"/>
  <c r="D3942" i="1"/>
  <c r="M3941" i="1"/>
  <c r="H3941" i="1"/>
  <c r="D3941" i="1"/>
  <c r="C293" i="2" l="1"/>
  <c r="D293" i="2"/>
  <c r="E293" i="2"/>
  <c r="K40" i="2"/>
  <c r="K45" i="2" s="1"/>
  <c r="K56" i="2" s="1"/>
  <c r="K82" i="2" s="1"/>
  <c r="K87" i="2" s="1"/>
  <c r="K98" i="2" s="1"/>
  <c r="K124" i="2" s="1"/>
  <c r="K129" i="2" s="1"/>
  <c r="K140" i="2" s="1"/>
  <c r="K166" i="2" s="1"/>
  <c r="K171" i="2" s="1"/>
  <c r="K182" i="2" s="1"/>
  <c r="K208" i="2" s="1"/>
  <c r="K213" i="2" s="1"/>
  <c r="K224" i="2" s="1"/>
  <c r="K250" i="2" s="1"/>
  <c r="K255" i="2" s="1"/>
  <c r="K266" i="2" s="1"/>
  <c r="K292" i="2" s="1"/>
  <c r="K297" i="2" s="1"/>
  <c r="K308" i="2" s="1"/>
  <c r="K334" i="2" s="1"/>
  <c r="K339" i="2" s="1"/>
  <c r="K350" i="2" s="1"/>
  <c r="K376" i="2" s="1"/>
  <c r="K381" i="2" s="1"/>
  <c r="K392" i="2" s="1"/>
  <c r="K418" i="2" s="1"/>
  <c r="K423" i="2" s="1"/>
  <c r="K434" i="2" s="1"/>
  <c r="K460" i="2" s="1"/>
  <c r="F14" i="2"/>
  <c r="F81" i="2"/>
  <c r="J40" i="2"/>
  <c r="J45" i="2" s="1"/>
  <c r="J56" i="2" s="1"/>
  <c r="J82" i="2" s="1"/>
  <c r="J87" i="2" s="1"/>
  <c r="J98" i="2" s="1"/>
  <c r="J124" i="2" s="1"/>
  <c r="J129" i="2" s="1"/>
  <c r="J140" i="2" s="1"/>
  <c r="J166" i="2" s="1"/>
  <c r="J171" i="2" s="1"/>
  <c r="J182" i="2" s="1"/>
  <c r="J208" i="2" s="1"/>
  <c r="J213" i="2" s="1"/>
  <c r="J224" i="2" s="1"/>
  <c r="J250" i="2" s="1"/>
  <c r="J255" i="2" s="1"/>
  <c r="J266" i="2" s="1"/>
  <c r="J292" i="2" s="1"/>
  <c r="J297" i="2" s="1"/>
  <c r="J308" i="2" s="1"/>
  <c r="J334" i="2" s="1"/>
  <c r="J339" i="2" s="1"/>
  <c r="J350" i="2" s="1"/>
  <c r="J376" i="2" s="1"/>
  <c r="J381" i="2" s="1"/>
  <c r="J392" i="2" s="1"/>
  <c r="J418" i="2" s="1"/>
  <c r="J423" i="2" s="1"/>
  <c r="J434" i="2" s="1"/>
  <c r="J460" i="2" s="1"/>
  <c r="L39" i="2"/>
  <c r="Q14" i="2"/>
  <c r="Q81" i="2"/>
  <c r="U81" i="2"/>
  <c r="L81" i="2"/>
  <c r="P40" i="2"/>
  <c r="P45" i="2" s="1"/>
  <c r="Q39" i="2"/>
  <c r="L14" i="2"/>
  <c r="I40" i="2"/>
  <c r="I45" i="2" s="1"/>
  <c r="I56" i="2" s="1"/>
  <c r="I82" i="2" s="1"/>
  <c r="I87" i="2" s="1"/>
  <c r="C40" i="2"/>
  <c r="C45" i="2" s="1"/>
  <c r="C56" i="2" s="1"/>
  <c r="C82" i="2" s="1"/>
  <c r="C87" i="2" s="1"/>
  <c r="E40" i="2"/>
  <c r="E45" i="2" s="1"/>
  <c r="E56" i="2" s="1"/>
  <c r="E82" i="2" s="1"/>
  <c r="E87" i="2" s="1"/>
  <c r="E98" i="2" s="1"/>
  <c r="E124" i="2" s="1"/>
  <c r="E129" i="2" s="1"/>
  <c r="E140" i="2" s="1"/>
  <c r="E166" i="2" s="1"/>
  <c r="E171" i="2" s="1"/>
  <c r="E182" i="2" s="1"/>
  <c r="E208" i="2" s="1"/>
  <c r="E213" i="2" s="1"/>
  <c r="E224" i="2" s="1"/>
  <c r="E250" i="2" s="1"/>
  <c r="E255" i="2" s="1"/>
  <c r="E266" i="2" s="1"/>
  <c r="E292" i="2" s="1"/>
  <c r="E297" i="2" s="1"/>
  <c r="E308" i="2" s="1"/>
  <c r="E334" i="2" s="1"/>
  <c r="E339" i="2" s="1"/>
  <c r="E350" i="2" s="1"/>
  <c r="E376" i="2" s="1"/>
  <c r="E381" i="2" s="1"/>
  <c r="E392" i="2" s="1"/>
  <c r="E418" i="2" s="1"/>
  <c r="E423" i="2" s="1"/>
  <c r="E434" i="2" s="1"/>
  <c r="E460" i="2" s="1"/>
  <c r="F39" i="2"/>
  <c r="D40" i="2"/>
  <c r="D45" i="2" s="1"/>
  <c r="D3976" i="1"/>
  <c r="H3976" i="1"/>
  <c r="C3922" i="1"/>
  <c r="C3921" i="1"/>
  <c r="D3921" i="1" s="1"/>
  <c r="C3920" i="1"/>
  <c r="D3920" i="1" s="1"/>
  <c r="C3919" i="1"/>
  <c r="D3919" i="1" s="1"/>
  <c r="C3916" i="1"/>
  <c r="D3916" i="1" s="1"/>
  <c r="C3892" i="1"/>
  <c r="D3892" i="1" s="1"/>
  <c r="C3882" i="1"/>
  <c r="D3882" i="1" s="1"/>
  <c r="C3881" i="1"/>
  <c r="D3881" i="1" s="1"/>
  <c r="C3879" i="1"/>
  <c r="D3879" i="1" s="1"/>
  <c r="T39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0" i="2"/>
  <c r="U19" i="2"/>
  <c r="U18" i="2"/>
  <c r="U17" i="2"/>
  <c r="U16" i="2"/>
  <c r="U15" i="2"/>
  <c r="T14" i="2"/>
  <c r="U13" i="2"/>
  <c r="U12" i="2"/>
  <c r="U11" i="2"/>
  <c r="U10" i="2"/>
  <c r="U9" i="2"/>
  <c r="U8" i="2"/>
  <c r="U7" i="2"/>
  <c r="U6" i="2"/>
  <c r="U5" i="2"/>
  <c r="U4" i="2"/>
  <c r="U3" i="2"/>
  <c r="C3877" i="1"/>
  <c r="D3877" i="1" s="1"/>
  <c r="C3875" i="1"/>
  <c r="D3875" i="1" s="1"/>
  <c r="C3874" i="1"/>
  <c r="C3852" i="1"/>
  <c r="D3852" i="1" s="1"/>
  <c r="C3851" i="1"/>
  <c r="L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09" i="1"/>
  <c r="M3908" i="1"/>
  <c r="M3907" i="1"/>
  <c r="M3906" i="1"/>
  <c r="M3905" i="1"/>
  <c r="M3904" i="1"/>
  <c r="M3903" i="1"/>
  <c r="M3902" i="1"/>
  <c r="M3901" i="1"/>
  <c r="M3900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18" i="1"/>
  <c r="D3917" i="1"/>
  <c r="D3915" i="1"/>
  <c r="D3914" i="1"/>
  <c r="D3913" i="1"/>
  <c r="D3912" i="1"/>
  <c r="D3911" i="1"/>
  <c r="D3909" i="1"/>
  <c r="D3908" i="1"/>
  <c r="D3907" i="1"/>
  <c r="D3906" i="1"/>
  <c r="D3905" i="1"/>
  <c r="D3904" i="1"/>
  <c r="D3903" i="1"/>
  <c r="D3902" i="1"/>
  <c r="D3901" i="1"/>
  <c r="D3900" i="1"/>
  <c r="H3890" i="1"/>
  <c r="H3891" i="1"/>
  <c r="G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09" i="1"/>
  <c r="H3908" i="1"/>
  <c r="H3907" i="1"/>
  <c r="H3906" i="1"/>
  <c r="H3905" i="1"/>
  <c r="H3904" i="1"/>
  <c r="H3903" i="1"/>
  <c r="H3902" i="1"/>
  <c r="H3901" i="1"/>
  <c r="H3900" i="1"/>
  <c r="H3889" i="1"/>
  <c r="L3894" i="1"/>
  <c r="G3894" i="1"/>
  <c r="M3893" i="1"/>
  <c r="H3893" i="1"/>
  <c r="D3893" i="1"/>
  <c r="M3892" i="1"/>
  <c r="H3892" i="1"/>
  <c r="M3891" i="1"/>
  <c r="D3891" i="1"/>
  <c r="M3890" i="1"/>
  <c r="D3890" i="1"/>
  <c r="M3889" i="1"/>
  <c r="D3889" i="1"/>
  <c r="M3888" i="1"/>
  <c r="H3888" i="1"/>
  <c r="D3888" i="1"/>
  <c r="M3887" i="1"/>
  <c r="H3887" i="1"/>
  <c r="D3887" i="1"/>
  <c r="M3886" i="1"/>
  <c r="H3886" i="1"/>
  <c r="D3886" i="1"/>
  <c r="M3885" i="1"/>
  <c r="H3885" i="1"/>
  <c r="D3885" i="1"/>
  <c r="M3884" i="1"/>
  <c r="H3884" i="1"/>
  <c r="D3884" i="1"/>
  <c r="M3883" i="1"/>
  <c r="H3883" i="1"/>
  <c r="D3883" i="1"/>
  <c r="M3882" i="1"/>
  <c r="H3882" i="1"/>
  <c r="M3881" i="1"/>
  <c r="H3881" i="1"/>
  <c r="M3880" i="1"/>
  <c r="H3880" i="1"/>
  <c r="D3880" i="1"/>
  <c r="M3879" i="1"/>
  <c r="H3879" i="1"/>
  <c r="M3878" i="1"/>
  <c r="H3878" i="1"/>
  <c r="D3878" i="1"/>
  <c r="M3877" i="1"/>
  <c r="H3877" i="1"/>
  <c r="M3876" i="1"/>
  <c r="H3876" i="1"/>
  <c r="D3876" i="1"/>
  <c r="M3875" i="1"/>
  <c r="H3875" i="1"/>
  <c r="M3874" i="1"/>
  <c r="H3874" i="1"/>
  <c r="M3873" i="1"/>
  <c r="H3873" i="1"/>
  <c r="D3873" i="1"/>
  <c r="M3872" i="1"/>
  <c r="H3872" i="1"/>
  <c r="D3872" i="1"/>
  <c r="M3871" i="1"/>
  <c r="H3871" i="1"/>
  <c r="D3871" i="1"/>
  <c r="M3870" i="1"/>
  <c r="H3870" i="1"/>
  <c r="D3870" i="1"/>
  <c r="M3868" i="1"/>
  <c r="H3868" i="1"/>
  <c r="D3868" i="1"/>
  <c r="M3867" i="1"/>
  <c r="H3867" i="1"/>
  <c r="D3867" i="1"/>
  <c r="M3866" i="1"/>
  <c r="H3866" i="1"/>
  <c r="D3866" i="1"/>
  <c r="M3865" i="1"/>
  <c r="H3865" i="1"/>
  <c r="D3865" i="1"/>
  <c r="M3864" i="1"/>
  <c r="H3864" i="1"/>
  <c r="D3864" i="1"/>
  <c r="M3863" i="1"/>
  <c r="H3863" i="1"/>
  <c r="D3863" i="1"/>
  <c r="M3862" i="1"/>
  <c r="H3862" i="1"/>
  <c r="D3862" i="1"/>
  <c r="M3861" i="1"/>
  <c r="H3861" i="1"/>
  <c r="D3861" i="1"/>
  <c r="M3860" i="1"/>
  <c r="H3860" i="1"/>
  <c r="D3860" i="1"/>
  <c r="M3859" i="1"/>
  <c r="H3859" i="1"/>
  <c r="D3859" i="1"/>
  <c r="H3852" i="1"/>
  <c r="H3851" i="1"/>
  <c r="L3853" i="1"/>
  <c r="G3853" i="1"/>
  <c r="M3852" i="1"/>
  <c r="M3851" i="1"/>
  <c r="M3850" i="1"/>
  <c r="H3850" i="1"/>
  <c r="D3850" i="1"/>
  <c r="M3849" i="1"/>
  <c r="H3849" i="1"/>
  <c r="D3849" i="1"/>
  <c r="M3848" i="1"/>
  <c r="H3848" i="1"/>
  <c r="D3848" i="1"/>
  <c r="M3847" i="1"/>
  <c r="H3847" i="1"/>
  <c r="D3847" i="1"/>
  <c r="M3846" i="1"/>
  <c r="H3846" i="1"/>
  <c r="D3846" i="1"/>
  <c r="M3845" i="1"/>
  <c r="H3845" i="1"/>
  <c r="D3845" i="1"/>
  <c r="M3844" i="1"/>
  <c r="H3844" i="1"/>
  <c r="D3844" i="1"/>
  <c r="M3843" i="1"/>
  <c r="H3843" i="1"/>
  <c r="D3843" i="1"/>
  <c r="M3842" i="1"/>
  <c r="H3842" i="1"/>
  <c r="D3842" i="1"/>
  <c r="M3841" i="1"/>
  <c r="H3841" i="1"/>
  <c r="D3841" i="1"/>
  <c r="M3840" i="1"/>
  <c r="H3840" i="1"/>
  <c r="D3840" i="1"/>
  <c r="M3839" i="1"/>
  <c r="H3839" i="1"/>
  <c r="D3839" i="1"/>
  <c r="M3838" i="1"/>
  <c r="H3838" i="1"/>
  <c r="D3838" i="1"/>
  <c r="M3837" i="1"/>
  <c r="H3837" i="1"/>
  <c r="D3837" i="1"/>
  <c r="M3836" i="1"/>
  <c r="H3836" i="1"/>
  <c r="D3836" i="1"/>
  <c r="M3835" i="1"/>
  <c r="H3835" i="1"/>
  <c r="D3835" i="1"/>
  <c r="M3834" i="1"/>
  <c r="H3834" i="1"/>
  <c r="D3834" i="1"/>
  <c r="M3833" i="1"/>
  <c r="H3833" i="1"/>
  <c r="D3833" i="1"/>
  <c r="M3832" i="1"/>
  <c r="H3832" i="1"/>
  <c r="D3832" i="1"/>
  <c r="M3831" i="1"/>
  <c r="H3831" i="1"/>
  <c r="D3831" i="1"/>
  <c r="M3830" i="1"/>
  <c r="H3830" i="1"/>
  <c r="D3830" i="1"/>
  <c r="M3829" i="1"/>
  <c r="H3829" i="1"/>
  <c r="D3829" i="1"/>
  <c r="M3827" i="1"/>
  <c r="H3827" i="1"/>
  <c r="D3827" i="1"/>
  <c r="M3826" i="1"/>
  <c r="H3826" i="1"/>
  <c r="D3826" i="1"/>
  <c r="M3825" i="1"/>
  <c r="H3825" i="1"/>
  <c r="D3825" i="1"/>
  <c r="M3824" i="1"/>
  <c r="H3824" i="1"/>
  <c r="D3824" i="1"/>
  <c r="M3823" i="1"/>
  <c r="H3823" i="1"/>
  <c r="D3823" i="1"/>
  <c r="M3822" i="1"/>
  <c r="H3822" i="1"/>
  <c r="D3822" i="1"/>
  <c r="M3821" i="1"/>
  <c r="H3821" i="1"/>
  <c r="D3821" i="1"/>
  <c r="M3820" i="1"/>
  <c r="H3820" i="1"/>
  <c r="D3820" i="1"/>
  <c r="M3819" i="1"/>
  <c r="H3819" i="1"/>
  <c r="D3819" i="1"/>
  <c r="M3818" i="1"/>
  <c r="H3818" i="1"/>
  <c r="D3818" i="1"/>
  <c r="L3812" i="1"/>
  <c r="G3812" i="1"/>
  <c r="C3812" i="1"/>
  <c r="M3811" i="1"/>
  <c r="H3811" i="1"/>
  <c r="D3811" i="1"/>
  <c r="M3810" i="1"/>
  <c r="H3810" i="1"/>
  <c r="D3810" i="1"/>
  <c r="M3809" i="1"/>
  <c r="H3809" i="1"/>
  <c r="D3809" i="1"/>
  <c r="M3808" i="1"/>
  <c r="H3808" i="1"/>
  <c r="D3808" i="1"/>
  <c r="M3807" i="1"/>
  <c r="H3807" i="1"/>
  <c r="D3807" i="1"/>
  <c r="M3806" i="1"/>
  <c r="H3806" i="1"/>
  <c r="D3806" i="1"/>
  <c r="M3805" i="1"/>
  <c r="H3805" i="1"/>
  <c r="D3805" i="1"/>
  <c r="M3804" i="1"/>
  <c r="H3804" i="1"/>
  <c r="D3804" i="1"/>
  <c r="M3803" i="1"/>
  <c r="H3803" i="1"/>
  <c r="D3803" i="1"/>
  <c r="M3802" i="1"/>
  <c r="H3802" i="1"/>
  <c r="D3802" i="1"/>
  <c r="M3801" i="1"/>
  <c r="H3801" i="1"/>
  <c r="D3801" i="1"/>
  <c r="M3800" i="1"/>
  <c r="H3800" i="1"/>
  <c r="D3800" i="1"/>
  <c r="M3799" i="1"/>
  <c r="H3799" i="1"/>
  <c r="D3799" i="1"/>
  <c r="M3798" i="1"/>
  <c r="H3798" i="1"/>
  <c r="D3798" i="1"/>
  <c r="M3797" i="1"/>
  <c r="H3797" i="1"/>
  <c r="D3797" i="1"/>
  <c r="M3796" i="1"/>
  <c r="H3796" i="1"/>
  <c r="D3796" i="1"/>
  <c r="M3795" i="1"/>
  <c r="H3795" i="1"/>
  <c r="D3795" i="1"/>
  <c r="M3794" i="1"/>
  <c r="H3794" i="1"/>
  <c r="D3794" i="1"/>
  <c r="M3793" i="1"/>
  <c r="H3793" i="1"/>
  <c r="D3793" i="1"/>
  <c r="M3792" i="1"/>
  <c r="H3792" i="1"/>
  <c r="D3792" i="1"/>
  <c r="M3791" i="1"/>
  <c r="H3791" i="1"/>
  <c r="D3791" i="1"/>
  <c r="M3790" i="1"/>
  <c r="H3790" i="1"/>
  <c r="D3790" i="1"/>
  <c r="M3789" i="1"/>
  <c r="H3789" i="1"/>
  <c r="D3789" i="1"/>
  <c r="M3788" i="1"/>
  <c r="H3788" i="1"/>
  <c r="D3788" i="1"/>
  <c r="M3786" i="1"/>
  <c r="H3786" i="1"/>
  <c r="D3786" i="1"/>
  <c r="M3785" i="1"/>
  <c r="H3785" i="1"/>
  <c r="D3785" i="1"/>
  <c r="M3784" i="1"/>
  <c r="H3784" i="1"/>
  <c r="D3784" i="1"/>
  <c r="M3783" i="1"/>
  <c r="H3783" i="1"/>
  <c r="D3783" i="1"/>
  <c r="M3782" i="1"/>
  <c r="H3782" i="1"/>
  <c r="D3782" i="1"/>
  <c r="M3781" i="1"/>
  <c r="H3781" i="1"/>
  <c r="D3781" i="1"/>
  <c r="M3780" i="1"/>
  <c r="H3780" i="1"/>
  <c r="D3780" i="1"/>
  <c r="M3779" i="1"/>
  <c r="H3779" i="1"/>
  <c r="D3779" i="1"/>
  <c r="M3778" i="1"/>
  <c r="H3778" i="1"/>
  <c r="D3778" i="1"/>
  <c r="M3777" i="1"/>
  <c r="H3777" i="1"/>
  <c r="D3777" i="1"/>
  <c r="H3697" i="1"/>
  <c r="H3737" i="1"/>
  <c r="H3728" i="1"/>
  <c r="H3729" i="1"/>
  <c r="H3770" i="1"/>
  <c r="H3662" i="1"/>
  <c r="D3672" i="1"/>
  <c r="D3673" i="1"/>
  <c r="D3706" i="1"/>
  <c r="D3707" i="1"/>
  <c r="D3618" i="1"/>
  <c r="D3619" i="1"/>
  <c r="H3696" i="1"/>
  <c r="H3660" i="1"/>
  <c r="H3687" i="1"/>
  <c r="H3698" i="1"/>
  <c r="H3688" i="1"/>
  <c r="H3686" i="1"/>
  <c r="H3647" i="1"/>
  <c r="H3646" i="1"/>
  <c r="M3696" i="1"/>
  <c r="M3646" i="1"/>
  <c r="M3647" i="1"/>
  <c r="M3686" i="1"/>
  <c r="M3729" i="1"/>
  <c r="H3657" i="1"/>
  <c r="G3771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5" i="1"/>
  <c r="H3744" i="1"/>
  <c r="H3743" i="1"/>
  <c r="H3742" i="1"/>
  <c r="H3741" i="1"/>
  <c r="H3740" i="1"/>
  <c r="H3739" i="1"/>
  <c r="H3738" i="1"/>
  <c r="H3736" i="1"/>
  <c r="G3730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4" i="1"/>
  <c r="H3703" i="1"/>
  <c r="H3702" i="1"/>
  <c r="H3701" i="1"/>
  <c r="H3700" i="1"/>
  <c r="H3699" i="1"/>
  <c r="H3695" i="1"/>
  <c r="M3665" i="1"/>
  <c r="M3655" i="1"/>
  <c r="M3645" i="1"/>
  <c r="G3689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3" i="1"/>
  <c r="H3661" i="1"/>
  <c r="H3659" i="1"/>
  <c r="H3658" i="1"/>
  <c r="H3656" i="1"/>
  <c r="H3655" i="1"/>
  <c r="H3654" i="1"/>
  <c r="G3648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2" i="1"/>
  <c r="H3621" i="1"/>
  <c r="H3620" i="1"/>
  <c r="H3619" i="1"/>
  <c r="H3618" i="1"/>
  <c r="H3617" i="1"/>
  <c r="H3616" i="1"/>
  <c r="H3615" i="1"/>
  <c r="H3614" i="1"/>
  <c r="H3613" i="1"/>
  <c r="H3612" i="1"/>
  <c r="L3771" i="1"/>
  <c r="C3771" i="1"/>
  <c r="M3770" i="1"/>
  <c r="D3770" i="1"/>
  <c r="M3769" i="1"/>
  <c r="D3769" i="1"/>
  <c r="M3768" i="1"/>
  <c r="D3768" i="1"/>
  <c r="M3767" i="1"/>
  <c r="D3767" i="1"/>
  <c r="M3766" i="1"/>
  <c r="D3766" i="1"/>
  <c r="M3765" i="1"/>
  <c r="D3765" i="1"/>
  <c r="M3764" i="1"/>
  <c r="D3764" i="1"/>
  <c r="M3763" i="1"/>
  <c r="D3763" i="1"/>
  <c r="M3762" i="1"/>
  <c r="D3762" i="1"/>
  <c r="M3761" i="1"/>
  <c r="D3761" i="1"/>
  <c r="M3760" i="1"/>
  <c r="D3760" i="1"/>
  <c r="M3759" i="1"/>
  <c r="D3759" i="1"/>
  <c r="M3758" i="1"/>
  <c r="D3758" i="1"/>
  <c r="M3757" i="1"/>
  <c r="D3757" i="1"/>
  <c r="M3756" i="1"/>
  <c r="D3756" i="1"/>
  <c r="M3755" i="1"/>
  <c r="D3755" i="1"/>
  <c r="M3754" i="1"/>
  <c r="D3754" i="1"/>
  <c r="M3753" i="1"/>
  <c r="D3753" i="1"/>
  <c r="M3752" i="1"/>
  <c r="D3752" i="1"/>
  <c r="M3751" i="1"/>
  <c r="D3751" i="1"/>
  <c r="M3750" i="1"/>
  <c r="D3750" i="1"/>
  <c r="M3749" i="1"/>
  <c r="D3749" i="1"/>
  <c r="M3748" i="1"/>
  <c r="D3748" i="1"/>
  <c r="M3747" i="1"/>
  <c r="D3747" i="1"/>
  <c r="M3745" i="1"/>
  <c r="D3745" i="1"/>
  <c r="M3744" i="1"/>
  <c r="D3744" i="1"/>
  <c r="M3743" i="1"/>
  <c r="D3743" i="1"/>
  <c r="M3742" i="1"/>
  <c r="D3742" i="1"/>
  <c r="M3741" i="1"/>
  <c r="D3741" i="1"/>
  <c r="M3740" i="1"/>
  <c r="D3740" i="1"/>
  <c r="M3739" i="1"/>
  <c r="D3739" i="1"/>
  <c r="M3738" i="1"/>
  <c r="D3738" i="1"/>
  <c r="M3737" i="1"/>
  <c r="D3737" i="1"/>
  <c r="M3736" i="1"/>
  <c r="D3736" i="1"/>
  <c r="L3730" i="1"/>
  <c r="C3730" i="1"/>
  <c r="D3729" i="1"/>
  <c r="M3728" i="1"/>
  <c r="D3728" i="1"/>
  <c r="M3727" i="1"/>
  <c r="D3727" i="1"/>
  <c r="M3726" i="1"/>
  <c r="D3726" i="1"/>
  <c r="M3725" i="1"/>
  <c r="D3725" i="1"/>
  <c r="M3724" i="1"/>
  <c r="D3724" i="1"/>
  <c r="M3723" i="1"/>
  <c r="D3723" i="1"/>
  <c r="M3722" i="1"/>
  <c r="D3722" i="1"/>
  <c r="M3721" i="1"/>
  <c r="D3721" i="1"/>
  <c r="M3720" i="1"/>
  <c r="D3720" i="1"/>
  <c r="M3719" i="1"/>
  <c r="D3719" i="1"/>
  <c r="M3718" i="1"/>
  <c r="D3718" i="1"/>
  <c r="M3717" i="1"/>
  <c r="D3717" i="1"/>
  <c r="M3716" i="1"/>
  <c r="D3716" i="1"/>
  <c r="M3715" i="1"/>
  <c r="D3715" i="1"/>
  <c r="M3714" i="1"/>
  <c r="D3714" i="1"/>
  <c r="M3713" i="1"/>
  <c r="D3713" i="1"/>
  <c r="M3712" i="1"/>
  <c r="D3712" i="1"/>
  <c r="M3711" i="1"/>
  <c r="D3711" i="1"/>
  <c r="M3710" i="1"/>
  <c r="D3710" i="1"/>
  <c r="M3709" i="1"/>
  <c r="D3709" i="1"/>
  <c r="M3708" i="1"/>
  <c r="D3708" i="1"/>
  <c r="M3707" i="1"/>
  <c r="M3706" i="1"/>
  <c r="M3704" i="1"/>
  <c r="D3704" i="1"/>
  <c r="M3703" i="1"/>
  <c r="D3703" i="1"/>
  <c r="M3702" i="1"/>
  <c r="D3702" i="1"/>
  <c r="M3701" i="1"/>
  <c r="D3701" i="1"/>
  <c r="M3700" i="1"/>
  <c r="D3700" i="1"/>
  <c r="M3699" i="1"/>
  <c r="D3699" i="1"/>
  <c r="M3698" i="1"/>
  <c r="D3698" i="1"/>
  <c r="M3697" i="1"/>
  <c r="D3697" i="1"/>
  <c r="D3696" i="1"/>
  <c r="M3695" i="1"/>
  <c r="D3695" i="1"/>
  <c r="L3689" i="1"/>
  <c r="C3689" i="1"/>
  <c r="M3688" i="1"/>
  <c r="D3688" i="1"/>
  <c r="M3687" i="1"/>
  <c r="D3687" i="1"/>
  <c r="D3686" i="1"/>
  <c r="M3685" i="1"/>
  <c r="D3685" i="1"/>
  <c r="M3684" i="1"/>
  <c r="D3684" i="1"/>
  <c r="M3683" i="1"/>
  <c r="D3683" i="1"/>
  <c r="M3682" i="1"/>
  <c r="D3682" i="1"/>
  <c r="M3681" i="1"/>
  <c r="D3681" i="1"/>
  <c r="M3680" i="1"/>
  <c r="D3680" i="1"/>
  <c r="M3679" i="1"/>
  <c r="D3679" i="1"/>
  <c r="M3678" i="1"/>
  <c r="D3678" i="1"/>
  <c r="M3677" i="1"/>
  <c r="D3677" i="1"/>
  <c r="M3676" i="1"/>
  <c r="D3676" i="1"/>
  <c r="M3675" i="1"/>
  <c r="D3675" i="1"/>
  <c r="M3674" i="1"/>
  <c r="D3674" i="1"/>
  <c r="M3673" i="1"/>
  <c r="M3672" i="1"/>
  <c r="M3671" i="1"/>
  <c r="D3671" i="1"/>
  <c r="M3670" i="1"/>
  <c r="D3670" i="1"/>
  <c r="M3669" i="1"/>
  <c r="D3669" i="1"/>
  <c r="M3668" i="1"/>
  <c r="D3668" i="1"/>
  <c r="M3667" i="1"/>
  <c r="D3667" i="1"/>
  <c r="M3666" i="1"/>
  <c r="M3663" i="1"/>
  <c r="D3663" i="1"/>
  <c r="M3662" i="1"/>
  <c r="D3662" i="1"/>
  <c r="M3661" i="1"/>
  <c r="D3661" i="1"/>
  <c r="M3660" i="1"/>
  <c r="D3660" i="1"/>
  <c r="M3659" i="1"/>
  <c r="D3659" i="1"/>
  <c r="M3658" i="1"/>
  <c r="D3658" i="1"/>
  <c r="M3657" i="1"/>
  <c r="D3657" i="1"/>
  <c r="M3656" i="1"/>
  <c r="D3656" i="1"/>
  <c r="D3655" i="1"/>
  <c r="M3654" i="1"/>
  <c r="D3654" i="1"/>
  <c r="L3648" i="1"/>
  <c r="C3648" i="1"/>
  <c r="D3647" i="1"/>
  <c r="D3646" i="1"/>
  <c r="D3645" i="1"/>
  <c r="M3644" i="1"/>
  <c r="D3644" i="1"/>
  <c r="M3643" i="1"/>
  <c r="D3643" i="1"/>
  <c r="M3642" i="1"/>
  <c r="D3642" i="1"/>
  <c r="M3641" i="1"/>
  <c r="D3641" i="1"/>
  <c r="M3640" i="1"/>
  <c r="D3640" i="1"/>
  <c r="M3639" i="1"/>
  <c r="D3639" i="1"/>
  <c r="M3638" i="1"/>
  <c r="D3638" i="1"/>
  <c r="M3637" i="1"/>
  <c r="D3637" i="1"/>
  <c r="M3636" i="1"/>
  <c r="D3636" i="1"/>
  <c r="M3635" i="1"/>
  <c r="D3635" i="1"/>
  <c r="M3634" i="1"/>
  <c r="D3634" i="1"/>
  <c r="M3633" i="1"/>
  <c r="D3633" i="1"/>
  <c r="M3632" i="1"/>
  <c r="D3632" i="1"/>
  <c r="M3631" i="1"/>
  <c r="D3631" i="1"/>
  <c r="M3630" i="1"/>
  <c r="D3630" i="1"/>
  <c r="M3629" i="1"/>
  <c r="D3629" i="1"/>
  <c r="M3628" i="1"/>
  <c r="D3628" i="1"/>
  <c r="M3627" i="1"/>
  <c r="D3627" i="1"/>
  <c r="M3626" i="1"/>
  <c r="D3626" i="1"/>
  <c r="M3625" i="1"/>
  <c r="D3625" i="1"/>
  <c r="M3624" i="1"/>
  <c r="D3624" i="1"/>
  <c r="M3622" i="1"/>
  <c r="D3622" i="1"/>
  <c r="M3621" i="1"/>
  <c r="D3621" i="1"/>
  <c r="M3620" i="1"/>
  <c r="D3620" i="1"/>
  <c r="M3619" i="1"/>
  <c r="M3618" i="1"/>
  <c r="M3617" i="1"/>
  <c r="D3617" i="1"/>
  <c r="M3616" i="1"/>
  <c r="D3616" i="1"/>
  <c r="M3615" i="1"/>
  <c r="D3615" i="1"/>
  <c r="M3614" i="1"/>
  <c r="D3614" i="1"/>
  <c r="M3613" i="1"/>
  <c r="D3613" i="1"/>
  <c r="M3542" i="1"/>
  <c r="M3540" i="1"/>
  <c r="M3539" i="1"/>
  <c r="M3538" i="1"/>
  <c r="M3537" i="1"/>
  <c r="M3536" i="1"/>
  <c r="M3535" i="1"/>
  <c r="M3534" i="1"/>
  <c r="M3533" i="1"/>
  <c r="M3532" i="1"/>
  <c r="M3531" i="1"/>
  <c r="M3565" i="1"/>
  <c r="M3564" i="1"/>
  <c r="M3563" i="1"/>
  <c r="L3607" i="1"/>
  <c r="C3607" i="1"/>
  <c r="M3606" i="1"/>
  <c r="D3606" i="1"/>
  <c r="M3605" i="1"/>
  <c r="D3605" i="1"/>
  <c r="M3604" i="1"/>
  <c r="D3604" i="1"/>
  <c r="M3603" i="1"/>
  <c r="D3603" i="1"/>
  <c r="M3602" i="1"/>
  <c r="D3602" i="1"/>
  <c r="M3601" i="1"/>
  <c r="D3601" i="1"/>
  <c r="M3600" i="1"/>
  <c r="D3600" i="1"/>
  <c r="M3599" i="1"/>
  <c r="D3599" i="1"/>
  <c r="M3598" i="1"/>
  <c r="D3598" i="1"/>
  <c r="M3597" i="1"/>
  <c r="D3597" i="1"/>
  <c r="M3596" i="1"/>
  <c r="D3596" i="1"/>
  <c r="M3595" i="1"/>
  <c r="D3595" i="1"/>
  <c r="M3594" i="1"/>
  <c r="D3594" i="1"/>
  <c r="M3593" i="1"/>
  <c r="D3593" i="1"/>
  <c r="M3592" i="1"/>
  <c r="D3592" i="1"/>
  <c r="M3591" i="1"/>
  <c r="D3591" i="1"/>
  <c r="M3590" i="1"/>
  <c r="D3590" i="1"/>
  <c r="M3589" i="1"/>
  <c r="D3589" i="1"/>
  <c r="M3588" i="1"/>
  <c r="D3588" i="1"/>
  <c r="M3587" i="1"/>
  <c r="D3587" i="1"/>
  <c r="M3586" i="1"/>
  <c r="D3586" i="1"/>
  <c r="M3585" i="1"/>
  <c r="D3585" i="1"/>
  <c r="M3584" i="1"/>
  <c r="D3584" i="1"/>
  <c r="M3583" i="1"/>
  <c r="D3583" i="1"/>
  <c r="M3581" i="1"/>
  <c r="D3581" i="1"/>
  <c r="M3580" i="1"/>
  <c r="D3580" i="1"/>
  <c r="M3579" i="1"/>
  <c r="D3579" i="1"/>
  <c r="M3578" i="1"/>
  <c r="D3578" i="1"/>
  <c r="M3577" i="1"/>
  <c r="D3577" i="1"/>
  <c r="M3576" i="1"/>
  <c r="D3576" i="1"/>
  <c r="M3575" i="1"/>
  <c r="D3575" i="1"/>
  <c r="M3574" i="1"/>
  <c r="D3574" i="1"/>
  <c r="M3573" i="1"/>
  <c r="D3573" i="1"/>
  <c r="M3572" i="1"/>
  <c r="D3572" i="1"/>
  <c r="L3566" i="1"/>
  <c r="C3566" i="1"/>
  <c r="D3565" i="1"/>
  <c r="D3564" i="1"/>
  <c r="D3563" i="1"/>
  <c r="M3562" i="1"/>
  <c r="D3562" i="1"/>
  <c r="M3561" i="1"/>
  <c r="D3561" i="1"/>
  <c r="M3560" i="1"/>
  <c r="D3560" i="1"/>
  <c r="M3559" i="1"/>
  <c r="D3559" i="1"/>
  <c r="M3558" i="1"/>
  <c r="D3558" i="1"/>
  <c r="M3557" i="1"/>
  <c r="D3557" i="1"/>
  <c r="M3556" i="1"/>
  <c r="D3556" i="1"/>
  <c r="M3555" i="1"/>
  <c r="D3555" i="1"/>
  <c r="M3554" i="1"/>
  <c r="D3554" i="1"/>
  <c r="M3553" i="1"/>
  <c r="D3553" i="1"/>
  <c r="M3552" i="1"/>
  <c r="D3552" i="1"/>
  <c r="M3551" i="1"/>
  <c r="D3551" i="1"/>
  <c r="M3550" i="1"/>
  <c r="D3550" i="1"/>
  <c r="M3549" i="1"/>
  <c r="D3549" i="1"/>
  <c r="M3548" i="1"/>
  <c r="D3548" i="1"/>
  <c r="M3547" i="1"/>
  <c r="D3547" i="1"/>
  <c r="M3546" i="1"/>
  <c r="D3546" i="1"/>
  <c r="M3545" i="1"/>
  <c r="D3545" i="1"/>
  <c r="M3544" i="1"/>
  <c r="D3544" i="1"/>
  <c r="M3543" i="1"/>
  <c r="D3543" i="1"/>
  <c r="D3542" i="1"/>
  <c r="D3540" i="1"/>
  <c r="D3539" i="1"/>
  <c r="D3538" i="1"/>
  <c r="D3537" i="1"/>
  <c r="D3536" i="1"/>
  <c r="D3535" i="1"/>
  <c r="D3534" i="1"/>
  <c r="D3533" i="1"/>
  <c r="D3532" i="1"/>
  <c r="D3531" i="1"/>
  <c r="M3497" i="1"/>
  <c r="L3525" i="1"/>
  <c r="C3525" i="1"/>
  <c r="M3524" i="1"/>
  <c r="D3524" i="1"/>
  <c r="M3523" i="1"/>
  <c r="D3523" i="1"/>
  <c r="M3522" i="1"/>
  <c r="D3522" i="1"/>
  <c r="M3521" i="1"/>
  <c r="D3521" i="1"/>
  <c r="M3520" i="1"/>
  <c r="D3520" i="1"/>
  <c r="M3519" i="1"/>
  <c r="D3519" i="1"/>
  <c r="M3518" i="1"/>
  <c r="D3518" i="1"/>
  <c r="M3517" i="1"/>
  <c r="D3517" i="1"/>
  <c r="M3516" i="1"/>
  <c r="D3516" i="1"/>
  <c r="M3515" i="1"/>
  <c r="D3515" i="1"/>
  <c r="M3514" i="1"/>
  <c r="D3514" i="1"/>
  <c r="M3513" i="1"/>
  <c r="D3513" i="1"/>
  <c r="M3512" i="1"/>
  <c r="D3512" i="1"/>
  <c r="M3511" i="1"/>
  <c r="D3511" i="1"/>
  <c r="M3510" i="1"/>
  <c r="D3510" i="1"/>
  <c r="M3509" i="1"/>
  <c r="D3509" i="1"/>
  <c r="M3508" i="1"/>
  <c r="D3508" i="1"/>
  <c r="M3507" i="1"/>
  <c r="D3507" i="1"/>
  <c r="M3506" i="1"/>
  <c r="D3506" i="1"/>
  <c r="M3505" i="1"/>
  <c r="D3505" i="1"/>
  <c r="M3504" i="1"/>
  <c r="D3504" i="1"/>
  <c r="M3503" i="1"/>
  <c r="D3503" i="1"/>
  <c r="M3502" i="1"/>
  <c r="D3502" i="1"/>
  <c r="M3501" i="1"/>
  <c r="D3501" i="1"/>
  <c r="M3499" i="1"/>
  <c r="D3499" i="1"/>
  <c r="M3498" i="1"/>
  <c r="D3498" i="1"/>
  <c r="D3497" i="1"/>
  <c r="M3496" i="1"/>
  <c r="D3496" i="1"/>
  <c r="M3495" i="1"/>
  <c r="D3495" i="1"/>
  <c r="M3494" i="1"/>
  <c r="D3494" i="1"/>
  <c r="M3493" i="1"/>
  <c r="D3493" i="1"/>
  <c r="M3492" i="1"/>
  <c r="D3492" i="1"/>
  <c r="M3491" i="1"/>
  <c r="D3491" i="1"/>
  <c r="M3490" i="1"/>
  <c r="D3490" i="1"/>
  <c r="L3484" i="1"/>
  <c r="C3484" i="1"/>
  <c r="M3483" i="1"/>
  <c r="D3483" i="1"/>
  <c r="M3482" i="1"/>
  <c r="D3482" i="1"/>
  <c r="M3481" i="1"/>
  <c r="D3481" i="1"/>
  <c r="M3480" i="1"/>
  <c r="D3480" i="1"/>
  <c r="M3479" i="1"/>
  <c r="D3479" i="1"/>
  <c r="M3478" i="1"/>
  <c r="D3478" i="1"/>
  <c r="M3477" i="1"/>
  <c r="D3477" i="1"/>
  <c r="M3476" i="1"/>
  <c r="D3476" i="1"/>
  <c r="M3475" i="1"/>
  <c r="D3475" i="1"/>
  <c r="M3474" i="1"/>
  <c r="D3474" i="1"/>
  <c r="M3473" i="1"/>
  <c r="D3473" i="1"/>
  <c r="M3472" i="1"/>
  <c r="D3472" i="1"/>
  <c r="M3471" i="1"/>
  <c r="D3471" i="1"/>
  <c r="M3470" i="1"/>
  <c r="D3470" i="1"/>
  <c r="M3469" i="1"/>
  <c r="D3469" i="1"/>
  <c r="M3468" i="1"/>
  <c r="D3468" i="1"/>
  <c r="M3467" i="1"/>
  <c r="D3467" i="1"/>
  <c r="M3466" i="1"/>
  <c r="D3466" i="1"/>
  <c r="M3465" i="1"/>
  <c r="D3465" i="1"/>
  <c r="M3464" i="1"/>
  <c r="D3464" i="1"/>
  <c r="M3463" i="1"/>
  <c r="D3463" i="1"/>
  <c r="M3462" i="1"/>
  <c r="D3462" i="1"/>
  <c r="M3461" i="1"/>
  <c r="D3461" i="1"/>
  <c r="M3460" i="1"/>
  <c r="D3460" i="1"/>
  <c r="M3458" i="1"/>
  <c r="D3458" i="1"/>
  <c r="M3457" i="1"/>
  <c r="D3457" i="1"/>
  <c r="M3456" i="1"/>
  <c r="D3456" i="1"/>
  <c r="M3455" i="1"/>
  <c r="D3455" i="1"/>
  <c r="M3454" i="1"/>
  <c r="D3454" i="1"/>
  <c r="M3453" i="1"/>
  <c r="D3453" i="1"/>
  <c r="M3452" i="1"/>
  <c r="D3452" i="1"/>
  <c r="M3451" i="1"/>
  <c r="D3451" i="1"/>
  <c r="M3450" i="1"/>
  <c r="D3450" i="1"/>
  <c r="M3449" i="1"/>
  <c r="D3449" i="1"/>
  <c r="L3443" i="1"/>
  <c r="C3443" i="1"/>
  <c r="M3442" i="1"/>
  <c r="D3442" i="1"/>
  <c r="M3441" i="1"/>
  <c r="D3441" i="1"/>
  <c r="M3440" i="1"/>
  <c r="D3440" i="1"/>
  <c r="M3439" i="1"/>
  <c r="D3439" i="1"/>
  <c r="M3438" i="1"/>
  <c r="D3438" i="1"/>
  <c r="M3437" i="1"/>
  <c r="D3437" i="1"/>
  <c r="M3436" i="1"/>
  <c r="D3436" i="1"/>
  <c r="M3435" i="1"/>
  <c r="D3435" i="1"/>
  <c r="M3434" i="1"/>
  <c r="D3434" i="1"/>
  <c r="M3433" i="1"/>
  <c r="D3433" i="1"/>
  <c r="M3432" i="1"/>
  <c r="D3432" i="1"/>
  <c r="M3431" i="1"/>
  <c r="D3431" i="1"/>
  <c r="M3430" i="1"/>
  <c r="D3430" i="1"/>
  <c r="M3429" i="1"/>
  <c r="D3429" i="1"/>
  <c r="M3428" i="1"/>
  <c r="D3428" i="1"/>
  <c r="M3427" i="1"/>
  <c r="D3427" i="1"/>
  <c r="M3426" i="1"/>
  <c r="D3426" i="1"/>
  <c r="M3425" i="1"/>
  <c r="D3425" i="1"/>
  <c r="M3424" i="1"/>
  <c r="D3424" i="1"/>
  <c r="M3423" i="1"/>
  <c r="D3423" i="1"/>
  <c r="M3422" i="1"/>
  <c r="D3422" i="1"/>
  <c r="M3421" i="1"/>
  <c r="D3421" i="1"/>
  <c r="M3420" i="1"/>
  <c r="D3420" i="1"/>
  <c r="M3419" i="1"/>
  <c r="D3419" i="1"/>
  <c r="M3417" i="1"/>
  <c r="D3417" i="1"/>
  <c r="M3416" i="1"/>
  <c r="D3416" i="1"/>
  <c r="M3415" i="1"/>
  <c r="D3415" i="1"/>
  <c r="M3414" i="1"/>
  <c r="D3414" i="1"/>
  <c r="M3413" i="1"/>
  <c r="D3413" i="1"/>
  <c r="M3412" i="1"/>
  <c r="D3412" i="1"/>
  <c r="M3411" i="1"/>
  <c r="D3411" i="1"/>
  <c r="M3410" i="1"/>
  <c r="D3410" i="1"/>
  <c r="M3409" i="1"/>
  <c r="D3409" i="1"/>
  <c r="M3408" i="1"/>
  <c r="D3408" i="1"/>
  <c r="L3402" i="1"/>
  <c r="C3402" i="1"/>
  <c r="M3401" i="1"/>
  <c r="D3401" i="1"/>
  <c r="M3400" i="1"/>
  <c r="D3400" i="1"/>
  <c r="M3399" i="1"/>
  <c r="D3399" i="1"/>
  <c r="M3398" i="1"/>
  <c r="D3398" i="1"/>
  <c r="M3397" i="1"/>
  <c r="D3397" i="1"/>
  <c r="M3396" i="1"/>
  <c r="D3396" i="1"/>
  <c r="M3395" i="1"/>
  <c r="D3395" i="1"/>
  <c r="M3394" i="1"/>
  <c r="D3394" i="1"/>
  <c r="M3393" i="1"/>
  <c r="D3393" i="1"/>
  <c r="M3392" i="1"/>
  <c r="D3392" i="1"/>
  <c r="M3391" i="1"/>
  <c r="D3391" i="1"/>
  <c r="M3390" i="1"/>
  <c r="D3390" i="1"/>
  <c r="M3389" i="1"/>
  <c r="D3389" i="1"/>
  <c r="M3388" i="1"/>
  <c r="D3388" i="1"/>
  <c r="M3387" i="1"/>
  <c r="D3387" i="1"/>
  <c r="M3386" i="1"/>
  <c r="D3386" i="1"/>
  <c r="M3385" i="1"/>
  <c r="D3385" i="1"/>
  <c r="M3384" i="1"/>
  <c r="D3384" i="1"/>
  <c r="M3383" i="1"/>
  <c r="D3383" i="1"/>
  <c r="M3382" i="1"/>
  <c r="D3382" i="1"/>
  <c r="M3381" i="1"/>
  <c r="D3381" i="1"/>
  <c r="M3380" i="1"/>
  <c r="D3380" i="1"/>
  <c r="M3379" i="1"/>
  <c r="D3379" i="1"/>
  <c r="M3378" i="1"/>
  <c r="D3378" i="1"/>
  <c r="M3376" i="1"/>
  <c r="D3376" i="1"/>
  <c r="M3375" i="1"/>
  <c r="D3375" i="1"/>
  <c r="M3374" i="1"/>
  <c r="D3374" i="1"/>
  <c r="M3373" i="1"/>
  <c r="D3373" i="1"/>
  <c r="M3372" i="1"/>
  <c r="D3372" i="1"/>
  <c r="M3371" i="1"/>
  <c r="D3371" i="1"/>
  <c r="M3370" i="1"/>
  <c r="D3370" i="1"/>
  <c r="M3369" i="1"/>
  <c r="D3369" i="1"/>
  <c r="M3368" i="1"/>
  <c r="D3368" i="1"/>
  <c r="M3367" i="1"/>
  <c r="D3367" i="1"/>
  <c r="L3361" i="1"/>
  <c r="C3361" i="1"/>
  <c r="M3360" i="1"/>
  <c r="D3360" i="1"/>
  <c r="M3359" i="1"/>
  <c r="D3359" i="1"/>
  <c r="M3358" i="1"/>
  <c r="D3358" i="1"/>
  <c r="M3357" i="1"/>
  <c r="D3357" i="1"/>
  <c r="M3356" i="1"/>
  <c r="D3356" i="1"/>
  <c r="M3355" i="1"/>
  <c r="D3355" i="1"/>
  <c r="M3354" i="1"/>
  <c r="D3354" i="1"/>
  <c r="M3353" i="1"/>
  <c r="D3353" i="1"/>
  <c r="M3352" i="1"/>
  <c r="D3352" i="1"/>
  <c r="M3351" i="1"/>
  <c r="D3351" i="1"/>
  <c r="M3350" i="1"/>
  <c r="D3350" i="1"/>
  <c r="M3349" i="1"/>
  <c r="D3349" i="1"/>
  <c r="M3348" i="1"/>
  <c r="D3348" i="1"/>
  <c r="M3347" i="1"/>
  <c r="D3347" i="1"/>
  <c r="M3346" i="1"/>
  <c r="D3346" i="1"/>
  <c r="M3345" i="1"/>
  <c r="D3345" i="1"/>
  <c r="M3344" i="1"/>
  <c r="D3344" i="1"/>
  <c r="M3343" i="1"/>
  <c r="D3343" i="1"/>
  <c r="M3342" i="1"/>
  <c r="D3342" i="1"/>
  <c r="M3341" i="1"/>
  <c r="D3341" i="1"/>
  <c r="M3340" i="1"/>
  <c r="D3340" i="1"/>
  <c r="M3339" i="1"/>
  <c r="D3339" i="1"/>
  <c r="M3338" i="1"/>
  <c r="D3338" i="1"/>
  <c r="M3337" i="1"/>
  <c r="D3337" i="1"/>
  <c r="M3335" i="1"/>
  <c r="D3335" i="1"/>
  <c r="M3334" i="1"/>
  <c r="D3334" i="1"/>
  <c r="M3333" i="1"/>
  <c r="D3333" i="1"/>
  <c r="M3332" i="1"/>
  <c r="D3332" i="1"/>
  <c r="M3331" i="1"/>
  <c r="D3331" i="1"/>
  <c r="M3330" i="1"/>
  <c r="D3330" i="1"/>
  <c r="M3329" i="1"/>
  <c r="D3329" i="1"/>
  <c r="M3328" i="1"/>
  <c r="D3328" i="1"/>
  <c r="M3327" i="1"/>
  <c r="D3327" i="1"/>
  <c r="M3326" i="1"/>
  <c r="D3326" i="1"/>
  <c r="M3300" i="1"/>
  <c r="L3320" i="1"/>
  <c r="C3320" i="1"/>
  <c r="M3319" i="1"/>
  <c r="D3319" i="1"/>
  <c r="M3318" i="1"/>
  <c r="D3318" i="1"/>
  <c r="M3317" i="1"/>
  <c r="D3317" i="1"/>
  <c r="M3316" i="1"/>
  <c r="D3316" i="1"/>
  <c r="M3315" i="1"/>
  <c r="D3315" i="1"/>
  <c r="M3314" i="1"/>
  <c r="D3314" i="1"/>
  <c r="M3313" i="1"/>
  <c r="D3313" i="1"/>
  <c r="M3312" i="1"/>
  <c r="D3312" i="1"/>
  <c r="M3311" i="1"/>
  <c r="D3311" i="1"/>
  <c r="M3310" i="1"/>
  <c r="D3310" i="1"/>
  <c r="M3309" i="1"/>
  <c r="D3309" i="1"/>
  <c r="M3308" i="1"/>
  <c r="D3308" i="1"/>
  <c r="M3307" i="1"/>
  <c r="D3307" i="1"/>
  <c r="M3306" i="1"/>
  <c r="D3306" i="1"/>
  <c r="M3305" i="1"/>
  <c r="D3305" i="1"/>
  <c r="M3304" i="1"/>
  <c r="D3304" i="1"/>
  <c r="M3303" i="1"/>
  <c r="D3303" i="1"/>
  <c r="M3302" i="1"/>
  <c r="D3302" i="1"/>
  <c r="M3301" i="1"/>
  <c r="D3301" i="1"/>
  <c r="D3300" i="1"/>
  <c r="M3299" i="1"/>
  <c r="D3299" i="1"/>
  <c r="M3298" i="1"/>
  <c r="D3298" i="1"/>
  <c r="M3297" i="1"/>
  <c r="D3297" i="1"/>
  <c r="M3296" i="1"/>
  <c r="D3296" i="1"/>
  <c r="M3294" i="1"/>
  <c r="D3294" i="1"/>
  <c r="M3293" i="1"/>
  <c r="D3293" i="1"/>
  <c r="M3292" i="1"/>
  <c r="D3292" i="1"/>
  <c r="M3291" i="1"/>
  <c r="D3291" i="1"/>
  <c r="M3290" i="1"/>
  <c r="D3290" i="1"/>
  <c r="M3289" i="1"/>
  <c r="D3289" i="1"/>
  <c r="M3288" i="1"/>
  <c r="D3288" i="1"/>
  <c r="M3287" i="1"/>
  <c r="D3287" i="1"/>
  <c r="M3286" i="1"/>
  <c r="D3286" i="1"/>
  <c r="M3285" i="1"/>
  <c r="D3285" i="1"/>
  <c r="M3237" i="1"/>
  <c r="D3230" i="1"/>
  <c r="D3255" i="1"/>
  <c r="D3256" i="1"/>
  <c r="L3279" i="1"/>
  <c r="C3279" i="1"/>
  <c r="M3278" i="1"/>
  <c r="D3278" i="1"/>
  <c r="M3277" i="1"/>
  <c r="D3277" i="1"/>
  <c r="M3276" i="1"/>
  <c r="D3276" i="1"/>
  <c r="M3275" i="1"/>
  <c r="D3275" i="1"/>
  <c r="M3274" i="1"/>
  <c r="D3274" i="1"/>
  <c r="M3273" i="1"/>
  <c r="D3273" i="1"/>
  <c r="M3272" i="1"/>
  <c r="D3272" i="1"/>
  <c r="M3271" i="1"/>
  <c r="D3271" i="1"/>
  <c r="M3270" i="1"/>
  <c r="D3270" i="1"/>
  <c r="M3269" i="1"/>
  <c r="D3269" i="1"/>
  <c r="M3268" i="1"/>
  <c r="D3268" i="1"/>
  <c r="M3267" i="1"/>
  <c r="D3267" i="1"/>
  <c r="M3266" i="1"/>
  <c r="D3266" i="1"/>
  <c r="M3265" i="1"/>
  <c r="D3265" i="1"/>
  <c r="M3264" i="1"/>
  <c r="D3264" i="1"/>
  <c r="M3263" i="1"/>
  <c r="D3263" i="1"/>
  <c r="M3262" i="1"/>
  <c r="D3262" i="1"/>
  <c r="M3261" i="1"/>
  <c r="D3261" i="1"/>
  <c r="M3260" i="1"/>
  <c r="D3260" i="1"/>
  <c r="M3259" i="1"/>
  <c r="D3259" i="1"/>
  <c r="M3258" i="1"/>
  <c r="D3258" i="1"/>
  <c r="M3257" i="1"/>
  <c r="D3257" i="1"/>
  <c r="M3256" i="1"/>
  <c r="M3255" i="1"/>
  <c r="M3253" i="1"/>
  <c r="D3253" i="1"/>
  <c r="M3252" i="1"/>
  <c r="D3252" i="1"/>
  <c r="M3251" i="1"/>
  <c r="D3251" i="1"/>
  <c r="M3250" i="1"/>
  <c r="D3250" i="1"/>
  <c r="M3249" i="1"/>
  <c r="D3249" i="1"/>
  <c r="M3248" i="1"/>
  <c r="D3248" i="1"/>
  <c r="M3247" i="1"/>
  <c r="D3247" i="1"/>
  <c r="M3246" i="1"/>
  <c r="D3246" i="1"/>
  <c r="M3245" i="1"/>
  <c r="D3245" i="1"/>
  <c r="M3244" i="1"/>
  <c r="D3244" i="1"/>
  <c r="M3194" i="1"/>
  <c r="M3193" i="1"/>
  <c r="M3195" i="1"/>
  <c r="M3236" i="1"/>
  <c r="M3162" i="1"/>
  <c r="M3154" i="1"/>
  <c r="L3238" i="1"/>
  <c r="C3238" i="1"/>
  <c r="D3237" i="1"/>
  <c r="D3236" i="1"/>
  <c r="M3235" i="1"/>
  <c r="D3235" i="1"/>
  <c r="M3234" i="1"/>
  <c r="D3234" i="1"/>
  <c r="M3233" i="1"/>
  <c r="D3233" i="1"/>
  <c r="M3232" i="1"/>
  <c r="D3232" i="1"/>
  <c r="M3231" i="1"/>
  <c r="D3231" i="1"/>
  <c r="M3229" i="1"/>
  <c r="D3229" i="1"/>
  <c r="M3228" i="1"/>
  <c r="D3228" i="1"/>
  <c r="M3227" i="1"/>
  <c r="D3227" i="1"/>
  <c r="M3226" i="1"/>
  <c r="D3226" i="1"/>
  <c r="M3225" i="1"/>
  <c r="D3225" i="1"/>
  <c r="M3224" i="1"/>
  <c r="D3224" i="1"/>
  <c r="M3223" i="1"/>
  <c r="D3223" i="1"/>
  <c r="M3222" i="1"/>
  <c r="D3222" i="1"/>
  <c r="M3221" i="1"/>
  <c r="D3221" i="1"/>
  <c r="M3220" i="1"/>
  <c r="D3220" i="1"/>
  <c r="M3219" i="1"/>
  <c r="D3219" i="1"/>
  <c r="M3218" i="1"/>
  <c r="D3218" i="1"/>
  <c r="M3217" i="1"/>
  <c r="D3217" i="1"/>
  <c r="M3216" i="1"/>
  <c r="D3216" i="1"/>
  <c r="M3215" i="1"/>
  <c r="D3215" i="1"/>
  <c r="M3214" i="1"/>
  <c r="D3214" i="1"/>
  <c r="M3213" i="1"/>
  <c r="D3213" i="1"/>
  <c r="M3211" i="1"/>
  <c r="D3211" i="1"/>
  <c r="M3210" i="1"/>
  <c r="D3210" i="1"/>
  <c r="M3209" i="1"/>
  <c r="D3209" i="1"/>
  <c r="M3208" i="1"/>
  <c r="D3208" i="1"/>
  <c r="M3207" i="1"/>
  <c r="D3207" i="1"/>
  <c r="M3206" i="1"/>
  <c r="D3206" i="1"/>
  <c r="M3205" i="1"/>
  <c r="D3205" i="1"/>
  <c r="M3204" i="1"/>
  <c r="D3204" i="1"/>
  <c r="M3203" i="1"/>
  <c r="D3203" i="1"/>
  <c r="M3202" i="1"/>
  <c r="D3202" i="1"/>
  <c r="L3196" i="1"/>
  <c r="C3196" i="1"/>
  <c r="D3195" i="1"/>
  <c r="D3194" i="1"/>
  <c r="D3193" i="1"/>
  <c r="M3192" i="1"/>
  <c r="D3192" i="1"/>
  <c r="M3191" i="1"/>
  <c r="D3191" i="1"/>
  <c r="M3190" i="1"/>
  <c r="D3190" i="1"/>
  <c r="M3189" i="1"/>
  <c r="D3189" i="1"/>
  <c r="M3188" i="1"/>
  <c r="D3188" i="1"/>
  <c r="M3187" i="1"/>
  <c r="D3187" i="1"/>
  <c r="M3186" i="1"/>
  <c r="D3186" i="1"/>
  <c r="M3185" i="1"/>
  <c r="D3185" i="1"/>
  <c r="M3184" i="1"/>
  <c r="D3184" i="1"/>
  <c r="M3183" i="1"/>
  <c r="D3183" i="1"/>
  <c r="M3182" i="1"/>
  <c r="D3182" i="1"/>
  <c r="M3181" i="1"/>
  <c r="D3181" i="1"/>
  <c r="M3180" i="1"/>
  <c r="D3180" i="1"/>
  <c r="M3179" i="1"/>
  <c r="D3179" i="1"/>
  <c r="M3178" i="1"/>
  <c r="D3178" i="1"/>
  <c r="M3177" i="1"/>
  <c r="D3177" i="1"/>
  <c r="M3176" i="1"/>
  <c r="D3176" i="1"/>
  <c r="M3175" i="1"/>
  <c r="D3175" i="1"/>
  <c r="M3174" i="1"/>
  <c r="D3174" i="1"/>
  <c r="M3173" i="1"/>
  <c r="D3173" i="1"/>
  <c r="M3172" i="1"/>
  <c r="D3172" i="1"/>
  <c r="M3170" i="1"/>
  <c r="D3170" i="1"/>
  <c r="M3169" i="1"/>
  <c r="D3169" i="1"/>
  <c r="M3168" i="1"/>
  <c r="D3168" i="1"/>
  <c r="M3167" i="1"/>
  <c r="D3167" i="1"/>
  <c r="M3166" i="1"/>
  <c r="D3166" i="1"/>
  <c r="M3165" i="1"/>
  <c r="D3165" i="1"/>
  <c r="M3164" i="1"/>
  <c r="D3164" i="1"/>
  <c r="M3163" i="1"/>
  <c r="D3163" i="1"/>
  <c r="D3162" i="1"/>
  <c r="M3161" i="1"/>
  <c r="D3161" i="1"/>
  <c r="M3069" i="1"/>
  <c r="M3070" i="1"/>
  <c r="M3071" i="1"/>
  <c r="M3072" i="1"/>
  <c r="M3113" i="1"/>
  <c r="L3155" i="1"/>
  <c r="C3155" i="1"/>
  <c r="D3154" i="1"/>
  <c r="M3153" i="1"/>
  <c r="D3153" i="1"/>
  <c r="M3152" i="1"/>
  <c r="D3152" i="1"/>
  <c r="M3151" i="1"/>
  <c r="D3151" i="1"/>
  <c r="M3150" i="1"/>
  <c r="D3150" i="1"/>
  <c r="M3149" i="1"/>
  <c r="D3149" i="1"/>
  <c r="M3148" i="1"/>
  <c r="D3148" i="1"/>
  <c r="M3147" i="1"/>
  <c r="D3147" i="1"/>
  <c r="M3146" i="1"/>
  <c r="D3146" i="1"/>
  <c r="M3145" i="1"/>
  <c r="D3145" i="1"/>
  <c r="M3144" i="1"/>
  <c r="D3144" i="1"/>
  <c r="M3143" i="1"/>
  <c r="D3143" i="1"/>
  <c r="M3142" i="1"/>
  <c r="D3142" i="1"/>
  <c r="M3141" i="1"/>
  <c r="D3141" i="1"/>
  <c r="M3140" i="1"/>
  <c r="D3140" i="1"/>
  <c r="M3139" i="1"/>
  <c r="D3139" i="1"/>
  <c r="M3138" i="1"/>
  <c r="D3138" i="1"/>
  <c r="M3137" i="1"/>
  <c r="D3137" i="1"/>
  <c r="M3136" i="1"/>
  <c r="D3136" i="1"/>
  <c r="M3135" i="1"/>
  <c r="D3135" i="1"/>
  <c r="M3134" i="1"/>
  <c r="D3134" i="1"/>
  <c r="M3133" i="1"/>
  <c r="D3133" i="1"/>
  <c r="M3132" i="1"/>
  <c r="D3132" i="1"/>
  <c r="M3131" i="1"/>
  <c r="D3131" i="1"/>
  <c r="M3129" i="1"/>
  <c r="D3129" i="1"/>
  <c r="M3128" i="1"/>
  <c r="D3128" i="1"/>
  <c r="M3127" i="1"/>
  <c r="D3127" i="1"/>
  <c r="M3126" i="1"/>
  <c r="D3126" i="1"/>
  <c r="M3125" i="1"/>
  <c r="D3125" i="1"/>
  <c r="M3124" i="1"/>
  <c r="D3124" i="1"/>
  <c r="M3123" i="1"/>
  <c r="D3123" i="1"/>
  <c r="M3122" i="1"/>
  <c r="D3122" i="1"/>
  <c r="M3121" i="1"/>
  <c r="D3121" i="1"/>
  <c r="M3120" i="1"/>
  <c r="D3120" i="1"/>
  <c r="D3040" i="1"/>
  <c r="M3039" i="1"/>
  <c r="M3068" i="1"/>
  <c r="L3114" i="1"/>
  <c r="C3114" i="1"/>
  <c r="D3113" i="1"/>
  <c r="M3112" i="1"/>
  <c r="D3112" i="1"/>
  <c r="M3111" i="1"/>
  <c r="D3111" i="1"/>
  <c r="M3110" i="1"/>
  <c r="D3110" i="1"/>
  <c r="M3109" i="1"/>
  <c r="D3109" i="1"/>
  <c r="M3108" i="1"/>
  <c r="D3108" i="1"/>
  <c r="M3107" i="1"/>
  <c r="D3107" i="1"/>
  <c r="M3106" i="1"/>
  <c r="D3106" i="1"/>
  <c r="M3105" i="1"/>
  <c r="D3105" i="1"/>
  <c r="M3104" i="1"/>
  <c r="D3104" i="1"/>
  <c r="M3103" i="1"/>
  <c r="D3103" i="1"/>
  <c r="M3102" i="1"/>
  <c r="D3102" i="1"/>
  <c r="M3101" i="1"/>
  <c r="D3101" i="1"/>
  <c r="M3100" i="1"/>
  <c r="D3100" i="1"/>
  <c r="M3099" i="1"/>
  <c r="D3099" i="1"/>
  <c r="M3098" i="1"/>
  <c r="D3098" i="1"/>
  <c r="M3097" i="1"/>
  <c r="D3097" i="1"/>
  <c r="M3096" i="1"/>
  <c r="D3096" i="1"/>
  <c r="M3095" i="1"/>
  <c r="D3095" i="1"/>
  <c r="M3094" i="1"/>
  <c r="D3094" i="1"/>
  <c r="M3093" i="1"/>
  <c r="D3093" i="1"/>
  <c r="M3092" i="1"/>
  <c r="D3092" i="1"/>
  <c r="M3091" i="1"/>
  <c r="D3091" i="1"/>
  <c r="M3090" i="1"/>
  <c r="D3090" i="1"/>
  <c r="M3088" i="1"/>
  <c r="D3088" i="1"/>
  <c r="M3087" i="1"/>
  <c r="D3087" i="1"/>
  <c r="M3086" i="1"/>
  <c r="D3086" i="1"/>
  <c r="M3085" i="1"/>
  <c r="D3085" i="1"/>
  <c r="M3084" i="1"/>
  <c r="D3084" i="1"/>
  <c r="M3083" i="1"/>
  <c r="D3083" i="1"/>
  <c r="M3082" i="1"/>
  <c r="D3082" i="1"/>
  <c r="M3081" i="1"/>
  <c r="D3081" i="1"/>
  <c r="M3080" i="1"/>
  <c r="D3080" i="1"/>
  <c r="M3079" i="1"/>
  <c r="D3079" i="1"/>
  <c r="M3027" i="1"/>
  <c r="M3028" i="1"/>
  <c r="M3029" i="1"/>
  <c r="M3030" i="1"/>
  <c r="M3031" i="1"/>
  <c r="L3073" i="1"/>
  <c r="C3073" i="1"/>
  <c r="D3072" i="1"/>
  <c r="D3071" i="1"/>
  <c r="D3070" i="1"/>
  <c r="D3069" i="1"/>
  <c r="D3068" i="1"/>
  <c r="M3067" i="1"/>
  <c r="D3067" i="1"/>
  <c r="M3066" i="1"/>
  <c r="D3066" i="1"/>
  <c r="M3065" i="1"/>
  <c r="D3065" i="1"/>
  <c r="M3064" i="1"/>
  <c r="D3064" i="1"/>
  <c r="M3063" i="1"/>
  <c r="D3063" i="1"/>
  <c r="M3062" i="1"/>
  <c r="D3062" i="1"/>
  <c r="M3061" i="1"/>
  <c r="D3061" i="1"/>
  <c r="M3060" i="1"/>
  <c r="D3060" i="1"/>
  <c r="M3059" i="1"/>
  <c r="D3059" i="1"/>
  <c r="M3058" i="1"/>
  <c r="D3058" i="1"/>
  <c r="M3057" i="1"/>
  <c r="D3057" i="1"/>
  <c r="M3056" i="1"/>
  <c r="D3056" i="1"/>
  <c r="M3055" i="1"/>
  <c r="D3055" i="1"/>
  <c r="M3054" i="1"/>
  <c r="D3054" i="1"/>
  <c r="M3053" i="1"/>
  <c r="D3053" i="1"/>
  <c r="M3052" i="1"/>
  <c r="D3052" i="1"/>
  <c r="M3051" i="1"/>
  <c r="D3051" i="1"/>
  <c r="M3050" i="1"/>
  <c r="D3050" i="1"/>
  <c r="M3049" i="1"/>
  <c r="D3049" i="1"/>
  <c r="M3047" i="1"/>
  <c r="D3047" i="1"/>
  <c r="M3046" i="1"/>
  <c r="D3046" i="1"/>
  <c r="M3045" i="1"/>
  <c r="D3045" i="1"/>
  <c r="M3044" i="1"/>
  <c r="D3044" i="1"/>
  <c r="M3043" i="1"/>
  <c r="D3043" i="1"/>
  <c r="M3042" i="1"/>
  <c r="D3042" i="1"/>
  <c r="M3041" i="1"/>
  <c r="D3041" i="1"/>
  <c r="M3040" i="1"/>
  <c r="D3039" i="1"/>
  <c r="M3038" i="1"/>
  <c r="D3038" i="1"/>
  <c r="M3026" i="1"/>
  <c r="M3025" i="1"/>
  <c r="M3021" i="1"/>
  <c r="M3020" i="1"/>
  <c r="L3032" i="1"/>
  <c r="C3032" i="1"/>
  <c r="D3031" i="1"/>
  <c r="D3030" i="1"/>
  <c r="D3029" i="1"/>
  <c r="D3028" i="1"/>
  <c r="D3027" i="1"/>
  <c r="D3026" i="1"/>
  <c r="D3025" i="1"/>
  <c r="M3024" i="1"/>
  <c r="D3024" i="1"/>
  <c r="M3023" i="1"/>
  <c r="D3023" i="1"/>
  <c r="M3022" i="1"/>
  <c r="D3022" i="1"/>
  <c r="D3021" i="1"/>
  <c r="D3020" i="1"/>
  <c r="M3019" i="1"/>
  <c r="D3019" i="1"/>
  <c r="M3018" i="1"/>
  <c r="D3018" i="1"/>
  <c r="M3017" i="1"/>
  <c r="D3017" i="1"/>
  <c r="M3016" i="1"/>
  <c r="D3016" i="1"/>
  <c r="M3015" i="1"/>
  <c r="D3015" i="1"/>
  <c r="M3014" i="1"/>
  <c r="D3014" i="1"/>
  <c r="M3013" i="1"/>
  <c r="D3013" i="1"/>
  <c r="M3012" i="1"/>
  <c r="D3012" i="1"/>
  <c r="M3011" i="1"/>
  <c r="D3011" i="1"/>
  <c r="M3010" i="1"/>
  <c r="D3010" i="1"/>
  <c r="M3009" i="1"/>
  <c r="D3009" i="1"/>
  <c r="M3008" i="1"/>
  <c r="D3008" i="1"/>
  <c r="M3006" i="1"/>
  <c r="D3006" i="1"/>
  <c r="M3005" i="1"/>
  <c r="D3005" i="1"/>
  <c r="M3004" i="1"/>
  <c r="D3004" i="1"/>
  <c r="M3003" i="1"/>
  <c r="D3003" i="1"/>
  <c r="M3002" i="1"/>
  <c r="D3002" i="1"/>
  <c r="M3001" i="1"/>
  <c r="D3001" i="1"/>
  <c r="M3000" i="1"/>
  <c r="D3000" i="1"/>
  <c r="M2999" i="1"/>
  <c r="D2999" i="1"/>
  <c r="M2998" i="1"/>
  <c r="D2998" i="1"/>
  <c r="M2997" i="1"/>
  <c r="D2997" i="1"/>
  <c r="D2981" i="1"/>
  <c r="D2982" i="1"/>
  <c r="D2983" i="1"/>
  <c r="L2991" i="1"/>
  <c r="C2991" i="1"/>
  <c r="M2990" i="1"/>
  <c r="D2990" i="1"/>
  <c r="M2989" i="1"/>
  <c r="D2989" i="1"/>
  <c r="M2988" i="1"/>
  <c r="D2988" i="1"/>
  <c r="M2987" i="1"/>
  <c r="D2987" i="1"/>
  <c r="M2986" i="1"/>
  <c r="D2986" i="1"/>
  <c r="M2985" i="1"/>
  <c r="D2985" i="1"/>
  <c r="M2984" i="1"/>
  <c r="D2984" i="1"/>
  <c r="M2983" i="1"/>
  <c r="M2982" i="1"/>
  <c r="M2981" i="1"/>
  <c r="M2980" i="1"/>
  <c r="D2980" i="1"/>
  <c r="M2979" i="1"/>
  <c r="D2979" i="1"/>
  <c r="M2978" i="1"/>
  <c r="D2978" i="1"/>
  <c r="M2977" i="1"/>
  <c r="D2977" i="1"/>
  <c r="M2976" i="1"/>
  <c r="D2976" i="1"/>
  <c r="M2975" i="1"/>
  <c r="D2975" i="1"/>
  <c r="M2974" i="1"/>
  <c r="D2974" i="1"/>
  <c r="M2973" i="1"/>
  <c r="D2973" i="1"/>
  <c r="M2972" i="1"/>
  <c r="D2972" i="1"/>
  <c r="M2971" i="1"/>
  <c r="D2971" i="1"/>
  <c r="M2970" i="1"/>
  <c r="D2970" i="1"/>
  <c r="M2969" i="1"/>
  <c r="D2969" i="1"/>
  <c r="M2968" i="1"/>
  <c r="D2968" i="1"/>
  <c r="M2967" i="1"/>
  <c r="D2967" i="1"/>
  <c r="M2965" i="1"/>
  <c r="D2965" i="1"/>
  <c r="M2964" i="1"/>
  <c r="D2964" i="1"/>
  <c r="M2963" i="1"/>
  <c r="D2963" i="1"/>
  <c r="M2962" i="1"/>
  <c r="D2962" i="1"/>
  <c r="M2961" i="1"/>
  <c r="D2961" i="1"/>
  <c r="M2960" i="1"/>
  <c r="D2960" i="1"/>
  <c r="M2959" i="1"/>
  <c r="D2959" i="1"/>
  <c r="M2958" i="1"/>
  <c r="D2958" i="1"/>
  <c r="M2957" i="1"/>
  <c r="D2957" i="1"/>
  <c r="M2956" i="1"/>
  <c r="D2956" i="1"/>
  <c r="L2950" i="1"/>
  <c r="C2950" i="1"/>
  <c r="M2949" i="1"/>
  <c r="D2949" i="1"/>
  <c r="M2948" i="1"/>
  <c r="D2948" i="1"/>
  <c r="M2947" i="1"/>
  <c r="D2947" i="1"/>
  <c r="M2946" i="1"/>
  <c r="D2946" i="1"/>
  <c r="M2945" i="1"/>
  <c r="D2945" i="1"/>
  <c r="M2944" i="1"/>
  <c r="D2944" i="1"/>
  <c r="M2943" i="1"/>
  <c r="D2943" i="1"/>
  <c r="M2942" i="1"/>
  <c r="D2942" i="1"/>
  <c r="M2941" i="1"/>
  <c r="D2941" i="1"/>
  <c r="M2940" i="1"/>
  <c r="D2940" i="1"/>
  <c r="M2939" i="1"/>
  <c r="D2939" i="1"/>
  <c r="M2938" i="1"/>
  <c r="D2938" i="1"/>
  <c r="M2937" i="1"/>
  <c r="D2937" i="1"/>
  <c r="M2936" i="1"/>
  <c r="D2936" i="1"/>
  <c r="M2935" i="1"/>
  <c r="D2935" i="1"/>
  <c r="M2934" i="1"/>
  <c r="D2934" i="1"/>
  <c r="M2933" i="1"/>
  <c r="D2933" i="1"/>
  <c r="M2932" i="1"/>
  <c r="D2932" i="1"/>
  <c r="M2931" i="1"/>
  <c r="D2931" i="1"/>
  <c r="M2930" i="1"/>
  <c r="D2930" i="1"/>
  <c r="M2929" i="1"/>
  <c r="D2929" i="1"/>
  <c r="M2928" i="1"/>
  <c r="D2928" i="1"/>
  <c r="M2927" i="1"/>
  <c r="D2927" i="1"/>
  <c r="M2926" i="1"/>
  <c r="D2926" i="1"/>
  <c r="M2924" i="1"/>
  <c r="D2924" i="1"/>
  <c r="M2923" i="1"/>
  <c r="D2923" i="1"/>
  <c r="M2922" i="1"/>
  <c r="D2922" i="1"/>
  <c r="M2921" i="1"/>
  <c r="D2921" i="1"/>
  <c r="M2920" i="1"/>
  <c r="D2920" i="1"/>
  <c r="M2919" i="1"/>
  <c r="D2919" i="1"/>
  <c r="M2918" i="1"/>
  <c r="D2918" i="1"/>
  <c r="M2917" i="1"/>
  <c r="D2917" i="1"/>
  <c r="M2916" i="1"/>
  <c r="D2916" i="1"/>
  <c r="M2915" i="1"/>
  <c r="D2915" i="1"/>
  <c r="L2909" i="1"/>
  <c r="C2909" i="1"/>
  <c r="M2908" i="1"/>
  <c r="D2908" i="1"/>
  <c r="M2907" i="1"/>
  <c r="D2907" i="1"/>
  <c r="M2906" i="1"/>
  <c r="D2906" i="1"/>
  <c r="M2905" i="1"/>
  <c r="D2905" i="1"/>
  <c r="M2904" i="1"/>
  <c r="D2904" i="1"/>
  <c r="M2903" i="1"/>
  <c r="D2903" i="1"/>
  <c r="M2902" i="1"/>
  <c r="D2902" i="1"/>
  <c r="M2901" i="1"/>
  <c r="D2901" i="1"/>
  <c r="M2900" i="1"/>
  <c r="D2900" i="1"/>
  <c r="M2899" i="1"/>
  <c r="D2899" i="1"/>
  <c r="M2898" i="1"/>
  <c r="D2898" i="1"/>
  <c r="M2897" i="1"/>
  <c r="D2897" i="1"/>
  <c r="M2896" i="1"/>
  <c r="D2896" i="1"/>
  <c r="M2895" i="1"/>
  <c r="D2895" i="1"/>
  <c r="M2894" i="1"/>
  <c r="D2894" i="1"/>
  <c r="M2893" i="1"/>
  <c r="D2893" i="1"/>
  <c r="M2892" i="1"/>
  <c r="D2892" i="1"/>
  <c r="M2891" i="1"/>
  <c r="D2891" i="1"/>
  <c r="M2890" i="1"/>
  <c r="D2890" i="1"/>
  <c r="M2889" i="1"/>
  <c r="D2889" i="1"/>
  <c r="M2888" i="1"/>
  <c r="D2888" i="1"/>
  <c r="M2887" i="1"/>
  <c r="D2887" i="1"/>
  <c r="M2886" i="1"/>
  <c r="D2886" i="1"/>
  <c r="M2885" i="1"/>
  <c r="D2885" i="1"/>
  <c r="M2883" i="1"/>
  <c r="D2883" i="1"/>
  <c r="M2882" i="1"/>
  <c r="D2882" i="1"/>
  <c r="M2881" i="1"/>
  <c r="D2881" i="1"/>
  <c r="M2880" i="1"/>
  <c r="D2880" i="1"/>
  <c r="M2879" i="1"/>
  <c r="D2879" i="1"/>
  <c r="M2878" i="1"/>
  <c r="D2878" i="1"/>
  <c r="M2877" i="1"/>
  <c r="D2877" i="1"/>
  <c r="M2876" i="1"/>
  <c r="D2876" i="1"/>
  <c r="M2875" i="1"/>
  <c r="D2875" i="1"/>
  <c r="M2874" i="1"/>
  <c r="D2874" i="1"/>
  <c r="M2844" i="1"/>
  <c r="D2846" i="1"/>
  <c r="M2795" i="1"/>
  <c r="M2834" i="1"/>
  <c r="M2803" i="1"/>
  <c r="M2826" i="1"/>
  <c r="M2799" i="1"/>
  <c r="D2763" i="1"/>
  <c r="M2762" i="1"/>
  <c r="M2785" i="1"/>
  <c r="L2868" i="1"/>
  <c r="C2868" i="1"/>
  <c r="M2867" i="1"/>
  <c r="D2867" i="1"/>
  <c r="M2866" i="1"/>
  <c r="D2866" i="1"/>
  <c r="M2865" i="1"/>
  <c r="D2865" i="1"/>
  <c r="M2864" i="1"/>
  <c r="D2864" i="1"/>
  <c r="M2863" i="1"/>
  <c r="D2863" i="1"/>
  <c r="M2862" i="1"/>
  <c r="D2862" i="1"/>
  <c r="M2861" i="1"/>
  <c r="D2861" i="1"/>
  <c r="M2860" i="1"/>
  <c r="D2860" i="1"/>
  <c r="M2859" i="1"/>
  <c r="D2859" i="1"/>
  <c r="M2858" i="1"/>
  <c r="D2858" i="1"/>
  <c r="M2857" i="1"/>
  <c r="D2857" i="1"/>
  <c r="M2856" i="1"/>
  <c r="D2856" i="1"/>
  <c r="M2855" i="1"/>
  <c r="D2855" i="1"/>
  <c r="M2854" i="1"/>
  <c r="D2854" i="1"/>
  <c r="M2853" i="1"/>
  <c r="D2853" i="1"/>
  <c r="M2852" i="1"/>
  <c r="D2852" i="1"/>
  <c r="M2851" i="1"/>
  <c r="D2851" i="1"/>
  <c r="M2850" i="1"/>
  <c r="D2850" i="1"/>
  <c r="M2849" i="1"/>
  <c r="D2849" i="1"/>
  <c r="M2848" i="1"/>
  <c r="D2848" i="1"/>
  <c r="M2847" i="1"/>
  <c r="D2847" i="1"/>
  <c r="M2846" i="1"/>
  <c r="M2845" i="1"/>
  <c r="D2845" i="1"/>
  <c r="D2844" i="1"/>
  <c r="M2842" i="1"/>
  <c r="D2842" i="1"/>
  <c r="M2841" i="1"/>
  <c r="D2841" i="1"/>
  <c r="M2840" i="1"/>
  <c r="D2840" i="1"/>
  <c r="M2839" i="1"/>
  <c r="D2839" i="1"/>
  <c r="M2838" i="1"/>
  <c r="D2838" i="1"/>
  <c r="M2837" i="1"/>
  <c r="D2837" i="1"/>
  <c r="M2836" i="1"/>
  <c r="D2836" i="1"/>
  <c r="M2835" i="1"/>
  <c r="D2835" i="1"/>
  <c r="D2834" i="1"/>
  <c r="M2833" i="1"/>
  <c r="D2833" i="1"/>
  <c r="L2827" i="1"/>
  <c r="C2827" i="1"/>
  <c r="D2826" i="1"/>
  <c r="M2825" i="1"/>
  <c r="D2825" i="1"/>
  <c r="M2824" i="1"/>
  <c r="D2824" i="1"/>
  <c r="M2823" i="1"/>
  <c r="D2823" i="1"/>
  <c r="M2822" i="1"/>
  <c r="D2822" i="1"/>
  <c r="M2821" i="1"/>
  <c r="D2821" i="1"/>
  <c r="M2820" i="1"/>
  <c r="D2820" i="1"/>
  <c r="M2819" i="1"/>
  <c r="D2819" i="1"/>
  <c r="M2818" i="1"/>
  <c r="D2818" i="1"/>
  <c r="M2817" i="1"/>
  <c r="D2817" i="1"/>
  <c r="M2816" i="1"/>
  <c r="D2816" i="1"/>
  <c r="M2815" i="1"/>
  <c r="D2815" i="1"/>
  <c r="M2814" i="1"/>
  <c r="D2814" i="1"/>
  <c r="M2813" i="1"/>
  <c r="D2813" i="1"/>
  <c r="M2812" i="1"/>
  <c r="D2812" i="1"/>
  <c r="M2811" i="1"/>
  <c r="D2811" i="1"/>
  <c r="M2810" i="1"/>
  <c r="D2810" i="1"/>
  <c r="M2809" i="1"/>
  <c r="D2809" i="1"/>
  <c r="M2808" i="1"/>
  <c r="D2808" i="1"/>
  <c r="M2807" i="1"/>
  <c r="D2807" i="1"/>
  <c r="M2806" i="1"/>
  <c r="D2806" i="1"/>
  <c r="M2805" i="1"/>
  <c r="D2805" i="1"/>
  <c r="M2804" i="1"/>
  <c r="D2804" i="1"/>
  <c r="D2803" i="1"/>
  <c r="M2801" i="1"/>
  <c r="D2801" i="1"/>
  <c r="M2800" i="1"/>
  <c r="D2800" i="1"/>
  <c r="D2799" i="1"/>
  <c r="M2798" i="1"/>
  <c r="D2798" i="1"/>
  <c r="M2797" i="1"/>
  <c r="D2797" i="1"/>
  <c r="M2796" i="1"/>
  <c r="D2796" i="1"/>
  <c r="D2795" i="1"/>
  <c r="M2794" i="1"/>
  <c r="D2794" i="1"/>
  <c r="M2793" i="1"/>
  <c r="D2793" i="1"/>
  <c r="M2792" i="1"/>
  <c r="D2792" i="1"/>
  <c r="L2786" i="1"/>
  <c r="C2786" i="1"/>
  <c r="D2785" i="1"/>
  <c r="M2784" i="1"/>
  <c r="D2784" i="1"/>
  <c r="M2783" i="1"/>
  <c r="D2783" i="1"/>
  <c r="M2782" i="1"/>
  <c r="D2782" i="1"/>
  <c r="M2781" i="1"/>
  <c r="D2781" i="1"/>
  <c r="M2780" i="1"/>
  <c r="D2780" i="1"/>
  <c r="M2779" i="1"/>
  <c r="D2779" i="1"/>
  <c r="M2778" i="1"/>
  <c r="D2778" i="1"/>
  <c r="M2777" i="1"/>
  <c r="D2777" i="1"/>
  <c r="M2776" i="1"/>
  <c r="D2776" i="1"/>
  <c r="M2775" i="1"/>
  <c r="D2775" i="1"/>
  <c r="M2774" i="1"/>
  <c r="D2774" i="1"/>
  <c r="M2773" i="1"/>
  <c r="D2773" i="1"/>
  <c r="M2772" i="1"/>
  <c r="D2772" i="1"/>
  <c r="M2771" i="1"/>
  <c r="D2771" i="1"/>
  <c r="M2770" i="1"/>
  <c r="D2770" i="1"/>
  <c r="M2769" i="1"/>
  <c r="D2769" i="1"/>
  <c r="M2768" i="1"/>
  <c r="D2768" i="1"/>
  <c r="M2767" i="1"/>
  <c r="D2767" i="1"/>
  <c r="M2766" i="1"/>
  <c r="D2766" i="1"/>
  <c r="M2765" i="1"/>
  <c r="D2765" i="1"/>
  <c r="M2764" i="1"/>
  <c r="D2764" i="1"/>
  <c r="M2763" i="1"/>
  <c r="D2762" i="1"/>
  <c r="M2760" i="1"/>
  <c r="D2760" i="1"/>
  <c r="M2759" i="1"/>
  <c r="D2759" i="1"/>
  <c r="M2758" i="1"/>
  <c r="D2758" i="1"/>
  <c r="M2757" i="1"/>
  <c r="D2757" i="1"/>
  <c r="M2756" i="1"/>
  <c r="D2756" i="1"/>
  <c r="M2755" i="1"/>
  <c r="D2755" i="1"/>
  <c r="M2754" i="1"/>
  <c r="D2754" i="1"/>
  <c r="M2753" i="1"/>
  <c r="D2753" i="1"/>
  <c r="M2752" i="1"/>
  <c r="D2752" i="1"/>
  <c r="M2751" i="1"/>
  <c r="D2751" i="1"/>
  <c r="D2737" i="1"/>
  <c r="D2736" i="1"/>
  <c r="D2735" i="1"/>
  <c r="D2738" i="1"/>
  <c r="M2684" i="1"/>
  <c r="M2703" i="1"/>
  <c r="L2745" i="1"/>
  <c r="C2745" i="1"/>
  <c r="M2744" i="1"/>
  <c r="D2744" i="1"/>
  <c r="M2743" i="1"/>
  <c r="D2743" i="1"/>
  <c r="M2742" i="1"/>
  <c r="D2742" i="1"/>
  <c r="M2741" i="1"/>
  <c r="D2741" i="1"/>
  <c r="M2740" i="1"/>
  <c r="D2740" i="1"/>
  <c r="M2739" i="1"/>
  <c r="D2739" i="1"/>
  <c r="M2738" i="1"/>
  <c r="M2737" i="1"/>
  <c r="M2736" i="1"/>
  <c r="M2735" i="1"/>
  <c r="M2734" i="1"/>
  <c r="D2734" i="1"/>
  <c r="M2733" i="1"/>
  <c r="D2733" i="1"/>
  <c r="M2732" i="1"/>
  <c r="D2732" i="1"/>
  <c r="M2731" i="1"/>
  <c r="D2731" i="1"/>
  <c r="M2730" i="1"/>
  <c r="D2730" i="1"/>
  <c r="M2729" i="1"/>
  <c r="D2729" i="1"/>
  <c r="M2728" i="1"/>
  <c r="D2728" i="1"/>
  <c r="M2727" i="1"/>
  <c r="D2727" i="1"/>
  <c r="M2726" i="1"/>
  <c r="D2726" i="1"/>
  <c r="M2725" i="1"/>
  <c r="D2725" i="1"/>
  <c r="M2724" i="1"/>
  <c r="D2724" i="1"/>
  <c r="M2723" i="1"/>
  <c r="D2723" i="1"/>
  <c r="M2722" i="1"/>
  <c r="D2722" i="1"/>
  <c r="M2721" i="1"/>
  <c r="D2721" i="1"/>
  <c r="M2719" i="1"/>
  <c r="D2719" i="1"/>
  <c r="M2718" i="1"/>
  <c r="D2718" i="1"/>
  <c r="M2717" i="1"/>
  <c r="D2717" i="1"/>
  <c r="M2716" i="1"/>
  <c r="D2716" i="1"/>
  <c r="M2715" i="1"/>
  <c r="D2715" i="1"/>
  <c r="M2714" i="1"/>
  <c r="D2714" i="1"/>
  <c r="M2713" i="1"/>
  <c r="D2713" i="1"/>
  <c r="M2712" i="1"/>
  <c r="D2712" i="1"/>
  <c r="M2711" i="1"/>
  <c r="D2711" i="1"/>
  <c r="M2710" i="1"/>
  <c r="D2710" i="1"/>
  <c r="M2700" i="1"/>
  <c r="M2629" i="1"/>
  <c r="L2704" i="1"/>
  <c r="C2704" i="1"/>
  <c r="D2703" i="1"/>
  <c r="M2702" i="1"/>
  <c r="D2702" i="1"/>
  <c r="M2701" i="1"/>
  <c r="D2701" i="1"/>
  <c r="D2700" i="1"/>
  <c r="M2699" i="1"/>
  <c r="D2699" i="1"/>
  <c r="M2698" i="1"/>
  <c r="D2698" i="1"/>
  <c r="M2697" i="1"/>
  <c r="D2697" i="1"/>
  <c r="M2696" i="1"/>
  <c r="D2696" i="1"/>
  <c r="M2695" i="1"/>
  <c r="D2695" i="1"/>
  <c r="M2694" i="1"/>
  <c r="D2694" i="1"/>
  <c r="M2693" i="1"/>
  <c r="D2693" i="1"/>
  <c r="M2692" i="1"/>
  <c r="D2692" i="1"/>
  <c r="M2691" i="1"/>
  <c r="D2691" i="1"/>
  <c r="M2690" i="1"/>
  <c r="D2690" i="1"/>
  <c r="M2689" i="1"/>
  <c r="D2689" i="1"/>
  <c r="M2688" i="1"/>
  <c r="D2688" i="1"/>
  <c r="M2687" i="1"/>
  <c r="D2687" i="1"/>
  <c r="M2686" i="1"/>
  <c r="D2686" i="1"/>
  <c r="M2685" i="1"/>
  <c r="D2685" i="1"/>
  <c r="D2684" i="1"/>
  <c r="M2683" i="1"/>
  <c r="D2683" i="1"/>
  <c r="M2682" i="1"/>
  <c r="D2682" i="1"/>
  <c r="M2681" i="1"/>
  <c r="D2681" i="1"/>
  <c r="M2680" i="1"/>
  <c r="D2680" i="1"/>
  <c r="M2678" i="1"/>
  <c r="D2678" i="1"/>
  <c r="M2677" i="1"/>
  <c r="D2677" i="1"/>
  <c r="M2676" i="1"/>
  <c r="D2676" i="1"/>
  <c r="M2675" i="1"/>
  <c r="D2675" i="1"/>
  <c r="M2674" i="1"/>
  <c r="D2674" i="1"/>
  <c r="M2673" i="1"/>
  <c r="D2673" i="1"/>
  <c r="M2672" i="1"/>
  <c r="D2672" i="1"/>
  <c r="M2671" i="1"/>
  <c r="D2671" i="1"/>
  <c r="M2670" i="1"/>
  <c r="D2670" i="1"/>
  <c r="M2669" i="1"/>
  <c r="D2669" i="1"/>
  <c r="M2621" i="1"/>
  <c r="L1039" i="1"/>
  <c r="L1064" i="1"/>
  <c r="L1105" i="1"/>
  <c r="L1146" i="1"/>
  <c r="L1187" i="1"/>
  <c r="L1228" i="1"/>
  <c r="L1269" i="1"/>
  <c r="L1310" i="1"/>
  <c r="L1351" i="1"/>
  <c r="L1392" i="1"/>
  <c r="L1433" i="1"/>
  <c r="L1474" i="1"/>
  <c r="L1515" i="1"/>
  <c r="L1556" i="1"/>
  <c r="L1597" i="1"/>
  <c r="L1638" i="1"/>
  <c r="L1679" i="1"/>
  <c r="L1720" i="1"/>
  <c r="L1761" i="1"/>
  <c r="L1802" i="1"/>
  <c r="L1843" i="1"/>
  <c r="L1884" i="1"/>
  <c r="L1925" i="1"/>
  <c r="L1966" i="1"/>
  <c r="L2007" i="1"/>
  <c r="L2048" i="1"/>
  <c r="L2089" i="1"/>
  <c r="L2130" i="1"/>
  <c r="L2171" i="1"/>
  <c r="L2212" i="1"/>
  <c r="L2253" i="1"/>
  <c r="L2294" i="1"/>
  <c r="L2335" i="1"/>
  <c r="L2376" i="1"/>
  <c r="L2417" i="1"/>
  <c r="L2458" i="1"/>
  <c r="L2499" i="1"/>
  <c r="L2540" i="1"/>
  <c r="L2581" i="1"/>
  <c r="L2622" i="1"/>
  <c r="M2628" i="1"/>
  <c r="M2630" i="1"/>
  <c r="M2631" i="1"/>
  <c r="M2632" i="1"/>
  <c r="M2633" i="1"/>
  <c r="M2634" i="1"/>
  <c r="M2635" i="1"/>
  <c r="M2636" i="1"/>
  <c r="M2637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L2663" i="1"/>
  <c r="D2628" i="1"/>
  <c r="D2629" i="1"/>
  <c r="D2630" i="1"/>
  <c r="D2631" i="1"/>
  <c r="D2632" i="1"/>
  <c r="D2633" i="1"/>
  <c r="D2634" i="1"/>
  <c r="D2635" i="1"/>
  <c r="D2636" i="1"/>
  <c r="D2637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C2663" i="1"/>
  <c r="M2600" i="1"/>
  <c r="M2617" i="1"/>
  <c r="D2571" i="1"/>
  <c r="D2568" i="1"/>
  <c r="M2559" i="1"/>
  <c r="M2580" i="1"/>
  <c r="M2579" i="1"/>
  <c r="C2622" i="1"/>
  <c r="D2621" i="1"/>
  <c r="M2620" i="1"/>
  <c r="D2620" i="1"/>
  <c r="M2619" i="1"/>
  <c r="D2619" i="1"/>
  <c r="M2618" i="1"/>
  <c r="D2618" i="1"/>
  <c r="D2617" i="1"/>
  <c r="M2616" i="1"/>
  <c r="D2616" i="1"/>
  <c r="M2615" i="1"/>
  <c r="D2615" i="1"/>
  <c r="M2614" i="1"/>
  <c r="D2614" i="1"/>
  <c r="M2613" i="1"/>
  <c r="D2613" i="1"/>
  <c r="M2612" i="1"/>
  <c r="D2612" i="1"/>
  <c r="M2611" i="1"/>
  <c r="D2611" i="1"/>
  <c r="M2610" i="1"/>
  <c r="D2610" i="1"/>
  <c r="M2609" i="1"/>
  <c r="D2609" i="1"/>
  <c r="M2608" i="1"/>
  <c r="D2608" i="1"/>
  <c r="M2607" i="1"/>
  <c r="D2607" i="1"/>
  <c r="M2606" i="1"/>
  <c r="D2606" i="1"/>
  <c r="M2605" i="1"/>
  <c r="D2605" i="1"/>
  <c r="M2604" i="1"/>
  <c r="D2604" i="1"/>
  <c r="M2603" i="1"/>
  <c r="D2603" i="1"/>
  <c r="M2602" i="1"/>
  <c r="M2598" i="1"/>
  <c r="M2599" i="1"/>
  <c r="M2601" i="1"/>
  <c r="D2602" i="1"/>
  <c r="D2601" i="1"/>
  <c r="D2600" i="1"/>
  <c r="D2599" i="1"/>
  <c r="D2598" i="1"/>
  <c r="M2596" i="1"/>
  <c r="D2596" i="1"/>
  <c r="M2595" i="1"/>
  <c r="D2595" i="1"/>
  <c r="M2594" i="1"/>
  <c r="D2594" i="1"/>
  <c r="M2593" i="1"/>
  <c r="D2593" i="1"/>
  <c r="M2592" i="1"/>
  <c r="D2592" i="1"/>
  <c r="M2591" i="1"/>
  <c r="D2591" i="1"/>
  <c r="M2590" i="1"/>
  <c r="D2590" i="1"/>
  <c r="M2589" i="1"/>
  <c r="D2589" i="1"/>
  <c r="M2588" i="1"/>
  <c r="D2588" i="1"/>
  <c r="M2587" i="1"/>
  <c r="D2587" i="1"/>
  <c r="M2536" i="1"/>
  <c r="M2578" i="1"/>
  <c r="M2558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479" i="1"/>
  <c r="C2581" i="1"/>
  <c r="D2580" i="1"/>
  <c r="D2579" i="1"/>
  <c r="D2578" i="1"/>
  <c r="D2577" i="1"/>
  <c r="D2576" i="1"/>
  <c r="D2575" i="1"/>
  <c r="D2574" i="1"/>
  <c r="D2573" i="1"/>
  <c r="D2572" i="1"/>
  <c r="D2570" i="1"/>
  <c r="D2569" i="1"/>
  <c r="D2567" i="1"/>
  <c r="D2566" i="1"/>
  <c r="D2565" i="1"/>
  <c r="D2564" i="1"/>
  <c r="D2563" i="1"/>
  <c r="D2562" i="1"/>
  <c r="D2561" i="1"/>
  <c r="D2560" i="1"/>
  <c r="D2559" i="1"/>
  <c r="D2558" i="1"/>
  <c r="M2557" i="1"/>
  <c r="D2557" i="1"/>
  <c r="M2555" i="1"/>
  <c r="D2555" i="1"/>
  <c r="M2554" i="1"/>
  <c r="D2554" i="1"/>
  <c r="M2553" i="1"/>
  <c r="D2553" i="1"/>
  <c r="M2552" i="1"/>
  <c r="D2552" i="1"/>
  <c r="M2551" i="1"/>
  <c r="D2551" i="1"/>
  <c r="M2550" i="1"/>
  <c r="D2550" i="1"/>
  <c r="M2549" i="1"/>
  <c r="D2549" i="1"/>
  <c r="M2548" i="1"/>
  <c r="D2548" i="1"/>
  <c r="M2547" i="1"/>
  <c r="D2547" i="1"/>
  <c r="M2546" i="1"/>
  <c r="D2546" i="1"/>
  <c r="M2539" i="1"/>
  <c r="M2538" i="1"/>
  <c r="M2497" i="1"/>
  <c r="C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4" i="1"/>
  <c r="D2513" i="1"/>
  <c r="D2512" i="1"/>
  <c r="D2511" i="1"/>
  <c r="D2510" i="1"/>
  <c r="D2509" i="1"/>
  <c r="D2508" i="1"/>
  <c r="D2507" i="1"/>
  <c r="D2506" i="1"/>
  <c r="D2505" i="1"/>
  <c r="M2537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4" i="1"/>
  <c r="M2513" i="1"/>
  <c r="M2512" i="1"/>
  <c r="M2511" i="1"/>
  <c r="M2510" i="1"/>
  <c r="M2509" i="1"/>
  <c r="M2508" i="1"/>
  <c r="M2507" i="1"/>
  <c r="M2506" i="1"/>
  <c r="M2505" i="1"/>
  <c r="C2499" i="1"/>
  <c r="M2498" i="1"/>
  <c r="D2498" i="1"/>
  <c r="D2497" i="1"/>
  <c r="M2496" i="1"/>
  <c r="D2496" i="1"/>
  <c r="M2495" i="1"/>
  <c r="D2495" i="1"/>
  <c r="M2494" i="1"/>
  <c r="D2494" i="1"/>
  <c r="M2493" i="1"/>
  <c r="D2493" i="1"/>
  <c r="M2492" i="1"/>
  <c r="D2492" i="1"/>
  <c r="M2491" i="1"/>
  <c r="D2491" i="1"/>
  <c r="M2490" i="1"/>
  <c r="D2490" i="1"/>
  <c r="M2489" i="1"/>
  <c r="D2489" i="1"/>
  <c r="M2488" i="1"/>
  <c r="D2488" i="1"/>
  <c r="M2487" i="1"/>
  <c r="D2487" i="1"/>
  <c r="M2486" i="1"/>
  <c r="D2486" i="1"/>
  <c r="M2485" i="1"/>
  <c r="D2485" i="1"/>
  <c r="M2484" i="1"/>
  <c r="D2484" i="1"/>
  <c r="M2483" i="1"/>
  <c r="D2483" i="1"/>
  <c r="M2482" i="1"/>
  <c r="D2482" i="1"/>
  <c r="M2481" i="1"/>
  <c r="D2481" i="1"/>
  <c r="M2480" i="1"/>
  <c r="D2480" i="1"/>
  <c r="D2479" i="1"/>
  <c r="M2478" i="1"/>
  <c r="D2478" i="1"/>
  <c r="M2477" i="1"/>
  <c r="D2477" i="1"/>
  <c r="M2476" i="1"/>
  <c r="D2476" i="1"/>
  <c r="M2475" i="1"/>
  <c r="D2475" i="1"/>
  <c r="M2473" i="1"/>
  <c r="D2473" i="1"/>
  <c r="M2472" i="1"/>
  <c r="D2472" i="1"/>
  <c r="M2471" i="1"/>
  <c r="D2471" i="1"/>
  <c r="M2470" i="1"/>
  <c r="D2470" i="1"/>
  <c r="M2469" i="1"/>
  <c r="D2469" i="1"/>
  <c r="M2468" i="1"/>
  <c r="D2468" i="1"/>
  <c r="M2467" i="1"/>
  <c r="D2467" i="1"/>
  <c r="M2466" i="1"/>
  <c r="D2466" i="1"/>
  <c r="M2465" i="1"/>
  <c r="D2465" i="1"/>
  <c r="M2464" i="1"/>
  <c r="D2464" i="1"/>
  <c r="C2458" i="1"/>
  <c r="M2457" i="1"/>
  <c r="D2457" i="1"/>
  <c r="M2456" i="1"/>
  <c r="D2456" i="1"/>
  <c r="M2455" i="1"/>
  <c r="D2455" i="1"/>
  <c r="M2454" i="1"/>
  <c r="D2454" i="1"/>
  <c r="M2453" i="1"/>
  <c r="D2453" i="1"/>
  <c r="M2452" i="1"/>
  <c r="D2452" i="1"/>
  <c r="M2451" i="1"/>
  <c r="D2451" i="1"/>
  <c r="M2450" i="1"/>
  <c r="D2450" i="1"/>
  <c r="M2449" i="1"/>
  <c r="D2449" i="1"/>
  <c r="M2448" i="1"/>
  <c r="D2448" i="1"/>
  <c r="M2447" i="1"/>
  <c r="D2447" i="1"/>
  <c r="M2446" i="1"/>
  <c r="D2446" i="1"/>
  <c r="M2445" i="1"/>
  <c r="D2445" i="1"/>
  <c r="M2444" i="1"/>
  <c r="D2444" i="1"/>
  <c r="M2443" i="1"/>
  <c r="D2443" i="1"/>
  <c r="M2442" i="1"/>
  <c r="D2442" i="1"/>
  <c r="M2441" i="1"/>
  <c r="D2441" i="1"/>
  <c r="M2440" i="1"/>
  <c r="D2440" i="1"/>
  <c r="M2439" i="1"/>
  <c r="D2439" i="1"/>
  <c r="M2438" i="1"/>
  <c r="D2438" i="1"/>
  <c r="M2437" i="1"/>
  <c r="D2437" i="1"/>
  <c r="M2436" i="1"/>
  <c r="D2436" i="1"/>
  <c r="M2435" i="1"/>
  <c r="D2435" i="1"/>
  <c r="M2434" i="1"/>
  <c r="D2434" i="1"/>
  <c r="M2432" i="1"/>
  <c r="D2432" i="1"/>
  <c r="M2431" i="1"/>
  <c r="D2431" i="1"/>
  <c r="M2430" i="1"/>
  <c r="D2430" i="1"/>
  <c r="M2429" i="1"/>
  <c r="D2429" i="1"/>
  <c r="M2428" i="1"/>
  <c r="D2428" i="1"/>
  <c r="M2427" i="1"/>
  <c r="D2427" i="1"/>
  <c r="M2426" i="1"/>
  <c r="D2426" i="1"/>
  <c r="M2425" i="1"/>
  <c r="D2425" i="1"/>
  <c r="M2424" i="1"/>
  <c r="D2424" i="1"/>
  <c r="M2423" i="1"/>
  <c r="D2423" i="1"/>
  <c r="C2417" i="1"/>
  <c r="M2416" i="1"/>
  <c r="D2416" i="1"/>
  <c r="M2415" i="1"/>
  <c r="D2415" i="1"/>
  <c r="M2414" i="1"/>
  <c r="D2414" i="1"/>
  <c r="M2413" i="1"/>
  <c r="D2413" i="1"/>
  <c r="M2412" i="1"/>
  <c r="D2412" i="1"/>
  <c r="M2411" i="1"/>
  <c r="D2411" i="1"/>
  <c r="M2410" i="1"/>
  <c r="D2410" i="1"/>
  <c r="M2409" i="1"/>
  <c r="D2409" i="1"/>
  <c r="M2408" i="1"/>
  <c r="D2408" i="1"/>
  <c r="M2407" i="1"/>
  <c r="D2407" i="1"/>
  <c r="M2406" i="1"/>
  <c r="D2406" i="1"/>
  <c r="M2405" i="1"/>
  <c r="D2405" i="1"/>
  <c r="M2404" i="1"/>
  <c r="D2404" i="1"/>
  <c r="M2403" i="1"/>
  <c r="D2403" i="1"/>
  <c r="M2402" i="1"/>
  <c r="D2402" i="1"/>
  <c r="M2401" i="1"/>
  <c r="D2401" i="1"/>
  <c r="M2400" i="1"/>
  <c r="D2400" i="1"/>
  <c r="M2399" i="1"/>
  <c r="D2399" i="1"/>
  <c r="M2398" i="1"/>
  <c r="D2398" i="1"/>
  <c r="M2397" i="1"/>
  <c r="D2397" i="1"/>
  <c r="M2396" i="1"/>
  <c r="D2396" i="1"/>
  <c r="M2395" i="1"/>
  <c r="D2395" i="1"/>
  <c r="M2394" i="1"/>
  <c r="D2394" i="1"/>
  <c r="M2393" i="1"/>
  <c r="D2393" i="1"/>
  <c r="M2391" i="1"/>
  <c r="D2391" i="1"/>
  <c r="M2390" i="1"/>
  <c r="D2390" i="1"/>
  <c r="M2389" i="1"/>
  <c r="D2389" i="1"/>
  <c r="M2388" i="1"/>
  <c r="D2388" i="1"/>
  <c r="M2387" i="1"/>
  <c r="D2387" i="1"/>
  <c r="M2386" i="1"/>
  <c r="D2386" i="1"/>
  <c r="M2385" i="1"/>
  <c r="D2385" i="1"/>
  <c r="M2384" i="1"/>
  <c r="D2384" i="1"/>
  <c r="M2383" i="1"/>
  <c r="D2383" i="1"/>
  <c r="M2382" i="1"/>
  <c r="D2382" i="1"/>
  <c r="C2376" i="1"/>
  <c r="M2375" i="1"/>
  <c r="D2375" i="1"/>
  <c r="M2374" i="1"/>
  <c r="D2374" i="1"/>
  <c r="M2373" i="1"/>
  <c r="D2373" i="1"/>
  <c r="M2372" i="1"/>
  <c r="D2372" i="1"/>
  <c r="M2371" i="1"/>
  <c r="D2371" i="1"/>
  <c r="M2370" i="1"/>
  <c r="D2370" i="1"/>
  <c r="M2369" i="1"/>
  <c r="D2369" i="1"/>
  <c r="M2368" i="1"/>
  <c r="D2368" i="1"/>
  <c r="M2367" i="1"/>
  <c r="D2367" i="1"/>
  <c r="M2366" i="1"/>
  <c r="D2366" i="1"/>
  <c r="M2365" i="1"/>
  <c r="D2365" i="1"/>
  <c r="M2364" i="1"/>
  <c r="D2364" i="1"/>
  <c r="M2363" i="1"/>
  <c r="D2363" i="1"/>
  <c r="M2362" i="1"/>
  <c r="D2362" i="1"/>
  <c r="M2361" i="1"/>
  <c r="D2361" i="1"/>
  <c r="M2360" i="1"/>
  <c r="D2360" i="1"/>
  <c r="M2359" i="1"/>
  <c r="D2359" i="1"/>
  <c r="M2358" i="1"/>
  <c r="D2358" i="1"/>
  <c r="M2357" i="1"/>
  <c r="D2357" i="1"/>
  <c r="M2356" i="1"/>
  <c r="D2356" i="1"/>
  <c r="M2355" i="1"/>
  <c r="D2355" i="1"/>
  <c r="M2354" i="1"/>
  <c r="D2354" i="1"/>
  <c r="M2353" i="1"/>
  <c r="D2353" i="1"/>
  <c r="M2352" i="1"/>
  <c r="D2352" i="1"/>
  <c r="M2350" i="1"/>
  <c r="D2350" i="1"/>
  <c r="M2349" i="1"/>
  <c r="D2349" i="1"/>
  <c r="M2348" i="1"/>
  <c r="D2348" i="1"/>
  <c r="M2347" i="1"/>
  <c r="D2347" i="1"/>
  <c r="M2346" i="1"/>
  <c r="D2346" i="1"/>
  <c r="M2345" i="1"/>
  <c r="D2345" i="1"/>
  <c r="M2344" i="1"/>
  <c r="D2344" i="1"/>
  <c r="M2343" i="1"/>
  <c r="D2343" i="1"/>
  <c r="M2342" i="1"/>
  <c r="D2342" i="1"/>
  <c r="M2341" i="1"/>
  <c r="D2341" i="1"/>
  <c r="M2287" i="1"/>
  <c r="M2288" i="1"/>
  <c r="M2289" i="1"/>
  <c r="M2290" i="1"/>
  <c r="M2291" i="1"/>
  <c r="M2292" i="1"/>
  <c r="M2293" i="1"/>
  <c r="C2335" i="1"/>
  <c r="M2334" i="1"/>
  <c r="D2334" i="1"/>
  <c r="M2333" i="1"/>
  <c r="D2333" i="1"/>
  <c r="M2332" i="1"/>
  <c r="D2332" i="1"/>
  <c r="M2331" i="1"/>
  <c r="D2331" i="1"/>
  <c r="M2330" i="1"/>
  <c r="D2330" i="1"/>
  <c r="M2329" i="1"/>
  <c r="D2329" i="1"/>
  <c r="M2328" i="1"/>
  <c r="D2328" i="1"/>
  <c r="M2327" i="1"/>
  <c r="D2327" i="1"/>
  <c r="M2326" i="1"/>
  <c r="D2326" i="1"/>
  <c r="M2325" i="1"/>
  <c r="D2325" i="1"/>
  <c r="M2324" i="1"/>
  <c r="D2324" i="1"/>
  <c r="M2323" i="1"/>
  <c r="D2323" i="1"/>
  <c r="M2322" i="1"/>
  <c r="D2322" i="1"/>
  <c r="M2321" i="1"/>
  <c r="D2321" i="1"/>
  <c r="M2320" i="1"/>
  <c r="D2320" i="1"/>
  <c r="M2319" i="1"/>
  <c r="D2319" i="1"/>
  <c r="M2318" i="1"/>
  <c r="D2318" i="1"/>
  <c r="M2317" i="1"/>
  <c r="D2317" i="1"/>
  <c r="M2316" i="1"/>
  <c r="D2316" i="1"/>
  <c r="M2315" i="1"/>
  <c r="D2315" i="1"/>
  <c r="M2314" i="1"/>
  <c r="D2314" i="1"/>
  <c r="M2313" i="1"/>
  <c r="D2313" i="1"/>
  <c r="M2312" i="1"/>
  <c r="D2312" i="1"/>
  <c r="M2311" i="1"/>
  <c r="D2311" i="1"/>
  <c r="M2309" i="1"/>
  <c r="D2309" i="1"/>
  <c r="M2308" i="1"/>
  <c r="D2308" i="1"/>
  <c r="M2307" i="1"/>
  <c r="D2307" i="1"/>
  <c r="M2306" i="1"/>
  <c r="D2306" i="1"/>
  <c r="M2305" i="1"/>
  <c r="D2305" i="1"/>
  <c r="M2304" i="1"/>
  <c r="D2304" i="1"/>
  <c r="M2303" i="1"/>
  <c r="D2303" i="1"/>
  <c r="M2302" i="1"/>
  <c r="D2302" i="1"/>
  <c r="M2301" i="1"/>
  <c r="D2301" i="1"/>
  <c r="M2300" i="1"/>
  <c r="D2300" i="1"/>
  <c r="C2294" i="1"/>
  <c r="D2293" i="1"/>
  <c r="D2292" i="1"/>
  <c r="D2291" i="1"/>
  <c r="D2290" i="1"/>
  <c r="D2289" i="1"/>
  <c r="D2288" i="1"/>
  <c r="D2287" i="1"/>
  <c r="M2286" i="1"/>
  <c r="D2286" i="1"/>
  <c r="M2285" i="1"/>
  <c r="D2285" i="1"/>
  <c r="M2284" i="1"/>
  <c r="D2284" i="1"/>
  <c r="M2283" i="1"/>
  <c r="D2283" i="1"/>
  <c r="M2282" i="1"/>
  <c r="D2282" i="1"/>
  <c r="M2281" i="1"/>
  <c r="D2281" i="1"/>
  <c r="M2280" i="1"/>
  <c r="D2280" i="1"/>
  <c r="M2279" i="1"/>
  <c r="D2279" i="1"/>
  <c r="M2278" i="1"/>
  <c r="D2278" i="1"/>
  <c r="M2277" i="1"/>
  <c r="D2277" i="1"/>
  <c r="M2276" i="1"/>
  <c r="D2276" i="1"/>
  <c r="M2275" i="1"/>
  <c r="D2275" i="1"/>
  <c r="M2274" i="1"/>
  <c r="D2274" i="1"/>
  <c r="M2273" i="1"/>
  <c r="D2273" i="1"/>
  <c r="M2272" i="1"/>
  <c r="D2272" i="1"/>
  <c r="M2271" i="1"/>
  <c r="D2271" i="1"/>
  <c r="M2270" i="1"/>
  <c r="D2270" i="1"/>
  <c r="M2268" i="1"/>
  <c r="D2268" i="1"/>
  <c r="M2267" i="1"/>
  <c r="D2267" i="1"/>
  <c r="M2266" i="1"/>
  <c r="D2266" i="1"/>
  <c r="M2265" i="1"/>
  <c r="D2265" i="1"/>
  <c r="M2264" i="1"/>
  <c r="D2264" i="1"/>
  <c r="M2263" i="1"/>
  <c r="D2263" i="1"/>
  <c r="M2262" i="1"/>
  <c r="D2262" i="1"/>
  <c r="M2261" i="1"/>
  <c r="D2261" i="1"/>
  <c r="M2260" i="1"/>
  <c r="D2260" i="1"/>
  <c r="M2259" i="1"/>
  <c r="D2259" i="1"/>
  <c r="M2248" i="1"/>
  <c r="M2247" i="1"/>
  <c r="M2246" i="1"/>
  <c r="M2245" i="1"/>
  <c r="M2244" i="1"/>
  <c r="M2210" i="1"/>
  <c r="M2209" i="1"/>
  <c r="M2208" i="1"/>
  <c r="M2207" i="1"/>
  <c r="M2206" i="1"/>
  <c r="M2205" i="1"/>
  <c r="M2204" i="1"/>
  <c r="M2211" i="1"/>
  <c r="C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7" i="1"/>
  <c r="D2226" i="1"/>
  <c r="D2225" i="1"/>
  <c r="D2224" i="1"/>
  <c r="D2223" i="1"/>
  <c r="D2222" i="1"/>
  <c r="D2221" i="1"/>
  <c r="D2220" i="1"/>
  <c r="D2219" i="1"/>
  <c r="D2218" i="1"/>
  <c r="M2252" i="1"/>
  <c r="M2251" i="1"/>
  <c r="M2250" i="1"/>
  <c r="M2249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7" i="1"/>
  <c r="M2226" i="1"/>
  <c r="M2225" i="1"/>
  <c r="M2224" i="1"/>
  <c r="M2223" i="1"/>
  <c r="M2222" i="1"/>
  <c r="M2221" i="1"/>
  <c r="M2220" i="1"/>
  <c r="M2219" i="1"/>
  <c r="M2218" i="1"/>
  <c r="M2165" i="1"/>
  <c r="M2167" i="1"/>
  <c r="M2168" i="1"/>
  <c r="M2170" i="1"/>
  <c r="M2169" i="1"/>
  <c r="M2178" i="1"/>
  <c r="M2166" i="1"/>
  <c r="M2164" i="1"/>
  <c r="M2163" i="1"/>
  <c r="M2162" i="1"/>
  <c r="M2161" i="1"/>
  <c r="M2160" i="1"/>
  <c r="M2122" i="1"/>
  <c r="D2087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6" i="1"/>
  <c r="M2185" i="1"/>
  <c r="M2184" i="1"/>
  <c r="M2183" i="1"/>
  <c r="M2182" i="1"/>
  <c r="M2181" i="1"/>
  <c r="M2180" i="1"/>
  <c r="M2179" i="1"/>
  <c r="M2177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5" i="1"/>
  <c r="M2144" i="1"/>
  <c r="M2143" i="1"/>
  <c r="M2142" i="1"/>
  <c r="M2141" i="1"/>
  <c r="M2140" i="1"/>
  <c r="M2139" i="1"/>
  <c r="M2138" i="1"/>
  <c r="M2137" i="1"/>
  <c r="M2136" i="1"/>
  <c r="M2129" i="1"/>
  <c r="M2128" i="1"/>
  <c r="M2127" i="1"/>
  <c r="M2126" i="1"/>
  <c r="M2125" i="1"/>
  <c r="M2124" i="1"/>
  <c r="M2123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4" i="1"/>
  <c r="M2103" i="1"/>
  <c r="M2102" i="1"/>
  <c r="M2101" i="1"/>
  <c r="M2100" i="1"/>
  <c r="M2099" i="1"/>
  <c r="M2098" i="1"/>
  <c r="M2097" i="1"/>
  <c r="M2096" i="1"/>
  <c r="M2095" i="1"/>
  <c r="C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6" i="1"/>
  <c r="D2185" i="1"/>
  <c r="D2184" i="1"/>
  <c r="D2183" i="1"/>
  <c r="D2182" i="1"/>
  <c r="D2181" i="1"/>
  <c r="D2180" i="1"/>
  <c r="D2179" i="1"/>
  <c r="D2178" i="1"/>
  <c r="D2177" i="1"/>
  <c r="C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5" i="1"/>
  <c r="D2144" i="1"/>
  <c r="D2143" i="1"/>
  <c r="D2142" i="1"/>
  <c r="D2141" i="1"/>
  <c r="D2140" i="1"/>
  <c r="D2139" i="1"/>
  <c r="D2138" i="1"/>
  <c r="D2137" i="1"/>
  <c r="D2136" i="1"/>
  <c r="C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4" i="1"/>
  <c r="D2103" i="1"/>
  <c r="D2102" i="1"/>
  <c r="D2101" i="1"/>
  <c r="D2100" i="1"/>
  <c r="D2099" i="1"/>
  <c r="D2098" i="1"/>
  <c r="D2097" i="1"/>
  <c r="D2096" i="1"/>
  <c r="D2095" i="1"/>
  <c r="M2078" i="1"/>
  <c r="M2016" i="1"/>
  <c r="M2086" i="1"/>
  <c r="M2047" i="1"/>
  <c r="M1973" i="1"/>
  <c r="C2089" i="1"/>
  <c r="D2088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3" i="1"/>
  <c r="D2062" i="1"/>
  <c r="D2061" i="1"/>
  <c r="D2060" i="1"/>
  <c r="D2059" i="1"/>
  <c r="D2058" i="1"/>
  <c r="D2057" i="1"/>
  <c r="D2056" i="1"/>
  <c r="D2055" i="1"/>
  <c r="D2054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2" i="1"/>
  <c r="M2021" i="1"/>
  <c r="M2020" i="1"/>
  <c r="M2019" i="1"/>
  <c r="M2018" i="1"/>
  <c r="M2017" i="1"/>
  <c r="M2015" i="1"/>
  <c r="M2014" i="1"/>
  <c r="M2013" i="1"/>
  <c r="M2088" i="1"/>
  <c r="M2087" i="1"/>
  <c r="M2085" i="1"/>
  <c r="M2084" i="1"/>
  <c r="M2083" i="1"/>
  <c r="M2082" i="1"/>
  <c r="M2081" i="1"/>
  <c r="M2080" i="1"/>
  <c r="M2079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3" i="1"/>
  <c r="M2062" i="1"/>
  <c r="M2061" i="1"/>
  <c r="M2060" i="1"/>
  <c r="M2059" i="1"/>
  <c r="M2058" i="1"/>
  <c r="M2057" i="1"/>
  <c r="M2056" i="1"/>
  <c r="M2055" i="1"/>
  <c r="M2054" i="1"/>
  <c r="C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2" i="1"/>
  <c r="D2021" i="1"/>
  <c r="D2020" i="1"/>
  <c r="D2019" i="1"/>
  <c r="D2018" i="1"/>
  <c r="D2017" i="1"/>
  <c r="D2016" i="1"/>
  <c r="D2015" i="1"/>
  <c r="D2014" i="1"/>
  <c r="D2013" i="1"/>
  <c r="M2005" i="1"/>
  <c r="M2006" i="1"/>
  <c r="M2004" i="1"/>
  <c r="M2003" i="1"/>
  <c r="M2002" i="1"/>
  <c r="D1964" i="1"/>
  <c r="D1984" i="1"/>
  <c r="C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3" i="1"/>
  <c r="D1981" i="1"/>
  <c r="D1980" i="1"/>
  <c r="D1979" i="1"/>
  <c r="D1978" i="1"/>
  <c r="D1977" i="1"/>
  <c r="D1976" i="1"/>
  <c r="D1975" i="1"/>
  <c r="D1974" i="1"/>
  <c r="D1973" i="1"/>
  <c r="D197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1" i="1"/>
  <c r="M1980" i="1"/>
  <c r="M1979" i="1"/>
  <c r="M1978" i="1"/>
  <c r="M1977" i="1"/>
  <c r="M1976" i="1"/>
  <c r="M1975" i="1"/>
  <c r="M1974" i="1"/>
  <c r="M1972" i="1"/>
  <c r="M1878" i="1"/>
  <c r="M1875" i="1"/>
  <c r="M1872" i="1"/>
  <c r="M1919" i="1"/>
  <c r="M1916" i="1"/>
  <c r="M1913" i="1"/>
  <c r="M1960" i="1"/>
  <c r="M1957" i="1"/>
  <c r="M1954" i="1"/>
  <c r="C1966" i="1"/>
  <c r="M1965" i="1"/>
  <c r="D1965" i="1"/>
  <c r="M1964" i="1"/>
  <c r="M1963" i="1"/>
  <c r="D1963" i="1"/>
  <c r="M1962" i="1"/>
  <c r="D1962" i="1"/>
  <c r="M1961" i="1"/>
  <c r="D1961" i="1"/>
  <c r="D1960" i="1"/>
  <c r="M1959" i="1"/>
  <c r="D1959" i="1"/>
  <c r="M1958" i="1"/>
  <c r="D1958" i="1"/>
  <c r="D1957" i="1"/>
  <c r="M1956" i="1"/>
  <c r="D1956" i="1"/>
  <c r="M1955" i="1"/>
  <c r="D1955" i="1"/>
  <c r="D1954" i="1"/>
  <c r="M1953" i="1"/>
  <c r="D1953" i="1"/>
  <c r="M1952" i="1"/>
  <c r="D1952" i="1"/>
  <c r="M1951" i="1"/>
  <c r="D1951" i="1"/>
  <c r="M1950" i="1"/>
  <c r="D1950" i="1"/>
  <c r="M1949" i="1"/>
  <c r="D1949" i="1"/>
  <c r="M1948" i="1"/>
  <c r="D1948" i="1"/>
  <c r="M1947" i="1"/>
  <c r="D1947" i="1"/>
  <c r="M1946" i="1"/>
  <c r="D1946" i="1"/>
  <c r="M1945" i="1"/>
  <c r="D1945" i="1"/>
  <c r="M1944" i="1"/>
  <c r="D1944" i="1"/>
  <c r="M1943" i="1"/>
  <c r="D1943" i="1"/>
  <c r="M1942" i="1"/>
  <c r="D1942" i="1"/>
  <c r="M1940" i="1"/>
  <c r="D1940" i="1"/>
  <c r="M1939" i="1"/>
  <c r="D1939" i="1"/>
  <c r="M1938" i="1"/>
  <c r="D1938" i="1"/>
  <c r="M1937" i="1"/>
  <c r="D1937" i="1"/>
  <c r="M1936" i="1"/>
  <c r="D1936" i="1"/>
  <c r="M1935" i="1"/>
  <c r="D1935" i="1"/>
  <c r="M1934" i="1"/>
  <c r="D1934" i="1"/>
  <c r="M1933" i="1"/>
  <c r="D1933" i="1"/>
  <c r="M1932" i="1"/>
  <c r="D1932" i="1"/>
  <c r="M1931" i="1"/>
  <c r="D1931" i="1"/>
  <c r="C1925" i="1"/>
  <c r="M1924" i="1"/>
  <c r="D1924" i="1"/>
  <c r="M1923" i="1"/>
  <c r="D1923" i="1"/>
  <c r="M1922" i="1"/>
  <c r="D1922" i="1"/>
  <c r="M1921" i="1"/>
  <c r="D1921" i="1"/>
  <c r="M1920" i="1"/>
  <c r="D1920" i="1"/>
  <c r="D1919" i="1"/>
  <c r="M1918" i="1"/>
  <c r="D1918" i="1"/>
  <c r="M1917" i="1"/>
  <c r="D1917" i="1"/>
  <c r="D1916" i="1"/>
  <c r="M1915" i="1"/>
  <c r="D1915" i="1"/>
  <c r="M1914" i="1"/>
  <c r="D1914" i="1"/>
  <c r="D1913" i="1"/>
  <c r="M1912" i="1"/>
  <c r="D1912" i="1"/>
  <c r="M1911" i="1"/>
  <c r="D1911" i="1"/>
  <c r="M1910" i="1"/>
  <c r="D1910" i="1"/>
  <c r="M1909" i="1"/>
  <c r="D1909" i="1"/>
  <c r="M1908" i="1"/>
  <c r="D1908" i="1"/>
  <c r="M1907" i="1"/>
  <c r="D1907" i="1"/>
  <c r="M1906" i="1"/>
  <c r="D1906" i="1"/>
  <c r="M1905" i="1"/>
  <c r="D1905" i="1"/>
  <c r="M1904" i="1"/>
  <c r="D1904" i="1"/>
  <c r="M1903" i="1"/>
  <c r="D1903" i="1"/>
  <c r="M1902" i="1"/>
  <c r="D1902" i="1"/>
  <c r="M1901" i="1"/>
  <c r="D1901" i="1"/>
  <c r="M1899" i="1"/>
  <c r="D1899" i="1"/>
  <c r="M1898" i="1"/>
  <c r="D1898" i="1"/>
  <c r="M1897" i="1"/>
  <c r="D1897" i="1"/>
  <c r="M1896" i="1"/>
  <c r="D1896" i="1"/>
  <c r="M1895" i="1"/>
  <c r="D1895" i="1"/>
  <c r="M1894" i="1"/>
  <c r="D1894" i="1"/>
  <c r="M1893" i="1"/>
  <c r="D1893" i="1"/>
  <c r="M1892" i="1"/>
  <c r="D1892" i="1"/>
  <c r="M1891" i="1"/>
  <c r="D1891" i="1"/>
  <c r="M1890" i="1"/>
  <c r="D1890" i="1"/>
  <c r="C1884" i="1"/>
  <c r="M1883" i="1"/>
  <c r="D1883" i="1"/>
  <c r="M1882" i="1"/>
  <c r="D1882" i="1"/>
  <c r="M1881" i="1"/>
  <c r="D1881" i="1"/>
  <c r="M1880" i="1"/>
  <c r="D1880" i="1"/>
  <c r="M1879" i="1"/>
  <c r="D1879" i="1"/>
  <c r="D1878" i="1"/>
  <c r="M1877" i="1"/>
  <c r="D1877" i="1"/>
  <c r="M1876" i="1"/>
  <c r="D1876" i="1"/>
  <c r="D1875" i="1"/>
  <c r="M1874" i="1"/>
  <c r="D1874" i="1"/>
  <c r="M1873" i="1"/>
  <c r="D1873" i="1"/>
  <c r="D1872" i="1"/>
  <c r="M1871" i="1"/>
  <c r="D1871" i="1"/>
  <c r="M1870" i="1"/>
  <c r="D1870" i="1"/>
  <c r="M1869" i="1"/>
  <c r="D1869" i="1"/>
  <c r="M1868" i="1"/>
  <c r="D1868" i="1"/>
  <c r="M1867" i="1"/>
  <c r="D1867" i="1"/>
  <c r="M1866" i="1"/>
  <c r="D1866" i="1"/>
  <c r="M1865" i="1"/>
  <c r="D1865" i="1"/>
  <c r="M1864" i="1"/>
  <c r="D1864" i="1"/>
  <c r="M1863" i="1"/>
  <c r="D1863" i="1"/>
  <c r="M1862" i="1"/>
  <c r="D1862" i="1"/>
  <c r="M1861" i="1"/>
  <c r="D1861" i="1"/>
  <c r="M1860" i="1"/>
  <c r="D1860" i="1"/>
  <c r="M1858" i="1"/>
  <c r="D1858" i="1"/>
  <c r="M1857" i="1"/>
  <c r="D1857" i="1"/>
  <c r="M1856" i="1"/>
  <c r="D1856" i="1"/>
  <c r="M1855" i="1"/>
  <c r="D1855" i="1"/>
  <c r="M1854" i="1"/>
  <c r="D1854" i="1"/>
  <c r="M1853" i="1"/>
  <c r="D1853" i="1"/>
  <c r="M1852" i="1"/>
  <c r="D1852" i="1"/>
  <c r="M1851" i="1"/>
  <c r="D1851" i="1"/>
  <c r="M1850" i="1"/>
  <c r="D1850" i="1"/>
  <c r="M1849" i="1"/>
  <c r="D1849" i="1"/>
  <c r="M1842" i="1"/>
  <c r="C1843" i="1"/>
  <c r="D1842" i="1"/>
  <c r="M1841" i="1"/>
  <c r="D1841" i="1"/>
  <c r="M1840" i="1"/>
  <c r="D1840" i="1"/>
  <c r="M1839" i="1"/>
  <c r="D1839" i="1"/>
  <c r="M1838" i="1"/>
  <c r="D1838" i="1"/>
  <c r="M1837" i="1"/>
  <c r="D1837" i="1"/>
  <c r="M1836" i="1"/>
  <c r="D1836" i="1"/>
  <c r="M1835" i="1"/>
  <c r="D1835" i="1"/>
  <c r="M1834" i="1"/>
  <c r="D1834" i="1"/>
  <c r="M1833" i="1"/>
  <c r="D1833" i="1"/>
  <c r="M1832" i="1"/>
  <c r="D1832" i="1"/>
  <c r="M1831" i="1"/>
  <c r="D1831" i="1"/>
  <c r="M1830" i="1"/>
  <c r="D1830" i="1"/>
  <c r="M1829" i="1"/>
  <c r="D1829" i="1"/>
  <c r="M1828" i="1"/>
  <c r="D1828" i="1"/>
  <c r="M1827" i="1"/>
  <c r="D1827" i="1"/>
  <c r="M1826" i="1"/>
  <c r="D1826" i="1"/>
  <c r="M1825" i="1"/>
  <c r="D1825" i="1"/>
  <c r="M1824" i="1"/>
  <c r="D1824" i="1"/>
  <c r="M1823" i="1"/>
  <c r="D1823" i="1"/>
  <c r="M1822" i="1"/>
  <c r="D1822" i="1"/>
  <c r="M1821" i="1"/>
  <c r="D1821" i="1"/>
  <c r="M1820" i="1"/>
  <c r="D1820" i="1"/>
  <c r="M1819" i="1"/>
  <c r="D1819" i="1"/>
  <c r="M1817" i="1"/>
  <c r="D1817" i="1"/>
  <c r="M1816" i="1"/>
  <c r="D1816" i="1"/>
  <c r="M1815" i="1"/>
  <c r="D1815" i="1"/>
  <c r="M1814" i="1"/>
  <c r="D1814" i="1"/>
  <c r="M1813" i="1"/>
  <c r="D1813" i="1"/>
  <c r="M1812" i="1"/>
  <c r="D1812" i="1"/>
  <c r="M1811" i="1"/>
  <c r="D1811" i="1"/>
  <c r="M1810" i="1"/>
  <c r="D1810" i="1"/>
  <c r="M1809" i="1"/>
  <c r="D1809" i="1"/>
  <c r="M1808" i="1"/>
  <c r="D1808" i="1"/>
  <c r="M1801" i="1"/>
  <c r="M1800" i="1"/>
  <c r="D1778" i="1"/>
  <c r="C1802" i="1"/>
  <c r="D1801" i="1"/>
  <c r="D1800" i="1"/>
  <c r="M1799" i="1"/>
  <c r="D1799" i="1"/>
  <c r="M1798" i="1"/>
  <c r="D1798" i="1"/>
  <c r="M1797" i="1"/>
  <c r="D1797" i="1"/>
  <c r="M1796" i="1"/>
  <c r="D1796" i="1"/>
  <c r="M1795" i="1"/>
  <c r="D1795" i="1"/>
  <c r="M1794" i="1"/>
  <c r="D1794" i="1"/>
  <c r="M1793" i="1"/>
  <c r="D1793" i="1"/>
  <c r="M1792" i="1"/>
  <c r="D1792" i="1"/>
  <c r="M1791" i="1"/>
  <c r="D1791" i="1"/>
  <c r="M1790" i="1"/>
  <c r="D1790" i="1"/>
  <c r="M1789" i="1"/>
  <c r="D1789" i="1"/>
  <c r="M1788" i="1"/>
  <c r="D1788" i="1"/>
  <c r="M1787" i="1"/>
  <c r="D1787" i="1"/>
  <c r="M1786" i="1"/>
  <c r="D1786" i="1"/>
  <c r="M1785" i="1"/>
  <c r="D1785" i="1"/>
  <c r="M1784" i="1"/>
  <c r="D1784" i="1"/>
  <c r="M1783" i="1"/>
  <c r="D1783" i="1"/>
  <c r="M1782" i="1"/>
  <c r="D1782" i="1"/>
  <c r="M1781" i="1"/>
  <c r="D1781" i="1"/>
  <c r="M1780" i="1"/>
  <c r="D1780" i="1"/>
  <c r="M1779" i="1"/>
  <c r="D1779" i="1"/>
  <c r="M1778" i="1"/>
  <c r="M1776" i="1"/>
  <c r="D1776" i="1"/>
  <c r="M1775" i="1"/>
  <c r="D1775" i="1"/>
  <c r="M1774" i="1"/>
  <c r="D1774" i="1"/>
  <c r="M1773" i="1"/>
  <c r="D1773" i="1"/>
  <c r="M1772" i="1"/>
  <c r="D1772" i="1"/>
  <c r="M1771" i="1"/>
  <c r="D1771" i="1"/>
  <c r="M1770" i="1"/>
  <c r="D1770" i="1"/>
  <c r="M1769" i="1"/>
  <c r="D1769" i="1"/>
  <c r="M1768" i="1"/>
  <c r="D1768" i="1"/>
  <c r="M1767" i="1"/>
  <c r="D1767" i="1"/>
  <c r="M1737" i="1"/>
  <c r="D1727" i="1"/>
  <c r="C1761" i="1"/>
  <c r="M1760" i="1"/>
  <c r="D1760" i="1"/>
  <c r="M1759" i="1"/>
  <c r="D1759" i="1"/>
  <c r="M1758" i="1"/>
  <c r="D1758" i="1"/>
  <c r="M1757" i="1"/>
  <c r="D1757" i="1"/>
  <c r="M1756" i="1"/>
  <c r="D1756" i="1"/>
  <c r="M1755" i="1"/>
  <c r="D1755" i="1"/>
  <c r="M1754" i="1"/>
  <c r="D1754" i="1"/>
  <c r="M1753" i="1"/>
  <c r="D1753" i="1"/>
  <c r="M1752" i="1"/>
  <c r="D1752" i="1"/>
  <c r="M1751" i="1"/>
  <c r="D1751" i="1"/>
  <c r="M1750" i="1"/>
  <c r="D1750" i="1"/>
  <c r="M1749" i="1"/>
  <c r="D1749" i="1"/>
  <c r="M1748" i="1"/>
  <c r="D1748" i="1"/>
  <c r="M1747" i="1"/>
  <c r="D1747" i="1"/>
  <c r="M1746" i="1"/>
  <c r="D1746" i="1"/>
  <c r="M1745" i="1"/>
  <c r="D1745" i="1"/>
  <c r="M1744" i="1"/>
  <c r="D1744" i="1"/>
  <c r="M1743" i="1"/>
  <c r="D1743" i="1"/>
  <c r="M1742" i="1"/>
  <c r="D1742" i="1"/>
  <c r="M1741" i="1"/>
  <c r="D1741" i="1"/>
  <c r="M1740" i="1"/>
  <c r="D1740" i="1"/>
  <c r="M1739" i="1"/>
  <c r="D1739" i="1"/>
  <c r="M1738" i="1"/>
  <c r="D1738" i="1"/>
  <c r="D1737" i="1"/>
  <c r="M1735" i="1"/>
  <c r="D1735" i="1"/>
  <c r="M1734" i="1"/>
  <c r="D1734" i="1"/>
  <c r="M1733" i="1"/>
  <c r="D1733" i="1"/>
  <c r="M1732" i="1"/>
  <c r="D1732" i="1"/>
  <c r="M1731" i="1"/>
  <c r="D1731" i="1"/>
  <c r="M1730" i="1"/>
  <c r="D1730" i="1"/>
  <c r="M1729" i="1"/>
  <c r="D1729" i="1"/>
  <c r="M1728" i="1"/>
  <c r="D1728" i="1"/>
  <c r="M1727" i="1"/>
  <c r="M1726" i="1"/>
  <c r="D1726" i="1"/>
  <c r="M1718" i="1"/>
  <c r="C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4" i="1"/>
  <c r="D1693" i="1"/>
  <c r="D1692" i="1"/>
  <c r="D1691" i="1"/>
  <c r="D1690" i="1"/>
  <c r="D1689" i="1"/>
  <c r="D1688" i="1"/>
  <c r="D1687" i="1"/>
  <c r="D1686" i="1"/>
  <c r="D1685" i="1"/>
  <c r="M1678" i="1"/>
  <c r="M1719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4" i="1"/>
  <c r="M1693" i="1"/>
  <c r="M1692" i="1"/>
  <c r="M1691" i="1"/>
  <c r="M1690" i="1"/>
  <c r="M1689" i="1"/>
  <c r="M1688" i="1"/>
  <c r="M1687" i="1"/>
  <c r="M1686" i="1"/>
  <c r="M1685" i="1"/>
  <c r="M1672" i="1"/>
  <c r="M1647" i="1"/>
  <c r="M1646" i="1"/>
  <c r="M1615" i="1"/>
  <c r="C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3" i="1"/>
  <c r="D1652" i="1"/>
  <c r="D1651" i="1"/>
  <c r="D1650" i="1"/>
  <c r="D1649" i="1"/>
  <c r="D1648" i="1"/>
  <c r="D1647" i="1"/>
  <c r="D1646" i="1"/>
  <c r="D1645" i="1"/>
  <c r="D1644" i="1"/>
  <c r="M1633" i="1"/>
  <c r="M1674" i="1"/>
  <c r="M1677" i="1"/>
  <c r="M1634" i="1"/>
  <c r="M1636" i="1"/>
  <c r="M1635" i="1"/>
  <c r="M1637" i="1"/>
  <c r="M1676" i="1"/>
  <c r="M1675" i="1"/>
  <c r="M1673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3" i="1"/>
  <c r="M1652" i="1"/>
  <c r="M1651" i="1"/>
  <c r="M1650" i="1"/>
  <c r="M1649" i="1"/>
  <c r="M1648" i="1"/>
  <c r="M1645" i="1"/>
  <c r="M1644" i="1"/>
  <c r="M1627" i="1"/>
  <c r="D1563" i="1"/>
  <c r="M1595" i="1"/>
  <c r="M1594" i="1"/>
  <c r="M1593" i="1"/>
  <c r="M1596" i="1"/>
  <c r="M1605" i="1"/>
  <c r="M1604" i="1"/>
  <c r="C1638" i="1"/>
  <c r="D1637" i="1"/>
  <c r="D1636" i="1"/>
  <c r="D1635" i="1"/>
  <c r="D1634" i="1"/>
  <c r="D1633" i="1"/>
  <c r="M1632" i="1"/>
  <c r="D1632" i="1"/>
  <c r="M1631" i="1"/>
  <c r="D1631" i="1"/>
  <c r="M1630" i="1"/>
  <c r="D1630" i="1"/>
  <c r="M1629" i="1"/>
  <c r="D1629" i="1"/>
  <c r="M1628" i="1"/>
  <c r="D1628" i="1"/>
  <c r="D1627" i="1"/>
  <c r="M1626" i="1"/>
  <c r="D1626" i="1"/>
  <c r="M1625" i="1"/>
  <c r="D1625" i="1"/>
  <c r="M1624" i="1"/>
  <c r="D1624" i="1"/>
  <c r="M1623" i="1"/>
  <c r="D1623" i="1"/>
  <c r="M1622" i="1"/>
  <c r="D1622" i="1"/>
  <c r="M1621" i="1"/>
  <c r="D1621" i="1"/>
  <c r="M1620" i="1"/>
  <c r="D1620" i="1"/>
  <c r="M1619" i="1"/>
  <c r="D1619" i="1"/>
  <c r="M1618" i="1"/>
  <c r="D1618" i="1"/>
  <c r="M1617" i="1"/>
  <c r="D1617" i="1"/>
  <c r="M1616" i="1"/>
  <c r="D1616" i="1"/>
  <c r="D1615" i="1"/>
  <c r="M1614" i="1"/>
  <c r="D1614" i="1"/>
  <c r="M1612" i="1"/>
  <c r="D1612" i="1"/>
  <c r="M1611" i="1"/>
  <c r="D1611" i="1"/>
  <c r="M1610" i="1"/>
  <c r="D1610" i="1"/>
  <c r="M1609" i="1"/>
  <c r="D1609" i="1"/>
  <c r="M1608" i="1"/>
  <c r="D1608" i="1"/>
  <c r="M1607" i="1"/>
  <c r="D1607" i="1"/>
  <c r="M1606" i="1"/>
  <c r="D1606" i="1"/>
  <c r="D1605" i="1"/>
  <c r="D1604" i="1"/>
  <c r="M1603" i="1"/>
  <c r="D1603" i="1"/>
  <c r="M1553" i="1"/>
  <c r="M1552" i="1"/>
  <c r="M1550" i="1"/>
  <c r="M1551" i="1"/>
  <c r="M1554" i="1"/>
  <c r="C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1" i="1"/>
  <c r="D1570" i="1"/>
  <c r="D1569" i="1"/>
  <c r="D1568" i="1"/>
  <c r="D1567" i="1"/>
  <c r="D1566" i="1"/>
  <c r="D1565" i="1"/>
  <c r="D1564" i="1"/>
  <c r="D1562" i="1"/>
  <c r="M1532" i="1"/>
  <c r="M1522" i="1"/>
  <c r="M1555" i="1"/>
  <c r="M1549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1" i="1"/>
  <c r="M1570" i="1"/>
  <c r="M1569" i="1"/>
  <c r="M1568" i="1"/>
  <c r="M1567" i="1"/>
  <c r="M1566" i="1"/>
  <c r="M1565" i="1"/>
  <c r="M1564" i="1"/>
  <c r="M1563" i="1"/>
  <c r="M1562" i="1"/>
  <c r="C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0" i="1"/>
  <c r="D1529" i="1"/>
  <c r="D1528" i="1"/>
  <c r="D1527" i="1"/>
  <c r="D1526" i="1"/>
  <c r="D1525" i="1"/>
  <c r="D1524" i="1"/>
  <c r="D1523" i="1"/>
  <c r="D1522" i="1"/>
  <c r="D1521" i="1"/>
  <c r="M1509" i="1"/>
  <c r="M1510" i="1"/>
  <c r="M1511" i="1"/>
  <c r="M1512" i="1"/>
  <c r="M1513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0" i="1"/>
  <c r="M1529" i="1"/>
  <c r="M1528" i="1"/>
  <c r="M1527" i="1"/>
  <c r="M1526" i="1"/>
  <c r="M1525" i="1"/>
  <c r="M1524" i="1"/>
  <c r="M1523" i="1"/>
  <c r="M1521" i="1"/>
  <c r="C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89" i="1"/>
  <c r="D1488" i="1"/>
  <c r="D1487" i="1"/>
  <c r="D1486" i="1"/>
  <c r="D1485" i="1"/>
  <c r="D1484" i="1"/>
  <c r="D1483" i="1"/>
  <c r="D1482" i="1"/>
  <c r="D1481" i="1"/>
  <c r="D1480" i="1"/>
  <c r="M1514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89" i="1"/>
  <c r="M1488" i="1"/>
  <c r="M1487" i="1"/>
  <c r="M1486" i="1"/>
  <c r="M1485" i="1"/>
  <c r="M1484" i="1"/>
  <c r="M1483" i="1"/>
  <c r="M1482" i="1"/>
  <c r="M1481" i="1"/>
  <c r="M1480" i="1"/>
  <c r="M1471" i="1"/>
  <c r="D1430" i="1"/>
  <c r="M1432" i="1"/>
  <c r="M1473" i="1"/>
  <c r="M1472" i="1"/>
  <c r="C1474" i="1"/>
  <c r="D1473" i="1"/>
  <c r="D1472" i="1"/>
  <c r="D1471" i="1"/>
  <c r="M1470" i="1"/>
  <c r="D1470" i="1"/>
  <c r="M1469" i="1"/>
  <c r="D1469" i="1"/>
  <c r="M1468" i="1"/>
  <c r="D1468" i="1"/>
  <c r="M1467" i="1"/>
  <c r="D1467" i="1"/>
  <c r="M1466" i="1"/>
  <c r="D1466" i="1"/>
  <c r="M1465" i="1"/>
  <c r="D1465" i="1"/>
  <c r="M1464" i="1"/>
  <c r="D1464" i="1"/>
  <c r="M1463" i="1"/>
  <c r="D1463" i="1"/>
  <c r="M1462" i="1"/>
  <c r="D1462" i="1"/>
  <c r="M1461" i="1"/>
  <c r="D1461" i="1"/>
  <c r="M1460" i="1"/>
  <c r="D1460" i="1"/>
  <c r="M1459" i="1"/>
  <c r="D1459" i="1"/>
  <c r="M1458" i="1"/>
  <c r="D1458" i="1"/>
  <c r="M1457" i="1"/>
  <c r="D1457" i="1"/>
  <c r="M1456" i="1"/>
  <c r="D1456" i="1"/>
  <c r="M1455" i="1"/>
  <c r="D1455" i="1"/>
  <c r="M1454" i="1"/>
  <c r="D1454" i="1"/>
  <c r="M1453" i="1"/>
  <c r="D1453" i="1"/>
  <c r="M1452" i="1"/>
  <c r="D1452" i="1"/>
  <c r="M1451" i="1"/>
  <c r="D1451" i="1"/>
  <c r="M1450" i="1"/>
  <c r="D1450" i="1"/>
  <c r="M1448" i="1"/>
  <c r="D1448" i="1"/>
  <c r="M1447" i="1"/>
  <c r="D1447" i="1"/>
  <c r="M1446" i="1"/>
  <c r="D1446" i="1"/>
  <c r="M1445" i="1"/>
  <c r="D1445" i="1"/>
  <c r="M1444" i="1"/>
  <c r="D1444" i="1"/>
  <c r="M1443" i="1"/>
  <c r="D1443" i="1"/>
  <c r="M1442" i="1"/>
  <c r="D1442" i="1"/>
  <c r="M1441" i="1"/>
  <c r="D1441" i="1"/>
  <c r="M1440" i="1"/>
  <c r="D1440" i="1"/>
  <c r="M1439" i="1"/>
  <c r="D1439" i="1"/>
  <c r="C1433" i="1"/>
  <c r="D1432" i="1"/>
  <c r="M1431" i="1"/>
  <c r="D1431" i="1"/>
  <c r="M1430" i="1"/>
  <c r="M1429" i="1"/>
  <c r="D1429" i="1"/>
  <c r="M1428" i="1"/>
  <c r="D1428" i="1"/>
  <c r="M1427" i="1"/>
  <c r="D1427" i="1"/>
  <c r="M1426" i="1"/>
  <c r="D1426" i="1"/>
  <c r="M1425" i="1"/>
  <c r="D1425" i="1"/>
  <c r="M1424" i="1"/>
  <c r="D1424" i="1"/>
  <c r="M1423" i="1"/>
  <c r="D1423" i="1"/>
  <c r="M1422" i="1"/>
  <c r="D1422" i="1"/>
  <c r="M1421" i="1"/>
  <c r="D1421" i="1"/>
  <c r="M1420" i="1"/>
  <c r="D1420" i="1"/>
  <c r="M1419" i="1"/>
  <c r="D1419" i="1"/>
  <c r="M1418" i="1"/>
  <c r="D1418" i="1"/>
  <c r="M1417" i="1"/>
  <c r="D1417" i="1"/>
  <c r="M1416" i="1"/>
  <c r="D1416" i="1"/>
  <c r="M1415" i="1"/>
  <c r="D1415" i="1"/>
  <c r="M1414" i="1"/>
  <c r="D1414" i="1"/>
  <c r="M1413" i="1"/>
  <c r="D1413" i="1"/>
  <c r="M1412" i="1"/>
  <c r="D1412" i="1"/>
  <c r="M1411" i="1"/>
  <c r="D1411" i="1"/>
  <c r="M1410" i="1"/>
  <c r="D1410" i="1"/>
  <c r="M1409" i="1"/>
  <c r="D1409" i="1"/>
  <c r="M1407" i="1"/>
  <c r="D1407" i="1"/>
  <c r="M1406" i="1"/>
  <c r="D1406" i="1"/>
  <c r="M1405" i="1"/>
  <c r="D1405" i="1"/>
  <c r="M1404" i="1"/>
  <c r="D1404" i="1"/>
  <c r="M1403" i="1"/>
  <c r="D1403" i="1"/>
  <c r="M1402" i="1"/>
  <c r="D1402" i="1"/>
  <c r="M1401" i="1"/>
  <c r="D1401" i="1"/>
  <c r="M1400" i="1"/>
  <c r="D1400" i="1"/>
  <c r="M1399" i="1"/>
  <c r="D1399" i="1"/>
  <c r="M1398" i="1"/>
  <c r="D1398" i="1"/>
  <c r="C1392" i="1"/>
  <c r="M1391" i="1"/>
  <c r="D1391" i="1"/>
  <c r="M1390" i="1"/>
  <c r="D1390" i="1"/>
  <c r="M1389" i="1"/>
  <c r="D1389" i="1"/>
  <c r="M1388" i="1"/>
  <c r="D1388" i="1"/>
  <c r="M1387" i="1"/>
  <c r="D1387" i="1"/>
  <c r="M1386" i="1"/>
  <c r="D1386" i="1"/>
  <c r="M1385" i="1"/>
  <c r="D1385" i="1"/>
  <c r="M1384" i="1"/>
  <c r="D1384" i="1"/>
  <c r="M1383" i="1"/>
  <c r="D1383" i="1"/>
  <c r="M1382" i="1"/>
  <c r="D1382" i="1"/>
  <c r="M1381" i="1"/>
  <c r="D1381" i="1"/>
  <c r="M1380" i="1"/>
  <c r="D1380" i="1"/>
  <c r="M1379" i="1"/>
  <c r="D1379" i="1"/>
  <c r="M1378" i="1"/>
  <c r="D1378" i="1"/>
  <c r="M1377" i="1"/>
  <c r="D1377" i="1"/>
  <c r="M1376" i="1"/>
  <c r="D1376" i="1"/>
  <c r="M1375" i="1"/>
  <c r="D1375" i="1"/>
  <c r="M1374" i="1"/>
  <c r="D1374" i="1"/>
  <c r="M1373" i="1"/>
  <c r="D1373" i="1"/>
  <c r="M1372" i="1"/>
  <c r="D1372" i="1"/>
  <c r="M1371" i="1"/>
  <c r="D1371" i="1"/>
  <c r="M1370" i="1"/>
  <c r="D1370" i="1"/>
  <c r="M1369" i="1"/>
  <c r="D1369" i="1"/>
  <c r="M1368" i="1"/>
  <c r="D1368" i="1"/>
  <c r="M1366" i="1"/>
  <c r="D1366" i="1"/>
  <c r="M1365" i="1"/>
  <c r="D1365" i="1"/>
  <c r="M1364" i="1"/>
  <c r="D1364" i="1"/>
  <c r="M1363" i="1"/>
  <c r="D1363" i="1"/>
  <c r="M1362" i="1"/>
  <c r="D1362" i="1"/>
  <c r="M1361" i="1"/>
  <c r="D1361" i="1"/>
  <c r="M1360" i="1"/>
  <c r="D1360" i="1"/>
  <c r="M1359" i="1"/>
  <c r="D1359" i="1"/>
  <c r="M1358" i="1"/>
  <c r="D1358" i="1"/>
  <c r="M1357" i="1"/>
  <c r="D1357" i="1"/>
  <c r="C1351" i="1"/>
  <c r="M1350" i="1"/>
  <c r="D1350" i="1"/>
  <c r="M1349" i="1"/>
  <c r="D1349" i="1"/>
  <c r="M1348" i="1"/>
  <c r="D1348" i="1"/>
  <c r="M1347" i="1"/>
  <c r="D1347" i="1"/>
  <c r="M1346" i="1"/>
  <c r="D1346" i="1"/>
  <c r="M1345" i="1"/>
  <c r="D1345" i="1"/>
  <c r="M1344" i="1"/>
  <c r="D1344" i="1"/>
  <c r="M1343" i="1"/>
  <c r="D1343" i="1"/>
  <c r="M1342" i="1"/>
  <c r="D1342" i="1"/>
  <c r="M1341" i="1"/>
  <c r="D1341" i="1"/>
  <c r="M1340" i="1"/>
  <c r="D1340" i="1"/>
  <c r="M1339" i="1"/>
  <c r="D1339" i="1"/>
  <c r="M1338" i="1"/>
  <c r="D1338" i="1"/>
  <c r="M1337" i="1"/>
  <c r="D1337" i="1"/>
  <c r="M1336" i="1"/>
  <c r="D1336" i="1"/>
  <c r="M1335" i="1"/>
  <c r="D1335" i="1"/>
  <c r="M1334" i="1"/>
  <c r="D1334" i="1"/>
  <c r="M1333" i="1"/>
  <c r="D1333" i="1"/>
  <c r="M1332" i="1"/>
  <c r="D1332" i="1"/>
  <c r="M1331" i="1"/>
  <c r="D1331" i="1"/>
  <c r="M1330" i="1"/>
  <c r="D1330" i="1"/>
  <c r="M1329" i="1"/>
  <c r="D1329" i="1"/>
  <c r="M1328" i="1"/>
  <c r="D1328" i="1"/>
  <c r="M1327" i="1"/>
  <c r="D1327" i="1"/>
  <c r="M1325" i="1"/>
  <c r="D1325" i="1"/>
  <c r="M1324" i="1"/>
  <c r="D1324" i="1"/>
  <c r="M1323" i="1"/>
  <c r="D1323" i="1"/>
  <c r="M1322" i="1"/>
  <c r="D1322" i="1"/>
  <c r="M1321" i="1"/>
  <c r="D1321" i="1"/>
  <c r="M1320" i="1"/>
  <c r="D1320" i="1"/>
  <c r="M1319" i="1"/>
  <c r="D1319" i="1"/>
  <c r="M1318" i="1"/>
  <c r="D1318" i="1"/>
  <c r="M1317" i="1"/>
  <c r="D1317" i="1"/>
  <c r="M1316" i="1"/>
  <c r="D1316" i="1"/>
  <c r="C1310" i="1"/>
  <c r="M1309" i="1"/>
  <c r="D1309" i="1"/>
  <c r="M1308" i="1"/>
  <c r="D1308" i="1"/>
  <c r="M1307" i="1"/>
  <c r="D1307" i="1"/>
  <c r="M1306" i="1"/>
  <c r="D1306" i="1"/>
  <c r="M1305" i="1"/>
  <c r="D1305" i="1"/>
  <c r="M1304" i="1"/>
  <c r="D1304" i="1"/>
  <c r="M1303" i="1"/>
  <c r="D1303" i="1"/>
  <c r="M1302" i="1"/>
  <c r="D1302" i="1"/>
  <c r="M1301" i="1"/>
  <c r="D1301" i="1"/>
  <c r="M1300" i="1"/>
  <c r="D1300" i="1"/>
  <c r="M1299" i="1"/>
  <c r="D1299" i="1"/>
  <c r="M1298" i="1"/>
  <c r="D1298" i="1"/>
  <c r="M1297" i="1"/>
  <c r="D1297" i="1"/>
  <c r="M1296" i="1"/>
  <c r="D1296" i="1"/>
  <c r="M1295" i="1"/>
  <c r="D1295" i="1"/>
  <c r="M1294" i="1"/>
  <c r="D1294" i="1"/>
  <c r="M1293" i="1"/>
  <c r="D1293" i="1"/>
  <c r="M1292" i="1"/>
  <c r="D1292" i="1"/>
  <c r="M1291" i="1"/>
  <c r="D1291" i="1"/>
  <c r="M1290" i="1"/>
  <c r="D1290" i="1"/>
  <c r="M1289" i="1"/>
  <c r="D1289" i="1"/>
  <c r="M1288" i="1"/>
  <c r="D1288" i="1"/>
  <c r="M1287" i="1"/>
  <c r="D1287" i="1"/>
  <c r="D1286" i="1"/>
  <c r="M1286" i="1"/>
  <c r="M1284" i="1"/>
  <c r="D1284" i="1"/>
  <c r="M1283" i="1"/>
  <c r="D1283" i="1"/>
  <c r="M1282" i="1"/>
  <c r="D1282" i="1"/>
  <c r="M1281" i="1"/>
  <c r="D1281" i="1"/>
  <c r="M1280" i="1"/>
  <c r="D1280" i="1"/>
  <c r="M1279" i="1"/>
  <c r="D1279" i="1"/>
  <c r="M1278" i="1"/>
  <c r="D1278" i="1"/>
  <c r="M1277" i="1"/>
  <c r="D1277" i="1"/>
  <c r="M1276" i="1"/>
  <c r="D1276" i="1"/>
  <c r="M1275" i="1"/>
  <c r="D1275" i="1"/>
  <c r="M1267" i="1"/>
  <c r="M1268" i="1"/>
  <c r="M1227" i="1"/>
  <c r="M1226" i="1"/>
  <c r="D1196" i="1"/>
  <c r="C14" i="1"/>
  <c r="C39" i="1"/>
  <c r="C80" i="1"/>
  <c r="C121" i="1"/>
  <c r="C162" i="1"/>
  <c r="C203" i="1"/>
  <c r="C244" i="1"/>
  <c r="C285" i="1"/>
  <c r="C326" i="1"/>
  <c r="C367" i="1"/>
  <c r="C408" i="1"/>
  <c r="C449" i="1"/>
  <c r="C490" i="1"/>
  <c r="C531" i="1"/>
  <c r="C572" i="1"/>
  <c r="C613" i="1"/>
  <c r="C654" i="1"/>
  <c r="C695" i="1"/>
  <c r="C736" i="1"/>
  <c r="C777" i="1"/>
  <c r="C818" i="1"/>
  <c r="C859" i="1"/>
  <c r="C900" i="1"/>
  <c r="C941" i="1"/>
  <c r="C982" i="1"/>
  <c r="C1023" i="1"/>
  <c r="C1064" i="1"/>
  <c r="C1105" i="1"/>
  <c r="C1146" i="1"/>
  <c r="C1187" i="1"/>
  <c r="C1228" i="1"/>
  <c r="D1234" i="1"/>
  <c r="D1235" i="1"/>
  <c r="D1236" i="1"/>
  <c r="D1237" i="1"/>
  <c r="D1238" i="1"/>
  <c r="D1239" i="1"/>
  <c r="D1240" i="1"/>
  <c r="D1241" i="1"/>
  <c r="D1242" i="1"/>
  <c r="D1243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C1269" i="1"/>
  <c r="M1234" i="1"/>
  <c r="M1235" i="1"/>
  <c r="M1236" i="1"/>
  <c r="M1237" i="1"/>
  <c r="M1238" i="1"/>
  <c r="M1239" i="1"/>
  <c r="M1240" i="1"/>
  <c r="M1241" i="1"/>
  <c r="M1242" i="1"/>
  <c r="M1243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D1158" i="1"/>
  <c r="D1156" i="1"/>
  <c r="M1221" i="1"/>
  <c r="M1223" i="1"/>
  <c r="M1222" i="1"/>
  <c r="M1224" i="1"/>
  <c r="M1225" i="1"/>
  <c r="M1185" i="1"/>
  <c r="M1184" i="1"/>
  <c r="M1183" i="1"/>
  <c r="M1182" i="1"/>
  <c r="D1227" i="1"/>
  <c r="D1226" i="1"/>
  <c r="D1225" i="1"/>
  <c r="D1224" i="1"/>
  <c r="D1223" i="1"/>
  <c r="D1222" i="1"/>
  <c r="D1221" i="1"/>
  <c r="M1220" i="1"/>
  <c r="D1220" i="1"/>
  <c r="M1219" i="1"/>
  <c r="D1219" i="1"/>
  <c r="M1218" i="1"/>
  <c r="D1218" i="1"/>
  <c r="M1217" i="1"/>
  <c r="D1217" i="1"/>
  <c r="M1216" i="1"/>
  <c r="D1216" i="1"/>
  <c r="M1215" i="1"/>
  <c r="D1215" i="1"/>
  <c r="M1214" i="1"/>
  <c r="D1214" i="1"/>
  <c r="M1213" i="1"/>
  <c r="D1213" i="1"/>
  <c r="M1212" i="1"/>
  <c r="D1212" i="1"/>
  <c r="M1211" i="1"/>
  <c r="D1211" i="1"/>
  <c r="M1210" i="1"/>
  <c r="D1210" i="1"/>
  <c r="M1209" i="1"/>
  <c r="D1209" i="1"/>
  <c r="M1208" i="1"/>
  <c r="D1208" i="1"/>
  <c r="M1207" i="1"/>
  <c r="D1207" i="1"/>
  <c r="M1206" i="1"/>
  <c r="D1206" i="1"/>
  <c r="M1205" i="1"/>
  <c r="D1205" i="1"/>
  <c r="M1204" i="1"/>
  <c r="D1204" i="1"/>
  <c r="M1202" i="1"/>
  <c r="D1202" i="1"/>
  <c r="M1201" i="1"/>
  <c r="D1201" i="1"/>
  <c r="M1200" i="1"/>
  <c r="D1200" i="1"/>
  <c r="M1199" i="1"/>
  <c r="D1199" i="1"/>
  <c r="M1198" i="1"/>
  <c r="D1198" i="1"/>
  <c r="M1197" i="1"/>
  <c r="D1197" i="1"/>
  <c r="M1196" i="1"/>
  <c r="M1195" i="1"/>
  <c r="D1195" i="1"/>
  <c r="M1194" i="1"/>
  <c r="D1194" i="1"/>
  <c r="M1193" i="1"/>
  <c r="D1193" i="1"/>
  <c r="M1142" i="1"/>
  <c r="M1143" i="1"/>
  <c r="M1141" i="1"/>
  <c r="M1140" i="1"/>
  <c r="M1186" i="1"/>
  <c r="D1113" i="1"/>
  <c r="M1138" i="1"/>
  <c r="M1137" i="1"/>
  <c r="M1139" i="1"/>
  <c r="M1104" i="1"/>
  <c r="M1103" i="1"/>
  <c r="D1186" i="1"/>
  <c r="D1185" i="1"/>
  <c r="D1184" i="1"/>
  <c r="D1183" i="1"/>
  <c r="D1182" i="1"/>
  <c r="M1181" i="1"/>
  <c r="D1181" i="1"/>
  <c r="M1180" i="1"/>
  <c r="D1180" i="1"/>
  <c r="M1179" i="1"/>
  <c r="D1179" i="1"/>
  <c r="M1178" i="1"/>
  <c r="D1178" i="1"/>
  <c r="M1177" i="1"/>
  <c r="D1177" i="1"/>
  <c r="M1176" i="1"/>
  <c r="D1176" i="1"/>
  <c r="M1175" i="1"/>
  <c r="D1175" i="1"/>
  <c r="M1174" i="1"/>
  <c r="D1174" i="1"/>
  <c r="M1173" i="1"/>
  <c r="D1173" i="1"/>
  <c r="M1172" i="1"/>
  <c r="D1172" i="1"/>
  <c r="M1171" i="1"/>
  <c r="D1171" i="1"/>
  <c r="M1170" i="1"/>
  <c r="D1170" i="1"/>
  <c r="M1169" i="1"/>
  <c r="D1169" i="1"/>
  <c r="M1168" i="1"/>
  <c r="D1168" i="1"/>
  <c r="M1167" i="1"/>
  <c r="D1167" i="1"/>
  <c r="M1166" i="1"/>
  <c r="D1166" i="1"/>
  <c r="M1165" i="1"/>
  <c r="D1165" i="1"/>
  <c r="M1164" i="1"/>
  <c r="D1164" i="1"/>
  <c r="D1163" i="1"/>
  <c r="M1163" i="1"/>
  <c r="M1161" i="1"/>
  <c r="D1161" i="1"/>
  <c r="M1160" i="1"/>
  <c r="D1160" i="1"/>
  <c r="M1159" i="1"/>
  <c r="D1159" i="1"/>
  <c r="M1158" i="1"/>
  <c r="M1157" i="1"/>
  <c r="D1157" i="1"/>
  <c r="M1156" i="1"/>
  <c r="M1155" i="1"/>
  <c r="D1155" i="1"/>
  <c r="M1154" i="1"/>
  <c r="D1154" i="1"/>
  <c r="M1153" i="1"/>
  <c r="D1153" i="1"/>
  <c r="M1152" i="1"/>
  <c r="D1152" i="1"/>
  <c r="M1099" i="1"/>
  <c r="M1100" i="1"/>
  <c r="M1101" i="1"/>
  <c r="M1034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0" i="1"/>
  <c r="D1119" i="1"/>
  <c r="D1118" i="1"/>
  <c r="D1117" i="1"/>
  <c r="D1116" i="1"/>
  <c r="D1115" i="1"/>
  <c r="D1114" i="1"/>
  <c r="D1112" i="1"/>
  <c r="D1111" i="1"/>
  <c r="M1098" i="1"/>
  <c r="M1102" i="1"/>
  <c r="M1145" i="1"/>
  <c r="M1144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0" i="1"/>
  <c r="M1119" i="1"/>
  <c r="M1118" i="1"/>
  <c r="M1117" i="1"/>
  <c r="M1116" i="1"/>
  <c r="M1115" i="1"/>
  <c r="M1114" i="1"/>
  <c r="M1113" i="1"/>
  <c r="M1112" i="1"/>
  <c r="M1111" i="1"/>
  <c r="M1097" i="1"/>
  <c r="M1096" i="1"/>
  <c r="D1030" i="1"/>
  <c r="D1041" i="1"/>
  <c r="D1040" i="1"/>
  <c r="M1071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79" i="1"/>
  <c r="D1078" i="1"/>
  <c r="D1077" i="1"/>
  <c r="D1076" i="1"/>
  <c r="D1075" i="1"/>
  <c r="D1074" i="1"/>
  <c r="D1073" i="1"/>
  <c r="D1072" i="1"/>
  <c r="D1071" i="1"/>
  <c r="D1070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38" i="1"/>
  <c r="D1037" i="1"/>
  <c r="D1036" i="1"/>
  <c r="D1035" i="1"/>
  <c r="D1034" i="1"/>
  <c r="D1033" i="1"/>
  <c r="D1032" i="1"/>
  <c r="D1031" i="1"/>
  <c r="D1029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79" i="1"/>
  <c r="M1078" i="1"/>
  <c r="M1077" i="1"/>
  <c r="M1076" i="1"/>
  <c r="M1075" i="1"/>
  <c r="M1074" i="1"/>
  <c r="M1073" i="1"/>
  <c r="M1072" i="1"/>
  <c r="M1070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0" i="1"/>
  <c r="M1041" i="1"/>
  <c r="M1038" i="1"/>
  <c r="M1037" i="1"/>
  <c r="M1036" i="1"/>
  <c r="M1035" i="1"/>
  <c r="M1033" i="1"/>
  <c r="M1032" i="1"/>
  <c r="M1031" i="1"/>
  <c r="M1030" i="1"/>
  <c r="M1029" i="1"/>
  <c r="M1028" i="1"/>
  <c r="M977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7" i="1"/>
  <c r="D996" i="1"/>
  <c r="D995" i="1"/>
  <c r="D994" i="1"/>
  <c r="D993" i="1"/>
  <c r="D992" i="1"/>
  <c r="D991" i="1"/>
  <c r="D990" i="1"/>
  <c r="D989" i="1"/>
  <c r="D988" i="1"/>
  <c r="M979" i="1"/>
  <c r="M978" i="1"/>
  <c r="M980" i="1"/>
  <c r="M981" i="1"/>
  <c r="M940" i="1"/>
  <c r="M939" i="1"/>
  <c r="L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999" i="1"/>
  <c r="M1000" i="1"/>
  <c r="M997" i="1"/>
  <c r="M996" i="1"/>
  <c r="M995" i="1"/>
  <c r="M994" i="1"/>
  <c r="M993" i="1"/>
  <c r="M992" i="1"/>
  <c r="M991" i="1"/>
  <c r="M990" i="1"/>
  <c r="M989" i="1"/>
  <c r="M988" i="1"/>
  <c r="M976" i="1"/>
  <c r="M975" i="1"/>
  <c r="L982" i="1"/>
  <c r="M934" i="1"/>
  <c r="M913" i="1"/>
  <c r="M936" i="1"/>
  <c r="M935" i="1"/>
  <c r="M933" i="1"/>
  <c r="M932" i="1"/>
  <c r="M948" i="1"/>
  <c r="D917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6" i="1"/>
  <c r="D955" i="1"/>
  <c r="D954" i="1"/>
  <c r="D953" i="1"/>
  <c r="D952" i="1"/>
  <c r="D951" i="1"/>
  <c r="D950" i="1"/>
  <c r="D949" i="1"/>
  <c r="D948" i="1"/>
  <c r="D947" i="1"/>
  <c r="M937" i="1"/>
  <c r="M938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6" i="1"/>
  <c r="M955" i="1"/>
  <c r="M954" i="1"/>
  <c r="M953" i="1"/>
  <c r="M952" i="1"/>
  <c r="M951" i="1"/>
  <c r="M950" i="1"/>
  <c r="M949" i="1"/>
  <c r="M947" i="1"/>
  <c r="M907" i="1"/>
  <c r="M894" i="1"/>
  <c r="M895" i="1"/>
  <c r="M896" i="1"/>
  <c r="M897" i="1"/>
  <c r="M898" i="1"/>
  <c r="M899" i="1"/>
  <c r="M892" i="1"/>
  <c r="M893" i="1"/>
  <c r="M908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5" i="1"/>
  <c r="D914" i="1"/>
  <c r="D913" i="1"/>
  <c r="D912" i="1"/>
  <c r="D911" i="1"/>
  <c r="D910" i="1"/>
  <c r="D909" i="1"/>
  <c r="D908" i="1"/>
  <c r="D907" i="1"/>
  <c r="D906" i="1"/>
  <c r="L941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7" i="1"/>
  <c r="M918" i="1"/>
  <c r="M915" i="1"/>
  <c r="M914" i="1"/>
  <c r="M912" i="1"/>
  <c r="M911" i="1"/>
  <c r="M910" i="1"/>
  <c r="M909" i="1"/>
  <c r="M906" i="1"/>
  <c r="M889" i="1"/>
  <c r="M888" i="1"/>
  <c r="M887" i="1"/>
  <c r="L900" i="1"/>
  <c r="D899" i="1"/>
  <c r="D898" i="1"/>
  <c r="D897" i="1"/>
  <c r="D896" i="1"/>
  <c r="D895" i="1"/>
  <c r="D894" i="1"/>
  <c r="D893" i="1"/>
  <c r="D892" i="1"/>
  <c r="M891" i="1"/>
  <c r="D891" i="1"/>
  <c r="M890" i="1"/>
  <c r="D890" i="1"/>
  <c r="D889" i="1"/>
  <c r="D888" i="1"/>
  <c r="D887" i="1"/>
  <c r="M886" i="1"/>
  <c r="D886" i="1"/>
  <c r="M885" i="1"/>
  <c r="D885" i="1"/>
  <c r="M884" i="1"/>
  <c r="D884" i="1"/>
  <c r="M883" i="1"/>
  <c r="D883" i="1"/>
  <c r="M882" i="1"/>
  <c r="D882" i="1"/>
  <c r="M881" i="1"/>
  <c r="D881" i="1"/>
  <c r="M880" i="1"/>
  <c r="D880" i="1"/>
  <c r="M879" i="1"/>
  <c r="D879" i="1"/>
  <c r="M878" i="1"/>
  <c r="D878" i="1"/>
  <c r="D876" i="1"/>
  <c r="D877" i="1"/>
  <c r="M877" i="1"/>
  <c r="M876" i="1"/>
  <c r="M874" i="1"/>
  <c r="D874" i="1"/>
  <c r="M873" i="1"/>
  <c r="D873" i="1"/>
  <c r="M872" i="1"/>
  <c r="D872" i="1"/>
  <c r="M871" i="1"/>
  <c r="D871" i="1"/>
  <c r="M870" i="1"/>
  <c r="D870" i="1"/>
  <c r="M869" i="1"/>
  <c r="D869" i="1"/>
  <c r="M868" i="1"/>
  <c r="D868" i="1"/>
  <c r="M867" i="1"/>
  <c r="D867" i="1"/>
  <c r="M866" i="1"/>
  <c r="D866" i="1"/>
  <c r="M865" i="1"/>
  <c r="D865" i="1"/>
  <c r="L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3" i="1"/>
  <c r="M832" i="1"/>
  <c r="M831" i="1"/>
  <c r="M830" i="1"/>
  <c r="M829" i="1"/>
  <c r="M828" i="1"/>
  <c r="M827" i="1"/>
  <c r="M826" i="1"/>
  <c r="M825" i="1"/>
  <c r="M824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3" i="1"/>
  <c r="D832" i="1"/>
  <c r="D831" i="1"/>
  <c r="D830" i="1"/>
  <c r="D829" i="1"/>
  <c r="D828" i="1"/>
  <c r="D827" i="1"/>
  <c r="D826" i="1"/>
  <c r="D825" i="1"/>
  <c r="D824" i="1"/>
  <c r="L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2" i="1"/>
  <c r="M791" i="1"/>
  <c r="M790" i="1"/>
  <c r="M789" i="1"/>
  <c r="M788" i="1"/>
  <c r="M787" i="1"/>
  <c r="M786" i="1"/>
  <c r="M785" i="1"/>
  <c r="M784" i="1"/>
  <c r="M783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2" i="1"/>
  <c r="D791" i="1"/>
  <c r="D790" i="1"/>
  <c r="D789" i="1"/>
  <c r="D788" i="1"/>
  <c r="D787" i="1"/>
  <c r="D786" i="1"/>
  <c r="D785" i="1"/>
  <c r="D784" i="1"/>
  <c r="D783" i="1"/>
  <c r="D774" i="1"/>
  <c r="M776" i="1"/>
  <c r="L777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1" i="1"/>
  <c r="M750" i="1"/>
  <c r="M749" i="1"/>
  <c r="M748" i="1"/>
  <c r="M747" i="1"/>
  <c r="M746" i="1"/>
  <c r="M745" i="1"/>
  <c r="M744" i="1"/>
  <c r="M743" i="1"/>
  <c r="M742" i="1"/>
  <c r="D776" i="1"/>
  <c r="D775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1" i="1"/>
  <c r="D750" i="1"/>
  <c r="D749" i="1"/>
  <c r="D748" i="1"/>
  <c r="D747" i="1"/>
  <c r="D746" i="1"/>
  <c r="D745" i="1"/>
  <c r="D744" i="1"/>
  <c r="D743" i="1"/>
  <c r="D742" i="1"/>
  <c r="L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0" i="1"/>
  <c r="M709" i="1"/>
  <c r="M708" i="1"/>
  <c r="M707" i="1"/>
  <c r="M706" i="1"/>
  <c r="M705" i="1"/>
  <c r="M704" i="1"/>
  <c r="M703" i="1"/>
  <c r="M702" i="1"/>
  <c r="M701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0" i="1"/>
  <c r="D709" i="1"/>
  <c r="D708" i="1"/>
  <c r="D707" i="1"/>
  <c r="D706" i="1"/>
  <c r="D705" i="1"/>
  <c r="D704" i="1"/>
  <c r="D703" i="1"/>
  <c r="D702" i="1"/>
  <c r="D701" i="1"/>
  <c r="M691" i="1"/>
  <c r="D692" i="1"/>
  <c r="D693" i="1"/>
  <c r="D676" i="1"/>
  <c r="M650" i="1"/>
  <c r="M692" i="1"/>
  <c r="M653" i="1"/>
  <c r="M652" i="1"/>
  <c r="M662" i="1"/>
  <c r="M661" i="1"/>
  <c r="L695" i="1"/>
  <c r="M694" i="1"/>
  <c r="D694" i="1"/>
  <c r="M693" i="1"/>
  <c r="D691" i="1"/>
  <c r="M690" i="1"/>
  <c r="D690" i="1"/>
  <c r="M689" i="1"/>
  <c r="D689" i="1"/>
  <c r="M688" i="1"/>
  <c r="D688" i="1"/>
  <c r="M687" i="1"/>
  <c r="D687" i="1"/>
  <c r="M686" i="1"/>
  <c r="D686" i="1"/>
  <c r="M685" i="1"/>
  <c r="D685" i="1"/>
  <c r="M684" i="1"/>
  <c r="D684" i="1"/>
  <c r="M683" i="1"/>
  <c r="D683" i="1"/>
  <c r="M682" i="1"/>
  <c r="D682" i="1"/>
  <c r="M681" i="1"/>
  <c r="D681" i="1"/>
  <c r="M680" i="1"/>
  <c r="D680" i="1"/>
  <c r="M679" i="1"/>
  <c r="D679" i="1"/>
  <c r="M678" i="1"/>
  <c r="D678" i="1"/>
  <c r="D671" i="1"/>
  <c r="D672" i="1"/>
  <c r="D673" i="1"/>
  <c r="D674" i="1"/>
  <c r="D675" i="1"/>
  <c r="D677" i="1"/>
  <c r="M677" i="1"/>
  <c r="M676" i="1"/>
  <c r="M675" i="1"/>
  <c r="M674" i="1"/>
  <c r="M673" i="1"/>
  <c r="M672" i="1"/>
  <c r="M671" i="1"/>
  <c r="M669" i="1"/>
  <c r="D669" i="1"/>
  <c r="M668" i="1"/>
  <c r="D668" i="1"/>
  <c r="M667" i="1"/>
  <c r="D667" i="1"/>
  <c r="M666" i="1"/>
  <c r="D666" i="1"/>
  <c r="M665" i="1"/>
  <c r="D665" i="1"/>
  <c r="M664" i="1"/>
  <c r="D664" i="1"/>
  <c r="M663" i="1"/>
  <c r="D663" i="1"/>
  <c r="D662" i="1"/>
  <c r="D661" i="1"/>
  <c r="M660" i="1"/>
  <c r="D660" i="1"/>
  <c r="D653" i="1"/>
  <c r="M648" i="1"/>
  <c r="M611" i="1"/>
  <c r="M610" i="1"/>
  <c r="M625" i="1"/>
  <c r="D610" i="1"/>
  <c r="D633" i="1"/>
  <c r="D632" i="1"/>
  <c r="D631" i="1"/>
  <c r="M651" i="1"/>
  <c r="M649" i="1"/>
  <c r="M647" i="1"/>
  <c r="M646" i="1"/>
  <c r="M645" i="1"/>
  <c r="D608" i="1"/>
  <c r="D612" i="1"/>
  <c r="D611" i="1"/>
  <c r="M605" i="1"/>
  <c r="M612" i="1"/>
  <c r="D652" i="1"/>
  <c r="M609" i="1"/>
  <c r="M608" i="1"/>
  <c r="D581" i="1"/>
  <c r="M569" i="1"/>
  <c r="M530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0" i="1"/>
  <c r="D634" i="1"/>
  <c r="D628" i="1"/>
  <c r="D627" i="1"/>
  <c r="D626" i="1"/>
  <c r="D625" i="1"/>
  <c r="D624" i="1"/>
  <c r="D623" i="1"/>
  <c r="D622" i="1"/>
  <c r="D621" i="1"/>
  <c r="D620" i="1"/>
  <c r="D619" i="1"/>
  <c r="M570" i="1"/>
  <c r="M580" i="1"/>
  <c r="M606" i="1"/>
  <c r="M607" i="1"/>
  <c r="L654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8" i="1"/>
  <c r="M627" i="1"/>
  <c r="M626" i="1"/>
  <c r="M624" i="1"/>
  <c r="M623" i="1"/>
  <c r="M622" i="1"/>
  <c r="M621" i="1"/>
  <c r="M620" i="1"/>
  <c r="M619" i="1"/>
  <c r="M527" i="1"/>
  <c r="M526" i="1"/>
  <c r="M563" i="1"/>
  <c r="M564" i="1"/>
  <c r="M565" i="1"/>
  <c r="M566" i="1"/>
  <c r="M567" i="1"/>
  <c r="M525" i="1"/>
  <c r="L613" i="1"/>
  <c r="D609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7" i="1"/>
  <c r="D586" i="1"/>
  <c r="D585" i="1"/>
  <c r="D584" i="1"/>
  <c r="D583" i="1"/>
  <c r="D582" i="1"/>
  <c r="D580" i="1"/>
  <c r="D579" i="1"/>
  <c r="D578" i="1"/>
  <c r="M524" i="1"/>
  <c r="M568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7" i="1"/>
  <c r="M586" i="1"/>
  <c r="M585" i="1"/>
  <c r="M584" i="1"/>
  <c r="M583" i="1"/>
  <c r="M582" i="1"/>
  <c r="M581" i="1"/>
  <c r="M579" i="1"/>
  <c r="M578" i="1"/>
  <c r="D514" i="1"/>
  <c r="M508" i="1"/>
  <c r="M521" i="1"/>
  <c r="M474" i="1"/>
  <c r="M471" i="1"/>
  <c r="M467" i="1"/>
  <c r="M466" i="1"/>
  <c r="M519" i="1"/>
  <c r="M520" i="1"/>
  <c r="M499" i="1"/>
  <c r="M498" i="1"/>
  <c r="M497" i="1"/>
  <c r="M415" i="1"/>
  <c r="M482" i="1"/>
  <c r="M483" i="1"/>
  <c r="M484" i="1"/>
  <c r="M485" i="1"/>
  <c r="M486" i="1"/>
  <c r="M487" i="1"/>
  <c r="M488" i="1"/>
  <c r="M489" i="1"/>
  <c r="M523" i="1"/>
  <c r="M522" i="1"/>
  <c r="M481" i="1"/>
  <c r="M480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6" i="1"/>
  <c r="D545" i="1"/>
  <c r="D544" i="1"/>
  <c r="D543" i="1"/>
  <c r="D542" i="1"/>
  <c r="D541" i="1"/>
  <c r="D540" i="1"/>
  <c r="D539" i="1"/>
  <c r="D538" i="1"/>
  <c r="D537" i="1"/>
  <c r="L531" i="1"/>
  <c r="M529" i="1"/>
  <c r="M528" i="1"/>
  <c r="M518" i="1"/>
  <c r="M517" i="1"/>
  <c r="M516" i="1"/>
  <c r="M515" i="1"/>
  <c r="M514" i="1"/>
  <c r="M513" i="1"/>
  <c r="M512" i="1"/>
  <c r="M511" i="1"/>
  <c r="M510" i="1"/>
  <c r="M507" i="1"/>
  <c r="M509" i="1"/>
  <c r="M505" i="1"/>
  <c r="M504" i="1"/>
  <c r="M503" i="1"/>
  <c r="M502" i="1"/>
  <c r="M501" i="1"/>
  <c r="M500" i="1"/>
  <c r="M496" i="1"/>
  <c r="L572" i="1"/>
  <c r="M571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6" i="1"/>
  <c r="M545" i="1"/>
  <c r="M544" i="1"/>
  <c r="M543" i="1"/>
  <c r="M542" i="1"/>
  <c r="M541" i="1"/>
  <c r="M540" i="1"/>
  <c r="M539" i="1"/>
  <c r="M538" i="1"/>
  <c r="M537" i="1"/>
  <c r="M458" i="1"/>
  <c r="M476" i="1"/>
  <c r="M426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3" i="1"/>
  <c r="D512" i="1"/>
  <c r="D511" i="1"/>
  <c r="D510" i="1"/>
  <c r="D509" i="1"/>
  <c r="D508" i="1"/>
  <c r="D507" i="1"/>
  <c r="D505" i="1"/>
  <c r="D504" i="1"/>
  <c r="D503" i="1"/>
  <c r="D502" i="1"/>
  <c r="D501" i="1"/>
  <c r="D500" i="1"/>
  <c r="D499" i="1"/>
  <c r="D498" i="1"/>
  <c r="D497" i="1"/>
  <c r="D496" i="1"/>
  <c r="M455" i="1"/>
  <c r="M456" i="1"/>
  <c r="M457" i="1"/>
  <c r="M459" i="1"/>
  <c r="M460" i="1"/>
  <c r="M461" i="1"/>
  <c r="M462" i="1"/>
  <c r="M463" i="1"/>
  <c r="M464" i="1"/>
  <c r="M468" i="1"/>
  <c r="M469" i="1"/>
  <c r="M470" i="1"/>
  <c r="M472" i="1"/>
  <c r="M473" i="1"/>
  <c r="M475" i="1"/>
  <c r="M477" i="1"/>
  <c r="M478" i="1"/>
  <c r="M479" i="1"/>
  <c r="L490" i="1"/>
  <c r="M448" i="1"/>
  <c r="M403" i="1"/>
  <c r="M407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4" i="1"/>
  <c r="D463" i="1"/>
  <c r="D462" i="1"/>
  <c r="D461" i="1"/>
  <c r="D460" i="1"/>
  <c r="D459" i="1"/>
  <c r="D458" i="1"/>
  <c r="D457" i="1"/>
  <c r="D456" i="1"/>
  <c r="D455" i="1"/>
  <c r="M441" i="1"/>
  <c r="M442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5" i="1"/>
  <c r="D426" i="1"/>
  <c r="D423" i="1"/>
  <c r="D422" i="1"/>
  <c r="D421" i="1"/>
  <c r="D420" i="1"/>
  <c r="D419" i="1"/>
  <c r="D418" i="1"/>
  <c r="D417" i="1"/>
  <c r="D416" i="1"/>
  <c r="D415" i="1"/>
  <c r="D414" i="1"/>
  <c r="M406" i="1"/>
  <c r="M443" i="1"/>
  <c r="M445" i="1"/>
  <c r="M444" i="1"/>
  <c r="M447" i="1"/>
  <c r="M446" i="1"/>
  <c r="M374" i="1"/>
  <c r="L408" i="1"/>
  <c r="M405" i="1"/>
  <c r="M404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2" i="1"/>
  <c r="M381" i="1"/>
  <c r="M380" i="1"/>
  <c r="M379" i="1"/>
  <c r="M378" i="1"/>
  <c r="M377" i="1"/>
  <c r="M376" i="1"/>
  <c r="M375" i="1"/>
  <c r="M373" i="1"/>
  <c r="L449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5" i="1"/>
  <c r="M423" i="1"/>
  <c r="M422" i="1"/>
  <c r="M421" i="1"/>
  <c r="M420" i="1"/>
  <c r="M419" i="1"/>
  <c r="M418" i="1"/>
  <c r="M417" i="1"/>
  <c r="M416" i="1"/>
  <c r="M414" i="1"/>
  <c r="M340" i="1"/>
  <c r="M366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2" i="1"/>
  <c r="D381" i="1"/>
  <c r="D380" i="1"/>
  <c r="D379" i="1"/>
  <c r="D378" i="1"/>
  <c r="D377" i="1"/>
  <c r="D376" i="1"/>
  <c r="D375" i="1"/>
  <c r="D374" i="1"/>
  <c r="D373" i="1"/>
  <c r="L367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1" i="1"/>
  <c r="M339" i="1"/>
  <c r="M338" i="1"/>
  <c r="M337" i="1"/>
  <c r="M336" i="1"/>
  <c r="M335" i="1"/>
  <c r="M334" i="1"/>
  <c r="M333" i="1"/>
  <c r="M332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1" i="1"/>
  <c r="D340" i="1"/>
  <c r="D339" i="1"/>
  <c r="D338" i="1"/>
  <c r="D337" i="1"/>
  <c r="D336" i="1"/>
  <c r="D335" i="1"/>
  <c r="D334" i="1"/>
  <c r="D333" i="1"/>
  <c r="D332" i="1"/>
  <c r="L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0" i="1"/>
  <c r="M299" i="1"/>
  <c r="M298" i="1"/>
  <c r="M297" i="1"/>
  <c r="M296" i="1"/>
  <c r="M295" i="1"/>
  <c r="M294" i="1"/>
  <c r="M293" i="1"/>
  <c r="M292" i="1"/>
  <c r="M291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0" i="1"/>
  <c r="D299" i="1"/>
  <c r="D298" i="1"/>
  <c r="D297" i="1"/>
  <c r="D296" i="1"/>
  <c r="D295" i="1"/>
  <c r="D294" i="1"/>
  <c r="D293" i="1"/>
  <c r="D292" i="1"/>
  <c r="D291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68" i="1"/>
  <c r="D267" i="1"/>
  <c r="D269" i="1"/>
  <c r="D263" i="1"/>
  <c r="D264" i="1"/>
  <c r="D265" i="1"/>
  <c r="D266" i="1"/>
  <c r="D262" i="1"/>
  <c r="D261" i="1"/>
  <c r="L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59" i="1"/>
  <c r="M258" i="1"/>
  <c r="M257" i="1"/>
  <c r="M256" i="1"/>
  <c r="M255" i="1"/>
  <c r="M254" i="1"/>
  <c r="M253" i="1"/>
  <c r="M252" i="1"/>
  <c r="M251" i="1"/>
  <c r="M250" i="1"/>
  <c r="D259" i="1"/>
  <c r="D258" i="1"/>
  <c r="D257" i="1"/>
  <c r="D256" i="1"/>
  <c r="D255" i="1"/>
  <c r="D254" i="1"/>
  <c r="D253" i="1"/>
  <c r="D252" i="1"/>
  <c r="D251" i="1"/>
  <c r="D250" i="1"/>
  <c r="M243" i="1"/>
  <c r="L244" i="1"/>
  <c r="D243" i="1"/>
  <c r="M242" i="1"/>
  <c r="D242" i="1"/>
  <c r="M241" i="1"/>
  <c r="D241" i="1"/>
  <c r="M240" i="1"/>
  <c r="D240" i="1"/>
  <c r="M239" i="1"/>
  <c r="D239" i="1"/>
  <c r="M238" i="1"/>
  <c r="D238" i="1"/>
  <c r="M237" i="1"/>
  <c r="D237" i="1"/>
  <c r="M236" i="1"/>
  <c r="D236" i="1"/>
  <c r="M235" i="1"/>
  <c r="D235" i="1"/>
  <c r="M234" i="1"/>
  <c r="D234" i="1"/>
  <c r="M233" i="1"/>
  <c r="D233" i="1"/>
  <c r="M232" i="1"/>
  <c r="D232" i="1"/>
  <c r="M231" i="1"/>
  <c r="D231" i="1"/>
  <c r="M230" i="1"/>
  <c r="D230" i="1"/>
  <c r="M229" i="1"/>
  <c r="D229" i="1"/>
  <c r="M228" i="1"/>
  <c r="D228" i="1"/>
  <c r="M227" i="1"/>
  <c r="D227" i="1"/>
  <c r="M226" i="1"/>
  <c r="D226" i="1"/>
  <c r="M225" i="1"/>
  <c r="D225" i="1"/>
  <c r="M224" i="1"/>
  <c r="D224" i="1"/>
  <c r="M223" i="1"/>
  <c r="D223" i="1"/>
  <c r="M222" i="1"/>
  <c r="D222" i="1"/>
  <c r="M221" i="1"/>
  <c r="D221" i="1"/>
  <c r="M220" i="1"/>
  <c r="D220" i="1"/>
  <c r="M218" i="1"/>
  <c r="D218" i="1"/>
  <c r="M217" i="1"/>
  <c r="D217" i="1"/>
  <c r="M216" i="1"/>
  <c r="D216" i="1"/>
  <c r="M215" i="1"/>
  <c r="D215" i="1"/>
  <c r="M214" i="1"/>
  <c r="D214" i="1"/>
  <c r="M213" i="1"/>
  <c r="D213" i="1"/>
  <c r="M212" i="1"/>
  <c r="D212" i="1"/>
  <c r="M211" i="1"/>
  <c r="D211" i="1"/>
  <c r="M210" i="1"/>
  <c r="D210" i="1"/>
  <c r="M209" i="1"/>
  <c r="D209" i="1"/>
  <c r="L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7" i="1"/>
  <c r="M176" i="1"/>
  <c r="M175" i="1"/>
  <c r="M174" i="1"/>
  <c r="M173" i="1"/>
  <c r="M172" i="1"/>
  <c r="M171" i="1"/>
  <c r="M170" i="1"/>
  <c r="M169" i="1"/>
  <c r="M168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7" i="1"/>
  <c r="D176" i="1"/>
  <c r="D175" i="1"/>
  <c r="D174" i="1"/>
  <c r="D173" i="1"/>
  <c r="D172" i="1"/>
  <c r="D171" i="1"/>
  <c r="D170" i="1"/>
  <c r="D169" i="1"/>
  <c r="D168" i="1"/>
  <c r="L162" i="1"/>
  <c r="M161" i="1"/>
  <c r="D161" i="1"/>
  <c r="M160" i="1"/>
  <c r="D160" i="1"/>
  <c r="M159" i="1"/>
  <c r="D159" i="1"/>
  <c r="M158" i="1"/>
  <c r="D158" i="1"/>
  <c r="M157" i="1"/>
  <c r="D157" i="1"/>
  <c r="M156" i="1"/>
  <c r="D156" i="1"/>
  <c r="M155" i="1"/>
  <c r="D155" i="1"/>
  <c r="M154" i="1"/>
  <c r="D154" i="1"/>
  <c r="M153" i="1"/>
  <c r="D153" i="1"/>
  <c r="M152" i="1"/>
  <c r="D152" i="1"/>
  <c r="M151" i="1"/>
  <c r="D151" i="1"/>
  <c r="M150" i="1"/>
  <c r="D150" i="1"/>
  <c r="M149" i="1"/>
  <c r="D149" i="1"/>
  <c r="M148" i="1"/>
  <c r="D148" i="1"/>
  <c r="M147" i="1"/>
  <c r="D147" i="1"/>
  <c r="M146" i="1"/>
  <c r="D146" i="1"/>
  <c r="M145" i="1"/>
  <c r="D145" i="1"/>
  <c r="M144" i="1"/>
  <c r="D144" i="1"/>
  <c r="M143" i="1"/>
  <c r="D143" i="1"/>
  <c r="M142" i="1"/>
  <c r="D142" i="1"/>
  <c r="M141" i="1"/>
  <c r="D141" i="1"/>
  <c r="M140" i="1"/>
  <c r="D140" i="1"/>
  <c r="M139" i="1"/>
  <c r="D139" i="1"/>
  <c r="D138" i="1"/>
  <c r="M138" i="1"/>
  <c r="M136" i="1"/>
  <c r="D136" i="1"/>
  <c r="M135" i="1"/>
  <c r="D135" i="1"/>
  <c r="M134" i="1"/>
  <c r="D134" i="1"/>
  <c r="M133" i="1"/>
  <c r="D133" i="1"/>
  <c r="M132" i="1"/>
  <c r="D132" i="1"/>
  <c r="M131" i="1"/>
  <c r="D131" i="1"/>
  <c r="M130" i="1"/>
  <c r="D130" i="1"/>
  <c r="M129" i="1"/>
  <c r="D129" i="1"/>
  <c r="M128" i="1"/>
  <c r="D128" i="1"/>
  <c r="M127" i="1"/>
  <c r="D127" i="1"/>
  <c r="L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5" i="1"/>
  <c r="M94" i="1"/>
  <c r="M93" i="1"/>
  <c r="M92" i="1"/>
  <c r="M91" i="1"/>
  <c r="M90" i="1"/>
  <c r="M89" i="1"/>
  <c r="M88" i="1"/>
  <c r="M87" i="1"/>
  <c r="M86" i="1"/>
  <c r="D86" i="1"/>
  <c r="D87" i="1"/>
  <c r="D88" i="1"/>
  <c r="D89" i="1"/>
  <c r="D90" i="1"/>
  <c r="D91" i="1"/>
  <c r="D92" i="1"/>
  <c r="D93" i="1"/>
  <c r="D94" i="1"/>
  <c r="D95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60" i="1"/>
  <c r="L39" i="1"/>
  <c r="L80" i="1"/>
  <c r="M79" i="1"/>
  <c r="D79" i="1"/>
  <c r="M78" i="1"/>
  <c r="D78" i="1"/>
  <c r="M77" i="1"/>
  <c r="D77" i="1"/>
  <c r="M76" i="1"/>
  <c r="D76" i="1"/>
  <c r="M75" i="1"/>
  <c r="D75" i="1"/>
  <c r="M74" i="1"/>
  <c r="D74" i="1"/>
  <c r="M73" i="1"/>
  <c r="D73" i="1"/>
  <c r="M72" i="1"/>
  <c r="D72" i="1"/>
  <c r="M71" i="1"/>
  <c r="D71" i="1"/>
  <c r="M70" i="1"/>
  <c r="D70" i="1"/>
  <c r="M69" i="1"/>
  <c r="D69" i="1"/>
  <c r="M68" i="1"/>
  <c r="D68" i="1"/>
  <c r="M67" i="1"/>
  <c r="D67" i="1"/>
  <c r="M66" i="1"/>
  <c r="D66" i="1"/>
  <c r="M65" i="1"/>
  <c r="D65" i="1"/>
  <c r="M64" i="1"/>
  <c r="D64" i="1"/>
  <c r="M63" i="1"/>
  <c r="D63" i="1"/>
  <c r="M62" i="1"/>
  <c r="D62" i="1"/>
  <c r="M61" i="1"/>
  <c r="D61" i="1"/>
  <c r="M60" i="1"/>
  <c r="M59" i="1"/>
  <c r="D59" i="1"/>
  <c r="M58" i="1"/>
  <c r="D58" i="1"/>
  <c r="M57" i="1"/>
  <c r="D57" i="1"/>
  <c r="M56" i="1"/>
  <c r="D56" i="1"/>
  <c r="D46" i="1"/>
  <c r="M54" i="1"/>
  <c r="D54" i="1"/>
  <c r="M53" i="1"/>
  <c r="D53" i="1"/>
  <c r="M52" i="1"/>
  <c r="D52" i="1"/>
  <c r="M51" i="1"/>
  <c r="D51" i="1"/>
  <c r="M50" i="1"/>
  <c r="D50" i="1"/>
  <c r="M49" i="1"/>
  <c r="D49" i="1"/>
  <c r="M48" i="1"/>
  <c r="D48" i="1"/>
  <c r="M47" i="1"/>
  <c r="D47" i="1"/>
  <c r="M46" i="1"/>
  <c r="M45" i="1"/>
  <c r="D45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15" i="1"/>
  <c r="M3" i="1"/>
  <c r="M4" i="1"/>
  <c r="M5" i="1"/>
  <c r="M6" i="1"/>
  <c r="M7" i="1"/>
  <c r="M8" i="1"/>
  <c r="M9" i="1"/>
  <c r="M10" i="1"/>
  <c r="M11" i="1"/>
  <c r="M12" i="1"/>
  <c r="M13" i="1"/>
  <c r="L14" i="1"/>
  <c r="D4" i="1"/>
  <c r="D5" i="1"/>
  <c r="D6" i="1"/>
  <c r="D7" i="1"/>
  <c r="D8" i="1"/>
  <c r="D9" i="1"/>
  <c r="D10" i="1"/>
  <c r="D11" i="1"/>
  <c r="D12" i="1"/>
  <c r="D13" i="1"/>
  <c r="D3" i="1"/>
  <c r="G3623" i="1"/>
  <c r="E465" i="2" l="1"/>
  <c r="E476" i="2" s="1"/>
  <c r="E502" i="2" s="1"/>
  <c r="K465" i="2"/>
  <c r="K476" i="2" s="1"/>
  <c r="K502" i="2" s="1"/>
  <c r="K507" i="2" s="1"/>
  <c r="K518" i="2" s="1"/>
  <c r="K544" i="2" s="1"/>
  <c r="K549" i="2" s="1"/>
  <c r="J465" i="2"/>
  <c r="J476" i="2" s="1"/>
  <c r="J502" i="2" s="1"/>
  <c r="J507" i="2" s="1"/>
  <c r="J518" i="2" s="1"/>
  <c r="J544" i="2" s="1"/>
  <c r="J549" i="2" s="1"/>
  <c r="F293" i="2"/>
  <c r="C98" i="2"/>
  <c r="C124" i="2" s="1"/>
  <c r="C129" i="2" s="1"/>
  <c r="I98" i="2"/>
  <c r="I124" i="2" s="1"/>
  <c r="I129" i="2" s="1"/>
  <c r="L87" i="2"/>
  <c r="L98" i="2" s="1"/>
  <c r="L124" i="2" s="1"/>
  <c r="D3566" i="1"/>
  <c r="D3730" i="1"/>
  <c r="Q40" i="2"/>
  <c r="T40" i="2"/>
  <c r="T45" i="2" s="1"/>
  <c r="U45" i="2" s="1"/>
  <c r="U56" i="2" s="1"/>
  <c r="U82" i="2" s="1"/>
  <c r="D3607" i="1"/>
  <c r="M1351" i="1"/>
  <c r="L40" i="2"/>
  <c r="F45" i="2"/>
  <c r="F56" i="2" s="1"/>
  <c r="F82" i="2" s="1"/>
  <c r="D56" i="2"/>
  <c r="D82" i="2" s="1"/>
  <c r="D87" i="2" s="1"/>
  <c r="D98" i="2" s="1"/>
  <c r="D124" i="2" s="1"/>
  <c r="D129" i="2" s="1"/>
  <c r="D140" i="2" s="1"/>
  <c r="D166" i="2" s="1"/>
  <c r="D171" i="2" s="1"/>
  <c r="D182" i="2" s="1"/>
  <c r="D208" i="2" s="1"/>
  <c r="D213" i="2" s="1"/>
  <c r="D224" i="2" s="1"/>
  <c r="D250" i="2" s="1"/>
  <c r="D255" i="2" s="1"/>
  <c r="Q45" i="2"/>
  <c r="Q56" i="2" s="1"/>
  <c r="Q82" i="2" s="1"/>
  <c r="P56" i="2"/>
  <c r="P82" i="2" s="1"/>
  <c r="P87" i="2" s="1"/>
  <c r="L45" i="2"/>
  <c r="L56" i="2" s="1"/>
  <c r="L82" i="2" s="1"/>
  <c r="F40" i="2"/>
  <c r="M3812" i="1"/>
  <c r="M2909" i="1"/>
  <c r="M2376" i="1"/>
  <c r="M3032" i="1"/>
  <c r="M3484" i="1"/>
  <c r="M3771" i="1"/>
  <c r="H3623" i="1"/>
  <c r="M2171" i="1"/>
  <c r="U39" i="2"/>
  <c r="M2868" i="1"/>
  <c r="M2950" i="1"/>
  <c r="D3073" i="1"/>
  <c r="D3402" i="1"/>
  <c r="M244" i="1"/>
  <c r="D982" i="1"/>
  <c r="M1105" i="1"/>
  <c r="D1187" i="1"/>
  <c r="M1269" i="1"/>
  <c r="D1310" i="1"/>
  <c r="D1638" i="1"/>
  <c r="D1720" i="1"/>
  <c r="M1761" i="1"/>
  <c r="D2171" i="1"/>
  <c r="M2622" i="1"/>
  <c r="D2622" i="1"/>
  <c r="L1065" i="1"/>
  <c r="L1069" i="1" s="1"/>
  <c r="L1080" i="1" s="1"/>
  <c r="L1106" i="1" s="1"/>
  <c r="L1110" i="1" s="1"/>
  <c r="M3073" i="1"/>
  <c r="D3238" i="1"/>
  <c r="M3320" i="1"/>
  <c r="D3361" i="1"/>
  <c r="D3484" i="1"/>
  <c r="M3730" i="1"/>
  <c r="H3648" i="1"/>
  <c r="H3771" i="1"/>
  <c r="M3648" i="1"/>
  <c r="H3894" i="1"/>
  <c r="C40" i="1"/>
  <c r="C44" i="1" s="1"/>
  <c r="D1351" i="1"/>
  <c r="D1843" i="1"/>
  <c r="M2335" i="1"/>
  <c r="D2417" i="1"/>
  <c r="M2458" i="1"/>
  <c r="D2909" i="1"/>
  <c r="M3114" i="1"/>
  <c r="M3155" i="1"/>
  <c r="D3196" i="1"/>
  <c r="M3402" i="1"/>
  <c r="M3607" i="1"/>
  <c r="D14" i="1"/>
  <c r="M39" i="1"/>
  <c r="M121" i="1"/>
  <c r="D162" i="1"/>
  <c r="M203" i="1"/>
  <c r="D285" i="1"/>
  <c r="D326" i="1"/>
  <c r="M367" i="1"/>
  <c r="D449" i="1"/>
  <c r="D490" i="1"/>
  <c r="M490" i="1"/>
  <c r="D572" i="1"/>
  <c r="M613" i="1"/>
  <c r="D654" i="1"/>
  <c r="M695" i="1"/>
  <c r="D695" i="1"/>
  <c r="D736" i="1"/>
  <c r="M777" i="1"/>
  <c r="D818" i="1"/>
  <c r="M859" i="1"/>
  <c r="D900" i="1"/>
  <c r="D941" i="1"/>
  <c r="M982" i="1"/>
  <c r="D1023" i="1"/>
  <c r="M1039" i="1"/>
  <c r="M1064" i="1"/>
  <c r="D1105" i="1"/>
  <c r="D1146" i="1"/>
  <c r="M1187" i="1"/>
  <c r="D3279" i="1"/>
  <c r="H3935" i="1"/>
  <c r="L40" i="1"/>
  <c r="L44" i="1" s="1"/>
  <c r="M162" i="1"/>
  <c r="D1392" i="1"/>
  <c r="D1474" i="1"/>
  <c r="M1515" i="1"/>
  <c r="M1802" i="1"/>
  <c r="D1966" i="1"/>
  <c r="D2130" i="1"/>
  <c r="D2335" i="1"/>
  <c r="D2376" i="1"/>
  <c r="M2417" i="1"/>
  <c r="D2458" i="1"/>
  <c r="D2704" i="1"/>
  <c r="M2745" i="1"/>
  <c r="M2827" i="1"/>
  <c r="D3114" i="1"/>
  <c r="D3155" i="1"/>
  <c r="D3443" i="1"/>
  <c r="M3525" i="1"/>
  <c r="M3566" i="1"/>
  <c r="D3771" i="1"/>
  <c r="D3812" i="1"/>
  <c r="M1310" i="1"/>
  <c r="D1433" i="1"/>
  <c r="D1556" i="1"/>
  <c r="M1638" i="1"/>
  <c r="M1679" i="1"/>
  <c r="M2007" i="1"/>
  <c r="M2253" i="1"/>
  <c r="D2499" i="1"/>
  <c r="D2581" i="1"/>
  <c r="D2786" i="1"/>
  <c r="D2991" i="1"/>
  <c r="M3196" i="1"/>
  <c r="D3320" i="1"/>
  <c r="D3689" i="1"/>
  <c r="H3689" i="1"/>
  <c r="H3812" i="1"/>
  <c r="H3853" i="1"/>
  <c r="U14" i="2"/>
  <c r="M3894" i="1"/>
  <c r="M14" i="1"/>
  <c r="M285" i="1"/>
  <c r="M654" i="1"/>
  <c r="D80" i="1"/>
  <c r="M408" i="1"/>
  <c r="D39" i="1"/>
  <c r="M80" i="1"/>
  <c r="D244" i="1"/>
  <c r="M736" i="1"/>
  <c r="M818" i="1"/>
  <c r="M941" i="1"/>
  <c r="D1269" i="1"/>
  <c r="D121" i="1"/>
  <c r="M326" i="1"/>
  <c r="D408" i="1"/>
  <c r="M531" i="1"/>
  <c r="D613" i="1"/>
  <c r="M900" i="1"/>
  <c r="D1228" i="1"/>
  <c r="M1392" i="1"/>
  <c r="M1474" i="1"/>
  <c r="D1515" i="1"/>
  <c r="M1556" i="1"/>
  <c r="D1597" i="1"/>
  <c r="D2048" i="1"/>
  <c r="D203" i="1"/>
  <c r="D367" i="1"/>
  <c r="M449" i="1"/>
  <c r="D531" i="1"/>
  <c r="M572" i="1"/>
  <c r="D777" i="1"/>
  <c r="D859" i="1"/>
  <c r="M1023" i="1"/>
  <c r="D1064" i="1"/>
  <c r="M1146" i="1"/>
  <c r="M1228" i="1"/>
  <c r="M1433" i="1"/>
  <c r="M1597" i="1"/>
  <c r="D1761" i="1"/>
  <c r="M1843" i="1"/>
  <c r="D1884" i="1"/>
  <c r="D1925" i="1"/>
  <c r="D2007" i="1"/>
  <c r="M2130" i="1"/>
  <c r="D2253" i="1"/>
  <c r="D2294" i="1"/>
  <c r="M2499" i="1"/>
  <c r="M2540" i="1"/>
  <c r="M2581" i="1"/>
  <c r="M2786" i="1"/>
  <c r="D3922" i="1"/>
  <c r="D3935" i="1" s="1"/>
  <c r="C3935" i="1"/>
  <c r="D2663" i="1"/>
  <c r="M2663" i="1"/>
  <c r="M3935" i="1"/>
  <c r="C3853" i="1"/>
  <c r="D3851" i="1"/>
  <c r="D3853" i="1" s="1"/>
  <c r="G3649" i="1"/>
  <c r="G3653" i="1" s="1"/>
  <c r="D3874" i="1"/>
  <c r="D3894" i="1" s="1"/>
  <c r="C3894" i="1"/>
  <c r="D1679" i="1"/>
  <c r="M1720" i="1"/>
  <c r="D1802" i="1"/>
  <c r="M1884" i="1"/>
  <c r="M1925" i="1"/>
  <c r="M1966" i="1"/>
  <c r="M2089" i="1"/>
  <c r="M2048" i="1"/>
  <c r="D2089" i="1"/>
  <c r="D2212" i="1"/>
  <c r="M2212" i="1"/>
  <c r="M2294" i="1"/>
  <c r="D2540" i="1"/>
  <c r="M2704" i="1"/>
  <c r="D2745" i="1"/>
  <c r="D2827" i="1"/>
  <c r="D2868" i="1"/>
  <c r="D2950" i="1"/>
  <c r="D3032" i="1"/>
  <c r="M3238" i="1"/>
  <c r="M3279" i="1"/>
  <c r="M3361" i="1"/>
  <c r="M3443" i="1"/>
  <c r="D3525" i="1"/>
  <c r="H3730" i="1"/>
  <c r="M3853" i="1"/>
  <c r="M2991" i="1"/>
  <c r="D3648" i="1"/>
  <c r="M3689" i="1"/>
  <c r="E507" i="2" l="1"/>
  <c r="E518" i="2" s="1"/>
  <c r="E544" i="2" s="1"/>
  <c r="E549" i="2" s="1"/>
  <c r="E560" i="2" s="1"/>
  <c r="E586" i="2" s="1"/>
  <c r="E591" i="2" s="1"/>
  <c r="E602" i="2" s="1"/>
  <c r="E628" i="2" s="1"/>
  <c r="E633" i="2" s="1"/>
  <c r="E644" i="2" s="1"/>
  <c r="E670" i="2" s="1"/>
  <c r="E675" i="2" s="1"/>
  <c r="E686" i="2" s="1"/>
  <c r="E712" i="2" s="1"/>
  <c r="E717" i="2" s="1"/>
  <c r="E728" i="2" s="1"/>
  <c r="E754" i="2" s="1"/>
  <c r="E759" i="2" s="1"/>
  <c r="E770" i="2" s="1"/>
  <c r="E796" i="2" s="1"/>
  <c r="E801" i="2" s="1"/>
  <c r="E812" i="2" s="1"/>
  <c r="E838" i="2" s="1"/>
  <c r="E843" i="2" s="1"/>
  <c r="E854" i="2" s="1"/>
  <c r="E880" i="2" s="1"/>
  <c r="E885" i="2" s="1"/>
  <c r="E896" i="2" s="1"/>
  <c r="E922" i="2" s="1"/>
  <c r="E927" i="2" s="1"/>
  <c r="E938" i="2" s="1"/>
  <c r="E964" i="2" s="1"/>
  <c r="E969" i="2" s="1"/>
  <c r="E980" i="2" s="1"/>
  <c r="E1006" i="2" s="1"/>
  <c r="E1011" i="2" s="1"/>
  <c r="E1022" i="2" s="1"/>
  <c r="E1048" i="2" s="1"/>
  <c r="E1053" i="2" s="1"/>
  <c r="E1064" i="2" s="1"/>
  <c r="E1090" i="2" s="1"/>
  <c r="E1095" i="2" s="1"/>
  <c r="E1106" i="2" s="1"/>
  <c r="E1132" i="2" s="1"/>
  <c r="E1137" i="2" s="1"/>
  <c r="E1148" i="2" s="1"/>
  <c r="E1174" i="2" s="1"/>
  <c r="E1179" i="2" s="1"/>
  <c r="E1190" i="2" s="1"/>
  <c r="E1216" i="2" s="1"/>
  <c r="E1221" i="2" s="1"/>
  <c r="E1232" i="2" s="1"/>
  <c r="E1258" i="2" s="1"/>
  <c r="E1263" i="2" s="1"/>
  <c r="E1274" i="2" s="1"/>
  <c r="E1300" i="2" s="1"/>
  <c r="E1305" i="2" s="1"/>
  <c r="E1316" i="2" s="1"/>
  <c r="E1342" i="2" s="1"/>
  <c r="E1347" i="2" s="1"/>
  <c r="E1358" i="2" s="1"/>
  <c r="E1384" i="2" s="1"/>
  <c r="E1389" i="2" s="1"/>
  <c r="E1400" i="2" s="1"/>
  <c r="E1426" i="2" s="1"/>
  <c r="E1431" i="2" s="1"/>
  <c r="E1442" i="2" s="1"/>
  <c r="E1468" i="2" s="1"/>
  <c r="E1473" i="2" s="1"/>
  <c r="E1484" i="2" s="1"/>
  <c r="E1510" i="2" s="1"/>
  <c r="E1515" i="2" s="1"/>
  <c r="E1526" i="2" s="1"/>
  <c r="E1552" i="2" s="1"/>
  <c r="E1557" i="2" s="1"/>
  <c r="E1568" i="2" s="1"/>
  <c r="E1594" i="2" s="1"/>
  <c r="E1599" i="2" s="1"/>
  <c r="E1610" i="2" s="1"/>
  <c r="E1636" i="2" s="1"/>
  <c r="E1641" i="2" s="1"/>
  <c r="E1652" i="2" s="1"/>
  <c r="E1678" i="2" s="1"/>
  <c r="E1683" i="2" s="1"/>
  <c r="E1694" i="2" s="1"/>
  <c r="E1720" i="2" s="1"/>
  <c r="E1725" i="2" s="1"/>
  <c r="E1736" i="2" s="1"/>
  <c r="E1762" i="2" s="1"/>
  <c r="E1767" i="2" s="1"/>
  <c r="E1778" i="2" s="1"/>
  <c r="E1804" i="2" s="1"/>
  <c r="E1809" i="2" s="1"/>
  <c r="E1820" i="2" s="1"/>
  <c r="E1846" i="2" s="1"/>
  <c r="E1851" i="2" s="1"/>
  <c r="E1862" i="2" s="1"/>
  <c r="E1888" i="2" s="1"/>
  <c r="E1893" i="2" s="1"/>
  <c r="E1904" i="2" s="1"/>
  <c r="E1930" i="2" s="1"/>
  <c r="E1935" i="2" s="1"/>
  <c r="E1946" i="2" s="1"/>
  <c r="E1972" i="2" s="1"/>
  <c r="E1977" i="2" s="1"/>
  <c r="E1988" i="2" s="1"/>
  <c r="E2014" i="2" s="1"/>
  <c r="E2019" i="2" s="1"/>
  <c r="E2030" i="2" s="1"/>
  <c r="E2056" i="2" s="1"/>
  <c r="E2061" i="2" s="1"/>
  <c r="E2072" i="2" s="1"/>
  <c r="E2098" i="2" s="1"/>
  <c r="J560" i="2"/>
  <c r="J586" i="2" s="1"/>
  <c r="J591" i="2" s="1"/>
  <c r="J602" i="2" s="1"/>
  <c r="J628" i="2" s="1"/>
  <c r="J633" i="2" s="1"/>
  <c r="J644" i="2" s="1"/>
  <c r="J670" i="2" s="1"/>
  <c r="J675" i="2" s="1"/>
  <c r="J686" i="2" s="1"/>
  <c r="J712" i="2" s="1"/>
  <c r="J717" i="2" s="1"/>
  <c r="J728" i="2" s="1"/>
  <c r="J754" i="2" s="1"/>
  <c r="J759" i="2" s="1"/>
  <c r="J770" i="2" s="1"/>
  <c r="J796" i="2" s="1"/>
  <c r="J801" i="2" s="1"/>
  <c r="J812" i="2" s="1"/>
  <c r="J838" i="2" s="1"/>
  <c r="J843" i="2" s="1"/>
  <c r="J854" i="2" s="1"/>
  <c r="J880" i="2" s="1"/>
  <c r="J885" i="2" s="1"/>
  <c r="J896" i="2" s="1"/>
  <c r="J922" i="2" s="1"/>
  <c r="J927" i="2" s="1"/>
  <c r="J938" i="2" s="1"/>
  <c r="J964" i="2" s="1"/>
  <c r="J969" i="2" s="1"/>
  <c r="J980" i="2" s="1"/>
  <c r="J1006" i="2" s="1"/>
  <c r="J1011" i="2" s="1"/>
  <c r="J1022" i="2" s="1"/>
  <c r="J1048" i="2" s="1"/>
  <c r="J1053" i="2" s="1"/>
  <c r="J1064" i="2" s="1"/>
  <c r="J1090" i="2" s="1"/>
  <c r="J1095" i="2" s="1"/>
  <c r="J1106" i="2" s="1"/>
  <c r="J1132" i="2" s="1"/>
  <c r="J1137" i="2" s="1"/>
  <c r="J1148" i="2" s="1"/>
  <c r="J1174" i="2" s="1"/>
  <c r="J1179" i="2" s="1"/>
  <c r="J1190" i="2" s="1"/>
  <c r="J1216" i="2" s="1"/>
  <c r="J1221" i="2" s="1"/>
  <c r="J1232" i="2" s="1"/>
  <c r="J1258" i="2" s="1"/>
  <c r="J1263" i="2" s="1"/>
  <c r="J1274" i="2" s="1"/>
  <c r="J1300" i="2" s="1"/>
  <c r="J1305" i="2" s="1"/>
  <c r="J1316" i="2" s="1"/>
  <c r="J1342" i="2" s="1"/>
  <c r="J1347" i="2" s="1"/>
  <c r="J1358" i="2" s="1"/>
  <c r="J1384" i="2" s="1"/>
  <c r="J1389" i="2" s="1"/>
  <c r="J1400" i="2" s="1"/>
  <c r="J1426" i="2" s="1"/>
  <c r="J1431" i="2" s="1"/>
  <c r="J1442" i="2" s="1"/>
  <c r="J1468" i="2" s="1"/>
  <c r="J1473" i="2" s="1"/>
  <c r="J1484" i="2" s="1"/>
  <c r="J1510" i="2" s="1"/>
  <c r="J1515" i="2" s="1"/>
  <c r="J1526" i="2" s="1"/>
  <c r="J1552" i="2" s="1"/>
  <c r="J1557" i="2" s="1"/>
  <c r="J1568" i="2" s="1"/>
  <c r="J1594" i="2" s="1"/>
  <c r="J1599" i="2" s="1"/>
  <c r="J1610" i="2" s="1"/>
  <c r="J1636" i="2" s="1"/>
  <c r="J1641" i="2" s="1"/>
  <c r="J1678" i="2" s="1"/>
  <c r="J1683" i="2" s="1"/>
  <c r="K560" i="2"/>
  <c r="K586" i="2" s="1"/>
  <c r="K591" i="2" s="1"/>
  <c r="K602" i="2" s="1"/>
  <c r="K628" i="2" s="1"/>
  <c r="K633" i="2" s="1"/>
  <c r="K644" i="2" s="1"/>
  <c r="K670" i="2" s="1"/>
  <c r="K675" i="2" s="1"/>
  <c r="K686" i="2" s="1"/>
  <c r="K712" i="2" s="1"/>
  <c r="K717" i="2" s="1"/>
  <c r="K728" i="2" s="1"/>
  <c r="K754" i="2" s="1"/>
  <c r="K759" i="2" s="1"/>
  <c r="K770" i="2" s="1"/>
  <c r="K796" i="2" s="1"/>
  <c r="K801" i="2" s="1"/>
  <c r="K812" i="2" s="1"/>
  <c r="K838" i="2" s="1"/>
  <c r="K843" i="2" s="1"/>
  <c r="K854" i="2" s="1"/>
  <c r="K880" i="2" s="1"/>
  <c r="K885" i="2" s="1"/>
  <c r="K896" i="2" s="1"/>
  <c r="K922" i="2" s="1"/>
  <c r="K927" i="2" s="1"/>
  <c r="K938" i="2" s="1"/>
  <c r="K964" i="2" s="1"/>
  <c r="K969" i="2" s="1"/>
  <c r="K980" i="2" s="1"/>
  <c r="K1006" i="2" s="1"/>
  <c r="K1011" i="2" s="1"/>
  <c r="K1022" i="2" s="1"/>
  <c r="K1048" i="2" s="1"/>
  <c r="K1053" i="2" s="1"/>
  <c r="K1064" i="2" s="1"/>
  <c r="K1090" i="2" s="1"/>
  <c r="K1095" i="2" s="1"/>
  <c r="K1106" i="2" s="1"/>
  <c r="K1132" i="2" s="1"/>
  <c r="K1137" i="2" s="1"/>
  <c r="K1148" i="2" s="1"/>
  <c r="K1174" i="2" s="1"/>
  <c r="K1179" i="2" s="1"/>
  <c r="K1190" i="2" s="1"/>
  <c r="K1216" i="2" s="1"/>
  <c r="K1221" i="2" s="1"/>
  <c r="K1232" i="2" s="1"/>
  <c r="K1258" i="2" s="1"/>
  <c r="K1263" i="2" s="1"/>
  <c r="K1274" i="2" s="1"/>
  <c r="K1300" i="2" s="1"/>
  <c r="K1305" i="2" s="1"/>
  <c r="K1316" i="2" s="1"/>
  <c r="K1342" i="2" s="1"/>
  <c r="K1347" i="2" s="1"/>
  <c r="K1358" i="2" s="1"/>
  <c r="K1384" i="2" s="1"/>
  <c r="K1389" i="2" s="1"/>
  <c r="K1400" i="2" s="1"/>
  <c r="K1426" i="2" s="1"/>
  <c r="K1431" i="2" s="1"/>
  <c r="K1442" i="2" s="1"/>
  <c r="K1468" i="2" s="1"/>
  <c r="K1473" i="2" s="1"/>
  <c r="K1484" i="2" s="1"/>
  <c r="K1510" i="2" s="1"/>
  <c r="K1515" i="2" s="1"/>
  <c r="K1526" i="2" s="1"/>
  <c r="K1552" i="2" s="1"/>
  <c r="K1557" i="2" s="1"/>
  <c r="K1568" i="2" s="1"/>
  <c r="K1594" i="2" s="1"/>
  <c r="K1599" i="2" s="1"/>
  <c r="K1610" i="2" s="1"/>
  <c r="K1636" i="2" s="1"/>
  <c r="K1641" i="2" s="1"/>
  <c r="K1678" i="2" s="1"/>
  <c r="K1683" i="2" s="1"/>
  <c r="C4019" i="1"/>
  <c r="D266" i="2"/>
  <c r="D292" i="2" s="1"/>
  <c r="D297" i="2" s="1"/>
  <c r="D308" i="2" s="1"/>
  <c r="D334" i="2" s="1"/>
  <c r="D339" i="2" s="1"/>
  <c r="D350" i="2" s="1"/>
  <c r="D376" i="2" s="1"/>
  <c r="D381" i="2" s="1"/>
  <c r="D392" i="2" s="1"/>
  <c r="D418" i="2" s="1"/>
  <c r="D423" i="2" s="1"/>
  <c r="D434" i="2" s="1"/>
  <c r="D460" i="2" s="1"/>
  <c r="L129" i="2"/>
  <c r="L140" i="2" s="1"/>
  <c r="L166" i="2" s="1"/>
  <c r="I140" i="2"/>
  <c r="I166" i="2" s="1"/>
  <c r="I171" i="2" s="1"/>
  <c r="C140" i="2"/>
  <c r="C166" i="2" s="1"/>
  <c r="C171" i="2" s="1"/>
  <c r="F129" i="2"/>
  <c r="F140" i="2" s="1"/>
  <c r="F166" i="2" s="1"/>
  <c r="P98" i="2"/>
  <c r="P124" i="2" s="1"/>
  <c r="P129" i="2" s="1"/>
  <c r="Q87" i="2"/>
  <c r="Q98" i="2" s="1"/>
  <c r="Q124" i="2" s="1"/>
  <c r="F87" i="2"/>
  <c r="F98" i="2" s="1"/>
  <c r="F124" i="2" s="1"/>
  <c r="T56" i="2"/>
  <c r="T82" i="2" s="1"/>
  <c r="T87" i="2" s="1"/>
  <c r="M40" i="1"/>
  <c r="D40" i="1"/>
  <c r="U40" i="2"/>
  <c r="M1069" i="1"/>
  <c r="M1080" i="1" s="1"/>
  <c r="M1106" i="1" s="1"/>
  <c r="H3649" i="1"/>
  <c r="D44" i="1"/>
  <c r="D55" i="1" s="1"/>
  <c r="D81" i="1" s="1"/>
  <c r="C55" i="1"/>
  <c r="C81" i="1" s="1"/>
  <c r="C85" i="1" s="1"/>
  <c r="M44" i="1"/>
  <c r="M55" i="1" s="1"/>
  <c r="M81" i="1" s="1"/>
  <c r="L55" i="1"/>
  <c r="L81" i="1" s="1"/>
  <c r="L85" i="1" s="1"/>
  <c r="M1065" i="1"/>
  <c r="G3664" i="1"/>
  <c r="G3690" i="1" s="1"/>
  <c r="G3694" i="1" s="1"/>
  <c r="H3653" i="1"/>
  <c r="H3664" i="1" s="1"/>
  <c r="H3690" i="1" s="1"/>
  <c r="L1121" i="1"/>
  <c r="L1147" i="1" s="1"/>
  <c r="L1151" i="1" s="1"/>
  <c r="M1110" i="1"/>
  <c r="M1121" i="1" s="1"/>
  <c r="M1147" i="1" s="1"/>
  <c r="K1694" i="2" l="1"/>
  <c r="K1720" i="2" s="1"/>
  <c r="K1736" i="2" s="1"/>
  <c r="K1762" i="2" s="1"/>
  <c r="J1694" i="2"/>
  <c r="J1720" i="2" s="1"/>
  <c r="J1736" i="2" s="1"/>
  <c r="J1762" i="2" s="1"/>
  <c r="D465" i="2"/>
  <c r="D476" i="2" s="1"/>
  <c r="D502" i="2" s="1"/>
  <c r="D507" i="2" s="1"/>
  <c r="D518" i="2" s="1"/>
  <c r="D544" i="2" s="1"/>
  <c r="D549" i="2" s="1"/>
  <c r="F171" i="2"/>
  <c r="F182" i="2" s="1"/>
  <c r="F208" i="2" s="1"/>
  <c r="C182" i="2"/>
  <c r="C208" i="2" s="1"/>
  <c r="C213" i="2" s="1"/>
  <c r="L171" i="2"/>
  <c r="L182" i="2" s="1"/>
  <c r="L208" i="2" s="1"/>
  <c r="I182" i="2"/>
  <c r="I208" i="2" s="1"/>
  <c r="I213" i="2" s="1"/>
  <c r="P140" i="2"/>
  <c r="P166" i="2" s="1"/>
  <c r="P171" i="2" s="1"/>
  <c r="Q129" i="2"/>
  <c r="Q140" i="2" s="1"/>
  <c r="Q166" i="2" s="1"/>
  <c r="T98" i="2"/>
  <c r="T124" i="2" s="1"/>
  <c r="T129" i="2" s="1"/>
  <c r="U87" i="2"/>
  <c r="U98" i="2" s="1"/>
  <c r="U124" i="2" s="1"/>
  <c r="D85" i="1"/>
  <c r="D96" i="1" s="1"/>
  <c r="D122" i="1" s="1"/>
  <c r="C96" i="1"/>
  <c r="C122" i="1" s="1"/>
  <c r="C126" i="1" s="1"/>
  <c r="L96" i="1"/>
  <c r="L122" i="1" s="1"/>
  <c r="L126" i="1" s="1"/>
  <c r="M85" i="1"/>
  <c r="M96" i="1" s="1"/>
  <c r="M122" i="1" s="1"/>
  <c r="G3705" i="1"/>
  <c r="G3731" i="1" s="1"/>
  <c r="G3735" i="1" s="1"/>
  <c r="H3694" i="1"/>
  <c r="H3705" i="1" s="1"/>
  <c r="H3731" i="1" s="1"/>
  <c r="M1151" i="1"/>
  <c r="M1162" i="1" s="1"/>
  <c r="M1188" i="1" s="1"/>
  <c r="L1162" i="1"/>
  <c r="L1188" i="1" s="1"/>
  <c r="L1192" i="1" s="1"/>
  <c r="J1767" i="2" l="1"/>
  <c r="J1778" i="2" s="1"/>
  <c r="J1804" i="2" s="1"/>
  <c r="J1809" i="2" s="1"/>
  <c r="J1820" i="2" s="1"/>
  <c r="J1846" i="2" s="1"/>
  <c r="J1851" i="2" s="1"/>
  <c r="J1862" i="2" s="1"/>
  <c r="J1888" i="2" s="1"/>
  <c r="J1893" i="2" s="1"/>
  <c r="J1904" i="2" s="1"/>
  <c r="J1930" i="2" s="1"/>
  <c r="J1935" i="2" s="1"/>
  <c r="J1946" i="2" s="1"/>
  <c r="J1972" i="2" s="1"/>
  <c r="J1977" i="2" s="1"/>
  <c r="J1988" i="2" s="1"/>
  <c r="J2014" i="2" s="1"/>
  <c r="J2019" i="2" s="1"/>
  <c r="J2030" i="2" s="1"/>
  <c r="J2056" i="2" s="1"/>
  <c r="J2061" i="2" s="1"/>
  <c r="J2072" i="2" s="1"/>
  <c r="J2098" i="2" s="1"/>
  <c r="K1778" i="2"/>
  <c r="K1804" i="2" s="1"/>
  <c r="K1809" i="2" s="1"/>
  <c r="K1820" i="2" s="1"/>
  <c r="K1846" i="2" s="1"/>
  <c r="K1851" i="2" s="1"/>
  <c r="K1862" i="2" s="1"/>
  <c r="K1888" i="2" s="1"/>
  <c r="K1893" i="2" s="1"/>
  <c r="K1904" i="2" s="1"/>
  <c r="K1930" i="2" s="1"/>
  <c r="K1935" i="2" s="1"/>
  <c r="K1946" i="2" s="1"/>
  <c r="K1972" i="2" s="1"/>
  <c r="K1977" i="2" s="1"/>
  <c r="K1988" i="2" s="1"/>
  <c r="K2014" i="2" s="1"/>
  <c r="K2019" i="2" s="1"/>
  <c r="K2030" i="2" s="1"/>
  <c r="K2056" i="2" s="1"/>
  <c r="K2061" i="2" s="1"/>
  <c r="K2072" i="2" s="1"/>
  <c r="K2098" i="2" s="1"/>
  <c r="K1767" i="2"/>
  <c r="D560" i="2"/>
  <c r="D586" i="2" s="1"/>
  <c r="D591" i="2" s="1"/>
  <c r="D602" i="2" s="1"/>
  <c r="D628" i="2" s="1"/>
  <c r="D633" i="2" s="1"/>
  <c r="D644" i="2" s="1"/>
  <c r="D670" i="2" s="1"/>
  <c r="D675" i="2" s="1"/>
  <c r="D686" i="2" s="1"/>
  <c r="D712" i="2" s="1"/>
  <c r="D717" i="2" s="1"/>
  <c r="D728" i="2" s="1"/>
  <c r="D754" i="2" s="1"/>
  <c r="D759" i="2" s="1"/>
  <c r="D770" i="2" s="1"/>
  <c r="D796" i="2" s="1"/>
  <c r="D801" i="2" s="1"/>
  <c r="D812" i="2" s="1"/>
  <c r="D838" i="2" s="1"/>
  <c r="D843" i="2" s="1"/>
  <c r="D854" i="2" s="1"/>
  <c r="D880" i="2" s="1"/>
  <c r="D885" i="2" s="1"/>
  <c r="D896" i="2" s="1"/>
  <c r="D922" i="2" s="1"/>
  <c r="D927" i="2" s="1"/>
  <c r="D938" i="2" s="1"/>
  <c r="D964" i="2" s="1"/>
  <c r="D969" i="2" s="1"/>
  <c r="D980" i="2" s="1"/>
  <c r="D1006" i="2" s="1"/>
  <c r="D1011" i="2" s="1"/>
  <c r="D1022" i="2" s="1"/>
  <c r="D1048" i="2" s="1"/>
  <c r="D1053" i="2" s="1"/>
  <c r="D1064" i="2" s="1"/>
  <c r="D1090" i="2" s="1"/>
  <c r="D1095" i="2" s="1"/>
  <c r="D1106" i="2" s="1"/>
  <c r="D1132" i="2" s="1"/>
  <c r="D1137" i="2" s="1"/>
  <c r="D1148" i="2" s="1"/>
  <c r="D1174" i="2" s="1"/>
  <c r="D1179" i="2" s="1"/>
  <c r="D1190" i="2" s="1"/>
  <c r="D1216" i="2" s="1"/>
  <c r="D1221" i="2" s="1"/>
  <c r="D1232" i="2" s="1"/>
  <c r="D1258" i="2" s="1"/>
  <c r="D1263" i="2" s="1"/>
  <c r="D1274" i="2" s="1"/>
  <c r="D1300" i="2" s="1"/>
  <c r="D1305" i="2" s="1"/>
  <c r="D1316" i="2" s="1"/>
  <c r="D1342" i="2" s="1"/>
  <c r="D1347" i="2" s="1"/>
  <c r="D1358" i="2" s="1"/>
  <c r="D1384" i="2" s="1"/>
  <c r="D1389" i="2" s="1"/>
  <c r="D1400" i="2" s="1"/>
  <c r="D1426" i="2" s="1"/>
  <c r="D1431" i="2" s="1"/>
  <c r="D1442" i="2" s="1"/>
  <c r="D1468" i="2" s="1"/>
  <c r="D1473" i="2" s="1"/>
  <c r="D1484" i="2" s="1"/>
  <c r="D1510" i="2" s="1"/>
  <c r="D1515" i="2" s="1"/>
  <c r="D1526" i="2" s="1"/>
  <c r="D1552" i="2" s="1"/>
  <c r="D1557" i="2" s="1"/>
  <c r="D1568" i="2" s="1"/>
  <c r="D1594" i="2" s="1"/>
  <c r="D1599" i="2" s="1"/>
  <c r="D1610" i="2" s="1"/>
  <c r="D1636" i="2" s="1"/>
  <c r="D1641" i="2" s="1"/>
  <c r="D1652" i="2" s="1"/>
  <c r="D1678" i="2" s="1"/>
  <c r="D1683" i="2" s="1"/>
  <c r="D1694" i="2" s="1"/>
  <c r="D1720" i="2" s="1"/>
  <c r="D1725" i="2" s="1"/>
  <c r="D1736" i="2" s="1"/>
  <c r="D1762" i="2" s="1"/>
  <c r="D1767" i="2" s="1"/>
  <c r="D1778" i="2" s="1"/>
  <c r="D1804" i="2" s="1"/>
  <c r="D1809" i="2" s="1"/>
  <c r="D1820" i="2" s="1"/>
  <c r="D1846" i="2" s="1"/>
  <c r="D1851" i="2" s="1"/>
  <c r="D1862" i="2" s="1"/>
  <c r="D1888" i="2" s="1"/>
  <c r="D1893" i="2" s="1"/>
  <c r="D1904" i="2" s="1"/>
  <c r="D1930" i="2" s="1"/>
  <c r="D1935" i="2" s="1"/>
  <c r="D1946" i="2" s="1"/>
  <c r="D1972" i="2" s="1"/>
  <c r="D1977" i="2" s="1"/>
  <c r="D1988" i="2" s="1"/>
  <c r="D2014" i="2" s="1"/>
  <c r="D2019" i="2" s="1"/>
  <c r="D2030" i="2" s="1"/>
  <c r="D2056" i="2" s="1"/>
  <c r="D2061" i="2" s="1"/>
  <c r="D2072" i="2" s="1"/>
  <c r="D2098" i="2" s="1"/>
  <c r="C224" i="2"/>
  <c r="C250" i="2" s="1"/>
  <c r="C255" i="2" s="1"/>
  <c r="F213" i="2"/>
  <c r="F224" i="2" s="1"/>
  <c r="F250" i="2" s="1"/>
  <c r="I224" i="2"/>
  <c r="I250" i="2" s="1"/>
  <c r="I255" i="2" s="1"/>
  <c r="L213" i="2"/>
  <c r="L224" i="2" s="1"/>
  <c r="L250" i="2" s="1"/>
  <c r="Q171" i="2"/>
  <c r="Q182" i="2" s="1"/>
  <c r="Q208" i="2" s="1"/>
  <c r="P182" i="2"/>
  <c r="P208" i="2" s="1"/>
  <c r="P213" i="2" s="1"/>
  <c r="T140" i="2"/>
  <c r="T166" i="2" s="1"/>
  <c r="T171" i="2" s="1"/>
  <c r="U129" i="2"/>
  <c r="U140" i="2" s="1"/>
  <c r="U166" i="2" s="1"/>
  <c r="C137" i="1"/>
  <c r="C163" i="1" s="1"/>
  <c r="C167" i="1" s="1"/>
  <c r="D126" i="1"/>
  <c r="D137" i="1" s="1"/>
  <c r="D163" i="1" s="1"/>
  <c r="M126" i="1"/>
  <c r="M137" i="1" s="1"/>
  <c r="M163" i="1" s="1"/>
  <c r="L137" i="1"/>
  <c r="L163" i="1" s="1"/>
  <c r="L167" i="1" s="1"/>
  <c r="M1192" i="1"/>
  <c r="M1203" i="1" s="1"/>
  <c r="M1229" i="1" s="1"/>
  <c r="L1203" i="1"/>
  <c r="L1229" i="1" s="1"/>
  <c r="L1233" i="1" s="1"/>
  <c r="H3735" i="1"/>
  <c r="H3746" i="1" s="1"/>
  <c r="H3772" i="1" s="1"/>
  <c r="G3746" i="1"/>
  <c r="G3772" i="1" s="1"/>
  <c r="G3776" i="1" s="1"/>
  <c r="C266" i="2" l="1"/>
  <c r="C292" i="2" s="1"/>
  <c r="C297" i="2" s="1"/>
  <c r="F255" i="2"/>
  <c r="F266" i="2" s="1"/>
  <c r="F292" i="2" s="1"/>
  <c r="L255" i="2"/>
  <c r="L266" i="2" s="1"/>
  <c r="L292" i="2" s="1"/>
  <c r="I266" i="2"/>
  <c r="I292" i="2" s="1"/>
  <c r="I297" i="2" s="1"/>
  <c r="P224" i="2"/>
  <c r="P250" i="2" s="1"/>
  <c r="P255" i="2" s="1"/>
  <c r="Q213" i="2"/>
  <c r="Q224" i="2" s="1"/>
  <c r="Q250" i="2" s="1"/>
  <c r="U171" i="2"/>
  <c r="U182" i="2" s="1"/>
  <c r="U208" i="2" s="1"/>
  <c r="T182" i="2"/>
  <c r="T208" i="2" s="1"/>
  <c r="T213" i="2" s="1"/>
  <c r="C178" i="1"/>
  <c r="C204" i="1" s="1"/>
  <c r="C208" i="1" s="1"/>
  <c r="D167" i="1"/>
  <c r="D178" i="1" s="1"/>
  <c r="D204" i="1" s="1"/>
  <c r="M167" i="1"/>
  <c r="M178" i="1" s="1"/>
  <c r="M204" i="1" s="1"/>
  <c r="L178" i="1"/>
  <c r="L204" i="1" s="1"/>
  <c r="L208" i="1" s="1"/>
  <c r="M1233" i="1"/>
  <c r="M1244" i="1" s="1"/>
  <c r="M1270" i="1" s="1"/>
  <c r="L1244" i="1"/>
  <c r="L1270" i="1" s="1"/>
  <c r="L1274" i="1" s="1"/>
  <c r="H3776" i="1"/>
  <c r="H3787" i="1" s="1"/>
  <c r="H3813" i="1" s="1"/>
  <c r="G3787" i="1"/>
  <c r="G3813" i="1" s="1"/>
  <c r="G3817" i="1" s="1"/>
  <c r="L297" i="2" l="1"/>
  <c r="L308" i="2" s="1"/>
  <c r="L334" i="2" s="1"/>
  <c r="I308" i="2"/>
  <c r="I334" i="2" s="1"/>
  <c r="I339" i="2" s="1"/>
  <c r="F297" i="2"/>
  <c r="F308" i="2" s="1"/>
  <c r="F334" i="2" s="1"/>
  <c r="C308" i="2"/>
  <c r="C334" i="2" s="1"/>
  <c r="C339" i="2" s="1"/>
  <c r="P266" i="2"/>
  <c r="P292" i="2" s="1"/>
  <c r="P297" i="2" s="1"/>
  <c r="Q255" i="2"/>
  <c r="Q266" i="2" s="1"/>
  <c r="Q292" i="2" s="1"/>
  <c r="T224" i="2"/>
  <c r="T250" i="2" s="1"/>
  <c r="T255" i="2" s="1"/>
  <c r="U213" i="2"/>
  <c r="U224" i="2" s="1"/>
  <c r="U250" i="2" s="1"/>
  <c r="D208" i="1"/>
  <c r="D219" i="1" s="1"/>
  <c r="D245" i="1" s="1"/>
  <c r="C219" i="1"/>
  <c r="C245" i="1" s="1"/>
  <c r="C249" i="1" s="1"/>
  <c r="M208" i="1"/>
  <c r="M219" i="1" s="1"/>
  <c r="M245" i="1" s="1"/>
  <c r="L219" i="1"/>
  <c r="L245" i="1" s="1"/>
  <c r="L249" i="1" s="1"/>
  <c r="L1285" i="1"/>
  <c r="L1311" i="1" s="1"/>
  <c r="L1315" i="1" s="1"/>
  <c r="M1274" i="1"/>
  <c r="M1285" i="1" s="1"/>
  <c r="M1311" i="1" s="1"/>
  <c r="H3817" i="1"/>
  <c r="H3828" i="1" s="1"/>
  <c r="H3854" i="1" s="1"/>
  <c r="G3828" i="1"/>
  <c r="G3854" i="1" s="1"/>
  <c r="G3858" i="1" s="1"/>
  <c r="Q297" i="2" l="1"/>
  <c r="Q308" i="2" s="1"/>
  <c r="Q334" i="2" s="1"/>
  <c r="P308" i="2"/>
  <c r="P334" i="2" s="1"/>
  <c r="P339" i="2" s="1"/>
  <c r="C350" i="2"/>
  <c r="C376" i="2" s="1"/>
  <c r="C381" i="2" s="1"/>
  <c r="F339" i="2"/>
  <c r="F350" i="2" s="1"/>
  <c r="F376" i="2" s="1"/>
  <c r="I350" i="2"/>
  <c r="I376" i="2" s="1"/>
  <c r="I381" i="2" s="1"/>
  <c r="L339" i="2"/>
  <c r="L350" i="2" s="1"/>
  <c r="L376" i="2" s="1"/>
  <c r="T266" i="2"/>
  <c r="T292" i="2" s="1"/>
  <c r="T297" i="2" s="1"/>
  <c r="U255" i="2"/>
  <c r="U266" i="2" s="1"/>
  <c r="U292" i="2" s="1"/>
  <c r="C260" i="1"/>
  <c r="C286" i="1" s="1"/>
  <c r="C290" i="1" s="1"/>
  <c r="D249" i="1"/>
  <c r="D260" i="1" s="1"/>
  <c r="D286" i="1" s="1"/>
  <c r="L260" i="1"/>
  <c r="L286" i="1" s="1"/>
  <c r="L290" i="1" s="1"/>
  <c r="M249" i="1"/>
  <c r="M260" i="1" s="1"/>
  <c r="M286" i="1" s="1"/>
  <c r="H3858" i="1"/>
  <c r="H3869" i="1" s="1"/>
  <c r="H3895" i="1" s="1"/>
  <c r="G3869" i="1"/>
  <c r="G3895" i="1" s="1"/>
  <c r="G3899" i="1" s="1"/>
  <c r="L1326" i="1"/>
  <c r="L1352" i="1" s="1"/>
  <c r="L1356" i="1" s="1"/>
  <c r="M1315" i="1"/>
  <c r="M1326" i="1" s="1"/>
  <c r="M1352" i="1" s="1"/>
  <c r="F381" i="2" l="1"/>
  <c r="F392" i="2" s="1"/>
  <c r="F418" i="2" s="1"/>
  <c r="C392" i="2"/>
  <c r="C418" i="2" s="1"/>
  <c r="C423" i="2" s="1"/>
  <c r="I392" i="2"/>
  <c r="I418" i="2" s="1"/>
  <c r="I423" i="2" s="1"/>
  <c r="L381" i="2"/>
  <c r="L392" i="2" s="1"/>
  <c r="L418" i="2" s="1"/>
  <c r="P350" i="2"/>
  <c r="P376" i="2" s="1"/>
  <c r="P381" i="2" s="1"/>
  <c r="Q339" i="2"/>
  <c r="Q350" i="2" s="1"/>
  <c r="Q376" i="2" s="1"/>
  <c r="U297" i="2"/>
  <c r="U308" i="2" s="1"/>
  <c r="U334" i="2" s="1"/>
  <c r="T308" i="2"/>
  <c r="T334" i="2" s="1"/>
  <c r="T339" i="2" s="1"/>
  <c r="D290" i="1"/>
  <c r="D301" i="1" s="1"/>
  <c r="D327" i="1" s="1"/>
  <c r="C301" i="1"/>
  <c r="C327" i="1" s="1"/>
  <c r="C331" i="1" s="1"/>
  <c r="L301" i="1"/>
  <c r="L327" i="1" s="1"/>
  <c r="L331" i="1" s="1"/>
  <c r="M290" i="1"/>
  <c r="M301" i="1" s="1"/>
  <c r="M327" i="1" s="1"/>
  <c r="G3910" i="1"/>
  <c r="G3936" i="1" s="1"/>
  <c r="G3940" i="1" s="1"/>
  <c r="H3899" i="1"/>
  <c r="H3910" i="1" s="1"/>
  <c r="H3936" i="1" s="1"/>
  <c r="M1356" i="1"/>
  <c r="M1367" i="1" s="1"/>
  <c r="M1393" i="1" s="1"/>
  <c r="L1367" i="1"/>
  <c r="L1393" i="1" s="1"/>
  <c r="L1397" i="1" s="1"/>
  <c r="C434" i="2" l="1"/>
  <c r="C460" i="2" s="1"/>
  <c r="F423" i="2"/>
  <c r="F434" i="2" s="1"/>
  <c r="F460" i="2" s="1"/>
  <c r="I434" i="2"/>
  <c r="I460" i="2" s="1"/>
  <c r="L423" i="2"/>
  <c r="L434" i="2" s="1"/>
  <c r="L460" i="2" s="1"/>
  <c r="P392" i="2"/>
  <c r="P418" i="2" s="1"/>
  <c r="P423" i="2" s="1"/>
  <c r="Q381" i="2"/>
  <c r="Q392" i="2" s="1"/>
  <c r="Q418" i="2" s="1"/>
  <c r="U339" i="2"/>
  <c r="U350" i="2" s="1"/>
  <c r="U376" i="2" s="1"/>
  <c r="T350" i="2"/>
  <c r="T376" i="2" s="1"/>
  <c r="T381" i="2" s="1"/>
  <c r="D331" i="1"/>
  <c r="D342" i="1" s="1"/>
  <c r="D368" i="1" s="1"/>
  <c r="C342" i="1"/>
  <c r="C368" i="1" s="1"/>
  <c r="C372" i="1" s="1"/>
  <c r="L342" i="1"/>
  <c r="L368" i="1" s="1"/>
  <c r="L372" i="1" s="1"/>
  <c r="M331" i="1"/>
  <c r="M342" i="1" s="1"/>
  <c r="M368" i="1" s="1"/>
  <c r="G3951" i="1"/>
  <c r="G3977" i="1" s="1"/>
  <c r="G3981" i="1" s="1"/>
  <c r="H3940" i="1"/>
  <c r="H3951" i="1" s="1"/>
  <c r="H3977" i="1" s="1"/>
  <c r="L1408" i="1"/>
  <c r="L1434" i="1" s="1"/>
  <c r="L1438" i="1" s="1"/>
  <c r="M1397" i="1"/>
  <c r="M1408" i="1" s="1"/>
  <c r="M1434" i="1" s="1"/>
  <c r="I465" i="2" l="1"/>
  <c r="L465" i="2" s="1"/>
  <c r="L476" i="2" s="1"/>
  <c r="L502" i="2" s="1"/>
  <c r="L507" i="2" s="1"/>
  <c r="C465" i="2"/>
  <c r="C476" i="2" s="1"/>
  <c r="C502" i="2" s="1"/>
  <c r="C507" i="2" s="1"/>
  <c r="C518" i="2" s="1"/>
  <c r="C544" i="2" s="1"/>
  <c r="C549" i="2" s="1"/>
  <c r="C560" i="2" s="1"/>
  <c r="C586" i="2" s="1"/>
  <c r="C591" i="2" s="1"/>
  <c r="C602" i="2" s="1"/>
  <c r="C628" i="2" s="1"/>
  <c r="C633" i="2" s="1"/>
  <c r="C644" i="2" s="1"/>
  <c r="C670" i="2" s="1"/>
  <c r="C675" i="2" s="1"/>
  <c r="C686" i="2" s="1"/>
  <c r="C712" i="2" s="1"/>
  <c r="C717" i="2" s="1"/>
  <c r="C728" i="2" s="1"/>
  <c r="C754" i="2" s="1"/>
  <c r="C759" i="2" s="1"/>
  <c r="C770" i="2" s="1"/>
  <c r="C796" i="2" s="1"/>
  <c r="C801" i="2" s="1"/>
  <c r="C812" i="2" s="1"/>
  <c r="C838" i="2" s="1"/>
  <c r="C843" i="2" s="1"/>
  <c r="C854" i="2" s="1"/>
  <c r="C880" i="2" s="1"/>
  <c r="C885" i="2" s="1"/>
  <c r="C896" i="2" s="1"/>
  <c r="C922" i="2" s="1"/>
  <c r="C927" i="2" s="1"/>
  <c r="C938" i="2" s="1"/>
  <c r="C964" i="2" s="1"/>
  <c r="C969" i="2" s="1"/>
  <c r="C980" i="2" s="1"/>
  <c r="C1006" i="2" s="1"/>
  <c r="C1011" i="2" s="1"/>
  <c r="C1022" i="2" s="1"/>
  <c r="C1048" i="2" s="1"/>
  <c r="C1053" i="2" s="1"/>
  <c r="C1064" i="2" s="1"/>
  <c r="C1090" i="2" s="1"/>
  <c r="C1095" i="2" s="1"/>
  <c r="C1106" i="2" s="1"/>
  <c r="C1132" i="2" s="1"/>
  <c r="C1137" i="2" s="1"/>
  <c r="C1148" i="2" s="1"/>
  <c r="C1174" i="2" s="1"/>
  <c r="C1179" i="2" s="1"/>
  <c r="C1190" i="2" s="1"/>
  <c r="C1216" i="2" s="1"/>
  <c r="C1221" i="2" s="1"/>
  <c r="C1232" i="2" s="1"/>
  <c r="C1258" i="2" s="1"/>
  <c r="C1263" i="2" s="1"/>
  <c r="C1274" i="2" s="1"/>
  <c r="C1300" i="2" s="1"/>
  <c r="C1305" i="2" s="1"/>
  <c r="C1316" i="2" s="1"/>
  <c r="C1342" i="2" s="1"/>
  <c r="C1347" i="2" s="1"/>
  <c r="C1358" i="2" s="1"/>
  <c r="C1384" i="2" s="1"/>
  <c r="C1389" i="2" s="1"/>
  <c r="C1400" i="2" s="1"/>
  <c r="C1426" i="2" s="1"/>
  <c r="C1431" i="2" s="1"/>
  <c r="C1442" i="2" s="1"/>
  <c r="C1468" i="2" s="1"/>
  <c r="C1473" i="2" s="1"/>
  <c r="C1484" i="2" s="1"/>
  <c r="C1510" i="2" s="1"/>
  <c r="C1515" i="2" s="1"/>
  <c r="C1526" i="2" s="1"/>
  <c r="C1552" i="2" s="1"/>
  <c r="C1557" i="2" s="1"/>
  <c r="C1568" i="2" s="1"/>
  <c r="C1594" i="2" s="1"/>
  <c r="C1599" i="2" s="1"/>
  <c r="C1610" i="2" s="1"/>
  <c r="C1636" i="2" s="1"/>
  <c r="C1641" i="2" s="1"/>
  <c r="C1652" i="2" s="1"/>
  <c r="C1678" i="2" s="1"/>
  <c r="C1683" i="2" s="1"/>
  <c r="C1694" i="2" s="1"/>
  <c r="C1720" i="2" s="1"/>
  <c r="C1725" i="2" s="1"/>
  <c r="C1736" i="2" s="1"/>
  <c r="C1762" i="2" s="1"/>
  <c r="C1767" i="2" s="1"/>
  <c r="C1778" i="2" s="1"/>
  <c r="C1804" i="2" s="1"/>
  <c r="C1809" i="2" s="1"/>
  <c r="C1820" i="2" s="1"/>
  <c r="C1846" i="2" s="1"/>
  <c r="C1851" i="2" s="1"/>
  <c r="C1862" i="2" s="1"/>
  <c r="C1888" i="2" s="1"/>
  <c r="C1893" i="2" s="1"/>
  <c r="C1904" i="2" s="1"/>
  <c r="C1930" i="2" s="1"/>
  <c r="C1935" i="2" s="1"/>
  <c r="C1946" i="2" s="1"/>
  <c r="C1972" i="2" s="1"/>
  <c r="C1977" i="2" s="1"/>
  <c r="C1988" i="2" s="1"/>
  <c r="C2014" i="2" s="1"/>
  <c r="C2019" i="2" s="1"/>
  <c r="C2030" i="2" s="1"/>
  <c r="C2056" i="2" s="1"/>
  <c r="C2061" i="2" s="1"/>
  <c r="C2072" i="2" s="1"/>
  <c r="C2098" i="2" s="1"/>
  <c r="C2103" i="2" s="1"/>
  <c r="C2114" i="2" s="1"/>
  <c r="C2140" i="2" s="1"/>
  <c r="C2145" i="2" s="1"/>
  <c r="C2156" i="2" s="1"/>
  <c r="C2182" i="2" s="1"/>
  <c r="C2187" i="2" s="1"/>
  <c r="C2198" i="2" s="1"/>
  <c r="C2224" i="2" s="1"/>
  <c r="P434" i="2"/>
  <c r="P460" i="2" s="1"/>
  <c r="Q423" i="2"/>
  <c r="Q434" i="2" s="1"/>
  <c r="Q460" i="2" s="1"/>
  <c r="U381" i="2"/>
  <c r="U392" i="2" s="1"/>
  <c r="U418" i="2" s="1"/>
  <c r="T392" i="2"/>
  <c r="T418" i="2" s="1"/>
  <c r="T423" i="2" s="1"/>
  <c r="G3992" i="1"/>
  <c r="G4018" i="1" s="1"/>
  <c r="H3981" i="1"/>
  <c r="H3992" i="1" s="1"/>
  <c r="H4018" i="1" s="1"/>
  <c r="D372" i="1"/>
  <c r="D383" i="1" s="1"/>
  <c r="D409" i="1" s="1"/>
  <c r="C383" i="1"/>
  <c r="C409" i="1" s="1"/>
  <c r="C413" i="1" s="1"/>
  <c r="M372" i="1"/>
  <c r="M383" i="1" s="1"/>
  <c r="M409" i="1" s="1"/>
  <c r="L383" i="1"/>
  <c r="L409" i="1" s="1"/>
  <c r="L413" i="1" s="1"/>
  <c r="L1449" i="1"/>
  <c r="L1475" i="1" s="1"/>
  <c r="L1479" i="1" s="1"/>
  <c r="M1438" i="1"/>
  <c r="M1449" i="1" s="1"/>
  <c r="M1475" i="1" s="1"/>
  <c r="I476" i="2" l="1"/>
  <c r="I502" i="2" s="1"/>
  <c r="I507" i="2" s="1"/>
  <c r="I518" i="2" s="1"/>
  <c r="I544" i="2" s="1"/>
  <c r="I549" i="2" s="1"/>
  <c r="I560" i="2" s="1"/>
  <c r="I586" i="2" s="1"/>
  <c r="I591" i="2" s="1"/>
  <c r="I602" i="2" s="1"/>
  <c r="I628" i="2" s="1"/>
  <c r="I633" i="2" s="1"/>
  <c r="I644" i="2" s="1"/>
  <c r="I670" i="2" s="1"/>
  <c r="I675" i="2" s="1"/>
  <c r="I686" i="2" s="1"/>
  <c r="I712" i="2" s="1"/>
  <c r="I717" i="2" s="1"/>
  <c r="I728" i="2" s="1"/>
  <c r="I754" i="2" s="1"/>
  <c r="I759" i="2" s="1"/>
  <c r="I770" i="2" s="1"/>
  <c r="I796" i="2" s="1"/>
  <c r="I801" i="2" s="1"/>
  <c r="I812" i="2" s="1"/>
  <c r="I838" i="2" s="1"/>
  <c r="I843" i="2" s="1"/>
  <c r="I854" i="2" s="1"/>
  <c r="I880" i="2" s="1"/>
  <c r="I885" i="2" s="1"/>
  <c r="I896" i="2" s="1"/>
  <c r="I922" i="2" s="1"/>
  <c r="I927" i="2" s="1"/>
  <c r="I938" i="2" s="1"/>
  <c r="I964" i="2" s="1"/>
  <c r="I969" i="2" s="1"/>
  <c r="I980" i="2" s="1"/>
  <c r="I1006" i="2" s="1"/>
  <c r="I1011" i="2" s="1"/>
  <c r="I1022" i="2" s="1"/>
  <c r="I1048" i="2" s="1"/>
  <c r="I1053" i="2" s="1"/>
  <c r="I1064" i="2" s="1"/>
  <c r="I1090" i="2" s="1"/>
  <c r="I1095" i="2" s="1"/>
  <c r="I1106" i="2" s="1"/>
  <c r="I1132" i="2" s="1"/>
  <c r="I1137" i="2" s="1"/>
  <c r="I1148" i="2" s="1"/>
  <c r="I1174" i="2" s="1"/>
  <c r="I1179" i="2" s="1"/>
  <c r="I1190" i="2" s="1"/>
  <c r="I1216" i="2" s="1"/>
  <c r="I1221" i="2" s="1"/>
  <c r="I1232" i="2" s="1"/>
  <c r="I1258" i="2" s="1"/>
  <c r="I1263" i="2" s="1"/>
  <c r="I1274" i="2" s="1"/>
  <c r="I1300" i="2" s="1"/>
  <c r="I1305" i="2" s="1"/>
  <c r="I1316" i="2" s="1"/>
  <c r="I1342" i="2" s="1"/>
  <c r="I1347" i="2" s="1"/>
  <c r="I1358" i="2" s="1"/>
  <c r="I1384" i="2" s="1"/>
  <c r="I1389" i="2" s="1"/>
  <c r="I1400" i="2" s="1"/>
  <c r="I1426" i="2" s="1"/>
  <c r="I1431" i="2" s="1"/>
  <c r="I1442" i="2" s="1"/>
  <c r="I1468" i="2" s="1"/>
  <c r="I1473" i="2" s="1"/>
  <c r="I1484" i="2" s="1"/>
  <c r="I1510" i="2" s="1"/>
  <c r="I1515" i="2" s="1"/>
  <c r="I1526" i="2" s="1"/>
  <c r="I1552" i="2" s="1"/>
  <c r="I1557" i="2" s="1"/>
  <c r="I1568" i="2" s="1"/>
  <c r="I1594" i="2" s="1"/>
  <c r="I1599" i="2" s="1"/>
  <c r="I1610" i="2" s="1"/>
  <c r="I1636" i="2" s="1"/>
  <c r="I1641" i="2" s="1"/>
  <c r="I1678" i="2" s="1"/>
  <c r="I1683" i="2" s="1"/>
  <c r="F465" i="2"/>
  <c r="F476" i="2" s="1"/>
  <c r="F502" i="2" s="1"/>
  <c r="F507" i="2" s="1"/>
  <c r="F518" i="2" s="1"/>
  <c r="F544" i="2" s="1"/>
  <c r="F549" i="2" s="1"/>
  <c r="F560" i="2" s="1"/>
  <c r="F586" i="2" s="1"/>
  <c r="F591" i="2" s="1"/>
  <c r="F602" i="2" s="1"/>
  <c r="F628" i="2" s="1"/>
  <c r="F633" i="2" s="1"/>
  <c r="F644" i="2" s="1"/>
  <c r="F670" i="2" s="1"/>
  <c r="F675" i="2" s="1"/>
  <c r="F686" i="2" s="1"/>
  <c r="F712" i="2" s="1"/>
  <c r="F717" i="2" s="1"/>
  <c r="F728" i="2" s="1"/>
  <c r="F754" i="2" s="1"/>
  <c r="F759" i="2" s="1"/>
  <c r="F770" i="2" s="1"/>
  <c r="F796" i="2" s="1"/>
  <c r="F801" i="2" s="1"/>
  <c r="F812" i="2" s="1"/>
  <c r="F838" i="2" s="1"/>
  <c r="F843" i="2" s="1"/>
  <c r="F854" i="2" s="1"/>
  <c r="F880" i="2" s="1"/>
  <c r="F885" i="2" s="1"/>
  <c r="F896" i="2" s="1"/>
  <c r="F922" i="2" s="1"/>
  <c r="F927" i="2" s="1"/>
  <c r="F938" i="2" s="1"/>
  <c r="F964" i="2" s="1"/>
  <c r="F969" i="2" s="1"/>
  <c r="F980" i="2" s="1"/>
  <c r="F1006" i="2" s="1"/>
  <c r="F1011" i="2" s="1"/>
  <c r="F1022" i="2" s="1"/>
  <c r="F1048" i="2" s="1"/>
  <c r="F1053" i="2" s="1"/>
  <c r="F1064" i="2" s="1"/>
  <c r="F1090" i="2" s="1"/>
  <c r="F1095" i="2" s="1"/>
  <c r="F1106" i="2" s="1"/>
  <c r="F1132" i="2" s="1"/>
  <c r="F1137" i="2" s="1"/>
  <c r="F1148" i="2" s="1"/>
  <c r="F1174" i="2" s="1"/>
  <c r="F1179" i="2" s="1"/>
  <c r="F1190" i="2" s="1"/>
  <c r="F1216" i="2" s="1"/>
  <c r="F1221" i="2" s="1"/>
  <c r="F1232" i="2" s="1"/>
  <c r="F1258" i="2" s="1"/>
  <c r="F1263" i="2" s="1"/>
  <c r="F1274" i="2" s="1"/>
  <c r="F1300" i="2" s="1"/>
  <c r="F1305" i="2" s="1"/>
  <c r="F1316" i="2" s="1"/>
  <c r="F1342" i="2" s="1"/>
  <c r="F1347" i="2" s="1"/>
  <c r="F1358" i="2" s="1"/>
  <c r="F1384" i="2" s="1"/>
  <c r="F1389" i="2" s="1"/>
  <c r="F1400" i="2" s="1"/>
  <c r="F1426" i="2" s="1"/>
  <c r="F1431" i="2" s="1"/>
  <c r="F1442" i="2" s="1"/>
  <c r="F1468" i="2" s="1"/>
  <c r="F1473" i="2" s="1"/>
  <c r="F1484" i="2" s="1"/>
  <c r="F1510" i="2" s="1"/>
  <c r="F1515" i="2" s="1"/>
  <c r="F1526" i="2" s="1"/>
  <c r="F1552" i="2" s="1"/>
  <c r="F1557" i="2" s="1"/>
  <c r="F1568" i="2" s="1"/>
  <c r="F1594" i="2" s="1"/>
  <c r="F1599" i="2" s="1"/>
  <c r="F1610" i="2" s="1"/>
  <c r="F1636" i="2" s="1"/>
  <c r="F1641" i="2" s="1"/>
  <c r="F1652" i="2" s="1"/>
  <c r="F1678" i="2" s="1"/>
  <c r="F1683" i="2" s="1"/>
  <c r="F1694" i="2" s="1"/>
  <c r="F1720" i="2" s="1"/>
  <c r="F1725" i="2" s="1"/>
  <c r="F1736" i="2" s="1"/>
  <c r="F1762" i="2" s="1"/>
  <c r="F1767" i="2" s="1"/>
  <c r="F1778" i="2" s="1"/>
  <c r="F1804" i="2" s="1"/>
  <c r="F1809" i="2" s="1"/>
  <c r="F1820" i="2" s="1"/>
  <c r="F1846" i="2" s="1"/>
  <c r="F1851" i="2" s="1"/>
  <c r="F1862" i="2" s="1"/>
  <c r="F1888" i="2" s="1"/>
  <c r="F1893" i="2" s="1"/>
  <c r="F1904" i="2" s="1"/>
  <c r="F1930" i="2" s="1"/>
  <c r="F1935" i="2" s="1"/>
  <c r="F1946" i="2" s="1"/>
  <c r="F1972" i="2" s="1"/>
  <c r="F1977" i="2" s="1"/>
  <c r="F1988" i="2" s="1"/>
  <c r="F2014" i="2" s="1"/>
  <c r="F2019" i="2" s="1"/>
  <c r="F2030" i="2" s="1"/>
  <c r="F2056" i="2" s="1"/>
  <c r="F2061" i="2" s="1"/>
  <c r="F2072" i="2" s="1"/>
  <c r="F2098" i="2" s="1"/>
  <c r="F2103" i="2" s="1"/>
  <c r="F2114" i="2" s="1"/>
  <c r="F2140" i="2" s="1"/>
  <c r="F2145" i="2" s="1"/>
  <c r="F2156" i="2" s="1"/>
  <c r="F2182" i="2" s="1"/>
  <c r="F2187" i="2" s="1"/>
  <c r="F2198" i="2" s="1"/>
  <c r="F2224" i="2" s="1"/>
  <c r="L518" i="2"/>
  <c r="L544" i="2" s="1"/>
  <c r="L549" i="2" s="1"/>
  <c r="L560" i="2" s="1"/>
  <c r="L586" i="2" s="1"/>
  <c r="L591" i="2" s="1"/>
  <c r="L602" i="2" s="1"/>
  <c r="L628" i="2" s="1"/>
  <c r="L633" i="2" s="1"/>
  <c r="L644" i="2" s="1"/>
  <c r="L670" i="2" s="1"/>
  <c r="L675" i="2" s="1"/>
  <c r="L686" i="2" s="1"/>
  <c r="L712" i="2" s="1"/>
  <c r="L717" i="2" s="1"/>
  <c r="L728" i="2" s="1"/>
  <c r="L754" i="2" s="1"/>
  <c r="L759" i="2" s="1"/>
  <c r="L770" i="2" s="1"/>
  <c r="L796" i="2" s="1"/>
  <c r="L801" i="2" s="1"/>
  <c r="L812" i="2" s="1"/>
  <c r="L838" i="2" s="1"/>
  <c r="L843" i="2" s="1"/>
  <c r="L854" i="2" s="1"/>
  <c r="L880" i="2" s="1"/>
  <c r="L885" i="2" s="1"/>
  <c r="L896" i="2" s="1"/>
  <c r="L922" i="2" s="1"/>
  <c r="L927" i="2" s="1"/>
  <c r="L938" i="2" s="1"/>
  <c r="L964" i="2" s="1"/>
  <c r="L969" i="2" s="1"/>
  <c r="L980" i="2" s="1"/>
  <c r="L1006" i="2" s="1"/>
  <c r="L1011" i="2" s="1"/>
  <c r="L1022" i="2" s="1"/>
  <c r="L1048" i="2" s="1"/>
  <c r="L1053" i="2" s="1"/>
  <c r="L1064" i="2" s="1"/>
  <c r="L1090" i="2" s="1"/>
  <c r="L1095" i="2" s="1"/>
  <c r="L1106" i="2" s="1"/>
  <c r="L1132" i="2" s="1"/>
  <c r="L1137" i="2" s="1"/>
  <c r="L1148" i="2" s="1"/>
  <c r="L1174" i="2" s="1"/>
  <c r="L1179" i="2" s="1"/>
  <c r="L1190" i="2" s="1"/>
  <c r="L1216" i="2" s="1"/>
  <c r="L1221" i="2" s="1"/>
  <c r="L1232" i="2" s="1"/>
  <c r="L1258" i="2" s="1"/>
  <c r="L1263" i="2" s="1"/>
  <c r="L1274" i="2" s="1"/>
  <c r="L1300" i="2" s="1"/>
  <c r="L1305" i="2" s="1"/>
  <c r="L1316" i="2" s="1"/>
  <c r="L1342" i="2" s="1"/>
  <c r="L1347" i="2" s="1"/>
  <c r="L1358" i="2" s="1"/>
  <c r="L1384" i="2" s="1"/>
  <c r="L1389" i="2" s="1"/>
  <c r="L1400" i="2" s="1"/>
  <c r="L1426" i="2" s="1"/>
  <c r="L1431" i="2" s="1"/>
  <c r="L1442" i="2" s="1"/>
  <c r="L1468" i="2" s="1"/>
  <c r="L1473" i="2" s="1"/>
  <c r="L1484" i="2" s="1"/>
  <c r="L1510" i="2" s="1"/>
  <c r="L1515" i="2" s="1"/>
  <c r="L1526" i="2" s="1"/>
  <c r="L1552" i="2" s="1"/>
  <c r="L1557" i="2" s="1"/>
  <c r="L1568" i="2" s="1"/>
  <c r="L1594" i="2" s="1"/>
  <c r="L1599" i="2" s="1"/>
  <c r="L1610" i="2" s="1"/>
  <c r="L1636" i="2" s="1"/>
  <c r="L1641" i="2" s="1"/>
  <c r="L1678" i="2" s="1"/>
  <c r="L1683" i="2" s="1"/>
  <c r="P465" i="2"/>
  <c r="P476" i="2" s="1"/>
  <c r="P502" i="2" s="1"/>
  <c r="P507" i="2" s="1"/>
  <c r="P518" i="2" s="1"/>
  <c r="T434" i="2"/>
  <c r="T460" i="2" s="1"/>
  <c r="U423" i="2"/>
  <c r="U434" i="2" s="1"/>
  <c r="U460" i="2" s="1"/>
  <c r="C424" i="1"/>
  <c r="C450" i="1" s="1"/>
  <c r="C454" i="1" s="1"/>
  <c r="D413" i="1"/>
  <c r="D424" i="1" s="1"/>
  <c r="D450" i="1" s="1"/>
  <c r="L424" i="1"/>
  <c r="L450" i="1" s="1"/>
  <c r="L454" i="1" s="1"/>
  <c r="M413" i="1"/>
  <c r="M424" i="1" s="1"/>
  <c r="M450" i="1" s="1"/>
  <c r="M1479" i="1"/>
  <c r="M1490" i="1" s="1"/>
  <c r="M1516" i="1" s="1"/>
  <c r="L1490" i="1"/>
  <c r="L1516" i="1" s="1"/>
  <c r="L1520" i="1" s="1"/>
  <c r="L1694" i="2" l="1"/>
  <c r="L1720" i="2" s="1"/>
  <c r="L1736" i="2" s="1"/>
  <c r="L1762" i="2" s="1"/>
  <c r="I1694" i="2"/>
  <c r="I1720" i="2" s="1"/>
  <c r="I1736" i="2" s="1"/>
  <c r="I1762" i="2" s="1"/>
  <c r="Q465" i="2"/>
  <c r="Q476" i="2" s="1"/>
  <c r="Q502" i="2" s="1"/>
  <c r="Q507" i="2" s="1"/>
  <c r="Q518" i="2" s="1"/>
  <c r="Q544" i="2" s="1"/>
  <c r="Q549" i="2" s="1"/>
  <c r="Q560" i="2" s="1"/>
  <c r="Q586" i="2" s="1"/>
  <c r="Q591" i="2" s="1"/>
  <c r="Q602" i="2" s="1"/>
  <c r="Q628" i="2" s="1"/>
  <c r="Q633" i="2" s="1"/>
  <c r="Q644" i="2" s="1"/>
  <c r="Q670" i="2" s="1"/>
  <c r="Q675" i="2" s="1"/>
  <c r="Q686" i="2" s="1"/>
  <c r="Q712" i="2" s="1"/>
  <c r="Q717" i="2" s="1"/>
  <c r="Q728" i="2" s="1"/>
  <c r="Q754" i="2" s="1"/>
  <c r="Q759" i="2" s="1"/>
  <c r="Q770" i="2" s="1"/>
  <c r="Q796" i="2" s="1"/>
  <c r="Q801" i="2" s="1"/>
  <c r="Q812" i="2" s="1"/>
  <c r="Q838" i="2" s="1"/>
  <c r="Q843" i="2" s="1"/>
  <c r="Q854" i="2" s="1"/>
  <c r="Q880" i="2" s="1"/>
  <c r="Q885" i="2" s="1"/>
  <c r="Q896" i="2" s="1"/>
  <c r="Q922" i="2" s="1"/>
  <c r="Q927" i="2" s="1"/>
  <c r="Q938" i="2" s="1"/>
  <c r="Q964" i="2" s="1"/>
  <c r="Q969" i="2" s="1"/>
  <c r="Q980" i="2" s="1"/>
  <c r="Q1006" i="2" s="1"/>
  <c r="Q1011" i="2" s="1"/>
  <c r="Q1022" i="2" s="1"/>
  <c r="Q1048" i="2" s="1"/>
  <c r="Q1053" i="2" s="1"/>
  <c r="Q1064" i="2" s="1"/>
  <c r="Q1090" i="2" s="1"/>
  <c r="Q1095" i="2" s="1"/>
  <c r="Q1106" i="2" s="1"/>
  <c r="Q1132" i="2" s="1"/>
  <c r="Q1137" i="2" s="1"/>
  <c r="Q1148" i="2" s="1"/>
  <c r="Q1174" i="2" s="1"/>
  <c r="Q1179" i="2" s="1"/>
  <c r="Q1190" i="2" s="1"/>
  <c r="Q1216" i="2" s="1"/>
  <c r="Q1221" i="2" s="1"/>
  <c r="Q1232" i="2" s="1"/>
  <c r="Q1258" i="2" s="1"/>
  <c r="Q1263" i="2" s="1"/>
  <c r="Q1274" i="2" s="1"/>
  <c r="Q1300" i="2" s="1"/>
  <c r="Q1305" i="2" s="1"/>
  <c r="Q1316" i="2" s="1"/>
  <c r="Q1342" i="2" s="1"/>
  <c r="Q1347" i="2" s="1"/>
  <c r="Q1358" i="2" s="1"/>
  <c r="Q1384" i="2" s="1"/>
  <c r="Q1389" i="2" s="1"/>
  <c r="Q1400" i="2" s="1"/>
  <c r="Q1426" i="2" s="1"/>
  <c r="Q1431" i="2" s="1"/>
  <c r="Q1442" i="2" s="1"/>
  <c r="Q1468" i="2" s="1"/>
  <c r="Q1473" i="2" s="1"/>
  <c r="Q1484" i="2" s="1"/>
  <c r="Q1510" i="2" s="1"/>
  <c r="Q1515" i="2" s="1"/>
  <c r="Q1526" i="2" s="1"/>
  <c r="Q1552" i="2" s="1"/>
  <c r="Q1557" i="2" s="1"/>
  <c r="Q1568" i="2" s="1"/>
  <c r="Q1594" i="2" s="1"/>
  <c r="Q1599" i="2" s="1"/>
  <c r="Q1610" i="2" s="1"/>
  <c r="Q1636" i="2" s="1"/>
  <c r="P544" i="2"/>
  <c r="P549" i="2" s="1"/>
  <c r="P560" i="2" s="1"/>
  <c r="P586" i="2" s="1"/>
  <c r="P591" i="2" s="1"/>
  <c r="P602" i="2" s="1"/>
  <c r="P628" i="2" s="1"/>
  <c r="P633" i="2" s="1"/>
  <c r="P644" i="2" s="1"/>
  <c r="P670" i="2" s="1"/>
  <c r="P675" i="2" s="1"/>
  <c r="P686" i="2" s="1"/>
  <c r="P712" i="2" s="1"/>
  <c r="P717" i="2" s="1"/>
  <c r="P728" i="2" s="1"/>
  <c r="P754" i="2" s="1"/>
  <c r="P759" i="2" s="1"/>
  <c r="P770" i="2" s="1"/>
  <c r="P796" i="2" s="1"/>
  <c r="P801" i="2" s="1"/>
  <c r="P812" i="2" s="1"/>
  <c r="P838" i="2" s="1"/>
  <c r="P843" i="2" s="1"/>
  <c r="P854" i="2" s="1"/>
  <c r="P880" i="2" s="1"/>
  <c r="P885" i="2" s="1"/>
  <c r="P896" i="2" s="1"/>
  <c r="P922" i="2" s="1"/>
  <c r="P927" i="2" s="1"/>
  <c r="P938" i="2" s="1"/>
  <c r="P964" i="2" s="1"/>
  <c r="P969" i="2" s="1"/>
  <c r="P980" i="2" s="1"/>
  <c r="P1006" i="2" s="1"/>
  <c r="P1011" i="2" s="1"/>
  <c r="P1022" i="2" s="1"/>
  <c r="P1048" i="2" s="1"/>
  <c r="P1053" i="2" s="1"/>
  <c r="P1064" i="2" s="1"/>
  <c r="P1090" i="2" s="1"/>
  <c r="P1095" i="2" s="1"/>
  <c r="P1106" i="2" s="1"/>
  <c r="P1132" i="2" s="1"/>
  <c r="P1137" i="2" s="1"/>
  <c r="P1148" i="2" s="1"/>
  <c r="P1174" i="2" s="1"/>
  <c r="P1179" i="2" s="1"/>
  <c r="P1190" i="2" s="1"/>
  <c r="P1216" i="2" s="1"/>
  <c r="P1221" i="2" s="1"/>
  <c r="P1232" i="2" s="1"/>
  <c r="P1258" i="2" s="1"/>
  <c r="P1263" i="2" s="1"/>
  <c r="P1274" i="2" s="1"/>
  <c r="P1300" i="2" s="1"/>
  <c r="P1305" i="2" s="1"/>
  <c r="P1316" i="2" s="1"/>
  <c r="P1342" i="2" s="1"/>
  <c r="P1347" i="2" s="1"/>
  <c r="P1358" i="2" s="1"/>
  <c r="P1384" i="2" s="1"/>
  <c r="P1389" i="2" s="1"/>
  <c r="P1400" i="2" s="1"/>
  <c r="P1426" i="2" s="1"/>
  <c r="P1431" i="2" s="1"/>
  <c r="P1442" i="2" s="1"/>
  <c r="P1468" i="2" s="1"/>
  <c r="P1473" i="2" s="1"/>
  <c r="P1484" i="2" s="1"/>
  <c r="P1510" i="2" s="1"/>
  <c r="P1515" i="2" s="1"/>
  <c r="P1526" i="2" s="1"/>
  <c r="P1552" i="2" s="1"/>
  <c r="P1557" i="2" s="1"/>
  <c r="P1568" i="2" s="1"/>
  <c r="P1594" i="2" s="1"/>
  <c r="P1599" i="2" s="1"/>
  <c r="P1610" i="2" s="1"/>
  <c r="P1636" i="2" s="1"/>
  <c r="T465" i="2"/>
  <c r="T476" i="2" s="1"/>
  <c r="T502" i="2" s="1"/>
  <c r="T507" i="2" s="1"/>
  <c r="T518" i="2" s="1"/>
  <c r="D454" i="1"/>
  <c r="D465" i="1" s="1"/>
  <c r="D491" i="1" s="1"/>
  <c r="C465" i="1"/>
  <c r="C491" i="1" s="1"/>
  <c r="C495" i="1" s="1"/>
  <c r="L465" i="1"/>
  <c r="L491" i="1" s="1"/>
  <c r="L495" i="1" s="1"/>
  <c r="M454" i="1"/>
  <c r="M465" i="1" s="1"/>
  <c r="M491" i="1" s="1"/>
  <c r="L1531" i="1"/>
  <c r="L1557" i="1" s="1"/>
  <c r="L1561" i="1" s="1"/>
  <c r="M1520" i="1"/>
  <c r="M1531" i="1" s="1"/>
  <c r="M1557" i="1" s="1"/>
  <c r="I1767" i="2" l="1"/>
  <c r="I1778" i="2" s="1"/>
  <c r="I1804" i="2" s="1"/>
  <c r="I1809" i="2" s="1"/>
  <c r="I1820" i="2" s="1"/>
  <c r="I1846" i="2" s="1"/>
  <c r="I1851" i="2" s="1"/>
  <c r="I1862" i="2" s="1"/>
  <c r="I1888" i="2" s="1"/>
  <c r="I1893" i="2" s="1"/>
  <c r="I1904" i="2" s="1"/>
  <c r="I1930" i="2" s="1"/>
  <c r="I1935" i="2" s="1"/>
  <c r="I1946" i="2" s="1"/>
  <c r="I1972" i="2" s="1"/>
  <c r="I1977" i="2" s="1"/>
  <c r="I1988" i="2" s="1"/>
  <c r="I2014" i="2" s="1"/>
  <c r="I2019" i="2" s="1"/>
  <c r="I2030" i="2" s="1"/>
  <c r="I2056" i="2" s="1"/>
  <c r="I2061" i="2" s="1"/>
  <c r="I2072" i="2" s="1"/>
  <c r="I2098" i="2" s="1"/>
  <c r="L1767" i="2"/>
  <c r="L1778" i="2" s="1"/>
  <c r="L1804" i="2" s="1"/>
  <c r="L1809" i="2" s="1"/>
  <c r="L1820" i="2" s="1"/>
  <c r="L1846" i="2" s="1"/>
  <c r="L1851" i="2" s="1"/>
  <c r="L1862" i="2" s="1"/>
  <c r="L1888" i="2" s="1"/>
  <c r="L1893" i="2" s="1"/>
  <c r="L1904" i="2" s="1"/>
  <c r="L1930" i="2" s="1"/>
  <c r="L1935" i="2" s="1"/>
  <c r="L1946" i="2" s="1"/>
  <c r="L1972" i="2" s="1"/>
  <c r="L1977" i="2" s="1"/>
  <c r="L1988" i="2" s="1"/>
  <c r="L2014" i="2" s="1"/>
  <c r="L2019" i="2" s="1"/>
  <c r="L2030" i="2" s="1"/>
  <c r="L2056" i="2" s="1"/>
  <c r="L2061" i="2" s="1"/>
  <c r="L2072" i="2" s="1"/>
  <c r="L2098" i="2" s="1"/>
  <c r="T544" i="2"/>
  <c r="T549" i="2" s="1"/>
  <c r="T560" i="2" s="1"/>
  <c r="T586" i="2" s="1"/>
  <c r="T591" i="2" s="1"/>
  <c r="T602" i="2" s="1"/>
  <c r="T628" i="2" s="1"/>
  <c r="T633" i="2" s="1"/>
  <c r="T644" i="2" s="1"/>
  <c r="T670" i="2" s="1"/>
  <c r="T675" i="2" s="1"/>
  <c r="T686" i="2" s="1"/>
  <c r="T712" i="2" s="1"/>
  <c r="T717" i="2" s="1"/>
  <c r="T728" i="2" s="1"/>
  <c r="T754" i="2" s="1"/>
  <c r="T759" i="2" s="1"/>
  <c r="T770" i="2" s="1"/>
  <c r="T796" i="2" s="1"/>
  <c r="T801" i="2" s="1"/>
  <c r="T812" i="2" s="1"/>
  <c r="T838" i="2" s="1"/>
  <c r="T843" i="2" s="1"/>
  <c r="T854" i="2" s="1"/>
  <c r="T880" i="2" s="1"/>
  <c r="T885" i="2" s="1"/>
  <c r="T896" i="2" s="1"/>
  <c r="T922" i="2" s="1"/>
  <c r="T927" i="2" s="1"/>
  <c r="T938" i="2" s="1"/>
  <c r="T964" i="2" s="1"/>
  <c r="T969" i="2" s="1"/>
  <c r="T980" i="2" s="1"/>
  <c r="T1006" i="2" s="1"/>
  <c r="T1011" i="2" s="1"/>
  <c r="T1022" i="2" s="1"/>
  <c r="T1048" i="2" s="1"/>
  <c r="T1053" i="2" s="1"/>
  <c r="T1064" i="2" s="1"/>
  <c r="T1090" i="2" s="1"/>
  <c r="T1095" i="2" s="1"/>
  <c r="T1106" i="2" s="1"/>
  <c r="T1132" i="2" s="1"/>
  <c r="T1137" i="2" s="1"/>
  <c r="T1148" i="2" s="1"/>
  <c r="T1174" i="2" s="1"/>
  <c r="T1179" i="2" s="1"/>
  <c r="T1190" i="2" s="1"/>
  <c r="T1216" i="2" s="1"/>
  <c r="T1221" i="2" s="1"/>
  <c r="T1232" i="2" s="1"/>
  <c r="T1258" i="2" s="1"/>
  <c r="T1263" i="2" s="1"/>
  <c r="T1274" i="2" s="1"/>
  <c r="T1300" i="2" s="1"/>
  <c r="T1305" i="2" s="1"/>
  <c r="T1316" i="2" s="1"/>
  <c r="T1342" i="2" s="1"/>
  <c r="T1347" i="2" s="1"/>
  <c r="T1358" i="2" s="1"/>
  <c r="T1384" i="2" s="1"/>
  <c r="T1389" i="2" s="1"/>
  <c r="T1400" i="2" s="1"/>
  <c r="T1426" i="2" s="1"/>
  <c r="T1431" i="2" s="1"/>
  <c r="T1442" i="2" s="1"/>
  <c r="T1468" i="2" s="1"/>
  <c r="T1473" i="2" s="1"/>
  <c r="T1484" i="2" s="1"/>
  <c r="T1510" i="2" s="1"/>
  <c r="T1515" i="2" s="1"/>
  <c r="T1526" i="2" s="1"/>
  <c r="T1552" i="2" s="1"/>
  <c r="T1557" i="2" s="1"/>
  <c r="T1568" i="2" s="1"/>
  <c r="T1594" i="2" s="1"/>
  <c r="T1599" i="2" s="1"/>
  <c r="T1610" i="2" s="1"/>
  <c r="T1636" i="2" s="1"/>
  <c r="T1641" i="2" s="1"/>
  <c r="T1652" i="2" s="1"/>
  <c r="T1678" i="2" s="1"/>
  <c r="T1683" i="2" s="1"/>
  <c r="T1694" i="2" s="1"/>
  <c r="T1720" i="2" s="1"/>
  <c r="T1725" i="2" s="1"/>
  <c r="T1736" i="2" s="1"/>
  <c r="T1762" i="2" s="1"/>
  <c r="T1767" i="2" s="1"/>
  <c r="T1778" i="2" s="1"/>
  <c r="T1804" i="2" s="1"/>
  <c r="U465" i="2"/>
  <c r="U476" i="2" s="1"/>
  <c r="U502" i="2" s="1"/>
  <c r="U507" i="2" s="1"/>
  <c r="U518" i="2" s="1"/>
  <c r="U544" i="2" s="1"/>
  <c r="U549" i="2" s="1"/>
  <c r="U560" i="2" s="1"/>
  <c r="U586" i="2" s="1"/>
  <c r="U591" i="2" s="1"/>
  <c r="U602" i="2" s="1"/>
  <c r="U628" i="2" s="1"/>
  <c r="U633" i="2" s="1"/>
  <c r="U644" i="2" s="1"/>
  <c r="U670" i="2" s="1"/>
  <c r="U675" i="2" s="1"/>
  <c r="U686" i="2" s="1"/>
  <c r="U712" i="2" s="1"/>
  <c r="U717" i="2" s="1"/>
  <c r="U728" i="2" s="1"/>
  <c r="U754" i="2" s="1"/>
  <c r="U759" i="2" s="1"/>
  <c r="U770" i="2" s="1"/>
  <c r="U796" i="2" s="1"/>
  <c r="U801" i="2" s="1"/>
  <c r="U812" i="2" s="1"/>
  <c r="U838" i="2" s="1"/>
  <c r="U843" i="2" s="1"/>
  <c r="U854" i="2" s="1"/>
  <c r="U880" i="2" s="1"/>
  <c r="U885" i="2" s="1"/>
  <c r="U896" i="2" s="1"/>
  <c r="U922" i="2" s="1"/>
  <c r="U927" i="2" s="1"/>
  <c r="U938" i="2" s="1"/>
  <c r="U964" i="2" s="1"/>
  <c r="U969" i="2" s="1"/>
  <c r="U980" i="2" s="1"/>
  <c r="U1006" i="2" s="1"/>
  <c r="U1011" i="2" s="1"/>
  <c r="U1022" i="2" s="1"/>
  <c r="U1048" i="2" s="1"/>
  <c r="U1053" i="2" s="1"/>
  <c r="U1064" i="2" s="1"/>
  <c r="U1090" i="2" s="1"/>
  <c r="U1095" i="2" s="1"/>
  <c r="U1106" i="2" s="1"/>
  <c r="U1132" i="2" s="1"/>
  <c r="U1137" i="2" s="1"/>
  <c r="U1148" i="2" s="1"/>
  <c r="U1174" i="2" s="1"/>
  <c r="U1179" i="2" s="1"/>
  <c r="U1190" i="2" s="1"/>
  <c r="U1216" i="2" s="1"/>
  <c r="U1221" i="2" s="1"/>
  <c r="U1232" i="2" s="1"/>
  <c r="U1258" i="2" s="1"/>
  <c r="U1263" i="2" s="1"/>
  <c r="U1274" i="2" s="1"/>
  <c r="U1300" i="2" s="1"/>
  <c r="U1305" i="2" s="1"/>
  <c r="U1316" i="2" s="1"/>
  <c r="U1342" i="2" s="1"/>
  <c r="U1347" i="2" s="1"/>
  <c r="U1358" i="2" s="1"/>
  <c r="U1384" i="2" s="1"/>
  <c r="U1389" i="2" s="1"/>
  <c r="U1400" i="2" s="1"/>
  <c r="U1426" i="2" s="1"/>
  <c r="U1431" i="2" s="1"/>
  <c r="U1442" i="2" s="1"/>
  <c r="U1468" i="2" s="1"/>
  <c r="U1473" i="2" s="1"/>
  <c r="U1484" i="2" s="1"/>
  <c r="U1510" i="2" s="1"/>
  <c r="U1515" i="2" s="1"/>
  <c r="U1526" i="2" s="1"/>
  <c r="U1552" i="2" s="1"/>
  <c r="U1557" i="2" s="1"/>
  <c r="U1568" i="2" s="1"/>
  <c r="U1594" i="2" s="1"/>
  <c r="U1599" i="2" s="1"/>
  <c r="U1610" i="2" s="1"/>
  <c r="U1636" i="2" s="1"/>
  <c r="U1641" i="2" s="1"/>
  <c r="U1652" i="2" s="1"/>
  <c r="U1678" i="2" s="1"/>
  <c r="U1683" i="2" s="1"/>
  <c r="U1694" i="2" s="1"/>
  <c r="U1720" i="2" s="1"/>
  <c r="U1725" i="2" s="1"/>
  <c r="U1736" i="2" s="1"/>
  <c r="U1762" i="2" s="1"/>
  <c r="U1767" i="2" s="1"/>
  <c r="U1778" i="2" s="1"/>
  <c r="U1804" i="2" s="1"/>
  <c r="D495" i="1"/>
  <c r="D506" i="1" s="1"/>
  <c r="D532" i="1" s="1"/>
  <c r="C506" i="1"/>
  <c r="C532" i="1" s="1"/>
  <c r="C536" i="1" s="1"/>
  <c r="M495" i="1"/>
  <c r="M506" i="1" s="1"/>
  <c r="M532" i="1" s="1"/>
  <c r="L506" i="1"/>
  <c r="L532" i="1" s="1"/>
  <c r="L536" i="1" s="1"/>
  <c r="M1561" i="1"/>
  <c r="M1572" i="1" s="1"/>
  <c r="M1598" i="1" s="1"/>
  <c r="L1572" i="1"/>
  <c r="L1598" i="1" s="1"/>
  <c r="L1602" i="1" s="1"/>
  <c r="D536" i="1" l="1"/>
  <c r="D547" i="1" s="1"/>
  <c r="D573" i="1" s="1"/>
  <c r="C547" i="1"/>
  <c r="C573" i="1" s="1"/>
  <c r="C577" i="1" s="1"/>
  <c r="L547" i="1"/>
  <c r="L573" i="1" s="1"/>
  <c r="L577" i="1" s="1"/>
  <c r="M536" i="1"/>
  <c r="M547" i="1" s="1"/>
  <c r="M573" i="1" s="1"/>
  <c r="L1613" i="1"/>
  <c r="L1639" i="1" s="1"/>
  <c r="L1643" i="1" s="1"/>
  <c r="M1602" i="1"/>
  <c r="M1613" i="1" s="1"/>
  <c r="M1639" i="1" s="1"/>
  <c r="D577" i="1" l="1"/>
  <c r="D588" i="1" s="1"/>
  <c r="D614" i="1" s="1"/>
  <c r="C588" i="1"/>
  <c r="C614" i="1" s="1"/>
  <c r="C618" i="1" s="1"/>
  <c r="M577" i="1"/>
  <c r="M588" i="1" s="1"/>
  <c r="M614" i="1" s="1"/>
  <c r="L588" i="1"/>
  <c r="L614" i="1" s="1"/>
  <c r="L618" i="1" s="1"/>
  <c r="M1643" i="1"/>
  <c r="M1654" i="1" s="1"/>
  <c r="M1680" i="1" s="1"/>
  <c r="L1654" i="1"/>
  <c r="L1680" i="1" s="1"/>
  <c r="L1684" i="1" s="1"/>
  <c r="C629" i="1" l="1"/>
  <c r="C655" i="1" s="1"/>
  <c r="C659" i="1" s="1"/>
  <c r="D618" i="1"/>
  <c r="D629" i="1" s="1"/>
  <c r="D655" i="1" s="1"/>
  <c r="L629" i="1"/>
  <c r="L655" i="1" s="1"/>
  <c r="L659" i="1" s="1"/>
  <c r="M618" i="1"/>
  <c r="M629" i="1" s="1"/>
  <c r="M655" i="1" s="1"/>
  <c r="M1684" i="1"/>
  <c r="M1695" i="1" s="1"/>
  <c r="M1721" i="1" s="1"/>
  <c r="L1695" i="1"/>
  <c r="L1721" i="1" s="1"/>
  <c r="L1725" i="1" s="1"/>
  <c r="C670" i="1" l="1"/>
  <c r="C696" i="1" s="1"/>
  <c r="C700" i="1" s="1"/>
  <c r="D659" i="1"/>
  <c r="D670" i="1" s="1"/>
  <c r="D696" i="1" s="1"/>
  <c r="L670" i="1"/>
  <c r="L696" i="1" s="1"/>
  <c r="L700" i="1" s="1"/>
  <c r="M659" i="1"/>
  <c r="M670" i="1" s="1"/>
  <c r="M696" i="1" s="1"/>
  <c r="M1725" i="1"/>
  <c r="M1736" i="1" s="1"/>
  <c r="M1762" i="1" s="1"/>
  <c r="L1736" i="1"/>
  <c r="L1762" i="1" s="1"/>
  <c r="L1766" i="1" s="1"/>
  <c r="C711" i="1" l="1"/>
  <c r="C737" i="1" s="1"/>
  <c r="C741" i="1" s="1"/>
  <c r="D700" i="1"/>
  <c r="D711" i="1" s="1"/>
  <c r="D737" i="1" s="1"/>
  <c r="M700" i="1"/>
  <c r="M711" i="1" s="1"/>
  <c r="M737" i="1" s="1"/>
  <c r="L711" i="1"/>
  <c r="L737" i="1" s="1"/>
  <c r="L741" i="1" s="1"/>
  <c r="L1777" i="1"/>
  <c r="L1803" i="1" s="1"/>
  <c r="L1807" i="1" s="1"/>
  <c r="M1766" i="1"/>
  <c r="M1777" i="1" s="1"/>
  <c r="M1803" i="1" s="1"/>
  <c r="D741" i="1" l="1"/>
  <c r="D752" i="1" s="1"/>
  <c r="D778" i="1" s="1"/>
  <c r="C752" i="1"/>
  <c r="C778" i="1" s="1"/>
  <c r="C782" i="1" s="1"/>
  <c r="M741" i="1"/>
  <c r="M752" i="1" s="1"/>
  <c r="M778" i="1" s="1"/>
  <c r="L752" i="1"/>
  <c r="L778" i="1" s="1"/>
  <c r="L782" i="1" s="1"/>
  <c r="M1807" i="1"/>
  <c r="M1818" i="1" s="1"/>
  <c r="M1844" i="1" s="1"/>
  <c r="L1818" i="1"/>
  <c r="L1844" i="1" s="1"/>
  <c r="L1848" i="1" s="1"/>
  <c r="C793" i="1" l="1"/>
  <c r="C819" i="1" s="1"/>
  <c r="C823" i="1" s="1"/>
  <c r="D782" i="1"/>
  <c r="D793" i="1" s="1"/>
  <c r="D819" i="1" s="1"/>
  <c r="L793" i="1"/>
  <c r="L819" i="1" s="1"/>
  <c r="L823" i="1" s="1"/>
  <c r="M782" i="1"/>
  <c r="M793" i="1" s="1"/>
  <c r="M819" i="1" s="1"/>
  <c r="L1859" i="1"/>
  <c r="L1885" i="1" s="1"/>
  <c r="L1889" i="1" s="1"/>
  <c r="M1848" i="1"/>
  <c r="M1859" i="1" s="1"/>
  <c r="M1885" i="1" s="1"/>
  <c r="C834" i="1" l="1"/>
  <c r="C860" i="1" s="1"/>
  <c r="C864" i="1" s="1"/>
  <c r="D823" i="1"/>
  <c r="D834" i="1" s="1"/>
  <c r="D860" i="1" s="1"/>
  <c r="M823" i="1"/>
  <c r="M834" i="1" s="1"/>
  <c r="M860" i="1" s="1"/>
  <c r="L834" i="1"/>
  <c r="L860" i="1" s="1"/>
  <c r="L864" i="1" s="1"/>
  <c r="L1900" i="1"/>
  <c r="L1926" i="1" s="1"/>
  <c r="L1930" i="1" s="1"/>
  <c r="M1889" i="1"/>
  <c r="M1900" i="1" s="1"/>
  <c r="M1926" i="1" s="1"/>
  <c r="C875" i="1" l="1"/>
  <c r="C901" i="1" s="1"/>
  <c r="C905" i="1" s="1"/>
  <c r="D864" i="1"/>
  <c r="D875" i="1" s="1"/>
  <c r="D901" i="1" s="1"/>
  <c r="L875" i="1"/>
  <c r="L901" i="1" s="1"/>
  <c r="L905" i="1" s="1"/>
  <c r="M864" i="1"/>
  <c r="M875" i="1" s="1"/>
  <c r="M901" i="1" s="1"/>
  <c r="M1930" i="1"/>
  <c r="M1941" i="1" s="1"/>
  <c r="M1967" i="1" s="1"/>
  <c r="L1941" i="1"/>
  <c r="L1967" i="1" s="1"/>
  <c r="L1971" i="1" s="1"/>
  <c r="C916" i="1" l="1"/>
  <c r="C942" i="1" s="1"/>
  <c r="C946" i="1" s="1"/>
  <c r="D905" i="1"/>
  <c r="D916" i="1" s="1"/>
  <c r="D942" i="1" s="1"/>
  <c r="L916" i="1"/>
  <c r="L942" i="1" s="1"/>
  <c r="L946" i="1" s="1"/>
  <c r="M905" i="1"/>
  <c r="M916" i="1" s="1"/>
  <c r="M942" i="1" s="1"/>
  <c r="M1971" i="1"/>
  <c r="M1982" i="1" s="1"/>
  <c r="M2008" i="1" s="1"/>
  <c r="L1982" i="1"/>
  <c r="L2008" i="1" s="1"/>
  <c r="L2012" i="1" s="1"/>
  <c r="D946" i="1" l="1"/>
  <c r="D957" i="1" s="1"/>
  <c r="D983" i="1" s="1"/>
  <c r="C957" i="1"/>
  <c r="C983" i="1" s="1"/>
  <c r="C987" i="1" s="1"/>
  <c r="L957" i="1"/>
  <c r="L983" i="1" s="1"/>
  <c r="L987" i="1" s="1"/>
  <c r="M946" i="1"/>
  <c r="M957" i="1" s="1"/>
  <c r="M983" i="1" s="1"/>
  <c r="M2012" i="1"/>
  <c r="M2023" i="1" s="1"/>
  <c r="M2049" i="1" s="1"/>
  <c r="L2023" i="1"/>
  <c r="L2049" i="1" s="1"/>
  <c r="L2053" i="1" s="1"/>
  <c r="C998" i="1" l="1"/>
  <c r="C1024" i="1" s="1"/>
  <c r="C1028" i="1" s="1"/>
  <c r="D987" i="1"/>
  <c r="D998" i="1" s="1"/>
  <c r="D1024" i="1" s="1"/>
  <c r="M987" i="1"/>
  <c r="M998" i="1" s="1"/>
  <c r="M1024" i="1" s="1"/>
  <c r="L998" i="1"/>
  <c r="L1024" i="1" s="1"/>
  <c r="L2064" i="1"/>
  <c r="L2090" i="1" s="1"/>
  <c r="L2094" i="1" s="1"/>
  <c r="M2053" i="1"/>
  <c r="M2064" i="1" s="1"/>
  <c r="M2090" i="1" s="1"/>
  <c r="D1028" i="1" l="1"/>
  <c r="D1039" i="1" s="1"/>
  <c r="D1065" i="1" s="1"/>
  <c r="C1039" i="1"/>
  <c r="C1065" i="1" s="1"/>
  <c r="C1069" i="1" s="1"/>
  <c r="M2094" i="1"/>
  <c r="M2105" i="1" s="1"/>
  <c r="M2131" i="1" s="1"/>
  <c r="L2105" i="1"/>
  <c r="L2131" i="1" s="1"/>
  <c r="L2135" i="1" s="1"/>
  <c r="D1069" i="1" l="1"/>
  <c r="D1080" i="1" s="1"/>
  <c r="D1106" i="1" s="1"/>
  <c r="C1080" i="1"/>
  <c r="C1106" i="1" s="1"/>
  <c r="C1110" i="1" s="1"/>
  <c r="M2135" i="1"/>
  <c r="M2146" i="1" s="1"/>
  <c r="M2172" i="1" s="1"/>
  <c r="L2146" i="1"/>
  <c r="L2172" i="1" s="1"/>
  <c r="L2176" i="1" s="1"/>
  <c r="D1110" i="1" l="1"/>
  <c r="D1121" i="1" s="1"/>
  <c r="D1147" i="1" s="1"/>
  <c r="C1121" i="1"/>
  <c r="C1147" i="1" s="1"/>
  <c r="C1151" i="1" s="1"/>
  <c r="L2187" i="1"/>
  <c r="L2213" i="1" s="1"/>
  <c r="L2217" i="1" s="1"/>
  <c r="M2176" i="1"/>
  <c r="M2187" i="1" s="1"/>
  <c r="M2213" i="1" s="1"/>
  <c r="D1151" i="1" l="1"/>
  <c r="D1162" i="1" s="1"/>
  <c r="D1188" i="1" s="1"/>
  <c r="C1162" i="1"/>
  <c r="C1188" i="1" s="1"/>
  <c r="C1192" i="1" s="1"/>
  <c r="L2228" i="1"/>
  <c r="L2254" i="1" s="1"/>
  <c r="L2258" i="1" s="1"/>
  <c r="M2217" i="1"/>
  <c r="M2228" i="1" s="1"/>
  <c r="M2254" i="1" s="1"/>
  <c r="C1203" i="1" l="1"/>
  <c r="C1229" i="1" s="1"/>
  <c r="C1233" i="1" s="1"/>
  <c r="D1192" i="1"/>
  <c r="D1203" i="1" s="1"/>
  <c r="D1229" i="1" s="1"/>
  <c r="M2258" i="1"/>
  <c r="M2269" i="1" s="1"/>
  <c r="M2295" i="1" s="1"/>
  <c r="L2269" i="1"/>
  <c r="L2295" i="1" s="1"/>
  <c r="L2299" i="1" s="1"/>
  <c r="D1233" i="1" l="1"/>
  <c r="D1244" i="1" s="1"/>
  <c r="D1270" i="1" s="1"/>
  <c r="C1244" i="1"/>
  <c r="C1270" i="1" s="1"/>
  <c r="C1274" i="1" s="1"/>
  <c r="M2299" i="1"/>
  <c r="M2310" i="1" s="1"/>
  <c r="M2336" i="1" s="1"/>
  <c r="L2310" i="1"/>
  <c r="L2336" i="1" s="1"/>
  <c r="L2340" i="1" s="1"/>
  <c r="D1274" i="1" l="1"/>
  <c r="D1285" i="1" s="1"/>
  <c r="D1311" i="1" s="1"/>
  <c r="C1285" i="1"/>
  <c r="C1311" i="1" s="1"/>
  <c r="C1315" i="1" s="1"/>
  <c r="M2340" i="1"/>
  <c r="M2351" i="1" s="1"/>
  <c r="M2377" i="1" s="1"/>
  <c r="L2351" i="1"/>
  <c r="L2377" i="1" s="1"/>
  <c r="L2381" i="1" s="1"/>
  <c r="C1326" i="1" l="1"/>
  <c r="C1352" i="1" s="1"/>
  <c r="C1356" i="1" s="1"/>
  <c r="D1315" i="1"/>
  <c r="D1326" i="1" s="1"/>
  <c r="D1352" i="1" s="1"/>
  <c r="M2381" i="1"/>
  <c r="M2392" i="1" s="1"/>
  <c r="M2418" i="1" s="1"/>
  <c r="L2392" i="1"/>
  <c r="L2418" i="1" s="1"/>
  <c r="L2422" i="1" s="1"/>
  <c r="C1367" i="1" l="1"/>
  <c r="C1393" i="1" s="1"/>
  <c r="C1397" i="1" s="1"/>
  <c r="D1356" i="1"/>
  <c r="D1367" i="1" s="1"/>
  <c r="D1393" i="1" s="1"/>
  <c r="L2433" i="1"/>
  <c r="L2459" i="1" s="1"/>
  <c r="L2463" i="1" s="1"/>
  <c r="M2422" i="1"/>
  <c r="M2433" i="1" s="1"/>
  <c r="M2459" i="1" s="1"/>
  <c r="D1397" i="1" l="1"/>
  <c r="D1408" i="1" s="1"/>
  <c r="D1434" i="1" s="1"/>
  <c r="C1408" i="1"/>
  <c r="C1434" i="1" s="1"/>
  <c r="C1438" i="1" s="1"/>
  <c r="M2463" i="1"/>
  <c r="M2474" i="1" s="1"/>
  <c r="M2500" i="1" s="1"/>
  <c r="L2474" i="1"/>
  <c r="L2500" i="1" s="1"/>
  <c r="L2504" i="1" s="1"/>
  <c r="C1449" i="1" l="1"/>
  <c r="C1475" i="1" s="1"/>
  <c r="C1479" i="1" s="1"/>
  <c r="D1438" i="1"/>
  <c r="D1449" i="1" s="1"/>
  <c r="D1475" i="1" s="1"/>
  <c r="M2504" i="1"/>
  <c r="M2515" i="1" s="1"/>
  <c r="M2541" i="1" s="1"/>
  <c r="L2515" i="1"/>
  <c r="L2541" i="1" s="1"/>
  <c r="L2545" i="1" s="1"/>
  <c r="D1479" i="1" l="1"/>
  <c r="D1490" i="1" s="1"/>
  <c r="D1516" i="1" s="1"/>
  <c r="C1490" i="1"/>
  <c r="C1516" i="1" s="1"/>
  <c r="C1520" i="1" s="1"/>
  <c r="M2545" i="1"/>
  <c r="M2556" i="1" s="1"/>
  <c r="M2582" i="1" s="1"/>
  <c r="L2556" i="1"/>
  <c r="L2582" i="1" s="1"/>
  <c r="L2586" i="1" s="1"/>
  <c r="C1531" i="1" l="1"/>
  <c r="C1557" i="1" s="1"/>
  <c r="C1561" i="1" s="1"/>
  <c r="D1520" i="1"/>
  <c r="D1531" i="1" s="1"/>
  <c r="D1557" i="1" s="1"/>
  <c r="M2586" i="1"/>
  <c r="M2597" i="1" s="1"/>
  <c r="M2623" i="1" s="1"/>
  <c r="L2597" i="1"/>
  <c r="L2623" i="1" s="1"/>
  <c r="L2627" i="1" s="1"/>
  <c r="D1561" i="1" l="1"/>
  <c r="D1572" i="1" s="1"/>
  <c r="D1598" i="1" s="1"/>
  <c r="C1572" i="1"/>
  <c r="C1598" i="1" s="1"/>
  <c r="C1602" i="1" s="1"/>
  <c r="M2627" i="1"/>
  <c r="M2638" i="1" s="1"/>
  <c r="M2664" i="1" s="1"/>
  <c r="L2638" i="1"/>
  <c r="L2664" i="1" s="1"/>
  <c r="L2668" i="1" s="1"/>
  <c r="D1602" i="1" l="1"/>
  <c r="D1613" i="1" s="1"/>
  <c r="D1639" i="1" s="1"/>
  <c r="C1613" i="1"/>
  <c r="C1639" i="1" s="1"/>
  <c r="C1643" i="1" s="1"/>
  <c r="L2679" i="1"/>
  <c r="L2705" i="1" s="1"/>
  <c r="L2709" i="1" s="1"/>
  <c r="M2668" i="1"/>
  <c r="M2679" i="1" s="1"/>
  <c r="M2705" i="1" s="1"/>
  <c r="C1654" i="1" l="1"/>
  <c r="C1680" i="1" s="1"/>
  <c r="C1684" i="1" s="1"/>
  <c r="D1643" i="1"/>
  <c r="D1654" i="1" s="1"/>
  <c r="D1680" i="1" s="1"/>
  <c r="L2720" i="1"/>
  <c r="L2746" i="1" s="1"/>
  <c r="L2750" i="1" s="1"/>
  <c r="M2709" i="1"/>
  <c r="M2720" i="1" s="1"/>
  <c r="M2746" i="1" s="1"/>
  <c r="C1695" i="1" l="1"/>
  <c r="C1721" i="1" s="1"/>
  <c r="C1725" i="1" s="1"/>
  <c r="D1684" i="1"/>
  <c r="D1695" i="1" s="1"/>
  <c r="D1721" i="1" s="1"/>
  <c r="L2761" i="1"/>
  <c r="L2787" i="1" s="1"/>
  <c r="L2791" i="1" s="1"/>
  <c r="M2750" i="1"/>
  <c r="M2761" i="1" s="1"/>
  <c r="M2787" i="1" s="1"/>
  <c r="C1736" i="1" l="1"/>
  <c r="C1762" i="1" s="1"/>
  <c r="C1766" i="1" s="1"/>
  <c r="D1725" i="1"/>
  <c r="D1736" i="1" s="1"/>
  <c r="D1762" i="1" s="1"/>
  <c r="L2802" i="1"/>
  <c r="L2828" i="1" s="1"/>
  <c r="L2832" i="1" s="1"/>
  <c r="M2791" i="1"/>
  <c r="M2802" i="1" s="1"/>
  <c r="M2828" i="1" s="1"/>
  <c r="D1766" i="1" l="1"/>
  <c r="D1777" i="1" s="1"/>
  <c r="D1803" i="1" s="1"/>
  <c r="C1777" i="1"/>
  <c r="C1803" i="1" s="1"/>
  <c r="C1807" i="1" s="1"/>
  <c r="L2843" i="1"/>
  <c r="L2869" i="1" s="1"/>
  <c r="L2873" i="1" s="1"/>
  <c r="M2832" i="1"/>
  <c r="M2843" i="1" s="1"/>
  <c r="M2869" i="1" s="1"/>
  <c r="D1807" i="1" l="1"/>
  <c r="D1818" i="1" s="1"/>
  <c r="D1844" i="1" s="1"/>
  <c r="C1818" i="1"/>
  <c r="C1844" i="1" s="1"/>
  <c r="C1848" i="1" s="1"/>
  <c r="M2873" i="1"/>
  <c r="M2884" i="1" s="1"/>
  <c r="M2910" i="1" s="1"/>
  <c r="L2884" i="1"/>
  <c r="L2910" i="1" s="1"/>
  <c r="L2914" i="1" s="1"/>
  <c r="C1859" i="1" l="1"/>
  <c r="C1885" i="1" s="1"/>
  <c r="C1889" i="1" s="1"/>
  <c r="D1848" i="1"/>
  <c r="D1859" i="1" s="1"/>
  <c r="D1885" i="1" s="1"/>
  <c r="L2925" i="1"/>
  <c r="L2951" i="1" s="1"/>
  <c r="L2955" i="1" s="1"/>
  <c r="M2914" i="1"/>
  <c r="M2925" i="1" s="1"/>
  <c r="M2951" i="1" s="1"/>
  <c r="C1900" i="1" l="1"/>
  <c r="C1926" i="1" s="1"/>
  <c r="C1930" i="1" s="1"/>
  <c r="D1889" i="1"/>
  <c r="D1900" i="1" s="1"/>
  <c r="D1926" i="1" s="1"/>
  <c r="L2966" i="1"/>
  <c r="L2992" i="1" s="1"/>
  <c r="L2996" i="1" s="1"/>
  <c r="M2955" i="1"/>
  <c r="M2966" i="1" s="1"/>
  <c r="M2992" i="1" s="1"/>
  <c r="C1941" i="1" l="1"/>
  <c r="C1967" i="1" s="1"/>
  <c r="C1971" i="1" s="1"/>
  <c r="D1930" i="1"/>
  <c r="D1941" i="1" s="1"/>
  <c r="D1967" i="1" s="1"/>
  <c r="M2996" i="1"/>
  <c r="M3007" i="1" s="1"/>
  <c r="M3033" i="1" s="1"/>
  <c r="L3007" i="1"/>
  <c r="L3033" i="1" s="1"/>
  <c r="L3037" i="1" s="1"/>
  <c r="D1971" i="1" l="1"/>
  <c r="D1982" i="1" s="1"/>
  <c r="D2008" i="1" s="1"/>
  <c r="C1982" i="1"/>
  <c r="C2008" i="1" s="1"/>
  <c r="C2012" i="1" s="1"/>
  <c r="M3037" i="1"/>
  <c r="M3048" i="1" s="1"/>
  <c r="M3074" i="1" s="1"/>
  <c r="L3048" i="1"/>
  <c r="L3074" i="1" s="1"/>
  <c r="L3078" i="1" s="1"/>
  <c r="C2023" i="1" l="1"/>
  <c r="C2049" i="1" s="1"/>
  <c r="C2053" i="1" s="1"/>
  <c r="D2012" i="1"/>
  <c r="D2023" i="1" s="1"/>
  <c r="D2049" i="1" s="1"/>
  <c r="M3078" i="1"/>
  <c r="M3089" i="1" s="1"/>
  <c r="M3115" i="1" s="1"/>
  <c r="L3089" i="1"/>
  <c r="L3115" i="1" s="1"/>
  <c r="L3119" i="1" s="1"/>
  <c r="D2053" i="1" l="1"/>
  <c r="D2064" i="1" s="1"/>
  <c r="D2090" i="1" s="1"/>
  <c r="C2064" i="1"/>
  <c r="C2090" i="1" s="1"/>
  <c r="C2094" i="1" s="1"/>
  <c r="L3130" i="1"/>
  <c r="L3156" i="1" s="1"/>
  <c r="L3160" i="1" s="1"/>
  <c r="M3119" i="1"/>
  <c r="M3130" i="1" s="1"/>
  <c r="M3156" i="1" s="1"/>
  <c r="C2105" i="1" l="1"/>
  <c r="C2131" i="1" s="1"/>
  <c r="C2135" i="1" s="1"/>
  <c r="D2094" i="1"/>
  <c r="D2105" i="1" s="1"/>
  <c r="D2131" i="1" s="1"/>
  <c r="M3160" i="1"/>
  <c r="M3171" i="1" s="1"/>
  <c r="M3197" i="1" s="1"/>
  <c r="L3171" i="1"/>
  <c r="L3197" i="1" s="1"/>
  <c r="L3201" i="1" s="1"/>
  <c r="D2135" i="1" l="1"/>
  <c r="D2146" i="1" s="1"/>
  <c r="D2172" i="1" s="1"/>
  <c r="C2146" i="1"/>
  <c r="C2172" i="1" s="1"/>
  <c r="C2176" i="1" s="1"/>
  <c r="M3201" i="1"/>
  <c r="M3212" i="1" s="1"/>
  <c r="M3239" i="1" s="1"/>
  <c r="L3212" i="1"/>
  <c r="L3239" i="1" s="1"/>
  <c r="L3243" i="1" s="1"/>
  <c r="D2176" i="1" l="1"/>
  <c r="D2187" i="1" s="1"/>
  <c r="D2213" i="1" s="1"/>
  <c r="C2187" i="1"/>
  <c r="C2213" i="1" s="1"/>
  <c r="C2217" i="1" s="1"/>
  <c r="L3254" i="1"/>
  <c r="L3280" i="1" s="1"/>
  <c r="L3284" i="1" s="1"/>
  <c r="M3243" i="1"/>
  <c r="M3254" i="1" s="1"/>
  <c r="M3280" i="1" s="1"/>
  <c r="C2228" i="1" l="1"/>
  <c r="C2254" i="1" s="1"/>
  <c r="C2258" i="1" s="1"/>
  <c r="D2217" i="1"/>
  <c r="D2228" i="1" s="1"/>
  <c r="D2254" i="1" s="1"/>
  <c r="L3295" i="1"/>
  <c r="L3321" i="1" s="1"/>
  <c r="L3325" i="1" s="1"/>
  <c r="M3284" i="1"/>
  <c r="M3295" i="1" s="1"/>
  <c r="M3321" i="1" s="1"/>
  <c r="D2258" i="1" l="1"/>
  <c r="D2269" i="1" s="1"/>
  <c r="D2295" i="1" s="1"/>
  <c r="C2269" i="1"/>
  <c r="C2295" i="1" s="1"/>
  <c r="C2299" i="1" s="1"/>
  <c r="L3336" i="1"/>
  <c r="L3362" i="1" s="1"/>
  <c r="L3366" i="1" s="1"/>
  <c r="M3325" i="1"/>
  <c r="M3336" i="1" s="1"/>
  <c r="M3362" i="1" s="1"/>
  <c r="C2310" i="1" l="1"/>
  <c r="C2336" i="1" s="1"/>
  <c r="C2340" i="1" s="1"/>
  <c r="D2299" i="1"/>
  <c r="D2310" i="1" s="1"/>
  <c r="D2336" i="1" s="1"/>
  <c r="L3377" i="1"/>
  <c r="L3403" i="1" s="1"/>
  <c r="L3407" i="1" s="1"/>
  <c r="M3366" i="1"/>
  <c r="M3377" i="1" s="1"/>
  <c r="M3403" i="1" s="1"/>
  <c r="C2351" i="1" l="1"/>
  <c r="C2377" i="1" s="1"/>
  <c r="C2381" i="1" s="1"/>
  <c r="D2340" i="1"/>
  <c r="D2351" i="1" s="1"/>
  <c r="D2377" i="1" s="1"/>
  <c r="L3418" i="1"/>
  <c r="L3444" i="1" s="1"/>
  <c r="L3448" i="1" s="1"/>
  <c r="M3407" i="1"/>
  <c r="M3418" i="1" s="1"/>
  <c r="M3444" i="1" s="1"/>
  <c r="D2381" i="1" l="1"/>
  <c r="D2392" i="1" s="1"/>
  <c r="D2418" i="1" s="1"/>
  <c r="C2392" i="1"/>
  <c r="C2418" i="1" s="1"/>
  <c r="C2422" i="1" s="1"/>
  <c r="L3459" i="1"/>
  <c r="L3485" i="1" s="1"/>
  <c r="L3489" i="1" s="1"/>
  <c r="M3448" i="1"/>
  <c r="M3459" i="1" s="1"/>
  <c r="M3485" i="1" s="1"/>
  <c r="C2433" i="1" l="1"/>
  <c r="C2459" i="1" s="1"/>
  <c r="C2463" i="1" s="1"/>
  <c r="D2422" i="1"/>
  <c r="D2433" i="1" s="1"/>
  <c r="D2459" i="1" s="1"/>
  <c r="L3500" i="1"/>
  <c r="L3526" i="1" s="1"/>
  <c r="L3530" i="1" s="1"/>
  <c r="M3489" i="1"/>
  <c r="M3500" i="1" s="1"/>
  <c r="M3526" i="1" s="1"/>
  <c r="C2474" i="1" l="1"/>
  <c r="C2500" i="1" s="1"/>
  <c r="C2504" i="1" s="1"/>
  <c r="D2463" i="1"/>
  <c r="D2474" i="1" s="1"/>
  <c r="D2500" i="1" s="1"/>
  <c r="M3530" i="1"/>
  <c r="M3541" i="1" s="1"/>
  <c r="M3567" i="1" s="1"/>
  <c r="L3541" i="1"/>
  <c r="L3567" i="1" s="1"/>
  <c r="L3571" i="1" s="1"/>
  <c r="D2504" i="1" l="1"/>
  <c r="D2515" i="1" s="1"/>
  <c r="D2541" i="1" s="1"/>
  <c r="C2515" i="1"/>
  <c r="C2541" i="1" s="1"/>
  <c r="C2545" i="1" s="1"/>
  <c r="L3582" i="1"/>
  <c r="L3608" i="1" s="1"/>
  <c r="L3612" i="1" s="1"/>
  <c r="M3571" i="1"/>
  <c r="M3582" i="1" s="1"/>
  <c r="M3608" i="1" s="1"/>
  <c r="D2545" i="1" l="1"/>
  <c r="D2556" i="1" s="1"/>
  <c r="D2582" i="1" s="1"/>
  <c r="C2556" i="1"/>
  <c r="C2582" i="1" s="1"/>
  <c r="C2586" i="1" s="1"/>
  <c r="L3623" i="1"/>
  <c r="L3649" i="1" s="1"/>
  <c r="L3653" i="1" s="1"/>
  <c r="M3612" i="1"/>
  <c r="M3623" i="1" s="1"/>
  <c r="M3649" i="1" s="1"/>
  <c r="D2586" i="1" l="1"/>
  <c r="D2597" i="1" s="1"/>
  <c r="D2623" i="1" s="1"/>
  <c r="C2597" i="1"/>
  <c r="C2623" i="1" s="1"/>
  <c r="C2627" i="1" s="1"/>
  <c r="L3664" i="1"/>
  <c r="L3690" i="1" s="1"/>
  <c r="L3694" i="1" s="1"/>
  <c r="M3653" i="1"/>
  <c r="M3664" i="1" s="1"/>
  <c r="M3690" i="1" s="1"/>
  <c r="C2638" i="1" l="1"/>
  <c r="C2664" i="1" s="1"/>
  <c r="C2668" i="1" s="1"/>
  <c r="D2627" i="1"/>
  <c r="D2638" i="1" s="1"/>
  <c r="D2664" i="1" s="1"/>
  <c r="M3694" i="1"/>
  <c r="M3705" i="1" s="1"/>
  <c r="M3731" i="1" s="1"/>
  <c r="L3705" i="1"/>
  <c r="L3731" i="1" s="1"/>
  <c r="L3735" i="1" s="1"/>
  <c r="D2668" i="1" l="1"/>
  <c r="D2679" i="1" s="1"/>
  <c r="D2705" i="1" s="1"/>
  <c r="C2679" i="1"/>
  <c r="C2705" i="1" s="1"/>
  <c r="C2709" i="1" s="1"/>
  <c r="L3746" i="1"/>
  <c r="L3772" i="1" s="1"/>
  <c r="L3776" i="1" s="1"/>
  <c r="M3735" i="1"/>
  <c r="M3746" i="1" s="1"/>
  <c r="M3772" i="1" s="1"/>
  <c r="C2720" i="1" l="1"/>
  <c r="C2746" i="1" s="1"/>
  <c r="C2750" i="1" s="1"/>
  <c r="D2709" i="1"/>
  <c r="D2720" i="1" s="1"/>
  <c r="D2746" i="1" s="1"/>
  <c r="M3776" i="1"/>
  <c r="M3787" i="1" s="1"/>
  <c r="M3813" i="1" s="1"/>
  <c r="L3787" i="1"/>
  <c r="L3813" i="1" s="1"/>
  <c r="L3817" i="1" s="1"/>
  <c r="D2750" i="1" l="1"/>
  <c r="D2761" i="1" s="1"/>
  <c r="D2787" i="1" s="1"/>
  <c r="C2761" i="1"/>
  <c r="C2787" i="1" s="1"/>
  <c r="C2791" i="1" s="1"/>
  <c r="M3817" i="1"/>
  <c r="M3828" i="1" s="1"/>
  <c r="M3854" i="1" s="1"/>
  <c r="L3828" i="1"/>
  <c r="L3854" i="1" s="1"/>
  <c r="L3858" i="1" s="1"/>
  <c r="D2791" i="1" l="1"/>
  <c r="D2802" i="1" s="1"/>
  <c r="D2828" i="1" s="1"/>
  <c r="C2802" i="1"/>
  <c r="C2828" i="1" s="1"/>
  <c r="C2832" i="1" s="1"/>
  <c r="L3869" i="1"/>
  <c r="L3895" i="1" s="1"/>
  <c r="L3899" i="1" s="1"/>
  <c r="M3858" i="1"/>
  <c r="M3869" i="1" s="1"/>
  <c r="M3895" i="1" s="1"/>
  <c r="C2843" i="1" l="1"/>
  <c r="C2869" i="1" s="1"/>
  <c r="C2873" i="1" s="1"/>
  <c r="D2832" i="1"/>
  <c r="D2843" i="1" s="1"/>
  <c r="D2869" i="1" s="1"/>
  <c r="L3910" i="1"/>
  <c r="L3936" i="1" s="1"/>
  <c r="L3940" i="1" s="1"/>
  <c r="M3899" i="1"/>
  <c r="M3910" i="1" s="1"/>
  <c r="M3936" i="1" s="1"/>
  <c r="D2873" i="1" l="1"/>
  <c r="D2884" i="1" s="1"/>
  <c r="D2910" i="1" s="1"/>
  <c r="C2884" i="1"/>
  <c r="C2910" i="1" s="1"/>
  <c r="C2914" i="1" s="1"/>
  <c r="L3951" i="1"/>
  <c r="L3977" i="1" s="1"/>
  <c r="M3940" i="1"/>
  <c r="M3951" i="1" s="1"/>
  <c r="M3977" i="1" l="1"/>
  <c r="L3981" i="1"/>
  <c r="D2914" i="1"/>
  <c r="D2925" i="1" s="1"/>
  <c r="D2951" i="1" s="1"/>
  <c r="C2925" i="1"/>
  <c r="C2951" i="1" s="1"/>
  <c r="C2955" i="1" s="1"/>
  <c r="L3992" i="1" l="1"/>
  <c r="L4018" i="1" s="1"/>
  <c r="M4018" i="1" s="1"/>
  <c r="M3981" i="1"/>
  <c r="M3992" i="1" s="1"/>
  <c r="C2966" i="1"/>
  <c r="C2992" i="1" s="1"/>
  <c r="C2996" i="1" s="1"/>
  <c r="D2955" i="1"/>
  <c r="D2966" i="1" s="1"/>
  <c r="D2992" i="1" s="1"/>
  <c r="D2996" i="1" l="1"/>
  <c r="D3007" i="1" s="1"/>
  <c r="D3033" i="1" s="1"/>
  <c r="C3007" i="1"/>
  <c r="C3033" i="1" s="1"/>
  <c r="C3037" i="1" s="1"/>
  <c r="C3048" i="1" l="1"/>
  <c r="C3074" i="1" s="1"/>
  <c r="C3078" i="1" s="1"/>
  <c r="D3037" i="1"/>
  <c r="D3048" i="1" s="1"/>
  <c r="D3074" i="1" s="1"/>
  <c r="D3078" i="1" l="1"/>
  <c r="D3089" i="1" s="1"/>
  <c r="D3115" i="1" s="1"/>
  <c r="C3089" i="1"/>
  <c r="C3115" i="1" s="1"/>
  <c r="C3119" i="1" s="1"/>
  <c r="D3119" i="1" l="1"/>
  <c r="D3130" i="1" s="1"/>
  <c r="D3156" i="1" s="1"/>
  <c r="C3130" i="1"/>
  <c r="C3156" i="1" s="1"/>
  <c r="C3160" i="1" s="1"/>
  <c r="C3171" i="1" l="1"/>
  <c r="C3197" i="1" s="1"/>
  <c r="C3201" i="1" s="1"/>
  <c r="D3160" i="1"/>
  <c r="D3171" i="1" s="1"/>
  <c r="D3197" i="1" s="1"/>
  <c r="C3212" i="1" l="1"/>
  <c r="C3239" i="1" s="1"/>
  <c r="C3243" i="1" s="1"/>
  <c r="D3201" i="1"/>
  <c r="D3212" i="1" s="1"/>
  <c r="D3239" i="1" s="1"/>
  <c r="D3243" i="1" l="1"/>
  <c r="D3254" i="1" s="1"/>
  <c r="D3280" i="1" s="1"/>
  <c r="C3254" i="1"/>
  <c r="C3280" i="1" s="1"/>
  <c r="C3284" i="1" s="1"/>
  <c r="C3295" i="1" l="1"/>
  <c r="C3321" i="1" s="1"/>
  <c r="C3325" i="1" s="1"/>
  <c r="D3284" i="1"/>
  <c r="D3295" i="1" s="1"/>
  <c r="D3321" i="1" s="1"/>
  <c r="C3336" i="1" l="1"/>
  <c r="C3362" i="1" s="1"/>
  <c r="C3366" i="1" s="1"/>
  <c r="D3325" i="1"/>
  <c r="D3336" i="1" s="1"/>
  <c r="D3362" i="1" s="1"/>
  <c r="D3366" i="1" l="1"/>
  <c r="D3377" i="1" s="1"/>
  <c r="D3403" i="1" s="1"/>
  <c r="C3377" i="1"/>
  <c r="C3403" i="1" s="1"/>
  <c r="C3407" i="1" s="1"/>
  <c r="D3407" i="1" l="1"/>
  <c r="D3418" i="1" s="1"/>
  <c r="D3444" i="1" s="1"/>
  <c r="C3418" i="1"/>
  <c r="C3444" i="1" s="1"/>
  <c r="C3448" i="1" s="1"/>
  <c r="D3448" i="1" l="1"/>
  <c r="D3459" i="1" s="1"/>
  <c r="D3485" i="1" s="1"/>
  <c r="C3459" i="1"/>
  <c r="C3485" i="1" s="1"/>
  <c r="C3489" i="1" s="1"/>
  <c r="C3500" i="1" l="1"/>
  <c r="C3526" i="1" s="1"/>
  <c r="C3530" i="1" s="1"/>
  <c r="D3489" i="1"/>
  <c r="D3500" i="1" s="1"/>
  <c r="D3526" i="1" s="1"/>
  <c r="D3530" i="1" l="1"/>
  <c r="D3541" i="1" s="1"/>
  <c r="D3567" i="1" s="1"/>
  <c r="C3541" i="1"/>
  <c r="C3567" i="1" s="1"/>
  <c r="C3571" i="1" s="1"/>
  <c r="C3582" i="1" l="1"/>
  <c r="C3608" i="1" s="1"/>
  <c r="C3612" i="1" s="1"/>
  <c r="D3571" i="1"/>
  <c r="D3582" i="1" s="1"/>
  <c r="D3608" i="1" s="1"/>
  <c r="D3612" i="1" l="1"/>
  <c r="D3623" i="1" s="1"/>
  <c r="D3649" i="1" s="1"/>
  <c r="C3623" i="1"/>
  <c r="C3649" i="1" s="1"/>
  <c r="C3653" i="1" s="1"/>
  <c r="C3664" i="1" l="1"/>
  <c r="C3690" i="1" s="1"/>
  <c r="C3694" i="1" s="1"/>
  <c r="D3653" i="1"/>
  <c r="D3664" i="1" s="1"/>
  <c r="D3690" i="1" s="1"/>
  <c r="C3705" i="1" l="1"/>
  <c r="C3731" i="1" s="1"/>
  <c r="C3735" i="1" s="1"/>
  <c r="D3694" i="1"/>
  <c r="D3705" i="1" s="1"/>
  <c r="D3731" i="1" s="1"/>
  <c r="C3746" i="1" l="1"/>
  <c r="C3772" i="1" s="1"/>
  <c r="C3776" i="1" s="1"/>
  <c r="D3735" i="1"/>
  <c r="D3746" i="1" s="1"/>
  <c r="D3772" i="1" s="1"/>
  <c r="C3787" i="1" l="1"/>
  <c r="C3813" i="1" s="1"/>
  <c r="C3817" i="1" s="1"/>
  <c r="D3776" i="1"/>
  <c r="D3787" i="1" s="1"/>
  <c r="D3813" i="1" s="1"/>
  <c r="C3828" i="1" l="1"/>
  <c r="C3854" i="1" s="1"/>
  <c r="C3858" i="1" s="1"/>
  <c r="D3817" i="1"/>
  <c r="D3828" i="1" s="1"/>
  <c r="D3854" i="1" s="1"/>
  <c r="D3858" i="1" l="1"/>
  <c r="D3869" i="1" s="1"/>
  <c r="D3895" i="1" s="1"/>
  <c r="C3869" i="1"/>
  <c r="C3895" i="1" s="1"/>
  <c r="C3899" i="1" s="1"/>
  <c r="D3899" i="1" l="1"/>
  <c r="D3910" i="1" s="1"/>
  <c r="D3936" i="1" s="1"/>
  <c r="C3910" i="1"/>
  <c r="C3936" i="1" s="1"/>
  <c r="C3940" i="1" s="1"/>
  <c r="D3940" i="1" l="1"/>
  <c r="D3951" i="1" s="1"/>
  <c r="D3977" i="1" s="1"/>
  <c r="C3951" i="1"/>
  <c r="C3977" i="1" s="1"/>
  <c r="C3981" i="1" s="1"/>
  <c r="C3992" i="1" l="1"/>
  <c r="C4018" i="1" s="1"/>
  <c r="D3981" i="1"/>
  <c r="D3992" i="1" s="1"/>
  <c r="D40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yumehan11</author>
  </authors>
  <commentList>
    <comment ref="K2949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070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103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108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14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14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185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19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226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232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268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273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309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3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350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3355" authorId="0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パッケージの
デメリット表記
やりかえ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<sst xmlns="http://schemas.openxmlformats.org/spreadsheetml/2006/main" count="12307" uniqueCount="1397">
  <si>
    <t>ブラック</t>
    <phoneticPr fontId="3"/>
  </si>
  <si>
    <t>計</t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</si>
  <si>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</si>
  <si>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</si>
  <si>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</si>
  <si>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</si>
  <si>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</si>
  <si>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スーッと爽快アームカバー指穴有り（旭繊維在庫）</t>
    <rPh sb="4" eb="6">
      <t>ソウカイ</t>
    </rPh>
    <rPh sb="12" eb="13">
      <t>ユビ</t>
    </rPh>
    <rPh sb="13" eb="14">
      <t>アナ</t>
    </rPh>
    <rPh sb="14" eb="15">
      <t>ア</t>
    </rPh>
    <rPh sb="17" eb="18">
      <t>アサヒ</t>
    </rPh>
    <rPh sb="18" eb="20">
      <t>センイ</t>
    </rPh>
    <rPh sb="20" eb="22">
      <t>ザイコ</t>
    </rPh>
    <phoneticPr fontId="3"/>
  </si>
  <si>
    <t>スーッと爽快アームカバー指穴あり(夢販在庫）</t>
    <rPh sb="4" eb="6">
      <t>ソウカイ</t>
    </rPh>
    <rPh sb="12" eb="13">
      <t>ユビ</t>
    </rPh>
    <rPh sb="13" eb="14">
      <t>アナ</t>
    </rPh>
    <rPh sb="17" eb="18">
      <t>ユメ</t>
    </rPh>
    <rPh sb="18" eb="19">
      <t>ハン</t>
    </rPh>
    <rPh sb="19" eb="21">
      <t>ザイコ</t>
    </rPh>
    <phoneticPr fontId="3"/>
  </si>
  <si>
    <t>夢販</t>
    <rPh sb="0" eb="1">
      <t>ユメ</t>
    </rPh>
    <rPh sb="1" eb="2">
      <t>ハン</t>
    </rPh>
    <phoneticPr fontId="2"/>
  </si>
  <si>
    <t>セシール</t>
    <phoneticPr fontId="2"/>
  </si>
  <si>
    <t>レモール</t>
    <phoneticPr fontId="2"/>
  </si>
  <si>
    <t>ハンズ名古屋</t>
    <rPh sb="3" eb="6">
      <t>ナゴヤ</t>
    </rPh>
    <phoneticPr fontId="2"/>
  </si>
  <si>
    <t>レモール</t>
    <phoneticPr fontId="2"/>
  </si>
  <si>
    <t>レモール</t>
    <phoneticPr fontId="2"/>
  </si>
  <si>
    <t>酒井持出しsample</t>
  </si>
  <si>
    <t>3/13～15</t>
    <phoneticPr fontId="2"/>
  </si>
  <si>
    <t>レモール</t>
    <phoneticPr fontId="2"/>
  </si>
  <si>
    <t>レモール</t>
    <phoneticPr fontId="2"/>
  </si>
  <si>
    <t>セシール返品</t>
    <rPh sb="4" eb="6">
      <t>ヘンピン</t>
    </rPh>
    <phoneticPr fontId="2"/>
  </si>
  <si>
    <t>コープきんき4号①直送</t>
    <rPh sb="7" eb="8">
      <t>ゴウ</t>
    </rPh>
    <rPh sb="9" eb="11">
      <t>チョクソウ</t>
    </rPh>
    <phoneticPr fontId="2"/>
  </si>
  <si>
    <t>マスダ増</t>
    <rPh sb="3" eb="4">
      <t>マ</t>
    </rPh>
    <phoneticPr fontId="2"/>
  </si>
  <si>
    <t>レモール</t>
    <phoneticPr fontId="2"/>
  </si>
  <si>
    <t>スクロール</t>
    <phoneticPr fontId="2"/>
  </si>
  <si>
    <t>セシール</t>
    <phoneticPr fontId="2"/>
  </si>
  <si>
    <t>高谷サンプル</t>
    <rPh sb="0" eb="2">
      <t>タカタニ</t>
    </rPh>
    <phoneticPr fontId="2"/>
  </si>
  <si>
    <t>在庫</t>
    <rPh sb="0" eb="2">
      <t>ザイコ</t>
    </rPh>
    <phoneticPr fontId="3"/>
  </si>
  <si>
    <t>スクロール</t>
    <phoneticPr fontId="2"/>
  </si>
  <si>
    <t>くらし（大阪）sample</t>
    <rPh sb="4" eb="6">
      <t>オオサカ</t>
    </rPh>
    <phoneticPr fontId="2"/>
  </si>
  <si>
    <t>スクロール</t>
    <phoneticPr fontId="2"/>
  </si>
  <si>
    <t>セシール</t>
    <phoneticPr fontId="2"/>
  </si>
  <si>
    <t>夢販</t>
    <rPh sb="0" eb="2">
      <t>ユメハン</t>
    </rPh>
    <phoneticPr fontId="2"/>
  </si>
  <si>
    <t>セシール</t>
    <phoneticPr fontId="2"/>
  </si>
  <si>
    <t>スクロール</t>
    <phoneticPr fontId="2"/>
  </si>
  <si>
    <t>クレオスsample</t>
    <phoneticPr fontId="2"/>
  </si>
  <si>
    <t>くらし企画（コープネット）</t>
    <rPh sb="3" eb="5">
      <t>キカク</t>
    </rPh>
    <phoneticPr fontId="2"/>
  </si>
  <si>
    <t>レモール</t>
    <phoneticPr fontId="2"/>
  </si>
  <si>
    <t>夢販</t>
    <phoneticPr fontId="2"/>
  </si>
  <si>
    <t>スクロール</t>
    <phoneticPr fontId="2"/>
  </si>
  <si>
    <t>Amazon</t>
    <phoneticPr fontId="2"/>
  </si>
  <si>
    <t>セシール</t>
    <phoneticPr fontId="2"/>
  </si>
  <si>
    <t>かりん</t>
    <phoneticPr fontId="2"/>
  </si>
  <si>
    <t>スクロール</t>
    <phoneticPr fontId="2"/>
  </si>
  <si>
    <t>ハンズANNEX</t>
    <phoneticPr fontId="2"/>
  </si>
  <si>
    <t>ニッセン</t>
    <phoneticPr fontId="2"/>
  </si>
  <si>
    <t>スクロール</t>
    <phoneticPr fontId="2"/>
  </si>
  <si>
    <t>レモール</t>
    <phoneticPr fontId="2"/>
  </si>
  <si>
    <t>夢販</t>
    <phoneticPr fontId="2"/>
  </si>
  <si>
    <t>シンツー</t>
    <phoneticPr fontId="2"/>
  </si>
  <si>
    <t>レモール</t>
    <phoneticPr fontId="2"/>
  </si>
  <si>
    <t>スクロール</t>
    <phoneticPr fontId="2"/>
  </si>
  <si>
    <t>夢販</t>
    <phoneticPr fontId="2"/>
  </si>
  <si>
    <t>スクロール</t>
    <phoneticPr fontId="2"/>
  </si>
  <si>
    <t>夢販</t>
    <phoneticPr fontId="2"/>
  </si>
  <si>
    <t>レモール</t>
    <phoneticPr fontId="2"/>
  </si>
  <si>
    <t>夢販</t>
    <phoneticPr fontId="2"/>
  </si>
  <si>
    <t>夢販</t>
    <phoneticPr fontId="2"/>
  </si>
  <si>
    <t>ライフサポート</t>
    <phoneticPr fontId="2"/>
  </si>
  <si>
    <t>ライフサポート</t>
    <phoneticPr fontId="2"/>
  </si>
  <si>
    <t>ハンズアネックス</t>
    <phoneticPr fontId="2"/>
  </si>
  <si>
    <t>夢販</t>
    <phoneticPr fontId="2"/>
  </si>
  <si>
    <t>レモール</t>
    <phoneticPr fontId="2"/>
  </si>
  <si>
    <t>スクロール</t>
    <phoneticPr fontId="2"/>
  </si>
  <si>
    <t>コープネット①</t>
    <phoneticPr fontId="2"/>
  </si>
  <si>
    <t>くらし返品</t>
    <rPh sb="3" eb="5">
      <t>ヘンピン</t>
    </rPh>
    <phoneticPr fontId="3"/>
  </si>
  <si>
    <t>レモール</t>
    <phoneticPr fontId="2"/>
  </si>
  <si>
    <t>スクロール</t>
    <phoneticPr fontId="2"/>
  </si>
  <si>
    <t>調整</t>
    <rPh sb="0" eb="2">
      <t>チョウセイ</t>
    </rPh>
    <phoneticPr fontId="3"/>
  </si>
  <si>
    <t>コープネット②</t>
    <phoneticPr fontId="2"/>
  </si>
  <si>
    <t>コープネット③</t>
    <phoneticPr fontId="2"/>
  </si>
  <si>
    <t>夢販</t>
    <phoneticPr fontId="2"/>
  </si>
  <si>
    <t>セシール返品</t>
    <rPh sb="4" eb="6">
      <t>ヘンピン</t>
    </rPh>
    <phoneticPr fontId="3"/>
  </si>
  <si>
    <t>夢販</t>
    <phoneticPr fontId="2"/>
  </si>
  <si>
    <t>ファインサンプル</t>
    <phoneticPr fontId="2"/>
  </si>
  <si>
    <t>夢販</t>
    <phoneticPr fontId="2"/>
  </si>
  <si>
    <t>ファイン(大阪)サンプル</t>
    <rPh sb="5" eb="7">
      <t>オオサカ</t>
    </rPh>
    <phoneticPr fontId="2"/>
  </si>
  <si>
    <t>フクスケ</t>
    <phoneticPr fontId="2"/>
  </si>
  <si>
    <t>素数</t>
    <rPh sb="0" eb="2">
      <t>ソスウ</t>
    </rPh>
    <phoneticPr fontId="2"/>
  </si>
  <si>
    <t>メディアプライスサンプル</t>
    <phoneticPr fontId="2"/>
  </si>
  <si>
    <t>くらし企画（ｺｰﾌﾟﾈｯﾄ）sample</t>
    <rPh sb="3" eb="5">
      <t>キカク</t>
    </rPh>
    <phoneticPr fontId="2"/>
  </si>
  <si>
    <r>
      <t>3</t>
    </r>
    <r>
      <rPr>
        <sz val="11"/>
        <color theme="1"/>
        <rFont val="ＭＳ Ｐゴシック"/>
        <family val="3"/>
        <charset val="128"/>
        <scheme val="minor"/>
      </rPr>
      <t>/3着</t>
    </r>
    <rPh sb="3" eb="4">
      <t>チャク</t>
    </rPh>
    <phoneticPr fontId="2"/>
  </si>
  <si>
    <t>ファインsample（鈴木）</t>
    <rPh sb="11" eb="13">
      <t>スズキ</t>
    </rPh>
    <phoneticPr fontId="2"/>
  </si>
  <si>
    <t>高谷さんサンプル</t>
    <rPh sb="0" eb="2">
      <t>タカタニ</t>
    </rPh>
    <phoneticPr fontId="2"/>
  </si>
  <si>
    <t>アンファミエsample置き</t>
    <rPh sb="12" eb="13">
      <t>オ</t>
    </rPh>
    <phoneticPr fontId="2"/>
  </si>
  <si>
    <t>夢販</t>
    <phoneticPr fontId="2"/>
  </si>
  <si>
    <t>ベストサンクス</t>
    <phoneticPr fontId="2"/>
  </si>
  <si>
    <t>ファインサンプル返却</t>
    <rPh sb="8" eb="10">
      <t>ヘンキャク</t>
    </rPh>
    <phoneticPr fontId="2"/>
  </si>
  <si>
    <t>夢販</t>
    <phoneticPr fontId="2"/>
  </si>
  <si>
    <t>丸藤</t>
    <rPh sb="0" eb="2">
      <t>マルフジ</t>
    </rPh>
    <phoneticPr fontId="3"/>
  </si>
  <si>
    <t>夢販</t>
    <phoneticPr fontId="2"/>
  </si>
  <si>
    <t>セシール1P</t>
    <phoneticPr fontId="2"/>
  </si>
  <si>
    <t>セシール2P</t>
  </si>
  <si>
    <t>福助返品</t>
    <rPh sb="0" eb="4">
      <t>フクスケヘンピン</t>
    </rPh>
    <phoneticPr fontId="3"/>
  </si>
  <si>
    <t>ニッセン</t>
    <phoneticPr fontId="2"/>
  </si>
  <si>
    <t>ファイン（なら）</t>
    <phoneticPr fontId="2"/>
  </si>
  <si>
    <t>ファイン（サンネット）</t>
    <phoneticPr fontId="2"/>
  </si>
  <si>
    <t>ファイン（サンネット、わかやま）</t>
    <phoneticPr fontId="2"/>
  </si>
  <si>
    <t>コープネットくらし5月1回①</t>
    <rPh sb="10" eb="11">
      <t>ガツ</t>
    </rPh>
    <rPh sb="12" eb="13">
      <t>カイ</t>
    </rPh>
    <phoneticPr fontId="2"/>
  </si>
  <si>
    <t>高谷さんサンプル返却</t>
    <rPh sb="0" eb="2">
      <t>タカタニ</t>
    </rPh>
    <rPh sb="8" eb="10">
      <t>ヘンキャク</t>
    </rPh>
    <phoneticPr fontId="3"/>
  </si>
  <si>
    <t>ファイン（さっぽろ）</t>
    <phoneticPr fontId="2"/>
  </si>
  <si>
    <t>ファイン（東都）</t>
    <rPh sb="5" eb="7">
      <t>トウト</t>
    </rPh>
    <phoneticPr fontId="2"/>
  </si>
  <si>
    <t>夢販</t>
    <phoneticPr fontId="2"/>
  </si>
  <si>
    <t>夢販</t>
    <phoneticPr fontId="2"/>
  </si>
  <si>
    <t>ファイン（ALL）</t>
    <phoneticPr fontId="2"/>
  </si>
  <si>
    <t>丸藤（ﾕｰｺｰﾌﾟ）校正用sample</t>
    <rPh sb="0" eb="2">
      <t>マルフジ</t>
    </rPh>
    <rPh sb="11" eb="12">
      <t>ヨウ</t>
    </rPh>
    <rPh sb="12" eb="13">
      <t>ヨウ</t>
    </rPh>
    <phoneticPr fontId="2"/>
  </si>
  <si>
    <t>ファイン（ALLよつば）</t>
    <phoneticPr fontId="2"/>
  </si>
  <si>
    <t>コープネットくらし5月1回②</t>
    <rPh sb="10" eb="11">
      <t>ガツ</t>
    </rPh>
    <rPh sb="12" eb="13">
      <t>カイ</t>
    </rPh>
    <phoneticPr fontId="2"/>
  </si>
  <si>
    <t>夢販</t>
    <phoneticPr fontId="2"/>
  </si>
  <si>
    <t>ファイン（ALL)</t>
    <phoneticPr fontId="2"/>
  </si>
  <si>
    <t>夢販</t>
    <phoneticPr fontId="2"/>
  </si>
  <si>
    <t>コープネットくらし5月1回③</t>
    <rPh sb="10" eb="11">
      <t>ガツ</t>
    </rPh>
    <rPh sb="12" eb="13">
      <t>カイ</t>
    </rPh>
    <phoneticPr fontId="2"/>
  </si>
  <si>
    <t>セシール(2P)</t>
    <phoneticPr fontId="2"/>
  </si>
  <si>
    <t>ニッセン</t>
    <phoneticPr fontId="2"/>
  </si>
  <si>
    <t>夢販</t>
    <phoneticPr fontId="2"/>
  </si>
  <si>
    <t>アンファミエ</t>
    <phoneticPr fontId="2"/>
  </si>
  <si>
    <t>ファイン（東都）直送</t>
    <rPh sb="5" eb="7">
      <t>トウト</t>
    </rPh>
    <rPh sb="8" eb="10">
      <t>チョクソウ</t>
    </rPh>
    <phoneticPr fontId="2"/>
  </si>
  <si>
    <t>ファイン（サンネット）直送</t>
    <rPh sb="11" eb="13">
      <t>チョクソウ</t>
    </rPh>
    <phoneticPr fontId="2"/>
  </si>
  <si>
    <t>ニッセン</t>
    <phoneticPr fontId="2"/>
  </si>
  <si>
    <t>夢販</t>
    <phoneticPr fontId="2"/>
  </si>
  <si>
    <t>アンファミエsample返却</t>
    <rPh sb="12" eb="14">
      <t>ヘンキャク</t>
    </rPh>
    <phoneticPr fontId="2"/>
  </si>
  <si>
    <t>アンファミエ直送</t>
    <rPh sb="6" eb="8">
      <t>チョクソウ</t>
    </rPh>
    <phoneticPr fontId="2"/>
  </si>
  <si>
    <t>夢販</t>
    <phoneticPr fontId="2"/>
  </si>
  <si>
    <t>丸藤返品</t>
    <rPh sb="0" eb="2">
      <t>マルフジ</t>
    </rPh>
    <rPh sb="2" eb="4">
      <t>ヘンピン</t>
    </rPh>
    <phoneticPr fontId="3"/>
  </si>
  <si>
    <t>セシール</t>
    <phoneticPr fontId="2"/>
  </si>
  <si>
    <t>セシール(2p)</t>
    <phoneticPr fontId="2"/>
  </si>
  <si>
    <t>ニッセン</t>
    <phoneticPr fontId="2"/>
  </si>
  <si>
    <t>夢販</t>
    <phoneticPr fontId="2"/>
  </si>
  <si>
    <t>夢販</t>
    <phoneticPr fontId="2"/>
  </si>
  <si>
    <t>夢販</t>
    <phoneticPr fontId="2"/>
  </si>
  <si>
    <t>ファイン（とや・よつ・なら）</t>
    <phoneticPr fontId="2"/>
  </si>
  <si>
    <t>夢販</t>
    <phoneticPr fontId="2"/>
  </si>
  <si>
    <t>夢販</t>
    <phoneticPr fontId="2"/>
  </si>
  <si>
    <t>ファイン(東都)</t>
    <rPh sb="5" eb="7">
      <t>トウト</t>
    </rPh>
    <phoneticPr fontId="2"/>
  </si>
  <si>
    <t>ファイン</t>
    <phoneticPr fontId="2"/>
  </si>
  <si>
    <t>ファイン</t>
    <phoneticPr fontId="2"/>
  </si>
  <si>
    <t>夢販</t>
    <phoneticPr fontId="2"/>
  </si>
  <si>
    <t>セシール2P</t>
    <phoneticPr fontId="2"/>
  </si>
  <si>
    <t>夢販</t>
    <phoneticPr fontId="2"/>
  </si>
  <si>
    <t>ファイン（新潟他）</t>
    <rPh sb="5" eb="7">
      <t>ニイガタ</t>
    </rPh>
    <rPh sb="7" eb="8">
      <t>ホカ</t>
    </rPh>
    <phoneticPr fontId="2"/>
  </si>
  <si>
    <t>ベストサンクス</t>
    <phoneticPr fontId="2"/>
  </si>
  <si>
    <t>ファイン（学協）</t>
    <rPh sb="5" eb="7">
      <t>ガッキョウ</t>
    </rPh>
    <phoneticPr fontId="2"/>
  </si>
  <si>
    <t>夢販</t>
    <phoneticPr fontId="2"/>
  </si>
  <si>
    <t>ファイン（学協・東都）</t>
    <rPh sb="5" eb="7">
      <t>ガッキョウ</t>
    </rPh>
    <rPh sb="8" eb="10">
      <t>トウト</t>
    </rPh>
    <phoneticPr fontId="2"/>
  </si>
  <si>
    <t>夢販</t>
    <phoneticPr fontId="2"/>
  </si>
  <si>
    <t>コープネットくらし限定①</t>
    <rPh sb="9" eb="11">
      <t>ゲンテイ</t>
    </rPh>
    <phoneticPr fontId="2"/>
  </si>
  <si>
    <t xml:space="preserve"> </t>
    <phoneticPr fontId="2"/>
  </si>
  <si>
    <t>ファイン（学協・ALL)</t>
    <rPh sb="5" eb="7">
      <t>ガッキョウ</t>
    </rPh>
    <phoneticPr fontId="2"/>
  </si>
  <si>
    <t>夢販</t>
    <phoneticPr fontId="2"/>
  </si>
  <si>
    <t>ニッセン</t>
    <phoneticPr fontId="2"/>
  </si>
  <si>
    <t>ファイン</t>
    <phoneticPr fontId="2"/>
  </si>
  <si>
    <t>ナチュラルガーデン</t>
    <phoneticPr fontId="2"/>
  </si>
  <si>
    <t>ファイン（ＡＬＬ　和歌山）</t>
    <rPh sb="9" eb="12">
      <t>ワカヤマ</t>
    </rPh>
    <phoneticPr fontId="2"/>
  </si>
  <si>
    <t>丸藤（ﾕｰｺｰﾌﾟ7月4回）①</t>
    <rPh sb="0" eb="2">
      <t>マルフジ</t>
    </rPh>
    <rPh sb="10" eb="11">
      <t>ガツ</t>
    </rPh>
    <rPh sb="12" eb="13">
      <t>カイ</t>
    </rPh>
    <phoneticPr fontId="2"/>
  </si>
  <si>
    <t>ファイン（とよな）</t>
    <phoneticPr fontId="2"/>
  </si>
  <si>
    <t>ファイン（東都工房別版7月4週）②</t>
    <rPh sb="5" eb="7">
      <t>トウト</t>
    </rPh>
    <rPh sb="7" eb="9">
      <t>コウボウ</t>
    </rPh>
    <rPh sb="9" eb="10">
      <t>ベツ</t>
    </rPh>
    <rPh sb="10" eb="11">
      <t>バン</t>
    </rPh>
    <rPh sb="12" eb="13">
      <t>ガツ</t>
    </rPh>
    <rPh sb="14" eb="15">
      <t>シュウ</t>
    </rPh>
    <phoneticPr fontId="2"/>
  </si>
  <si>
    <t>アンファミエ①</t>
    <phoneticPr fontId="2"/>
  </si>
  <si>
    <t>アンファミエ②</t>
    <phoneticPr fontId="2"/>
  </si>
  <si>
    <t>コープネットくらし限定②</t>
    <rPh sb="9" eb="11">
      <t>ゲンテイ</t>
    </rPh>
    <phoneticPr fontId="2"/>
  </si>
  <si>
    <t>追加OCS</t>
    <rPh sb="0" eb="2">
      <t>ツイカ</t>
    </rPh>
    <phoneticPr fontId="3"/>
  </si>
  <si>
    <t>旭繊維</t>
    <rPh sb="0" eb="1">
      <t>アサヒ</t>
    </rPh>
    <rPh sb="1" eb="3">
      <t>センイ</t>
    </rPh>
    <phoneticPr fontId="2"/>
  </si>
  <si>
    <t>丸藤（ﾕｰｺｰﾌﾟ7月4回）②</t>
    <rPh sb="0" eb="2">
      <t>マルフジ</t>
    </rPh>
    <rPh sb="10" eb="11">
      <t>ガツ</t>
    </rPh>
    <rPh sb="12" eb="13">
      <t>カイ</t>
    </rPh>
    <phoneticPr fontId="2"/>
  </si>
  <si>
    <t>ネット</t>
  </si>
  <si>
    <t>ネット</t>
    <phoneticPr fontId="2"/>
  </si>
  <si>
    <t>丸藤ユーコープ返品</t>
    <rPh sb="0" eb="2">
      <t>マルフジ</t>
    </rPh>
    <rPh sb="7" eb="9">
      <t>ヘンピン</t>
    </rPh>
    <rPh sb="8" eb="9">
      <t>ヒン</t>
    </rPh>
    <phoneticPr fontId="3"/>
  </si>
  <si>
    <t>ナチュラルガーデン</t>
    <phoneticPr fontId="2"/>
  </si>
  <si>
    <t>ファインＡＬＬ</t>
    <phoneticPr fontId="2"/>
  </si>
  <si>
    <t>ファインALL</t>
    <phoneticPr fontId="2"/>
  </si>
  <si>
    <t>ネット</t>
    <phoneticPr fontId="2"/>
  </si>
  <si>
    <t>ファイン</t>
    <phoneticPr fontId="2"/>
  </si>
  <si>
    <t>ネット</t>
    <phoneticPr fontId="2"/>
  </si>
  <si>
    <t>ネット再配送分</t>
    <rPh sb="3" eb="6">
      <t>サイハイソウ</t>
    </rPh>
    <rPh sb="6" eb="7">
      <t>ブン</t>
    </rPh>
    <phoneticPr fontId="2"/>
  </si>
  <si>
    <t>ネット</t>
    <phoneticPr fontId="2"/>
  </si>
  <si>
    <t>ニッセン返品</t>
    <rPh sb="4" eb="6">
      <t>ヘンピン</t>
    </rPh>
    <phoneticPr fontId="3"/>
  </si>
  <si>
    <t>メディアプライスsample返却</t>
    <rPh sb="14" eb="16">
      <t>ヘンキャク</t>
    </rPh>
    <phoneticPr fontId="2"/>
  </si>
  <si>
    <t>ネット</t>
    <phoneticPr fontId="2"/>
  </si>
  <si>
    <t>ファイン（ﾌﾟﾚﾃｯｸ）</t>
    <phoneticPr fontId="2"/>
  </si>
  <si>
    <t>ネット</t>
    <phoneticPr fontId="2"/>
  </si>
  <si>
    <t>ネット</t>
    <phoneticPr fontId="2"/>
  </si>
  <si>
    <t>ファイン（フレスタ他）</t>
    <rPh sb="9" eb="10">
      <t>ホカ</t>
    </rPh>
    <phoneticPr fontId="2"/>
  </si>
  <si>
    <t>ネット</t>
    <phoneticPr fontId="2"/>
  </si>
  <si>
    <t>ネット</t>
    <phoneticPr fontId="2"/>
  </si>
  <si>
    <t>ファイン（サンネット）①</t>
    <phoneticPr fontId="2"/>
  </si>
  <si>
    <t>ネット</t>
    <phoneticPr fontId="2"/>
  </si>
  <si>
    <t>ナチュラルガーデン</t>
    <phoneticPr fontId="2"/>
  </si>
  <si>
    <t>ファイン返品</t>
    <rPh sb="4" eb="6">
      <t>ヘンピン</t>
    </rPh>
    <phoneticPr fontId="3"/>
  </si>
  <si>
    <t>ネット</t>
    <phoneticPr fontId="2"/>
  </si>
  <si>
    <t>ネット</t>
    <phoneticPr fontId="2"/>
  </si>
  <si>
    <t>ファイン（サンネット）②</t>
    <phoneticPr fontId="2"/>
  </si>
  <si>
    <t>ネット</t>
    <phoneticPr fontId="2"/>
  </si>
  <si>
    <t>ネット</t>
    <phoneticPr fontId="2"/>
  </si>
  <si>
    <t>電話注文</t>
    <rPh sb="0" eb="2">
      <t>デンワ</t>
    </rPh>
    <rPh sb="2" eb="4">
      <t>チュウモン</t>
    </rPh>
    <phoneticPr fontId="2"/>
  </si>
  <si>
    <t>ネット</t>
    <phoneticPr fontId="2"/>
  </si>
  <si>
    <t>スーッと爽快アームカバー指穴有り（ゼクー在庫）</t>
    <rPh sb="4" eb="6">
      <t>ソウカイ</t>
    </rPh>
    <rPh sb="12" eb="13">
      <t>ユビ</t>
    </rPh>
    <rPh sb="13" eb="14">
      <t>アナ</t>
    </rPh>
    <rPh sb="14" eb="15">
      <t>ア</t>
    </rPh>
    <rPh sb="20" eb="22">
      <t>ザイコ</t>
    </rPh>
    <phoneticPr fontId="3"/>
  </si>
  <si>
    <t>ベルーナ夏号撮影用sample</t>
    <rPh sb="4" eb="5">
      <t>ナツ</t>
    </rPh>
    <rPh sb="5" eb="6">
      <t>ゴウ</t>
    </rPh>
    <rPh sb="6" eb="9">
      <t>サツエイヨウ</t>
    </rPh>
    <phoneticPr fontId="2"/>
  </si>
  <si>
    <t>ネット</t>
    <phoneticPr fontId="2"/>
  </si>
  <si>
    <t>ベルーナ夏号撮影用sample返却</t>
    <rPh sb="4" eb="5">
      <t>ナツ</t>
    </rPh>
    <rPh sb="5" eb="6">
      <t>ゴウ</t>
    </rPh>
    <rPh sb="6" eb="9">
      <t>サツエイヨウ</t>
    </rPh>
    <rPh sb="15" eb="17">
      <t>ヘンキャク</t>
    </rPh>
    <phoneticPr fontId="2"/>
  </si>
  <si>
    <t>ネット</t>
    <phoneticPr fontId="2"/>
  </si>
  <si>
    <t>ネット</t>
    <phoneticPr fontId="2"/>
  </si>
  <si>
    <t>ネット</t>
    <phoneticPr fontId="2"/>
  </si>
  <si>
    <t>ｳﾞｨｰﾅｽ15年夏号色校用sample</t>
    <rPh sb="8" eb="9">
      <t>ネン</t>
    </rPh>
    <rPh sb="9" eb="10">
      <t>ナツ</t>
    </rPh>
    <rPh sb="10" eb="11">
      <t>ゴウ</t>
    </rPh>
    <rPh sb="11" eb="12">
      <t>イロ</t>
    </rPh>
    <rPh sb="12" eb="13">
      <t>ヨウ</t>
    </rPh>
    <rPh sb="13" eb="19">
      <t>ｓａｍｐｌｅ</t>
    </rPh>
    <phoneticPr fontId="2"/>
  </si>
  <si>
    <t>ネット</t>
    <phoneticPr fontId="2"/>
  </si>
  <si>
    <t>ネット</t>
    <phoneticPr fontId="2"/>
  </si>
  <si>
    <t>ネット</t>
    <phoneticPr fontId="2"/>
  </si>
  <si>
    <t>くらしコープ九州サンプル</t>
    <rPh sb="6" eb="8">
      <t>キュウシュウ</t>
    </rPh>
    <phoneticPr fontId="2"/>
  </si>
  <si>
    <t>アンファミエ</t>
    <phoneticPr fontId="2"/>
  </si>
  <si>
    <t>ネット</t>
    <phoneticPr fontId="2"/>
  </si>
  <si>
    <t>コープネット4月4回①</t>
    <rPh sb="7" eb="8">
      <t>ガツ</t>
    </rPh>
    <rPh sb="9" eb="10">
      <t>カイ</t>
    </rPh>
    <phoneticPr fontId="2"/>
  </si>
  <si>
    <t>セシール2P</t>
    <phoneticPr fontId="2"/>
  </si>
  <si>
    <t>ネット</t>
    <phoneticPr fontId="2"/>
  </si>
  <si>
    <t>ファインALL5月1回</t>
    <rPh sb="8" eb="9">
      <t>ガツ</t>
    </rPh>
    <rPh sb="10" eb="11">
      <t>カイ</t>
    </rPh>
    <phoneticPr fontId="2"/>
  </si>
  <si>
    <t>ファイン（とやま・キッチン・なら）</t>
    <phoneticPr fontId="2"/>
  </si>
  <si>
    <t>ネット</t>
    <phoneticPr fontId="2"/>
  </si>
  <si>
    <t>ベルーナ2P</t>
    <phoneticPr fontId="2"/>
  </si>
  <si>
    <t>ベルーナ2P</t>
    <phoneticPr fontId="2"/>
  </si>
  <si>
    <t>ネット</t>
    <phoneticPr fontId="2"/>
  </si>
  <si>
    <t>ネット返品再生</t>
    <rPh sb="3" eb="5">
      <t>ヘンピン</t>
    </rPh>
    <rPh sb="5" eb="7">
      <t>サイセイ</t>
    </rPh>
    <phoneticPr fontId="2"/>
  </si>
  <si>
    <t>コープネット4月4回②</t>
    <rPh sb="7" eb="8">
      <t>ガツ</t>
    </rPh>
    <rPh sb="9" eb="10">
      <t>カイ</t>
    </rPh>
    <phoneticPr fontId="2"/>
  </si>
  <si>
    <t>コープネット4月4回③</t>
    <rPh sb="7" eb="8">
      <t>ガツ</t>
    </rPh>
    <rPh sb="9" eb="10">
      <t>カイ</t>
    </rPh>
    <phoneticPr fontId="2"/>
  </si>
  <si>
    <t>スーッと爽快アームカバー指穴有り（サンリッチー在庫）</t>
    <rPh sb="4" eb="6">
      <t>ソウカイ</t>
    </rPh>
    <rPh sb="12" eb="13">
      <t>ユビ</t>
    </rPh>
    <rPh sb="13" eb="14">
      <t>アナ</t>
    </rPh>
    <rPh sb="14" eb="15">
      <t>ア</t>
    </rPh>
    <rPh sb="23" eb="25">
      <t>ザイコ</t>
    </rPh>
    <phoneticPr fontId="3"/>
  </si>
  <si>
    <t>ファインALL</t>
    <phoneticPr fontId="2"/>
  </si>
  <si>
    <t>コープネット直送</t>
    <rPh sb="6" eb="8">
      <t>チョクソウ</t>
    </rPh>
    <phoneticPr fontId="2"/>
  </si>
  <si>
    <t>ファイン</t>
    <phoneticPr fontId="2"/>
  </si>
  <si>
    <t>セシール</t>
    <phoneticPr fontId="2"/>
  </si>
  <si>
    <t>アンファミエ</t>
    <phoneticPr fontId="2"/>
  </si>
  <si>
    <t>ヴィーナスサンプル返却</t>
    <rPh sb="9" eb="11">
      <t>ヘンキャク</t>
    </rPh>
    <phoneticPr fontId="2"/>
  </si>
  <si>
    <t>ネット</t>
    <phoneticPr fontId="2"/>
  </si>
  <si>
    <t>コープネット6月2回①</t>
    <rPh sb="7" eb="8">
      <t>ガツ</t>
    </rPh>
    <rPh sb="9" eb="10">
      <t>カイ</t>
    </rPh>
    <phoneticPr fontId="2"/>
  </si>
  <si>
    <t>全国通販</t>
    <rPh sb="0" eb="4">
      <t>ゼンコクツウハン</t>
    </rPh>
    <phoneticPr fontId="2"/>
  </si>
  <si>
    <t>セシール</t>
    <phoneticPr fontId="2"/>
  </si>
  <si>
    <t>ネット</t>
    <phoneticPr fontId="2"/>
  </si>
  <si>
    <t>ネット</t>
    <phoneticPr fontId="2"/>
  </si>
  <si>
    <t>ネット</t>
    <phoneticPr fontId="2"/>
  </si>
  <si>
    <t>セシール2P</t>
    <phoneticPr fontId="2"/>
  </si>
  <si>
    <t>ファイン（サンネット7月5週）</t>
    <rPh sb="11" eb="12">
      <t>ガツ</t>
    </rPh>
    <rPh sb="13" eb="14">
      <t>シュウ</t>
    </rPh>
    <phoneticPr fontId="2"/>
  </si>
  <si>
    <t>ネット</t>
    <phoneticPr fontId="2"/>
  </si>
  <si>
    <t>ネット</t>
    <phoneticPr fontId="2"/>
  </si>
  <si>
    <t>ネット</t>
    <phoneticPr fontId="2"/>
  </si>
  <si>
    <t>コープネット6月2回②</t>
    <rPh sb="7" eb="8">
      <t>ガツ</t>
    </rPh>
    <rPh sb="9" eb="10">
      <t>カイ</t>
    </rPh>
    <phoneticPr fontId="2"/>
  </si>
  <si>
    <t>コープネット6月2回③</t>
    <rPh sb="7" eb="8">
      <t>ガツ</t>
    </rPh>
    <rPh sb="9" eb="10">
      <t>カイ</t>
    </rPh>
    <phoneticPr fontId="2"/>
  </si>
  <si>
    <t>ファイン（サンネット・東都）</t>
    <rPh sb="11" eb="13">
      <t>トウト</t>
    </rPh>
    <phoneticPr fontId="2"/>
  </si>
  <si>
    <t>ネット</t>
    <phoneticPr fontId="2"/>
  </si>
  <si>
    <t>アンファミエ</t>
    <phoneticPr fontId="2"/>
  </si>
  <si>
    <t>ネット</t>
    <phoneticPr fontId="2"/>
  </si>
  <si>
    <t>ネット</t>
    <phoneticPr fontId="2"/>
  </si>
  <si>
    <t>ファイン（サンネット）</t>
    <phoneticPr fontId="2"/>
  </si>
  <si>
    <t>ネット</t>
    <phoneticPr fontId="2"/>
  </si>
  <si>
    <t>ネット</t>
    <phoneticPr fontId="2"/>
  </si>
  <si>
    <t>ネット</t>
    <phoneticPr fontId="2"/>
  </si>
  <si>
    <t>ファイン（東都・ｻﾏｰｳｯﾄﾞ6）</t>
    <rPh sb="5" eb="7">
      <t>トウト</t>
    </rPh>
    <phoneticPr fontId="2"/>
  </si>
  <si>
    <t>夢版</t>
    <rPh sb="0" eb="2">
      <t>ユメハン</t>
    </rPh>
    <phoneticPr fontId="2"/>
  </si>
  <si>
    <t>コープネット7月限定①</t>
    <rPh sb="7" eb="8">
      <t>ガツ</t>
    </rPh>
    <rPh sb="8" eb="10">
      <t>ゲンテイ</t>
    </rPh>
    <phoneticPr fontId="2"/>
  </si>
  <si>
    <t>ネット</t>
    <phoneticPr fontId="2"/>
  </si>
  <si>
    <t>ネット</t>
    <phoneticPr fontId="2"/>
  </si>
  <si>
    <t>不良代替</t>
    <rPh sb="0" eb="2">
      <t>フリョウ</t>
    </rPh>
    <rPh sb="2" eb="4">
      <t>ダイタイ</t>
    </rPh>
    <phoneticPr fontId="2"/>
  </si>
  <si>
    <t>ネット</t>
    <phoneticPr fontId="2"/>
  </si>
  <si>
    <t>調整(社長了解済)</t>
    <rPh sb="0" eb="2">
      <t>チョウセイ</t>
    </rPh>
    <rPh sb="3" eb="7">
      <t>シャチョウリョウカイ</t>
    </rPh>
    <rPh sb="7" eb="8">
      <t>ズ</t>
    </rPh>
    <phoneticPr fontId="2"/>
  </si>
  <si>
    <t>ネット</t>
    <phoneticPr fontId="2"/>
  </si>
  <si>
    <t>ネット</t>
    <phoneticPr fontId="2"/>
  </si>
  <si>
    <t>コープネット7月限定②</t>
    <rPh sb="7" eb="8">
      <t>ガツ</t>
    </rPh>
    <rPh sb="8" eb="10">
      <t>ゲンテイ</t>
    </rPh>
    <phoneticPr fontId="2"/>
  </si>
  <si>
    <t>コープネットくらし限定③</t>
    <rPh sb="9" eb="11">
      <t>ゲンテイ</t>
    </rPh>
    <phoneticPr fontId="2"/>
  </si>
  <si>
    <t>コープネット7月限定③</t>
    <rPh sb="7" eb="8">
      <t>ガツ</t>
    </rPh>
    <rPh sb="8" eb="10">
      <t>ゲンテイ</t>
    </rPh>
    <phoneticPr fontId="2"/>
  </si>
  <si>
    <t>ネット</t>
    <phoneticPr fontId="2"/>
  </si>
  <si>
    <t>ファイン</t>
    <phoneticPr fontId="2"/>
  </si>
  <si>
    <t>ネット</t>
    <phoneticPr fontId="2"/>
  </si>
  <si>
    <t>ネット</t>
    <phoneticPr fontId="2"/>
  </si>
  <si>
    <t>電話注文</t>
    <rPh sb="0" eb="4">
      <t>デンワチュウモン</t>
    </rPh>
    <phoneticPr fontId="2"/>
  </si>
  <si>
    <t>ネット</t>
    <phoneticPr fontId="2"/>
  </si>
  <si>
    <t>ネット</t>
    <phoneticPr fontId="2"/>
  </si>
  <si>
    <t>追加</t>
    <rPh sb="0" eb="2">
      <t>ツイカ</t>
    </rPh>
    <phoneticPr fontId="2"/>
  </si>
  <si>
    <t>コープネット直送（くらし）</t>
    <rPh sb="6" eb="8">
      <t>チョクソウ</t>
    </rPh>
    <phoneticPr fontId="2"/>
  </si>
  <si>
    <t>ネット</t>
    <phoneticPr fontId="2"/>
  </si>
  <si>
    <t>ネット</t>
    <phoneticPr fontId="2"/>
  </si>
  <si>
    <t>ネット</t>
    <phoneticPr fontId="2"/>
  </si>
  <si>
    <t>くらし直送</t>
    <rPh sb="3" eb="5">
      <t>チョクソウ</t>
    </rPh>
    <phoneticPr fontId="2"/>
  </si>
  <si>
    <t>ネット</t>
    <phoneticPr fontId="2"/>
  </si>
  <si>
    <t>ネット</t>
    <phoneticPr fontId="2"/>
  </si>
  <si>
    <t>ネット</t>
    <phoneticPr fontId="2"/>
  </si>
  <si>
    <t>再生</t>
    <rPh sb="0" eb="2">
      <t>サイセイ</t>
    </rPh>
    <phoneticPr fontId="3"/>
  </si>
  <si>
    <t>ネット</t>
    <phoneticPr fontId="2"/>
  </si>
  <si>
    <t>酒井持ち出しサンプル</t>
    <rPh sb="0" eb="2">
      <t>サカイ</t>
    </rPh>
    <rPh sb="2" eb="3">
      <t>モ</t>
    </rPh>
    <rPh sb="4" eb="5">
      <t>ダ</t>
    </rPh>
    <phoneticPr fontId="2"/>
  </si>
  <si>
    <t>酒井持ち出しサンプル返却</t>
    <rPh sb="0" eb="2">
      <t>サカイ</t>
    </rPh>
    <rPh sb="2" eb="3">
      <t>モ</t>
    </rPh>
    <rPh sb="4" eb="5">
      <t>ダ</t>
    </rPh>
    <rPh sb="10" eb="12">
      <t>ヘンキャク</t>
    </rPh>
    <phoneticPr fontId="2"/>
  </si>
  <si>
    <t>ネット</t>
    <phoneticPr fontId="2"/>
  </si>
  <si>
    <t>ファインsample返却</t>
    <rPh sb="10" eb="12">
      <t>ヘンキャク</t>
    </rPh>
    <phoneticPr fontId="3"/>
  </si>
  <si>
    <t>ネット戻り</t>
    <rPh sb="3" eb="4">
      <t>モド</t>
    </rPh>
    <phoneticPr fontId="3"/>
  </si>
  <si>
    <t>ネット</t>
    <phoneticPr fontId="2"/>
  </si>
  <si>
    <t>ネット</t>
    <phoneticPr fontId="2"/>
  </si>
  <si>
    <t>セシール1P</t>
    <phoneticPr fontId="2"/>
  </si>
  <si>
    <t>セシール2P</t>
    <phoneticPr fontId="2"/>
  </si>
  <si>
    <t>ネット</t>
    <phoneticPr fontId="2"/>
  </si>
  <si>
    <t>ネット</t>
    <phoneticPr fontId="2"/>
  </si>
  <si>
    <t>アンファミエ</t>
    <phoneticPr fontId="2"/>
  </si>
  <si>
    <t>ネット</t>
    <phoneticPr fontId="2"/>
  </si>
  <si>
    <t>ファイン（東都4月2回）</t>
    <rPh sb="5" eb="7">
      <t>トウト</t>
    </rPh>
    <rPh sb="8" eb="9">
      <t>ガツ</t>
    </rPh>
    <rPh sb="10" eb="11">
      <t>カイ</t>
    </rPh>
    <phoneticPr fontId="2"/>
  </si>
  <si>
    <t>ネット</t>
    <phoneticPr fontId="2"/>
  </si>
  <si>
    <t>ライフサポートサンプル</t>
    <phoneticPr fontId="2"/>
  </si>
  <si>
    <t>ネット</t>
    <phoneticPr fontId="2"/>
  </si>
  <si>
    <t>ネット</t>
    <phoneticPr fontId="2"/>
  </si>
  <si>
    <t>ファイン（サンネット4月4回）</t>
    <rPh sb="11" eb="12">
      <t>ガツ</t>
    </rPh>
    <rPh sb="13" eb="14">
      <t>カイ</t>
    </rPh>
    <phoneticPr fontId="2"/>
  </si>
  <si>
    <t>ライフサポートサンプル返却</t>
    <rPh sb="11" eb="13">
      <t>ヘンキャク</t>
    </rPh>
    <phoneticPr fontId="2"/>
  </si>
  <si>
    <t>調整（不良分）</t>
    <rPh sb="0" eb="2">
      <t>チョウセイ</t>
    </rPh>
    <rPh sb="3" eb="5">
      <t>フリョウ</t>
    </rPh>
    <rPh sb="5" eb="6">
      <t>ブン</t>
    </rPh>
    <phoneticPr fontId="2"/>
  </si>
  <si>
    <t>マイジール(小山さん)sample</t>
    <rPh sb="6" eb="8">
      <t>コヤマ</t>
    </rPh>
    <phoneticPr fontId="2"/>
  </si>
  <si>
    <t>ネット</t>
    <phoneticPr fontId="2"/>
  </si>
  <si>
    <t>ファイン（なら他）</t>
    <rPh sb="7" eb="8">
      <t>ホカ</t>
    </rPh>
    <phoneticPr fontId="2"/>
  </si>
  <si>
    <t>アンファミエ</t>
    <phoneticPr fontId="2"/>
  </si>
  <si>
    <t>ネット</t>
    <phoneticPr fontId="2"/>
  </si>
  <si>
    <t>ネット</t>
    <phoneticPr fontId="2"/>
  </si>
  <si>
    <t>セシール2P</t>
    <phoneticPr fontId="2"/>
  </si>
  <si>
    <t>ネット</t>
    <phoneticPr fontId="2"/>
  </si>
  <si>
    <t>ネット</t>
    <phoneticPr fontId="2"/>
  </si>
  <si>
    <t>ファイン（ALL）</t>
    <phoneticPr fontId="2"/>
  </si>
  <si>
    <t>ファイン（ならコープ）</t>
    <phoneticPr fontId="2"/>
  </si>
  <si>
    <t>かりん</t>
    <phoneticPr fontId="2"/>
  </si>
  <si>
    <t>ネット</t>
    <phoneticPr fontId="2"/>
  </si>
  <si>
    <t>ネット</t>
    <phoneticPr fontId="2"/>
  </si>
  <si>
    <t>ネット</t>
    <phoneticPr fontId="2"/>
  </si>
  <si>
    <t>かりん</t>
    <phoneticPr fontId="2"/>
  </si>
  <si>
    <t>ネット</t>
    <phoneticPr fontId="2"/>
  </si>
  <si>
    <t>ネット</t>
    <phoneticPr fontId="2"/>
  </si>
  <si>
    <t>アイフォーレ4P</t>
    <phoneticPr fontId="2"/>
  </si>
  <si>
    <t>アンファミエ</t>
    <phoneticPr fontId="2"/>
  </si>
  <si>
    <t>ネット</t>
    <phoneticPr fontId="2"/>
  </si>
  <si>
    <t>ネット</t>
    <phoneticPr fontId="2"/>
  </si>
  <si>
    <t>Matao</t>
    <phoneticPr fontId="2"/>
  </si>
  <si>
    <t>ネット</t>
    <phoneticPr fontId="2"/>
  </si>
  <si>
    <t>くらしコープネット6月4回①</t>
    <rPh sb="10" eb="11">
      <t>ガツ</t>
    </rPh>
    <rPh sb="12" eb="13">
      <t>カイ</t>
    </rPh>
    <phoneticPr fontId="2"/>
  </si>
  <si>
    <t>かりん</t>
    <phoneticPr fontId="2"/>
  </si>
  <si>
    <t>ネット</t>
    <phoneticPr fontId="2"/>
  </si>
  <si>
    <t>ネット</t>
    <phoneticPr fontId="2"/>
  </si>
  <si>
    <t>ライフサポート3P</t>
    <phoneticPr fontId="2"/>
  </si>
  <si>
    <t>アイフォーレ4P</t>
    <phoneticPr fontId="2"/>
  </si>
  <si>
    <t>ネット</t>
    <phoneticPr fontId="2"/>
  </si>
  <si>
    <t>Matao</t>
    <phoneticPr fontId="2"/>
  </si>
  <si>
    <t>ネット</t>
    <phoneticPr fontId="2"/>
  </si>
  <si>
    <t>ネット</t>
    <phoneticPr fontId="2"/>
  </si>
  <si>
    <t>ファイン（サンネット）</t>
    <phoneticPr fontId="2"/>
  </si>
  <si>
    <t>ネット</t>
    <phoneticPr fontId="2"/>
  </si>
  <si>
    <t>くらしコープネット6月4回②</t>
    <rPh sb="10" eb="11">
      <t>ガツ</t>
    </rPh>
    <rPh sb="12" eb="13">
      <t>カイ</t>
    </rPh>
    <phoneticPr fontId="2"/>
  </si>
  <si>
    <t>くらしコープネット6月4回③</t>
    <rPh sb="10" eb="11">
      <t>ガツ</t>
    </rPh>
    <rPh sb="12" eb="13">
      <t>カイ</t>
    </rPh>
    <phoneticPr fontId="2"/>
  </si>
  <si>
    <t>ネット</t>
    <phoneticPr fontId="2"/>
  </si>
  <si>
    <t>アンファミエ</t>
    <phoneticPr fontId="2"/>
  </si>
  <si>
    <t>ネット</t>
    <phoneticPr fontId="2"/>
  </si>
  <si>
    <t>セシール2P</t>
    <phoneticPr fontId="2"/>
  </si>
  <si>
    <t>ネット</t>
    <phoneticPr fontId="2"/>
  </si>
  <si>
    <t>マイジール(いずみ7-2w)①</t>
    <phoneticPr fontId="2"/>
  </si>
  <si>
    <t>マイジール(いずみ7-2w)②</t>
    <phoneticPr fontId="2"/>
  </si>
  <si>
    <t>ネット</t>
    <phoneticPr fontId="2"/>
  </si>
  <si>
    <t>マイジール(いずみ7-2w)③</t>
    <phoneticPr fontId="2"/>
  </si>
  <si>
    <t>マイジール(いずみ7-2w)④</t>
    <phoneticPr fontId="2"/>
  </si>
  <si>
    <t>ネット</t>
    <phoneticPr fontId="2"/>
  </si>
  <si>
    <t>ファイン（サンネット）</t>
    <phoneticPr fontId="2"/>
  </si>
  <si>
    <t>Metao</t>
    <phoneticPr fontId="2"/>
  </si>
  <si>
    <t>ネット</t>
    <phoneticPr fontId="2"/>
  </si>
  <si>
    <t>アイフォーレ4P</t>
    <phoneticPr fontId="2"/>
  </si>
  <si>
    <t>ファイン（サンネット）</t>
    <phoneticPr fontId="2"/>
  </si>
  <si>
    <t>かりん</t>
    <phoneticPr fontId="2"/>
  </si>
  <si>
    <t>セシール2P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</si>
  <si>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</si>
  <si>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</si>
  <si>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</si>
  <si>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</si>
  <si>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ファイン</t>
    <phoneticPr fontId="2"/>
  </si>
  <si>
    <t>ネット</t>
    <phoneticPr fontId="2"/>
  </si>
  <si>
    <t>くらしコープネット8月①</t>
    <rPh sb="10" eb="11">
      <t>ガツ</t>
    </rPh>
    <phoneticPr fontId="2"/>
  </si>
  <si>
    <t>ネット</t>
    <phoneticPr fontId="2"/>
  </si>
  <si>
    <t>ファイン（サンネット）</t>
    <phoneticPr fontId="2"/>
  </si>
  <si>
    <t>ネット</t>
    <phoneticPr fontId="2"/>
  </si>
  <si>
    <t>かりん</t>
    <phoneticPr fontId="2"/>
  </si>
  <si>
    <t>ネット</t>
    <phoneticPr fontId="2"/>
  </si>
  <si>
    <t>マイジール(いずみ）直送</t>
    <rPh sb="10" eb="12">
      <t>チョクソウ</t>
    </rPh>
    <phoneticPr fontId="2"/>
  </si>
  <si>
    <t>ネット</t>
    <phoneticPr fontId="2"/>
  </si>
  <si>
    <t>くらしコープネット8月②</t>
    <rPh sb="10" eb="11">
      <t>ガツ</t>
    </rPh>
    <phoneticPr fontId="2"/>
  </si>
  <si>
    <t>ネット</t>
    <phoneticPr fontId="2"/>
  </si>
  <si>
    <t>かりん</t>
    <phoneticPr fontId="2"/>
  </si>
  <si>
    <t>ネット</t>
    <phoneticPr fontId="2"/>
  </si>
  <si>
    <t>くらしコープネット8月③</t>
    <rPh sb="10" eb="11">
      <t>ガツ</t>
    </rPh>
    <phoneticPr fontId="2"/>
  </si>
  <si>
    <t>ネット</t>
    <phoneticPr fontId="2"/>
  </si>
  <si>
    <t>ネット</t>
    <phoneticPr fontId="2"/>
  </si>
  <si>
    <t>マイジール返品</t>
    <rPh sb="5" eb="7">
      <t>ヘンピン</t>
    </rPh>
    <phoneticPr fontId="3"/>
  </si>
  <si>
    <t>アンファミエ</t>
    <phoneticPr fontId="2"/>
  </si>
  <si>
    <t>ネット</t>
    <phoneticPr fontId="2"/>
  </si>
  <si>
    <t>ネット</t>
    <phoneticPr fontId="2"/>
  </si>
  <si>
    <t>アイフォーレ4Ｐ</t>
    <phoneticPr fontId="2"/>
  </si>
  <si>
    <t>ネット</t>
    <phoneticPr fontId="2"/>
  </si>
  <si>
    <t>セシールサンプル（村口）</t>
    <rPh sb="9" eb="11">
      <t>ムラグチ</t>
    </rPh>
    <phoneticPr fontId="2"/>
  </si>
  <si>
    <t>ネット</t>
    <phoneticPr fontId="2"/>
  </si>
  <si>
    <t>ネット</t>
    <phoneticPr fontId="2"/>
  </si>
  <si>
    <t>ファイン</t>
    <phoneticPr fontId="2"/>
  </si>
  <si>
    <t>アイフォーレ返品</t>
    <rPh sb="6" eb="8">
      <t>ヘンピン</t>
    </rPh>
    <phoneticPr fontId="3"/>
  </si>
  <si>
    <t>オットーsample</t>
    <phoneticPr fontId="2"/>
  </si>
  <si>
    <t>ネット</t>
    <phoneticPr fontId="2"/>
  </si>
  <si>
    <t>ネット</t>
    <phoneticPr fontId="2"/>
  </si>
  <si>
    <t>素数オットー2P</t>
    <rPh sb="0" eb="2">
      <t>ソスウ</t>
    </rPh>
    <phoneticPr fontId="2"/>
  </si>
  <si>
    <t>ネット</t>
    <phoneticPr fontId="2"/>
  </si>
  <si>
    <t>MetaoVIP</t>
    <phoneticPr fontId="2"/>
  </si>
  <si>
    <t>ネット</t>
    <phoneticPr fontId="2"/>
  </si>
  <si>
    <t>MetaoVIＰ</t>
    <phoneticPr fontId="2"/>
  </si>
  <si>
    <t>metao</t>
    <phoneticPr fontId="2"/>
  </si>
  <si>
    <t>セシール1P①　</t>
    <phoneticPr fontId="2"/>
  </si>
  <si>
    <t>セシール2P①</t>
    <phoneticPr fontId="2"/>
  </si>
  <si>
    <t>セシール2Ｐ②</t>
    <phoneticPr fontId="2"/>
  </si>
  <si>
    <t>ネット</t>
    <phoneticPr fontId="2"/>
  </si>
  <si>
    <t>ネット</t>
    <phoneticPr fontId="2"/>
  </si>
  <si>
    <t>くらし企画（コープネット5月3回）①</t>
    <rPh sb="3" eb="5">
      <t>キカク</t>
    </rPh>
    <rPh sb="13" eb="14">
      <t>ガツ</t>
    </rPh>
    <rPh sb="15" eb="16">
      <t>カイ</t>
    </rPh>
    <phoneticPr fontId="2"/>
  </si>
  <si>
    <t>ネット</t>
    <phoneticPr fontId="2"/>
  </si>
  <si>
    <t>MetaoVIＰ</t>
    <phoneticPr fontId="2"/>
  </si>
  <si>
    <t>Metao</t>
    <phoneticPr fontId="2"/>
  </si>
  <si>
    <t>ネット</t>
    <phoneticPr fontId="2"/>
  </si>
  <si>
    <t>セシール2P③</t>
    <phoneticPr fontId="2"/>
  </si>
  <si>
    <t>セシール1P②</t>
    <phoneticPr fontId="2"/>
  </si>
  <si>
    <t>セシール1P③</t>
    <phoneticPr fontId="2"/>
  </si>
  <si>
    <t>セシール2P④</t>
    <phoneticPr fontId="2"/>
  </si>
  <si>
    <t>ネット</t>
    <phoneticPr fontId="2"/>
  </si>
  <si>
    <t>くらし企画（コープネット5月3回）②</t>
    <rPh sb="3" eb="5">
      <t>キカク</t>
    </rPh>
    <rPh sb="13" eb="14">
      <t>ガツ</t>
    </rPh>
    <rPh sb="15" eb="16">
      <t>カイ</t>
    </rPh>
    <phoneticPr fontId="2"/>
  </si>
  <si>
    <t>セシール2P⑤</t>
    <phoneticPr fontId="2"/>
  </si>
  <si>
    <t>ニッセンネット①</t>
    <phoneticPr fontId="2"/>
  </si>
  <si>
    <t>ニッセンネット②</t>
    <phoneticPr fontId="2"/>
  </si>
  <si>
    <t>ニッセンネット③</t>
    <phoneticPr fontId="2"/>
  </si>
  <si>
    <t>くらし企画（コープネット5月3回）③</t>
    <rPh sb="3" eb="5">
      <t>キカク</t>
    </rPh>
    <rPh sb="13" eb="14">
      <t>ガツ</t>
    </rPh>
    <rPh sb="15" eb="16">
      <t>カイ</t>
    </rPh>
    <phoneticPr fontId="2"/>
  </si>
  <si>
    <t>MetaoVIP</t>
    <phoneticPr fontId="2"/>
  </si>
  <si>
    <t>くらし企画（コープネット5月3回）④</t>
    <rPh sb="3" eb="5">
      <t>キカク</t>
    </rPh>
    <rPh sb="13" eb="14">
      <t>ガツ</t>
    </rPh>
    <rPh sb="15" eb="16">
      <t>カイ</t>
    </rPh>
    <phoneticPr fontId="2"/>
  </si>
  <si>
    <t>Metao</t>
    <phoneticPr fontId="2"/>
  </si>
  <si>
    <t>くらし企画（コープネット5月3回）⑤直送</t>
    <rPh sb="3" eb="5">
      <t>キカク</t>
    </rPh>
    <rPh sb="13" eb="14">
      <t>ガツ</t>
    </rPh>
    <rPh sb="15" eb="16">
      <t>カイ</t>
    </rPh>
    <rPh sb="18" eb="20">
      <t>チョクソウ</t>
    </rPh>
    <phoneticPr fontId="2"/>
  </si>
  <si>
    <t>ニッセンネット④</t>
    <phoneticPr fontId="2"/>
  </si>
  <si>
    <t>ネット</t>
    <phoneticPr fontId="2"/>
  </si>
  <si>
    <t>ネット</t>
    <phoneticPr fontId="2"/>
  </si>
  <si>
    <t>セシール1P④</t>
    <phoneticPr fontId="2"/>
  </si>
  <si>
    <t>きのこ</t>
    <phoneticPr fontId="2"/>
  </si>
  <si>
    <t>Metao</t>
    <phoneticPr fontId="2"/>
  </si>
  <si>
    <t>Metao</t>
    <phoneticPr fontId="2"/>
  </si>
  <si>
    <t>ネット</t>
    <phoneticPr fontId="2"/>
  </si>
  <si>
    <t>かりん</t>
    <phoneticPr fontId="2"/>
  </si>
  <si>
    <t>MetaoRED</t>
    <phoneticPr fontId="2"/>
  </si>
  <si>
    <t>マイジール（いずみ5-5w）①</t>
    <phoneticPr fontId="2"/>
  </si>
  <si>
    <t>マイジール（いずみ5-5w）②</t>
    <phoneticPr fontId="2"/>
  </si>
  <si>
    <t>マイジール（いずみ5-5w）③</t>
    <phoneticPr fontId="2"/>
  </si>
  <si>
    <t>ネット</t>
    <phoneticPr fontId="2"/>
  </si>
  <si>
    <t>ネット</t>
    <phoneticPr fontId="2"/>
  </si>
  <si>
    <t>くらしサンプル返却</t>
    <rPh sb="7" eb="9">
      <t>ヘンキャク</t>
    </rPh>
    <phoneticPr fontId="2"/>
  </si>
  <si>
    <t>マイジール（いずみ5-5w）④</t>
    <phoneticPr fontId="2"/>
  </si>
  <si>
    <t>MetaoRED</t>
    <phoneticPr fontId="2"/>
  </si>
  <si>
    <t>MetaoVIP</t>
    <phoneticPr fontId="2"/>
  </si>
  <si>
    <t>ナチュラルガーデン</t>
    <phoneticPr fontId="2"/>
  </si>
  <si>
    <t>ニッセンネット⑤</t>
    <phoneticPr fontId="2"/>
  </si>
  <si>
    <t>ナチュラルガーデン</t>
    <phoneticPr fontId="2"/>
  </si>
  <si>
    <t>MetaoRED</t>
    <phoneticPr fontId="2"/>
  </si>
  <si>
    <t>MetaoRED</t>
    <phoneticPr fontId="2"/>
  </si>
  <si>
    <t>ネット</t>
    <phoneticPr fontId="2"/>
  </si>
  <si>
    <t>ネット</t>
    <phoneticPr fontId="2"/>
  </si>
  <si>
    <t>MetaoRED</t>
    <phoneticPr fontId="2"/>
  </si>
  <si>
    <t>ネット</t>
    <phoneticPr fontId="2"/>
  </si>
  <si>
    <t>きのこ</t>
    <phoneticPr fontId="2"/>
  </si>
  <si>
    <t>MetaoRED</t>
    <phoneticPr fontId="2"/>
  </si>
  <si>
    <t>MetaoVIP</t>
    <phoneticPr fontId="2"/>
  </si>
  <si>
    <t>夢販</t>
    <phoneticPr fontId="2"/>
  </si>
  <si>
    <t>ネット</t>
    <phoneticPr fontId="2"/>
  </si>
  <si>
    <t>ネット</t>
    <phoneticPr fontId="2"/>
  </si>
  <si>
    <t>セシール2P⑥</t>
    <phoneticPr fontId="2"/>
  </si>
  <si>
    <t>アイフォーレ4P</t>
    <phoneticPr fontId="2"/>
  </si>
  <si>
    <t>ナチュラルガーデン</t>
    <phoneticPr fontId="2"/>
  </si>
  <si>
    <t>きのこ</t>
    <phoneticPr fontId="2"/>
  </si>
  <si>
    <t>ニッセンネット⑥</t>
    <phoneticPr fontId="2"/>
  </si>
  <si>
    <t>ネット</t>
    <phoneticPr fontId="2"/>
  </si>
  <si>
    <t>ネット</t>
    <phoneticPr fontId="2"/>
  </si>
  <si>
    <t>かりん</t>
    <phoneticPr fontId="2"/>
  </si>
  <si>
    <t>ネット</t>
    <phoneticPr fontId="2"/>
  </si>
  <si>
    <t>セシール1P⑤</t>
    <phoneticPr fontId="2"/>
  </si>
  <si>
    <t>きのこ</t>
    <phoneticPr fontId="2"/>
  </si>
  <si>
    <t>ネット</t>
    <phoneticPr fontId="2"/>
  </si>
  <si>
    <t>ネット</t>
    <phoneticPr fontId="2"/>
  </si>
  <si>
    <t>ニッセンネット⑦</t>
    <phoneticPr fontId="2"/>
  </si>
  <si>
    <t>ネット</t>
    <phoneticPr fontId="2"/>
  </si>
  <si>
    <t>くらし企画（コープネット8月4回）①</t>
    <rPh sb="3" eb="5">
      <t>キカク</t>
    </rPh>
    <rPh sb="13" eb="14">
      <t>ガツ</t>
    </rPh>
    <rPh sb="15" eb="16">
      <t>カイ</t>
    </rPh>
    <phoneticPr fontId="2"/>
  </si>
  <si>
    <t>ネット</t>
    <phoneticPr fontId="2"/>
  </si>
  <si>
    <t>くらし企画（コープネット8月4回）②</t>
    <rPh sb="3" eb="5">
      <t>キカク</t>
    </rPh>
    <rPh sb="13" eb="14">
      <t>ガツ</t>
    </rPh>
    <rPh sb="15" eb="16">
      <t>カイ</t>
    </rPh>
    <phoneticPr fontId="2"/>
  </si>
  <si>
    <t>くらし企画（コープネット8月4回）③</t>
    <rPh sb="3" eb="5">
      <t>キカク</t>
    </rPh>
    <rPh sb="13" eb="14">
      <t>ガツ</t>
    </rPh>
    <rPh sb="15" eb="16">
      <t>カイ</t>
    </rPh>
    <phoneticPr fontId="2"/>
  </si>
  <si>
    <t>Amazon</t>
    <phoneticPr fontId="2"/>
  </si>
  <si>
    <t>キレイラインVIP</t>
    <phoneticPr fontId="2"/>
  </si>
  <si>
    <t>Amazon</t>
  </si>
  <si>
    <t>Amazon</t>
    <phoneticPr fontId="2"/>
  </si>
  <si>
    <t>ニッセンネット⑧</t>
    <phoneticPr fontId="2"/>
  </si>
  <si>
    <t>Amazon</t>
    <phoneticPr fontId="2"/>
  </si>
  <si>
    <t>くらし</t>
    <phoneticPr fontId="2"/>
  </si>
  <si>
    <t>Amazon</t>
    <phoneticPr fontId="2"/>
  </si>
  <si>
    <t>Amazon</t>
    <phoneticPr fontId="2"/>
  </si>
  <si>
    <t>ネット</t>
    <phoneticPr fontId="2"/>
  </si>
  <si>
    <t>Amazon</t>
    <phoneticPr fontId="2"/>
  </si>
  <si>
    <t>キレイラインRED</t>
    <phoneticPr fontId="2"/>
  </si>
  <si>
    <t>Amazon</t>
    <phoneticPr fontId="2"/>
  </si>
  <si>
    <t>ニッセンネット⑨</t>
    <phoneticPr fontId="2"/>
  </si>
  <si>
    <t>ナチュラルガーデン返品</t>
    <rPh sb="9" eb="11">
      <t>ヘンピン</t>
    </rPh>
    <phoneticPr fontId="3"/>
  </si>
  <si>
    <t>キレイライン赤坂</t>
    <rPh sb="6" eb="8">
      <t>アカサカ</t>
    </rPh>
    <phoneticPr fontId="2"/>
  </si>
  <si>
    <t>ネット</t>
    <phoneticPr fontId="2"/>
  </si>
  <si>
    <t>Amazon</t>
    <phoneticPr fontId="2"/>
  </si>
  <si>
    <t>丸藤（九州）</t>
    <rPh sb="0" eb="2">
      <t>マルフジ</t>
    </rPh>
    <rPh sb="3" eb="5">
      <t>キュウシュウ</t>
    </rPh>
    <phoneticPr fontId="2"/>
  </si>
  <si>
    <t>キレイラインVIP</t>
    <phoneticPr fontId="2"/>
  </si>
  <si>
    <t>Amazon</t>
    <phoneticPr fontId="2"/>
  </si>
  <si>
    <t>キレイラインRED</t>
    <phoneticPr fontId="2"/>
  </si>
  <si>
    <t>ネット</t>
    <phoneticPr fontId="2"/>
  </si>
  <si>
    <t>西夢</t>
    <rPh sb="0" eb="1">
      <t>ニシ</t>
    </rPh>
    <rPh sb="1" eb="2">
      <t>ユメ</t>
    </rPh>
    <phoneticPr fontId="2"/>
  </si>
  <si>
    <t>Amazon</t>
    <phoneticPr fontId="2"/>
  </si>
  <si>
    <t>4/17ship</t>
    <phoneticPr fontId="2"/>
  </si>
  <si>
    <t>セシール2P②</t>
    <phoneticPr fontId="2"/>
  </si>
  <si>
    <t>コープデリ５月３回①</t>
    <rPh sb="6" eb="7">
      <t>ガツ</t>
    </rPh>
    <rPh sb="8" eb="9">
      <t>カイ</t>
    </rPh>
    <phoneticPr fontId="2"/>
  </si>
  <si>
    <t>キレイライン</t>
    <phoneticPr fontId="2"/>
  </si>
  <si>
    <t>セシール1P⑥</t>
    <phoneticPr fontId="2"/>
  </si>
  <si>
    <t>Amazon</t>
    <phoneticPr fontId="2"/>
  </si>
  <si>
    <t>マイジール（いずみ5月1回）①</t>
    <rPh sb="10" eb="11">
      <t>ガツ</t>
    </rPh>
    <rPh sb="12" eb="13">
      <t>カイ</t>
    </rPh>
    <phoneticPr fontId="2"/>
  </si>
  <si>
    <t>マイジール（いずみ5月1回）②</t>
    <rPh sb="10" eb="11">
      <t>ガツ</t>
    </rPh>
    <rPh sb="12" eb="13">
      <t>カイ</t>
    </rPh>
    <phoneticPr fontId="2"/>
  </si>
  <si>
    <t>ネット</t>
    <phoneticPr fontId="2"/>
  </si>
  <si>
    <t>Amazon</t>
    <phoneticPr fontId="2"/>
  </si>
  <si>
    <t>マイジール（いずみ5月1回）③</t>
    <rPh sb="10" eb="11">
      <t>ガツ</t>
    </rPh>
    <rPh sb="12" eb="13">
      <t>カイ</t>
    </rPh>
    <phoneticPr fontId="2"/>
  </si>
  <si>
    <t>キレイラインRED</t>
    <phoneticPr fontId="2"/>
  </si>
  <si>
    <t>コープデリ５月３回②</t>
    <rPh sb="6" eb="7">
      <t>ガツ</t>
    </rPh>
    <rPh sb="8" eb="9">
      <t>カイ</t>
    </rPh>
    <phoneticPr fontId="2"/>
  </si>
  <si>
    <t>Amazon</t>
    <phoneticPr fontId="2"/>
  </si>
  <si>
    <t>コープデリ５月３回③</t>
    <rPh sb="6" eb="7">
      <t>ガツ</t>
    </rPh>
    <rPh sb="8" eb="9">
      <t>カイ</t>
    </rPh>
    <phoneticPr fontId="2"/>
  </si>
  <si>
    <t>コープデリ５月３回④</t>
    <rPh sb="6" eb="7">
      <t>ガツ</t>
    </rPh>
    <rPh sb="8" eb="9">
      <t>カイ</t>
    </rPh>
    <phoneticPr fontId="2"/>
  </si>
  <si>
    <t>マイジール</t>
    <phoneticPr fontId="2"/>
  </si>
  <si>
    <t>Amazon</t>
    <phoneticPr fontId="2"/>
  </si>
  <si>
    <t>キレイラインVIP</t>
    <phoneticPr fontId="2"/>
  </si>
  <si>
    <t>ナチュラルガーデン</t>
    <phoneticPr fontId="2"/>
  </si>
  <si>
    <t>Amazon</t>
    <phoneticPr fontId="2"/>
  </si>
  <si>
    <t>ネット返品</t>
    <rPh sb="3" eb="5">
      <t>ヘンピン</t>
    </rPh>
    <phoneticPr fontId="3"/>
  </si>
  <si>
    <t>Amazon</t>
    <phoneticPr fontId="2"/>
  </si>
  <si>
    <t>キレイラインレッド</t>
    <phoneticPr fontId="2"/>
  </si>
  <si>
    <t>キレイラインVIP</t>
    <phoneticPr fontId="2"/>
  </si>
  <si>
    <t>セシール2P⑦</t>
    <phoneticPr fontId="2"/>
  </si>
  <si>
    <t>Amazon</t>
    <phoneticPr fontId="2"/>
  </si>
  <si>
    <t>ナチュラルガーデン</t>
    <phoneticPr fontId="2"/>
  </si>
  <si>
    <t>Amazon</t>
    <phoneticPr fontId="2"/>
  </si>
  <si>
    <t>アマゾン返品</t>
    <rPh sb="4" eb="6">
      <t>ヘンピン</t>
    </rPh>
    <phoneticPr fontId="3"/>
  </si>
  <si>
    <t>Amazon</t>
    <phoneticPr fontId="2"/>
  </si>
  <si>
    <t>キレイライン赤坂</t>
    <phoneticPr fontId="2"/>
  </si>
  <si>
    <t>Amazon</t>
    <phoneticPr fontId="2"/>
  </si>
  <si>
    <t>Amazon</t>
    <phoneticPr fontId="2"/>
  </si>
  <si>
    <t>キレイライン赤坂</t>
    <phoneticPr fontId="2"/>
  </si>
  <si>
    <t>キレイライン赤坂</t>
    <phoneticPr fontId="2"/>
  </si>
  <si>
    <t>Amazon</t>
    <phoneticPr fontId="2"/>
  </si>
  <si>
    <t>ネット</t>
    <phoneticPr fontId="2"/>
  </si>
  <si>
    <t>ナチュラルガーデン</t>
    <phoneticPr fontId="2"/>
  </si>
  <si>
    <t>Amazon</t>
    <phoneticPr fontId="2"/>
  </si>
  <si>
    <t>ネット</t>
    <phoneticPr fontId="2"/>
  </si>
  <si>
    <t>グリーンコープ16号（丸藤）①</t>
    <rPh sb="9" eb="10">
      <t>ゴウ</t>
    </rPh>
    <rPh sb="11" eb="13">
      <t>マルフジ</t>
    </rPh>
    <phoneticPr fontId="2"/>
  </si>
  <si>
    <t>グリーンコープ16号（丸藤）②</t>
    <rPh sb="9" eb="10">
      <t>ゴウ</t>
    </rPh>
    <rPh sb="11" eb="13">
      <t>マルフジ</t>
    </rPh>
    <phoneticPr fontId="2"/>
  </si>
  <si>
    <t>ネット</t>
    <phoneticPr fontId="2"/>
  </si>
  <si>
    <t>セシール1P⑧</t>
    <phoneticPr fontId="2"/>
  </si>
  <si>
    <t>ネット</t>
    <phoneticPr fontId="2"/>
  </si>
  <si>
    <t>グリーンコープ16号（丸藤）③</t>
    <rPh sb="9" eb="10">
      <t>ゴウ</t>
    </rPh>
    <rPh sb="11" eb="13">
      <t>マルフジ</t>
    </rPh>
    <phoneticPr fontId="2"/>
  </si>
  <si>
    <t>キレイライン赤坂</t>
    <phoneticPr fontId="2"/>
  </si>
  <si>
    <t>ネット</t>
    <phoneticPr fontId="2"/>
  </si>
  <si>
    <t>ネット</t>
    <phoneticPr fontId="2"/>
  </si>
  <si>
    <t>ネット</t>
    <phoneticPr fontId="2"/>
  </si>
  <si>
    <t>ネット</t>
    <phoneticPr fontId="2"/>
  </si>
  <si>
    <t>Amazon</t>
    <phoneticPr fontId="2"/>
  </si>
  <si>
    <t>セシール2P⑨</t>
    <phoneticPr fontId="2"/>
  </si>
  <si>
    <t>Amazon</t>
    <phoneticPr fontId="2"/>
  </si>
  <si>
    <r>
      <t>8</t>
    </r>
    <r>
      <rPr>
        <sz val="11"/>
        <color theme="1"/>
        <rFont val="ＭＳ Ｐゴシック"/>
        <family val="3"/>
        <charset val="128"/>
        <scheme val="minor"/>
      </rPr>
      <t>/17ship</t>
    </r>
    <phoneticPr fontId="2"/>
  </si>
  <si>
    <t>ネット</t>
    <phoneticPr fontId="2"/>
  </si>
  <si>
    <t>キレイライン赤坂</t>
    <phoneticPr fontId="2"/>
  </si>
  <si>
    <t>Amazon</t>
    <phoneticPr fontId="2"/>
  </si>
  <si>
    <t>ネット</t>
    <phoneticPr fontId="2"/>
  </si>
  <si>
    <t>キレイライン赤坂</t>
    <phoneticPr fontId="2"/>
  </si>
  <si>
    <t>セシール1P⑩</t>
    <phoneticPr fontId="2"/>
  </si>
  <si>
    <t>ネット</t>
    <phoneticPr fontId="2"/>
  </si>
  <si>
    <t>キレイライン赤坂</t>
    <phoneticPr fontId="2"/>
  </si>
  <si>
    <t>ネット</t>
    <phoneticPr fontId="2"/>
  </si>
  <si>
    <t>コープデリ8月4週（くらし企画）①</t>
    <rPh sb="6" eb="7">
      <t>ガツ</t>
    </rPh>
    <rPh sb="8" eb="9">
      <t>シュウ</t>
    </rPh>
    <rPh sb="13" eb="15">
      <t>キカク</t>
    </rPh>
    <phoneticPr fontId="2"/>
  </si>
  <si>
    <t>Amazon</t>
    <phoneticPr fontId="2"/>
  </si>
  <si>
    <t>ネット</t>
    <phoneticPr fontId="2"/>
  </si>
  <si>
    <t>Amazon</t>
    <phoneticPr fontId="2"/>
  </si>
  <si>
    <t>ネット</t>
    <phoneticPr fontId="2"/>
  </si>
  <si>
    <t>ネット</t>
    <phoneticPr fontId="2"/>
  </si>
  <si>
    <t>セシール2Ｐ</t>
    <phoneticPr fontId="2"/>
  </si>
  <si>
    <t>ネット</t>
    <phoneticPr fontId="2"/>
  </si>
  <si>
    <t>Amazon</t>
    <phoneticPr fontId="2"/>
  </si>
  <si>
    <t>ネット</t>
    <phoneticPr fontId="2"/>
  </si>
  <si>
    <t>ネット</t>
    <phoneticPr fontId="2"/>
  </si>
  <si>
    <t>コープデリ8月4週（くらし企画）②</t>
    <rPh sb="6" eb="7">
      <t>ガツ</t>
    </rPh>
    <rPh sb="8" eb="9">
      <t>シュウ</t>
    </rPh>
    <rPh sb="13" eb="15">
      <t>キカク</t>
    </rPh>
    <phoneticPr fontId="2"/>
  </si>
  <si>
    <t>コープデリ8月4週（くらし企画）③</t>
    <rPh sb="6" eb="7">
      <t>ガツ</t>
    </rPh>
    <rPh sb="8" eb="9">
      <t>シュウ</t>
    </rPh>
    <rPh sb="13" eb="15">
      <t>キカク</t>
    </rPh>
    <phoneticPr fontId="2"/>
  </si>
  <si>
    <t>コープデリ8月4週（くらし企画）④</t>
    <rPh sb="6" eb="7">
      <t>ガツ</t>
    </rPh>
    <rPh sb="8" eb="9">
      <t>シュウ</t>
    </rPh>
    <rPh sb="13" eb="15">
      <t>キカク</t>
    </rPh>
    <phoneticPr fontId="2"/>
  </si>
  <si>
    <t>コープデリ8月4週（くらし企画）⑤</t>
    <rPh sb="6" eb="7">
      <t>ガツ</t>
    </rPh>
    <rPh sb="8" eb="9">
      <t>シュウ</t>
    </rPh>
    <rPh sb="13" eb="15">
      <t>キカク</t>
    </rPh>
    <phoneticPr fontId="2"/>
  </si>
  <si>
    <t>コープデリ8月4週（くらし企画）⑥</t>
    <rPh sb="6" eb="7">
      <t>ガツ</t>
    </rPh>
    <rPh sb="8" eb="9">
      <t>シュウ</t>
    </rPh>
    <rPh sb="13" eb="15">
      <t>キカク</t>
    </rPh>
    <phoneticPr fontId="2"/>
  </si>
  <si>
    <t>ネット</t>
    <phoneticPr fontId="2"/>
  </si>
  <si>
    <t>2019/4/1発刊</t>
    <rPh sb="8" eb="10">
      <t>ハッカン</t>
    </rPh>
    <phoneticPr fontId="2"/>
  </si>
  <si>
    <t>セシール19夏特別号（1Pと2P）</t>
    <rPh sb="6" eb="10">
      <t>ナツトクベツゴウ</t>
    </rPh>
    <phoneticPr fontId="2"/>
  </si>
  <si>
    <t>ニッセン初夏号（協賛）2P</t>
    <rPh sb="4" eb="6">
      <t>ショカ</t>
    </rPh>
    <rPh sb="6" eb="7">
      <t>ゴウ</t>
    </rPh>
    <rPh sb="8" eb="10">
      <t>キョウサン</t>
    </rPh>
    <phoneticPr fontId="2"/>
  </si>
  <si>
    <t>3月末発行</t>
    <rPh sb="1" eb="2">
      <t>ガツ</t>
    </rPh>
    <rPh sb="2" eb="3">
      <t>マツ</t>
    </rPh>
    <rPh sb="3" eb="5">
      <t>ハッコウ</t>
    </rPh>
    <phoneticPr fontId="2"/>
  </si>
  <si>
    <t>セシール19夏オフィス＆ワークウェア（1Pと2P）</t>
    <phoneticPr fontId="2"/>
  </si>
  <si>
    <t>初回4/24アバウト5/8最終5/15</t>
    <rPh sb="0" eb="2">
      <t>ショカイ</t>
    </rPh>
    <rPh sb="13" eb="15">
      <t>サイシュウ</t>
    </rPh>
    <phoneticPr fontId="2"/>
  </si>
  <si>
    <t>コープデリ5月3回</t>
    <rPh sb="6" eb="7">
      <t>ガツ</t>
    </rPh>
    <rPh sb="8" eb="9">
      <t>カイ</t>
    </rPh>
    <phoneticPr fontId="2"/>
  </si>
  <si>
    <t>ニッセン初夏号（協賛）2P①</t>
    <rPh sb="4" eb="6">
      <t>ショカ</t>
    </rPh>
    <rPh sb="6" eb="7">
      <t>ゴウ</t>
    </rPh>
    <rPh sb="8" eb="10">
      <t>キョウサン</t>
    </rPh>
    <phoneticPr fontId="2"/>
  </si>
  <si>
    <t>ニッセン初夏号（協賛）2P②</t>
    <rPh sb="4" eb="6">
      <t>ショカ</t>
    </rPh>
    <rPh sb="6" eb="7">
      <t>ゴウ</t>
    </rPh>
    <rPh sb="8" eb="10">
      <t>キョウサン</t>
    </rPh>
    <phoneticPr fontId="2"/>
  </si>
  <si>
    <t>グリーンコープ5月2回</t>
    <rPh sb="8" eb="9">
      <t>ガツ</t>
    </rPh>
    <rPh sb="10" eb="11">
      <t>カイ</t>
    </rPh>
    <phoneticPr fontId="2"/>
  </si>
  <si>
    <t>コープデリ6月3回</t>
    <rPh sb="6" eb="7">
      <t>ガツ</t>
    </rPh>
    <rPh sb="8" eb="9">
      <t>カイ</t>
    </rPh>
    <phoneticPr fontId="2"/>
  </si>
  <si>
    <t>初回5/29アバウト6/12最終6/19</t>
    <rPh sb="0" eb="2">
      <t>ショカイ</t>
    </rPh>
    <rPh sb="14" eb="16">
      <t>サイシュウ</t>
    </rPh>
    <phoneticPr fontId="2"/>
  </si>
  <si>
    <t>ニッセン初夏号（協賛）2P③</t>
    <rPh sb="4" eb="6">
      <t>ショカ</t>
    </rPh>
    <rPh sb="6" eb="7">
      <t>ゴウ</t>
    </rPh>
    <rPh sb="8" eb="10">
      <t>キョウサン</t>
    </rPh>
    <phoneticPr fontId="2"/>
  </si>
  <si>
    <t>マイジール（いずみ）6-3ｗ</t>
    <phoneticPr fontId="2"/>
  </si>
  <si>
    <t>6/6～</t>
    <phoneticPr fontId="2"/>
  </si>
  <si>
    <t>セシール1P</t>
    <phoneticPr fontId="2"/>
  </si>
  <si>
    <t>セシール2P</t>
    <phoneticPr fontId="2"/>
  </si>
  <si>
    <t>コープデリ5月3回①</t>
    <rPh sb="6" eb="7">
      <t>ガツ</t>
    </rPh>
    <rPh sb="8" eb="9">
      <t>カイ</t>
    </rPh>
    <phoneticPr fontId="2"/>
  </si>
  <si>
    <t>グリーンコープ5月2回①</t>
    <rPh sb="8" eb="9">
      <t>ガツ</t>
    </rPh>
    <rPh sb="10" eb="11">
      <t>カイ</t>
    </rPh>
    <phoneticPr fontId="2"/>
  </si>
  <si>
    <t>グリーンコープ5月2回②</t>
    <rPh sb="8" eb="9">
      <t>ガツ</t>
    </rPh>
    <rPh sb="10" eb="11">
      <t>カイ</t>
    </rPh>
    <phoneticPr fontId="2"/>
  </si>
  <si>
    <t>丸藤（九州）sample返却</t>
    <rPh sb="0" eb="2">
      <t>マルフジ</t>
    </rPh>
    <rPh sb="3" eb="5">
      <t>キュウシュウ</t>
    </rPh>
    <rPh sb="12" eb="14">
      <t>ヘンキャク</t>
    </rPh>
    <phoneticPr fontId="2"/>
  </si>
  <si>
    <t>アバウト4/30、5/2、5/6</t>
    <phoneticPr fontId="2"/>
  </si>
  <si>
    <t>コープデリ5月3回②</t>
    <rPh sb="6" eb="7">
      <t>ガツ</t>
    </rPh>
    <rPh sb="8" eb="9">
      <t>カイ</t>
    </rPh>
    <phoneticPr fontId="2"/>
  </si>
  <si>
    <t>コープデリ5月3回③</t>
    <rPh sb="6" eb="7">
      <t>ガツ</t>
    </rPh>
    <rPh sb="8" eb="9">
      <t>カイ</t>
    </rPh>
    <phoneticPr fontId="2"/>
  </si>
  <si>
    <t>コープデリ5月3回④</t>
    <rPh sb="6" eb="7">
      <t>ガツ</t>
    </rPh>
    <rPh sb="8" eb="9">
      <t>カイ</t>
    </rPh>
    <phoneticPr fontId="2"/>
  </si>
  <si>
    <t>ニッセン初夏号（協賛）2P④</t>
    <rPh sb="4" eb="6">
      <t>ショカ</t>
    </rPh>
    <rPh sb="6" eb="7">
      <t>ゴウ</t>
    </rPh>
    <rPh sb="8" eb="10">
      <t>キョウサン</t>
    </rPh>
    <phoneticPr fontId="2"/>
  </si>
  <si>
    <t>ニッセン初夏号（協賛）2P⑤</t>
    <rPh sb="4" eb="6">
      <t>ショカ</t>
    </rPh>
    <rPh sb="6" eb="7">
      <t>ゴウ</t>
    </rPh>
    <rPh sb="8" eb="10">
      <t>キョウサン</t>
    </rPh>
    <phoneticPr fontId="2"/>
  </si>
  <si>
    <t>ネット返品</t>
    <rPh sb="3" eb="5">
      <t>ヘンピン</t>
    </rPh>
    <phoneticPr fontId="2"/>
  </si>
  <si>
    <t>セシール1P</t>
    <phoneticPr fontId="2"/>
  </si>
  <si>
    <t>コープデリ6月3回①</t>
    <rPh sb="6" eb="7">
      <t>ガツ</t>
    </rPh>
    <rPh sb="8" eb="9">
      <t>カイ</t>
    </rPh>
    <phoneticPr fontId="2"/>
  </si>
  <si>
    <t>ネップラ</t>
    <phoneticPr fontId="2"/>
  </si>
  <si>
    <t>セシール2P</t>
    <phoneticPr fontId="2"/>
  </si>
  <si>
    <t>マイジール（いずみ）6-3ｗ①</t>
    <phoneticPr fontId="2"/>
  </si>
  <si>
    <t>コープデリ8月3回特価680円</t>
    <rPh sb="6" eb="7">
      <t>ガツ</t>
    </rPh>
    <rPh sb="8" eb="9">
      <t>カイ</t>
    </rPh>
    <rPh sb="9" eb="11">
      <t>トッカ</t>
    </rPh>
    <rPh sb="14" eb="15">
      <t>エン</t>
    </rPh>
    <phoneticPr fontId="2"/>
  </si>
  <si>
    <t>初回7/31アバウト8/14最終8/21</t>
    <rPh sb="0" eb="2">
      <t>ショカイ</t>
    </rPh>
    <rPh sb="14" eb="16">
      <t>サイシュウ</t>
    </rPh>
    <phoneticPr fontId="2"/>
  </si>
  <si>
    <t>コープデリ6月3回②</t>
    <rPh sb="6" eb="7">
      <t>ガツ</t>
    </rPh>
    <rPh sb="8" eb="9">
      <t>カイ</t>
    </rPh>
    <phoneticPr fontId="2"/>
  </si>
  <si>
    <t>マイジール（いずみ）6-3ｗ②</t>
    <phoneticPr fontId="2"/>
  </si>
  <si>
    <t>コープデリ6月3回③</t>
    <rPh sb="6" eb="7">
      <t>ガツ</t>
    </rPh>
    <rPh sb="8" eb="9">
      <t>カイ</t>
    </rPh>
    <phoneticPr fontId="2"/>
  </si>
  <si>
    <t>マイジール（いずみ）6-3ｗ③</t>
    <phoneticPr fontId="2"/>
  </si>
  <si>
    <t>Amazon返品</t>
    <rPh sb="6" eb="8">
      <t>ヘンピン</t>
    </rPh>
    <phoneticPr fontId="2"/>
  </si>
  <si>
    <t>マイジール（いずみ）6-3ｗ④</t>
    <phoneticPr fontId="2"/>
  </si>
  <si>
    <t>マイジール（いずみ）6-3ｗ⑤</t>
    <phoneticPr fontId="2"/>
  </si>
  <si>
    <t>コープデリ8月3回特価680円①</t>
    <rPh sb="6" eb="7">
      <t>ガツ</t>
    </rPh>
    <rPh sb="8" eb="9">
      <t>カイ</t>
    </rPh>
    <rPh sb="9" eb="11">
      <t>トッカ</t>
    </rPh>
    <rPh sb="14" eb="15">
      <t>エン</t>
    </rPh>
    <phoneticPr fontId="2"/>
  </si>
  <si>
    <t>ライフサポート</t>
    <phoneticPr fontId="2"/>
  </si>
  <si>
    <t>ネット</t>
    <phoneticPr fontId="2"/>
  </si>
  <si>
    <t>ニッセン2Ｐ</t>
    <phoneticPr fontId="2"/>
  </si>
  <si>
    <t>ネップラ</t>
    <phoneticPr fontId="2"/>
  </si>
  <si>
    <t>伝</t>
    <rPh sb="0" eb="1">
      <t>デン</t>
    </rPh>
    <phoneticPr fontId="2"/>
  </si>
  <si>
    <t>コープデリ8月3回特価680円②</t>
    <phoneticPr fontId="2"/>
  </si>
  <si>
    <t>セシール</t>
    <phoneticPr fontId="2"/>
  </si>
  <si>
    <t>セシール2020夏特別号1P</t>
    <rPh sb="8" eb="9">
      <t>ナツ</t>
    </rPh>
    <rPh sb="9" eb="11">
      <t>トクベツ</t>
    </rPh>
    <rPh sb="11" eb="12">
      <t>ゴウ</t>
    </rPh>
    <phoneticPr fontId="2"/>
  </si>
  <si>
    <t>セシール2020夏特別号2P</t>
    <rPh sb="8" eb="9">
      <t>ナツ</t>
    </rPh>
    <rPh sb="9" eb="11">
      <t>トクベツ</t>
    </rPh>
    <rPh sb="11" eb="12">
      <t>ゴウ</t>
    </rPh>
    <phoneticPr fontId="2"/>
  </si>
  <si>
    <t>3/上旬～</t>
    <rPh sb="2" eb="4">
      <t>ジョウジュン</t>
    </rPh>
    <phoneticPr fontId="2"/>
  </si>
  <si>
    <t>くらし企画sample(石坂さん)</t>
    <rPh sb="3" eb="5">
      <t>キカク</t>
    </rPh>
    <rPh sb="12" eb="14">
      <t>イシザカ</t>
    </rPh>
    <phoneticPr fontId="2"/>
  </si>
  <si>
    <t>初4/1　アバ/4/15　～4/22</t>
    <rPh sb="0" eb="1">
      <t>ショ</t>
    </rPh>
    <phoneticPr fontId="2"/>
  </si>
  <si>
    <t>コープデリ　4月4回</t>
    <rPh sb="7" eb="8">
      <t>ガツ</t>
    </rPh>
    <rPh sb="9" eb="10">
      <t>カイ</t>
    </rPh>
    <phoneticPr fontId="2"/>
  </si>
  <si>
    <t>コープデリ　5月3回</t>
    <rPh sb="7" eb="8">
      <t>ガツ</t>
    </rPh>
    <rPh sb="9" eb="10">
      <t>カイ</t>
    </rPh>
    <phoneticPr fontId="2"/>
  </si>
  <si>
    <t>初4/29　アバ5/13　～5/20</t>
    <rPh sb="0" eb="1">
      <t>ショ</t>
    </rPh>
    <phoneticPr fontId="2"/>
  </si>
  <si>
    <t>コープデリ　4月4回①</t>
    <rPh sb="7" eb="8">
      <t>ガツ</t>
    </rPh>
    <rPh sb="9" eb="10">
      <t>カイ</t>
    </rPh>
    <phoneticPr fontId="2"/>
  </si>
  <si>
    <t>いずみ生協6-1ｗ</t>
    <rPh sb="3" eb="5">
      <t>セイキョウ</t>
    </rPh>
    <phoneticPr fontId="2"/>
  </si>
  <si>
    <t>5/22～6/3（1～5回）</t>
    <rPh sb="12" eb="13">
      <t>カイ</t>
    </rPh>
    <phoneticPr fontId="2"/>
  </si>
  <si>
    <t>セシール2P①</t>
    <phoneticPr fontId="2"/>
  </si>
  <si>
    <t>2020/4/13伝</t>
    <rPh sb="9" eb="10">
      <t>デン</t>
    </rPh>
    <phoneticPr fontId="2"/>
  </si>
  <si>
    <t>コープデリ　4月4回②</t>
    <rPh sb="7" eb="8">
      <t>ガツ</t>
    </rPh>
    <rPh sb="9" eb="10">
      <t>カイ</t>
    </rPh>
    <phoneticPr fontId="2"/>
  </si>
  <si>
    <t>コープデリ　4月4回③</t>
    <rPh sb="7" eb="8">
      <t>ガツ</t>
    </rPh>
    <rPh sb="9" eb="10">
      <t>カイ</t>
    </rPh>
    <phoneticPr fontId="2"/>
  </si>
  <si>
    <t>いずみ生協7-1ｗ</t>
    <rPh sb="3" eb="5">
      <t>セイキョウ</t>
    </rPh>
    <phoneticPr fontId="2"/>
  </si>
  <si>
    <t>セシール1P①</t>
    <phoneticPr fontId="2"/>
  </si>
  <si>
    <t>セシール2P②</t>
    <phoneticPr fontId="2"/>
  </si>
  <si>
    <t>2020/4/23伝</t>
    <rPh sb="9" eb="10">
      <t>デン</t>
    </rPh>
    <phoneticPr fontId="2"/>
  </si>
  <si>
    <t>スーッと爽快アームカバー指穴あり(KPORT在庫）</t>
    <rPh sb="4" eb="6">
      <t>ソウカイ</t>
    </rPh>
    <rPh sb="12" eb="13">
      <t>ユビ</t>
    </rPh>
    <rPh sb="13" eb="14">
      <t>アナ</t>
    </rPh>
    <rPh sb="22" eb="24">
      <t>ザイコ</t>
    </rPh>
    <phoneticPr fontId="3"/>
  </si>
  <si>
    <t>コープデリ　7月2回</t>
    <rPh sb="7" eb="8">
      <t>ガツ</t>
    </rPh>
    <rPh sb="9" eb="10">
      <t>カイ</t>
    </rPh>
    <phoneticPr fontId="2"/>
  </si>
  <si>
    <t>初6/17、アバウト7/1、最終7/8</t>
    <rPh sb="0" eb="1">
      <t>ショ</t>
    </rPh>
    <rPh sb="14" eb="16">
      <t>サイシュウ</t>
    </rPh>
    <phoneticPr fontId="2"/>
  </si>
  <si>
    <t>6/19～7/1（1～5回）</t>
    <rPh sb="12" eb="13">
      <t>カイ</t>
    </rPh>
    <phoneticPr fontId="2"/>
  </si>
  <si>
    <t>セシール1P②</t>
    <phoneticPr fontId="2"/>
  </si>
  <si>
    <t>コープデリ　5月3回①</t>
    <rPh sb="7" eb="8">
      <t>ガツ</t>
    </rPh>
    <rPh sb="9" eb="10">
      <t>カイ</t>
    </rPh>
    <phoneticPr fontId="2"/>
  </si>
  <si>
    <t>コープデリ　7月5回</t>
    <rPh sb="7" eb="8">
      <t>ガツ</t>
    </rPh>
    <rPh sb="9" eb="10">
      <t>カイ</t>
    </rPh>
    <phoneticPr fontId="2"/>
  </si>
  <si>
    <t>初7/8、アバウト7/22、最終7/29</t>
    <rPh sb="0" eb="1">
      <t>ショ</t>
    </rPh>
    <rPh sb="14" eb="16">
      <t>サイシュウ</t>
    </rPh>
    <phoneticPr fontId="2"/>
  </si>
  <si>
    <t>セシール2P③</t>
    <phoneticPr fontId="2"/>
  </si>
  <si>
    <t>コープデリ　5月3回②</t>
    <rPh sb="7" eb="8">
      <t>ガツ</t>
    </rPh>
    <rPh sb="9" eb="10">
      <t>カイ</t>
    </rPh>
    <phoneticPr fontId="2"/>
  </si>
  <si>
    <t>コープデリ　5月3回③</t>
    <rPh sb="7" eb="8">
      <t>ガツ</t>
    </rPh>
    <rPh sb="9" eb="10">
      <t>カイ</t>
    </rPh>
    <phoneticPr fontId="2"/>
  </si>
  <si>
    <t>KPORT</t>
    <phoneticPr fontId="2"/>
  </si>
  <si>
    <t>いずみ生協6-1ｗ①</t>
    <rPh sb="3" eb="5">
      <t>セイキョウ</t>
    </rPh>
    <phoneticPr fontId="2"/>
  </si>
  <si>
    <t>KPORT</t>
    <phoneticPr fontId="2"/>
  </si>
  <si>
    <t>サンリッチ</t>
    <phoneticPr fontId="3"/>
  </si>
  <si>
    <t>サンリッチ</t>
    <phoneticPr fontId="3"/>
  </si>
  <si>
    <t>初7/29、アバウト8/12、最終8/19</t>
    <rPh sb="0" eb="1">
      <t>ショ</t>
    </rPh>
    <rPh sb="15" eb="17">
      <t>サイシュウ</t>
    </rPh>
    <phoneticPr fontId="2"/>
  </si>
  <si>
    <t>コープデリ　8月3回（特価680円）</t>
    <rPh sb="7" eb="8">
      <t>ガツ</t>
    </rPh>
    <rPh sb="9" eb="10">
      <t>カイ</t>
    </rPh>
    <rPh sb="11" eb="13">
      <t>トッカ</t>
    </rPh>
    <rPh sb="16" eb="17">
      <t>エン</t>
    </rPh>
    <phoneticPr fontId="2"/>
  </si>
  <si>
    <t>いずみ生協6-1ｗ②</t>
    <rPh sb="3" eb="5">
      <t>セイキョウ</t>
    </rPh>
    <phoneticPr fontId="2"/>
  </si>
  <si>
    <t>いずみ生協6-1ｗ③</t>
    <rPh sb="3" eb="5">
      <t>セイキョウ</t>
    </rPh>
    <phoneticPr fontId="2"/>
  </si>
  <si>
    <t>セシール1P③</t>
    <phoneticPr fontId="2"/>
  </si>
  <si>
    <t>いずみ生協6-1ｗ④</t>
    <rPh sb="3" eb="5">
      <t>セイキョウ</t>
    </rPh>
    <phoneticPr fontId="2"/>
  </si>
  <si>
    <t>いずみ生協8-1ｗ</t>
    <rPh sb="3" eb="5">
      <t>セイキョウ</t>
    </rPh>
    <phoneticPr fontId="2"/>
  </si>
  <si>
    <t>セシール2P④</t>
    <phoneticPr fontId="2"/>
  </si>
  <si>
    <t>Amazon</t>
    <phoneticPr fontId="2"/>
  </si>
  <si>
    <t>7/24～8/5（1～5回）</t>
    <rPh sb="12" eb="13">
      <t>カイ</t>
    </rPh>
    <phoneticPr fontId="2"/>
  </si>
  <si>
    <t>セシール2P⑤</t>
    <phoneticPr fontId="2"/>
  </si>
  <si>
    <t>セシール1P④</t>
    <phoneticPr fontId="2"/>
  </si>
  <si>
    <t>セシール2P⑥</t>
    <phoneticPr fontId="2"/>
  </si>
  <si>
    <t>ゆめはん</t>
    <phoneticPr fontId="2"/>
  </si>
  <si>
    <t>Amazon返品</t>
    <rPh sb="6" eb="8">
      <t>ヘンピン</t>
    </rPh>
    <phoneticPr fontId="3"/>
  </si>
  <si>
    <t>セシール1P⑤</t>
  </si>
  <si>
    <t>セシール2P⑦</t>
  </si>
  <si>
    <t>いずみ生協7-1ｗ①</t>
    <rPh sb="3" eb="5">
      <t>セイキョウ</t>
    </rPh>
    <phoneticPr fontId="2"/>
  </si>
  <si>
    <t>Amazon</t>
    <phoneticPr fontId="2"/>
  </si>
  <si>
    <t>セシール1P⑥</t>
    <phoneticPr fontId="2"/>
  </si>
  <si>
    <t>セシール2P⑧</t>
    <phoneticPr fontId="2"/>
  </si>
  <si>
    <t>いずみ生協7-1ｗ②</t>
    <rPh sb="3" eb="5">
      <t>セイキョウ</t>
    </rPh>
    <phoneticPr fontId="2"/>
  </si>
  <si>
    <t>いずみ生協7-1ｗ③</t>
    <rPh sb="3" eb="5">
      <t>セイキョウ</t>
    </rPh>
    <phoneticPr fontId="2"/>
  </si>
  <si>
    <t>いずみ生協7-1ｗ④</t>
    <rPh sb="3" eb="5">
      <t>セイキョウ</t>
    </rPh>
    <phoneticPr fontId="2"/>
  </si>
  <si>
    <t>コープデリ　7月2回①</t>
    <rPh sb="7" eb="8">
      <t>ガツ</t>
    </rPh>
    <rPh sb="9" eb="10">
      <t>カイ</t>
    </rPh>
    <phoneticPr fontId="2"/>
  </si>
  <si>
    <t>コープデリ　7月2回②</t>
    <rPh sb="7" eb="8">
      <t>ガツ</t>
    </rPh>
    <rPh sb="9" eb="10">
      <t>カイ</t>
    </rPh>
    <phoneticPr fontId="2"/>
  </si>
  <si>
    <t>コープデリ　7月2回③</t>
    <rPh sb="7" eb="8">
      <t>ガツ</t>
    </rPh>
    <rPh sb="9" eb="10">
      <t>カイ</t>
    </rPh>
    <phoneticPr fontId="2"/>
  </si>
  <si>
    <t>コープデリ　7月5回①</t>
    <rPh sb="7" eb="8">
      <t>ガツ</t>
    </rPh>
    <rPh sb="9" eb="10">
      <t>カイ</t>
    </rPh>
    <phoneticPr fontId="2"/>
  </si>
  <si>
    <t>コープデリ8月3回（特価680円）①</t>
    <rPh sb="6" eb="7">
      <t>ガツ</t>
    </rPh>
    <rPh sb="8" eb="9">
      <t>カイ</t>
    </rPh>
    <rPh sb="10" eb="12">
      <t>トッカ</t>
    </rPh>
    <rPh sb="15" eb="16">
      <t>エン</t>
    </rPh>
    <phoneticPr fontId="2"/>
  </si>
  <si>
    <t>いずみ生協8-1ｗ①</t>
    <rPh sb="3" eb="5">
      <t>セイキョウ</t>
    </rPh>
    <phoneticPr fontId="2"/>
  </si>
  <si>
    <t>いずみ生協8-1ｗ②</t>
    <rPh sb="3" eb="5">
      <t>セイキョウ</t>
    </rPh>
    <phoneticPr fontId="2"/>
  </si>
  <si>
    <t>2020/8/3数伝</t>
    <rPh sb="8" eb="9">
      <t>スウ</t>
    </rPh>
    <rPh sb="9" eb="10">
      <t>デン</t>
    </rPh>
    <phoneticPr fontId="2"/>
  </si>
  <si>
    <t>セシール2021夏特別号1P</t>
    <rPh sb="8" eb="9">
      <t>ナツ</t>
    </rPh>
    <rPh sb="9" eb="11">
      <t>トクベツ</t>
    </rPh>
    <rPh sb="11" eb="12">
      <t>ゴウ</t>
    </rPh>
    <phoneticPr fontId="2"/>
  </si>
  <si>
    <t>セシール2021夏特別号2P</t>
    <rPh sb="8" eb="9">
      <t>ナツ</t>
    </rPh>
    <rPh sb="9" eb="11">
      <t>トクベツ</t>
    </rPh>
    <rPh sb="11" eb="12">
      <t>ゴウ</t>
    </rPh>
    <phoneticPr fontId="2"/>
  </si>
  <si>
    <t>コープデリ4月1回</t>
    <rPh sb="6" eb="7">
      <t>ガツ</t>
    </rPh>
    <rPh sb="8" eb="9">
      <t>カイ</t>
    </rPh>
    <phoneticPr fontId="2"/>
  </si>
  <si>
    <t>初3/17、アバウト3/30、最終4/5</t>
    <rPh sb="0" eb="1">
      <t>ショ</t>
    </rPh>
    <rPh sb="15" eb="17">
      <t>サイシュウ</t>
    </rPh>
    <phoneticPr fontId="2"/>
  </si>
  <si>
    <t>Amazon</t>
    <phoneticPr fontId="2"/>
  </si>
  <si>
    <t>コープデリ5月1回</t>
    <rPh sb="6" eb="7">
      <t>ガツ</t>
    </rPh>
    <rPh sb="8" eb="9">
      <t>カイ</t>
    </rPh>
    <phoneticPr fontId="2"/>
  </si>
  <si>
    <t>夢販</t>
    <rPh sb="0" eb="2">
      <t>ユメハン</t>
    </rPh>
    <phoneticPr fontId="2"/>
  </si>
  <si>
    <t>グレー</t>
    <phoneticPr fontId="3"/>
  </si>
  <si>
    <t>コープデリ4月1回①</t>
    <rPh sb="6" eb="7">
      <t>ガツ</t>
    </rPh>
    <rPh sb="8" eb="9">
      <t>カイ</t>
    </rPh>
    <phoneticPr fontId="2"/>
  </si>
  <si>
    <t>コープデリ6月5回（表紙）</t>
    <rPh sb="6" eb="7">
      <t>ガツ</t>
    </rPh>
    <rPh sb="8" eb="9">
      <t>カイ</t>
    </rPh>
    <rPh sb="10" eb="12">
      <t>ヒョウシ</t>
    </rPh>
    <phoneticPr fontId="2"/>
  </si>
  <si>
    <t>初4/14、アバウト4/27、最終5/3</t>
    <rPh sb="0" eb="1">
      <t>ショ</t>
    </rPh>
    <rPh sb="15" eb="17">
      <t>サイシュウ</t>
    </rPh>
    <phoneticPr fontId="2"/>
  </si>
  <si>
    <t>セシール2021夏特別号1P①</t>
    <rPh sb="8" eb="9">
      <t>ナツ</t>
    </rPh>
    <rPh sb="9" eb="11">
      <t>トクベツ</t>
    </rPh>
    <rPh sb="11" eb="12">
      <t>ゴウ</t>
    </rPh>
    <phoneticPr fontId="2"/>
  </si>
  <si>
    <t>セシール2021夏特別号2Ｐ①</t>
    <rPh sb="8" eb="9">
      <t>ナツ</t>
    </rPh>
    <rPh sb="9" eb="11">
      <t>トクベツ</t>
    </rPh>
    <rPh sb="11" eb="12">
      <t>ゴウ</t>
    </rPh>
    <phoneticPr fontId="2"/>
  </si>
  <si>
    <t>夢販</t>
    <rPh sb="0" eb="2">
      <t>ユメハン</t>
    </rPh>
    <phoneticPr fontId="2"/>
  </si>
  <si>
    <t>3Pセット分</t>
    <rPh sb="5" eb="6">
      <t>ブン</t>
    </rPh>
    <phoneticPr fontId="3"/>
  </si>
  <si>
    <t>くらしサンプル返却</t>
    <rPh sb="7" eb="9">
      <t>ヘンキャク</t>
    </rPh>
    <phoneticPr fontId="3"/>
  </si>
  <si>
    <t>コープデリ4月1回②</t>
    <rPh sb="6" eb="7">
      <t>ガツ</t>
    </rPh>
    <rPh sb="8" eb="9">
      <t>カイ</t>
    </rPh>
    <phoneticPr fontId="2"/>
  </si>
  <si>
    <t>東北サンネット6-4ｗ</t>
    <rPh sb="0" eb="2">
      <t>トウホク</t>
    </rPh>
    <phoneticPr fontId="39"/>
  </si>
  <si>
    <t>6/18～23</t>
    <phoneticPr fontId="39"/>
  </si>
  <si>
    <t>コープデリ4月1回③</t>
    <rPh sb="6" eb="7">
      <t>ガツ</t>
    </rPh>
    <rPh sb="8" eb="9">
      <t>カイ</t>
    </rPh>
    <phoneticPr fontId="2"/>
  </si>
  <si>
    <t>オバタsample</t>
    <phoneticPr fontId="2"/>
  </si>
  <si>
    <t>コープデリ5月1回①</t>
    <rPh sb="6" eb="7">
      <t>ガツ</t>
    </rPh>
    <rPh sb="8" eb="9">
      <t>カイ</t>
    </rPh>
    <phoneticPr fontId="2"/>
  </si>
  <si>
    <t>5/26～</t>
    <phoneticPr fontId="39"/>
  </si>
  <si>
    <t>3色組</t>
    <rPh sb="1" eb="2">
      <t>ショク</t>
    </rPh>
    <rPh sb="2" eb="3">
      <t>クミ</t>
    </rPh>
    <phoneticPr fontId="3"/>
  </si>
  <si>
    <t>Amazon</t>
    <phoneticPr fontId="2"/>
  </si>
  <si>
    <t>セシール2021夏特別号1P②</t>
    <rPh sb="8" eb="9">
      <t>ナツ</t>
    </rPh>
    <rPh sb="9" eb="11">
      <t>トクベツ</t>
    </rPh>
    <rPh sb="11" eb="12">
      <t>ゴウ</t>
    </rPh>
    <phoneticPr fontId="2"/>
  </si>
  <si>
    <t>セシール2021夏特別号2Ｐ②</t>
    <rPh sb="8" eb="9">
      <t>ナツ</t>
    </rPh>
    <rPh sb="9" eb="11">
      <t>トクベツ</t>
    </rPh>
    <rPh sb="11" eb="12">
      <t>ゴウ</t>
    </rPh>
    <phoneticPr fontId="2"/>
  </si>
  <si>
    <t>いずみ生協6-5w</t>
    <rPh sb="3" eb="5">
      <t>セイキョウ</t>
    </rPh>
    <phoneticPr fontId="2"/>
  </si>
  <si>
    <t>コープデリ5月1回②</t>
    <rPh sb="6" eb="7">
      <t>ガツ</t>
    </rPh>
    <rPh sb="8" eb="9">
      <t>カイ</t>
    </rPh>
    <phoneticPr fontId="2"/>
  </si>
  <si>
    <t>JOD特別版0527</t>
    <rPh sb="3" eb="5">
      <t>トクベツ</t>
    </rPh>
    <rPh sb="5" eb="6">
      <t>バン</t>
    </rPh>
    <phoneticPr fontId="39"/>
  </si>
  <si>
    <t>初回6/9、アバウト6/22、本6/23～28</t>
    <rPh sb="0" eb="2">
      <t>ショカイ</t>
    </rPh>
    <rPh sb="15" eb="16">
      <t>ホン</t>
    </rPh>
    <phoneticPr fontId="2"/>
  </si>
  <si>
    <t>夢販</t>
    <rPh sb="0" eb="2">
      <t>ユメハン</t>
    </rPh>
    <phoneticPr fontId="2"/>
  </si>
  <si>
    <t>Amazon</t>
    <phoneticPr fontId="2"/>
  </si>
  <si>
    <t>セシール2021夏特別号2Ｐ③</t>
    <rPh sb="8" eb="9">
      <t>ナツ</t>
    </rPh>
    <rPh sb="9" eb="11">
      <t>トクベツ</t>
    </rPh>
    <rPh sb="11" eb="12">
      <t>ゴウ</t>
    </rPh>
    <phoneticPr fontId="2"/>
  </si>
  <si>
    <t>3色組スーッと爽快アームカバー 3Pセット　(K-PORT在庫）</t>
    <rPh sb="1" eb="2">
      <t>ショク</t>
    </rPh>
    <rPh sb="2" eb="3">
      <t>グミ</t>
    </rPh>
    <rPh sb="7" eb="9">
      <t>ソウカイ</t>
    </rPh>
    <rPh sb="29" eb="31">
      <t>ザイコ</t>
    </rPh>
    <phoneticPr fontId="3"/>
  </si>
  <si>
    <t>ブラック</t>
    <phoneticPr fontId="39"/>
  </si>
  <si>
    <t>ホワイト</t>
    <phoneticPr fontId="39"/>
  </si>
  <si>
    <t>Amazon</t>
    <phoneticPr fontId="2"/>
  </si>
  <si>
    <t>3色組スーッと爽快アームカバー 3Pセット　(夢販在庫）</t>
    <rPh sb="1" eb="2">
      <t>ショク</t>
    </rPh>
    <rPh sb="2" eb="3">
      <t>グミ</t>
    </rPh>
    <rPh sb="7" eb="9">
      <t>ソウカイ</t>
    </rPh>
    <rPh sb="23" eb="25">
      <t>ユメハン</t>
    </rPh>
    <rPh sb="25" eb="27">
      <t>ザイコ</t>
    </rPh>
    <phoneticPr fontId="3"/>
  </si>
  <si>
    <t>田中さん</t>
    <rPh sb="0" eb="2">
      <t>タナカ</t>
    </rPh>
    <phoneticPr fontId="2"/>
  </si>
  <si>
    <t>スーッと爽快アームカバー単品 　(夢販在庫）</t>
    <rPh sb="4" eb="6">
      <t>ソウカイ</t>
    </rPh>
    <rPh sb="12" eb="14">
      <t>タンピン</t>
    </rPh>
    <rPh sb="17" eb="18">
      <t>ユメ</t>
    </rPh>
    <rPh sb="18" eb="19">
      <t>ハン</t>
    </rPh>
    <rPh sb="19" eb="21">
      <t>ザイコ</t>
    </rPh>
    <phoneticPr fontId="3"/>
  </si>
  <si>
    <t>スーッと爽快アームカバー単品 　(K-PORT在庫）</t>
    <rPh sb="4" eb="6">
      <t>ソウカイ</t>
    </rPh>
    <rPh sb="12" eb="14">
      <t>タンピン</t>
    </rPh>
    <rPh sb="23" eb="25">
      <t>ザイコ</t>
    </rPh>
    <phoneticPr fontId="3"/>
  </si>
  <si>
    <t>セシール2021夏特別号1P③</t>
    <rPh sb="8" eb="9">
      <t>ナツ</t>
    </rPh>
    <rPh sb="9" eb="11">
      <t>トクベツ</t>
    </rPh>
    <rPh sb="11" eb="12">
      <t>ゴウ</t>
    </rPh>
    <phoneticPr fontId="2"/>
  </si>
  <si>
    <t>夢販</t>
    <rPh sb="0" eb="2">
      <t>ユメハン</t>
    </rPh>
    <phoneticPr fontId="2"/>
  </si>
  <si>
    <t>セシール2021夏特別号1P④</t>
    <rPh sb="8" eb="9">
      <t>ナツ</t>
    </rPh>
    <rPh sb="9" eb="11">
      <t>トクベツ</t>
    </rPh>
    <rPh sb="11" eb="12">
      <t>ゴウ</t>
    </rPh>
    <phoneticPr fontId="2"/>
  </si>
  <si>
    <t>6/24～7/15（1～20回）</t>
    <rPh sb="14" eb="15">
      <t>カイ</t>
    </rPh>
    <phoneticPr fontId="39"/>
  </si>
  <si>
    <t>夢販</t>
    <rPh sb="0" eb="2">
      <t>ユメハン</t>
    </rPh>
    <phoneticPr fontId="39"/>
  </si>
  <si>
    <t>Amazon</t>
    <phoneticPr fontId="2"/>
  </si>
  <si>
    <t>Amazon</t>
    <phoneticPr fontId="2"/>
  </si>
  <si>
    <t>2021/5/21伝数</t>
    <rPh sb="9" eb="11">
      <t>デンスウ</t>
    </rPh>
    <phoneticPr fontId="39"/>
  </si>
  <si>
    <t>ネット</t>
    <phoneticPr fontId="39"/>
  </si>
  <si>
    <t>くらし棚橋様サンプル</t>
    <rPh sb="3" eb="5">
      <t>タナハシ</t>
    </rPh>
    <rPh sb="5" eb="6">
      <t>サマ</t>
    </rPh>
    <phoneticPr fontId="39"/>
  </si>
  <si>
    <t>Amazon</t>
    <phoneticPr fontId="2"/>
  </si>
  <si>
    <t>JOD①</t>
    <phoneticPr fontId="39"/>
  </si>
  <si>
    <t>JOD②</t>
    <phoneticPr fontId="39"/>
  </si>
  <si>
    <t>セシール2021夏特別号2Ｐ④</t>
    <rPh sb="8" eb="9">
      <t>ナツ</t>
    </rPh>
    <rPh sb="9" eb="11">
      <t>トクベツ</t>
    </rPh>
    <rPh sb="11" eb="12">
      <t>ゴウ</t>
    </rPh>
    <phoneticPr fontId="2"/>
  </si>
  <si>
    <t>ネット</t>
    <phoneticPr fontId="2"/>
  </si>
  <si>
    <t>Amazon</t>
    <phoneticPr fontId="2"/>
  </si>
  <si>
    <t>JOD③</t>
    <phoneticPr fontId="39"/>
  </si>
  <si>
    <t>JOD④</t>
    <phoneticPr fontId="39"/>
  </si>
  <si>
    <t>JOD⑤</t>
    <phoneticPr fontId="39"/>
  </si>
  <si>
    <t>JOD特別版0705</t>
    <rPh sb="3" eb="5">
      <t>トクベツ</t>
    </rPh>
    <rPh sb="5" eb="6">
      <t>バン</t>
    </rPh>
    <phoneticPr fontId="39"/>
  </si>
  <si>
    <t>7/5～</t>
    <phoneticPr fontId="39"/>
  </si>
  <si>
    <t>在庫確認</t>
    <rPh sb="0" eb="2">
      <t>ザイコ</t>
    </rPh>
    <rPh sb="2" eb="4">
      <t>カクニン</t>
    </rPh>
    <phoneticPr fontId="3"/>
  </si>
  <si>
    <t>東北サンネット6-4ｗ①</t>
    <rPh sb="0" eb="2">
      <t>トウホク</t>
    </rPh>
    <phoneticPr fontId="39"/>
  </si>
  <si>
    <t>Amazon</t>
    <phoneticPr fontId="39"/>
  </si>
  <si>
    <t>ゆめはん</t>
    <phoneticPr fontId="39"/>
  </si>
  <si>
    <t>夢販単品加工分</t>
    <rPh sb="0" eb="2">
      <t>ユメハン</t>
    </rPh>
    <rPh sb="2" eb="6">
      <t>タンピンカコウ</t>
    </rPh>
    <rPh sb="6" eb="7">
      <t>ブン</t>
    </rPh>
    <phoneticPr fontId="39"/>
  </si>
  <si>
    <t>東北サンネット6-4ｗ②</t>
    <rPh sb="0" eb="2">
      <t>トウホク</t>
    </rPh>
    <phoneticPr fontId="39"/>
  </si>
  <si>
    <t>夢販</t>
    <rPh sb="0" eb="2">
      <t>ユメハン</t>
    </rPh>
    <phoneticPr fontId="39"/>
  </si>
  <si>
    <t>夢販</t>
    <rPh sb="0" eb="2">
      <t>ユメハン</t>
    </rPh>
    <phoneticPr fontId="39"/>
  </si>
  <si>
    <t>コープデリ8月3回</t>
    <rPh sb="6" eb="7">
      <t>ガツ</t>
    </rPh>
    <rPh sb="8" eb="9">
      <t>カイ</t>
    </rPh>
    <phoneticPr fontId="39"/>
  </si>
  <si>
    <t>コープデリ9月1回</t>
    <rPh sb="6" eb="7">
      <t>ガツ</t>
    </rPh>
    <rPh sb="8" eb="9">
      <t>カイ</t>
    </rPh>
    <phoneticPr fontId="39"/>
  </si>
  <si>
    <t>初回7/28、アバウト8/10、本8/10～16</t>
    <rPh sb="0" eb="2">
      <t>ショカイ</t>
    </rPh>
    <rPh sb="16" eb="17">
      <t>ホン</t>
    </rPh>
    <phoneticPr fontId="39"/>
  </si>
  <si>
    <t>東北サンネット6-4ｗ③</t>
    <rPh sb="0" eb="2">
      <t>トウホク</t>
    </rPh>
    <phoneticPr fontId="39"/>
  </si>
  <si>
    <t>K-PORT</t>
    <phoneticPr fontId="39"/>
  </si>
  <si>
    <t>JOD⑥</t>
    <phoneticPr fontId="39"/>
  </si>
  <si>
    <t>Amazon</t>
    <phoneticPr fontId="39"/>
  </si>
  <si>
    <t>ネット交換</t>
    <rPh sb="3" eb="5">
      <t>コウカン</t>
    </rPh>
    <phoneticPr fontId="39"/>
  </si>
  <si>
    <t>コープデリ6月5回（表紙）①</t>
    <rPh sb="6" eb="7">
      <t>ガツ</t>
    </rPh>
    <rPh sb="8" eb="9">
      <t>カイ</t>
    </rPh>
    <rPh sb="10" eb="12">
      <t>ヒョウシ</t>
    </rPh>
    <phoneticPr fontId="2"/>
  </si>
  <si>
    <t>セシール2021夏特別号1P⑤</t>
    <rPh sb="8" eb="9">
      <t>ナツ</t>
    </rPh>
    <rPh sb="9" eb="11">
      <t>トクベツ</t>
    </rPh>
    <rPh sb="11" eb="12">
      <t>ゴウ</t>
    </rPh>
    <phoneticPr fontId="2"/>
  </si>
  <si>
    <t>いずみ生協6-5w①</t>
    <rPh sb="3" eb="5">
      <t>セイキョウ</t>
    </rPh>
    <phoneticPr fontId="2"/>
  </si>
  <si>
    <t>Amazon</t>
    <phoneticPr fontId="39"/>
  </si>
  <si>
    <t>Amazon</t>
    <phoneticPr fontId="39"/>
  </si>
  <si>
    <t>コープデリ6月6回（表紙）②</t>
    <rPh sb="6" eb="7">
      <t>ガツ</t>
    </rPh>
    <rPh sb="8" eb="9">
      <t>カイ</t>
    </rPh>
    <rPh sb="10" eb="12">
      <t>ヒョウシ</t>
    </rPh>
    <phoneticPr fontId="2"/>
  </si>
  <si>
    <t>ネット交換</t>
    <rPh sb="3" eb="5">
      <t>コウカン</t>
    </rPh>
    <phoneticPr fontId="39"/>
  </si>
  <si>
    <t>在庫確認</t>
    <rPh sb="0" eb="4">
      <t>ザイコカクニン</t>
    </rPh>
    <phoneticPr fontId="3"/>
  </si>
  <si>
    <t>いずみ生協6-5w②</t>
    <rPh sb="3" eb="5">
      <t>セイキョウ</t>
    </rPh>
    <phoneticPr fontId="2"/>
  </si>
  <si>
    <t>Amazon3P</t>
    <phoneticPr fontId="39"/>
  </si>
  <si>
    <t>Amazon</t>
    <phoneticPr fontId="39"/>
  </si>
  <si>
    <t>セシール2021夏特別号1P⑥</t>
    <rPh sb="8" eb="9">
      <t>ナツ</t>
    </rPh>
    <rPh sb="9" eb="11">
      <t>トクベツ</t>
    </rPh>
    <rPh sb="11" eb="12">
      <t>ゴウ</t>
    </rPh>
    <phoneticPr fontId="2"/>
  </si>
  <si>
    <t>セシール分旧パッケージ化</t>
    <rPh sb="4" eb="5">
      <t>ブン</t>
    </rPh>
    <rPh sb="5" eb="6">
      <t>キュウ</t>
    </rPh>
    <rPh sb="11" eb="12">
      <t>カ</t>
    </rPh>
    <phoneticPr fontId="39"/>
  </si>
  <si>
    <t>セシール分新パッケージより追加</t>
    <rPh sb="4" eb="5">
      <t>ブン</t>
    </rPh>
    <rPh sb="5" eb="6">
      <t>シン</t>
    </rPh>
    <rPh sb="13" eb="15">
      <t>ツイカ</t>
    </rPh>
    <phoneticPr fontId="3"/>
  </si>
  <si>
    <t>JOD⑦</t>
    <phoneticPr fontId="39"/>
  </si>
  <si>
    <t>初回8/11、アバウト8/24、本8/25～30</t>
    <rPh sb="0" eb="2">
      <t>ショカイ</t>
    </rPh>
    <rPh sb="16" eb="17">
      <t>ホン</t>
    </rPh>
    <phoneticPr fontId="39"/>
  </si>
  <si>
    <t>夢販</t>
    <rPh sb="0" eb="2">
      <t>ユメハン</t>
    </rPh>
    <phoneticPr fontId="39"/>
  </si>
  <si>
    <t>ネット返品</t>
    <rPh sb="3" eb="5">
      <t>ヘンピン</t>
    </rPh>
    <phoneticPr fontId="39"/>
  </si>
  <si>
    <t>Amazon</t>
    <phoneticPr fontId="39"/>
  </si>
  <si>
    <t>JOD⑧</t>
    <phoneticPr fontId="39"/>
  </si>
  <si>
    <t>いずみ生協6-5w③</t>
    <rPh sb="3" eb="5">
      <t>セイキョウ</t>
    </rPh>
    <phoneticPr fontId="2"/>
  </si>
  <si>
    <t>セシール2021夏特別号1P⑦</t>
    <rPh sb="8" eb="9">
      <t>ナツ</t>
    </rPh>
    <rPh sb="9" eb="11">
      <t>トクベツ</t>
    </rPh>
    <rPh sb="11" eb="12">
      <t>ゴウ</t>
    </rPh>
    <phoneticPr fontId="2"/>
  </si>
  <si>
    <t>JOD⑨</t>
    <phoneticPr fontId="39"/>
  </si>
  <si>
    <t>JOD返品</t>
    <rPh sb="3" eb="5">
      <t>ヘンピン</t>
    </rPh>
    <phoneticPr fontId="3"/>
  </si>
  <si>
    <t>JOD⑩</t>
    <phoneticPr fontId="39"/>
  </si>
  <si>
    <t>JOD⑪</t>
    <phoneticPr fontId="39"/>
  </si>
  <si>
    <t>JOD⑫</t>
    <phoneticPr fontId="39"/>
  </si>
  <si>
    <t>Amazon</t>
    <phoneticPr fontId="39"/>
  </si>
  <si>
    <t>Amazon3P</t>
    <phoneticPr fontId="39"/>
  </si>
  <si>
    <t>JOD⑬</t>
    <phoneticPr fontId="39"/>
  </si>
  <si>
    <t>JOD⑭</t>
    <phoneticPr fontId="39"/>
  </si>
  <si>
    <t>セシール2021夏特別号2Ｐ⑤</t>
    <rPh sb="8" eb="9">
      <t>ナツ</t>
    </rPh>
    <rPh sb="9" eb="11">
      <t>トクベツ</t>
    </rPh>
    <rPh sb="11" eb="12">
      <t>ゴウ</t>
    </rPh>
    <phoneticPr fontId="2"/>
  </si>
  <si>
    <t>JOD⑮</t>
    <phoneticPr fontId="39"/>
  </si>
  <si>
    <t>オバタ返品</t>
    <rPh sb="3" eb="5">
      <t>ヘンピン</t>
    </rPh>
    <phoneticPr fontId="3"/>
  </si>
  <si>
    <t>JOD⑯</t>
    <phoneticPr fontId="39"/>
  </si>
  <si>
    <t>Amazon</t>
    <phoneticPr fontId="39"/>
  </si>
  <si>
    <t>JOD⑰</t>
    <phoneticPr fontId="39"/>
  </si>
  <si>
    <t>コープデリ8月3回①</t>
    <rPh sb="6" eb="7">
      <t>ガツ</t>
    </rPh>
    <rPh sb="8" eb="9">
      <t>カイ</t>
    </rPh>
    <phoneticPr fontId="39"/>
  </si>
  <si>
    <t>コープデリ8月3回②</t>
    <rPh sb="6" eb="7">
      <t>ガツ</t>
    </rPh>
    <rPh sb="8" eb="9">
      <t>カイ</t>
    </rPh>
    <phoneticPr fontId="39"/>
  </si>
  <si>
    <t>JOD⑱</t>
    <phoneticPr fontId="39"/>
  </si>
  <si>
    <t>Amazon</t>
    <phoneticPr fontId="39"/>
  </si>
  <si>
    <t>ゆめはん</t>
    <phoneticPr fontId="39"/>
  </si>
  <si>
    <t>アマゾン返品</t>
    <rPh sb="4" eb="6">
      <t>ヘンピン</t>
    </rPh>
    <phoneticPr fontId="39"/>
  </si>
  <si>
    <t>セシール2021夏特別号1P⑧</t>
    <rPh sb="8" eb="9">
      <t>ナツ</t>
    </rPh>
    <rPh sb="9" eb="11">
      <t>トクベツ</t>
    </rPh>
    <rPh sb="11" eb="12">
      <t>ゴウ</t>
    </rPh>
    <phoneticPr fontId="2"/>
  </si>
  <si>
    <t>ネット交換</t>
    <rPh sb="3" eb="5">
      <t>コウカン</t>
    </rPh>
    <phoneticPr fontId="39"/>
  </si>
  <si>
    <t>ネット</t>
    <phoneticPr fontId="39"/>
  </si>
  <si>
    <t>コープデリ8月3回③</t>
    <rPh sb="6" eb="7">
      <t>ガツ</t>
    </rPh>
    <rPh sb="8" eb="9">
      <t>カイ</t>
    </rPh>
    <phoneticPr fontId="39"/>
  </si>
  <si>
    <t>JOD⑲</t>
    <phoneticPr fontId="39"/>
  </si>
  <si>
    <t>JOD⑲（西濃）</t>
    <rPh sb="5" eb="7">
      <t>セイノウ</t>
    </rPh>
    <phoneticPr fontId="39"/>
  </si>
  <si>
    <t>8/13ship</t>
    <phoneticPr fontId="39"/>
  </si>
  <si>
    <t>JOD⑳</t>
    <phoneticPr fontId="39"/>
  </si>
  <si>
    <t>JOD㉑</t>
    <phoneticPr fontId="39"/>
  </si>
  <si>
    <t>追加持ち帰り</t>
    <rPh sb="0" eb="2">
      <t>ツイカ</t>
    </rPh>
    <rPh sb="2" eb="3">
      <t>モ</t>
    </rPh>
    <rPh sb="4" eb="5">
      <t>カエ</t>
    </rPh>
    <phoneticPr fontId="3"/>
  </si>
  <si>
    <t>JOD㉒</t>
    <phoneticPr fontId="39"/>
  </si>
  <si>
    <t>Amazon</t>
    <phoneticPr fontId="39"/>
  </si>
  <si>
    <t>Amazon3P</t>
    <phoneticPr fontId="39"/>
  </si>
  <si>
    <t>JOD㉓</t>
    <phoneticPr fontId="39"/>
  </si>
  <si>
    <t>JOD㉔</t>
    <phoneticPr fontId="39"/>
  </si>
  <si>
    <t>JOD㉕</t>
    <phoneticPr fontId="39"/>
  </si>
  <si>
    <t>さくサクラマチ返品</t>
    <rPh sb="7" eb="9">
      <t>ヘンピン</t>
    </rPh>
    <phoneticPr fontId="3"/>
  </si>
  <si>
    <t>Amazon返品</t>
    <rPh sb="6" eb="8">
      <t>ヘンピン</t>
    </rPh>
    <phoneticPr fontId="39"/>
  </si>
  <si>
    <t>K-PORT</t>
    <phoneticPr fontId="39"/>
  </si>
  <si>
    <t>夢販</t>
    <rPh sb="0" eb="2">
      <t>ユメハン</t>
    </rPh>
    <phoneticPr fontId="3"/>
  </si>
  <si>
    <t>新パッケージ化</t>
    <rPh sb="0" eb="1">
      <t>シン</t>
    </rPh>
    <rPh sb="6" eb="7">
      <t>カ</t>
    </rPh>
    <phoneticPr fontId="2"/>
  </si>
  <si>
    <t>旧ペラ紙　残43枚　</t>
    <rPh sb="0" eb="1">
      <t>キュウ</t>
    </rPh>
    <rPh sb="3" eb="4">
      <t>シ</t>
    </rPh>
    <rPh sb="5" eb="6">
      <t>ザン</t>
    </rPh>
    <rPh sb="8" eb="9">
      <t>マイ</t>
    </rPh>
    <phoneticPr fontId="2"/>
  </si>
  <si>
    <t>JOD㉖</t>
    <phoneticPr fontId="39"/>
  </si>
  <si>
    <t>3P移行分KPORT</t>
    <rPh sb="2" eb="5">
      <t>イコウブン</t>
    </rPh>
    <phoneticPr fontId="39"/>
  </si>
  <si>
    <t>3P移行分夢販</t>
    <rPh sb="2" eb="4">
      <t>イコウ</t>
    </rPh>
    <rPh sb="4" eb="5">
      <t>ブン</t>
    </rPh>
    <rPh sb="5" eb="7">
      <t>ユメハン</t>
    </rPh>
    <phoneticPr fontId="3"/>
  </si>
  <si>
    <t>Amazon</t>
    <phoneticPr fontId="39"/>
  </si>
  <si>
    <t>JOD㉗</t>
    <phoneticPr fontId="39"/>
  </si>
  <si>
    <t>JOD㉘</t>
    <phoneticPr fontId="39"/>
  </si>
  <si>
    <t>JOD㉙</t>
    <phoneticPr fontId="39"/>
  </si>
  <si>
    <t>JOD㉚</t>
    <phoneticPr fontId="39"/>
  </si>
  <si>
    <t>Amazon</t>
    <phoneticPr fontId="39"/>
  </si>
  <si>
    <t>JOD㉛</t>
    <phoneticPr fontId="39"/>
  </si>
  <si>
    <t>K-PORT</t>
    <phoneticPr fontId="39"/>
  </si>
  <si>
    <t>Amazon</t>
    <phoneticPr fontId="39"/>
  </si>
  <si>
    <t>JOD㉜</t>
    <phoneticPr fontId="39"/>
  </si>
  <si>
    <t>Amazon</t>
    <phoneticPr fontId="39"/>
  </si>
  <si>
    <t>Amazon</t>
    <phoneticPr fontId="39"/>
  </si>
  <si>
    <t>Amazon</t>
    <phoneticPr fontId="39"/>
  </si>
  <si>
    <t>JOD㉝</t>
    <phoneticPr fontId="39"/>
  </si>
  <si>
    <t>K-PORT</t>
    <phoneticPr fontId="39"/>
  </si>
  <si>
    <t>くらし企画返品</t>
    <rPh sb="3" eb="5">
      <t>キカク</t>
    </rPh>
    <rPh sb="5" eb="7">
      <t>ヘンピン</t>
    </rPh>
    <phoneticPr fontId="3"/>
  </si>
  <si>
    <t>JOD㉞</t>
    <phoneticPr fontId="39"/>
  </si>
  <si>
    <t>Amazon</t>
    <phoneticPr fontId="39"/>
  </si>
  <si>
    <t>Amazon</t>
    <phoneticPr fontId="39"/>
  </si>
  <si>
    <t>Amazon</t>
    <phoneticPr fontId="39"/>
  </si>
  <si>
    <t>サクラマチ高田様サンプル</t>
    <rPh sb="5" eb="8">
      <t>タカダサマ</t>
    </rPh>
    <phoneticPr fontId="39"/>
  </si>
  <si>
    <t>サクラマチsample</t>
    <phoneticPr fontId="39"/>
  </si>
  <si>
    <t>Amazon</t>
    <phoneticPr fontId="39"/>
  </si>
  <si>
    <t>夢販</t>
    <rPh sb="0" eb="2">
      <t>ユメハン</t>
    </rPh>
    <phoneticPr fontId="39"/>
  </si>
  <si>
    <t>Amazon</t>
    <phoneticPr fontId="39"/>
  </si>
  <si>
    <t>サクラマチsample(井上さん）</t>
    <rPh sb="12" eb="14">
      <t>イノウエ</t>
    </rPh>
    <phoneticPr fontId="39"/>
  </si>
  <si>
    <t>サクラマチ(東都)sample</t>
    <rPh sb="6" eb="8">
      <t>トウト</t>
    </rPh>
    <phoneticPr fontId="39"/>
  </si>
  <si>
    <t>コープデリ5月3回</t>
    <rPh sb="6" eb="7">
      <t>ガツ</t>
    </rPh>
    <rPh sb="8" eb="9">
      <t>カイ</t>
    </rPh>
    <phoneticPr fontId="39"/>
  </si>
  <si>
    <t>Amazon</t>
    <phoneticPr fontId="39"/>
  </si>
  <si>
    <t>Amazon</t>
    <phoneticPr fontId="39"/>
  </si>
  <si>
    <t>セシールWeb 3/1UP</t>
    <phoneticPr fontId="39"/>
  </si>
  <si>
    <t>3/1～</t>
    <phoneticPr fontId="39"/>
  </si>
  <si>
    <t>サクラマチ(九州)sample</t>
    <rPh sb="6" eb="8">
      <t>キュウシュウ</t>
    </rPh>
    <phoneticPr fontId="39"/>
  </si>
  <si>
    <t>セシールWeb 3/1UP-1P①</t>
    <phoneticPr fontId="39"/>
  </si>
  <si>
    <t>セシールWeb 3/1UP-2P①</t>
    <phoneticPr fontId="39"/>
  </si>
  <si>
    <t>Amazon</t>
    <phoneticPr fontId="39"/>
  </si>
  <si>
    <t>夢販</t>
    <rPh sb="0" eb="2">
      <t>ユメハン</t>
    </rPh>
    <phoneticPr fontId="39"/>
  </si>
  <si>
    <t>初回4/6、アバウト4/19、本4/20～25</t>
    <rPh sb="0" eb="2">
      <t>ショカイ</t>
    </rPh>
    <rPh sb="15" eb="16">
      <t>ホン</t>
    </rPh>
    <phoneticPr fontId="39"/>
  </si>
  <si>
    <t>Amazon</t>
    <phoneticPr fontId="39"/>
  </si>
  <si>
    <t>コープデリ4月4回</t>
    <rPh sb="6" eb="7">
      <t>ガツ</t>
    </rPh>
    <rPh sb="8" eb="9">
      <t>カイ</t>
    </rPh>
    <phoneticPr fontId="39"/>
  </si>
  <si>
    <t>4/4～27（1～5回）</t>
    <rPh sb="10" eb="11">
      <t>カイ</t>
    </rPh>
    <phoneticPr fontId="39"/>
  </si>
  <si>
    <t>夢販</t>
    <rPh sb="0" eb="2">
      <t>ユメハン</t>
    </rPh>
    <phoneticPr fontId="39"/>
  </si>
  <si>
    <t>東都生協5-3ｗ</t>
    <rPh sb="0" eb="4">
      <t>トウトセイキョウ</t>
    </rPh>
    <phoneticPr fontId="39"/>
  </si>
  <si>
    <t>東都生協5-3ｗ（BKのみ）</t>
    <rPh sb="0" eb="4">
      <t>トウトセイキョウ</t>
    </rPh>
    <phoneticPr fontId="39"/>
  </si>
  <si>
    <t>Amazon</t>
    <phoneticPr fontId="39"/>
  </si>
  <si>
    <t>初4/20、アバウト5/3、本5/4～9</t>
    <rPh sb="0" eb="1">
      <t>ショ</t>
    </rPh>
    <rPh sb="14" eb="15">
      <t>ホン</t>
    </rPh>
    <phoneticPr fontId="39"/>
  </si>
  <si>
    <t>JODアクセス7084</t>
    <phoneticPr fontId="39"/>
  </si>
  <si>
    <t>4/25～</t>
    <phoneticPr fontId="39"/>
  </si>
  <si>
    <t>夢販</t>
    <rPh sb="0" eb="2">
      <t>ユメハン</t>
    </rPh>
    <phoneticPr fontId="39"/>
  </si>
  <si>
    <t>Amazon</t>
    <phoneticPr fontId="39"/>
  </si>
  <si>
    <t>5/4～18（1～5回）</t>
    <rPh sb="10" eb="11">
      <t>カイ</t>
    </rPh>
    <phoneticPr fontId="39"/>
  </si>
  <si>
    <t>初4/27、アバウト5/10、本5/11～16</t>
    <rPh sb="0" eb="1">
      <t>ショ</t>
    </rPh>
    <rPh sb="15" eb="16">
      <t>ホン</t>
    </rPh>
    <phoneticPr fontId="39"/>
  </si>
  <si>
    <t>夢販</t>
    <rPh sb="0" eb="2">
      <t>ユメハン</t>
    </rPh>
    <phoneticPr fontId="39"/>
  </si>
  <si>
    <t>コープデリ4月4回①</t>
    <rPh sb="6" eb="7">
      <t>ガツ</t>
    </rPh>
    <rPh sb="8" eb="9">
      <t>カイ</t>
    </rPh>
    <phoneticPr fontId="39"/>
  </si>
  <si>
    <t>大阪いずみ5-3ｗ2セット差分予測</t>
    <rPh sb="0" eb="2">
      <t>オオサカ</t>
    </rPh>
    <rPh sb="13" eb="15">
      <t>サブン</t>
    </rPh>
    <rPh sb="15" eb="17">
      <t>ヨソク</t>
    </rPh>
    <phoneticPr fontId="39"/>
  </si>
  <si>
    <t>Amazon</t>
    <phoneticPr fontId="39"/>
  </si>
  <si>
    <t>大阪いずみ4-1ｗ2セット</t>
    <rPh sb="0" eb="2">
      <t>オオサカ</t>
    </rPh>
    <phoneticPr fontId="39"/>
  </si>
  <si>
    <t>大阪いずみ4-1ｗ2セット①</t>
    <rPh sb="0" eb="2">
      <t>オオサカ</t>
    </rPh>
    <phoneticPr fontId="39"/>
  </si>
  <si>
    <t>コープデリ5月2回中止</t>
    <rPh sb="6" eb="7">
      <t>ガツ</t>
    </rPh>
    <rPh sb="8" eb="9">
      <t>カイ</t>
    </rPh>
    <rPh sb="9" eb="11">
      <t>チュウシ</t>
    </rPh>
    <phoneticPr fontId="39"/>
  </si>
  <si>
    <t>アマゾン返送分</t>
    <rPh sb="4" eb="6">
      <t>ヘンソウ</t>
    </rPh>
    <rPh sb="6" eb="7">
      <t>ブン</t>
    </rPh>
    <phoneticPr fontId="3"/>
  </si>
  <si>
    <t>3Pセット</t>
    <phoneticPr fontId="39"/>
  </si>
  <si>
    <t>ゆめはん３P分</t>
    <rPh sb="6" eb="7">
      <t>ブン</t>
    </rPh>
    <phoneticPr fontId="39"/>
  </si>
  <si>
    <t>アマゾン返送分残</t>
    <rPh sb="4" eb="6">
      <t>ヘンソウ</t>
    </rPh>
    <rPh sb="6" eb="7">
      <t>ブン</t>
    </rPh>
    <rPh sb="7" eb="8">
      <t>ザン</t>
    </rPh>
    <phoneticPr fontId="3"/>
  </si>
  <si>
    <t>コープデリ5月3回①</t>
    <rPh sb="6" eb="7">
      <t>ガツ</t>
    </rPh>
    <rPh sb="8" eb="9">
      <t>カイ</t>
    </rPh>
    <phoneticPr fontId="39"/>
  </si>
  <si>
    <t>夢販</t>
    <rPh sb="0" eb="2">
      <t>ユメハン</t>
    </rPh>
    <phoneticPr fontId="39"/>
  </si>
  <si>
    <t>クーリエ　４カートン</t>
    <phoneticPr fontId="39"/>
  </si>
  <si>
    <t>ゆめはん移動</t>
    <rPh sb="4" eb="6">
      <t>イドウ</t>
    </rPh>
    <phoneticPr fontId="3"/>
  </si>
  <si>
    <t>Amazon</t>
    <phoneticPr fontId="39"/>
  </si>
  <si>
    <t>Amazon</t>
    <phoneticPr fontId="39"/>
  </si>
  <si>
    <t>コープデリ4月4回②</t>
    <rPh sb="6" eb="7">
      <t>ガツ</t>
    </rPh>
    <rPh sb="8" eb="9">
      <t>カイ</t>
    </rPh>
    <phoneticPr fontId="39"/>
  </si>
  <si>
    <t>夢販</t>
    <rPh sb="0" eb="2">
      <t>ユメハン</t>
    </rPh>
    <phoneticPr fontId="39"/>
  </si>
  <si>
    <t>Amazon</t>
    <phoneticPr fontId="39"/>
  </si>
  <si>
    <t>コープデリ4月4回③</t>
    <rPh sb="6" eb="7">
      <t>ガツ</t>
    </rPh>
    <rPh sb="8" eb="9">
      <t>カイ</t>
    </rPh>
    <phoneticPr fontId="39"/>
  </si>
  <si>
    <t>2022/4/22数</t>
    <rPh sb="9" eb="10">
      <t>スウ</t>
    </rPh>
    <phoneticPr fontId="39"/>
  </si>
  <si>
    <t>JOD</t>
    <phoneticPr fontId="39"/>
  </si>
  <si>
    <t>夢販</t>
    <rPh sb="0" eb="2">
      <t>ユメハン</t>
    </rPh>
    <phoneticPr fontId="39"/>
  </si>
  <si>
    <t>Amazon3ｐ</t>
    <phoneticPr fontId="39"/>
  </si>
  <si>
    <t>単品</t>
    <rPh sb="0" eb="2">
      <t>タンピン</t>
    </rPh>
    <phoneticPr fontId="39"/>
  </si>
  <si>
    <t>夢販</t>
    <rPh sb="0" eb="2">
      <t>ユメハン</t>
    </rPh>
    <phoneticPr fontId="39"/>
  </si>
  <si>
    <t>東都生協7-3ｗ</t>
    <rPh sb="0" eb="2">
      <t>トウト</t>
    </rPh>
    <rPh sb="2" eb="4">
      <t>セイキョウ</t>
    </rPh>
    <phoneticPr fontId="39"/>
  </si>
  <si>
    <t>7/6～20（1～5回）</t>
    <rPh sb="10" eb="11">
      <t>カイ</t>
    </rPh>
    <phoneticPr fontId="39"/>
  </si>
  <si>
    <t>東都生協7-3ｗ</t>
    <rPh sb="0" eb="4">
      <t>トウトセイキョウ</t>
    </rPh>
    <phoneticPr fontId="39"/>
  </si>
  <si>
    <t>7/6～20（1～5回）</t>
    <rPh sb="8" eb="11">
      <t>カラ5カイ</t>
    </rPh>
    <phoneticPr fontId="39"/>
  </si>
  <si>
    <t>東海コープ7-3ｗ</t>
    <rPh sb="0" eb="2">
      <t>トウカイ</t>
    </rPh>
    <phoneticPr fontId="39"/>
  </si>
  <si>
    <t>コープデリ5月3回差分予測</t>
    <rPh sb="6" eb="7">
      <t>ガツ</t>
    </rPh>
    <rPh sb="8" eb="9">
      <t>カイ</t>
    </rPh>
    <rPh sb="9" eb="13">
      <t>サブンヨソク</t>
    </rPh>
    <phoneticPr fontId="39"/>
  </si>
  <si>
    <t>東海コープ7-3ｗ差分予測</t>
    <rPh sb="0" eb="2">
      <t>トウカイ</t>
    </rPh>
    <rPh sb="9" eb="13">
      <t>サブンヨソク</t>
    </rPh>
    <phoneticPr fontId="39"/>
  </si>
  <si>
    <t>東都生協7-3ｗ差分予測</t>
    <rPh sb="0" eb="4">
      <t>トウトセイキョウ</t>
    </rPh>
    <rPh sb="8" eb="12">
      <t>サブンヨソク</t>
    </rPh>
    <phoneticPr fontId="39"/>
  </si>
  <si>
    <t>コープデリ5月3回②</t>
    <rPh sb="6" eb="7">
      <t>ガツ</t>
    </rPh>
    <rPh sb="8" eb="9">
      <t>カイ</t>
    </rPh>
    <phoneticPr fontId="39"/>
  </si>
  <si>
    <t>Amazon</t>
    <phoneticPr fontId="39"/>
  </si>
  <si>
    <t>Amazon3ｐ</t>
    <phoneticPr fontId="39"/>
  </si>
  <si>
    <t>東都生協5-3ｗ①</t>
    <rPh sb="0" eb="4">
      <t>トウトセイキョウ</t>
    </rPh>
    <phoneticPr fontId="39"/>
  </si>
  <si>
    <t>Amazon3ｐ</t>
  </si>
  <si>
    <t>３P移行</t>
    <rPh sb="2" eb="4">
      <t>イコウ</t>
    </rPh>
    <phoneticPr fontId="39"/>
  </si>
  <si>
    <t>コープデリ5月3回③</t>
    <rPh sb="6" eb="7">
      <t>ガツ</t>
    </rPh>
    <rPh sb="8" eb="9">
      <t>カイ</t>
    </rPh>
    <phoneticPr fontId="39"/>
  </si>
  <si>
    <t>コープデリ5月3回④</t>
    <rPh sb="6" eb="7">
      <t>ガツ</t>
    </rPh>
    <rPh sb="8" eb="9">
      <t>カイ</t>
    </rPh>
    <phoneticPr fontId="39"/>
  </si>
  <si>
    <t>JOD</t>
    <phoneticPr fontId="39"/>
  </si>
  <si>
    <t>コープデリ5月3回④直送</t>
    <rPh sb="6" eb="7">
      <t>ガツ</t>
    </rPh>
    <rPh sb="8" eb="9">
      <t>カイ</t>
    </rPh>
    <rPh sb="10" eb="12">
      <t>チョクソウ</t>
    </rPh>
    <phoneticPr fontId="39"/>
  </si>
  <si>
    <t>夢販</t>
    <rPh sb="0" eb="2">
      <t>ユメハン</t>
    </rPh>
    <phoneticPr fontId="39"/>
  </si>
  <si>
    <t>Amazon</t>
    <phoneticPr fontId="39"/>
  </si>
  <si>
    <t>夢販</t>
    <rPh sb="0" eb="2">
      <t>ユメハン</t>
    </rPh>
    <phoneticPr fontId="39"/>
  </si>
  <si>
    <t>デミックスサンプル</t>
    <phoneticPr fontId="39"/>
  </si>
  <si>
    <t>2022/5/9数伝</t>
    <rPh sb="8" eb="9">
      <t>スウ</t>
    </rPh>
    <rPh sb="9" eb="10">
      <t>デン</t>
    </rPh>
    <phoneticPr fontId="39"/>
  </si>
  <si>
    <t>2022/5/20数伝</t>
    <rPh sb="9" eb="10">
      <t>スウ</t>
    </rPh>
    <rPh sb="10" eb="11">
      <t>デン</t>
    </rPh>
    <phoneticPr fontId="39"/>
  </si>
  <si>
    <t>Amazon</t>
    <phoneticPr fontId="39"/>
  </si>
  <si>
    <t>コープデリ８月1回</t>
    <rPh sb="6" eb="7">
      <t>ガツ</t>
    </rPh>
    <rPh sb="8" eb="9">
      <t>カイ</t>
    </rPh>
    <phoneticPr fontId="39"/>
  </si>
  <si>
    <t>初7/13、アバウト7/26、本7/27～8/1</t>
    <rPh sb="0" eb="1">
      <t>ショ</t>
    </rPh>
    <rPh sb="15" eb="16">
      <t>ホン</t>
    </rPh>
    <phoneticPr fontId="2"/>
  </si>
  <si>
    <t>コープデリ8月１回　限定</t>
    <rPh sb="6" eb="7">
      <t>ガツ</t>
    </rPh>
    <rPh sb="8" eb="9">
      <t>カイ</t>
    </rPh>
    <rPh sb="10" eb="12">
      <t>ゲンテイ</t>
    </rPh>
    <phoneticPr fontId="39"/>
  </si>
  <si>
    <t>コープデリ8月１回差分予測</t>
    <rPh sb="6" eb="7">
      <t>ガツ</t>
    </rPh>
    <rPh sb="8" eb="9">
      <t>カイ</t>
    </rPh>
    <rPh sb="9" eb="13">
      <t>サブンヨソク</t>
    </rPh>
    <phoneticPr fontId="39"/>
  </si>
  <si>
    <t>　　　　　※くらし在庫3（6/3確認）</t>
    <rPh sb="9" eb="11">
      <t>ザイコ</t>
    </rPh>
    <rPh sb="16" eb="18">
      <t>カクニン</t>
    </rPh>
    <phoneticPr fontId="39"/>
  </si>
  <si>
    <t>　　　　　　　※くらし在庫255（6/3確認）</t>
    <rPh sb="11" eb="13">
      <t>ザイコ</t>
    </rPh>
    <rPh sb="20" eb="22">
      <t>カクニン</t>
    </rPh>
    <phoneticPr fontId="39"/>
  </si>
  <si>
    <t xml:space="preserve">追加 </t>
    <rPh sb="0" eb="2">
      <t>ツイカ</t>
    </rPh>
    <phoneticPr fontId="3"/>
  </si>
  <si>
    <t>コープデリ８月４回　差分予測</t>
    <rPh sb="6" eb="7">
      <t>ガツ</t>
    </rPh>
    <rPh sb="8" eb="9">
      <t>カイ</t>
    </rPh>
    <rPh sb="10" eb="14">
      <t>サブンヨソク</t>
    </rPh>
    <phoneticPr fontId="39"/>
  </si>
  <si>
    <t>Amazon</t>
    <phoneticPr fontId="39"/>
  </si>
  <si>
    <t>Amazon3P</t>
    <phoneticPr fontId="39"/>
  </si>
  <si>
    <t>Amazon</t>
    <phoneticPr fontId="39"/>
  </si>
  <si>
    <t>Amazon3P</t>
  </si>
  <si>
    <t>Amazon</t>
    <phoneticPr fontId="39"/>
  </si>
  <si>
    <t>セシールWeb 3/1UP-1P②</t>
    <phoneticPr fontId="39"/>
  </si>
  <si>
    <t>夢販</t>
    <rPh sb="0" eb="2">
      <t>ユメハン</t>
    </rPh>
    <phoneticPr fontId="39"/>
  </si>
  <si>
    <t>夢販</t>
    <rPh sb="0" eb="2">
      <t>ユメハン</t>
    </rPh>
    <phoneticPr fontId="39"/>
  </si>
  <si>
    <t>JOD特別版0714</t>
    <rPh sb="3" eb="6">
      <t>トクベツバン</t>
    </rPh>
    <phoneticPr fontId="39"/>
  </si>
  <si>
    <t>7/13～</t>
    <phoneticPr fontId="39"/>
  </si>
  <si>
    <t>サクラマチ返品</t>
    <rPh sb="5" eb="7">
      <t>ヘンピン</t>
    </rPh>
    <phoneticPr fontId="3"/>
  </si>
  <si>
    <t>コープデリ８月４回</t>
    <rPh sb="6" eb="7">
      <t>ガツ</t>
    </rPh>
    <rPh sb="8" eb="9">
      <t>カイ</t>
    </rPh>
    <phoneticPr fontId="39"/>
  </si>
  <si>
    <t>初8/3、アバウト8/16、本8/17～22</t>
    <rPh sb="0" eb="1">
      <t>ショ</t>
    </rPh>
    <rPh sb="14" eb="15">
      <t>ホン</t>
    </rPh>
    <phoneticPr fontId="39"/>
  </si>
  <si>
    <t>Amazon</t>
    <phoneticPr fontId="39"/>
  </si>
  <si>
    <t>Amazon</t>
    <phoneticPr fontId="39"/>
  </si>
  <si>
    <t>Amazon</t>
    <phoneticPr fontId="39"/>
  </si>
  <si>
    <t>Amazon</t>
    <phoneticPr fontId="39"/>
  </si>
  <si>
    <t>Amazon3P</t>
    <phoneticPr fontId="39"/>
  </si>
  <si>
    <t>電話注文</t>
    <rPh sb="0" eb="4">
      <t>デンワチュウモン</t>
    </rPh>
    <phoneticPr fontId="39"/>
  </si>
  <si>
    <t>コープデリ８月1回①</t>
    <rPh sb="6" eb="7">
      <t>ガツ</t>
    </rPh>
    <rPh sb="8" eb="9">
      <t>カイ</t>
    </rPh>
    <phoneticPr fontId="39"/>
  </si>
  <si>
    <t>楽天スーパーロジ①</t>
    <rPh sb="0" eb="2">
      <t>ラクテン</t>
    </rPh>
    <phoneticPr fontId="39"/>
  </si>
  <si>
    <t>楽天スーパーロジ②</t>
    <phoneticPr fontId="39"/>
  </si>
  <si>
    <t>楽天スーパーロジ③</t>
    <phoneticPr fontId="39"/>
  </si>
  <si>
    <t>Amazon</t>
    <phoneticPr fontId="39"/>
  </si>
  <si>
    <t>楽天スーパーロジ④</t>
    <phoneticPr fontId="39"/>
  </si>
  <si>
    <t>7/6数  6/28ship</t>
    <rPh sb="3" eb="4">
      <t>スウ</t>
    </rPh>
    <phoneticPr fontId="39"/>
  </si>
  <si>
    <t>初8/17、アバウト8/30、本8/31～9/5</t>
    <rPh sb="0" eb="1">
      <t>ショ</t>
    </rPh>
    <rPh sb="15" eb="16">
      <t>ホン</t>
    </rPh>
    <phoneticPr fontId="39"/>
  </si>
  <si>
    <t>コープデリ9月1回　差分予測</t>
    <rPh sb="6" eb="7">
      <t>ガツ</t>
    </rPh>
    <rPh sb="8" eb="9">
      <t>カイ</t>
    </rPh>
    <rPh sb="10" eb="14">
      <t>サブンヨソク</t>
    </rPh>
    <phoneticPr fontId="39"/>
  </si>
  <si>
    <t>楽天スーパーロジ⑤</t>
    <phoneticPr fontId="39"/>
  </si>
  <si>
    <t>8/23ship</t>
    <phoneticPr fontId="39"/>
  </si>
  <si>
    <t>東都生協7-3ｗ①</t>
    <rPh sb="0" eb="4">
      <t>トウトセイキョウ</t>
    </rPh>
    <phoneticPr fontId="39"/>
  </si>
  <si>
    <t>東都生協7-3ｗ①</t>
    <rPh sb="0" eb="2">
      <t>トウト</t>
    </rPh>
    <rPh sb="2" eb="4">
      <t>セイキョウ</t>
    </rPh>
    <phoneticPr fontId="39"/>
  </si>
  <si>
    <t>西夢</t>
    <rPh sb="0" eb="2">
      <t>ニシユメ</t>
    </rPh>
    <phoneticPr fontId="39"/>
  </si>
  <si>
    <t>楽天スーパーロジ⑥</t>
    <phoneticPr fontId="39"/>
  </si>
  <si>
    <t>東都生協7-3ｗ②</t>
    <rPh sb="0" eb="4">
      <t>トウトセイキョウ</t>
    </rPh>
    <phoneticPr fontId="39"/>
  </si>
  <si>
    <t>東都生協7-3ｗ②</t>
    <rPh sb="0" eb="2">
      <t>トウト</t>
    </rPh>
    <rPh sb="2" eb="4">
      <t>セイキョウ</t>
    </rPh>
    <phoneticPr fontId="39"/>
  </si>
  <si>
    <t>東海コープ7-3ｗ①</t>
    <rPh sb="0" eb="2">
      <t>トウカイ</t>
    </rPh>
    <phoneticPr fontId="39"/>
  </si>
  <si>
    <t>東海コープ7-3ｗ②</t>
    <rPh sb="0" eb="2">
      <t>トウカイ</t>
    </rPh>
    <phoneticPr fontId="39"/>
  </si>
  <si>
    <t>Amazon</t>
    <phoneticPr fontId="39"/>
  </si>
  <si>
    <t>Amazon3P</t>
    <phoneticPr fontId="39"/>
  </si>
  <si>
    <t>夢販</t>
    <rPh sb="0" eb="2">
      <t>ユメハン</t>
    </rPh>
    <phoneticPr fontId="39"/>
  </si>
  <si>
    <t>東海コープ7-3ｗ③</t>
    <rPh sb="0" eb="2">
      <t>トウカイ</t>
    </rPh>
    <phoneticPr fontId="39"/>
  </si>
  <si>
    <t>東都生協7-3ｗ差分予測</t>
    <rPh sb="0" eb="2">
      <t>トウト</t>
    </rPh>
    <rPh sb="2" eb="4">
      <t>セイキョウ</t>
    </rPh>
    <rPh sb="8" eb="10">
      <t>サブン</t>
    </rPh>
    <rPh sb="10" eb="12">
      <t>ヨソク</t>
    </rPh>
    <phoneticPr fontId="39"/>
  </si>
  <si>
    <t>東海コープ7-3ｗ④</t>
    <rPh sb="0" eb="2">
      <t>トウカイ</t>
    </rPh>
    <phoneticPr fontId="39"/>
  </si>
  <si>
    <t>楽天スーパーロジ⑦</t>
    <phoneticPr fontId="39"/>
  </si>
  <si>
    <t>JOD①</t>
    <phoneticPr fontId="39"/>
  </si>
  <si>
    <t>JOD②</t>
    <phoneticPr fontId="39"/>
  </si>
  <si>
    <t>JOD③</t>
    <phoneticPr fontId="39"/>
  </si>
  <si>
    <t>Amazon</t>
    <phoneticPr fontId="39"/>
  </si>
  <si>
    <t>Amazon3P</t>
    <phoneticPr fontId="39"/>
  </si>
  <si>
    <t>2022/7/21数</t>
    <rPh sb="9" eb="10">
      <t>スウ</t>
    </rPh>
    <phoneticPr fontId="39"/>
  </si>
  <si>
    <t>コープデリ8月１回　限定①</t>
    <rPh sb="6" eb="7">
      <t>ガツ</t>
    </rPh>
    <rPh sb="8" eb="9">
      <t>カイ</t>
    </rPh>
    <rPh sb="10" eb="12">
      <t>ゲンテイ</t>
    </rPh>
    <phoneticPr fontId="39"/>
  </si>
  <si>
    <t>楽天スーパーロジ⑧</t>
    <phoneticPr fontId="39"/>
  </si>
  <si>
    <t>JOD④</t>
    <phoneticPr fontId="39"/>
  </si>
  <si>
    <t>楽天スーパーロジ⑨</t>
    <phoneticPr fontId="39"/>
  </si>
  <si>
    <t>JOD⑤</t>
    <phoneticPr fontId="39"/>
  </si>
  <si>
    <t>コープデリ８月1回②</t>
    <rPh sb="6" eb="7">
      <t>ガツ</t>
    </rPh>
    <rPh sb="8" eb="9">
      <t>カイ</t>
    </rPh>
    <phoneticPr fontId="39"/>
  </si>
  <si>
    <t>コープデリ8月１回　限定②</t>
    <rPh sb="6" eb="7">
      <t>ガツ</t>
    </rPh>
    <rPh sb="8" eb="9">
      <t>カイ</t>
    </rPh>
    <rPh sb="10" eb="12">
      <t>ゲンテイ</t>
    </rPh>
    <phoneticPr fontId="39"/>
  </si>
  <si>
    <t>JOD⑥</t>
    <phoneticPr fontId="39"/>
  </si>
  <si>
    <t>Amazon</t>
    <phoneticPr fontId="39"/>
  </si>
  <si>
    <t>JOD⑦</t>
    <phoneticPr fontId="39"/>
  </si>
  <si>
    <t>楽天スーパーロジ⑩</t>
    <phoneticPr fontId="39"/>
  </si>
  <si>
    <t>楽天スーパーロジ(11)</t>
    <phoneticPr fontId="39"/>
  </si>
  <si>
    <t>ネット</t>
    <phoneticPr fontId="39"/>
  </si>
  <si>
    <t>JOD⑧</t>
    <phoneticPr fontId="39"/>
  </si>
  <si>
    <t>Amazon</t>
    <phoneticPr fontId="39"/>
  </si>
  <si>
    <t>楽天スーパーロジ(12)</t>
    <phoneticPr fontId="39"/>
  </si>
  <si>
    <t>楽天スーパーロジ(13)</t>
    <phoneticPr fontId="39"/>
  </si>
  <si>
    <t>コープデリ８月４回①</t>
    <rPh sb="6" eb="7">
      <t>ガツ</t>
    </rPh>
    <rPh sb="8" eb="9">
      <t>カイ</t>
    </rPh>
    <phoneticPr fontId="39"/>
  </si>
  <si>
    <t>JOD⑨</t>
    <phoneticPr fontId="39"/>
  </si>
  <si>
    <t>JOD⑩</t>
    <phoneticPr fontId="39"/>
  </si>
  <si>
    <t>楽天スーパーロジ(14)</t>
    <phoneticPr fontId="39"/>
  </si>
  <si>
    <t>楽天スーパーロジ(15)</t>
    <phoneticPr fontId="39"/>
  </si>
  <si>
    <t>JOD⑪</t>
    <phoneticPr fontId="39"/>
  </si>
  <si>
    <t>楽天スーパーロジ(16)</t>
    <phoneticPr fontId="39"/>
  </si>
  <si>
    <t>8/15air</t>
    <phoneticPr fontId="39"/>
  </si>
  <si>
    <t>８/１伝票</t>
    <rPh sb="3" eb="5">
      <t>デンピョウ</t>
    </rPh>
    <phoneticPr fontId="39"/>
  </si>
  <si>
    <t>電話注文</t>
    <rPh sb="0" eb="4">
      <t>デンワチュウモン</t>
    </rPh>
    <phoneticPr fontId="39"/>
  </si>
  <si>
    <t>JOD⑫</t>
    <phoneticPr fontId="39"/>
  </si>
  <si>
    <t>楽天スーパーロジ(17)</t>
    <phoneticPr fontId="39"/>
  </si>
  <si>
    <t>JOD⑬</t>
    <phoneticPr fontId="39"/>
  </si>
  <si>
    <t>Amazon</t>
    <phoneticPr fontId="39"/>
  </si>
  <si>
    <t>セシールWeb 3/1UP-1P③</t>
    <phoneticPr fontId="39"/>
  </si>
  <si>
    <t>楽天スーパーロジ(18)</t>
    <phoneticPr fontId="39"/>
  </si>
  <si>
    <t>3色組単品へ移行</t>
    <rPh sb="1" eb="2">
      <t>ショク</t>
    </rPh>
    <rPh sb="2" eb="3">
      <t>グミ</t>
    </rPh>
    <rPh sb="3" eb="5">
      <t>タンピン</t>
    </rPh>
    <rPh sb="6" eb="8">
      <t>イコウ</t>
    </rPh>
    <phoneticPr fontId="3"/>
  </si>
  <si>
    <t>楽天スーパーロジ(19)</t>
    <phoneticPr fontId="39"/>
  </si>
  <si>
    <t>Amazon</t>
    <phoneticPr fontId="39"/>
  </si>
  <si>
    <t>Amazon3P</t>
    <phoneticPr fontId="39"/>
  </si>
  <si>
    <t>加納さん</t>
    <rPh sb="0" eb="2">
      <t>カノウ</t>
    </rPh>
    <phoneticPr fontId="39"/>
  </si>
  <si>
    <t>JOD⑭</t>
    <phoneticPr fontId="39"/>
  </si>
  <si>
    <t>楽天スーパーロジ(20)</t>
    <phoneticPr fontId="39"/>
  </si>
  <si>
    <t>棚卸</t>
    <rPh sb="0" eb="2">
      <t>タナオロシ</t>
    </rPh>
    <phoneticPr fontId="3"/>
  </si>
  <si>
    <t>夢販</t>
    <rPh sb="0" eb="2">
      <t>ユメハン</t>
    </rPh>
    <phoneticPr fontId="39"/>
  </si>
  <si>
    <t>Amazon</t>
    <phoneticPr fontId="39"/>
  </si>
  <si>
    <t>コープデリ9月1回①</t>
    <rPh sb="6" eb="7">
      <t>ガツ</t>
    </rPh>
    <rPh sb="8" eb="9">
      <t>カイ</t>
    </rPh>
    <phoneticPr fontId="39"/>
  </si>
  <si>
    <t>コープデリ9月1回差分予測</t>
    <rPh sb="6" eb="7">
      <t>ガツ</t>
    </rPh>
    <rPh sb="8" eb="9">
      <t>カイ</t>
    </rPh>
    <rPh sb="9" eb="13">
      <t>サブンヨソク</t>
    </rPh>
    <phoneticPr fontId="39"/>
  </si>
  <si>
    <t>コープデリ8月４回差分予測</t>
    <rPh sb="6" eb="7">
      <t>ガツ</t>
    </rPh>
    <rPh sb="8" eb="9">
      <t>カイ</t>
    </rPh>
    <rPh sb="9" eb="13">
      <t>サブンヨソク</t>
    </rPh>
    <phoneticPr fontId="39"/>
  </si>
  <si>
    <t>楽天スーパーロジ(21)</t>
    <phoneticPr fontId="39"/>
  </si>
  <si>
    <t>コープデリ9月1回②</t>
    <rPh sb="6" eb="7">
      <t>ガツ</t>
    </rPh>
    <rPh sb="8" eb="9">
      <t>カイ</t>
    </rPh>
    <phoneticPr fontId="39"/>
  </si>
  <si>
    <t>2022/8/20数伝</t>
    <rPh sb="9" eb="10">
      <t>スウ</t>
    </rPh>
    <rPh sb="10" eb="11">
      <t>デン</t>
    </rPh>
    <phoneticPr fontId="39"/>
  </si>
  <si>
    <t>2022/8/30数伝</t>
    <rPh sb="9" eb="10">
      <t>スウ</t>
    </rPh>
    <rPh sb="10" eb="11">
      <t>デン</t>
    </rPh>
    <phoneticPr fontId="39"/>
  </si>
  <si>
    <t>夢販</t>
    <rPh sb="0" eb="2">
      <t>ユメハン</t>
    </rPh>
    <phoneticPr fontId="39"/>
  </si>
  <si>
    <t>楽天スーパーロジ返却</t>
    <rPh sb="8" eb="10">
      <t>ヘンキャク</t>
    </rPh>
    <phoneticPr fontId="39"/>
  </si>
  <si>
    <t>JOD⑮</t>
    <phoneticPr fontId="39"/>
  </si>
  <si>
    <t>JOD⑯</t>
    <phoneticPr fontId="39"/>
  </si>
  <si>
    <t>JOD⑰</t>
    <phoneticPr fontId="39"/>
  </si>
  <si>
    <t>JOD⑱</t>
    <phoneticPr fontId="39"/>
  </si>
  <si>
    <t>Amazon</t>
    <phoneticPr fontId="39"/>
  </si>
  <si>
    <t>Amazon</t>
    <phoneticPr fontId="39"/>
  </si>
  <si>
    <t>Amazon</t>
    <phoneticPr fontId="39"/>
  </si>
  <si>
    <t>Amazon3P</t>
    <phoneticPr fontId="39"/>
  </si>
  <si>
    <t>KPORT</t>
    <phoneticPr fontId="39"/>
  </si>
  <si>
    <t>夢販移動</t>
    <rPh sb="0" eb="2">
      <t>ユメハン</t>
    </rPh>
    <rPh sb="2" eb="4">
      <t>イドウ</t>
    </rPh>
    <phoneticPr fontId="3"/>
  </si>
  <si>
    <t>Amazon</t>
    <phoneticPr fontId="39"/>
  </si>
  <si>
    <t>Amazon3色</t>
    <rPh sb="7" eb="8">
      <t>イロ</t>
    </rPh>
    <phoneticPr fontId="39"/>
  </si>
  <si>
    <t>Amazon</t>
    <phoneticPr fontId="39"/>
  </si>
  <si>
    <t>Amazon</t>
    <phoneticPr fontId="39"/>
  </si>
  <si>
    <t>サクラマチ（小山さん）sample</t>
    <rPh sb="6" eb="8">
      <t>コヤマ</t>
    </rPh>
    <phoneticPr fontId="39"/>
  </si>
  <si>
    <t>シンエイsample</t>
    <phoneticPr fontId="39"/>
  </si>
  <si>
    <t>Amazon3P</t>
    <phoneticPr fontId="39"/>
  </si>
  <si>
    <t>サクラマチ（井上さん）sample</t>
    <rPh sb="6" eb="8">
      <t>イノウエ</t>
    </rPh>
    <phoneticPr fontId="39"/>
  </si>
  <si>
    <t>Amazon</t>
    <phoneticPr fontId="39"/>
  </si>
  <si>
    <t>Amazon3P</t>
    <phoneticPr fontId="39"/>
  </si>
  <si>
    <t>Amazon</t>
    <phoneticPr fontId="39"/>
  </si>
  <si>
    <t>Amazon</t>
    <phoneticPr fontId="39"/>
  </si>
  <si>
    <t>Amazon3P</t>
    <phoneticPr fontId="39"/>
  </si>
  <si>
    <t>シンエイsample3色組</t>
    <rPh sb="11" eb="13">
      <t>ショククミ</t>
    </rPh>
    <phoneticPr fontId="39"/>
  </si>
  <si>
    <t>初回4/5、アバウト4/18、本4/18～24</t>
    <rPh sb="0" eb="2">
      <t>ショカイ</t>
    </rPh>
    <rPh sb="15" eb="16">
      <t>ホン</t>
    </rPh>
    <phoneticPr fontId="39"/>
  </si>
  <si>
    <t>コープデリ4月4回差分予測</t>
    <rPh sb="6" eb="7">
      <t>ガツ</t>
    </rPh>
    <rPh sb="8" eb="9">
      <t>カイ</t>
    </rPh>
    <rPh sb="9" eb="13">
      <t>サブンヨソク</t>
    </rPh>
    <phoneticPr fontId="39"/>
  </si>
  <si>
    <t>２０２２年４月４回実績</t>
    <rPh sb="4" eb="5">
      <t>ネン</t>
    </rPh>
    <rPh sb="6" eb="7">
      <t>ガツ</t>
    </rPh>
    <rPh sb="8" eb="9">
      <t>カイ</t>
    </rPh>
    <rPh sb="9" eb="11">
      <t>ジッセキ</t>
    </rPh>
    <phoneticPr fontId="39"/>
  </si>
  <si>
    <t>２０２２年５月３回実績</t>
    <rPh sb="4" eb="5">
      <t>ネン</t>
    </rPh>
    <rPh sb="6" eb="7">
      <t>ガツ</t>
    </rPh>
    <rPh sb="8" eb="9">
      <t>カイ</t>
    </rPh>
    <rPh sb="9" eb="11">
      <t>ジッセキ</t>
    </rPh>
    <phoneticPr fontId="39"/>
  </si>
  <si>
    <t>２０２２年８月1回実績</t>
    <rPh sb="4" eb="5">
      <t>ネン</t>
    </rPh>
    <rPh sb="6" eb="7">
      <t>ガツ</t>
    </rPh>
    <rPh sb="8" eb="9">
      <t>カイ</t>
    </rPh>
    <rPh sb="9" eb="11">
      <t>ジッセキ</t>
    </rPh>
    <phoneticPr fontId="39"/>
  </si>
  <si>
    <t>２０２２年８月４回実績</t>
    <rPh sb="4" eb="5">
      <t>ネン</t>
    </rPh>
    <rPh sb="6" eb="7">
      <t>ガツ</t>
    </rPh>
    <rPh sb="8" eb="9">
      <t>カイ</t>
    </rPh>
    <rPh sb="9" eb="11">
      <t>ジッセキ</t>
    </rPh>
    <phoneticPr fontId="39"/>
  </si>
  <si>
    <t>２０２２年９月１回実績</t>
    <rPh sb="4" eb="5">
      <t>ネン</t>
    </rPh>
    <rPh sb="6" eb="7">
      <t>ガツ</t>
    </rPh>
    <rPh sb="8" eb="9">
      <t>カイ</t>
    </rPh>
    <rPh sb="9" eb="11">
      <t>ジッセキ</t>
    </rPh>
    <phoneticPr fontId="39"/>
  </si>
  <si>
    <t>返品　285</t>
    <rPh sb="0" eb="2">
      <t>ヘンピン</t>
    </rPh>
    <phoneticPr fontId="39"/>
  </si>
  <si>
    <t>Amazon</t>
    <phoneticPr fontId="39"/>
  </si>
  <si>
    <t>コープしが4月4回</t>
    <rPh sb="6" eb="7">
      <t>ガツ</t>
    </rPh>
    <rPh sb="8" eb="9">
      <t>カイ</t>
    </rPh>
    <phoneticPr fontId="39"/>
  </si>
  <si>
    <t>4/24～</t>
    <phoneticPr fontId="39"/>
  </si>
  <si>
    <t>夢販</t>
    <rPh sb="0" eb="2">
      <t>ユメハン</t>
    </rPh>
    <phoneticPr fontId="39"/>
  </si>
  <si>
    <t>コープ北陸5-3ｗ</t>
    <rPh sb="3" eb="5">
      <t>ホクリク</t>
    </rPh>
    <phoneticPr fontId="39"/>
  </si>
  <si>
    <t>5/9～</t>
    <phoneticPr fontId="39"/>
  </si>
  <si>
    <t>Amazon</t>
    <phoneticPr fontId="39"/>
  </si>
  <si>
    <t>Amazon3P</t>
    <phoneticPr fontId="39"/>
  </si>
  <si>
    <t>JODアクセス7092</t>
    <phoneticPr fontId="39"/>
  </si>
  <si>
    <t>サクラマチ（佐藤さん）sample</t>
    <rPh sb="6" eb="8">
      <t>サトウ</t>
    </rPh>
    <phoneticPr fontId="39"/>
  </si>
  <si>
    <t>京都生協5月3回</t>
    <rPh sb="0" eb="4">
      <t>キョウトセイキョウ</t>
    </rPh>
    <rPh sb="5" eb="6">
      <t>ガツ</t>
    </rPh>
    <rPh sb="7" eb="8">
      <t>カイ</t>
    </rPh>
    <phoneticPr fontId="39"/>
  </si>
  <si>
    <t>コープデリ6月1回OCR-w</t>
    <rPh sb="6" eb="7">
      <t>ガツ</t>
    </rPh>
    <rPh sb="8" eb="9">
      <t>カイ</t>
    </rPh>
    <phoneticPr fontId="39"/>
  </si>
  <si>
    <t>合計</t>
    <rPh sb="0" eb="2">
      <t>ゴウケイ</t>
    </rPh>
    <phoneticPr fontId="39"/>
  </si>
  <si>
    <t>中四国5-1ｗ</t>
    <rPh sb="0" eb="1">
      <t>ナカ</t>
    </rPh>
    <rPh sb="1" eb="3">
      <t>シコク</t>
    </rPh>
    <phoneticPr fontId="39"/>
  </si>
  <si>
    <t>大阪パルコープ5-3ｗ</t>
    <rPh sb="0" eb="2">
      <t>オオサカ</t>
    </rPh>
    <phoneticPr fontId="39"/>
  </si>
  <si>
    <t>4/26～（1～2回）</t>
    <rPh sb="9" eb="10">
      <t>カイ</t>
    </rPh>
    <phoneticPr fontId="39"/>
  </si>
  <si>
    <t>5/10～（1～5回）</t>
    <rPh sb="9" eb="10">
      <t>カイ</t>
    </rPh>
    <phoneticPr fontId="39"/>
  </si>
  <si>
    <t>東海コープ5-4ｗ</t>
    <rPh sb="0" eb="2">
      <t>トウカイ</t>
    </rPh>
    <phoneticPr fontId="39"/>
  </si>
  <si>
    <t>中四国5-1ｗ</t>
    <rPh sb="0" eb="1">
      <t>チュウ</t>
    </rPh>
    <rPh sb="1" eb="3">
      <t>シコク</t>
    </rPh>
    <phoneticPr fontId="39"/>
  </si>
  <si>
    <t>Amazon</t>
    <phoneticPr fontId="39"/>
  </si>
  <si>
    <t>実績</t>
    <rPh sb="0" eb="2">
      <t>ジッセキ</t>
    </rPh>
    <phoneticPr fontId="39"/>
  </si>
  <si>
    <t>導入数</t>
    <rPh sb="0" eb="3">
      <t>ドウニュウスウ</t>
    </rPh>
    <phoneticPr fontId="39"/>
  </si>
  <si>
    <t>コープデリ6月1回OCR-w差分予測</t>
    <rPh sb="6" eb="7">
      <t>ガツ</t>
    </rPh>
    <rPh sb="8" eb="9">
      <t>カイ</t>
    </rPh>
    <rPh sb="14" eb="18">
      <t>サブンヨソク</t>
    </rPh>
    <phoneticPr fontId="39"/>
  </si>
  <si>
    <t>コープデリ6月1回OCR-差分予測</t>
    <rPh sb="6" eb="7">
      <t>ガツ</t>
    </rPh>
    <rPh sb="8" eb="9">
      <t>カイ</t>
    </rPh>
    <rPh sb="13" eb="17">
      <t>サブンヨソク</t>
    </rPh>
    <phoneticPr fontId="39"/>
  </si>
  <si>
    <t>コープデリ7月2回</t>
    <rPh sb="6" eb="7">
      <t>ガツ</t>
    </rPh>
    <rPh sb="8" eb="9">
      <t>カイ</t>
    </rPh>
    <phoneticPr fontId="39"/>
  </si>
  <si>
    <t>コープデリ8月1回</t>
    <rPh sb="6" eb="7">
      <t>ガツ</t>
    </rPh>
    <rPh sb="8" eb="9">
      <t>カイ</t>
    </rPh>
    <phoneticPr fontId="39"/>
  </si>
  <si>
    <t>コープデリ8月4回予備企画</t>
    <rPh sb="6" eb="7">
      <t>ガツ</t>
    </rPh>
    <rPh sb="8" eb="9">
      <t>カイ</t>
    </rPh>
    <rPh sb="9" eb="11">
      <t>ヨビ</t>
    </rPh>
    <rPh sb="11" eb="13">
      <t>キカク</t>
    </rPh>
    <phoneticPr fontId="39"/>
  </si>
  <si>
    <t>コープデリ7月2回差分予測</t>
    <rPh sb="6" eb="7">
      <t>ガツ</t>
    </rPh>
    <rPh sb="8" eb="9">
      <t>カイ</t>
    </rPh>
    <rPh sb="9" eb="13">
      <t>サブンヨソク</t>
    </rPh>
    <phoneticPr fontId="39"/>
  </si>
  <si>
    <t>コープデリ8月1回差分予測</t>
    <rPh sb="6" eb="7">
      <t>ガツ</t>
    </rPh>
    <rPh sb="8" eb="9">
      <t>カイ</t>
    </rPh>
    <rPh sb="9" eb="13">
      <t>サブンヨソク</t>
    </rPh>
    <phoneticPr fontId="39"/>
  </si>
  <si>
    <t>コープデリ8月4回差分予測</t>
    <rPh sb="6" eb="7">
      <t>ガツ</t>
    </rPh>
    <rPh sb="8" eb="9">
      <t>カイ</t>
    </rPh>
    <rPh sb="9" eb="13">
      <t>サブンヨソク</t>
    </rPh>
    <phoneticPr fontId="39"/>
  </si>
  <si>
    <t>ゆめはん４月～６月</t>
    <rPh sb="5" eb="6">
      <t>ガツ</t>
    </rPh>
    <rPh sb="8" eb="9">
      <t>ガツ</t>
    </rPh>
    <phoneticPr fontId="39"/>
  </si>
  <si>
    <t>Amazon</t>
    <phoneticPr fontId="39"/>
  </si>
  <si>
    <t>2022年実績 4697、875、740</t>
    <rPh sb="4" eb="5">
      <t>ネン</t>
    </rPh>
    <rPh sb="5" eb="7">
      <t>ジッセキ</t>
    </rPh>
    <phoneticPr fontId="39"/>
  </si>
  <si>
    <t>2022年実績 5638、1325、868</t>
    <rPh sb="4" eb="5">
      <t>ネン</t>
    </rPh>
    <rPh sb="5" eb="7">
      <t>ジッセキ</t>
    </rPh>
    <phoneticPr fontId="39"/>
  </si>
  <si>
    <t>.</t>
    <phoneticPr fontId="39"/>
  </si>
  <si>
    <t>差分予測</t>
    <rPh sb="0" eb="4">
      <t>サブンヨソク</t>
    </rPh>
    <phoneticPr fontId="39"/>
  </si>
  <si>
    <t>JODメルシー0518</t>
    <phoneticPr fontId="39"/>
  </si>
  <si>
    <t>5/18～</t>
    <phoneticPr fontId="39"/>
  </si>
  <si>
    <t>Amazon3p</t>
    <phoneticPr fontId="39"/>
  </si>
  <si>
    <t>初回5/17　アバウト5/30　5/30～6/5</t>
    <rPh sb="0" eb="2">
      <t>ショカイ</t>
    </rPh>
    <phoneticPr fontId="39"/>
  </si>
  <si>
    <t>Amazon</t>
    <phoneticPr fontId="39"/>
  </si>
  <si>
    <t>Amazon</t>
    <phoneticPr fontId="39"/>
  </si>
  <si>
    <t>Amazon</t>
    <phoneticPr fontId="39"/>
  </si>
  <si>
    <t>東都生協6-2ｗ</t>
    <rPh sb="0" eb="2">
      <t>トウト</t>
    </rPh>
    <rPh sb="2" eb="4">
      <t>セイキョウ</t>
    </rPh>
    <phoneticPr fontId="39"/>
  </si>
  <si>
    <t>5/31～6/13（1～5回）</t>
    <rPh sb="13" eb="14">
      <t>カイ</t>
    </rPh>
    <phoneticPr fontId="39"/>
  </si>
  <si>
    <t>7/5～19（1～5回）</t>
    <rPh sb="10" eb="11">
      <t>カイ</t>
    </rPh>
    <phoneticPr fontId="39"/>
  </si>
  <si>
    <t>東都生協6-2ｗ差分予測</t>
    <rPh sb="0" eb="2">
      <t>トウト</t>
    </rPh>
    <rPh sb="2" eb="4">
      <t>セイキョウ</t>
    </rPh>
    <rPh sb="8" eb="12">
      <t>サブンヨソク</t>
    </rPh>
    <phoneticPr fontId="39"/>
  </si>
  <si>
    <t>コープしが4月4回①</t>
    <rPh sb="6" eb="7">
      <t>ガツ</t>
    </rPh>
    <rPh sb="8" eb="9">
      <t>カイ</t>
    </rPh>
    <phoneticPr fontId="39"/>
  </si>
  <si>
    <t>中四国5-1ｗ①</t>
    <rPh sb="0" eb="1">
      <t>チュウ</t>
    </rPh>
    <rPh sb="1" eb="3">
      <t>シコク</t>
    </rPh>
    <phoneticPr fontId="39"/>
  </si>
  <si>
    <t>中四国5-1ｗ①</t>
    <rPh sb="0" eb="1">
      <t>ナカ</t>
    </rPh>
    <rPh sb="1" eb="3">
      <t>シコク</t>
    </rPh>
    <phoneticPr fontId="39"/>
  </si>
  <si>
    <t>コープ北陸5-3ｗ③</t>
    <rPh sb="3" eb="5">
      <t>ホクリク</t>
    </rPh>
    <phoneticPr fontId="39"/>
  </si>
  <si>
    <t>JOD</t>
    <phoneticPr fontId="39"/>
  </si>
  <si>
    <t>Amazon</t>
    <phoneticPr fontId="39"/>
  </si>
  <si>
    <t>Amazon3ｐ</t>
    <phoneticPr fontId="39"/>
  </si>
  <si>
    <t>中四国5-1ｗ②</t>
    <rPh sb="0" eb="1">
      <t>チュウ</t>
    </rPh>
    <rPh sb="1" eb="3">
      <t>シコク</t>
    </rPh>
    <phoneticPr fontId="39"/>
  </si>
  <si>
    <t>JOD</t>
    <phoneticPr fontId="39"/>
  </si>
  <si>
    <t>東海コープ5-4ｗ①</t>
    <rPh sb="0" eb="2">
      <t>トウカイ</t>
    </rPh>
    <phoneticPr fontId="39"/>
  </si>
  <si>
    <t>コープデリ6月1回OCR-w①</t>
    <rPh sb="6" eb="7">
      <t>ガツ</t>
    </rPh>
    <rPh sb="8" eb="9">
      <t>カイ</t>
    </rPh>
    <phoneticPr fontId="39"/>
  </si>
  <si>
    <t>初6/21、アバウト7/4、本7/5～10</t>
    <rPh sb="0" eb="1">
      <t>ショ</t>
    </rPh>
    <rPh sb="14" eb="15">
      <t>ホン</t>
    </rPh>
    <phoneticPr fontId="39"/>
  </si>
  <si>
    <t>東都生協6-2ｗ①</t>
    <rPh sb="0" eb="2">
      <t>トウト</t>
    </rPh>
    <rPh sb="2" eb="4">
      <t>セイキョウ</t>
    </rPh>
    <phoneticPr fontId="39"/>
  </si>
  <si>
    <t>大阪パルコープ5-3ｗ①</t>
    <rPh sb="0" eb="2">
      <t>オオサカ</t>
    </rPh>
    <phoneticPr fontId="39"/>
  </si>
  <si>
    <t>Amazon</t>
    <phoneticPr fontId="39"/>
  </si>
  <si>
    <t>東海コープ5-4ｗ②</t>
    <rPh sb="0" eb="2">
      <t>トウカイ</t>
    </rPh>
    <phoneticPr fontId="39"/>
  </si>
  <si>
    <t>東海コープ5-4ｗ③</t>
    <rPh sb="0" eb="2">
      <t>トウカイ</t>
    </rPh>
    <phoneticPr fontId="39"/>
  </si>
  <si>
    <t>Amazon</t>
    <phoneticPr fontId="39"/>
  </si>
  <si>
    <t>東海コープ5-4ｗ④</t>
    <rPh sb="0" eb="2">
      <t>トウカイ</t>
    </rPh>
    <phoneticPr fontId="39"/>
  </si>
  <si>
    <t>夢販</t>
    <rPh sb="0" eb="2">
      <t>ユメハン</t>
    </rPh>
    <phoneticPr fontId="39"/>
  </si>
  <si>
    <t>Amazon</t>
    <phoneticPr fontId="39"/>
  </si>
  <si>
    <t>JOD</t>
    <phoneticPr fontId="39"/>
  </si>
  <si>
    <t>コープデリ6月1回OCR-w②</t>
    <rPh sb="6" eb="7">
      <t>ガツ</t>
    </rPh>
    <rPh sb="8" eb="9">
      <t>カイ</t>
    </rPh>
    <phoneticPr fontId="39"/>
  </si>
  <si>
    <t>Amazon</t>
    <phoneticPr fontId="39"/>
  </si>
  <si>
    <t>京都生協5月3回①</t>
    <rPh sb="0" eb="4">
      <t>キョウトセイキョウ</t>
    </rPh>
    <rPh sb="5" eb="6">
      <t>ガツ</t>
    </rPh>
    <rPh sb="7" eb="8">
      <t>カイ</t>
    </rPh>
    <phoneticPr fontId="39"/>
  </si>
  <si>
    <t>コープデリ6月1回OCR-w③</t>
    <rPh sb="6" eb="7">
      <t>ガツ</t>
    </rPh>
    <rPh sb="8" eb="9">
      <t>カイ</t>
    </rPh>
    <phoneticPr fontId="39"/>
  </si>
  <si>
    <t>初7/12、アバウト7/25、本7/26～31</t>
    <rPh sb="0" eb="1">
      <t>ショ</t>
    </rPh>
    <rPh sb="15" eb="16">
      <t>ホン</t>
    </rPh>
    <phoneticPr fontId="39"/>
  </si>
  <si>
    <t>東都生協6-2ｗ②</t>
    <rPh sb="0" eb="2">
      <t>トウト</t>
    </rPh>
    <rPh sb="2" eb="4">
      <t>セイキョウ</t>
    </rPh>
    <phoneticPr fontId="39"/>
  </si>
  <si>
    <t>東都生協6-2ｗ③</t>
    <rPh sb="0" eb="2">
      <t>トウト</t>
    </rPh>
    <rPh sb="2" eb="4">
      <t>セイキョウ</t>
    </rPh>
    <phoneticPr fontId="39"/>
  </si>
  <si>
    <t>東都生協6-2ｗ④</t>
    <rPh sb="0" eb="2">
      <t>トウト</t>
    </rPh>
    <rPh sb="2" eb="4">
      <t>セイキョウ</t>
    </rPh>
    <phoneticPr fontId="39"/>
  </si>
  <si>
    <t>楽天倉庫</t>
    <rPh sb="0" eb="2">
      <t>ラクテン</t>
    </rPh>
    <rPh sb="2" eb="4">
      <t>ソウコ</t>
    </rPh>
    <phoneticPr fontId="39"/>
  </si>
  <si>
    <t>コープデリ7月2回①</t>
    <rPh sb="6" eb="7">
      <t>ガツ</t>
    </rPh>
    <rPh sb="8" eb="9">
      <t>カイ</t>
    </rPh>
    <phoneticPr fontId="39"/>
  </si>
  <si>
    <t>Amazon3P</t>
    <phoneticPr fontId="39"/>
  </si>
  <si>
    <t>Amazon</t>
    <phoneticPr fontId="39"/>
  </si>
  <si>
    <t>JOD</t>
    <phoneticPr fontId="39"/>
  </si>
  <si>
    <t>Amazon</t>
    <phoneticPr fontId="39"/>
  </si>
  <si>
    <t>JOD</t>
    <phoneticPr fontId="39"/>
  </si>
  <si>
    <t>初8/2、アバウト8/15、本8/16～21</t>
    <rPh sb="0" eb="1">
      <t>ショ</t>
    </rPh>
    <rPh sb="14" eb="15">
      <t>ホン</t>
    </rPh>
    <phoneticPr fontId="39"/>
  </si>
  <si>
    <t>Amazon</t>
    <phoneticPr fontId="39"/>
  </si>
  <si>
    <t>Amazon3P</t>
    <phoneticPr fontId="39"/>
  </si>
  <si>
    <t>夢販</t>
    <rPh sb="0" eb="2">
      <t>ユメハン</t>
    </rPh>
    <phoneticPr fontId="39"/>
  </si>
  <si>
    <t>コープデリ7月2回②</t>
    <rPh sb="6" eb="7">
      <t>ガツ</t>
    </rPh>
    <rPh sb="8" eb="9">
      <t>カイ</t>
    </rPh>
    <phoneticPr fontId="39"/>
  </si>
  <si>
    <t>コープデリ8月5回差分予測</t>
    <rPh sb="6" eb="7">
      <t>ガツ</t>
    </rPh>
    <rPh sb="8" eb="9">
      <t>カイ</t>
    </rPh>
    <rPh sb="9" eb="13">
      <t>サブンヨソク</t>
    </rPh>
    <phoneticPr fontId="39"/>
  </si>
  <si>
    <t>コープデリ8月5回予備企画</t>
    <rPh sb="6" eb="7">
      <t>ガツ</t>
    </rPh>
    <rPh sb="8" eb="9">
      <t>カイ</t>
    </rPh>
    <rPh sb="9" eb="11">
      <t>ヨビ</t>
    </rPh>
    <rPh sb="11" eb="13">
      <t>キカク</t>
    </rPh>
    <phoneticPr fontId="39"/>
  </si>
  <si>
    <t>初8/9、アバウト8/22、本8/23～28</t>
    <rPh sb="0" eb="1">
      <t>ショ</t>
    </rPh>
    <rPh sb="14" eb="15">
      <t>ホン</t>
    </rPh>
    <phoneticPr fontId="39"/>
  </si>
  <si>
    <t>コープデリ7月2回③</t>
    <rPh sb="6" eb="7">
      <t>ガツ</t>
    </rPh>
    <rPh sb="8" eb="9">
      <t>カイ</t>
    </rPh>
    <phoneticPr fontId="39"/>
  </si>
  <si>
    <t>楽天倉庫</t>
    <phoneticPr fontId="39"/>
  </si>
  <si>
    <t>2023/6/29済　7/1伝</t>
    <rPh sb="9" eb="10">
      <t>スミ</t>
    </rPh>
    <rPh sb="14" eb="15">
      <t>デン</t>
    </rPh>
    <phoneticPr fontId="39"/>
  </si>
  <si>
    <t>2023/6/29済　７/１伝</t>
    <rPh sb="9" eb="10">
      <t>スミ</t>
    </rPh>
    <rPh sb="14" eb="15">
      <t>デン</t>
    </rPh>
    <phoneticPr fontId="39"/>
  </si>
  <si>
    <t>コープデリ7月2回④</t>
    <rPh sb="6" eb="7">
      <t>ガツ</t>
    </rPh>
    <rPh sb="8" eb="9">
      <t>カイ</t>
    </rPh>
    <phoneticPr fontId="39"/>
  </si>
  <si>
    <t>Amazon</t>
    <phoneticPr fontId="39"/>
  </si>
  <si>
    <t>Amazon3p</t>
    <phoneticPr fontId="39"/>
  </si>
  <si>
    <t>楽天倉庫</t>
    <rPh sb="0" eb="2">
      <t>ラクテン</t>
    </rPh>
    <rPh sb="2" eb="4">
      <t>ソウコ</t>
    </rPh>
    <phoneticPr fontId="39"/>
  </si>
  <si>
    <t>夢販</t>
    <rPh sb="0" eb="2">
      <t>ユメハン</t>
    </rPh>
    <phoneticPr fontId="39"/>
  </si>
  <si>
    <t>コープデリ8月1回①</t>
    <rPh sb="6" eb="7">
      <t>ガツ</t>
    </rPh>
    <rPh sb="8" eb="9">
      <t>カイ</t>
    </rPh>
    <phoneticPr fontId="39"/>
  </si>
  <si>
    <t>楽天倉庫</t>
    <rPh sb="0" eb="2">
      <t>ラクテン</t>
    </rPh>
    <rPh sb="2" eb="4">
      <t>ソウコ</t>
    </rPh>
    <phoneticPr fontId="39"/>
  </si>
  <si>
    <t>Amazon</t>
    <phoneticPr fontId="39"/>
  </si>
  <si>
    <t>Amazon3P</t>
    <phoneticPr fontId="39"/>
  </si>
  <si>
    <t>Amazon</t>
    <phoneticPr fontId="39"/>
  </si>
  <si>
    <t>Amazon</t>
    <phoneticPr fontId="39"/>
  </si>
  <si>
    <t>京都生協9-1ｗ</t>
    <rPh sb="0" eb="4">
      <t>キョウトセイキョウ</t>
    </rPh>
    <phoneticPr fontId="39"/>
  </si>
  <si>
    <t>Amazon</t>
    <phoneticPr fontId="39"/>
  </si>
  <si>
    <t>コープデリ8月1回②</t>
    <rPh sb="6" eb="7">
      <t>ガツ</t>
    </rPh>
    <rPh sb="8" eb="9">
      <t>カイ</t>
    </rPh>
    <phoneticPr fontId="39"/>
  </si>
  <si>
    <t>コープデリ8月1回③</t>
    <rPh sb="6" eb="7">
      <t>ガツ</t>
    </rPh>
    <rPh sb="8" eb="9">
      <t>カイ</t>
    </rPh>
    <phoneticPr fontId="39"/>
  </si>
  <si>
    <t>夢販</t>
    <rPh sb="0" eb="2">
      <t>ユメハン</t>
    </rPh>
    <phoneticPr fontId="39"/>
  </si>
  <si>
    <t>Amazon3P</t>
    <phoneticPr fontId="39"/>
  </si>
  <si>
    <t>Amazon</t>
    <phoneticPr fontId="39"/>
  </si>
  <si>
    <t>コープデリ8月4回予備企画①</t>
    <rPh sb="6" eb="7">
      <t>ガツ</t>
    </rPh>
    <rPh sb="8" eb="9">
      <t>カイ</t>
    </rPh>
    <rPh sb="9" eb="11">
      <t>ヨビ</t>
    </rPh>
    <rPh sb="11" eb="13">
      <t>キカク</t>
    </rPh>
    <phoneticPr fontId="39"/>
  </si>
  <si>
    <t>JOD</t>
    <phoneticPr fontId="39"/>
  </si>
  <si>
    <t>楽天倉庫</t>
    <phoneticPr fontId="39"/>
  </si>
  <si>
    <t>Amazon</t>
    <phoneticPr fontId="39"/>
  </si>
  <si>
    <t>Amazon3P</t>
    <phoneticPr fontId="39"/>
  </si>
  <si>
    <t>ゆめはん8月～9月</t>
    <rPh sb="5" eb="6">
      <t>ガツ</t>
    </rPh>
    <rPh sb="8" eb="9">
      <t>ガツ</t>
    </rPh>
    <phoneticPr fontId="39"/>
  </si>
  <si>
    <t>コープデリ8月5回予備企画①</t>
    <rPh sb="6" eb="7">
      <t>ガツ</t>
    </rPh>
    <rPh sb="8" eb="9">
      <t>カイ</t>
    </rPh>
    <rPh sb="9" eb="11">
      <t>ヨビ</t>
    </rPh>
    <rPh sb="11" eb="13">
      <t>キカク</t>
    </rPh>
    <phoneticPr fontId="39"/>
  </si>
  <si>
    <t>コープデリ8月5回予備企画②</t>
    <rPh sb="6" eb="7">
      <t>ガツ</t>
    </rPh>
    <rPh sb="8" eb="9">
      <t>カイ</t>
    </rPh>
    <rPh sb="9" eb="11">
      <t>ヨビ</t>
    </rPh>
    <rPh sb="11" eb="13">
      <t>キカク</t>
    </rPh>
    <phoneticPr fontId="39"/>
  </si>
  <si>
    <t>K-PORT</t>
    <phoneticPr fontId="39"/>
  </si>
  <si>
    <t>京都生協9-1ｗ①</t>
    <rPh sb="0" eb="4">
      <t>キョウトセイキョウ</t>
    </rPh>
    <phoneticPr fontId="39"/>
  </si>
  <si>
    <t>Amazon</t>
    <phoneticPr fontId="39"/>
  </si>
  <si>
    <t>シンエイ直送</t>
    <rPh sb="4" eb="6">
      <t>チョクソウ</t>
    </rPh>
    <phoneticPr fontId="39"/>
  </si>
  <si>
    <t>Amazon</t>
    <phoneticPr fontId="39"/>
  </si>
  <si>
    <t>くらし返品予定</t>
    <rPh sb="3" eb="7">
      <t>ヘンピンヨテイ</t>
    </rPh>
    <phoneticPr fontId="3"/>
  </si>
  <si>
    <t>Amazon</t>
    <phoneticPr fontId="39"/>
  </si>
  <si>
    <t>シンエイ返品</t>
    <rPh sb="4" eb="6">
      <t>ヘンピン</t>
    </rPh>
    <phoneticPr fontId="3"/>
  </si>
  <si>
    <t>夢販</t>
    <rPh sb="0" eb="2">
      <t>ユメハン</t>
    </rPh>
    <phoneticPr fontId="39"/>
  </si>
  <si>
    <t>Amazon</t>
    <phoneticPr fontId="39"/>
  </si>
  <si>
    <t>京都生協3月2回</t>
    <rPh sb="0" eb="4">
      <t>キョウトセイキョウ</t>
    </rPh>
    <rPh sb="5" eb="6">
      <t>ガツ</t>
    </rPh>
    <rPh sb="7" eb="8">
      <t>カイ</t>
    </rPh>
    <phoneticPr fontId="39"/>
  </si>
  <si>
    <t>ロイヤルステージ5月3色ｘ2セット組</t>
    <rPh sb="9" eb="10">
      <t>ガツ</t>
    </rPh>
    <rPh sb="11" eb="12">
      <t>ショク</t>
    </rPh>
    <rPh sb="17" eb="18">
      <t>グミ</t>
    </rPh>
    <phoneticPr fontId="39"/>
  </si>
  <si>
    <t>5/16～</t>
    <phoneticPr fontId="39"/>
  </si>
  <si>
    <t>ここから２０２４年</t>
    <rPh sb="8" eb="9">
      <t>ネン</t>
    </rPh>
    <phoneticPr fontId="39"/>
  </si>
  <si>
    <t>コープデリ5月1回</t>
    <rPh sb="6" eb="7">
      <t>ガツ</t>
    </rPh>
    <rPh sb="8" eb="9">
      <t>カイ</t>
    </rPh>
    <phoneticPr fontId="39"/>
  </si>
  <si>
    <t>初回4/10、アバウト4/23、本4/24～29</t>
    <rPh sb="0" eb="2">
      <t>ショカイ</t>
    </rPh>
    <rPh sb="16" eb="17">
      <t>ホン</t>
    </rPh>
    <phoneticPr fontId="39"/>
  </si>
  <si>
    <t>コープデリ5月1回差分予測</t>
    <rPh sb="6" eb="7">
      <t>ガツ</t>
    </rPh>
    <rPh sb="8" eb="9">
      <t>カイ</t>
    </rPh>
    <rPh sb="9" eb="13">
      <t>サブンヨソク</t>
    </rPh>
    <phoneticPr fontId="39"/>
  </si>
  <si>
    <t>京都生協3月2回①</t>
    <rPh sb="0" eb="4">
      <t>キョウトセイキョウ</t>
    </rPh>
    <rPh sb="5" eb="6">
      <t>ガツ</t>
    </rPh>
    <rPh sb="7" eb="8">
      <t>カイ</t>
    </rPh>
    <phoneticPr fontId="39"/>
  </si>
  <si>
    <t>東都生協5月2週</t>
    <rPh sb="0" eb="4">
      <t>トウトセイキョウ</t>
    </rPh>
    <rPh sb="5" eb="6">
      <t>ガツ</t>
    </rPh>
    <rPh sb="7" eb="8">
      <t>シュウ</t>
    </rPh>
    <phoneticPr fontId="39"/>
  </si>
  <si>
    <t>4/24～5/7</t>
    <phoneticPr fontId="39"/>
  </si>
  <si>
    <t>4/24～5/7（1～5回）</t>
    <rPh sb="12" eb="13">
      <t>カイ</t>
    </rPh>
    <phoneticPr fontId="39"/>
  </si>
  <si>
    <t>ゆめはん</t>
    <phoneticPr fontId="39"/>
  </si>
  <si>
    <t>コープデリ6月1回</t>
    <rPh sb="6" eb="7">
      <t>ガツ</t>
    </rPh>
    <rPh sb="8" eb="9">
      <t>カイ</t>
    </rPh>
    <phoneticPr fontId="39"/>
  </si>
  <si>
    <t>初回5/15、アバウト5/28、本5/28～6/3</t>
    <rPh sb="0" eb="2">
      <t>ショカイ</t>
    </rPh>
    <rPh sb="16" eb="17">
      <t>ホン</t>
    </rPh>
    <phoneticPr fontId="39"/>
  </si>
  <si>
    <t>コープデリ6月1回差分予測</t>
    <rPh sb="6" eb="7">
      <t>ガツ</t>
    </rPh>
    <rPh sb="8" eb="9">
      <t>カイ</t>
    </rPh>
    <rPh sb="9" eb="13">
      <t>サブンヨソク</t>
    </rPh>
    <phoneticPr fontId="39"/>
  </si>
  <si>
    <t>コープデリ5月1回①</t>
    <rPh sb="6" eb="7">
      <t>ガツ</t>
    </rPh>
    <rPh sb="8" eb="9">
      <t>カイ</t>
    </rPh>
    <phoneticPr fontId="39"/>
  </si>
  <si>
    <t>コープデリ6月3回差分予測</t>
    <rPh sb="6" eb="7">
      <t>ガツ</t>
    </rPh>
    <rPh sb="8" eb="9">
      <t>カイ</t>
    </rPh>
    <rPh sb="9" eb="13">
      <t>サブンヨソク</t>
    </rPh>
    <phoneticPr fontId="39"/>
  </si>
  <si>
    <t>コープデリ6月3回</t>
    <rPh sb="6" eb="7">
      <t>ガツ</t>
    </rPh>
    <rPh sb="8" eb="9">
      <t>カイ</t>
    </rPh>
    <phoneticPr fontId="39"/>
  </si>
  <si>
    <t>初回5/29、アバウト6/11、本6/11～6/17</t>
    <rPh sb="0" eb="2">
      <t>ショカイ</t>
    </rPh>
    <rPh sb="16" eb="17">
      <t>ホン</t>
    </rPh>
    <phoneticPr fontId="39"/>
  </si>
  <si>
    <t>東都生協5月2週①</t>
    <rPh sb="0" eb="4">
      <t>トウトセイキョウ</t>
    </rPh>
    <rPh sb="5" eb="6">
      <t>ガツ</t>
    </rPh>
    <rPh sb="7" eb="8">
      <t>シュウ</t>
    </rPh>
    <phoneticPr fontId="39"/>
  </si>
  <si>
    <t>コープデリ6月4回差分予測</t>
    <rPh sb="6" eb="7">
      <t>ガツ</t>
    </rPh>
    <rPh sb="8" eb="9">
      <t>カイ</t>
    </rPh>
    <rPh sb="9" eb="13">
      <t>サブンヨソク</t>
    </rPh>
    <phoneticPr fontId="39"/>
  </si>
  <si>
    <t>初回6/5、アバウト6/18、本6/18～24</t>
    <rPh sb="0" eb="2">
      <t>ショカイ</t>
    </rPh>
    <rPh sb="15" eb="16">
      <t>ホン</t>
    </rPh>
    <phoneticPr fontId="39"/>
  </si>
  <si>
    <t>初回5/29、アバウト6/11、本6/11～17</t>
    <rPh sb="0" eb="2">
      <t>ショカイ</t>
    </rPh>
    <rPh sb="16" eb="17">
      <t>ホン</t>
    </rPh>
    <phoneticPr fontId="39"/>
  </si>
  <si>
    <t>東海コープ6月3週</t>
    <rPh sb="0" eb="2">
      <t>トウカイ</t>
    </rPh>
    <rPh sb="6" eb="7">
      <t>ガツ</t>
    </rPh>
    <rPh sb="8" eb="9">
      <t>シュウ</t>
    </rPh>
    <phoneticPr fontId="39"/>
  </si>
  <si>
    <t>6/5～19（1～5回）</t>
    <rPh sb="10" eb="11">
      <t>カイ</t>
    </rPh>
    <phoneticPr fontId="39"/>
  </si>
  <si>
    <t>東海コープ6月3週差分予測</t>
    <rPh sb="0" eb="2">
      <t>トウカイ</t>
    </rPh>
    <rPh sb="6" eb="7">
      <t>ガツ</t>
    </rPh>
    <rPh sb="8" eb="9">
      <t>シュウ</t>
    </rPh>
    <rPh sb="9" eb="13">
      <t>サブンヨソク</t>
    </rPh>
    <phoneticPr fontId="39"/>
  </si>
  <si>
    <t>コープデリ5月1回②</t>
    <rPh sb="6" eb="7">
      <t>ガツ</t>
    </rPh>
    <rPh sb="8" eb="9">
      <t>カイ</t>
    </rPh>
    <phoneticPr fontId="39"/>
  </si>
  <si>
    <t>コープデリ5月1回③</t>
    <rPh sb="6" eb="7">
      <t>ガツ</t>
    </rPh>
    <rPh sb="8" eb="9">
      <t>カイ</t>
    </rPh>
    <phoneticPr fontId="39"/>
  </si>
  <si>
    <t>東都生協5月2週②</t>
    <rPh sb="0" eb="4">
      <t>トウトセイキョウ</t>
    </rPh>
    <rPh sb="5" eb="6">
      <t>ガツ</t>
    </rPh>
    <rPh sb="7" eb="8">
      <t>シュウ</t>
    </rPh>
    <phoneticPr fontId="39"/>
  </si>
  <si>
    <t>夢販</t>
    <rPh sb="0" eb="2">
      <t>ユメハン</t>
    </rPh>
    <phoneticPr fontId="39"/>
  </si>
  <si>
    <t>東都生協5月2週③</t>
    <rPh sb="0" eb="4">
      <t>トウトセイキョウ</t>
    </rPh>
    <rPh sb="5" eb="6">
      <t>ガツ</t>
    </rPh>
    <rPh sb="7" eb="8">
      <t>シュウ</t>
    </rPh>
    <phoneticPr fontId="39"/>
  </si>
  <si>
    <t>千趣会sample</t>
    <rPh sb="0" eb="3">
      <t>センシュカイ</t>
    </rPh>
    <phoneticPr fontId="39"/>
  </si>
  <si>
    <t>ロイヤルステージ5月3色ｘ2セット組①</t>
    <rPh sb="9" eb="10">
      <t>ガツ</t>
    </rPh>
    <rPh sb="11" eb="12">
      <t>ショク</t>
    </rPh>
    <rPh sb="17" eb="18">
      <t>グミ</t>
    </rPh>
    <phoneticPr fontId="39"/>
  </si>
  <si>
    <t>京都生協7月2回</t>
    <rPh sb="0" eb="4">
      <t>キョウトセイキョウ</t>
    </rPh>
    <rPh sb="5" eb="6">
      <t>ガツ</t>
    </rPh>
    <rPh sb="7" eb="8">
      <t>カイ</t>
    </rPh>
    <phoneticPr fontId="39"/>
  </si>
  <si>
    <t>初回6/19、アバウト7/2、本7/2～8</t>
    <rPh sb="0" eb="2">
      <t>ショカイ</t>
    </rPh>
    <rPh sb="15" eb="16">
      <t>ホン</t>
    </rPh>
    <phoneticPr fontId="39"/>
  </si>
  <si>
    <t>コープデリ6月1回①</t>
    <rPh sb="6" eb="7">
      <t>ガツ</t>
    </rPh>
    <rPh sb="8" eb="9">
      <t>カイ</t>
    </rPh>
    <phoneticPr fontId="39"/>
  </si>
  <si>
    <t>コープデリ7月5回</t>
    <rPh sb="6" eb="7">
      <t>ガツ</t>
    </rPh>
    <rPh sb="8" eb="9">
      <t>カイ</t>
    </rPh>
    <phoneticPr fontId="39"/>
  </si>
  <si>
    <t>コープデリ7月5回差分予測</t>
    <rPh sb="6" eb="7">
      <t>ガツ</t>
    </rPh>
    <rPh sb="8" eb="9">
      <t>カイ</t>
    </rPh>
    <rPh sb="9" eb="13">
      <t>サブンヨソク</t>
    </rPh>
    <phoneticPr fontId="39"/>
  </si>
  <si>
    <t>初回7/10、アバウト7/23、本7/23～29</t>
    <rPh sb="0" eb="2">
      <t>ショカイ</t>
    </rPh>
    <rPh sb="16" eb="17">
      <t>ホン</t>
    </rPh>
    <phoneticPr fontId="39"/>
  </si>
  <si>
    <t>コープデリ6月1回②</t>
    <rPh sb="6" eb="7">
      <t>ガツ</t>
    </rPh>
    <rPh sb="8" eb="9">
      <t>カイ</t>
    </rPh>
    <phoneticPr fontId="39"/>
  </si>
  <si>
    <t>伝6月</t>
    <rPh sb="0" eb="1">
      <t>デン</t>
    </rPh>
    <rPh sb="2" eb="3">
      <t>ガツ</t>
    </rPh>
    <phoneticPr fontId="39"/>
  </si>
  <si>
    <t>2024/5/29数</t>
    <rPh sb="9" eb="10">
      <t>スウ</t>
    </rPh>
    <phoneticPr fontId="39"/>
  </si>
  <si>
    <t>千趣会①</t>
    <rPh sb="0" eb="3">
      <t>センシュカイ</t>
    </rPh>
    <phoneticPr fontId="39"/>
  </si>
  <si>
    <t>千趣会sample返却</t>
    <rPh sb="0" eb="3">
      <t>センシュカイ</t>
    </rPh>
    <rPh sb="9" eb="11">
      <t>ヘンキャク</t>
    </rPh>
    <phoneticPr fontId="39"/>
  </si>
  <si>
    <t>コープデリ6月4回（裏表紙）</t>
    <rPh sb="6" eb="7">
      <t>ガツ</t>
    </rPh>
    <rPh sb="8" eb="9">
      <t>カイ</t>
    </rPh>
    <rPh sb="10" eb="13">
      <t>ウラヒョウシ</t>
    </rPh>
    <phoneticPr fontId="39"/>
  </si>
  <si>
    <t>コープデリ7月2回（表紙）</t>
    <rPh sb="6" eb="7">
      <t>ガツ</t>
    </rPh>
    <rPh sb="8" eb="9">
      <t>カイ</t>
    </rPh>
    <rPh sb="10" eb="12">
      <t>ヒョウシ</t>
    </rPh>
    <phoneticPr fontId="39"/>
  </si>
  <si>
    <t>7/17～26（1～2回）</t>
    <rPh sb="11" eb="12">
      <t>カイ</t>
    </rPh>
    <phoneticPr fontId="39"/>
  </si>
  <si>
    <t>コープおきなわ7月4週（本紙）</t>
    <rPh sb="8" eb="9">
      <t>ガツ</t>
    </rPh>
    <rPh sb="10" eb="11">
      <t>シュウ</t>
    </rPh>
    <rPh sb="12" eb="14">
      <t>ホンシ</t>
    </rPh>
    <phoneticPr fontId="39"/>
  </si>
  <si>
    <t>7/19ship</t>
    <phoneticPr fontId="39"/>
  </si>
  <si>
    <t>東海コープ6月3週①</t>
    <rPh sb="0" eb="2">
      <t>トウカイ</t>
    </rPh>
    <rPh sb="6" eb="7">
      <t>ガツ</t>
    </rPh>
    <rPh sb="8" eb="9">
      <t>シュウ</t>
    </rPh>
    <phoneticPr fontId="39"/>
  </si>
  <si>
    <t>コープデリ8月2回差分予測</t>
    <rPh sb="6" eb="7">
      <t>ガツ</t>
    </rPh>
    <rPh sb="8" eb="9">
      <t>カイ</t>
    </rPh>
    <rPh sb="9" eb="13">
      <t>サブンヨソク</t>
    </rPh>
    <phoneticPr fontId="39"/>
  </si>
  <si>
    <t>コープデリ8月2回</t>
    <rPh sb="6" eb="7">
      <t>ガツ</t>
    </rPh>
    <rPh sb="8" eb="9">
      <t>カイ</t>
    </rPh>
    <phoneticPr fontId="39"/>
  </si>
  <si>
    <t>初回7/24、アバウト8/6、本8/7～12</t>
    <rPh sb="0" eb="2">
      <t>ショカイ</t>
    </rPh>
    <rPh sb="15" eb="16">
      <t>ホン</t>
    </rPh>
    <phoneticPr fontId="39"/>
  </si>
  <si>
    <t>コープデリ6月3回①</t>
    <rPh sb="6" eb="7">
      <t>ガツ</t>
    </rPh>
    <rPh sb="8" eb="9">
      <t>カイ</t>
    </rPh>
    <phoneticPr fontId="39"/>
  </si>
  <si>
    <t>コープデリ6月3回②</t>
    <rPh sb="6" eb="7">
      <t>ガツ</t>
    </rPh>
    <rPh sb="8" eb="9">
      <t>カイ</t>
    </rPh>
    <phoneticPr fontId="39"/>
  </si>
  <si>
    <t>東海コープ6月3週②</t>
    <rPh sb="0" eb="2">
      <t>トウカイ</t>
    </rPh>
    <rPh sb="6" eb="7">
      <t>ガツ</t>
    </rPh>
    <rPh sb="8" eb="9">
      <t>シュウ</t>
    </rPh>
    <phoneticPr fontId="39"/>
  </si>
  <si>
    <t>東海コープ6月3週③</t>
    <rPh sb="0" eb="2">
      <t>トウカイ</t>
    </rPh>
    <rPh sb="6" eb="7">
      <t>ガツ</t>
    </rPh>
    <rPh sb="8" eb="9">
      <t>シュウ</t>
    </rPh>
    <phoneticPr fontId="39"/>
  </si>
  <si>
    <t>コープデリ6月3回③</t>
    <rPh sb="6" eb="7">
      <t>ガツ</t>
    </rPh>
    <rPh sb="8" eb="9">
      <t>カイ</t>
    </rPh>
    <phoneticPr fontId="39"/>
  </si>
  <si>
    <t>東海コープ6月3週④</t>
    <rPh sb="0" eb="2">
      <t>トウカイ</t>
    </rPh>
    <rPh sb="6" eb="7">
      <t>ガツ</t>
    </rPh>
    <rPh sb="8" eb="9">
      <t>シュウ</t>
    </rPh>
    <phoneticPr fontId="39"/>
  </si>
  <si>
    <t>Amazon</t>
    <phoneticPr fontId="39"/>
  </si>
  <si>
    <t>コープデリ6月4回（裏表紙）①</t>
    <rPh sb="6" eb="7">
      <t>ガツ</t>
    </rPh>
    <rPh sb="8" eb="9">
      <t>カイ</t>
    </rPh>
    <rPh sb="10" eb="13">
      <t>ウラヒョウシ</t>
    </rPh>
    <phoneticPr fontId="39"/>
  </si>
  <si>
    <t>千趣会②</t>
    <rPh sb="0" eb="3">
      <t>センシュカイ</t>
    </rPh>
    <phoneticPr fontId="39"/>
  </si>
  <si>
    <t>コープデリ6月4回（裏表紙）②</t>
    <rPh sb="6" eb="7">
      <t>ガツ</t>
    </rPh>
    <rPh sb="8" eb="9">
      <t>カイ</t>
    </rPh>
    <rPh sb="10" eb="13">
      <t>ウラヒョウシ</t>
    </rPh>
    <phoneticPr fontId="39"/>
  </si>
  <si>
    <t>コープデリ6月4回（裏表紙）③</t>
    <rPh sb="6" eb="7">
      <t>ガツ</t>
    </rPh>
    <rPh sb="8" eb="9">
      <t>カイ</t>
    </rPh>
    <rPh sb="10" eb="13">
      <t>ウラヒョウシ</t>
    </rPh>
    <phoneticPr fontId="39"/>
  </si>
  <si>
    <t>Amazon</t>
    <phoneticPr fontId="39"/>
  </si>
  <si>
    <t>千趣会③</t>
    <rPh sb="0" eb="3">
      <t>センシュカイ</t>
    </rPh>
    <phoneticPr fontId="39"/>
  </si>
  <si>
    <t>Amazon</t>
    <phoneticPr fontId="39"/>
  </si>
  <si>
    <t>コープデリ7月2回（表紙）①</t>
    <rPh sb="6" eb="7">
      <t>ガツ</t>
    </rPh>
    <rPh sb="8" eb="9">
      <t>カイ</t>
    </rPh>
    <rPh sb="10" eb="12">
      <t>ヒョウシ</t>
    </rPh>
    <phoneticPr fontId="39"/>
  </si>
  <si>
    <t>千趣会④</t>
    <rPh sb="0" eb="3">
      <t>センシュカイ</t>
    </rPh>
    <phoneticPr fontId="39"/>
  </si>
  <si>
    <t>コープデリ7月2回（表紙）②</t>
    <rPh sb="6" eb="7">
      <t>ガツ</t>
    </rPh>
    <rPh sb="8" eb="9">
      <t>カイ</t>
    </rPh>
    <rPh sb="10" eb="12">
      <t>ヒョウシ</t>
    </rPh>
    <phoneticPr fontId="39"/>
  </si>
  <si>
    <t>東都生協8月4週（別チラ）</t>
    <rPh sb="0" eb="2">
      <t>トウト</t>
    </rPh>
    <rPh sb="2" eb="4">
      <t>セイキョウ</t>
    </rPh>
    <rPh sb="5" eb="6">
      <t>ガツ</t>
    </rPh>
    <rPh sb="7" eb="8">
      <t>シュウ</t>
    </rPh>
    <rPh sb="9" eb="10">
      <t>ベツ</t>
    </rPh>
    <phoneticPr fontId="39"/>
  </si>
  <si>
    <t>8/14～27（1～5回）</t>
    <rPh sb="11" eb="12">
      <t>カイ</t>
    </rPh>
    <phoneticPr fontId="39"/>
  </si>
  <si>
    <t>ロイヤルステージ5月3色ｘ2セット組②</t>
    <rPh sb="9" eb="10">
      <t>ガツ</t>
    </rPh>
    <rPh sb="11" eb="12">
      <t>ショク</t>
    </rPh>
    <rPh sb="17" eb="18">
      <t>グミ</t>
    </rPh>
    <phoneticPr fontId="39"/>
  </si>
  <si>
    <t>ロイヤルステージ5月3色ｘ2セット組③</t>
    <rPh sb="9" eb="10">
      <t>ガツ</t>
    </rPh>
    <rPh sb="11" eb="12">
      <t>ショク</t>
    </rPh>
    <rPh sb="17" eb="18">
      <t>グミ</t>
    </rPh>
    <phoneticPr fontId="39"/>
  </si>
  <si>
    <t>コープデリ7月2回（表紙）③</t>
    <rPh sb="6" eb="7">
      <t>ガツ</t>
    </rPh>
    <rPh sb="8" eb="9">
      <t>カイ</t>
    </rPh>
    <rPh sb="10" eb="12">
      <t>ヒョウシ</t>
    </rPh>
    <phoneticPr fontId="39"/>
  </si>
  <si>
    <t>京都生協7月2回①</t>
    <rPh sb="0" eb="4">
      <t>キョウトセイキョウ</t>
    </rPh>
    <rPh sb="5" eb="6">
      <t>ガツ</t>
    </rPh>
    <rPh sb="7" eb="8">
      <t>カイ</t>
    </rPh>
    <phoneticPr fontId="39"/>
  </si>
  <si>
    <t>千趣会⑤</t>
    <rPh sb="0" eb="3">
      <t>センシュカイ</t>
    </rPh>
    <phoneticPr fontId="39"/>
  </si>
  <si>
    <t>コープおきなわ7月4週（本紙）①</t>
    <rPh sb="8" eb="9">
      <t>ガツ</t>
    </rPh>
    <rPh sb="10" eb="11">
      <t>シュウ</t>
    </rPh>
    <rPh sb="12" eb="14">
      <t>ホンシ</t>
    </rPh>
    <phoneticPr fontId="39"/>
  </si>
  <si>
    <t>コープデリ7月5回①</t>
    <rPh sb="6" eb="7">
      <t>ガツ</t>
    </rPh>
    <rPh sb="8" eb="9">
      <t>カイ</t>
    </rPh>
    <phoneticPr fontId="39"/>
  </si>
  <si>
    <t>京都生協7月2回②</t>
    <rPh sb="0" eb="4">
      <t>キョウトセイキョウ</t>
    </rPh>
    <rPh sb="5" eb="6">
      <t>ガツ</t>
    </rPh>
    <rPh sb="7" eb="8">
      <t>カイ</t>
    </rPh>
    <phoneticPr fontId="39"/>
  </si>
  <si>
    <t>千趣会⑥</t>
    <rPh sb="0" eb="3">
      <t>センシュカイ</t>
    </rPh>
    <phoneticPr fontId="39"/>
  </si>
  <si>
    <t>コープデリ7月5回②</t>
    <rPh sb="6" eb="7">
      <t>ガツ</t>
    </rPh>
    <rPh sb="8" eb="9">
      <t>カイ</t>
    </rPh>
    <phoneticPr fontId="39"/>
  </si>
  <si>
    <t>コープデリ7月5回③</t>
    <rPh sb="6" eb="7">
      <t>ガツ</t>
    </rPh>
    <rPh sb="8" eb="9">
      <t>カイ</t>
    </rPh>
    <phoneticPr fontId="39"/>
  </si>
  <si>
    <t>千趣会⑦</t>
    <rPh sb="0" eb="3">
      <t>センシュカイ</t>
    </rPh>
    <phoneticPr fontId="39"/>
  </si>
  <si>
    <t>ロイヤル返品</t>
    <rPh sb="4" eb="6">
      <t>ヘンピン</t>
    </rPh>
    <phoneticPr fontId="3"/>
  </si>
  <si>
    <t>コープデリ8月2回①</t>
    <rPh sb="6" eb="7">
      <t>ガツ</t>
    </rPh>
    <rPh sb="8" eb="9">
      <t>カイ</t>
    </rPh>
    <phoneticPr fontId="39"/>
  </si>
  <si>
    <t>電話注文</t>
    <rPh sb="0" eb="4">
      <t>デンワチュウモン</t>
    </rPh>
    <phoneticPr fontId="39"/>
  </si>
  <si>
    <t>K-PORT</t>
    <phoneticPr fontId="39"/>
  </si>
  <si>
    <t>電話注文</t>
    <rPh sb="0" eb="4">
      <t>デンワチュウモン</t>
    </rPh>
    <phoneticPr fontId="39"/>
  </si>
  <si>
    <t>2024/7/26数伝</t>
    <rPh sb="9" eb="10">
      <t>スウ</t>
    </rPh>
    <rPh sb="10" eb="11">
      <t>デン</t>
    </rPh>
    <phoneticPr fontId="39"/>
  </si>
  <si>
    <t>千趣会⑧</t>
    <rPh sb="0" eb="3">
      <t>センシュカイ</t>
    </rPh>
    <phoneticPr fontId="39"/>
  </si>
  <si>
    <t>コープデリ8月2回②</t>
    <rPh sb="6" eb="7">
      <t>ガツ</t>
    </rPh>
    <rPh sb="8" eb="9">
      <t>カイ</t>
    </rPh>
    <phoneticPr fontId="39"/>
  </si>
  <si>
    <t>コープデリ8月2回③</t>
    <rPh sb="6" eb="7">
      <t>ガツ</t>
    </rPh>
    <rPh sb="8" eb="9">
      <t>カイ</t>
    </rPh>
    <phoneticPr fontId="39"/>
  </si>
  <si>
    <t>東都生協8月4週（別チラ）①</t>
    <rPh sb="0" eb="2">
      <t>トウト</t>
    </rPh>
    <rPh sb="2" eb="4">
      <t>セイキョウ</t>
    </rPh>
    <rPh sb="5" eb="6">
      <t>ガツ</t>
    </rPh>
    <rPh sb="7" eb="8">
      <t>シュウ</t>
    </rPh>
    <rPh sb="9" eb="10">
      <t>ベツ</t>
    </rPh>
    <phoneticPr fontId="39"/>
  </si>
  <si>
    <t>千趣会⑨</t>
    <rPh sb="0" eb="3">
      <t>センシュカイ</t>
    </rPh>
    <phoneticPr fontId="39"/>
  </si>
  <si>
    <t>東都生協8月4週（別チラ）②</t>
    <rPh sb="0" eb="2">
      <t>トウト</t>
    </rPh>
    <rPh sb="2" eb="4">
      <t>セイキョウ</t>
    </rPh>
    <rPh sb="5" eb="6">
      <t>ガツ</t>
    </rPh>
    <rPh sb="7" eb="8">
      <t>シュウ</t>
    </rPh>
    <rPh sb="9" eb="10">
      <t>ベツ</t>
    </rPh>
    <phoneticPr fontId="39"/>
  </si>
  <si>
    <t>楽天倉庫返送</t>
    <rPh sb="0" eb="2">
      <t>ラクテン</t>
    </rPh>
    <rPh sb="2" eb="4">
      <t>ソウコ</t>
    </rPh>
    <rPh sb="4" eb="6">
      <t>ヘンソウ</t>
    </rPh>
    <phoneticPr fontId="3"/>
  </si>
  <si>
    <t>東都生協8月4週（別チラ）③</t>
    <rPh sb="0" eb="2">
      <t>トウト</t>
    </rPh>
    <rPh sb="2" eb="4">
      <t>セイキョウ</t>
    </rPh>
    <rPh sb="5" eb="6">
      <t>ガツ</t>
    </rPh>
    <rPh sb="7" eb="8">
      <t>シュウ</t>
    </rPh>
    <rPh sb="9" eb="10">
      <t>ベツ</t>
    </rPh>
    <phoneticPr fontId="39"/>
  </si>
  <si>
    <t>東都生協8月4週（別チラ）④</t>
    <rPh sb="0" eb="2">
      <t>トウト</t>
    </rPh>
    <rPh sb="2" eb="4">
      <t>セイキョウ</t>
    </rPh>
    <rPh sb="5" eb="6">
      <t>ガツ</t>
    </rPh>
    <rPh sb="7" eb="8">
      <t>シュウ</t>
    </rPh>
    <rPh sb="9" eb="10">
      <t>ベツ</t>
    </rPh>
    <phoneticPr fontId="39"/>
  </si>
  <si>
    <t>藤井</t>
    <rPh sb="0" eb="2">
      <t>フジイ</t>
    </rPh>
    <phoneticPr fontId="39"/>
  </si>
  <si>
    <t>サクラマチ斎藤様sample</t>
    <rPh sb="5" eb="14">
      <t>サイトウサマサンプル</t>
    </rPh>
    <phoneticPr fontId="39"/>
  </si>
  <si>
    <t>K-PORT</t>
    <phoneticPr fontId="39"/>
  </si>
  <si>
    <t>サクラマチsample</t>
    <phoneticPr fontId="3"/>
  </si>
  <si>
    <t>不良（ほつれ）</t>
    <rPh sb="0" eb="2">
      <t>フリョウ</t>
    </rPh>
    <phoneticPr fontId="39"/>
  </si>
  <si>
    <t>ユーコープ4月3回</t>
    <rPh sb="6" eb="7">
      <t>ガツ</t>
    </rPh>
    <rPh sb="8" eb="9">
      <t>カイ</t>
    </rPh>
    <phoneticPr fontId="39"/>
  </si>
  <si>
    <t>4/2～4/16</t>
    <phoneticPr fontId="39"/>
  </si>
  <si>
    <t>4/2～16</t>
    <phoneticPr fontId="39"/>
  </si>
  <si>
    <t>コープ九州5月2回</t>
    <rPh sb="3" eb="5">
      <t>キュウシュウ</t>
    </rPh>
    <rPh sb="6" eb="7">
      <t>ガツ</t>
    </rPh>
    <rPh sb="8" eb="9">
      <t>カイ</t>
    </rPh>
    <phoneticPr fontId="39"/>
  </si>
  <si>
    <t>4/30～5/14</t>
    <phoneticPr fontId="39"/>
  </si>
  <si>
    <t>コープ九州5月2回差分予測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39"/>
  </si>
  <si>
    <t>コープデリ4月5回</t>
    <rPh sb="6" eb="7">
      <t>ガツ</t>
    </rPh>
    <rPh sb="8" eb="9">
      <t>カイ</t>
    </rPh>
    <phoneticPr fontId="39"/>
  </si>
  <si>
    <t>初回4/9、アバウト4/22、本4/22～28</t>
    <rPh sb="0" eb="2">
      <t>ショカイ</t>
    </rPh>
    <rPh sb="15" eb="16">
      <t>ホン</t>
    </rPh>
    <phoneticPr fontId="39"/>
  </si>
  <si>
    <t>コープデリ4月5回①</t>
    <rPh sb="6" eb="7">
      <t>ガツ</t>
    </rPh>
    <rPh sb="8" eb="9">
      <t>カイ</t>
    </rPh>
    <phoneticPr fontId="39"/>
  </si>
  <si>
    <t>ユーコープ4月3回①</t>
    <rPh sb="6" eb="7">
      <t>ガツ</t>
    </rPh>
    <rPh sb="8" eb="9">
      <t>カイ</t>
    </rPh>
    <phoneticPr fontId="39"/>
  </si>
  <si>
    <t>コープデリ6月4回</t>
    <rPh sb="6" eb="7">
      <t>ガツ</t>
    </rPh>
    <rPh sb="8" eb="9">
      <t>カイ</t>
    </rPh>
    <phoneticPr fontId="39"/>
  </si>
  <si>
    <t>初回6/4、アバウト6/17、本6/17～23</t>
    <rPh sb="0" eb="2">
      <t>ショカイ</t>
    </rPh>
    <rPh sb="15" eb="16">
      <t>ホン</t>
    </rPh>
    <phoneticPr fontId="39"/>
  </si>
  <si>
    <t>ユーコープ4月3回②</t>
    <rPh sb="6" eb="7">
      <t>ガツ</t>
    </rPh>
    <rPh sb="8" eb="9">
      <t>カイ</t>
    </rPh>
    <phoneticPr fontId="39"/>
  </si>
  <si>
    <t>ユーコープ4月3回③</t>
    <rPh sb="6" eb="7">
      <t>ガツ</t>
    </rPh>
    <rPh sb="8" eb="9">
      <t>カイ</t>
    </rPh>
    <phoneticPr fontId="39"/>
  </si>
  <si>
    <t>コープデリ4月5回②</t>
    <rPh sb="6" eb="7">
      <t>ガツ</t>
    </rPh>
    <rPh sb="8" eb="9">
      <t>カイ</t>
    </rPh>
    <phoneticPr fontId="39"/>
  </si>
  <si>
    <t>コープ九州5月2回①</t>
    <rPh sb="3" eb="5">
      <t>キュウシュウ</t>
    </rPh>
    <rPh sb="6" eb="7">
      <t>ガツ</t>
    </rPh>
    <rPh sb="8" eb="9">
      <t>カイ</t>
    </rPh>
    <phoneticPr fontId="39"/>
  </si>
  <si>
    <t>コープ九州5月2回②</t>
    <rPh sb="3" eb="5">
      <t>キュウシュウ</t>
    </rPh>
    <rPh sb="6" eb="7">
      <t>ガツ</t>
    </rPh>
    <rPh sb="8" eb="9">
      <t>カイ</t>
    </rPh>
    <phoneticPr fontId="39"/>
  </si>
  <si>
    <t>コープ九州5月2回③</t>
    <rPh sb="3" eb="5">
      <t>キュウシュウ</t>
    </rPh>
    <rPh sb="6" eb="7">
      <t>ガツ</t>
    </rPh>
    <rPh sb="8" eb="9">
      <t>カイ</t>
    </rPh>
    <phoneticPr fontId="39"/>
  </si>
  <si>
    <t>夢販</t>
    <rPh sb="0" eb="2">
      <t>ユメハン</t>
    </rPh>
    <phoneticPr fontId="39"/>
  </si>
  <si>
    <t>コープデリ6月4回①</t>
    <rPh sb="6" eb="7">
      <t>ガツ</t>
    </rPh>
    <rPh sb="8" eb="9">
      <t>カイ</t>
    </rPh>
    <phoneticPr fontId="39"/>
  </si>
  <si>
    <t>コープデリ6月4回②</t>
    <rPh sb="6" eb="7">
      <t>ガツ</t>
    </rPh>
    <rPh sb="8" eb="9">
      <t>カイ</t>
    </rPh>
    <phoneticPr fontId="39"/>
  </si>
  <si>
    <t>コープデリ6月4回③</t>
    <rPh sb="6" eb="7">
      <t>ガツ</t>
    </rPh>
    <rPh sb="8" eb="9">
      <t>カイ</t>
    </rPh>
    <phoneticPr fontId="39"/>
  </si>
  <si>
    <t>K-PORT</t>
    <phoneticPr fontId="39"/>
  </si>
  <si>
    <t>コープデリ直送④</t>
    <rPh sb="5" eb="6">
      <t>チョク</t>
    </rPh>
    <rPh sb="6" eb="7">
      <t>ソウ</t>
    </rPh>
    <phoneticPr fontId="39"/>
  </si>
  <si>
    <t>コープデリ直送⑥</t>
    <rPh sb="5" eb="6">
      <t>チョク</t>
    </rPh>
    <rPh sb="6" eb="7">
      <t>ソウ</t>
    </rPh>
    <phoneticPr fontId="39"/>
  </si>
  <si>
    <t>コープデリ直送⑤</t>
    <rPh sb="5" eb="6">
      <t>チョク</t>
    </rPh>
    <rPh sb="6" eb="7">
      <t>ソウ</t>
    </rPh>
    <phoneticPr fontId="39"/>
  </si>
  <si>
    <t>電話注文</t>
    <rPh sb="0" eb="4">
      <t>デンワチュウモン</t>
    </rPh>
    <phoneticPr fontId="39"/>
  </si>
  <si>
    <t>JODアクセス7011</t>
    <phoneticPr fontId="39"/>
  </si>
  <si>
    <t>8/18～</t>
    <phoneticPr fontId="39"/>
  </si>
  <si>
    <t>電話注文</t>
    <rPh sb="0" eb="2">
      <t>デンワ</t>
    </rPh>
    <rPh sb="2" eb="4">
      <t>チュウモン</t>
    </rPh>
    <phoneticPr fontId="39"/>
  </si>
  <si>
    <t>JOD</t>
    <phoneticPr fontId="39"/>
  </si>
  <si>
    <t>←ここまで式確認2025/8/28</t>
    <rPh sb="0" eb="8">
      <t>&lt;-ココマデシキカクニン</t>
    </rPh>
    <phoneticPr fontId="39"/>
  </si>
  <si>
    <t>JOD</t>
    <phoneticPr fontId="39"/>
  </si>
  <si>
    <t>サクラマチ（こうべ）sample</t>
    <phoneticPr fontId="39"/>
  </si>
  <si>
    <t>サクラマチsample水島さん</t>
    <rPh sb="11" eb="13">
      <t>ミズシマ</t>
    </rPh>
    <phoneticPr fontId="39"/>
  </si>
  <si>
    <t>コープデリ6月2回</t>
    <rPh sb="6" eb="7">
      <t>ガツ</t>
    </rPh>
    <rPh sb="8" eb="9">
      <t>カイ</t>
    </rPh>
    <phoneticPr fontId="39"/>
  </si>
  <si>
    <t>点5/22、アバウト6/2、本6/2～8</t>
    <rPh sb="0" eb="1">
      <t>テン</t>
    </rPh>
    <rPh sb="14" eb="15">
      <t>ホン</t>
    </rPh>
    <phoneticPr fontId="39"/>
  </si>
  <si>
    <t>←ここまで在庫確認済2/25</t>
    <rPh sb="0" eb="10">
      <t>ヤジルシココマデザイコカクニンスミ</t>
    </rPh>
    <phoneticPr fontId="39"/>
  </si>
  <si>
    <t>コープデリ6月2回差分予測</t>
    <rPh sb="6" eb="7">
      <t>ガツ</t>
    </rPh>
    <rPh sb="8" eb="9">
      <t>カイ</t>
    </rPh>
    <rPh sb="9" eb="13">
      <t>サブンヨソク</t>
    </rPh>
    <phoneticPr fontId="39"/>
  </si>
  <si>
    <t>6/3～24</t>
    <phoneticPr fontId="39"/>
  </si>
  <si>
    <t>サクラマチsample藤井さん</t>
    <rPh sb="11" eb="13">
      <t>フジイ</t>
    </rPh>
    <phoneticPr fontId="39"/>
  </si>
  <si>
    <t>営業用sample</t>
    <rPh sb="0" eb="3">
      <t>エイギョウヨウ</t>
    </rPh>
    <phoneticPr fontId="39"/>
  </si>
  <si>
    <t>ネット</t>
    <phoneticPr fontId="39"/>
  </si>
  <si>
    <t>コープこうべ6月1回</t>
    <rPh sb="7" eb="8">
      <t>ガツ</t>
    </rPh>
    <rPh sb="9" eb="10">
      <t>カイ</t>
    </rPh>
    <phoneticPr fontId="39"/>
  </si>
  <si>
    <t>ゆめはん</t>
    <phoneticPr fontId="39"/>
  </si>
  <si>
    <t>6/3～18</t>
    <phoneticPr fontId="39"/>
  </si>
  <si>
    <t>コープこうべ6月1回差分予測</t>
    <rPh sb="7" eb="8">
      <t>ガツ</t>
    </rPh>
    <rPh sb="9" eb="10">
      <t>カイ</t>
    </rPh>
    <rPh sb="10" eb="14">
      <t>サブンヨソク</t>
    </rPh>
    <phoneticPr fontId="39"/>
  </si>
  <si>
    <t>かりん</t>
    <phoneticPr fontId="39"/>
  </si>
  <si>
    <t>ゆめはん</t>
    <phoneticPr fontId="39"/>
  </si>
  <si>
    <t>かりん</t>
    <phoneticPr fontId="39"/>
  </si>
  <si>
    <t>かりん</t>
    <phoneticPr fontId="39"/>
  </si>
  <si>
    <t>点7/17、アバウト7/28、本7/28～8/3</t>
    <rPh sb="0" eb="1">
      <t>テン</t>
    </rPh>
    <rPh sb="15" eb="16">
      <t>ホン</t>
    </rPh>
    <phoneticPr fontId="39"/>
  </si>
  <si>
    <t>コープデリ8月3回差分予測</t>
    <rPh sb="6" eb="7">
      <t>ガツ</t>
    </rPh>
    <rPh sb="8" eb="9">
      <t>カイ</t>
    </rPh>
    <rPh sb="9" eb="13">
      <t>サブンヨソク</t>
    </rPh>
    <phoneticPr fontId="39"/>
  </si>
  <si>
    <t>点7/31、アバウト8/11、本8/11～17</t>
    <rPh sb="0" eb="1">
      <t>テン</t>
    </rPh>
    <rPh sb="15" eb="16">
      <t>ホン</t>
    </rPh>
    <phoneticPr fontId="39"/>
  </si>
  <si>
    <t>点8/14、アバウト8/25、本8/25～31</t>
    <rPh sb="0" eb="1">
      <t>テン</t>
    </rPh>
    <rPh sb="15" eb="16">
      <t>ホン</t>
    </rPh>
    <phoneticPr fontId="39"/>
  </si>
  <si>
    <t>コープデリ6月2回①</t>
    <rPh sb="6" eb="7">
      <t>ガツ</t>
    </rPh>
    <rPh sb="8" eb="9">
      <t>カイ</t>
    </rPh>
    <phoneticPr fontId="39"/>
  </si>
  <si>
    <t>コープデリ6月2回②</t>
    <rPh sb="6" eb="7">
      <t>ガツ</t>
    </rPh>
    <rPh sb="8" eb="9">
      <t>カイ</t>
    </rPh>
    <phoneticPr fontId="39"/>
  </si>
  <si>
    <t>コープこうべ6月1回①</t>
    <rPh sb="7" eb="8">
      <t>ガツ</t>
    </rPh>
    <rPh sb="9" eb="10">
      <t>カイ</t>
    </rPh>
    <phoneticPr fontId="39"/>
  </si>
  <si>
    <t>コープデリ6月2回③</t>
    <rPh sb="6" eb="7">
      <t>ガツ</t>
    </rPh>
    <rPh sb="8" eb="9">
      <t>カイ</t>
    </rPh>
    <phoneticPr fontId="39"/>
  </si>
  <si>
    <t>←ここまで在庫確認済6/4</t>
    <rPh sb="0" eb="10">
      <t>ヤジルシココマデザイコカクニンスミ</t>
    </rPh>
    <phoneticPr fontId="39"/>
  </si>
  <si>
    <t>ゆめはん</t>
    <phoneticPr fontId="39"/>
  </si>
  <si>
    <t>コープ九州６月４回</t>
    <rPh sb="3" eb="5">
      <t>キュウシュウ</t>
    </rPh>
    <rPh sb="6" eb="7">
      <t>ガツ</t>
    </rPh>
    <rPh sb="8" eb="9">
      <t>カイ</t>
    </rPh>
    <phoneticPr fontId="39"/>
  </si>
  <si>
    <t>コープ九州６月４回差分予測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39"/>
  </si>
  <si>
    <t>コープ九州６月４回①</t>
    <rPh sb="3" eb="5">
      <t>キュウシュウ</t>
    </rPh>
    <rPh sb="6" eb="7">
      <t>ガツ</t>
    </rPh>
    <rPh sb="8" eb="9">
      <t>カイ</t>
    </rPh>
    <phoneticPr fontId="39"/>
  </si>
  <si>
    <t>Amazon</t>
    <phoneticPr fontId="39"/>
  </si>
  <si>
    <t>コープ九州6月4回①</t>
    <rPh sb="3" eb="5">
      <t>キュウシュウ</t>
    </rPh>
    <rPh sb="6" eb="7">
      <t>ガツ</t>
    </rPh>
    <rPh sb="8" eb="9">
      <t>カイ</t>
    </rPh>
    <phoneticPr fontId="39"/>
  </si>
  <si>
    <t>コープこうべ6月1回②</t>
    <rPh sb="7" eb="8">
      <t>ガツ</t>
    </rPh>
    <rPh sb="9" eb="10">
      <t>カイ</t>
    </rPh>
    <phoneticPr fontId="39"/>
  </si>
  <si>
    <t>コープ九州6月4回②</t>
    <rPh sb="3" eb="5">
      <t>キュウシュウ</t>
    </rPh>
    <rPh sb="6" eb="7">
      <t>ガツ</t>
    </rPh>
    <rPh sb="8" eb="9">
      <t>カイ</t>
    </rPh>
    <phoneticPr fontId="3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</si>
</sst>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2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4" fillId="0" borderId="0">
      <alignment vertical="center"/>
    </xf>
    <xf numFmtId="38" fontId="34" fillId="0" borderId="0" applyFont="0" applyFill="0" applyBorder="0" applyAlignment="0" applyProtection="0">
      <alignment vertical="center"/>
    </xf>
  </cellStyleXfs>
  <cellXfs count="299">
    <xf numFmtId="0" fontId="0" fillId="0" borderId="0" xfId="0">
      <alignment vertical="center"/>
    </xf>
    <xf numFmtId="0" fontId="34" fillId="0" borderId="0" xfId="3">
      <alignment vertical="center"/>
    </xf>
    <xf numFmtId="0" fontId="1" fillId="0" borderId="1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2" borderId="3" xfId="2" applyFill="1" applyBorder="1"/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5" xfId="2" applyBorder="1"/>
    <xf numFmtId="0" fontId="1" fillId="0" borderId="6" xfId="2" applyBorder="1" applyAlignment="1">
      <alignment horizontal="center" vertical="center"/>
    </xf>
    <xf numFmtId="0" fontId="1" fillId="0" borderId="7" xfId="2" applyBorder="1"/>
    <xf numFmtId="0" fontId="4" fillId="0" borderId="1" xfId="2" applyFont="1" applyBorder="1" applyAlignment="1">
      <alignment horizontal="center" vertical="center"/>
    </xf>
    <xf numFmtId="0" fontId="4" fillId="0" borderId="8" xfId="2" applyFont="1" applyBorder="1"/>
    <xf numFmtId="0" fontId="4" fillId="2" borderId="1" xfId="2" applyFont="1" applyFill="1" applyBorder="1"/>
    <xf numFmtId="0" fontId="1" fillId="2" borderId="4" xfId="2" applyFill="1" applyBorder="1"/>
    <xf numFmtId="0" fontId="1" fillId="0" borderId="9" xfId="2" applyBorder="1"/>
    <xf numFmtId="0" fontId="1" fillId="2" borderId="2" xfId="2" applyFill="1" applyBorder="1"/>
    <xf numFmtId="0" fontId="1" fillId="2" borderId="1" xfId="2" applyFill="1" applyBorder="1"/>
    <xf numFmtId="0" fontId="4" fillId="0" borderId="2" xfId="2" applyFont="1" applyBorder="1" applyAlignment="1">
      <alignment horizontal="center" vertical="center"/>
    </xf>
    <xf numFmtId="0" fontId="4" fillId="2" borderId="2" xfId="2" applyFont="1" applyFill="1" applyBorder="1"/>
    <xf numFmtId="0" fontId="6" fillId="0" borderId="3" xfId="2" applyFont="1" applyBorder="1" applyAlignment="1">
      <alignment horizontal="center" vertical="center"/>
    </xf>
    <xf numFmtId="0" fontId="5" fillId="0" borderId="0" xfId="2" applyFont="1"/>
    <xf numFmtId="0" fontId="1" fillId="0" borderId="0" xfId="2" applyAlignment="1">
      <alignment horizontal="center" vertical="center"/>
    </xf>
    <xf numFmtId="0" fontId="1" fillId="0" borderId="0" xfId="2"/>
    <xf numFmtId="0" fontId="4" fillId="0" borderId="0" xfId="2" applyFont="1"/>
    <xf numFmtId="56" fontId="1" fillId="0" borderId="0" xfId="2" applyNumberFormat="1"/>
    <xf numFmtId="56" fontId="1" fillId="0" borderId="0" xfId="3" applyNumberFormat="1" applyFont="1">
      <alignment vertical="center"/>
    </xf>
    <xf numFmtId="0" fontId="7" fillId="0" borderId="0" xfId="2" applyFont="1"/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0" borderId="0" xfId="3" applyFont="1">
      <alignment vertical="center"/>
    </xf>
    <xf numFmtId="0" fontId="12" fillId="0" borderId="0" xfId="3" applyFont="1">
      <alignment vertical="center"/>
    </xf>
    <xf numFmtId="0" fontId="10" fillId="0" borderId="9" xfId="2" applyFont="1" applyBorder="1"/>
    <xf numFmtId="0" fontId="10" fillId="2" borderId="4" xfId="2" applyFont="1" applyFill="1" applyBorder="1"/>
    <xf numFmtId="56" fontId="10" fillId="0" borderId="0" xfId="2" applyNumberFormat="1" applyFont="1"/>
    <xf numFmtId="0" fontId="13" fillId="0" borderId="0" xfId="3" applyFont="1">
      <alignment vertical="center"/>
    </xf>
    <xf numFmtId="0" fontId="1" fillId="0" borderId="0" xfId="3" applyFont="1">
      <alignment vertical="center"/>
    </xf>
    <xf numFmtId="0" fontId="14" fillId="0" borderId="0" xfId="3" applyFont="1">
      <alignment vertical="center"/>
    </xf>
    <xf numFmtId="0" fontId="16" fillId="0" borderId="10" xfId="2" applyFont="1" applyBorder="1" applyAlignment="1">
      <alignment horizontal="center" vertical="center"/>
    </xf>
    <xf numFmtId="0" fontId="16" fillId="2" borderId="3" xfId="2" applyFont="1" applyFill="1" applyBorder="1"/>
    <xf numFmtId="56" fontId="15" fillId="0" borderId="0" xfId="3" applyNumberFormat="1" applyFont="1">
      <alignment vertical="center"/>
    </xf>
    <xf numFmtId="0" fontId="16" fillId="0" borderId="3" xfId="2" applyFont="1" applyBorder="1" applyAlignment="1">
      <alignment horizontal="center" vertical="center"/>
    </xf>
    <xf numFmtId="56" fontId="16" fillId="0" borderId="0" xfId="2" applyNumberFormat="1" applyFont="1"/>
    <xf numFmtId="0" fontId="4" fillId="0" borderId="3" xfId="2" applyFont="1" applyBorder="1" applyAlignment="1">
      <alignment horizontal="center" vertical="center"/>
    </xf>
    <xf numFmtId="0" fontId="1" fillId="0" borderId="11" xfId="2" applyBorder="1"/>
    <xf numFmtId="0" fontId="17" fillId="0" borderId="0" xfId="3" applyFont="1">
      <alignment vertical="center"/>
    </xf>
    <xf numFmtId="0" fontId="18" fillId="0" borderId="0" xfId="3" applyFont="1">
      <alignment vertical="center"/>
    </xf>
    <xf numFmtId="56" fontId="19" fillId="0" borderId="0" xfId="3" applyNumberFormat="1" applyFont="1">
      <alignment vertical="center"/>
    </xf>
    <xf numFmtId="56" fontId="34" fillId="0" borderId="0" xfId="3" applyNumberFormat="1">
      <alignment vertical="center"/>
    </xf>
    <xf numFmtId="56" fontId="20" fillId="0" borderId="0" xfId="3" applyNumberFormat="1" applyFont="1">
      <alignment vertical="center"/>
    </xf>
    <xf numFmtId="56" fontId="21" fillId="0" borderId="0" xfId="3" applyNumberFormat="1" applyFont="1">
      <alignment vertical="center"/>
    </xf>
    <xf numFmtId="0" fontId="22" fillId="0" borderId="0" xfId="3" applyFont="1">
      <alignment vertical="center"/>
    </xf>
    <xf numFmtId="56" fontId="22" fillId="0" borderId="0" xfId="3" applyNumberFormat="1" applyFont="1">
      <alignment vertical="center"/>
    </xf>
    <xf numFmtId="0" fontId="23" fillId="0" borderId="0" xfId="3" applyFont="1">
      <alignment vertical="center"/>
    </xf>
    <xf numFmtId="0" fontId="1" fillId="0" borderId="5" xfId="2" applyBorder="1" applyAlignment="1">
      <alignment horizontal="center"/>
    </xf>
    <xf numFmtId="56" fontId="24" fillId="0" borderId="0" xfId="3" applyNumberFormat="1" applyFont="1">
      <alignment vertical="center"/>
    </xf>
    <xf numFmtId="0" fontId="24" fillId="0" borderId="0" xfId="3" applyFont="1">
      <alignment vertical="center"/>
    </xf>
    <xf numFmtId="56" fontId="24" fillId="0" borderId="0" xfId="3" applyNumberFormat="1" applyFont="1" applyAlignment="1">
      <alignment horizontal="right" vertical="center"/>
    </xf>
    <xf numFmtId="56" fontId="28" fillId="0" borderId="0" xfId="3" applyNumberFormat="1" applyFont="1">
      <alignment vertical="center"/>
    </xf>
    <xf numFmtId="0" fontId="29" fillId="0" borderId="4" xfId="2" applyFont="1" applyBorder="1" applyAlignment="1">
      <alignment horizontal="center" vertical="center"/>
    </xf>
    <xf numFmtId="0" fontId="29" fillId="2" borderId="3" xfId="2" applyFont="1" applyFill="1" applyBorder="1"/>
    <xf numFmtId="56" fontId="27" fillId="0" borderId="0" xfId="3" applyNumberFormat="1" applyFont="1">
      <alignment vertical="center"/>
    </xf>
    <xf numFmtId="0" fontId="29" fillId="0" borderId="5" xfId="2" applyFont="1" applyBorder="1" applyAlignment="1">
      <alignment horizontal="center"/>
    </xf>
    <xf numFmtId="0" fontId="7" fillId="3" borderId="0" xfId="2" applyFont="1" applyFill="1"/>
    <xf numFmtId="0" fontId="34" fillId="3" borderId="0" xfId="3" applyFill="1">
      <alignment vertical="center"/>
    </xf>
    <xf numFmtId="0" fontId="28" fillId="0" borderId="0" xfId="3" applyFont="1">
      <alignment vertical="center"/>
    </xf>
    <xf numFmtId="0" fontId="27" fillId="0" borderId="0" xfId="3" applyFont="1">
      <alignment vertical="center"/>
    </xf>
    <xf numFmtId="0" fontId="25" fillId="0" borderId="3" xfId="2" applyFont="1" applyBorder="1" applyAlignment="1">
      <alignment horizontal="center" vertical="center"/>
    </xf>
    <xf numFmtId="0" fontId="26" fillId="0" borderId="0" xfId="3" applyFont="1">
      <alignment vertical="center"/>
    </xf>
    <xf numFmtId="0" fontId="25" fillId="0" borderId="4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" fillId="0" borderId="4" xfId="2" applyBorder="1" applyAlignment="1">
      <alignment horizontal="center" vertical="center" shrinkToFit="1"/>
    </xf>
    <xf numFmtId="0" fontId="14" fillId="0" borderId="4" xfId="2" applyFont="1" applyBorder="1" applyAlignment="1">
      <alignment horizontal="center" vertical="center"/>
    </xf>
    <xf numFmtId="56" fontId="4" fillId="0" borderId="0" xfId="3" applyNumberFormat="1" applyFont="1">
      <alignment vertical="center"/>
    </xf>
    <xf numFmtId="56" fontId="36" fillId="0" borderId="0" xfId="3" applyNumberFormat="1" applyFont="1">
      <alignment vertical="center"/>
    </xf>
    <xf numFmtId="0" fontId="36" fillId="0" borderId="0" xfId="3" applyFont="1">
      <alignment vertical="center"/>
    </xf>
    <xf numFmtId="0" fontId="34" fillId="4" borderId="0" xfId="3" applyFill="1">
      <alignment vertical="center"/>
    </xf>
    <xf numFmtId="0" fontId="1" fillId="4" borderId="1" xfId="2" applyFill="1" applyBorder="1" applyAlignment="1">
      <alignment horizontal="center" vertical="center"/>
    </xf>
    <xf numFmtId="0" fontId="1" fillId="4" borderId="2" xfId="2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16" fillId="4" borderId="10" xfId="2" applyFont="1" applyFill="1" applyBorder="1" applyAlignment="1">
      <alignment horizontal="center" vertical="center"/>
    </xf>
    <xf numFmtId="0" fontId="16" fillId="4" borderId="3" xfId="2" applyFont="1" applyFill="1" applyBorder="1"/>
    <xf numFmtId="0" fontId="1" fillId="4" borderId="4" xfId="2" applyFill="1" applyBorder="1" applyAlignment="1">
      <alignment horizontal="center" vertical="center"/>
    </xf>
    <xf numFmtId="0" fontId="1" fillId="4" borderId="5" xfId="2" applyFill="1" applyBorder="1" applyAlignment="1">
      <alignment horizontal="center" vertical="center"/>
    </xf>
    <xf numFmtId="0" fontId="1" fillId="4" borderId="3" xfId="2" applyFill="1" applyBorder="1"/>
    <xf numFmtId="0" fontId="1" fillId="4" borderId="5" xfId="2" applyFill="1" applyBorder="1" applyAlignment="1">
      <alignment horizontal="center"/>
    </xf>
    <xf numFmtId="0" fontId="1" fillId="4" borderId="5" xfId="2" applyFill="1" applyBorder="1"/>
    <xf numFmtId="0" fontId="1" fillId="4" borderId="6" xfId="2" applyFill="1" applyBorder="1" applyAlignment="1">
      <alignment horizontal="center" vertical="center"/>
    </xf>
    <xf numFmtId="0" fontId="1" fillId="4" borderId="7" xfId="2" applyFill="1" applyBorder="1"/>
    <xf numFmtId="0" fontId="4" fillId="4" borderId="1" xfId="2" applyFont="1" applyFill="1" applyBorder="1" applyAlignment="1">
      <alignment horizontal="center" vertical="center"/>
    </xf>
    <xf numFmtId="0" fontId="4" fillId="4" borderId="8" xfId="2" applyFont="1" applyFill="1" applyBorder="1"/>
    <xf numFmtId="0" fontId="4" fillId="4" borderId="1" xfId="2" applyFont="1" applyFill="1" applyBorder="1"/>
    <xf numFmtId="0" fontId="1" fillId="4" borderId="3" xfId="2" applyFill="1" applyBorder="1" applyAlignment="1">
      <alignment horizontal="center" vertical="center"/>
    </xf>
    <xf numFmtId="0" fontId="1" fillId="4" borderId="11" xfId="2" applyFill="1" applyBorder="1"/>
    <xf numFmtId="0" fontId="1" fillId="4" borderId="4" xfId="2" applyFill="1" applyBorder="1"/>
    <xf numFmtId="0" fontId="1" fillId="4" borderId="9" xfId="2" applyFill="1" applyBorder="1"/>
    <xf numFmtId="0" fontId="1" fillId="4" borderId="2" xfId="2" applyFill="1" applyBorder="1"/>
    <xf numFmtId="0" fontId="1" fillId="4" borderId="1" xfId="2" applyFill="1" applyBorder="1"/>
    <xf numFmtId="0" fontId="4" fillId="4" borderId="2" xfId="2" applyFont="1" applyFill="1" applyBorder="1" applyAlignment="1">
      <alignment horizontal="center" vertical="center"/>
    </xf>
    <xf numFmtId="0" fontId="4" fillId="4" borderId="2" xfId="2" applyFont="1" applyFill="1" applyBorder="1"/>
    <xf numFmtId="0" fontId="35" fillId="0" borderId="0" xfId="3" applyFont="1">
      <alignment vertical="center"/>
    </xf>
    <xf numFmtId="0" fontId="1" fillId="0" borderId="7" xfId="2" applyBorder="1" applyAlignment="1">
      <alignment horizontal="center"/>
    </xf>
    <xf numFmtId="0" fontId="1" fillId="5" borderId="3" xfId="2" applyFill="1" applyBorder="1" applyAlignment="1">
      <alignment horizontal="center" vertical="center"/>
    </xf>
    <xf numFmtId="0" fontId="1" fillId="5" borderId="9" xfId="2" applyFill="1" applyBorder="1"/>
    <xf numFmtId="0" fontId="1" fillId="5" borderId="4" xfId="2" applyFill="1" applyBorder="1"/>
    <xf numFmtId="56" fontId="36" fillId="5" borderId="0" xfId="3" applyNumberFormat="1" applyFont="1" applyFill="1">
      <alignment vertical="center"/>
    </xf>
    <xf numFmtId="0" fontId="34" fillId="5" borderId="0" xfId="3" applyFill="1">
      <alignment vertical="center"/>
    </xf>
    <xf numFmtId="0" fontId="22" fillId="5" borderId="0" xfId="3" applyFont="1" applyFill="1">
      <alignment vertical="center"/>
    </xf>
    <xf numFmtId="56" fontId="34" fillId="5" borderId="0" xfId="3" applyNumberFormat="1" applyFill="1">
      <alignment vertical="center"/>
    </xf>
    <xf numFmtId="0" fontId="36" fillId="5" borderId="0" xfId="3" applyFont="1" applyFill="1">
      <alignment vertical="center"/>
    </xf>
    <xf numFmtId="0" fontId="1" fillId="5" borderId="4" xfId="2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1" fillId="5" borderId="2" xfId="2" applyFill="1" applyBorder="1" applyAlignment="1">
      <alignment horizontal="center" vertical="center"/>
    </xf>
    <xf numFmtId="0" fontId="1" fillId="5" borderId="2" xfId="2" applyFill="1" applyBorder="1"/>
    <xf numFmtId="0" fontId="1" fillId="5" borderId="1" xfId="2" applyFill="1" applyBorder="1"/>
    <xf numFmtId="0" fontId="4" fillId="5" borderId="2" xfId="2" applyFont="1" applyFill="1" applyBorder="1" applyAlignment="1">
      <alignment horizontal="center" vertical="center"/>
    </xf>
    <xf numFmtId="0" fontId="4" fillId="5" borderId="2" xfId="2" applyFont="1" applyFill="1" applyBorder="1"/>
    <xf numFmtId="0" fontId="4" fillId="5" borderId="1" xfId="2" applyFont="1" applyFill="1" applyBorder="1"/>
    <xf numFmtId="0" fontId="8" fillId="5" borderId="0" xfId="3" applyFont="1" applyFill="1">
      <alignment vertical="center"/>
    </xf>
    <xf numFmtId="0" fontId="7" fillId="5" borderId="0" xfId="2" applyFont="1" applyFill="1"/>
    <xf numFmtId="0" fontId="1" fillId="5" borderId="1" xfId="2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16" fillId="5" borderId="10" xfId="2" applyFont="1" applyFill="1" applyBorder="1" applyAlignment="1">
      <alignment horizontal="center" vertical="center"/>
    </xf>
    <xf numFmtId="0" fontId="16" fillId="5" borderId="3" xfId="2" applyFont="1" applyFill="1" applyBorder="1"/>
    <xf numFmtId="0" fontId="1" fillId="5" borderId="5" xfId="2" applyFill="1" applyBorder="1" applyAlignment="1">
      <alignment horizontal="center" vertical="center"/>
    </xf>
    <xf numFmtId="0" fontId="1" fillId="5" borderId="3" xfId="2" applyFill="1" applyBorder="1"/>
    <xf numFmtId="56" fontId="1" fillId="5" borderId="0" xfId="3" applyNumberFormat="1" applyFont="1" applyFill="1">
      <alignment vertical="center"/>
    </xf>
    <xf numFmtId="0" fontId="1" fillId="5" borderId="5" xfId="2" applyFill="1" applyBorder="1" applyAlignment="1">
      <alignment horizontal="center"/>
    </xf>
    <xf numFmtId="0" fontId="1" fillId="5" borderId="5" xfId="2" applyFill="1" applyBorder="1"/>
    <xf numFmtId="0" fontId="1" fillId="5" borderId="7" xfId="2" applyFill="1" applyBorder="1" applyAlignment="1">
      <alignment horizontal="center"/>
    </xf>
    <xf numFmtId="0" fontId="1" fillId="5" borderId="6" xfId="2" applyFill="1" applyBorder="1" applyAlignment="1">
      <alignment horizontal="center" vertical="center"/>
    </xf>
    <xf numFmtId="0" fontId="1" fillId="5" borderId="7" xfId="2" applyFill="1" applyBorder="1"/>
    <xf numFmtId="0" fontId="4" fillId="5" borderId="1" xfId="2" applyFont="1" applyFill="1" applyBorder="1" applyAlignment="1">
      <alignment horizontal="center" vertical="center"/>
    </xf>
    <xf numFmtId="0" fontId="4" fillId="5" borderId="8" xfId="2" applyFont="1" applyFill="1" applyBorder="1"/>
    <xf numFmtId="0" fontId="1" fillId="5" borderId="11" xfId="2" applyFill="1" applyBorder="1"/>
    <xf numFmtId="0" fontId="1" fillId="5" borderId="4" xfId="2" applyFill="1" applyBorder="1" applyAlignment="1">
      <alignment horizontal="center" vertical="center" shrinkToFit="1"/>
    </xf>
    <xf numFmtId="0" fontId="25" fillId="5" borderId="3" xfId="2" applyFont="1" applyFill="1" applyBorder="1" applyAlignment="1">
      <alignment horizontal="center" vertical="center"/>
    </xf>
    <xf numFmtId="56" fontId="35" fillId="0" borderId="0" xfId="3" applyNumberFormat="1" applyFont="1">
      <alignment vertical="center"/>
    </xf>
    <xf numFmtId="0" fontId="2" fillId="0" borderId="3" xfId="2" applyFont="1" applyBorder="1" applyAlignment="1">
      <alignment horizontal="center" vertical="center"/>
    </xf>
    <xf numFmtId="0" fontId="7" fillId="6" borderId="0" xfId="2" applyFont="1" applyFill="1"/>
    <xf numFmtId="0" fontId="34" fillId="6" borderId="0" xfId="3" applyFill="1">
      <alignment vertical="center"/>
    </xf>
    <xf numFmtId="0" fontId="1" fillId="7" borderId="1" xfId="2" applyFill="1" applyBorder="1" applyAlignment="1">
      <alignment horizontal="center" vertical="center"/>
    </xf>
    <xf numFmtId="0" fontId="1" fillId="7" borderId="2" xfId="2" applyFill="1" applyBorder="1" applyAlignment="1">
      <alignment horizontal="center" vertical="center"/>
    </xf>
    <xf numFmtId="0" fontId="4" fillId="7" borderId="3" xfId="2" applyFont="1" applyFill="1" applyBorder="1" applyAlignment="1">
      <alignment horizontal="center" vertical="center"/>
    </xf>
    <xf numFmtId="0" fontId="16" fillId="7" borderId="10" xfId="2" applyFont="1" applyFill="1" applyBorder="1" applyAlignment="1">
      <alignment horizontal="center" vertical="center"/>
    </xf>
    <xf numFmtId="0" fontId="16" fillId="7" borderId="3" xfId="2" applyFont="1" applyFill="1" applyBorder="1"/>
    <xf numFmtId="0" fontId="1" fillId="7" borderId="4" xfId="2" applyFill="1" applyBorder="1" applyAlignment="1">
      <alignment horizontal="center" vertical="center"/>
    </xf>
    <xf numFmtId="0" fontId="1" fillId="7" borderId="5" xfId="2" applyFill="1" applyBorder="1" applyAlignment="1">
      <alignment horizontal="center" vertical="center"/>
    </xf>
    <xf numFmtId="0" fontId="1" fillId="7" borderId="3" xfId="2" applyFill="1" applyBorder="1"/>
    <xf numFmtId="0" fontId="1" fillId="7" borderId="6" xfId="2" applyFill="1" applyBorder="1" applyAlignment="1">
      <alignment horizontal="center" vertical="center"/>
    </xf>
    <xf numFmtId="0" fontId="1" fillId="7" borderId="7" xfId="2" applyFill="1" applyBorder="1"/>
    <xf numFmtId="0" fontId="4" fillId="7" borderId="1" xfId="2" applyFont="1" applyFill="1" applyBorder="1" applyAlignment="1">
      <alignment horizontal="center" vertical="center"/>
    </xf>
    <xf numFmtId="0" fontId="4" fillId="7" borderId="8" xfId="2" applyFont="1" applyFill="1" applyBorder="1"/>
    <xf numFmtId="0" fontId="4" fillId="7" borderId="1" xfId="2" applyFont="1" applyFill="1" applyBorder="1"/>
    <xf numFmtId="0" fontId="1" fillId="7" borderId="3" xfId="2" applyFill="1" applyBorder="1" applyAlignment="1">
      <alignment horizontal="center" vertical="center"/>
    </xf>
    <xf numFmtId="0" fontId="1" fillId="7" borderId="11" xfId="2" applyFill="1" applyBorder="1"/>
    <xf numFmtId="0" fontId="1" fillId="7" borderId="4" xfId="2" applyFill="1" applyBorder="1"/>
    <xf numFmtId="0" fontId="1" fillId="7" borderId="9" xfId="2" applyFill="1" applyBorder="1"/>
    <xf numFmtId="0" fontId="1" fillId="7" borderId="2" xfId="2" applyFill="1" applyBorder="1"/>
    <xf numFmtId="0" fontId="1" fillId="7" borderId="1" xfId="2" applyFill="1" applyBorder="1"/>
    <xf numFmtId="0" fontId="4" fillId="7" borderId="2" xfId="2" applyFont="1" applyFill="1" applyBorder="1" applyAlignment="1">
      <alignment horizontal="center" vertical="center"/>
    </xf>
    <xf numFmtId="0" fontId="4" fillId="7" borderId="2" xfId="2" applyFont="1" applyFill="1" applyBorder="1"/>
    <xf numFmtId="56" fontId="1" fillId="0" borderId="4" xfId="2" applyNumberFormat="1" applyBorder="1" applyAlignment="1">
      <alignment horizontal="center" vertical="center" shrinkToFit="1"/>
    </xf>
    <xf numFmtId="0" fontId="1" fillId="0" borderId="11" xfId="2" applyBorder="1" applyAlignment="1">
      <alignment horizontal="center"/>
    </xf>
    <xf numFmtId="0" fontId="37" fillId="0" borderId="3" xfId="2" applyFont="1" applyBorder="1" applyAlignment="1">
      <alignment horizontal="center" vertical="center"/>
    </xf>
    <xf numFmtId="0" fontId="38" fillId="0" borderId="0" xfId="3" applyFont="1">
      <alignment vertical="center"/>
    </xf>
    <xf numFmtId="0" fontId="30" fillId="0" borderId="5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 shrinkToFit="1"/>
    </xf>
    <xf numFmtId="0" fontId="4" fillId="0" borderId="0" xfId="2" applyFont="1" applyAlignment="1">
      <alignment horizontal="center" vertical="center"/>
    </xf>
    <xf numFmtId="0" fontId="1" fillId="8" borderId="3" xfId="2" applyFill="1" applyBorder="1"/>
    <xf numFmtId="0" fontId="1" fillId="0" borderId="9" xfId="1" applyFont="1" applyBorder="1" applyAlignment="1" applyProtection="1"/>
    <xf numFmtId="0" fontId="37" fillId="0" borderId="4" xfId="2" applyFont="1" applyBorder="1" applyAlignment="1">
      <alignment horizontal="center" vertical="center"/>
    </xf>
    <xf numFmtId="0" fontId="33" fillId="0" borderId="3" xfId="2" applyFont="1" applyBorder="1" applyAlignment="1">
      <alignment horizontal="center" vertical="center"/>
    </xf>
    <xf numFmtId="0" fontId="1" fillId="0" borderId="4" xfId="2" applyBorder="1" applyAlignment="1">
      <alignment horizontal="left" vertical="center"/>
    </xf>
    <xf numFmtId="56" fontId="25" fillId="0" borderId="4" xfId="2" applyNumberFormat="1" applyFont="1" applyBorder="1" applyAlignment="1">
      <alignment horizontal="center" vertical="center"/>
    </xf>
    <xf numFmtId="0" fontId="7" fillId="9" borderId="0" xfId="2" applyFont="1" applyFill="1"/>
    <xf numFmtId="0" fontId="8" fillId="9" borderId="0" xfId="3" applyFont="1" applyFill="1">
      <alignment vertical="center"/>
    </xf>
    <xf numFmtId="0" fontId="1" fillId="0" borderId="10" xfId="2" applyBorder="1" applyAlignment="1">
      <alignment horizontal="center" vertical="center"/>
    </xf>
    <xf numFmtId="0" fontId="1" fillId="0" borderId="3" xfId="2" applyBorder="1" applyAlignment="1">
      <alignment horizontal="center" vertical="center" shrinkToFit="1"/>
    </xf>
    <xf numFmtId="0" fontId="35" fillId="0" borderId="0" xfId="0" applyFont="1">
      <alignment vertical="center"/>
    </xf>
    <xf numFmtId="0" fontId="37" fillId="2" borderId="3" xfId="2" applyFont="1" applyFill="1" applyBorder="1"/>
    <xf numFmtId="0" fontId="7" fillId="10" borderId="0" xfId="2" applyFont="1" applyFill="1"/>
    <xf numFmtId="0" fontId="8" fillId="10" borderId="0" xfId="3" applyFont="1" applyFill="1">
      <alignment vertical="center"/>
    </xf>
    <xf numFmtId="0" fontId="0" fillId="10" borderId="0" xfId="0" applyFill="1">
      <alignment vertical="center"/>
    </xf>
    <xf numFmtId="56" fontId="35" fillId="0" borderId="0" xfId="0" applyNumberFormat="1" applyFont="1">
      <alignment vertical="center"/>
    </xf>
    <xf numFmtId="56" fontId="36" fillId="0" borderId="0" xfId="0" applyNumberFormat="1" applyFont="1">
      <alignment vertical="center"/>
    </xf>
    <xf numFmtId="0" fontId="36" fillId="0" borderId="0" xfId="0" applyFont="1">
      <alignment vertical="center"/>
    </xf>
    <xf numFmtId="0" fontId="1" fillId="0" borderId="11" xfId="2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4" xfId="2" applyBorder="1"/>
    <xf numFmtId="0" fontId="1" fillId="0" borderId="3" xfId="2" applyBorder="1"/>
    <xf numFmtId="0" fontId="1" fillId="0" borderId="6" xfId="2" applyBorder="1"/>
    <xf numFmtId="0" fontId="1" fillId="0" borderId="12" xfId="2" applyBorder="1"/>
    <xf numFmtId="0" fontId="4" fillId="0" borderId="1" xfId="2" applyFont="1" applyBorder="1"/>
    <xf numFmtId="0" fontId="40" fillId="11" borderId="1" xfId="2" applyFont="1" applyFill="1" applyBorder="1" applyAlignment="1">
      <alignment horizontal="center" vertical="center"/>
    </xf>
    <xf numFmtId="0" fontId="40" fillId="12" borderId="1" xfId="2" applyFont="1" applyFill="1" applyBorder="1" applyAlignment="1">
      <alignment horizontal="center" vertical="center"/>
    </xf>
    <xf numFmtId="0" fontId="1" fillId="0" borderId="5" xfId="2" applyBorder="1" applyAlignment="1">
      <alignment horizontal="right" vertical="center"/>
    </xf>
    <xf numFmtId="0" fontId="40" fillId="11" borderId="2" xfId="2" applyFont="1" applyFill="1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14" xfId="2" applyBorder="1"/>
    <xf numFmtId="0" fontId="37" fillId="0" borderId="10" xfId="2" applyFont="1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1" fillId="0" borderId="16" xfId="2" applyBorder="1" applyAlignment="1">
      <alignment horizontal="center" vertical="center"/>
    </xf>
    <xf numFmtId="0" fontId="1" fillId="0" borderId="16" xfId="2" applyBorder="1"/>
    <xf numFmtId="0" fontId="1" fillId="0" borderId="17" xfId="2" applyBorder="1"/>
    <xf numFmtId="0" fontId="1" fillId="0" borderId="4" xfId="2" applyBorder="1" applyAlignment="1">
      <alignment vertical="center"/>
    </xf>
    <xf numFmtId="0" fontId="1" fillId="0" borderId="9" xfId="2" applyBorder="1" applyAlignment="1">
      <alignment vertical="center"/>
    </xf>
    <xf numFmtId="0" fontId="1" fillId="0" borderId="3" xfId="2" applyBorder="1" applyAlignment="1">
      <alignment vertical="center"/>
    </xf>
    <xf numFmtId="0" fontId="1" fillId="0" borderId="11" xfId="2" applyBorder="1" applyAlignment="1">
      <alignment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/>
    </xf>
    <xf numFmtId="56" fontId="36" fillId="0" borderId="0" xfId="0" applyNumberFormat="1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41" fillId="0" borderId="2" xfId="2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1" fillId="0" borderId="4" xfId="2" applyBorder="1" applyAlignment="1">
      <alignment horizontal="right" vertical="center"/>
    </xf>
    <xf numFmtId="0" fontId="1" fillId="0" borderId="3" xfId="2" applyBorder="1" applyAlignment="1">
      <alignment horizontal="right" vertical="center"/>
    </xf>
    <xf numFmtId="0" fontId="1" fillId="0" borderId="5" xfId="2" applyBorder="1" applyAlignment="1">
      <alignment vertical="center"/>
    </xf>
    <xf numFmtId="38" fontId="8" fillId="0" borderId="0" xfId="4" applyFont="1" applyFill="1">
      <alignment vertical="center"/>
    </xf>
    <xf numFmtId="38" fontId="1" fillId="0" borderId="1" xfId="4" applyFont="1" applyBorder="1" applyAlignment="1">
      <alignment horizontal="center" vertical="center"/>
    </xf>
    <xf numFmtId="38" fontId="1" fillId="2" borderId="3" xfId="4" applyFont="1" applyFill="1" applyBorder="1" applyAlignment="1"/>
    <xf numFmtId="38" fontId="4" fillId="2" borderId="1" xfId="4" applyFont="1" applyFill="1" applyBorder="1" applyAlignment="1"/>
    <xf numFmtId="38" fontId="37" fillId="2" borderId="3" xfId="4" applyFont="1" applyFill="1" applyBorder="1" applyAlignment="1"/>
    <xf numFmtId="38" fontId="1" fillId="2" borderId="1" xfId="4" applyFont="1" applyFill="1" applyBorder="1" applyAlignment="1"/>
    <xf numFmtId="38" fontId="0" fillId="0" borderId="0" xfId="4" applyFont="1">
      <alignment vertical="center"/>
    </xf>
    <xf numFmtId="0" fontId="1" fillId="0" borderId="4" xfId="2" applyBorder="1" applyAlignment="1">
      <alignment horizontal="center"/>
    </xf>
    <xf numFmtId="0" fontId="1" fillId="0" borderId="3" xfId="2" applyBorder="1" applyAlignment="1">
      <alignment horizontal="center"/>
    </xf>
    <xf numFmtId="0" fontId="1" fillId="0" borderId="18" xfId="2" applyBorder="1" applyAlignment="1">
      <alignment vertical="center"/>
    </xf>
    <xf numFmtId="0" fontId="1" fillId="0" borderId="18" xfId="2" applyBorder="1"/>
    <xf numFmtId="0" fontId="1" fillId="0" borderId="19" xfId="2" applyBorder="1" applyAlignment="1">
      <alignment vertical="center"/>
    </xf>
    <xf numFmtId="0" fontId="1" fillId="0" borderId="14" xfId="2" applyBorder="1" applyAlignment="1">
      <alignment vertical="center"/>
    </xf>
    <xf numFmtId="0" fontId="0" fillId="0" borderId="0" xfId="3" applyFont="1">
      <alignment vertical="center"/>
    </xf>
    <xf numFmtId="0" fontId="1" fillId="0" borderId="4" xfId="2" applyBorder="1" applyAlignment="1">
      <alignment horizontal="right"/>
    </xf>
    <xf numFmtId="0" fontId="1" fillId="0" borderId="11" xfId="2" applyBorder="1" applyAlignment="1">
      <alignment horizontal="right" vertical="center"/>
    </xf>
    <xf numFmtId="0" fontId="1" fillId="0" borderId="9" xfId="2" applyBorder="1" applyAlignment="1">
      <alignment horizontal="right"/>
    </xf>
    <xf numFmtId="0" fontId="1" fillId="0" borderId="9" xfId="2" applyBorder="1" applyAlignment="1">
      <alignment horizontal="right" vertical="center"/>
    </xf>
    <xf numFmtId="0" fontId="1" fillId="0" borderId="6" xfId="2" applyBorder="1" applyAlignment="1">
      <alignment vertical="center"/>
    </xf>
    <xf numFmtId="0" fontId="1" fillId="0" borderId="6" xfId="2" applyBorder="1" applyAlignment="1">
      <alignment horizontal="center"/>
    </xf>
    <xf numFmtId="0" fontId="1" fillId="0" borderId="12" xfId="2" applyBorder="1" applyAlignment="1">
      <alignment horizontal="center"/>
    </xf>
    <xf numFmtId="0" fontId="42" fillId="0" borderId="0" xfId="0" applyFont="1">
      <alignment vertical="center"/>
    </xf>
    <xf numFmtId="0" fontId="1" fillId="0" borderId="16" xfId="2" applyBorder="1" applyAlignment="1">
      <alignment horizontal="right" vertical="center"/>
    </xf>
    <xf numFmtId="0" fontId="37" fillId="0" borderId="9" xfId="2" applyFont="1" applyBorder="1" applyAlignment="1">
      <alignment horizontal="center" vertical="center"/>
    </xf>
    <xf numFmtId="56" fontId="35" fillId="0" borderId="0" xfId="0" applyNumberFormat="1" applyFont="1" applyAlignment="1">
      <alignment horizontal="left" vertical="center"/>
    </xf>
    <xf numFmtId="0" fontId="1" fillId="0" borderId="16" xfId="2" applyBorder="1" applyAlignment="1">
      <alignment horizontal="center"/>
    </xf>
    <xf numFmtId="0" fontId="1" fillId="0" borderId="14" xfId="2" applyBorder="1" applyAlignment="1">
      <alignment horizontal="center"/>
    </xf>
    <xf numFmtId="0" fontId="1" fillId="0" borderId="17" xfId="2" applyBorder="1" applyAlignment="1">
      <alignment horizontal="center"/>
    </xf>
    <xf numFmtId="0" fontId="43" fillId="0" borderId="4" xfId="2" applyFont="1" applyBorder="1" applyAlignment="1">
      <alignment horizontal="center" vertical="center"/>
    </xf>
    <xf numFmtId="0" fontId="41" fillId="0" borderId="4" xfId="2" applyFont="1" applyBorder="1" applyAlignment="1">
      <alignment horizontal="center" vertical="center"/>
    </xf>
    <xf numFmtId="56" fontId="0" fillId="0" borderId="0" xfId="0" applyNumberFormat="1" applyAlignment="1">
      <alignment horizontal="left" vertical="center"/>
    </xf>
    <xf numFmtId="0" fontId="41" fillId="0" borderId="9" xfId="2" applyFont="1" applyBorder="1" applyAlignment="1">
      <alignment vertical="center"/>
    </xf>
    <xf numFmtId="38" fontId="41" fillId="2" borderId="3" xfId="4" applyFont="1" applyFill="1" applyBorder="1" applyAlignment="1"/>
    <xf numFmtId="0" fontId="44" fillId="0" borderId="0" xfId="0" applyFont="1" applyAlignment="1">
      <alignment horizontal="left" vertical="center"/>
    </xf>
    <xf numFmtId="0" fontId="41" fillId="0" borderId="9" xfId="2" applyFont="1" applyBorder="1"/>
    <xf numFmtId="0" fontId="37" fillId="0" borderId="5" xfId="2" applyFont="1" applyBorder="1"/>
    <xf numFmtId="0" fontId="41" fillId="0" borderId="3" xfId="2" applyFont="1" applyBorder="1" applyAlignment="1">
      <alignment horizontal="center" vertical="center"/>
    </xf>
    <xf numFmtId="0" fontId="41" fillId="2" borderId="4" xfId="2" applyFont="1" applyFill="1" applyBorder="1"/>
    <xf numFmtId="0" fontId="44" fillId="0" borderId="0" xfId="0" applyFont="1">
      <alignment vertical="center"/>
    </xf>
    <xf numFmtId="38" fontId="43" fillId="2" borderId="3" xfId="4" applyFont="1" applyFill="1" applyBorder="1" applyAlignment="1"/>
    <xf numFmtId="0" fontId="41" fillId="0" borderId="11" xfId="2" applyFont="1" applyBorder="1" applyAlignment="1">
      <alignment horizontal="right" vertical="center"/>
    </xf>
    <xf numFmtId="0" fontId="43" fillId="0" borderId="3" xfId="2" applyFont="1" applyBorder="1" applyAlignment="1">
      <alignment horizontal="center" vertical="center"/>
    </xf>
    <xf numFmtId="0" fontId="41" fillId="0" borderId="9" xfId="2" applyFont="1" applyBorder="1" applyAlignment="1">
      <alignment horizontal="right" vertical="center"/>
    </xf>
    <xf numFmtId="0" fontId="1" fillId="0" borderId="9" xfId="2" applyBorder="1" applyAlignment="1">
      <alignment horizontal="center"/>
    </xf>
    <xf numFmtId="56" fontId="36" fillId="0" borderId="4" xfId="0" applyNumberFormat="1" applyFont="1" applyBorder="1">
      <alignment vertical="center"/>
    </xf>
    <xf numFmtId="56" fontId="42" fillId="0" borderId="0" xfId="0" applyNumberFormat="1" applyFont="1" applyAlignment="1">
      <alignment horizontal="left" vertical="center"/>
    </xf>
    <xf numFmtId="0" fontId="37" fillId="0" borderId="16" xfId="2" applyFont="1" applyBorder="1" applyAlignment="1">
      <alignment horizontal="center" vertical="center"/>
    </xf>
    <xf numFmtId="0" fontId="41" fillId="0" borderId="11" xfId="2" applyFont="1" applyBorder="1" applyAlignment="1">
      <alignment horizontal="center" vertical="center"/>
    </xf>
    <xf numFmtId="56" fontId="44" fillId="0" borderId="0" xfId="0" applyNumberFormat="1" applyFont="1" applyAlignment="1">
      <alignment horizontal="left" vertical="center"/>
    </xf>
    <xf numFmtId="0" fontId="37" fillId="0" borderId="11" xfId="2" applyFont="1" applyBorder="1" applyAlignment="1">
      <alignment horizontal="right" vertical="center"/>
    </xf>
    <xf numFmtId="0" fontId="37" fillId="0" borderId="9" xfId="2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1" fillId="0" borderId="11" xfId="2" applyFont="1" applyBorder="1" applyAlignment="1">
      <alignment vertical="center"/>
    </xf>
    <xf numFmtId="0" fontId="1" fillId="13" borderId="9" xfId="2" applyFill="1" applyBorder="1"/>
    <xf numFmtId="0" fontId="1" fillId="13" borderId="9" xfId="2" applyFill="1" applyBorder="1" applyAlignment="1">
      <alignment vertical="center"/>
    </xf>
    <xf numFmtId="0" fontId="1" fillId="0" borderId="11" xfId="2" applyBorder="1" applyAlignment="1">
      <alignment horizontal="right"/>
    </xf>
    <xf numFmtId="0" fontId="41" fillId="0" borderId="9" xfId="2" applyFont="1" applyBorder="1" applyAlignment="1">
      <alignment horizontal="center"/>
    </xf>
    <xf numFmtId="0" fontId="41" fillId="0" borderId="9" xfId="2" applyFont="1" applyBorder="1" applyAlignment="1">
      <alignment horizontal="right"/>
    </xf>
    <xf numFmtId="0" fontId="37" fillId="0" borderId="9" xfId="2" applyFont="1" applyBorder="1"/>
    <xf numFmtId="0" fontId="37" fillId="2" borderId="4" xfId="2" applyFont="1" applyFill="1" applyBorder="1"/>
    <xf numFmtId="38" fontId="1" fillId="0" borderId="0" xfId="4" applyFont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38" fontId="4" fillId="0" borderId="0" xfId="4" applyFont="1" applyFill="1" applyBorder="1" applyAlignment="1"/>
    <xf numFmtId="3" fontId="1" fillId="2" borderId="3" xfId="4" applyNumberFormat="1" applyFont="1" applyFill="1" applyBorder="1" applyAlignment="1"/>
    <xf numFmtId="0" fontId="37" fillId="0" borderId="9" xfId="2" applyFont="1" applyBorder="1" applyAlignment="1">
      <alignment horizontal="right" vertical="center"/>
    </xf>
    <xf numFmtId="0" fontId="37" fillId="15" borderId="9" xfId="2" applyFont="1" applyFill="1" applyBorder="1" applyAlignment="1">
      <alignment horizontal="right"/>
    </xf>
    <xf numFmtId="0" fontId="42" fillId="0" borderId="0" xfId="0" applyFont="1" applyAlignment="1">
      <alignment horizontal="left" vertical="center"/>
    </xf>
    <xf numFmtId="0" fontId="43" fillId="0" borderId="11" xfId="2" applyFont="1" applyBorder="1" applyAlignment="1">
      <alignment horizontal="right" vertical="center"/>
    </xf>
    <xf numFmtId="0" fontId="43" fillId="0" borderId="9" xfId="2" applyFont="1" applyBorder="1" applyAlignment="1">
      <alignment horizontal="right"/>
    </xf>
    <xf numFmtId="0" fontId="43" fillId="15" borderId="9" xfId="2" applyFont="1" applyFill="1" applyBorder="1" applyAlignment="1">
      <alignment horizontal="right"/>
    </xf>
    <xf numFmtId="0" fontId="43" fillId="0" borderId="9" xfId="2" applyFont="1" applyBorder="1"/>
    <xf numFmtId="0" fontId="43" fillId="2" borderId="4" xfId="2" applyFont="1" applyFill="1" applyBorder="1"/>
    <xf numFmtId="0" fontId="46" fillId="0" borderId="4" xfId="2" applyFont="1" applyBorder="1" applyAlignment="1">
      <alignment horizontal="center" vertical="center"/>
    </xf>
    <xf numFmtId="0" fontId="46" fillId="0" borderId="9" xfId="2" applyFont="1" applyBorder="1" applyAlignment="1">
      <alignment horizontal="center" vertical="center"/>
    </xf>
    <xf numFmtId="0" fontId="46" fillId="0" borderId="16" xfId="2" applyFont="1" applyBorder="1" applyAlignment="1">
      <alignment horizontal="center" vertical="center"/>
    </xf>
    <xf numFmtId="38" fontId="46" fillId="2" borderId="3" xfId="4" applyFont="1" applyFill="1" applyBorder="1" applyAlignment="1"/>
    <xf numFmtId="56" fontId="34" fillId="0" borderId="0" xfId="0" applyNumberFormat="1" applyFont="1" applyAlignment="1">
      <alignment horizontal="left" vertical="center"/>
    </xf>
    <xf numFmtId="0" fontId="46" fillId="0" borderId="3" xfId="2" applyFont="1" applyBorder="1" applyAlignment="1">
      <alignment horizontal="center" vertical="center"/>
    </xf>
    <xf numFmtId="0" fontId="46" fillId="0" borderId="11" xfId="2" applyFont="1" applyBorder="1" applyAlignment="1">
      <alignment horizontal="right" vertical="center"/>
    </xf>
    <xf numFmtId="0" fontId="46" fillId="0" borderId="9" xfId="2" applyFont="1" applyBorder="1" applyAlignment="1">
      <alignment horizontal="right"/>
    </xf>
    <xf numFmtId="0" fontId="45" fillId="14" borderId="0" xfId="0" applyFont="1" applyFill="1" applyAlignment="1">
      <alignment horizontal="center" vertical="center"/>
    </xf>
  </cellXfs>
  <cellStyles count="5">
    <cellStyle name="ハイパーリンク" xfId="1" builtinId="8"/>
    <cellStyle name="桁区切り" xfId="4" builtinId="6"/>
    <cellStyle name="標準" xfId="0" builtinId="0"/>
    <cellStyle name="標準 2" xfId="2" xr:uid="{00000000-0005-0000-0000-000003000000}"/>
    <cellStyle name="標準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19"/>
  <sheetViews>
    <sheetView topLeftCell="A3981" workbookViewId="0">
      <selection activeCell="E3933" sqref="E3933"/>
    </sheetView>
  </sheetViews>
  <sheetFormatPr defaultRowHeight="13.5" x14ac:dyDescent="0.15"/>
  <cols>
    <col min="1" max="1" width="5" style="1" customWidth="1"/>
    <col min="2" max="2" width="27.125" style="1" customWidth="1"/>
    <col min="3" max="4" width="11.375" style="1" customWidth="1"/>
    <col min="5" max="5" width="10.375" style="1" customWidth="1"/>
    <col min="6" max="6" width="26.75" style="1" customWidth="1"/>
    <col min="7" max="8" width="13.125" style="1" customWidth="1"/>
    <col min="9" max="9" width="10.375" style="1" customWidth="1"/>
    <col min="10" max="10" width="5" style="1" customWidth="1"/>
    <col min="11" max="11" width="28.125" style="1" customWidth="1"/>
    <col min="12" max="13" width="10.875" style="1" customWidth="1"/>
    <col min="14" max="14" width="8.875" style="1" customWidth="1"/>
    <col min="15" max="16384" width="9" style="1"/>
  </cols>
  <sheetData>
    <row r="1" spans="1:15" ht="26.25" customHeight="1" thickBot="1" x14ac:dyDescent="0.25">
      <c r="A1" s="27" t="s">
        <v>8</v>
      </c>
      <c r="B1" s="28"/>
      <c r="C1" s="28"/>
      <c r="D1" s="28"/>
      <c r="E1" s="28"/>
      <c r="F1" s="28"/>
      <c r="G1" s="28"/>
      <c r="H1" s="28"/>
      <c r="I1" s="28"/>
      <c r="J1" s="27" t="s">
        <v>7</v>
      </c>
    </row>
    <row r="2" spans="1:15" ht="14.25" thickBot="1" x14ac:dyDescent="0.2">
      <c r="B2" s="2"/>
      <c r="C2" s="3" t="s">
        <v>0</v>
      </c>
      <c r="D2" s="2" t="s">
        <v>1</v>
      </c>
      <c r="E2" s="22"/>
      <c r="F2" s="22"/>
      <c r="G2" s="22"/>
      <c r="H2" s="22"/>
      <c r="I2" s="22"/>
      <c r="K2" s="2"/>
      <c r="L2" s="3" t="s">
        <v>0</v>
      </c>
      <c r="M2" s="2" t="s">
        <v>1</v>
      </c>
    </row>
    <row r="3" spans="1:15" x14ac:dyDescent="0.15">
      <c r="B3" s="41" t="s">
        <v>2</v>
      </c>
      <c r="C3" s="38">
        <v>100</v>
      </c>
      <c r="D3" s="39">
        <f t="shared" ref="D3:D13" si="0">SUM(C3:C3)</f>
        <v>100</v>
      </c>
      <c r="E3" s="42">
        <v>41312</v>
      </c>
      <c r="F3" s="42"/>
      <c r="G3" s="42"/>
      <c r="H3" s="42"/>
      <c r="I3" s="42"/>
      <c r="K3" s="20" t="s">
        <v>2</v>
      </c>
      <c r="L3" s="38">
        <v>986</v>
      </c>
      <c r="M3" s="39">
        <f t="shared" ref="M3:M13" si="1">SUM(L3:L3)</f>
        <v>986</v>
      </c>
      <c r="N3" s="40">
        <v>41311</v>
      </c>
    </row>
    <row r="4" spans="1:15" x14ac:dyDescent="0.15">
      <c r="B4" s="6" t="s">
        <v>3</v>
      </c>
      <c r="C4" s="7">
        <v>200</v>
      </c>
      <c r="D4" s="5">
        <f t="shared" si="0"/>
        <v>200</v>
      </c>
      <c r="E4" s="25">
        <v>41344</v>
      </c>
      <c r="F4" s="25"/>
      <c r="G4" s="25"/>
      <c r="H4" s="25"/>
      <c r="I4" s="25"/>
      <c r="J4" s="29"/>
      <c r="K4" s="6" t="s">
        <v>3</v>
      </c>
      <c r="L4" s="7">
        <v>4000</v>
      </c>
      <c r="M4" s="5">
        <f t="shared" si="1"/>
        <v>4000</v>
      </c>
      <c r="N4" s="26">
        <v>41334</v>
      </c>
      <c r="O4" s="45"/>
    </row>
    <row r="5" spans="1:15" x14ac:dyDescent="0.15">
      <c r="B5" s="6" t="s">
        <v>3</v>
      </c>
      <c r="C5" s="7">
        <v>100</v>
      </c>
      <c r="D5" s="5">
        <f t="shared" si="0"/>
        <v>100</v>
      </c>
      <c r="E5" s="25">
        <v>41359</v>
      </c>
      <c r="F5" s="25"/>
      <c r="G5" s="25"/>
      <c r="H5" s="25"/>
      <c r="I5" s="25"/>
      <c r="K5" s="6" t="s">
        <v>3</v>
      </c>
      <c r="L5" s="7"/>
      <c r="M5" s="5">
        <f t="shared" si="1"/>
        <v>0</v>
      </c>
    </row>
    <row r="6" spans="1:15" x14ac:dyDescent="0.15">
      <c r="B6" s="6" t="s">
        <v>3</v>
      </c>
      <c r="C6" s="7">
        <v>100</v>
      </c>
      <c r="D6" s="5">
        <f t="shared" si="0"/>
        <v>100</v>
      </c>
      <c r="E6" s="25">
        <v>41370</v>
      </c>
      <c r="F6" s="25"/>
      <c r="G6" s="25"/>
      <c r="H6" s="25"/>
      <c r="I6" s="25"/>
      <c r="J6" s="29"/>
      <c r="K6" s="6" t="s">
        <v>3</v>
      </c>
      <c r="L6" s="7"/>
      <c r="M6" s="5">
        <f t="shared" si="1"/>
        <v>0</v>
      </c>
    </row>
    <row r="7" spans="1:15" x14ac:dyDescent="0.15">
      <c r="B7" s="6" t="s">
        <v>3</v>
      </c>
      <c r="C7" s="7">
        <v>100</v>
      </c>
      <c r="D7" s="5">
        <f t="shared" si="0"/>
        <v>100</v>
      </c>
      <c r="E7" s="25">
        <v>41376</v>
      </c>
      <c r="F7" s="25"/>
      <c r="G7" s="25"/>
      <c r="H7" s="25"/>
      <c r="I7" s="25"/>
      <c r="J7" s="29"/>
      <c r="K7" s="6" t="s">
        <v>3</v>
      </c>
      <c r="L7" s="7"/>
      <c r="M7" s="5">
        <f t="shared" si="1"/>
        <v>0</v>
      </c>
    </row>
    <row r="8" spans="1:15" x14ac:dyDescent="0.15">
      <c r="B8" s="6" t="s">
        <v>3</v>
      </c>
      <c r="C8" s="7"/>
      <c r="D8" s="5">
        <f t="shared" si="0"/>
        <v>0</v>
      </c>
      <c r="E8" s="25"/>
      <c r="F8" s="25"/>
      <c r="G8" s="25"/>
      <c r="H8" s="25"/>
      <c r="I8" s="25"/>
      <c r="K8" s="6" t="s">
        <v>3</v>
      </c>
      <c r="L8" s="7"/>
      <c r="M8" s="5">
        <f t="shared" si="1"/>
        <v>0</v>
      </c>
    </row>
    <row r="9" spans="1:15" x14ac:dyDescent="0.15">
      <c r="B9" s="6" t="s">
        <v>3</v>
      </c>
      <c r="C9" s="7"/>
      <c r="D9" s="5">
        <f t="shared" si="0"/>
        <v>0</v>
      </c>
      <c r="E9" s="23"/>
      <c r="F9" s="23"/>
      <c r="G9" s="23"/>
      <c r="H9" s="23"/>
      <c r="I9" s="23"/>
      <c r="K9" s="6" t="s">
        <v>3</v>
      </c>
      <c r="L9" s="7"/>
      <c r="M9" s="5">
        <f t="shared" si="1"/>
        <v>0</v>
      </c>
    </row>
    <row r="10" spans="1:15" x14ac:dyDescent="0.15">
      <c r="B10" s="6" t="s">
        <v>3</v>
      </c>
      <c r="C10" s="8"/>
      <c r="D10" s="5">
        <f t="shared" si="0"/>
        <v>0</v>
      </c>
      <c r="E10" s="23"/>
      <c r="F10" s="23"/>
      <c r="G10" s="23"/>
      <c r="H10" s="23"/>
      <c r="I10" s="23"/>
      <c r="K10" s="6" t="s">
        <v>3</v>
      </c>
      <c r="L10" s="8"/>
      <c r="M10" s="5">
        <f t="shared" si="1"/>
        <v>0</v>
      </c>
    </row>
    <row r="11" spans="1:15" x14ac:dyDescent="0.15">
      <c r="B11" s="6" t="s">
        <v>3</v>
      </c>
      <c r="C11" s="8"/>
      <c r="D11" s="5">
        <f t="shared" si="0"/>
        <v>0</v>
      </c>
      <c r="E11" s="23"/>
      <c r="F11" s="23"/>
      <c r="G11" s="23"/>
      <c r="H11" s="23"/>
      <c r="I11" s="23"/>
      <c r="K11" s="6" t="s">
        <v>3</v>
      </c>
      <c r="L11" s="8"/>
      <c r="M11" s="5">
        <f t="shared" si="1"/>
        <v>0</v>
      </c>
    </row>
    <row r="12" spans="1:15" x14ac:dyDescent="0.15">
      <c r="B12" s="6" t="s">
        <v>3</v>
      </c>
      <c r="C12" s="8"/>
      <c r="D12" s="5">
        <f t="shared" si="0"/>
        <v>0</v>
      </c>
      <c r="E12" s="23"/>
      <c r="F12" s="23"/>
      <c r="G12" s="23"/>
      <c r="H12" s="23"/>
      <c r="I12" s="23"/>
      <c r="K12" s="6" t="s">
        <v>3</v>
      </c>
      <c r="L12" s="8"/>
      <c r="M12" s="5">
        <f t="shared" si="1"/>
        <v>0</v>
      </c>
    </row>
    <row r="13" spans="1:15" ht="14.25" thickBot="1" x14ac:dyDescent="0.2">
      <c r="B13" s="9" t="s">
        <v>3</v>
      </c>
      <c r="C13" s="10"/>
      <c r="D13" s="5">
        <f t="shared" si="0"/>
        <v>0</v>
      </c>
      <c r="E13" s="23"/>
      <c r="F13" s="23"/>
      <c r="G13" s="23"/>
      <c r="H13" s="23"/>
      <c r="I13" s="23"/>
      <c r="K13" s="9" t="s">
        <v>3</v>
      </c>
      <c r="L13" s="10"/>
      <c r="M13" s="5">
        <f t="shared" si="1"/>
        <v>0</v>
      </c>
    </row>
    <row r="14" spans="1:15" ht="14.25" thickBot="1" x14ac:dyDescent="0.2">
      <c r="B14" s="11" t="s">
        <v>4</v>
      </c>
      <c r="C14" s="12">
        <f>SUM(C3:C13)</f>
        <v>600</v>
      </c>
      <c r="D14" s="13">
        <f>SUM(D3:D13)</f>
        <v>600</v>
      </c>
      <c r="E14" s="24"/>
      <c r="F14" s="24"/>
      <c r="G14" s="24"/>
      <c r="H14" s="24"/>
      <c r="I14" s="24"/>
      <c r="K14" s="11" t="s">
        <v>4</v>
      </c>
      <c r="L14" s="12">
        <f>SUM(L3:L13)</f>
        <v>4986</v>
      </c>
      <c r="M14" s="13">
        <f>SUM(M3:M13)</f>
        <v>4986</v>
      </c>
    </row>
    <row r="15" spans="1:15" x14ac:dyDescent="0.15">
      <c r="B15" s="4" t="s">
        <v>10</v>
      </c>
      <c r="C15" s="44">
        <v>40</v>
      </c>
      <c r="D15" s="14">
        <f t="shared" ref="D15:D38" si="2">SUM(C15:C15)</f>
        <v>40</v>
      </c>
      <c r="E15" s="25">
        <v>41313</v>
      </c>
      <c r="F15" s="25"/>
      <c r="G15" s="25"/>
      <c r="H15" s="25"/>
      <c r="I15" s="25"/>
      <c r="K15" s="4" t="s">
        <v>9</v>
      </c>
      <c r="L15" s="44">
        <v>100</v>
      </c>
      <c r="M15" s="14">
        <f t="shared" ref="M15:M38" si="3">SUM(L15:L15)</f>
        <v>100</v>
      </c>
      <c r="N15" s="26">
        <v>41312</v>
      </c>
      <c r="O15" s="31"/>
    </row>
    <row r="16" spans="1:15" x14ac:dyDescent="0.15">
      <c r="B16" s="4" t="s">
        <v>11</v>
      </c>
      <c r="C16" s="15">
        <v>10</v>
      </c>
      <c r="D16" s="14">
        <f t="shared" si="2"/>
        <v>10</v>
      </c>
      <c r="E16" s="25">
        <v>41332</v>
      </c>
      <c r="F16" s="25"/>
      <c r="G16" s="25"/>
      <c r="H16" s="25"/>
      <c r="I16" s="25"/>
      <c r="J16" s="36"/>
      <c r="K16" s="4" t="s">
        <v>9</v>
      </c>
      <c r="L16" s="15">
        <v>200</v>
      </c>
      <c r="M16" s="14">
        <f t="shared" si="3"/>
        <v>200</v>
      </c>
      <c r="N16" s="26">
        <v>41344</v>
      </c>
      <c r="O16" s="31"/>
    </row>
    <row r="17" spans="2:15" x14ac:dyDescent="0.15">
      <c r="B17" s="4" t="s">
        <v>13</v>
      </c>
      <c r="C17" s="15">
        <v>20</v>
      </c>
      <c r="D17" s="14">
        <f t="shared" si="2"/>
        <v>20</v>
      </c>
      <c r="E17" s="25">
        <v>41341</v>
      </c>
      <c r="F17" s="25"/>
      <c r="G17" s="25"/>
      <c r="H17" s="25"/>
      <c r="I17" s="25"/>
      <c r="K17" s="4" t="s">
        <v>9</v>
      </c>
      <c r="L17" s="15">
        <v>100</v>
      </c>
      <c r="M17" s="14">
        <f t="shared" si="3"/>
        <v>100</v>
      </c>
      <c r="N17" s="26">
        <v>41359</v>
      </c>
      <c r="O17" s="31"/>
    </row>
    <row r="18" spans="2:15" x14ac:dyDescent="0.15">
      <c r="B18" s="4" t="s">
        <v>12</v>
      </c>
      <c r="C18" s="15">
        <v>50</v>
      </c>
      <c r="D18" s="14">
        <f t="shared" si="2"/>
        <v>50</v>
      </c>
      <c r="E18" s="25">
        <v>41349</v>
      </c>
      <c r="F18" s="25"/>
      <c r="G18" s="25"/>
      <c r="H18" s="25"/>
      <c r="I18" s="25"/>
      <c r="K18" s="4" t="s">
        <v>20</v>
      </c>
      <c r="L18" s="15">
        <v>100</v>
      </c>
      <c r="M18" s="14">
        <f t="shared" si="3"/>
        <v>100</v>
      </c>
      <c r="N18" s="26">
        <v>41370</v>
      </c>
      <c r="O18" s="31"/>
    </row>
    <row r="19" spans="2:15" x14ac:dyDescent="0.15">
      <c r="B19" s="4" t="s">
        <v>14</v>
      </c>
      <c r="C19" s="15">
        <v>40</v>
      </c>
      <c r="D19" s="14">
        <f t="shared" si="2"/>
        <v>40</v>
      </c>
      <c r="E19" s="25">
        <v>41346</v>
      </c>
      <c r="F19" s="25"/>
      <c r="G19" s="25"/>
      <c r="H19" s="25"/>
      <c r="I19" s="25"/>
      <c r="K19" s="4" t="s">
        <v>9</v>
      </c>
      <c r="L19" s="15">
        <v>100</v>
      </c>
      <c r="M19" s="14">
        <f t="shared" si="3"/>
        <v>100</v>
      </c>
      <c r="N19" s="26">
        <v>41370</v>
      </c>
      <c r="O19" s="31"/>
    </row>
    <row r="20" spans="2:15" x14ac:dyDescent="0.15">
      <c r="B20" s="4" t="s">
        <v>15</v>
      </c>
      <c r="C20" s="15">
        <v>1</v>
      </c>
      <c r="D20" s="14">
        <f t="shared" si="2"/>
        <v>1</v>
      </c>
      <c r="E20" s="25" t="s">
        <v>16</v>
      </c>
      <c r="F20" s="25"/>
      <c r="G20" s="25"/>
      <c r="H20" s="25"/>
      <c r="I20" s="25"/>
      <c r="K20" s="4" t="s">
        <v>9</v>
      </c>
      <c r="L20" s="15">
        <v>100</v>
      </c>
      <c r="M20" s="14">
        <f t="shared" si="3"/>
        <v>100</v>
      </c>
      <c r="N20" s="26">
        <v>41376</v>
      </c>
      <c r="O20" s="31"/>
    </row>
    <row r="21" spans="2:15" x14ac:dyDescent="0.15">
      <c r="B21" s="4" t="s">
        <v>17</v>
      </c>
      <c r="C21" s="15">
        <v>40</v>
      </c>
      <c r="D21" s="14">
        <f t="shared" si="2"/>
        <v>40</v>
      </c>
      <c r="E21" s="25">
        <v>41352</v>
      </c>
      <c r="F21" s="25"/>
      <c r="G21" s="25"/>
      <c r="H21" s="25"/>
      <c r="I21" s="25"/>
      <c r="K21" s="4" t="s">
        <v>9</v>
      </c>
      <c r="L21" s="15">
        <v>300</v>
      </c>
      <c r="M21" s="14">
        <f t="shared" si="3"/>
        <v>300</v>
      </c>
      <c r="N21" s="26">
        <v>41382</v>
      </c>
    </row>
    <row r="22" spans="2:15" x14ac:dyDescent="0.15">
      <c r="B22" s="4" t="s">
        <v>15</v>
      </c>
      <c r="C22" s="15">
        <v>-1</v>
      </c>
      <c r="D22" s="14">
        <f t="shared" si="2"/>
        <v>-1</v>
      </c>
      <c r="E22" s="25">
        <v>41351</v>
      </c>
      <c r="F22" s="25"/>
      <c r="G22" s="25"/>
      <c r="H22" s="25"/>
      <c r="I22" s="25"/>
      <c r="K22" s="4" t="s">
        <v>9</v>
      </c>
      <c r="L22" s="15">
        <v>100</v>
      </c>
      <c r="M22" s="14">
        <f t="shared" si="3"/>
        <v>100</v>
      </c>
      <c r="N22" s="26">
        <v>41388</v>
      </c>
    </row>
    <row r="23" spans="2:15" x14ac:dyDescent="0.15">
      <c r="B23" s="4" t="s">
        <v>10</v>
      </c>
      <c r="C23" s="15">
        <v>20</v>
      </c>
      <c r="D23" s="14">
        <f t="shared" si="2"/>
        <v>20</v>
      </c>
      <c r="E23" s="25">
        <v>41360</v>
      </c>
      <c r="F23" s="25"/>
      <c r="G23" s="25"/>
      <c r="H23" s="25"/>
      <c r="I23" s="25"/>
      <c r="K23" s="4"/>
      <c r="L23" s="15"/>
      <c r="M23" s="14">
        <f t="shared" si="3"/>
        <v>0</v>
      </c>
      <c r="N23" s="26"/>
    </row>
    <row r="24" spans="2:15" x14ac:dyDescent="0.15">
      <c r="B24" s="4" t="s">
        <v>18</v>
      </c>
      <c r="C24" s="15">
        <v>50</v>
      </c>
      <c r="D24" s="14">
        <f t="shared" si="2"/>
        <v>50</v>
      </c>
      <c r="E24" s="25">
        <v>41358</v>
      </c>
      <c r="F24" s="25"/>
      <c r="G24" s="25"/>
      <c r="H24" s="25"/>
      <c r="I24" s="25"/>
      <c r="K24" s="4"/>
      <c r="L24" s="15"/>
      <c r="M24" s="14">
        <f t="shared" si="3"/>
        <v>0</v>
      </c>
      <c r="N24" s="26"/>
      <c r="O24" s="36"/>
    </row>
    <row r="25" spans="2:15" x14ac:dyDescent="0.15">
      <c r="B25" s="4" t="s">
        <v>11</v>
      </c>
      <c r="C25" s="15">
        <v>40</v>
      </c>
      <c r="D25" s="14">
        <f t="shared" si="2"/>
        <v>40</v>
      </c>
      <c r="E25" s="25">
        <v>41360</v>
      </c>
      <c r="F25" s="25"/>
      <c r="G25" s="25"/>
      <c r="H25" s="25"/>
      <c r="I25" s="25"/>
      <c r="K25" s="4"/>
      <c r="L25" s="15"/>
      <c r="M25" s="14">
        <f t="shared" si="3"/>
        <v>0</v>
      </c>
      <c r="N25" s="26"/>
    </row>
    <row r="26" spans="2:15" x14ac:dyDescent="0.15">
      <c r="B26" s="6"/>
      <c r="C26" s="15"/>
      <c r="D26" s="14">
        <f t="shared" si="2"/>
        <v>0</v>
      </c>
      <c r="E26" s="25"/>
      <c r="F26" s="25"/>
      <c r="G26" s="25"/>
      <c r="H26" s="25"/>
      <c r="I26" s="25"/>
      <c r="K26" s="6"/>
      <c r="L26" s="15"/>
      <c r="M26" s="14">
        <f t="shared" si="3"/>
        <v>0</v>
      </c>
    </row>
    <row r="27" spans="2:15" x14ac:dyDescent="0.15">
      <c r="B27" s="6" t="s">
        <v>19</v>
      </c>
      <c r="C27" s="15">
        <v>-1</v>
      </c>
      <c r="D27" s="14">
        <f t="shared" si="2"/>
        <v>-1</v>
      </c>
      <c r="E27" s="25">
        <v>41365</v>
      </c>
      <c r="F27" s="25"/>
      <c r="G27" s="25"/>
      <c r="H27" s="25"/>
      <c r="I27" s="25"/>
      <c r="K27" s="6"/>
      <c r="L27" s="15"/>
      <c r="M27" s="14">
        <f t="shared" si="3"/>
        <v>0</v>
      </c>
    </row>
    <row r="28" spans="2:15" x14ac:dyDescent="0.15">
      <c r="B28" s="4" t="s">
        <v>22</v>
      </c>
      <c r="C28" s="15">
        <v>60</v>
      </c>
      <c r="D28" s="14">
        <f t="shared" si="2"/>
        <v>60</v>
      </c>
      <c r="E28" s="25">
        <v>41372</v>
      </c>
      <c r="F28" s="25"/>
      <c r="G28" s="25"/>
      <c r="H28" s="25"/>
      <c r="I28" s="25"/>
      <c r="K28" s="6"/>
      <c r="L28" s="15"/>
      <c r="M28" s="14">
        <f t="shared" si="3"/>
        <v>0</v>
      </c>
    </row>
    <row r="29" spans="2:15" x14ac:dyDescent="0.15">
      <c r="B29" s="4" t="s">
        <v>23</v>
      </c>
      <c r="C29" s="15">
        <v>2</v>
      </c>
      <c r="D29" s="14">
        <f t="shared" si="2"/>
        <v>2</v>
      </c>
      <c r="E29" s="25">
        <v>41369</v>
      </c>
      <c r="F29" s="25"/>
      <c r="G29" s="25"/>
      <c r="H29" s="25"/>
      <c r="I29" s="25"/>
      <c r="K29" s="4"/>
      <c r="L29" s="15"/>
      <c r="M29" s="14">
        <f t="shared" si="3"/>
        <v>0</v>
      </c>
    </row>
    <row r="30" spans="2:15" x14ac:dyDescent="0.15">
      <c r="B30" s="4" t="s">
        <v>24</v>
      </c>
      <c r="C30" s="15">
        <v>20</v>
      </c>
      <c r="D30" s="14">
        <f t="shared" si="2"/>
        <v>20</v>
      </c>
      <c r="E30" s="25">
        <v>41374</v>
      </c>
      <c r="F30" s="25"/>
      <c r="G30" s="25"/>
      <c r="H30" s="25"/>
      <c r="I30" s="25"/>
      <c r="K30" s="6"/>
      <c r="L30" s="15"/>
      <c r="M30" s="14">
        <f t="shared" si="3"/>
        <v>0</v>
      </c>
    </row>
    <row r="31" spans="2:15" x14ac:dyDescent="0.15">
      <c r="B31" s="6" t="s">
        <v>21</v>
      </c>
      <c r="C31" s="15">
        <v>15</v>
      </c>
      <c r="D31" s="14">
        <f t="shared" si="2"/>
        <v>15</v>
      </c>
      <c r="E31" s="25">
        <v>41370</v>
      </c>
      <c r="F31" s="25"/>
      <c r="G31" s="25"/>
      <c r="H31" s="25"/>
      <c r="I31" s="25"/>
      <c r="K31" s="6"/>
      <c r="L31" s="15"/>
      <c r="M31" s="14">
        <f t="shared" si="3"/>
        <v>0</v>
      </c>
    </row>
    <row r="32" spans="2:15" x14ac:dyDescent="0.15">
      <c r="B32" s="4" t="s">
        <v>27</v>
      </c>
      <c r="C32" s="15">
        <v>2</v>
      </c>
      <c r="D32" s="14">
        <f t="shared" si="2"/>
        <v>2</v>
      </c>
      <c r="E32" s="25">
        <v>41376</v>
      </c>
      <c r="F32" s="25"/>
      <c r="G32" s="25"/>
      <c r="H32" s="25"/>
      <c r="I32" s="25"/>
      <c r="K32" s="6"/>
      <c r="L32" s="15"/>
      <c r="M32" s="14">
        <f t="shared" si="3"/>
        <v>0</v>
      </c>
    </row>
    <row r="33" spans="1:15" x14ac:dyDescent="0.15">
      <c r="B33" s="6" t="s">
        <v>25</v>
      </c>
      <c r="C33" s="15">
        <v>1</v>
      </c>
      <c r="D33" s="14">
        <f t="shared" si="2"/>
        <v>1</v>
      </c>
      <c r="E33" s="25">
        <v>41373</v>
      </c>
      <c r="F33" s="25"/>
      <c r="G33" s="25"/>
      <c r="H33" s="25"/>
      <c r="I33" s="25"/>
      <c r="K33" s="6"/>
      <c r="L33" s="15"/>
      <c r="M33" s="14">
        <f t="shared" si="3"/>
        <v>0</v>
      </c>
    </row>
    <row r="34" spans="1:15" x14ac:dyDescent="0.15">
      <c r="B34" s="4" t="s">
        <v>30</v>
      </c>
      <c r="C34" s="15">
        <v>20</v>
      </c>
      <c r="D34" s="14">
        <f t="shared" si="2"/>
        <v>20</v>
      </c>
      <c r="E34" s="25">
        <v>41381</v>
      </c>
      <c r="F34" s="25"/>
      <c r="G34" s="25"/>
      <c r="H34" s="25"/>
      <c r="I34" s="25"/>
      <c r="K34" s="6"/>
      <c r="L34" s="15"/>
      <c r="M34" s="14">
        <f t="shared" si="3"/>
        <v>0</v>
      </c>
    </row>
    <row r="35" spans="1:15" x14ac:dyDescent="0.15">
      <c r="B35" s="4" t="s">
        <v>11</v>
      </c>
      <c r="C35" s="15">
        <v>60</v>
      </c>
      <c r="D35" s="14">
        <f t="shared" si="2"/>
        <v>60</v>
      </c>
      <c r="E35" s="25">
        <v>41377</v>
      </c>
      <c r="F35" s="25"/>
      <c r="G35" s="25"/>
      <c r="H35" s="25"/>
      <c r="I35" s="25"/>
      <c r="K35" s="6"/>
      <c r="L35" s="15"/>
      <c r="M35" s="14">
        <f t="shared" si="3"/>
        <v>0</v>
      </c>
      <c r="N35" s="37"/>
      <c r="O35" s="31"/>
    </row>
    <row r="36" spans="1:15" x14ac:dyDescent="0.15">
      <c r="B36" s="4" t="s">
        <v>29</v>
      </c>
      <c r="C36" s="15">
        <v>7</v>
      </c>
      <c r="D36" s="14">
        <f t="shared" si="2"/>
        <v>7</v>
      </c>
      <c r="E36" s="25">
        <v>41380</v>
      </c>
      <c r="F36" s="25"/>
      <c r="G36" s="25"/>
      <c r="H36" s="25"/>
      <c r="I36" s="25"/>
      <c r="K36" s="6"/>
      <c r="L36" s="15"/>
      <c r="M36" s="14">
        <f t="shared" si="3"/>
        <v>0</v>
      </c>
    </row>
    <row r="37" spans="1:15" x14ac:dyDescent="0.15">
      <c r="B37" s="6" t="s">
        <v>28</v>
      </c>
      <c r="C37" s="15">
        <v>1</v>
      </c>
      <c r="D37" s="14">
        <f t="shared" si="2"/>
        <v>1</v>
      </c>
      <c r="E37" s="25">
        <v>41375</v>
      </c>
      <c r="F37" s="25"/>
      <c r="G37" s="25"/>
      <c r="H37" s="25"/>
      <c r="I37" s="25"/>
      <c r="J37" s="35"/>
      <c r="K37" s="4"/>
      <c r="L37" s="15"/>
      <c r="M37" s="14">
        <f t="shared" si="3"/>
        <v>0</v>
      </c>
      <c r="N37" s="26"/>
    </row>
    <row r="38" spans="1:15" ht="14.25" thickBot="1" x14ac:dyDescent="0.2">
      <c r="B38" s="6" t="s">
        <v>25</v>
      </c>
      <c r="C38" s="32">
        <v>-1</v>
      </c>
      <c r="D38" s="33">
        <f t="shared" si="2"/>
        <v>-1</v>
      </c>
      <c r="E38" s="34">
        <v>41379</v>
      </c>
      <c r="F38" s="34"/>
      <c r="G38" s="34"/>
      <c r="H38" s="34"/>
      <c r="I38" s="34"/>
      <c r="J38" s="30"/>
      <c r="K38" s="4"/>
      <c r="L38" s="15"/>
      <c r="M38" s="14">
        <f t="shared" si="3"/>
        <v>0</v>
      </c>
      <c r="N38" s="26"/>
    </row>
    <row r="39" spans="1:15" ht="14.25" thickBot="1" x14ac:dyDescent="0.2">
      <c r="B39" s="3" t="s">
        <v>5</v>
      </c>
      <c r="C39" s="16">
        <f>SUM(C15:C38)</f>
        <v>496</v>
      </c>
      <c r="D39" s="17">
        <f>SUM(D15:D38)</f>
        <v>496</v>
      </c>
      <c r="E39" s="23"/>
      <c r="F39" s="23"/>
      <c r="G39" s="23"/>
      <c r="H39" s="23"/>
      <c r="I39" s="23"/>
      <c r="K39" s="3" t="s">
        <v>5</v>
      </c>
      <c r="L39" s="16">
        <f>SUM(L15:L38)</f>
        <v>1100</v>
      </c>
      <c r="M39" s="17">
        <f>SUM(M15:M38)</f>
        <v>1100</v>
      </c>
    </row>
    <row r="40" spans="1:15" ht="14.25" thickBot="1" x14ac:dyDescent="0.2">
      <c r="B40" s="18" t="s">
        <v>6</v>
      </c>
      <c r="C40" s="19">
        <f>C14-C39</f>
        <v>104</v>
      </c>
      <c r="D40" s="13">
        <f>D14-D39</f>
        <v>104</v>
      </c>
      <c r="E40" s="24"/>
      <c r="F40" s="24"/>
      <c r="G40" s="24"/>
      <c r="H40" s="24"/>
      <c r="I40" s="24"/>
      <c r="K40" s="18" t="s">
        <v>6</v>
      </c>
      <c r="L40" s="19">
        <f>L14-L39</f>
        <v>3886</v>
      </c>
      <c r="M40" s="13">
        <f>M14-M39</f>
        <v>3886</v>
      </c>
    </row>
    <row r="41" spans="1:15" ht="14.25" x14ac:dyDescent="0.15">
      <c r="J41" s="21"/>
    </row>
    <row r="42" spans="1:15" ht="18" thickBot="1" x14ac:dyDescent="0.25">
      <c r="A42" s="27" t="s">
        <v>8</v>
      </c>
      <c r="B42" s="28"/>
      <c r="C42" s="28"/>
      <c r="D42" s="28"/>
      <c r="E42" s="28"/>
      <c r="F42" s="28"/>
      <c r="G42" s="28"/>
      <c r="H42" s="28"/>
      <c r="I42" s="28"/>
      <c r="J42" s="27" t="s">
        <v>7</v>
      </c>
    </row>
    <row r="43" spans="1:15" ht="14.25" thickBot="1" x14ac:dyDescent="0.2">
      <c r="B43" s="2"/>
      <c r="C43" s="3" t="s">
        <v>0</v>
      </c>
      <c r="D43" s="2" t="s">
        <v>1</v>
      </c>
      <c r="E43" s="22"/>
      <c r="F43" s="22"/>
      <c r="G43" s="22"/>
      <c r="H43" s="22"/>
      <c r="I43" s="22"/>
      <c r="K43" s="2"/>
      <c r="L43" s="3" t="s">
        <v>0</v>
      </c>
      <c r="M43" s="2" t="s">
        <v>1</v>
      </c>
    </row>
    <row r="44" spans="1:15" x14ac:dyDescent="0.15">
      <c r="B44" s="43" t="s">
        <v>26</v>
      </c>
      <c r="C44" s="38">
        <f>C40</f>
        <v>104</v>
      </c>
      <c r="D44" s="39">
        <f t="shared" ref="D44:D54" si="4">SUM(C44:C44)</f>
        <v>104</v>
      </c>
      <c r="E44" s="42"/>
      <c r="F44" s="42"/>
      <c r="G44" s="42"/>
      <c r="H44" s="42"/>
      <c r="I44" s="42"/>
      <c r="K44" s="43" t="s">
        <v>26</v>
      </c>
      <c r="L44" s="38">
        <f>L40</f>
        <v>3886</v>
      </c>
      <c r="M44" s="39">
        <f t="shared" ref="M44:M54" si="5">SUM(L44:L44)</f>
        <v>3886</v>
      </c>
      <c r="N44" s="40"/>
    </row>
    <row r="45" spans="1:15" x14ac:dyDescent="0.15">
      <c r="B45" s="6" t="s">
        <v>3</v>
      </c>
      <c r="C45" s="7">
        <v>300</v>
      </c>
      <c r="D45" s="5">
        <f t="shared" si="4"/>
        <v>300</v>
      </c>
      <c r="E45" s="25">
        <v>41382</v>
      </c>
      <c r="F45" s="25"/>
      <c r="G45" s="25"/>
      <c r="H45" s="25"/>
      <c r="I45" s="25"/>
      <c r="J45" s="29"/>
      <c r="K45" s="6" t="s">
        <v>3</v>
      </c>
      <c r="L45" s="7"/>
      <c r="M45" s="5">
        <f t="shared" si="5"/>
        <v>0</v>
      </c>
      <c r="N45" s="26"/>
    </row>
    <row r="46" spans="1:15" x14ac:dyDescent="0.15">
      <c r="B46" s="6" t="s">
        <v>3</v>
      </c>
      <c r="C46" s="7">
        <v>100</v>
      </c>
      <c r="D46" s="5">
        <f t="shared" si="4"/>
        <v>100</v>
      </c>
      <c r="E46" s="25">
        <v>41388</v>
      </c>
      <c r="F46" s="25"/>
      <c r="G46" s="25"/>
      <c r="H46" s="25"/>
      <c r="I46" s="25"/>
      <c r="K46" s="6" t="s">
        <v>3</v>
      </c>
      <c r="L46" s="7"/>
      <c r="M46" s="5">
        <f t="shared" si="5"/>
        <v>0</v>
      </c>
    </row>
    <row r="47" spans="1:15" x14ac:dyDescent="0.15">
      <c r="B47" s="6" t="s">
        <v>3</v>
      </c>
      <c r="C47" s="7">
        <v>100</v>
      </c>
      <c r="D47" s="5">
        <f t="shared" si="4"/>
        <v>100</v>
      </c>
      <c r="E47" s="25">
        <v>41408</v>
      </c>
      <c r="F47" s="25"/>
      <c r="G47" s="25"/>
      <c r="H47" s="25"/>
      <c r="I47" s="25"/>
      <c r="J47" s="29"/>
      <c r="K47" s="6" t="s">
        <v>3</v>
      </c>
      <c r="L47" s="7"/>
      <c r="M47" s="5">
        <f t="shared" si="5"/>
        <v>0</v>
      </c>
    </row>
    <row r="48" spans="1:15" x14ac:dyDescent="0.15">
      <c r="B48" s="6" t="s">
        <v>3</v>
      </c>
      <c r="C48" s="7"/>
      <c r="D48" s="5">
        <f t="shared" si="4"/>
        <v>0</v>
      </c>
      <c r="E48" s="25"/>
      <c r="F48" s="25"/>
      <c r="G48" s="25"/>
      <c r="H48" s="25"/>
      <c r="I48" s="25"/>
      <c r="J48" s="29"/>
      <c r="K48" s="6" t="s">
        <v>3</v>
      </c>
      <c r="L48" s="7"/>
      <c r="M48" s="5">
        <f t="shared" si="5"/>
        <v>0</v>
      </c>
    </row>
    <row r="49" spans="2:14" x14ac:dyDescent="0.15">
      <c r="B49" s="6" t="s">
        <v>3</v>
      </c>
      <c r="C49" s="7"/>
      <c r="D49" s="5">
        <f t="shared" si="4"/>
        <v>0</v>
      </c>
      <c r="E49" s="25"/>
      <c r="F49" s="25"/>
      <c r="G49" s="25"/>
      <c r="H49" s="25"/>
      <c r="I49" s="25"/>
      <c r="K49" s="6" t="s">
        <v>3</v>
      </c>
      <c r="L49" s="7"/>
      <c r="M49" s="5">
        <f t="shared" si="5"/>
        <v>0</v>
      </c>
    </row>
    <row r="50" spans="2:14" x14ac:dyDescent="0.15">
      <c r="B50" s="6" t="s">
        <v>3</v>
      </c>
      <c r="C50" s="7"/>
      <c r="D50" s="5">
        <f t="shared" si="4"/>
        <v>0</v>
      </c>
      <c r="E50" s="23"/>
      <c r="F50" s="23"/>
      <c r="G50" s="23"/>
      <c r="H50" s="23"/>
      <c r="I50" s="23"/>
      <c r="K50" s="6" t="s">
        <v>3</v>
      </c>
      <c r="L50" s="7"/>
      <c r="M50" s="5">
        <f t="shared" si="5"/>
        <v>0</v>
      </c>
    </row>
    <row r="51" spans="2:14" x14ac:dyDescent="0.15">
      <c r="B51" s="6" t="s">
        <v>3</v>
      </c>
      <c r="C51" s="8"/>
      <c r="D51" s="5">
        <f t="shared" si="4"/>
        <v>0</v>
      </c>
      <c r="E51" s="23"/>
      <c r="F51" s="23"/>
      <c r="G51" s="23"/>
      <c r="H51" s="23"/>
      <c r="I51" s="23"/>
      <c r="K51" s="6" t="s">
        <v>3</v>
      </c>
      <c r="L51" s="8"/>
      <c r="M51" s="5">
        <f t="shared" si="5"/>
        <v>0</v>
      </c>
    </row>
    <row r="52" spans="2:14" x14ac:dyDescent="0.15">
      <c r="B52" s="6" t="s">
        <v>3</v>
      </c>
      <c r="C52" s="8"/>
      <c r="D52" s="5">
        <f t="shared" si="4"/>
        <v>0</v>
      </c>
      <c r="E52" s="23"/>
      <c r="F52" s="23"/>
      <c r="G52" s="23"/>
      <c r="H52" s="23"/>
      <c r="I52" s="23"/>
      <c r="K52" s="6" t="s">
        <v>3</v>
      </c>
      <c r="L52" s="8"/>
      <c r="M52" s="5">
        <f t="shared" si="5"/>
        <v>0</v>
      </c>
    </row>
    <row r="53" spans="2:14" x14ac:dyDescent="0.15">
      <c r="B53" s="6" t="s">
        <v>3</v>
      </c>
      <c r="C53" s="8"/>
      <c r="D53" s="5">
        <f t="shared" si="4"/>
        <v>0</v>
      </c>
      <c r="E53" s="23"/>
      <c r="F53" s="23"/>
      <c r="G53" s="23"/>
      <c r="H53" s="23"/>
      <c r="I53" s="23"/>
      <c r="K53" s="6" t="s">
        <v>3</v>
      </c>
      <c r="L53" s="8"/>
      <c r="M53" s="5">
        <f t="shared" si="5"/>
        <v>0</v>
      </c>
    </row>
    <row r="54" spans="2:14" ht="14.25" thickBot="1" x14ac:dyDescent="0.2">
      <c r="B54" s="9" t="s">
        <v>3</v>
      </c>
      <c r="C54" s="10"/>
      <c r="D54" s="5">
        <f t="shared" si="4"/>
        <v>0</v>
      </c>
      <c r="E54" s="23"/>
      <c r="F54" s="23"/>
      <c r="G54" s="23"/>
      <c r="H54" s="23"/>
      <c r="I54" s="23"/>
      <c r="K54" s="9" t="s">
        <v>3</v>
      </c>
      <c r="L54" s="10"/>
      <c r="M54" s="5">
        <f t="shared" si="5"/>
        <v>0</v>
      </c>
    </row>
    <row r="55" spans="2:14" ht="14.25" thickBot="1" x14ac:dyDescent="0.2">
      <c r="B55" s="11" t="s">
        <v>4</v>
      </c>
      <c r="C55" s="12">
        <f>SUM(C44:C54)</f>
        <v>604</v>
      </c>
      <c r="D55" s="13">
        <f>SUM(D44:D54)</f>
        <v>604</v>
      </c>
      <c r="E55" s="24"/>
      <c r="F55" s="24"/>
      <c r="G55" s="24"/>
      <c r="H55" s="24"/>
      <c r="I55" s="24"/>
      <c r="K55" s="11" t="s">
        <v>4</v>
      </c>
      <c r="L55" s="12">
        <f>SUM(L44:L54)</f>
        <v>3886</v>
      </c>
      <c r="M55" s="13">
        <f>SUM(M44:M54)</f>
        <v>3886</v>
      </c>
    </row>
    <row r="56" spans="2:14" x14ac:dyDescent="0.15">
      <c r="B56" s="4" t="s">
        <v>29</v>
      </c>
      <c r="C56" s="44">
        <v>2</v>
      </c>
      <c r="D56" s="14">
        <f t="shared" ref="D56:D79" si="6">SUM(C56:C56)</f>
        <v>2</v>
      </c>
      <c r="E56" s="25">
        <v>41383</v>
      </c>
      <c r="F56" s="25"/>
      <c r="G56" s="25"/>
      <c r="H56" s="25"/>
      <c r="I56" s="25"/>
      <c r="K56" s="4" t="s">
        <v>9</v>
      </c>
      <c r="L56" s="44">
        <v>100</v>
      </c>
      <c r="M56" s="14">
        <f t="shared" ref="M56:M79" si="7">SUM(L56:L56)</f>
        <v>100</v>
      </c>
      <c r="N56" s="26">
        <v>41408</v>
      </c>
    </row>
    <row r="57" spans="2:14" x14ac:dyDescent="0.15">
      <c r="B57" s="4" t="s">
        <v>32</v>
      </c>
      <c r="C57" s="15">
        <v>260</v>
      </c>
      <c r="D57" s="14">
        <f t="shared" si="6"/>
        <v>260</v>
      </c>
      <c r="E57" s="25">
        <v>41387</v>
      </c>
      <c r="F57" s="25"/>
      <c r="G57" s="25"/>
      <c r="H57" s="25"/>
      <c r="I57" s="25"/>
      <c r="J57" s="36"/>
      <c r="K57" s="4"/>
      <c r="L57" s="15"/>
      <c r="M57" s="14">
        <f t="shared" si="7"/>
        <v>0</v>
      </c>
      <c r="N57" s="26"/>
    </row>
    <row r="58" spans="2:14" x14ac:dyDescent="0.15">
      <c r="B58" s="4" t="s">
        <v>9</v>
      </c>
      <c r="C58" s="15">
        <v>1</v>
      </c>
      <c r="D58" s="14">
        <f t="shared" si="6"/>
        <v>1</v>
      </c>
      <c r="E58" s="25">
        <v>41381</v>
      </c>
      <c r="F58" s="25"/>
      <c r="G58" s="25"/>
      <c r="H58" s="25"/>
      <c r="I58" s="25"/>
      <c r="K58" s="4"/>
      <c r="L58" s="15"/>
      <c r="M58" s="14">
        <f t="shared" si="7"/>
        <v>0</v>
      </c>
      <c r="N58" s="26"/>
    </row>
    <row r="59" spans="2:14" x14ac:dyDescent="0.15">
      <c r="B59" s="4" t="s">
        <v>33</v>
      </c>
      <c r="C59" s="15">
        <v>1</v>
      </c>
      <c r="D59" s="14">
        <f t="shared" si="6"/>
        <v>1</v>
      </c>
      <c r="E59" s="25">
        <v>41387</v>
      </c>
      <c r="F59" s="25"/>
      <c r="G59" s="25"/>
      <c r="H59" s="25"/>
      <c r="I59" s="25"/>
      <c r="K59" s="4"/>
      <c r="L59" s="15"/>
      <c r="M59" s="14">
        <f t="shared" si="7"/>
        <v>0</v>
      </c>
      <c r="N59" s="26"/>
    </row>
    <row r="60" spans="2:14" x14ac:dyDescent="0.15">
      <c r="B60" s="4" t="s">
        <v>31</v>
      </c>
      <c r="C60" s="15">
        <v>1</v>
      </c>
      <c r="D60" s="14">
        <f t="shared" si="6"/>
        <v>1</v>
      </c>
      <c r="E60" s="25">
        <v>41386</v>
      </c>
      <c r="F60" s="25"/>
      <c r="G60" s="25"/>
      <c r="H60" s="25"/>
      <c r="I60" s="25"/>
      <c r="K60" s="4"/>
      <c r="L60" s="15"/>
      <c r="M60" s="14">
        <f t="shared" si="7"/>
        <v>0</v>
      </c>
      <c r="N60" s="26"/>
    </row>
    <row r="61" spans="2:14" x14ac:dyDescent="0.15">
      <c r="B61" s="4" t="s">
        <v>36</v>
      </c>
      <c r="C61" s="15">
        <v>60</v>
      </c>
      <c r="D61" s="14">
        <f t="shared" si="6"/>
        <v>60</v>
      </c>
      <c r="E61" s="25">
        <v>41389</v>
      </c>
      <c r="F61" s="25"/>
      <c r="G61" s="25"/>
      <c r="H61" s="25"/>
      <c r="I61" s="25"/>
      <c r="K61" s="4"/>
      <c r="L61" s="15"/>
      <c r="M61" s="14">
        <f t="shared" si="7"/>
        <v>0</v>
      </c>
      <c r="N61" s="26"/>
    </row>
    <row r="62" spans="2:14" x14ac:dyDescent="0.15">
      <c r="B62" s="6" t="s">
        <v>21</v>
      </c>
      <c r="C62" s="15">
        <v>5</v>
      </c>
      <c r="D62" s="14">
        <f t="shared" si="6"/>
        <v>5</v>
      </c>
      <c r="E62" s="25">
        <v>41389</v>
      </c>
      <c r="F62" s="25"/>
      <c r="G62" s="25"/>
      <c r="H62" s="25"/>
      <c r="I62" s="25"/>
      <c r="K62" s="4"/>
      <c r="L62" s="15"/>
      <c r="M62" s="14">
        <f t="shared" si="7"/>
        <v>0</v>
      </c>
      <c r="N62" s="26"/>
    </row>
    <row r="63" spans="2:14" x14ac:dyDescent="0.15">
      <c r="B63" s="4" t="s">
        <v>38</v>
      </c>
      <c r="C63" s="15">
        <v>8</v>
      </c>
      <c r="D63" s="14">
        <f t="shared" si="6"/>
        <v>8</v>
      </c>
      <c r="E63" s="25">
        <v>41390</v>
      </c>
      <c r="F63" s="25"/>
      <c r="G63" s="25"/>
      <c r="H63" s="25"/>
      <c r="I63" s="25"/>
      <c r="K63" s="4"/>
      <c r="L63" s="15"/>
      <c r="M63" s="14">
        <f t="shared" si="7"/>
        <v>0</v>
      </c>
      <c r="N63" s="26"/>
    </row>
    <row r="64" spans="2:14" x14ac:dyDescent="0.15">
      <c r="B64" s="4" t="s">
        <v>40</v>
      </c>
      <c r="C64" s="15">
        <v>80</v>
      </c>
      <c r="D64" s="14">
        <f t="shared" si="6"/>
        <v>80</v>
      </c>
      <c r="E64" s="25">
        <v>41396</v>
      </c>
      <c r="F64" s="25"/>
      <c r="G64" s="25"/>
      <c r="H64" s="25"/>
      <c r="I64" s="25"/>
      <c r="K64" s="4"/>
      <c r="L64" s="15"/>
      <c r="M64" s="14">
        <f t="shared" si="7"/>
        <v>0</v>
      </c>
      <c r="N64" s="26"/>
    </row>
    <row r="65" spans="2:14" x14ac:dyDescent="0.15">
      <c r="B65" s="4" t="s">
        <v>34</v>
      </c>
      <c r="C65" s="15">
        <v>1</v>
      </c>
      <c r="D65" s="14">
        <f t="shared" si="6"/>
        <v>1</v>
      </c>
      <c r="E65" s="25">
        <v>41388</v>
      </c>
      <c r="F65" s="25"/>
      <c r="G65" s="25"/>
      <c r="H65" s="25"/>
      <c r="I65" s="25"/>
      <c r="K65" s="4"/>
      <c r="L65" s="15"/>
      <c r="M65" s="14">
        <f t="shared" si="7"/>
        <v>0</v>
      </c>
      <c r="N65" s="26"/>
    </row>
    <row r="66" spans="2:14" x14ac:dyDescent="0.15">
      <c r="B66" s="4" t="s">
        <v>35</v>
      </c>
      <c r="C66" s="15">
        <v>2</v>
      </c>
      <c r="D66" s="14">
        <f t="shared" si="6"/>
        <v>2</v>
      </c>
      <c r="E66" s="25">
        <v>41389</v>
      </c>
      <c r="F66" s="25"/>
      <c r="G66" s="25"/>
      <c r="H66" s="25"/>
      <c r="I66" s="25"/>
      <c r="K66" s="4"/>
      <c r="L66" s="15"/>
      <c r="M66" s="14">
        <f t="shared" si="7"/>
        <v>0</v>
      </c>
      <c r="N66" s="26"/>
    </row>
    <row r="67" spans="2:14" x14ac:dyDescent="0.15">
      <c r="B67" s="6" t="s">
        <v>37</v>
      </c>
      <c r="C67" s="15">
        <v>4</v>
      </c>
      <c r="D67" s="14">
        <f t="shared" si="6"/>
        <v>4</v>
      </c>
      <c r="E67" s="25">
        <v>41389</v>
      </c>
      <c r="F67" s="25"/>
      <c r="G67" s="25"/>
      <c r="H67" s="25"/>
      <c r="I67" s="25"/>
      <c r="K67" s="6"/>
      <c r="L67" s="15"/>
      <c r="M67" s="14">
        <f t="shared" si="7"/>
        <v>0</v>
      </c>
    </row>
    <row r="68" spans="2:14" x14ac:dyDescent="0.15">
      <c r="B68" s="6" t="s">
        <v>37</v>
      </c>
      <c r="C68" s="15">
        <v>3</v>
      </c>
      <c r="D68" s="14">
        <f t="shared" si="6"/>
        <v>3</v>
      </c>
      <c r="E68" s="25">
        <v>41394</v>
      </c>
      <c r="F68" s="25"/>
      <c r="G68" s="25"/>
      <c r="H68" s="25"/>
      <c r="I68" s="25"/>
      <c r="K68" s="6"/>
      <c r="L68" s="15"/>
      <c r="M68" s="14">
        <f t="shared" si="7"/>
        <v>0</v>
      </c>
    </row>
    <row r="69" spans="2:14" x14ac:dyDescent="0.15">
      <c r="B69" s="4" t="s">
        <v>44</v>
      </c>
      <c r="C69" s="15">
        <v>20</v>
      </c>
      <c r="D69" s="14">
        <f t="shared" si="6"/>
        <v>20</v>
      </c>
      <c r="E69" s="25">
        <v>41409</v>
      </c>
      <c r="F69" s="25"/>
      <c r="G69" s="25"/>
      <c r="H69" s="25"/>
      <c r="I69" s="25"/>
      <c r="K69" s="6"/>
      <c r="L69" s="15"/>
      <c r="M69" s="14">
        <f t="shared" si="7"/>
        <v>0</v>
      </c>
    </row>
    <row r="70" spans="2:14" x14ac:dyDescent="0.15">
      <c r="B70" s="4" t="s">
        <v>39</v>
      </c>
      <c r="C70" s="15">
        <v>11</v>
      </c>
      <c r="D70" s="14">
        <f t="shared" si="6"/>
        <v>11</v>
      </c>
      <c r="E70" s="25">
        <v>41395</v>
      </c>
      <c r="F70" s="25"/>
      <c r="G70" s="25"/>
      <c r="H70" s="25"/>
      <c r="I70" s="25"/>
      <c r="J70" s="46"/>
      <c r="K70" s="4"/>
      <c r="L70" s="15"/>
      <c r="M70" s="14">
        <f t="shared" si="7"/>
        <v>0</v>
      </c>
      <c r="N70" s="46"/>
    </row>
    <row r="71" spans="2:14" x14ac:dyDescent="0.15">
      <c r="B71" s="4" t="s">
        <v>42</v>
      </c>
      <c r="C71" s="15">
        <v>2</v>
      </c>
      <c r="D71" s="14">
        <f t="shared" si="6"/>
        <v>2</v>
      </c>
      <c r="E71" s="25">
        <v>41403</v>
      </c>
      <c r="F71" s="25"/>
      <c r="G71" s="25"/>
      <c r="H71" s="25"/>
      <c r="I71" s="25"/>
      <c r="J71" s="46"/>
      <c r="K71" s="6"/>
      <c r="L71" s="15"/>
      <c r="M71" s="14">
        <f t="shared" si="7"/>
        <v>0</v>
      </c>
      <c r="N71" s="46"/>
    </row>
    <row r="72" spans="2:14" x14ac:dyDescent="0.15">
      <c r="B72" s="6" t="s">
        <v>31</v>
      </c>
      <c r="C72" s="15">
        <v>2</v>
      </c>
      <c r="D72" s="14">
        <f t="shared" si="6"/>
        <v>2</v>
      </c>
      <c r="E72" s="25">
        <v>41403</v>
      </c>
      <c r="F72" s="25"/>
      <c r="G72" s="25"/>
      <c r="H72" s="25"/>
      <c r="I72" s="25"/>
      <c r="J72" s="46"/>
      <c r="K72" s="6"/>
      <c r="L72" s="15"/>
      <c r="M72" s="14">
        <f t="shared" si="7"/>
        <v>0</v>
      </c>
      <c r="N72" s="46"/>
    </row>
    <row r="73" spans="2:14" x14ac:dyDescent="0.15">
      <c r="B73" s="4" t="s">
        <v>43</v>
      </c>
      <c r="C73" s="15">
        <v>10</v>
      </c>
      <c r="D73" s="14">
        <f t="shared" si="6"/>
        <v>10</v>
      </c>
      <c r="E73" s="25">
        <v>41406</v>
      </c>
      <c r="F73" s="25"/>
      <c r="G73" s="25"/>
      <c r="H73" s="25"/>
      <c r="I73" s="25"/>
      <c r="J73" s="46"/>
      <c r="K73" s="6"/>
      <c r="L73" s="15"/>
      <c r="M73" s="14">
        <f t="shared" si="7"/>
        <v>0</v>
      </c>
      <c r="N73" s="46"/>
    </row>
    <row r="74" spans="2:14" x14ac:dyDescent="0.15">
      <c r="B74" s="6" t="s">
        <v>37</v>
      </c>
      <c r="C74" s="15">
        <v>2</v>
      </c>
      <c r="D74" s="14">
        <f t="shared" si="6"/>
        <v>2</v>
      </c>
      <c r="E74" s="25">
        <v>41407</v>
      </c>
      <c r="F74" s="25"/>
      <c r="G74" s="25"/>
      <c r="H74" s="25"/>
      <c r="I74" s="25"/>
      <c r="J74" s="46"/>
      <c r="K74" s="6"/>
      <c r="L74" s="15"/>
      <c r="M74" s="14">
        <f t="shared" si="7"/>
        <v>0</v>
      </c>
      <c r="N74" s="46"/>
    </row>
    <row r="75" spans="2:14" x14ac:dyDescent="0.15">
      <c r="B75" s="6" t="s">
        <v>41</v>
      </c>
      <c r="C75" s="15">
        <v>1</v>
      </c>
      <c r="D75" s="14">
        <f t="shared" si="6"/>
        <v>1</v>
      </c>
      <c r="E75" s="25">
        <v>41408</v>
      </c>
      <c r="F75" s="25"/>
      <c r="G75" s="25"/>
      <c r="H75" s="25"/>
      <c r="I75" s="25"/>
      <c r="J75" s="46"/>
      <c r="K75" s="6"/>
      <c r="L75" s="15"/>
      <c r="M75" s="14">
        <f t="shared" si="7"/>
        <v>0</v>
      </c>
      <c r="N75" s="46"/>
    </row>
    <row r="76" spans="2:14" x14ac:dyDescent="0.15">
      <c r="B76" s="4" t="s">
        <v>45</v>
      </c>
      <c r="C76" s="15">
        <v>2</v>
      </c>
      <c r="D76" s="14">
        <f t="shared" si="6"/>
        <v>2</v>
      </c>
      <c r="E76" s="25">
        <v>41411</v>
      </c>
      <c r="F76" s="25"/>
      <c r="G76" s="25"/>
      <c r="H76" s="25"/>
      <c r="I76" s="25"/>
      <c r="J76" s="46"/>
      <c r="K76" s="6"/>
      <c r="L76" s="15"/>
      <c r="M76" s="14">
        <f t="shared" si="7"/>
        <v>0</v>
      </c>
      <c r="N76" s="37"/>
    </row>
    <row r="77" spans="2:14" x14ac:dyDescent="0.15">
      <c r="B77" s="6" t="s">
        <v>9</v>
      </c>
      <c r="C77" s="15">
        <v>2</v>
      </c>
      <c r="D77" s="14">
        <f t="shared" si="6"/>
        <v>2</v>
      </c>
      <c r="E77" s="25">
        <v>41408</v>
      </c>
      <c r="F77" s="25"/>
      <c r="G77" s="25"/>
      <c r="H77" s="25"/>
      <c r="I77" s="25"/>
      <c r="J77" s="46"/>
      <c r="K77" s="6"/>
      <c r="L77" s="15"/>
      <c r="M77" s="14">
        <f t="shared" si="7"/>
        <v>0</v>
      </c>
      <c r="N77" s="46"/>
    </row>
    <row r="78" spans="2:14" x14ac:dyDescent="0.15">
      <c r="B78" s="6" t="s">
        <v>9</v>
      </c>
      <c r="C78" s="15">
        <v>2</v>
      </c>
      <c r="D78" s="14">
        <f t="shared" si="6"/>
        <v>2</v>
      </c>
      <c r="E78" s="25">
        <v>41411</v>
      </c>
      <c r="F78" s="25"/>
      <c r="G78" s="25"/>
      <c r="H78" s="25"/>
      <c r="I78" s="25"/>
      <c r="J78" s="36"/>
      <c r="K78" s="4"/>
      <c r="L78" s="15"/>
      <c r="M78" s="14">
        <f t="shared" si="7"/>
        <v>0</v>
      </c>
      <c r="N78" s="26"/>
    </row>
    <row r="79" spans="2:14" ht="14.25" thickBot="1" x14ac:dyDescent="0.2">
      <c r="B79" s="6" t="s">
        <v>21</v>
      </c>
      <c r="C79" s="15">
        <v>10</v>
      </c>
      <c r="D79" s="14">
        <f t="shared" si="6"/>
        <v>10</v>
      </c>
      <c r="E79" s="25">
        <v>41416</v>
      </c>
      <c r="F79" s="25"/>
      <c r="G79" s="25"/>
      <c r="H79" s="25"/>
      <c r="I79" s="25"/>
      <c r="J79" s="36"/>
      <c r="K79" s="4"/>
      <c r="L79" s="15"/>
      <c r="M79" s="14">
        <f t="shared" si="7"/>
        <v>0</v>
      </c>
      <c r="N79" s="26"/>
    </row>
    <row r="80" spans="2:14" ht="14.25" thickBot="1" x14ac:dyDescent="0.2">
      <c r="B80" s="3" t="s">
        <v>5</v>
      </c>
      <c r="C80" s="16">
        <f>SUM(C56:C79)</f>
        <v>492</v>
      </c>
      <c r="D80" s="17">
        <f>SUM(D56:D79)</f>
        <v>492</v>
      </c>
      <c r="E80" s="23"/>
      <c r="F80" s="23"/>
      <c r="G80" s="23"/>
      <c r="H80" s="23"/>
      <c r="I80" s="23"/>
      <c r="K80" s="3" t="s">
        <v>5</v>
      </c>
      <c r="L80" s="16">
        <f>SUM(L56:L79)</f>
        <v>100</v>
      </c>
      <c r="M80" s="17">
        <f>SUM(M56:M79)</f>
        <v>100</v>
      </c>
    </row>
    <row r="81" spans="1:13" ht="14.25" thickBot="1" x14ac:dyDescent="0.2">
      <c r="B81" s="18" t="s">
        <v>6</v>
      </c>
      <c r="C81" s="19">
        <f>C55-C80</f>
        <v>112</v>
      </c>
      <c r="D81" s="13">
        <f>D55-D80</f>
        <v>112</v>
      </c>
      <c r="E81" s="24"/>
      <c r="F81" s="24"/>
      <c r="G81" s="24"/>
      <c r="H81" s="24"/>
      <c r="I81" s="24"/>
      <c r="K81" s="18" t="s">
        <v>6</v>
      </c>
      <c r="L81" s="19">
        <f>L55-L80</f>
        <v>3786</v>
      </c>
      <c r="M81" s="13">
        <f>M55-M80</f>
        <v>3786</v>
      </c>
    </row>
    <row r="83" spans="1:13" ht="18" thickBot="1" x14ac:dyDescent="0.25">
      <c r="A83" s="27" t="s">
        <v>8</v>
      </c>
      <c r="B83" s="28"/>
      <c r="C83" s="28"/>
      <c r="D83" s="28"/>
      <c r="J83" s="27" t="s">
        <v>7</v>
      </c>
    </row>
    <row r="84" spans="1:13" ht="14.25" thickBot="1" x14ac:dyDescent="0.2">
      <c r="B84" s="2"/>
      <c r="C84" s="3" t="s">
        <v>0</v>
      </c>
      <c r="D84" s="2" t="s">
        <v>1</v>
      </c>
      <c r="K84" s="2"/>
      <c r="L84" s="3" t="s">
        <v>0</v>
      </c>
      <c r="M84" s="2" t="s">
        <v>1</v>
      </c>
    </row>
    <row r="85" spans="1:13" x14ac:dyDescent="0.15">
      <c r="B85" s="43" t="s">
        <v>26</v>
      </c>
      <c r="C85" s="38">
        <f>C81</f>
        <v>112</v>
      </c>
      <c r="D85" s="39">
        <f t="shared" ref="D85:D95" si="8">SUM(C85:C85)</f>
        <v>112</v>
      </c>
      <c r="K85" s="43" t="s">
        <v>26</v>
      </c>
      <c r="L85" s="38">
        <f>L81</f>
        <v>3786</v>
      </c>
      <c r="M85" s="39">
        <f t="shared" ref="M85:M95" si="9">SUM(L85:L85)</f>
        <v>3786</v>
      </c>
    </row>
    <row r="86" spans="1:13" x14ac:dyDescent="0.15">
      <c r="B86" s="6" t="s">
        <v>3</v>
      </c>
      <c r="C86" s="7">
        <v>100</v>
      </c>
      <c r="D86" s="5">
        <f t="shared" si="8"/>
        <v>100</v>
      </c>
      <c r="E86" s="26">
        <v>41418</v>
      </c>
      <c r="F86" s="26"/>
      <c r="G86" s="26"/>
      <c r="H86" s="26"/>
      <c r="I86" s="26"/>
      <c r="J86" s="29"/>
      <c r="K86" s="6" t="s">
        <v>3</v>
      </c>
      <c r="L86" s="7"/>
      <c r="M86" s="5">
        <f t="shared" si="9"/>
        <v>0</v>
      </c>
    </row>
    <row r="87" spans="1:13" x14ac:dyDescent="0.15">
      <c r="B87" s="6" t="s">
        <v>3</v>
      </c>
      <c r="C87" s="7">
        <v>100</v>
      </c>
      <c r="D87" s="5">
        <f t="shared" si="8"/>
        <v>100</v>
      </c>
      <c r="E87" s="26">
        <v>41425</v>
      </c>
      <c r="F87" s="26"/>
      <c r="G87" s="26"/>
      <c r="H87" s="26"/>
      <c r="I87" s="26"/>
      <c r="K87" s="6" t="s">
        <v>3</v>
      </c>
      <c r="L87" s="7"/>
      <c r="M87" s="5">
        <f t="shared" si="9"/>
        <v>0</v>
      </c>
    </row>
    <row r="88" spans="1:13" x14ac:dyDescent="0.15">
      <c r="B88" s="6" t="s">
        <v>3</v>
      </c>
      <c r="C88" s="7">
        <v>100</v>
      </c>
      <c r="D88" s="5">
        <f t="shared" si="8"/>
        <v>100</v>
      </c>
      <c r="E88" s="26">
        <v>41430</v>
      </c>
      <c r="F88" s="26"/>
      <c r="G88" s="26"/>
      <c r="H88" s="26"/>
      <c r="I88" s="26"/>
      <c r="J88" s="29"/>
      <c r="K88" s="6" t="s">
        <v>3</v>
      </c>
      <c r="L88" s="7"/>
      <c r="M88" s="5">
        <f t="shared" si="9"/>
        <v>0</v>
      </c>
    </row>
    <row r="89" spans="1:13" x14ac:dyDescent="0.15">
      <c r="B89" s="6" t="s">
        <v>3</v>
      </c>
      <c r="C89" s="7"/>
      <c r="D89" s="5">
        <f t="shared" si="8"/>
        <v>0</v>
      </c>
      <c r="J89" s="29"/>
      <c r="K89" s="6" t="s">
        <v>3</v>
      </c>
      <c r="L89" s="7"/>
      <c r="M89" s="5">
        <f t="shared" si="9"/>
        <v>0</v>
      </c>
    </row>
    <row r="90" spans="1:13" x14ac:dyDescent="0.15">
      <c r="B90" s="6" t="s">
        <v>3</v>
      </c>
      <c r="C90" s="7"/>
      <c r="D90" s="5">
        <f t="shared" si="8"/>
        <v>0</v>
      </c>
      <c r="K90" s="6" t="s">
        <v>3</v>
      </c>
      <c r="L90" s="7"/>
      <c r="M90" s="5">
        <f t="shared" si="9"/>
        <v>0</v>
      </c>
    </row>
    <row r="91" spans="1:13" x14ac:dyDescent="0.15">
      <c r="B91" s="6" t="s">
        <v>3</v>
      </c>
      <c r="C91" s="7"/>
      <c r="D91" s="5">
        <f t="shared" si="8"/>
        <v>0</v>
      </c>
      <c r="K91" s="6" t="s">
        <v>3</v>
      </c>
      <c r="L91" s="7"/>
      <c r="M91" s="5">
        <f t="shared" si="9"/>
        <v>0</v>
      </c>
    </row>
    <row r="92" spans="1:13" x14ac:dyDescent="0.15">
      <c r="B92" s="6" t="s">
        <v>3</v>
      </c>
      <c r="C92" s="8"/>
      <c r="D92" s="5">
        <f t="shared" si="8"/>
        <v>0</v>
      </c>
      <c r="K92" s="6" t="s">
        <v>3</v>
      </c>
      <c r="L92" s="8"/>
      <c r="M92" s="5">
        <f t="shared" si="9"/>
        <v>0</v>
      </c>
    </row>
    <row r="93" spans="1:13" x14ac:dyDescent="0.15">
      <c r="B93" s="6" t="s">
        <v>3</v>
      </c>
      <c r="C93" s="8"/>
      <c r="D93" s="5">
        <f t="shared" si="8"/>
        <v>0</v>
      </c>
      <c r="K93" s="6" t="s">
        <v>3</v>
      </c>
      <c r="L93" s="8"/>
      <c r="M93" s="5">
        <f t="shared" si="9"/>
        <v>0</v>
      </c>
    </row>
    <row r="94" spans="1:13" x14ac:dyDescent="0.15">
      <c r="B94" s="6" t="s">
        <v>3</v>
      </c>
      <c r="C94" s="8"/>
      <c r="D94" s="5">
        <f t="shared" si="8"/>
        <v>0</v>
      </c>
      <c r="K94" s="6" t="s">
        <v>3</v>
      </c>
      <c r="L94" s="8"/>
      <c r="M94" s="5">
        <f t="shared" si="9"/>
        <v>0</v>
      </c>
    </row>
    <row r="95" spans="1:13" ht="14.25" thickBot="1" x14ac:dyDescent="0.2">
      <c r="B95" s="9" t="s">
        <v>3</v>
      </c>
      <c r="C95" s="10"/>
      <c r="D95" s="5">
        <f t="shared" si="8"/>
        <v>0</v>
      </c>
      <c r="K95" s="9" t="s">
        <v>3</v>
      </c>
      <c r="L95" s="10"/>
      <c r="M95" s="5">
        <f t="shared" si="9"/>
        <v>0</v>
      </c>
    </row>
    <row r="96" spans="1:13" ht="14.25" thickBot="1" x14ac:dyDescent="0.2">
      <c r="B96" s="11" t="s">
        <v>4</v>
      </c>
      <c r="C96" s="12">
        <f>SUM(C85:C95)</f>
        <v>412</v>
      </c>
      <c r="D96" s="13">
        <f>SUM(D85:D95)</f>
        <v>412</v>
      </c>
      <c r="K96" s="11" t="s">
        <v>4</v>
      </c>
      <c r="L96" s="12">
        <f>SUM(L85:L95)</f>
        <v>3786</v>
      </c>
      <c r="M96" s="13">
        <f>SUM(M85:M95)</f>
        <v>3786</v>
      </c>
    </row>
    <row r="97" spans="2:14" x14ac:dyDescent="0.15">
      <c r="B97" s="4" t="s">
        <v>46</v>
      </c>
      <c r="C97" s="44">
        <v>30</v>
      </c>
      <c r="D97" s="14">
        <f t="shared" ref="D97:D120" si="10">SUM(C97:C97)</f>
        <v>30</v>
      </c>
      <c r="E97" s="26">
        <v>41415</v>
      </c>
      <c r="F97" s="26"/>
      <c r="G97" s="26"/>
      <c r="H97" s="26"/>
      <c r="I97" s="26"/>
      <c r="K97" s="4" t="s">
        <v>9</v>
      </c>
      <c r="L97" s="44">
        <v>100</v>
      </c>
      <c r="M97" s="14">
        <f t="shared" ref="M97:M120" si="11">SUM(L97:L97)</f>
        <v>100</v>
      </c>
      <c r="N97" s="26">
        <v>41418</v>
      </c>
    </row>
    <row r="98" spans="2:14" x14ac:dyDescent="0.15">
      <c r="B98" s="4" t="s">
        <v>31</v>
      </c>
      <c r="C98" s="15">
        <v>2</v>
      </c>
      <c r="D98" s="14">
        <f t="shared" si="10"/>
        <v>2</v>
      </c>
      <c r="E98" s="47">
        <v>41412</v>
      </c>
      <c r="F98" s="47"/>
      <c r="G98" s="47"/>
      <c r="H98" s="47"/>
      <c r="I98" s="47"/>
      <c r="J98" s="36"/>
      <c r="K98" s="4" t="s">
        <v>9</v>
      </c>
      <c r="L98" s="15">
        <v>100</v>
      </c>
      <c r="M98" s="14">
        <f t="shared" si="11"/>
        <v>100</v>
      </c>
      <c r="N98" s="26">
        <v>41425</v>
      </c>
    </row>
    <row r="99" spans="2:14" x14ac:dyDescent="0.15">
      <c r="B99" s="4" t="s">
        <v>31</v>
      </c>
      <c r="C99" s="15">
        <v>2</v>
      </c>
      <c r="D99" s="14">
        <f t="shared" si="10"/>
        <v>2</v>
      </c>
      <c r="E99" s="48">
        <v>41414</v>
      </c>
      <c r="F99" s="48"/>
      <c r="G99" s="48"/>
      <c r="H99" s="48"/>
      <c r="I99" s="48"/>
      <c r="K99" s="4" t="s">
        <v>9</v>
      </c>
      <c r="L99" s="15">
        <v>100</v>
      </c>
      <c r="M99" s="14">
        <f t="shared" si="11"/>
        <v>100</v>
      </c>
      <c r="N99" s="26">
        <v>41430</v>
      </c>
    </row>
    <row r="100" spans="2:14" x14ac:dyDescent="0.15">
      <c r="B100" s="4" t="s">
        <v>31</v>
      </c>
      <c r="C100" s="15">
        <v>8</v>
      </c>
      <c r="D100" s="14">
        <f t="shared" si="10"/>
        <v>8</v>
      </c>
      <c r="E100" s="48">
        <v>41414</v>
      </c>
      <c r="F100" s="48"/>
      <c r="G100" s="48"/>
      <c r="H100" s="48"/>
      <c r="I100" s="48"/>
      <c r="K100" s="4" t="s">
        <v>9</v>
      </c>
      <c r="L100" s="15">
        <v>200</v>
      </c>
      <c r="M100" s="14">
        <f t="shared" si="11"/>
        <v>200</v>
      </c>
      <c r="N100" s="26">
        <v>41430</v>
      </c>
    </row>
    <row r="101" spans="2:14" x14ac:dyDescent="0.15">
      <c r="B101" s="4" t="s">
        <v>39</v>
      </c>
      <c r="C101" s="15">
        <v>1</v>
      </c>
      <c r="D101" s="14">
        <f t="shared" si="10"/>
        <v>1</v>
      </c>
      <c r="E101" s="48">
        <v>41414</v>
      </c>
      <c r="F101" s="48"/>
      <c r="G101" s="48"/>
      <c r="H101" s="48"/>
      <c r="I101" s="48"/>
      <c r="K101" s="4" t="s">
        <v>9</v>
      </c>
      <c r="L101" s="15">
        <v>200</v>
      </c>
      <c r="M101" s="14">
        <f t="shared" si="11"/>
        <v>200</v>
      </c>
      <c r="N101" s="26">
        <v>41435</v>
      </c>
    </row>
    <row r="102" spans="2:14" x14ac:dyDescent="0.15">
      <c r="B102" s="4" t="s">
        <v>47</v>
      </c>
      <c r="C102" s="15">
        <v>1</v>
      </c>
      <c r="D102" s="14">
        <f t="shared" si="10"/>
        <v>1</v>
      </c>
      <c r="E102" s="48">
        <v>41415</v>
      </c>
      <c r="F102" s="48"/>
      <c r="G102" s="48"/>
      <c r="H102" s="48"/>
      <c r="I102" s="48"/>
      <c r="K102" s="4" t="s">
        <v>9</v>
      </c>
      <c r="L102" s="15">
        <v>100</v>
      </c>
      <c r="M102" s="14">
        <f t="shared" si="11"/>
        <v>100</v>
      </c>
      <c r="N102" s="48">
        <v>41438</v>
      </c>
    </row>
    <row r="103" spans="2:14" x14ac:dyDescent="0.15">
      <c r="B103" s="4" t="s">
        <v>23</v>
      </c>
      <c r="C103" s="15">
        <v>5</v>
      </c>
      <c r="D103" s="14">
        <f t="shared" si="10"/>
        <v>5</v>
      </c>
      <c r="E103" s="26">
        <v>41418</v>
      </c>
      <c r="F103" s="26"/>
      <c r="G103" s="26"/>
      <c r="H103" s="26"/>
      <c r="I103" s="26"/>
      <c r="K103" s="4"/>
      <c r="L103" s="15"/>
      <c r="M103" s="14">
        <f t="shared" si="11"/>
        <v>0</v>
      </c>
    </row>
    <row r="104" spans="2:14" x14ac:dyDescent="0.15">
      <c r="B104" s="4" t="s">
        <v>49</v>
      </c>
      <c r="C104" s="15">
        <v>50</v>
      </c>
      <c r="D104" s="14">
        <f t="shared" si="10"/>
        <v>50</v>
      </c>
      <c r="E104" s="26">
        <v>41419</v>
      </c>
      <c r="F104" s="26"/>
      <c r="G104" s="26"/>
      <c r="H104" s="26"/>
      <c r="I104" s="26"/>
      <c r="K104" s="4"/>
      <c r="L104" s="15"/>
      <c r="M104" s="14">
        <f t="shared" si="11"/>
        <v>0</v>
      </c>
    </row>
    <row r="105" spans="2:14" x14ac:dyDescent="0.15">
      <c r="B105" s="4" t="s">
        <v>37</v>
      </c>
      <c r="C105" s="15">
        <v>6</v>
      </c>
      <c r="D105" s="14">
        <f t="shared" si="10"/>
        <v>6</v>
      </c>
      <c r="E105" s="48">
        <v>41416</v>
      </c>
      <c r="F105" s="48"/>
      <c r="G105" s="48"/>
      <c r="H105" s="48"/>
      <c r="I105" s="48"/>
      <c r="K105" s="4"/>
      <c r="L105" s="15"/>
      <c r="M105" s="14">
        <f t="shared" si="11"/>
        <v>0</v>
      </c>
    </row>
    <row r="106" spans="2:14" x14ac:dyDescent="0.15">
      <c r="B106" s="4" t="s">
        <v>48</v>
      </c>
      <c r="C106" s="15">
        <v>10</v>
      </c>
      <c r="D106" s="14">
        <f t="shared" si="10"/>
        <v>10</v>
      </c>
      <c r="E106" s="26">
        <v>41418</v>
      </c>
      <c r="F106" s="26"/>
      <c r="G106" s="26"/>
      <c r="H106" s="26"/>
      <c r="I106" s="26"/>
      <c r="K106" s="4"/>
      <c r="L106" s="15"/>
      <c r="M106" s="14">
        <f t="shared" si="11"/>
        <v>0</v>
      </c>
    </row>
    <row r="107" spans="2:14" x14ac:dyDescent="0.15">
      <c r="B107" s="4" t="s">
        <v>37</v>
      </c>
      <c r="C107" s="15">
        <v>2</v>
      </c>
      <c r="D107" s="14">
        <f t="shared" si="10"/>
        <v>2</v>
      </c>
      <c r="E107" s="48">
        <v>41418</v>
      </c>
      <c r="F107" s="48"/>
      <c r="G107" s="48"/>
      <c r="H107" s="48"/>
      <c r="I107" s="48"/>
      <c r="K107" s="4"/>
      <c r="L107" s="15"/>
      <c r="M107" s="14">
        <f t="shared" si="11"/>
        <v>0</v>
      </c>
    </row>
    <row r="108" spans="2:14" x14ac:dyDescent="0.15">
      <c r="B108" s="6" t="s">
        <v>50</v>
      </c>
      <c r="C108" s="15">
        <v>1</v>
      </c>
      <c r="D108" s="14">
        <f t="shared" si="10"/>
        <v>1</v>
      </c>
      <c r="E108" s="26">
        <v>41422</v>
      </c>
      <c r="F108" s="26"/>
      <c r="G108" s="26"/>
      <c r="H108" s="26"/>
      <c r="I108" s="26"/>
      <c r="K108" s="6"/>
      <c r="L108" s="15"/>
      <c r="M108" s="14">
        <f t="shared" si="11"/>
        <v>0</v>
      </c>
    </row>
    <row r="109" spans="2:14" x14ac:dyDescent="0.15">
      <c r="B109" s="6" t="s">
        <v>37</v>
      </c>
      <c r="C109" s="15">
        <v>1</v>
      </c>
      <c r="D109" s="14">
        <f t="shared" si="10"/>
        <v>1</v>
      </c>
      <c r="E109" s="48">
        <v>41419</v>
      </c>
      <c r="F109" s="48"/>
      <c r="G109" s="48"/>
      <c r="H109" s="48"/>
      <c r="I109" s="48"/>
      <c r="K109" s="6"/>
      <c r="L109" s="15"/>
      <c r="M109" s="14">
        <f t="shared" si="11"/>
        <v>0</v>
      </c>
    </row>
    <row r="110" spans="2:14" x14ac:dyDescent="0.15">
      <c r="B110" s="6" t="s">
        <v>37</v>
      </c>
      <c r="C110" s="15">
        <v>2</v>
      </c>
      <c r="D110" s="14">
        <f t="shared" si="10"/>
        <v>2</v>
      </c>
      <c r="E110" s="48">
        <v>41419</v>
      </c>
      <c r="F110" s="48"/>
      <c r="G110" s="48"/>
      <c r="H110" s="48"/>
      <c r="I110" s="48"/>
      <c r="K110" s="6"/>
      <c r="L110" s="15"/>
      <c r="M110" s="14">
        <f t="shared" si="11"/>
        <v>0</v>
      </c>
    </row>
    <row r="111" spans="2:14" x14ac:dyDescent="0.15">
      <c r="B111" s="6" t="s">
        <v>37</v>
      </c>
      <c r="C111" s="15">
        <v>11</v>
      </c>
      <c r="D111" s="14">
        <f t="shared" si="10"/>
        <v>11</v>
      </c>
      <c r="E111" s="48">
        <v>41421</v>
      </c>
      <c r="F111" s="48"/>
      <c r="G111" s="48"/>
      <c r="H111" s="48"/>
      <c r="I111" s="48"/>
      <c r="J111" s="46"/>
      <c r="K111" s="4"/>
      <c r="L111" s="15"/>
      <c r="M111" s="14">
        <f t="shared" si="11"/>
        <v>0</v>
      </c>
    </row>
    <row r="112" spans="2:14" x14ac:dyDescent="0.15">
      <c r="B112" s="6" t="s">
        <v>51</v>
      </c>
      <c r="C112" s="15">
        <v>4</v>
      </c>
      <c r="D112" s="14">
        <f t="shared" si="10"/>
        <v>4</v>
      </c>
      <c r="E112" s="26">
        <v>41423</v>
      </c>
      <c r="F112" s="26"/>
      <c r="G112" s="26"/>
      <c r="H112" s="26"/>
      <c r="I112" s="26"/>
      <c r="J112" s="46"/>
      <c r="K112" s="6"/>
      <c r="L112" s="15"/>
      <c r="M112" s="14">
        <f t="shared" si="11"/>
        <v>0</v>
      </c>
    </row>
    <row r="113" spans="1:14" x14ac:dyDescent="0.15">
      <c r="B113" s="6" t="s">
        <v>52</v>
      </c>
      <c r="C113" s="15">
        <v>5</v>
      </c>
      <c r="D113" s="14">
        <f t="shared" si="10"/>
        <v>5</v>
      </c>
      <c r="E113" s="26">
        <v>41426</v>
      </c>
      <c r="F113" s="26"/>
      <c r="G113" s="26"/>
      <c r="H113" s="26"/>
      <c r="I113" s="26"/>
      <c r="J113" s="46"/>
      <c r="K113" s="6"/>
      <c r="L113" s="15"/>
      <c r="M113" s="14">
        <f t="shared" si="11"/>
        <v>0</v>
      </c>
    </row>
    <row r="114" spans="1:14" x14ac:dyDescent="0.15">
      <c r="B114" s="4" t="s">
        <v>54</v>
      </c>
      <c r="C114" s="15">
        <v>100</v>
      </c>
      <c r="D114" s="14">
        <f t="shared" si="10"/>
        <v>100</v>
      </c>
      <c r="E114" s="26">
        <v>41428</v>
      </c>
      <c r="F114" s="26"/>
      <c r="G114" s="26"/>
      <c r="H114" s="26"/>
      <c r="I114" s="26"/>
      <c r="J114" s="46"/>
      <c r="K114" s="6"/>
      <c r="L114" s="15"/>
      <c r="M114" s="14">
        <f t="shared" si="11"/>
        <v>0</v>
      </c>
    </row>
    <row r="115" spans="1:14" x14ac:dyDescent="0.15">
      <c r="B115" s="6" t="s">
        <v>37</v>
      </c>
      <c r="C115" s="15">
        <v>7</v>
      </c>
      <c r="D115" s="14">
        <f t="shared" si="10"/>
        <v>7</v>
      </c>
      <c r="E115" s="48">
        <v>41424</v>
      </c>
      <c r="F115" s="48"/>
      <c r="G115" s="48"/>
      <c r="H115" s="48"/>
      <c r="I115" s="48"/>
      <c r="J115" s="46"/>
      <c r="K115" s="6"/>
      <c r="L115" s="15"/>
      <c r="M115" s="14">
        <f t="shared" si="11"/>
        <v>0</v>
      </c>
    </row>
    <row r="116" spans="1:14" x14ac:dyDescent="0.15">
      <c r="B116" s="6" t="s">
        <v>37</v>
      </c>
      <c r="C116" s="15">
        <v>2</v>
      </c>
      <c r="D116" s="14">
        <f t="shared" si="10"/>
        <v>2</v>
      </c>
      <c r="E116" s="48">
        <v>41425</v>
      </c>
      <c r="F116" s="48"/>
      <c r="G116" s="48"/>
      <c r="H116" s="48"/>
      <c r="I116" s="48"/>
      <c r="J116" s="46"/>
      <c r="K116" s="6"/>
      <c r="L116" s="15"/>
      <c r="M116" s="14">
        <f t="shared" si="11"/>
        <v>0</v>
      </c>
    </row>
    <row r="117" spans="1:14" x14ac:dyDescent="0.15">
      <c r="B117" s="6" t="s">
        <v>23</v>
      </c>
      <c r="C117" s="15">
        <v>10</v>
      </c>
      <c r="D117" s="14">
        <f t="shared" si="10"/>
        <v>10</v>
      </c>
      <c r="E117" s="26">
        <v>41431</v>
      </c>
      <c r="F117" s="26"/>
      <c r="G117" s="26"/>
      <c r="H117" s="26"/>
      <c r="I117" s="26"/>
      <c r="J117" s="46"/>
      <c r="K117" s="6"/>
      <c r="L117" s="15"/>
      <c r="M117" s="14">
        <f t="shared" si="11"/>
        <v>0</v>
      </c>
    </row>
    <row r="118" spans="1:14" x14ac:dyDescent="0.15">
      <c r="B118" s="6" t="s">
        <v>53</v>
      </c>
      <c r="C118" s="15">
        <v>3</v>
      </c>
      <c r="D118" s="14">
        <f t="shared" si="10"/>
        <v>3</v>
      </c>
      <c r="E118" s="49">
        <v>41426</v>
      </c>
      <c r="F118" s="49"/>
      <c r="G118" s="49"/>
      <c r="H118" s="49"/>
      <c r="I118" s="49"/>
      <c r="J118" s="46"/>
      <c r="K118" s="6"/>
      <c r="L118" s="15"/>
      <c r="M118" s="14">
        <f t="shared" si="11"/>
        <v>0</v>
      </c>
    </row>
    <row r="119" spans="1:14" x14ac:dyDescent="0.15">
      <c r="B119" s="6" t="s">
        <v>31</v>
      </c>
      <c r="C119" s="15">
        <v>5</v>
      </c>
      <c r="D119" s="14">
        <f t="shared" si="10"/>
        <v>5</v>
      </c>
      <c r="E119" s="48">
        <v>41428</v>
      </c>
      <c r="F119" s="48"/>
      <c r="G119" s="48"/>
      <c r="H119" s="48"/>
      <c r="I119" s="48"/>
      <c r="J119" s="36"/>
      <c r="K119" s="4"/>
      <c r="L119" s="15"/>
      <c r="M119" s="14">
        <f t="shared" si="11"/>
        <v>0</v>
      </c>
    </row>
    <row r="120" spans="1:14" ht="14.25" thickBot="1" x14ac:dyDescent="0.2">
      <c r="B120" s="4" t="s">
        <v>11</v>
      </c>
      <c r="C120" s="15">
        <v>50</v>
      </c>
      <c r="D120" s="14">
        <f t="shared" si="10"/>
        <v>50</v>
      </c>
      <c r="E120" s="26">
        <v>41431</v>
      </c>
      <c r="F120" s="26"/>
      <c r="G120" s="26"/>
      <c r="H120" s="26"/>
      <c r="I120" s="26"/>
      <c r="J120" s="36"/>
      <c r="K120" s="4"/>
      <c r="L120" s="15"/>
      <c r="M120" s="14">
        <f t="shared" si="11"/>
        <v>0</v>
      </c>
      <c r="N120" s="26"/>
    </row>
    <row r="121" spans="1:14" ht="14.25" thickBot="1" x14ac:dyDescent="0.2">
      <c r="B121" s="3" t="s">
        <v>5</v>
      </c>
      <c r="C121" s="16">
        <f>SUM(C97:C120)</f>
        <v>318</v>
      </c>
      <c r="D121" s="17">
        <f>SUM(D97:D120)</f>
        <v>318</v>
      </c>
      <c r="K121" s="3" t="s">
        <v>5</v>
      </c>
      <c r="L121" s="16">
        <f>SUM(L97:L120)</f>
        <v>800</v>
      </c>
      <c r="M121" s="17">
        <f>SUM(M97:M120)</f>
        <v>800</v>
      </c>
    </row>
    <row r="122" spans="1:14" ht="14.25" thickBot="1" x14ac:dyDescent="0.2">
      <c r="B122" s="18" t="s">
        <v>6</v>
      </c>
      <c r="C122" s="19">
        <f>C96-C121</f>
        <v>94</v>
      </c>
      <c r="D122" s="13">
        <f>D96-D121</f>
        <v>94</v>
      </c>
      <c r="K122" s="18" t="s">
        <v>6</v>
      </c>
      <c r="L122" s="19">
        <f>L96-L121</f>
        <v>2986</v>
      </c>
      <c r="M122" s="13">
        <f>M96-M121</f>
        <v>2986</v>
      </c>
    </row>
    <row r="124" spans="1:14" ht="18" thickBot="1" x14ac:dyDescent="0.25">
      <c r="A124" s="27" t="s">
        <v>8</v>
      </c>
      <c r="B124" s="28"/>
      <c r="C124" s="28"/>
      <c r="D124" s="28"/>
      <c r="J124" s="27" t="s">
        <v>7</v>
      </c>
    </row>
    <row r="125" spans="1:14" ht="14.25" thickBot="1" x14ac:dyDescent="0.2">
      <c r="B125" s="2"/>
      <c r="C125" s="3" t="s">
        <v>0</v>
      </c>
      <c r="D125" s="2" t="s">
        <v>1</v>
      </c>
      <c r="K125" s="2"/>
      <c r="L125" s="3" t="s">
        <v>0</v>
      </c>
      <c r="M125" s="2" t="s">
        <v>1</v>
      </c>
    </row>
    <row r="126" spans="1:14" x14ac:dyDescent="0.15">
      <c r="B126" s="43" t="s">
        <v>26</v>
      </c>
      <c r="C126" s="38">
        <f>C122</f>
        <v>94</v>
      </c>
      <c r="D126" s="39">
        <f t="shared" ref="D126:D136" si="12">SUM(C126:C126)</f>
        <v>94</v>
      </c>
      <c r="K126" s="43" t="s">
        <v>26</v>
      </c>
      <c r="L126" s="38">
        <f>L122</f>
        <v>2986</v>
      </c>
      <c r="M126" s="39">
        <f t="shared" ref="M126:M136" si="13">SUM(L126:L126)</f>
        <v>2986</v>
      </c>
    </row>
    <row r="127" spans="1:14" x14ac:dyDescent="0.15">
      <c r="B127" s="6" t="s">
        <v>3</v>
      </c>
      <c r="C127" s="7">
        <v>200</v>
      </c>
      <c r="D127" s="5">
        <f t="shared" si="12"/>
        <v>200</v>
      </c>
      <c r="E127" s="26">
        <v>41430</v>
      </c>
      <c r="F127" s="26"/>
      <c r="G127" s="26"/>
      <c r="H127" s="26"/>
      <c r="I127" s="26"/>
      <c r="J127" s="29"/>
      <c r="K127" s="6" t="s">
        <v>3</v>
      </c>
      <c r="L127" s="7"/>
      <c r="M127" s="5">
        <f t="shared" si="13"/>
        <v>0</v>
      </c>
    </row>
    <row r="128" spans="1:14" x14ac:dyDescent="0.15">
      <c r="B128" s="6" t="s">
        <v>3</v>
      </c>
      <c r="C128" s="7">
        <v>200</v>
      </c>
      <c r="D128" s="5">
        <f t="shared" si="12"/>
        <v>200</v>
      </c>
      <c r="E128" s="26">
        <v>41435</v>
      </c>
      <c r="F128" s="26"/>
      <c r="G128" s="26"/>
      <c r="H128" s="26"/>
      <c r="I128" s="26"/>
      <c r="K128" s="6" t="s">
        <v>3</v>
      </c>
      <c r="L128" s="7"/>
      <c r="M128" s="5">
        <f t="shared" si="13"/>
        <v>0</v>
      </c>
    </row>
    <row r="129" spans="2:14" x14ac:dyDescent="0.15">
      <c r="B129" s="6" t="s">
        <v>3</v>
      </c>
      <c r="C129" s="7">
        <v>100</v>
      </c>
      <c r="D129" s="5">
        <f t="shared" si="12"/>
        <v>100</v>
      </c>
      <c r="E129" s="26">
        <v>41438</v>
      </c>
      <c r="F129" s="26"/>
      <c r="G129" s="26"/>
      <c r="H129" s="26"/>
      <c r="I129" s="26"/>
      <c r="J129" s="29"/>
      <c r="K129" s="6" t="s">
        <v>3</v>
      </c>
      <c r="L129" s="7"/>
      <c r="M129" s="5">
        <f t="shared" si="13"/>
        <v>0</v>
      </c>
    </row>
    <row r="130" spans="2:14" x14ac:dyDescent="0.15">
      <c r="B130" s="6" t="s">
        <v>3</v>
      </c>
      <c r="C130" s="7">
        <v>100</v>
      </c>
      <c r="D130" s="5">
        <f t="shared" si="12"/>
        <v>100</v>
      </c>
      <c r="E130" s="26">
        <v>41440</v>
      </c>
      <c r="F130" s="26"/>
      <c r="G130" s="26"/>
      <c r="H130" s="26"/>
      <c r="I130" s="26"/>
      <c r="J130" s="29"/>
      <c r="K130" s="6" t="s">
        <v>3</v>
      </c>
      <c r="L130" s="7"/>
      <c r="M130" s="5">
        <f t="shared" si="13"/>
        <v>0</v>
      </c>
    </row>
    <row r="131" spans="2:14" x14ac:dyDescent="0.15">
      <c r="B131" s="6" t="s">
        <v>3</v>
      </c>
      <c r="C131" s="7">
        <v>3</v>
      </c>
      <c r="D131" s="5">
        <f t="shared" si="12"/>
        <v>3</v>
      </c>
      <c r="E131" s="48">
        <v>41443</v>
      </c>
      <c r="F131" s="48"/>
      <c r="G131" s="48"/>
      <c r="H131" s="48"/>
      <c r="I131" s="48"/>
      <c r="K131" s="6" t="s">
        <v>3</v>
      </c>
      <c r="L131" s="7"/>
      <c r="M131" s="5">
        <f t="shared" si="13"/>
        <v>0</v>
      </c>
    </row>
    <row r="132" spans="2:14" x14ac:dyDescent="0.15">
      <c r="B132" s="6" t="s">
        <v>3</v>
      </c>
      <c r="C132" s="7"/>
      <c r="D132" s="5">
        <f t="shared" si="12"/>
        <v>0</v>
      </c>
      <c r="K132" s="6" t="s">
        <v>3</v>
      </c>
      <c r="L132" s="7"/>
      <c r="M132" s="5">
        <f t="shared" si="13"/>
        <v>0</v>
      </c>
    </row>
    <row r="133" spans="2:14" x14ac:dyDescent="0.15">
      <c r="B133" s="6" t="s">
        <v>3</v>
      </c>
      <c r="C133" s="8"/>
      <c r="D133" s="5">
        <f t="shared" si="12"/>
        <v>0</v>
      </c>
      <c r="K133" s="6" t="s">
        <v>3</v>
      </c>
      <c r="L133" s="8"/>
      <c r="M133" s="5">
        <f t="shared" si="13"/>
        <v>0</v>
      </c>
    </row>
    <row r="134" spans="2:14" x14ac:dyDescent="0.15">
      <c r="B134" s="6" t="s">
        <v>3</v>
      </c>
      <c r="C134" s="8"/>
      <c r="D134" s="5">
        <f t="shared" si="12"/>
        <v>0</v>
      </c>
      <c r="K134" s="6" t="s">
        <v>3</v>
      </c>
      <c r="L134" s="8"/>
      <c r="M134" s="5">
        <f t="shared" si="13"/>
        <v>0</v>
      </c>
    </row>
    <row r="135" spans="2:14" x14ac:dyDescent="0.15">
      <c r="B135" s="6" t="s">
        <v>3</v>
      </c>
      <c r="C135" s="8"/>
      <c r="D135" s="5">
        <f t="shared" si="12"/>
        <v>0</v>
      </c>
      <c r="K135" s="6" t="s">
        <v>3</v>
      </c>
      <c r="L135" s="8"/>
      <c r="M135" s="5">
        <f t="shared" si="13"/>
        <v>0</v>
      </c>
    </row>
    <row r="136" spans="2:14" ht="14.25" thickBot="1" x14ac:dyDescent="0.2">
      <c r="B136" s="9" t="s">
        <v>3</v>
      </c>
      <c r="C136" s="10"/>
      <c r="D136" s="5">
        <f t="shared" si="12"/>
        <v>0</v>
      </c>
      <c r="K136" s="9" t="s">
        <v>3</v>
      </c>
      <c r="L136" s="10"/>
      <c r="M136" s="5">
        <f t="shared" si="13"/>
        <v>0</v>
      </c>
    </row>
    <row r="137" spans="2:14" ht="14.25" thickBot="1" x14ac:dyDescent="0.2">
      <c r="B137" s="11" t="s">
        <v>4</v>
      </c>
      <c r="C137" s="12">
        <f>SUM(C126:C136)</f>
        <v>697</v>
      </c>
      <c r="D137" s="13">
        <f>SUM(D126:D136)</f>
        <v>697</v>
      </c>
      <c r="K137" s="11" t="s">
        <v>4</v>
      </c>
      <c r="L137" s="12">
        <f>SUM(L126:L136)</f>
        <v>2986</v>
      </c>
      <c r="M137" s="13">
        <f>SUM(M126:M136)</f>
        <v>2986</v>
      </c>
    </row>
    <row r="138" spans="2:14" x14ac:dyDescent="0.15">
      <c r="B138" s="4" t="s">
        <v>44</v>
      </c>
      <c r="C138" s="44">
        <v>22</v>
      </c>
      <c r="D138" s="14">
        <f t="shared" ref="D138:D161" si="14">SUM(C138:C138)</f>
        <v>22</v>
      </c>
      <c r="E138" s="26">
        <v>41436</v>
      </c>
      <c r="F138" s="26"/>
      <c r="G138" s="26"/>
      <c r="H138" s="26"/>
      <c r="I138" s="26"/>
      <c r="K138" s="4" t="s">
        <v>9</v>
      </c>
      <c r="L138" s="44">
        <v>100</v>
      </c>
      <c r="M138" s="14">
        <f t="shared" ref="M138:M161" si="15">SUM(L138:L138)</f>
        <v>100</v>
      </c>
      <c r="N138" s="26">
        <v>41440</v>
      </c>
    </row>
    <row r="139" spans="2:14" x14ac:dyDescent="0.15">
      <c r="B139" s="6" t="s">
        <v>31</v>
      </c>
      <c r="C139" s="15">
        <v>5</v>
      </c>
      <c r="D139" s="14">
        <f t="shared" si="14"/>
        <v>5</v>
      </c>
      <c r="E139" s="47">
        <v>41429</v>
      </c>
      <c r="F139" s="47"/>
      <c r="G139" s="47"/>
      <c r="H139" s="47"/>
      <c r="I139" s="47"/>
      <c r="J139" s="36"/>
      <c r="K139" s="4" t="s">
        <v>9</v>
      </c>
      <c r="L139" s="15">
        <v>100</v>
      </c>
      <c r="M139" s="14">
        <f t="shared" si="15"/>
        <v>100</v>
      </c>
      <c r="N139" s="26">
        <v>41445</v>
      </c>
    </row>
    <row r="140" spans="2:14" x14ac:dyDescent="0.15">
      <c r="B140" s="4" t="s">
        <v>11</v>
      </c>
      <c r="C140" s="15">
        <v>150</v>
      </c>
      <c r="D140" s="14">
        <f t="shared" si="14"/>
        <v>150</v>
      </c>
      <c r="E140" s="26">
        <v>41431</v>
      </c>
      <c r="F140" s="26"/>
      <c r="G140" s="26"/>
      <c r="H140" s="26"/>
      <c r="I140" s="26"/>
      <c r="K140" s="4"/>
      <c r="L140" s="15"/>
      <c r="M140" s="14">
        <f t="shared" si="15"/>
        <v>0</v>
      </c>
    </row>
    <row r="141" spans="2:14" x14ac:dyDescent="0.15">
      <c r="B141" s="4" t="s">
        <v>10</v>
      </c>
      <c r="C141" s="15">
        <v>60</v>
      </c>
      <c r="D141" s="14">
        <f t="shared" si="14"/>
        <v>60</v>
      </c>
      <c r="E141" s="26">
        <v>41435</v>
      </c>
      <c r="F141" s="26"/>
      <c r="G141" s="26"/>
      <c r="H141" s="26"/>
      <c r="I141" s="26"/>
      <c r="K141" s="4"/>
      <c r="L141" s="15"/>
      <c r="M141" s="14">
        <f t="shared" si="15"/>
        <v>0</v>
      </c>
    </row>
    <row r="142" spans="2:14" x14ac:dyDescent="0.15">
      <c r="B142" s="6" t="s">
        <v>23</v>
      </c>
      <c r="C142" s="15">
        <v>4</v>
      </c>
      <c r="D142" s="14">
        <f t="shared" si="14"/>
        <v>4</v>
      </c>
      <c r="E142" s="26">
        <v>41432</v>
      </c>
      <c r="F142" s="26"/>
      <c r="G142" s="26"/>
      <c r="H142" s="26"/>
      <c r="I142" s="26"/>
      <c r="K142" s="4"/>
      <c r="L142" s="15"/>
      <c r="M142" s="14">
        <f t="shared" si="15"/>
        <v>0</v>
      </c>
    </row>
    <row r="143" spans="2:14" x14ac:dyDescent="0.15">
      <c r="B143" s="4" t="s">
        <v>55</v>
      </c>
      <c r="C143" s="15">
        <v>3</v>
      </c>
      <c r="D143" s="14">
        <f t="shared" si="14"/>
        <v>3</v>
      </c>
      <c r="E143" s="48">
        <v>41430</v>
      </c>
      <c r="F143" s="48"/>
      <c r="G143" s="48"/>
      <c r="H143" s="48"/>
      <c r="I143" s="48"/>
      <c r="K143" s="4"/>
      <c r="L143" s="15"/>
      <c r="M143" s="14">
        <f t="shared" si="15"/>
        <v>0</v>
      </c>
    </row>
    <row r="144" spans="2:14" x14ac:dyDescent="0.15">
      <c r="B144" s="4" t="s">
        <v>37</v>
      </c>
      <c r="C144" s="15">
        <v>5</v>
      </c>
      <c r="D144" s="14">
        <f t="shared" si="14"/>
        <v>5</v>
      </c>
      <c r="E144" s="26">
        <v>41431</v>
      </c>
      <c r="F144" s="26"/>
      <c r="G144" s="26"/>
      <c r="H144" s="26"/>
      <c r="I144" s="26"/>
      <c r="K144" s="4"/>
      <c r="L144" s="15"/>
      <c r="M144" s="14">
        <f t="shared" si="15"/>
        <v>0</v>
      </c>
    </row>
    <row r="145" spans="2:13" x14ac:dyDescent="0.15">
      <c r="B145" s="4" t="s">
        <v>11</v>
      </c>
      <c r="C145" s="15">
        <v>200</v>
      </c>
      <c r="D145" s="14">
        <f t="shared" si="14"/>
        <v>200</v>
      </c>
      <c r="E145" s="26">
        <v>41436</v>
      </c>
      <c r="F145" s="26"/>
      <c r="G145" s="26"/>
      <c r="H145" s="26"/>
      <c r="I145" s="26"/>
      <c r="K145" s="4"/>
      <c r="L145" s="15"/>
      <c r="M145" s="14">
        <f t="shared" si="15"/>
        <v>0</v>
      </c>
    </row>
    <row r="146" spans="2:13" x14ac:dyDescent="0.15">
      <c r="B146" s="4" t="s">
        <v>31</v>
      </c>
      <c r="C146" s="15">
        <v>1</v>
      </c>
      <c r="D146" s="14">
        <f t="shared" si="14"/>
        <v>1</v>
      </c>
      <c r="E146" s="48">
        <v>41432</v>
      </c>
      <c r="F146" s="48"/>
      <c r="G146" s="48"/>
      <c r="H146" s="48"/>
      <c r="I146" s="48"/>
      <c r="K146" s="4"/>
      <c r="L146" s="15"/>
      <c r="M146" s="14">
        <f t="shared" si="15"/>
        <v>0</v>
      </c>
    </row>
    <row r="147" spans="2:13" x14ac:dyDescent="0.15">
      <c r="B147" s="4" t="s">
        <v>31</v>
      </c>
      <c r="C147" s="15">
        <v>2</v>
      </c>
      <c r="D147" s="14">
        <f t="shared" si="14"/>
        <v>2</v>
      </c>
      <c r="E147" s="26">
        <v>41432</v>
      </c>
      <c r="F147" s="26"/>
      <c r="G147" s="26"/>
      <c r="H147" s="26"/>
      <c r="I147" s="26"/>
      <c r="K147" s="4"/>
      <c r="L147" s="15"/>
      <c r="M147" s="14">
        <f t="shared" si="15"/>
        <v>0</v>
      </c>
    </row>
    <row r="148" spans="2:13" x14ac:dyDescent="0.15">
      <c r="B148" s="4" t="s">
        <v>31</v>
      </c>
      <c r="C148" s="15">
        <v>2</v>
      </c>
      <c r="D148" s="14">
        <f t="shared" si="14"/>
        <v>2</v>
      </c>
      <c r="E148" s="48">
        <v>41433</v>
      </c>
      <c r="F148" s="48"/>
      <c r="G148" s="48"/>
      <c r="H148" s="48"/>
      <c r="I148" s="48"/>
      <c r="K148" s="4"/>
      <c r="L148" s="15"/>
      <c r="M148" s="14">
        <f t="shared" si="15"/>
        <v>0</v>
      </c>
    </row>
    <row r="149" spans="2:13" x14ac:dyDescent="0.15">
      <c r="B149" s="4" t="s">
        <v>12</v>
      </c>
      <c r="C149" s="15">
        <v>6</v>
      </c>
      <c r="D149" s="14">
        <f t="shared" si="14"/>
        <v>6</v>
      </c>
      <c r="E149" s="26">
        <v>41435</v>
      </c>
      <c r="F149" s="26"/>
      <c r="G149" s="26"/>
      <c r="H149" s="26"/>
      <c r="I149" s="26"/>
      <c r="K149" s="6"/>
      <c r="L149" s="15"/>
      <c r="M149" s="14">
        <f t="shared" si="15"/>
        <v>0</v>
      </c>
    </row>
    <row r="150" spans="2:13" x14ac:dyDescent="0.15">
      <c r="B150" s="6" t="s">
        <v>56</v>
      </c>
      <c r="C150" s="15">
        <v>9</v>
      </c>
      <c r="D150" s="14">
        <f t="shared" si="14"/>
        <v>9</v>
      </c>
      <c r="E150" s="48">
        <v>41435</v>
      </c>
      <c r="F150" s="48"/>
      <c r="G150" s="48"/>
      <c r="H150" s="48"/>
      <c r="I150" s="48"/>
      <c r="K150" s="6"/>
      <c r="L150" s="15"/>
      <c r="M150" s="14">
        <f t="shared" si="15"/>
        <v>0</v>
      </c>
    </row>
    <row r="151" spans="2:13" x14ac:dyDescent="0.15">
      <c r="B151" s="6" t="s">
        <v>37</v>
      </c>
      <c r="C151" s="15">
        <v>2</v>
      </c>
      <c r="D151" s="14">
        <f t="shared" si="14"/>
        <v>2</v>
      </c>
      <c r="E151" s="48">
        <v>41435</v>
      </c>
      <c r="F151" s="48"/>
      <c r="G151" s="48"/>
      <c r="H151" s="48"/>
      <c r="I151" s="48"/>
      <c r="K151" s="6"/>
      <c r="L151" s="15"/>
      <c r="M151" s="14">
        <f t="shared" si="15"/>
        <v>0</v>
      </c>
    </row>
    <row r="152" spans="2:13" x14ac:dyDescent="0.15">
      <c r="B152" s="4" t="s">
        <v>44</v>
      </c>
      <c r="C152" s="15">
        <v>11</v>
      </c>
      <c r="D152" s="14">
        <f t="shared" si="14"/>
        <v>11</v>
      </c>
      <c r="E152" s="26">
        <v>41442</v>
      </c>
      <c r="F152" s="26"/>
      <c r="G152" s="26"/>
      <c r="H152" s="26"/>
      <c r="I152" s="26"/>
      <c r="J152" s="46"/>
      <c r="K152" s="4"/>
      <c r="L152" s="15"/>
      <c r="M152" s="14">
        <f t="shared" si="15"/>
        <v>0</v>
      </c>
    </row>
    <row r="153" spans="2:13" x14ac:dyDescent="0.15">
      <c r="B153" s="6" t="s">
        <v>37</v>
      </c>
      <c r="C153" s="15">
        <v>12</v>
      </c>
      <c r="D153" s="14">
        <f t="shared" si="14"/>
        <v>12</v>
      </c>
      <c r="E153" s="26">
        <v>41436</v>
      </c>
      <c r="F153" s="26"/>
      <c r="G153" s="26"/>
      <c r="H153" s="26"/>
      <c r="I153" s="26"/>
      <c r="J153" s="46"/>
      <c r="K153" s="6"/>
      <c r="L153" s="15"/>
      <c r="M153" s="14">
        <f t="shared" si="15"/>
        <v>0</v>
      </c>
    </row>
    <row r="154" spans="2:13" x14ac:dyDescent="0.15">
      <c r="B154" s="6" t="s">
        <v>10</v>
      </c>
      <c r="C154" s="15">
        <v>20</v>
      </c>
      <c r="D154" s="14">
        <f t="shared" si="14"/>
        <v>20</v>
      </c>
      <c r="E154" s="26">
        <v>41444</v>
      </c>
      <c r="F154" s="26"/>
      <c r="G154" s="26"/>
      <c r="H154" s="26"/>
      <c r="I154" s="26"/>
      <c r="J154" s="46"/>
      <c r="K154" s="6"/>
      <c r="L154" s="15"/>
      <c r="M154" s="14">
        <f t="shared" si="15"/>
        <v>0</v>
      </c>
    </row>
    <row r="155" spans="2:13" x14ac:dyDescent="0.15">
      <c r="B155" s="4" t="s">
        <v>37</v>
      </c>
      <c r="C155" s="15">
        <v>4</v>
      </c>
      <c r="D155" s="14">
        <f t="shared" si="14"/>
        <v>4</v>
      </c>
      <c r="E155" s="26">
        <v>41437</v>
      </c>
      <c r="F155" s="26"/>
      <c r="G155" s="26"/>
      <c r="H155" s="26"/>
      <c r="I155" s="26"/>
      <c r="J155" s="46"/>
      <c r="K155" s="6"/>
      <c r="L155" s="15"/>
      <c r="M155" s="14">
        <f t="shared" si="15"/>
        <v>0</v>
      </c>
    </row>
    <row r="156" spans="2:13" x14ac:dyDescent="0.15">
      <c r="B156" s="6" t="s">
        <v>37</v>
      </c>
      <c r="C156" s="15">
        <v>6</v>
      </c>
      <c r="D156" s="14">
        <f t="shared" si="14"/>
        <v>6</v>
      </c>
      <c r="E156" s="48">
        <v>41438</v>
      </c>
      <c r="F156" s="48"/>
      <c r="G156" s="48"/>
      <c r="H156" s="48"/>
      <c r="I156" s="48"/>
      <c r="J156" s="46"/>
      <c r="K156" s="6"/>
      <c r="L156" s="15"/>
      <c r="M156" s="14">
        <f t="shared" si="15"/>
        <v>0</v>
      </c>
    </row>
    <row r="157" spans="2:13" x14ac:dyDescent="0.15">
      <c r="B157" s="4" t="s">
        <v>11</v>
      </c>
      <c r="C157" s="15">
        <v>100</v>
      </c>
      <c r="D157" s="14">
        <f t="shared" si="14"/>
        <v>100</v>
      </c>
      <c r="E157" s="26">
        <v>41443</v>
      </c>
      <c r="F157" s="26"/>
      <c r="G157" s="26"/>
      <c r="H157" s="26"/>
      <c r="I157" s="26"/>
      <c r="J157" s="46"/>
      <c r="K157" s="6"/>
      <c r="L157" s="15"/>
      <c r="M157" s="14">
        <f t="shared" si="15"/>
        <v>0</v>
      </c>
    </row>
    <row r="158" spans="2:13" x14ac:dyDescent="0.15">
      <c r="B158" s="4" t="s">
        <v>37</v>
      </c>
      <c r="C158" s="15">
        <v>1</v>
      </c>
      <c r="D158" s="14">
        <f t="shared" si="14"/>
        <v>1</v>
      </c>
      <c r="E158" s="48">
        <v>41439</v>
      </c>
      <c r="F158" s="48"/>
      <c r="G158" s="48"/>
      <c r="H158" s="48"/>
      <c r="I158" s="48"/>
      <c r="J158" s="46"/>
      <c r="K158" s="6"/>
      <c r="L158" s="15"/>
      <c r="M158" s="14">
        <f t="shared" si="15"/>
        <v>0</v>
      </c>
    </row>
    <row r="159" spans="2:13" x14ac:dyDescent="0.15">
      <c r="B159" s="6" t="s">
        <v>57</v>
      </c>
      <c r="C159" s="15">
        <v>4</v>
      </c>
      <c r="D159" s="14">
        <f t="shared" si="14"/>
        <v>4</v>
      </c>
      <c r="E159" s="48">
        <v>41439</v>
      </c>
      <c r="F159" s="48"/>
      <c r="G159" s="48"/>
      <c r="H159" s="48"/>
      <c r="I159" s="48"/>
      <c r="J159" s="46"/>
      <c r="K159" s="6"/>
      <c r="L159" s="15"/>
      <c r="M159" s="14">
        <f t="shared" si="15"/>
        <v>0</v>
      </c>
    </row>
    <row r="160" spans="2:13" x14ac:dyDescent="0.15">
      <c r="B160" s="6" t="s">
        <v>57</v>
      </c>
      <c r="C160" s="15">
        <v>12</v>
      </c>
      <c r="D160" s="14">
        <f t="shared" si="14"/>
        <v>12</v>
      </c>
      <c r="E160" s="26">
        <v>41444</v>
      </c>
      <c r="F160" s="26"/>
      <c r="G160" s="26"/>
      <c r="H160" s="26"/>
      <c r="I160" s="26"/>
      <c r="J160" s="36"/>
      <c r="K160" s="4"/>
      <c r="L160" s="15"/>
      <c r="M160" s="14">
        <f t="shared" si="15"/>
        <v>0</v>
      </c>
    </row>
    <row r="161" spans="1:14" ht="14.25" thickBot="1" x14ac:dyDescent="0.2">
      <c r="B161" s="6" t="s">
        <v>37</v>
      </c>
      <c r="C161" s="15">
        <v>10</v>
      </c>
      <c r="D161" s="14">
        <f t="shared" si="14"/>
        <v>10</v>
      </c>
      <c r="E161" s="48">
        <v>41442</v>
      </c>
      <c r="F161" s="48"/>
      <c r="G161" s="48"/>
      <c r="H161" s="48"/>
      <c r="I161" s="48"/>
      <c r="J161" s="36"/>
      <c r="K161" s="4"/>
      <c r="L161" s="15"/>
      <c r="M161" s="14">
        <f t="shared" si="15"/>
        <v>0</v>
      </c>
      <c r="N161" s="26"/>
    </row>
    <row r="162" spans="1:14" ht="14.25" thickBot="1" x14ac:dyDescent="0.2">
      <c r="B162" s="3" t="s">
        <v>5</v>
      </c>
      <c r="C162" s="16">
        <f>SUM(C138:C161)</f>
        <v>651</v>
      </c>
      <c r="D162" s="17">
        <f>SUM(D138:D161)</f>
        <v>651</v>
      </c>
      <c r="K162" s="3" t="s">
        <v>5</v>
      </c>
      <c r="L162" s="16">
        <f>SUM(L138:L161)</f>
        <v>200</v>
      </c>
      <c r="M162" s="17">
        <f>SUM(M138:M161)</f>
        <v>200</v>
      </c>
    </row>
    <row r="163" spans="1:14" ht="14.25" thickBot="1" x14ac:dyDescent="0.2">
      <c r="B163" s="18" t="s">
        <v>6</v>
      </c>
      <c r="C163" s="19">
        <f>C137-C162</f>
        <v>46</v>
      </c>
      <c r="D163" s="13">
        <f>D137-D162</f>
        <v>46</v>
      </c>
      <c r="K163" s="18" t="s">
        <v>6</v>
      </c>
      <c r="L163" s="19">
        <f>L137-L162</f>
        <v>2786</v>
      </c>
      <c r="M163" s="13">
        <f>M137-M162</f>
        <v>2786</v>
      </c>
    </row>
    <row r="165" spans="1:14" ht="18" thickBot="1" x14ac:dyDescent="0.25">
      <c r="A165" s="27" t="s">
        <v>8</v>
      </c>
      <c r="B165" s="28"/>
      <c r="C165" s="28"/>
      <c r="D165" s="28"/>
      <c r="J165" s="27" t="s">
        <v>7</v>
      </c>
    </row>
    <row r="166" spans="1:14" ht="14.25" thickBot="1" x14ac:dyDescent="0.2">
      <c r="B166" s="2"/>
      <c r="C166" s="3" t="s">
        <v>0</v>
      </c>
      <c r="D166" s="2" t="s">
        <v>1</v>
      </c>
      <c r="K166" s="2"/>
      <c r="L166" s="3" t="s">
        <v>0</v>
      </c>
      <c r="M166" s="2" t="s">
        <v>1</v>
      </c>
    </row>
    <row r="167" spans="1:14" x14ac:dyDescent="0.15">
      <c r="B167" s="43" t="s">
        <v>26</v>
      </c>
      <c r="C167" s="38">
        <f>C163</f>
        <v>46</v>
      </c>
      <c r="D167" s="39">
        <f t="shared" ref="D167:D177" si="16">SUM(C167:C167)</f>
        <v>46</v>
      </c>
      <c r="K167" s="43" t="s">
        <v>26</v>
      </c>
      <c r="L167" s="38">
        <f>L163</f>
        <v>2786</v>
      </c>
      <c r="M167" s="39">
        <f t="shared" ref="M167:M177" si="17">SUM(L167:L167)</f>
        <v>2786</v>
      </c>
    </row>
    <row r="168" spans="1:14" x14ac:dyDescent="0.15">
      <c r="B168" s="6" t="s">
        <v>3</v>
      </c>
      <c r="C168" s="7">
        <v>100</v>
      </c>
      <c r="D168" s="5">
        <f t="shared" si="16"/>
        <v>100</v>
      </c>
      <c r="E168" s="26">
        <v>41445</v>
      </c>
      <c r="F168" s="26"/>
      <c r="G168" s="26"/>
      <c r="H168" s="26"/>
      <c r="I168" s="26"/>
      <c r="K168" s="6" t="s">
        <v>3</v>
      </c>
      <c r="L168" s="7"/>
      <c r="M168" s="5">
        <f t="shared" si="17"/>
        <v>0</v>
      </c>
    </row>
    <row r="169" spans="1:14" x14ac:dyDescent="0.15">
      <c r="B169" s="6" t="s">
        <v>3</v>
      </c>
      <c r="C169" s="7">
        <v>100</v>
      </c>
      <c r="D169" s="5">
        <f t="shared" si="16"/>
        <v>100</v>
      </c>
      <c r="E169" s="26">
        <v>41452</v>
      </c>
      <c r="F169" s="26"/>
      <c r="G169" s="26"/>
      <c r="H169" s="26"/>
      <c r="I169" s="26"/>
      <c r="K169" s="6" t="s">
        <v>3</v>
      </c>
      <c r="L169" s="7"/>
      <c r="M169" s="5">
        <f t="shared" si="17"/>
        <v>0</v>
      </c>
    </row>
    <row r="170" spans="1:14" x14ac:dyDescent="0.15">
      <c r="B170" s="6" t="s">
        <v>3</v>
      </c>
      <c r="C170" s="7">
        <v>100</v>
      </c>
      <c r="D170" s="5">
        <f t="shared" si="16"/>
        <v>100</v>
      </c>
      <c r="E170" s="26">
        <v>41452</v>
      </c>
      <c r="F170" s="26"/>
      <c r="G170" s="26"/>
      <c r="H170" s="26"/>
      <c r="I170" s="26"/>
      <c r="K170" s="6" t="s">
        <v>3</v>
      </c>
      <c r="L170" s="7"/>
      <c r="M170" s="5">
        <f t="shared" si="17"/>
        <v>0</v>
      </c>
    </row>
    <row r="171" spans="1:14" x14ac:dyDescent="0.15">
      <c r="B171" s="6" t="s">
        <v>3</v>
      </c>
      <c r="C171" s="7">
        <v>100</v>
      </c>
      <c r="D171" s="5">
        <f t="shared" si="16"/>
        <v>100</v>
      </c>
      <c r="E171" s="26">
        <v>41459</v>
      </c>
      <c r="F171" s="26"/>
      <c r="G171" s="26"/>
      <c r="H171" s="26"/>
      <c r="I171" s="26"/>
      <c r="K171" s="6" t="s">
        <v>3</v>
      </c>
      <c r="L171" s="7"/>
      <c r="M171" s="5">
        <f t="shared" si="17"/>
        <v>0</v>
      </c>
    </row>
    <row r="172" spans="1:14" x14ac:dyDescent="0.15">
      <c r="B172" s="6" t="s">
        <v>3</v>
      </c>
      <c r="C172" s="7">
        <v>100</v>
      </c>
      <c r="D172" s="5">
        <f t="shared" si="16"/>
        <v>100</v>
      </c>
      <c r="E172" s="26">
        <v>41460</v>
      </c>
      <c r="F172" s="26"/>
      <c r="G172" s="26"/>
      <c r="H172" s="26"/>
      <c r="I172" s="26"/>
      <c r="K172" s="6" t="s">
        <v>3</v>
      </c>
      <c r="L172" s="7"/>
      <c r="M172" s="5">
        <f t="shared" si="17"/>
        <v>0</v>
      </c>
    </row>
    <row r="173" spans="1:14" x14ac:dyDescent="0.15">
      <c r="B173" s="6" t="s">
        <v>3</v>
      </c>
      <c r="C173" s="7"/>
      <c r="D173" s="5">
        <f t="shared" si="16"/>
        <v>0</v>
      </c>
      <c r="K173" s="6" t="s">
        <v>3</v>
      </c>
      <c r="L173" s="7"/>
      <c r="M173" s="5">
        <f t="shared" si="17"/>
        <v>0</v>
      </c>
    </row>
    <row r="174" spans="1:14" x14ac:dyDescent="0.15">
      <c r="B174" s="6" t="s">
        <v>3</v>
      </c>
      <c r="C174" s="8"/>
      <c r="D174" s="5">
        <f t="shared" si="16"/>
        <v>0</v>
      </c>
      <c r="K174" s="6" t="s">
        <v>3</v>
      </c>
      <c r="L174" s="8"/>
      <c r="M174" s="5">
        <f t="shared" si="17"/>
        <v>0</v>
      </c>
    </row>
    <row r="175" spans="1:14" x14ac:dyDescent="0.15">
      <c r="B175" s="6" t="s">
        <v>3</v>
      </c>
      <c r="C175" s="8"/>
      <c r="D175" s="5">
        <f t="shared" si="16"/>
        <v>0</v>
      </c>
      <c r="K175" s="6" t="s">
        <v>3</v>
      </c>
      <c r="L175" s="8"/>
      <c r="M175" s="5">
        <f t="shared" si="17"/>
        <v>0</v>
      </c>
    </row>
    <row r="176" spans="1:14" x14ac:dyDescent="0.15">
      <c r="B176" s="6" t="s">
        <v>3</v>
      </c>
      <c r="C176" s="8"/>
      <c r="D176" s="5">
        <f t="shared" si="16"/>
        <v>0</v>
      </c>
      <c r="K176" s="6" t="s">
        <v>3</v>
      </c>
      <c r="L176" s="8"/>
      <c r="M176" s="5">
        <f t="shared" si="17"/>
        <v>0</v>
      </c>
    </row>
    <row r="177" spans="2:14" ht="14.25" thickBot="1" x14ac:dyDescent="0.2">
      <c r="B177" s="9" t="s">
        <v>3</v>
      </c>
      <c r="C177" s="10"/>
      <c r="D177" s="5">
        <f t="shared" si="16"/>
        <v>0</v>
      </c>
      <c r="K177" s="9" t="s">
        <v>3</v>
      </c>
      <c r="L177" s="10"/>
      <c r="M177" s="5">
        <f t="shared" si="17"/>
        <v>0</v>
      </c>
    </row>
    <row r="178" spans="2:14" ht="14.25" thickBot="1" x14ac:dyDescent="0.2">
      <c r="B178" s="11" t="s">
        <v>4</v>
      </c>
      <c r="C178" s="12">
        <f>SUM(C167:C177)</f>
        <v>546</v>
      </c>
      <c r="D178" s="13">
        <f>SUM(D167:D177)</f>
        <v>546</v>
      </c>
      <c r="K178" s="11" t="s">
        <v>4</v>
      </c>
      <c r="L178" s="12">
        <f>SUM(L167:L177)</f>
        <v>2786</v>
      </c>
      <c r="M178" s="13">
        <f>SUM(M167:M177)</f>
        <v>2786</v>
      </c>
    </row>
    <row r="179" spans="2:14" x14ac:dyDescent="0.15">
      <c r="B179" s="6" t="s">
        <v>57</v>
      </c>
      <c r="C179" s="44">
        <v>12</v>
      </c>
      <c r="D179" s="14">
        <f t="shared" ref="D179:D202" si="18">SUM(C179:C179)</f>
        <v>12</v>
      </c>
      <c r="E179" s="26">
        <v>41445</v>
      </c>
      <c r="F179" s="26"/>
      <c r="G179" s="26"/>
      <c r="H179" s="26"/>
      <c r="I179" s="26"/>
      <c r="K179" s="4" t="s">
        <v>9</v>
      </c>
      <c r="L179" s="44">
        <v>100</v>
      </c>
      <c r="M179" s="14">
        <f t="shared" ref="M179:M201" si="19">SUM(L179:L179)</f>
        <v>100</v>
      </c>
      <c r="N179" s="26">
        <v>41452</v>
      </c>
    </row>
    <row r="180" spans="2:14" x14ac:dyDescent="0.15">
      <c r="B180" s="6" t="s">
        <v>57</v>
      </c>
      <c r="C180" s="15">
        <v>16</v>
      </c>
      <c r="D180" s="14">
        <f t="shared" si="18"/>
        <v>16</v>
      </c>
      <c r="E180" s="26">
        <v>41446</v>
      </c>
      <c r="F180" s="26"/>
      <c r="G180" s="26"/>
      <c r="H180" s="26"/>
      <c r="I180" s="26"/>
      <c r="K180" s="4" t="s">
        <v>9</v>
      </c>
      <c r="L180" s="15">
        <v>100</v>
      </c>
      <c r="M180" s="14">
        <f t="shared" si="19"/>
        <v>100</v>
      </c>
      <c r="N180" s="26">
        <v>41452</v>
      </c>
    </row>
    <row r="181" spans="2:14" x14ac:dyDescent="0.15">
      <c r="B181" s="4" t="s">
        <v>44</v>
      </c>
      <c r="C181" s="15">
        <v>49</v>
      </c>
      <c r="D181" s="14">
        <f t="shared" si="18"/>
        <v>49</v>
      </c>
      <c r="E181" s="26">
        <v>41451</v>
      </c>
      <c r="F181" s="26"/>
      <c r="G181" s="26"/>
      <c r="H181" s="26"/>
      <c r="I181" s="26"/>
      <c r="K181" s="4" t="s">
        <v>9</v>
      </c>
      <c r="L181" s="15">
        <v>100</v>
      </c>
      <c r="M181" s="14">
        <f t="shared" si="19"/>
        <v>100</v>
      </c>
      <c r="N181" s="26">
        <v>41459</v>
      </c>
    </row>
    <row r="182" spans="2:14" x14ac:dyDescent="0.15">
      <c r="B182" s="4" t="s">
        <v>31</v>
      </c>
      <c r="C182" s="15">
        <v>8</v>
      </c>
      <c r="D182" s="14">
        <f t="shared" si="18"/>
        <v>8</v>
      </c>
      <c r="E182" s="48">
        <v>41444</v>
      </c>
      <c r="F182" s="48"/>
      <c r="G182" s="48"/>
      <c r="H182" s="48"/>
      <c r="I182" s="48"/>
      <c r="K182" s="4" t="s">
        <v>9</v>
      </c>
      <c r="L182" s="15">
        <v>100</v>
      </c>
      <c r="M182" s="14">
        <f t="shared" si="19"/>
        <v>100</v>
      </c>
      <c r="N182" s="26">
        <v>41460</v>
      </c>
    </row>
    <row r="183" spans="2:14" x14ac:dyDescent="0.15">
      <c r="B183" s="4" t="s">
        <v>31</v>
      </c>
      <c r="C183" s="15">
        <v>2</v>
      </c>
      <c r="D183" s="14">
        <f t="shared" si="18"/>
        <v>2</v>
      </c>
      <c r="E183" s="48">
        <v>41445</v>
      </c>
      <c r="F183" s="48"/>
      <c r="G183" s="48"/>
      <c r="H183" s="48"/>
      <c r="I183" s="48"/>
      <c r="K183" s="6"/>
      <c r="L183" s="15"/>
      <c r="M183" s="14">
        <f t="shared" si="19"/>
        <v>0</v>
      </c>
    </row>
    <row r="184" spans="2:14" x14ac:dyDescent="0.15">
      <c r="B184" s="4" t="s">
        <v>31</v>
      </c>
      <c r="C184" s="15">
        <v>10</v>
      </c>
      <c r="D184" s="14">
        <f t="shared" si="18"/>
        <v>10</v>
      </c>
      <c r="E184" s="48">
        <v>41445</v>
      </c>
      <c r="F184" s="48"/>
      <c r="G184" s="48"/>
      <c r="H184" s="48"/>
      <c r="I184" s="48"/>
      <c r="K184" s="4"/>
      <c r="L184" s="15"/>
      <c r="M184" s="14">
        <f t="shared" si="19"/>
        <v>0</v>
      </c>
    </row>
    <row r="185" spans="2:14" x14ac:dyDescent="0.15">
      <c r="B185" s="6" t="s">
        <v>23</v>
      </c>
      <c r="C185" s="15">
        <v>3</v>
      </c>
      <c r="D185" s="14">
        <f t="shared" si="18"/>
        <v>3</v>
      </c>
      <c r="E185" s="26">
        <v>41450</v>
      </c>
      <c r="F185" s="26"/>
      <c r="G185" s="26"/>
      <c r="H185" s="26"/>
      <c r="I185" s="26"/>
      <c r="K185" s="4"/>
      <c r="L185" s="15"/>
      <c r="M185" s="14">
        <f t="shared" si="19"/>
        <v>0</v>
      </c>
    </row>
    <row r="186" spans="2:14" x14ac:dyDescent="0.15">
      <c r="B186" s="4" t="s">
        <v>44</v>
      </c>
      <c r="C186" s="15">
        <v>51</v>
      </c>
      <c r="D186" s="14">
        <f t="shared" si="18"/>
        <v>51</v>
      </c>
      <c r="E186" s="26">
        <v>41457</v>
      </c>
      <c r="F186" s="26"/>
      <c r="G186" s="26"/>
      <c r="H186" s="26"/>
      <c r="I186" s="26"/>
      <c r="K186" s="4"/>
      <c r="L186" s="15"/>
      <c r="M186" s="14">
        <f t="shared" si="19"/>
        <v>0</v>
      </c>
    </row>
    <row r="187" spans="2:14" x14ac:dyDescent="0.15">
      <c r="B187" s="4" t="s">
        <v>58</v>
      </c>
      <c r="C187" s="15">
        <v>4</v>
      </c>
      <c r="D187" s="14">
        <f t="shared" si="18"/>
        <v>4</v>
      </c>
      <c r="E187" s="26">
        <v>41452</v>
      </c>
      <c r="F187" s="26"/>
      <c r="G187" s="26"/>
      <c r="H187" s="26"/>
      <c r="I187" s="26"/>
      <c r="K187" s="4"/>
      <c r="L187" s="15"/>
      <c r="M187" s="14">
        <f t="shared" si="19"/>
        <v>0</v>
      </c>
    </row>
    <row r="188" spans="2:14" x14ac:dyDescent="0.15">
      <c r="B188" s="4" t="s">
        <v>9</v>
      </c>
      <c r="C188" s="15">
        <v>10</v>
      </c>
      <c r="D188" s="14">
        <f t="shared" si="18"/>
        <v>10</v>
      </c>
      <c r="E188" s="48">
        <v>41450</v>
      </c>
      <c r="F188" s="48"/>
      <c r="G188" s="48"/>
      <c r="H188" s="48"/>
      <c r="I188" s="48"/>
      <c r="K188" s="4"/>
      <c r="L188" s="15"/>
      <c r="M188" s="14">
        <f t="shared" si="19"/>
        <v>0</v>
      </c>
    </row>
    <row r="189" spans="2:14" x14ac:dyDescent="0.15">
      <c r="B189" s="6" t="s">
        <v>23</v>
      </c>
      <c r="C189" s="15">
        <v>2</v>
      </c>
      <c r="D189" s="14">
        <f t="shared" si="18"/>
        <v>2</v>
      </c>
      <c r="E189" s="26">
        <v>41453</v>
      </c>
      <c r="F189" s="26"/>
      <c r="G189" s="26"/>
      <c r="H189" s="26"/>
      <c r="I189" s="26"/>
      <c r="K189" s="4"/>
      <c r="L189" s="15"/>
      <c r="M189" s="14">
        <f t="shared" si="19"/>
        <v>0</v>
      </c>
    </row>
    <row r="190" spans="2:14" x14ac:dyDescent="0.15">
      <c r="B190" s="4" t="s">
        <v>11</v>
      </c>
      <c r="C190" s="15">
        <v>80</v>
      </c>
      <c r="D190" s="14">
        <f t="shared" si="18"/>
        <v>80</v>
      </c>
      <c r="E190" s="26">
        <v>41453</v>
      </c>
      <c r="F190" s="26"/>
      <c r="G190" s="26"/>
      <c r="H190" s="26"/>
      <c r="I190" s="26"/>
      <c r="K190" s="4"/>
      <c r="L190" s="15"/>
      <c r="M190" s="14">
        <f t="shared" si="19"/>
        <v>0</v>
      </c>
    </row>
    <row r="191" spans="2:14" x14ac:dyDescent="0.15">
      <c r="B191" s="6" t="s">
        <v>9</v>
      </c>
      <c r="C191" s="15">
        <v>14</v>
      </c>
      <c r="D191" s="14">
        <f t="shared" si="18"/>
        <v>14</v>
      </c>
      <c r="E191" s="48">
        <v>41452</v>
      </c>
      <c r="F191" s="48"/>
      <c r="G191" s="48"/>
      <c r="H191" s="48"/>
      <c r="I191" s="48"/>
      <c r="K191" s="6"/>
      <c r="L191" s="15"/>
      <c r="M191" s="14">
        <f t="shared" si="19"/>
        <v>0</v>
      </c>
    </row>
    <row r="192" spans="2:14" x14ac:dyDescent="0.15">
      <c r="B192" s="6" t="s">
        <v>59</v>
      </c>
      <c r="C192" s="15">
        <v>10</v>
      </c>
      <c r="D192" s="14">
        <f t="shared" si="18"/>
        <v>10</v>
      </c>
      <c r="E192" s="50">
        <v>41454</v>
      </c>
      <c r="F192" s="50"/>
      <c r="G192" s="50"/>
      <c r="H192" s="50"/>
      <c r="I192" s="50"/>
      <c r="K192" s="6"/>
      <c r="L192" s="15"/>
      <c r="M192" s="14">
        <f t="shared" si="19"/>
        <v>0</v>
      </c>
    </row>
    <row r="193" spans="1:14" x14ac:dyDescent="0.15">
      <c r="B193" s="4" t="s">
        <v>60</v>
      </c>
      <c r="C193" s="15">
        <v>10</v>
      </c>
      <c r="D193" s="14">
        <f t="shared" si="18"/>
        <v>10</v>
      </c>
      <c r="E193" s="50">
        <v>41454</v>
      </c>
      <c r="F193" s="50"/>
      <c r="G193" s="50"/>
      <c r="H193" s="50"/>
      <c r="I193" s="50"/>
      <c r="K193" s="4"/>
      <c r="L193" s="15"/>
      <c r="M193" s="14">
        <f t="shared" si="19"/>
        <v>0</v>
      </c>
    </row>
    <row r="194" spans="1:14" x14ac:dyDescent="0.15">
      <c r="B194" s="4" t="s">
        <v>60</v>
      </c>
      <c r="C194" s="15">
        <v>10</v>
      </c>
      <c r="D194" s="14">
        <f t="shared" si="18"/>
        <v>10</v>
      </c>
      <c r="E194" s="50">
        <v>41456</v>
      </c>
      <c r="F194" s="50"/>
      <c r="G194" s="50"/>
      <c r="H194" s="50"/>
      <c r="I194" s="50"/>
      <c r="K194" s="6"/>
      <c r="L194" s="15"/>
      <c r="M194" s="14">
        <f t="shared" si="19"/>
        <v>0</v>
      </c>
    </row>
    <row r="195" spans="1:14" x14ac:dyDescent="0.15">
      <c r="B195" s="4" t="s">
        <v>61</v>
      </c>
      <c r="C195" s="15">
        <v>60</v>
      </c>
      <c r="D195" s="14">
        <f t="shared" si="18"/>
        <v>60</v>
      </c>
      <c r="E195" s="26">
        <v>41461</v>
      </c>
      <c r="F195" s="26"/>
      <c r="G195" s="26"/>
      <c r="H195" s="26"/>
      <c r="I195" s="26"/>
      <c r="K195" s="6"/>
      <c r="L195" s="15"/>
      <c r="M195" s="14">
        <f t="shared" si="19"/>
        <v>0</v>
      </c>
    </row>
    <row r="196" spans="1:14" x14ac:dyDescent="0.15">
      <c r="B196" s="4" t="s">
        <v>37</v>
      </c>
      <c r="C196" s="15">
        <v>1</v>
      </c>
      <c r="D196" s="14">
        <f t="shared" si="18"/>
        <v>1</v>
      </c>
      <c r="E196" s="50">
        <v>41457</v>
      </c>
      <c r="F196" s="50"/>
      <c r="G196" s="50"/>
      <c r="H196" s="50"/>
      <c r="I196" s="50"/>
      <c r="K196" s="4"/>
      <c r="L196" s="15"/>
      <c r="M196" s="14">
        <f t="shared" si="19"/>
        <v>0</v>
      </c>
    </row>
    <row r="197" spans="1:14" x14ac:dyDescent="0.15">
      <c r="B197" s="4" t="s">
        <v>44</v>
      </c>
      <c r="C197" s="15">
        <v>25</v>
      </c>
      <c r="D197" s="14">
        <f t="shared" si="18"/>
        <v>25</v>
      </c>
      <c r="E197" s="26">
        <v>41465</v>
      </c>
      <c r="F197" s="26"/>
      <c r="G197" s="26"/>
      <c r="H197" s="26"/>
      <c r="I197" s="26"/>
      <c r="K197" s="6"/>
      <c r="L197" s="15"/>
      <c r="M197" s="14">
        <f t="shared" si="19"/>
        <v>0</v>
      </c>
    </row>
    <row r="198" spans="1:14" x14ac:dyDescent="0.15">
      <c r="B198" s="4" t="s">
        <v>57</v>
      </c>
      <c r="C198" s="15">
        <v>40</v>
      </c>
      <c r="D198" s="14">
        <f t="shared" si="18"/>
        <v>40</v>
      </c>
      <c r="E198" s="26">
        <v>41459</v>
      </c>
      <c r="F198" s="26"/>
      <c r="G198" s="26"/>
      <c r="H198" s="26"/>
      <c r="I198" s="26"/>
      <c r="K198" s="6"/>
      <c r="L198" s="15"/>
      <c r="M198" s="14">
        <f t="shared" si="19"/>
        <v>0</v>
      </c>
    </row>
    <row r="199" spans="1:14" x14ac:dyDescent="0.15">
      <c r="B199" s="6" t="s">
        <v>62</v>
      </c>
      <c r="C199" s="15">
        <v>4</v>
      </c>
      <c r="D199" s="14">
        <f t="shared" si="18"/>
        <v>4</v>
      </c>
      <c r="E199" s="26">
        <v>41461</v>
      </c>
      <c r="F199" s="26"/>
      <c r="G199" s="26"/>
      <c r="H199" s="26"/>
      <c r="I199" s="26"/>
      <c r="K199" s="4"/>
      <c r="L199" s="15"/>
      <c r="M199" s="14">
        <f t="shared" si="19"/>
        <v>0</v>
      </c>
    </row>
    <row r="200" spans="1:14" x14ac:dyDescent="0.15">
      <c r="B200" s="6" t="s">
        <v>31</v>
      </c>
      <c r="C200" s="15">
        <v>10</v>
      </c>
      <c r="D200" s="14">
        <f t="shared" si="18"/>
        <v>10</v>
      </c>
      <c r="E200" s="48">
        <v>41458</v>
      </c>
      <c r="F200" s="48"/>
      <c r="G200" s="48"/>
      <c r="H200" s="48"/>
      <c r="I200" s="48"/>
      <c r="K200" s="6"/>
      <c r="L200" s="15"/>
      <c r="M200" s="14">
        <f t="shared" si="19"/>
        <v>0</v>
      </c>
    </row>
    <row r="201" spans="1:14" x14ac:dyDescent="0.15">
      <c r="B201" s="6" t="s">
        <v>10</v>
      </c>
      <c r="C201" s="15">
        <v>40</v>
      </c>
      <c r="D201" s="14">
        <f t="shared" si="18"/>
        <v>40</v>
      </c>
      <c r="E201" s="26">
        <v>41465</v>
      </c>
      <c r="F201" s="26"/>
      <c r="G201" s="26"/>
      <c r="H201" s="26"/>
      <c r="I201" s="26"/>
      <c r="K201" s="6"/>
      <c r="L201" s="15"/>
      <c r="M201" s="14">
        <f t="shared" si="19"/>
        <v>0</v>
      </c>
      <c r="N201" s="53"/>
    </row>
    <row r="202" spans="1:14" ht="14.25" thickBot="1" x14ac:dyDescent="0.2">
      <c r="B202" s="6" t="s">
        <v>9</v>
      </c>
      <c r="C202" s="15">
        <v>10</v>
      </c>
      <c r="D202" s="14">
        <f t="shared" si="18"/>
        <v>10</v>
      </c>
      <c r="E202" s="48">
        <v>41459</v>
      </c>
      <c r="F202" s="48"/>
      <c r="G202" s="48"/>
      <c r="H202" s="48"/>
      <c r="I202" s="48"/>
      <c r="K202" s="4"/>
      <c r="L202" s="15"/>
      <c r="M202" s="14">
        <f>SUM(L202:L202)</f>
        <v>0</v>
      </c>
      <c r="N202" s="26"/>
    </row>
    <row r="203" spans="1:14" ht="14.25" thickBot="1" x14ac:dyDescent="0.2">
      <c r="B203" s="3" t="s">
        <v>5</v>
      </c>
      <c r="C203" s="16">
        <f>SUM(C179:C202)</f>
        <v>481</v>
      </c>
      <c r="D203" s="17">
        <f>SUM(D179:D202)</f>
        <v>481</v>
      </c>
      <c r="K203" s="3" t="s">
        <v>5</v>
      </c>
      <c r="L203" s="16">
        <f>SUM(L179:L202)</f>
        <v>400</v>
      </c>
      <c r="M203" s="17">
        <f>SUM(M179:M202)</f>
        <v>400</v>
      </c>
    </row>
    <row r="204" spans="1:14" ht="14.25" thickBot="1" x14ac:dyDescent="0.2">
      <c r="B204" s="18" t="s">
        <v>6</v>
      </c>
      <c r="C204" s="19">
        <f>C178-C203</f>
        <v>65</v>
      </c>
      <c r="D204" s="13">
        <f>D178-D203</f>
        <v>65</v>
      </c>
      <c r="K204" s="18" t="s">
        <v>6</v>
      </c>
      <c r="L204" s="19">
        <f>L178-L203</f>
        <v>2386</v>
      </c>
      <c r="M204" s="13">
        <f>M178-M203</f>
        <v>2386</v>
      </c>
    </row>
    <row r="206" spans="1:14" ht="18" thickBot="1" x14ac:dyDescent="0.25">
      <c r="A206" s="27" t="s">
        <v>8</v>
      </c>
      <c r="B206" s="28"/>
      <c r="C206" s="28"/>
      <c r="D206" s="28"/>
      <c r="J206" s="27" t="s">
        <v>7</v>
      </c>
    </row>
    <row r="207" spans="1:14" ht="14.25" thickBot="1" x14ac:dyDescent="0.2">
      <c r="B207" s="2"/>
      <c r="C207" s="3" t="s">
        <v>0</v>
      </c>
      <c r="D207" s="2" t="s">
        <v>1</v>
      </c>
      <c r="K207" s="2"/>
      <c r="L207" s="3" t="s">
        <v>0</v>
      </c>
      <c r="M207" s="2" t="s">
        <v>1</v>
      </c>
    </row>
    <row r="208" spans="1:14" x14ac:dyDescent="0.15">
      <c r="B208" s="43" t="s">
        <v>26</v>
      </c>
      <c r="C208" s="38">
        <f>C204</f>
        <v>65</v>
      </c>
      <c r="D208" s="39">
        <f t="shared" ref="D208:D218" si="20">SUM(C208:C208)</f>
        <v>65</v>
      </c>
      <c r="K208" s="43" t="s">
        <v>26</v>
      </c>
      <c r="L208" s="38">
        <f>L204</f>
        <v>2386</v>
      </c>
      <c r="M208" s="39">
        <f t="shared" ref="M208:M218" si="21">SUM(L208:L208)</f>
        <v>2386</v>
      </c>
    </row>
    <row r="209" spans="2:14" x14ac:dyDescent="0.15">
      <c r="B209" s="6" t="s">
        <v>3</v>
      </c>
      <c r="C209" s="7">
        <v>100</v>
      </c>
      <c r="D209" s="5">
        <f t="shared" si="20"/>
        <v>100</v>
      </c>
      <c r="E209" s="26">
        <v>41466</v>
      </c>
      <c r="F209" s="26"/>
      <c r="G209" s="26"/>
      <c r="H209" s="26"/>
      <c r="I209" s="26"/>
      <c r="K209" s="6" t="s">
        <v>3</v>
      </c>
      <c r="L209" s="7"/>
      <c r="M209" s="5">
        <f t="shared" si="21"/>
        <v>0</v>
      </c>
    </row>
    <row r="210" spans="2:14" x14ac:dyDescent="0.15">
      <c r="B210" s="6" t="s">
        <v>3</v>
      </c>
      <c r="C210" s="7">
        <v>100</v>
      </c>
      <c r="D210" s="5">
        <f t="shared" si="20"/>
        <v>100</v>
      </c>
      <c r="E210" s="26">
        <v>41467</v>
      </c>
      <c r="F210" s="26"/>
      <c r="G210" s="26"/>
      <c r="H210" s="26"/>
      <c r="I210" s="26"/>
      <c r="K210" s="6" t="s">
        <v>3</v>
      </c>
      <c r="L210" s="7"/>
      <c r="M210" s="5">
        <f t="shared" si="21"/>
        <v>0</v>
      </c>
      <c r="N210" s="55"/>
    </row>
    <row r="211" spans="2:14" x14ac:dyDescent="0.15">
      <c r="B211" s="6" t="s">
        <v>3</v>
      </c>
      <c r="C211" s="7">
        <v>100</v>
      </c>
      <c r="D211" s="5">
        <f t="shared" si="20"/>
        <v>100</v>
      </c>
      <c r="E211" s="26">
        <v>41474</v>
      </c>
      <c r="F211" s="26"/>
      <c r="G211" s="26"/>
      <c r="H211" s="26"/>
      <c r="I211" s="26"/>
      <c r="K211" s="6" t="s">
        <v>3</v>
      </c>
      <c r="L211" s="7"/>
      <c r="M211" s="5">
        <f t="shared" si="21"/>
        <v>0</v>
      </c>
      <c r="N211" s="56"/>
    </row>
    <row r="212" spans="2:14" x14ac:dyDescent="0.15">
      <c r="B212" s="6" t="s">
        <v>3</v>
      </c>
      <c r="C212" s="7">
        <v>100</v>
      </c>
      <c r="D212" s="5">
        <f t="shared" si="20"/>
        <v>100</v>
      </c>
      <c r="E212" s="26">
        <v>41474</v>
      </c>
      <c r="F212" s="26"/>
      <c r="G212" s="26"/>
      <c r="H212" s="26"/>
      <c r="I212" s="26"/>
      <c r="K212" s="6" t="s">
        <v>3</v>
      </c>
      <c r="L212" s="7"/>
      <c r="M212" s="5">
        <f t="shared" si="21"/>
        <v>0</v>
      </c>
      <c r="N212" s="56"/>
    </row>
    <row r="213" spans="2:14" x14ac:dyDescent="0.15">
      <c r="B213" s="6" t="s">
        <v>19</v>
      </c>
      <c r="C213" s="7">
        <v>2</v>
      </c>
      <c r="D213" s="5">
        <f t="shared" si="20"/>
        <v>2</v>
      </c>
      <c r="E213" s="48">
        <v>41474</v>
      </c>
      <c r="F213" s="48"/>
      <c r="G213" s="48"/>
      <c r="H213" s="48"/>
      <c r="I213" s="48"/>
      <c r="K213" s="6" t="s">
        <v>3</v>
      </c>
      <c r="L213" s="7"/>
      <c r="M213" s="5">
        <f t="shared" si="21"/>
        <v>0</v>
      </c>
      <c r="N213" s="56"/>
    </row>
    <row r="214" spans="2:14" x14ac:dyDescent="0.15">
      <c r="B214" s="6" t="s">
        <v>3</v>
      </c>
      <c r="C214" s="7">
        <v>100</v>
      </c>
      <c r="D214" s="5">
        <f t="shared" si="20"/>
        <v>100</v>
      </c>
      <c r="E214" s="26">
        <v>41482</v>
      </c>
      <c r="F214" s="26"/>
      <c r="G214" s="26"/>
      <c r="H214" s="26"/>
      <c r="I214" s="26"/>
      <c r="K214" s="6" t="s">
        <v>3</v>
      </c>
      <c r="L214" s="7"/>
      <c r="M214" s="5">
        <f t="shared" si="21"/>
        <v>0</v>
      </c>
      <c r="N214" s="56"/>
    </row>
    <row r="215" spans="2:14" x14ac:dyDescent="0.15">
      <c r="B215" s="6" t="s">
        <v>64</v>
      </c>
      <c r="C215" s="54">
        <v>21</v>
      </c>
      <c r="D215" s="5">
        <f t="shared" si="20"/>
        <v>21</v>
      </c>
      <c r="E215" s="48">
        <v>41481</v>
      </c>
      <c r="F215" s="48"/>
      <c r="G215" s="48"/>
      <c r="H215" s="48"/>
      <c r="I215" s="48"/>
      <c r="K215" s="6" t="s">
        <v>3</v>
      </c>
      <c r="L215" s="8"/>
      <c r="M215" s="5">
        <f t="shared" si="21"/>
        <v>0</v>
      </c>
      <c r="N215" s="56"/>
    </row>
    <row r="216" spans="2:14" x14ac:dyDescent="0.15">
      <c r="B216" s="6" t="s">
        <v>67</v>
      </c>
      <c r="C216" s="54">
        <v>9</v>
      </c>
      <c r="D216" s="5">
        <f t="shared" si="20"/>
        <v>9</v>
      </c>
      <c r="E216" s="48">
        <v>41486</v>
      </c>
      <c r="F216" s="48"/>
      <c r="G216" s="48"/>
      <c r="H216" s="48"/>
      <c r="I216" s="48"/>
      <c r="K216" s="6" t="s">
        <v>3</v>
      </c>
      <c r="L216" s="54"/>
      <c r="M216" s="5">
        <f t="shared" si="21"/>
        <v>0</v>
      </c>
      <c r="N216" s="55"/>
    </row>
    <row r="217" spans="2:14" x14ac:dyDescent="0.15">
      <c r="B217" s="6" t="s">
        <v>3</v>
      </c>
      <c r="C217" s="54"/>
      <c r="D217" s="5">
        <f t="shared" si="20"/>
        <v>0</v>
      </c>
      <c r="K217" s="6" t="s">
        <v>3</v>
      </c>
      <c r="L217" s="8"/>
      <c r="M217" s="5">
        <f t="shared" si="21"/>
        <v>0</v>
      </c>
      <c r="N217" s="56"/>
    </row>
    <row r="218" spans="2:14" ht="14.25" thickBot="1" x14ac:dyDescent="0.2">
      <c r="B218" s="9" t="s">
        <v>3</v>
      </c>
      <c r="C218" s="10"/>
      <c r="D218" s="5">
        <f t="shared" si="20"/>
        <v>0</v>
      </c>
      <c r="K218" s="9" t="s">
        <v>3</v>
      </c>
      <c r="L218" s="10"/>
      <c r="M218" s="5">
        <f t="shared" si="21"/>
        <v>0</v>
      </c>
    </row>
    <row r="219" spans="2:14" ht="14.25" thickBot="1" x14ac:dyDescent="0.2">
      <c r="B219" s="11" t="s">
        <v>4</v>
      </c>
      <c r="C219" s="12">
        <f>SUM(C208:C218)</f>
        <v>597</v>
      </c>
      <c r="D219" s="13">
        <f>SUM(D208:D218)</f>
        <v>597</v>
      </c>
      <c r="K219" s="11" t="s">
        <v>4</v>
      </c>
      <c r="L219" s="12">
        <f>SUM(L208:L218)</f>
        <v>2386</v>
      </c>
      <c r="M219" s="13">
        <f>SUM(M208:M218)</f>
        <v>2386</v>
      </c>
    </row>
    <row r="220" spans="2:14" x14ac:dyDescent="0.15">
      <c r="B220" s="4" t="s">
        <v>44</v>
      </c>
      <c r="C220" s="44">
        <v>50</v>
      </c>
      <c r="D220" s="14">
        <f t="shared" ref="D220:D243" si="22">SUM(C220:C220)</f>
        <v>50</v>
      </c>
      <c r="E220" s="26">
        <v>41472</v>
      </c>
      <c r="F220" s="26"/>
      <c r="G220" s="26"/>
      <c r="H220" s="26"/>
      <c r="I220" s="26"/>
      <c r="K220" s="4" t="s">
        <v>9</v>
      </c>
      <c r="L220" s="44">
        <v>100</v>
      </c>
      <c r="M220" s="14">
        <f t="shared" ref="M220:M242" si="23">SUM(L220:L220)</f>
        <v>100</v>
      </c>
      <c r="N220" s="26">
        <v>41466</v>
      </c>
    </row>
    <row r="221" spans="2:14" x14ac:dyDescent="0.15">
      <c r="B221" s="6" t="s">
        <v>23</v>
      </c>
      <c r="C221" s="15">
        <v>1</v>
      </c>
      <c r="D221" s="14">
        <f t="shared" si="22"/>
        <v>1</v>
      </c>
      <c r="E221" s="26">
        <v>41467</v>
      </c>
      <c r="F221" s="26"/>
      <c r="G221" s="26"/>
      <c r="H221" s="26"/>
      <c r="I221" s="26"/>
      <c r="J221" s="51"/>
      <c r="K221" s="4" t="s">
        <v>9</v>
      </c>
      <c r="L221" s="15">
        <v>100</v>
      </c>
      <c r="M221" s="14">
        <f t="shared" si="23"/>
        <v>100</v>
      </c>
      <c r="N221" s="26">
        <v>41467</v>
      </c>
    </row>
    <row r="222" spans="2:14" x14ac:dyDescent="0.15">
      <c r="B222" s="4" t="s">
        <v>11</v>
      </c>
      <c r="C222" s="15">
        <v>100</v>
      </c>
      <c r="D222" s="14">
        <f t="shared" si="22"/>
        <v>100</v>
      </c>
      <c r="E222" s="26">
        <v>41468</v>
      </c>
      <c r="F222" s="26"/>
      <c r="G222" s="26"/>
      <c r="H222" s="26"/>
      <c r="I222" s="26"/>
      <c r="J222" s="51"/>
      <c r="K222" s="4" t="s">
        <v>9</v>
      </c>
      <c r="L222" s="15">
        <v>100</v>
      </c>
      <c r="M222" s="14">
        <f t="shared" si="23"/>
        <v>100</v>
      </c>
      <c r="N222" s="26">
        <v>41474</v>
      </c>
    </row>
    <row r="223" spans="2:14" x14ac:dyDescent="0.15">
      <c r="B223" s="6" t="s">
        <v>23</v>
      </c>
      <c r="C223" s="15">
        <v>3</v>
      </c>
      <c r="D223" s="14">
        <f t="shared" si="22"/>
        <v>3</v>
      </c>
      <c r="E223" s="26">
        <v>41471</v>
      </c>
      <c r="F223" s="26"/>
      <c r="G223" s="26"/>
      <c r="H223" s="26"/>
      <c r="I223" s="26"/>
      <c r="J223" s="51"/>
      <c r="K223" s="4" t="s">
        <v>9</v>
      </c>
      <c r="L223" s="15">
        <v>100</v>
      </c>
      <c r="M223" s="14">
        <f t="shared" si="23"/>
        <v>100</v>
      </c>
      <c r="N223" s="26">
        <v>41474</v>
      </c>
    </row>
    <row r="224" spans="2:14" x14ac:dyDescent="0.15">
      <c r="B224" s="4" t="s">
        <v>9</v>
      </c>
      <c r="C224" s="15">
        <v>10</v>
      </c>
      <c r="D224" s="14">
        <f t="shared" si="22"/>
        <v>10</v>
      </c>
      <c r="E224" s="52">
        <v>41468</v>
      </c>
      <c r="F224" s="52"/>
      <c r="G224" s="52"/>
      <c r="H224" s="52"/>
      <c r="I224" s="52"/>
      <c r="J224" s="51"/>
      <c r="K224" s="6" t="s">
        <v>63</v>
      </c>
      <c r="L224" s="15">
        <v>100</v>
      </c>
      <c r="M224" s="14">
        <f t="shared" si="23"/>
        <v>100</v>
      </c>
      <c r="N224" s="26">
        <v>41481</v>
      </c>
    </row>
    <row r="225" spans="2:14" x14ac:dyDescent="0.15">
      <c r="B225" s="4" t="s">
        <v>9</v>
      </c>
      <c r="C225" s="15">
        <v>10</v>
      </c>
      <c r="D225" s="14">
        <f t="shared" si="22"/>
        <v>10</v>
      </c>
      <c r="E225" s="52">
        <v>41471</v>
      </c>
      <c r="F225" s="52"/>
      <c r="G225" s="52"/>
      <c r="H225" s="52"/>
      <c r="I225" s="52"/>
      <c r="J225" s="51"/>
      <c r="K225" s="4" t="s">
        <v>9</v>
      </c>
      <c r="L225" s="15">
        <v>100</v>
      </c>
      <c r="M225" s="14">
        <f t="shared" si="23"/>
        <v>100</v>
      </c>
      <c r="N225" s="26">
        <v>41482</v>
      </c>
    </row>
    <row r="226" spans="2:14" x14ac:dyDescent="0.15">
      <c r="B226" s="6" t="s">
        <v>10</v>
      </c>
      <c r="C226" s="15">
        <v>60</v>
      </c>
      <c r="D226" s="14">
        <f t="shared" si="22"/>
        <v>60</v>
      </c>
      <c r="E226" s="26">
        <v>41477</v>
      </c>
      <c r="F226" s="26"/>
      <c r="G226" s="26"/>
      <c r="H226" s="26"/>
      <c r="I226" s="26"/>
      <c r="J226" s="51"/>
      <c r="K226" s="6" t="s">
        <v>68</v>
      </c>
      <c r="L226" s="15">
        <v>1500</v>
      </c>
      <c r="M226" s="14">
        <f t="shared" si="23"/>
        <v>1500</v>
      </c>
      <c r="N226" s="55">
        <v>41491</v>
      </c>
    </row>
    <row r="227" spans="2:14" x14ac:dyDescent="0.15">
      <c r="B227" s="4" t="s">
        <v>11</v>
      </c>
      <c r="C227" s="15">
        <v>60</v>
      </c>
      <c r="D227" s="14">
        <f t="shared" si="22"/>
        <v>60</v>
      </c>
      <c r="E227" s="26">
        <v>41475</v>
      </c>
      <c r="F227" s="26"/>
      <c r="G227" s="26"/>
      <c r="H227" s="26"/>
      <c r="I227" s="26"/>
      <c r="J227" s="51"/>
      <c r="K227" s="6" t="s">
        <v>69</v>
      </c>
      <c r="L227" s="15">
        <v>286</v>
      </c>
      <c r="M227" s="14">
        <f t="shared" si="23"/>
        <v>286</v>
      </c>
      <c r="N227" s="55">
        <v>41494</v>
      </c>
    </row>
    <row r="228" spans="2:14" x14ac:dyDescent="0.15">
      <c r="B228" s="4" t="s">
        <v>44</v>
      </c>
      <c r="C228" s="15">
        <v>80</v>
      </c>
      <c r="D228" s="14">
        <f t="shared" si="22"/>
        <v>80</v>
      </c>
      <c r="E228" s="26">
        <v>41479</v>
      </c>
      <c r="F228" s="26"/>
      <c r="G228" s="26"/>
      <c r="H228" s="26"/>
      <c r="I228" s="26"/>
      <c r="J228" s="51"/>
      <c r="K228" s="4"/>
      <c r="L228" s="15"/>
      <c r="M228" s="14">
        <f t="shared" si="23"/>
        <v>0</v>
      </c>
    </row>
    <row r="229" spans="2:14" x14ac:dyDescent="0.15">
      <c r="B229" s="4" t="s">
        <v>37</v>
      </c>
      <c r="C229" s="15">
        <v>10</v>
      </c>
      <c r="D229" s="14">
        <f t="shared" si="22"/>
        <v>10</v>
      </c>
      <c r="E229" s="52">
        <v>41474</v>
      </c>
      <c r="F229" s="52"/>
      <c r="G229" s="52"/>
      <c r="H229" s="52"/>
      <c r="I229" s="52"/>
      <c r="J229" s="51"/>
      <c r="K229" s="4"/>
      <c r="L229" s="15"/>
      <c r="M229" s="14">
        <f t="shared" si="23"/>
        <v>0</v>
      </c>
    </row>
    <row r="230" spans="2:14" x14ac:dyDescent="0.15">
      <c r="B230" s="4" t="s">
        <v>37</v>
      </c>
      <c r="C230" s="15">
        <v>10</v>
      </c>
      <c r="D230" s="14">
        <f t="shared" si="22"/>
        <v>10</v>
      </c>
      <c r="E230" s="26">
        <v>41475</v>
      </c>
      <c r="F230" s="26"/>
      <c r="G230" s="26"/>
      <c r="H230" s="26"/>
      <c r="I230" s="26"/>
      <c r="J230" s="51"/>
      <c r="K230" s="4"/>
      <c r="L230" s="15"/>
      <c r="M230" s="14">
        <f t="shared" si="23"/>
        <v>0</v>
      </c>
    </row>
    <row r="231" spans="2:14" x14ac:dyDescent="0.15">
      <c r="B231" s="4" t="s">
        <v>65</v>
      </c>
      <c r="C231" s="15">
        <v>100</v>
      </c>
      <c r="D231" s="14">
        <f t="shared" si="22"/>
        <v>100</v>
      </c>
      <c r="E231" s="26">
        <v>41484</v>
      </c>
      <c r="F231" s="26"/>
      <c r="G231" s="26"/>
      <c r="H231" s="26"/>
      <c r="I231" s="26"/>
      <c r="J231" s="51"/>
      <c r="K231" s="4"/>
      <c r="L231" s="15"/>
      <c r="M231" s="14">
        <f t="shared" si="23"/>
        <v>0</v>
      </c>
    </row>
    <row r="232" spans="2:14" x14ac:dyDescent="0.15">
      <c r="B232" s="6" t="s">
        <v>37</v>
      </c>
      <c r="C232" s="15">
        <v>10</v>
      </c>
      <c r="D232" s="14">
        <f t="shared" si="22"/>
        <v>10</v>
      </c>
      <c r="E232" s="52">
        <v>41477</v>
      </c>
      <c r="F232" s="52"/>
      <c r="G232" s="52"/>
      <c r="H232" s="52"/>
      <c r="I232" s="52"/>
      <c r="J232" s="51"/>
      <c r="K232" s="6"/>
      <c r="L232" s="15"/>
      <c r="M232" s="14">
        <f t="shared" si="23"/>
        <v>0</v>
      </c>
    </row>
    <row r="233" spans="2:14" x14ac:dyDescent="0.15">
      <c r="B233" s="6" t="s">
        <v>37</v>
      </c>
      <c r="C233" s="15">
        <v>10</v>
      </c>
      <c r="D233" s="14">
        <f t="shared" si="22"/>
        <v>10</v>
      </c>
      <c r="E233" s="26">
        <v>41478</v>
      </c>
      <c r="F233" s="26"/>
      <c r="G233" s="26"/>
      <c r="H233" s="26"/>
      <c r="I233" s="26"/>
      <c r="J233" s="51"/>
      <c r="K233" s="6"/>
      <c r="L233" s="15"/>
      <c r="M233" s="14">
        <f t="shared" si="23"/>
        <v>0</v>
      </c>
    </row>
    <row r="234" spans="2:14" x14ac:dyDescent="0.15">
      <c r="B234" s="6" t="s">
        <v>23</v>
      </c>
      <c r="C234" s="15">
        <v>2</v>
      </c>
      <c r="D234" s="14">
        <f t="shared" si="22"/>
        <v>2</v>
      </c>
      <c r="E234" s="26">
        <v>41481</v>
      </c>
      <c r="F234" s="26"/>
      <c r="G234" s="26"/>
      <c r="H234" s="26"/>
      <c r="I234" s="26"/>
      <c r="J234" s="51"/>
      <c r="K234" s="4"/>
      <c r="L234" s="15"/>
      <c r="M234" s="14">
        <f t="shared" si="23"/>
        <v>0</v>
      </c>
    </row>
    <row r="235" spans="2:14" x14ac:dyDescent="0.15">
      <c r="B235" s="6" t="s">
        <v>37</v>
      </c>
      <c r="C235" s="15">
        <v>10</v>
      </c>
      <c r="D235" s="14">
        <f t="shared" si="22"/>
        <v>10</v>
      </c>
      <c r="E235" s="26">
        <v>41479</v>
      </c>
      <c r="F235" s="26"/>
      <c r="G235" s="26"/>
      <c r="H235" s="26"/>
      <c r="I235" s="26"/>
      <c r="J235" s="51"/>
      <c r="K235" s="6"/>
      <c r="L235" s="15"/>
      <c r="M235" s="14">
        <f t="shared" si="23"/>
        <v>0</v>
      </c>
    </row>
    <row r="236" spans="2:14" x14ac:dyDescent="0.15">
      <c r="B236" s="6" t="s">
        <v>37</v>
      </c>
      <c r="C236" s="15">
        <v>10</v>
      </c>
      <c r="D236" s="14">
        <f t="shared" si="22"/>
        <v>10</v>
      </c>
      <c r="E236" s="26">
        <v>41480</v>
      </c>
      <c r="F236" s="26"/>
      <c r="G236" s="26"/>
      <c r="H236" s="26"/>
      <c r="I236" s="26"/>
      <c r="J236" s="51"/>
      <c r="K236" s="6"/>
      <c r="L236" s="15"/>
      <c r="M236" s="14">
        <f t="shared" si="23"/>
        <v>0</v>
      </c>
    </row>
    <row r="237" spans="2:14" x14ac:dyDescent="0.15">
      <c r="B237" s="6" t="s">
        <v>66</v>
      </c>
      <c r="C237" s="15">
        <v>4</v>
      </c>
      <c r="D237" s="14">
        <f t="shared" si="22"/>
        <v>4</v>
      </c>
      <c r="E237" s="26">
        <v>41485</v>
      </c>
      <c r="F237" s="26"/>
      <c r="G237" s="26"/>
      <c r="H237" s="26"/>
      <c r="I237" s="26"/>
      <c r="J237" s="51"/>
      <c r="K237" s="4"/>
      <c r="L237" s="15"/>
      <c r="M237" s="14">
        <f t="shared" si="23"/>
        <v>0</v>
      </c>
    </row>
    <row r="238" spans="2:14" x14ac:dyDescent="0.15">
      <c r="B238" s="6" t="s">
        <v>37</v>
      </c>
      <c r="C238" s="15">
        <v>10</v>
      </c>
      <c r="D238" s="14">
        <f t="shared" si="22"/>
        <v>10</v>
      </c>
      <c r="E238" s="26">
        <v>41484</v>
      </c>
      <c r="F238" s="26"/>
      <c r="G238" s="26"/>
      <c r="H238" s="26"/>
      <c r="I238" s="26"/>
      <c r="J238" s="51"/>
      <c r="K238" s="6"/>
      <c r="L238" s="15"/>
      <c r="M238" s="14">
        <f t="shared" si="23"/>
        <v>0</v>
      </c>
    </row>
    <row r="239" spans="2:14" x14ac:dyDescent="0.15">
      <c r="B239" s="6"/>
      <c r="C239" s="15"/>
      <c r="D239" s="14">
        <f t="shared" si="22"/>
        <v>0</v>
      </c>
      <c r="E239" s="26"/>
      <c r="F239" s="26"/>
      <c r="G239" s="26"/>
      <c r="H239" s="26"/>
      <c r="I239" s="26"/>
      <c r="J239" s="51"/>
      <c r="K239" s="6"/>
      <c r="L239" s="15"/>
      <c r="M239" s="14">
        <f t="shared" si="23"/>
        <v>0</v>
      </c>
    </row>
    <row r="240" spans="2:14" x14ac:dyDescent="0.15">
      <c r="B240" s="6" t="s">
        <v>37</v>
      </c>
      <c r="C240" s="15">
        <v>47</v>
      </c>
      <c r="D240" s="14">
        <f t="shared" si="22"/>
        <v>47</v>
      </c>
      <c r="E240" s="26">
        <v>41486</v>
      </c>
      <c r="F240" s="26"/>
      <c r="G240" s="26"/>
      <c r="H240" s="26"/>
      <c r="I240" s="26"/>
      <c r="J240" s="51"/>
      <c r="K240" s="4"/>
      <c r="L240" s="15"/>
      <c r="M240" s="14">
        <f t="shared" si="23"/>
        <v>0</v>
      </c>
    </row>
    <row r="241" spans="1:14" x14ac:dyDescent="0.15">
      <c r="B241" s="6"/>
      <c r="C241" s="15"/>
      <c r="D241" s="14">
        <f t="shared" si="22"/>
        <v>0</v>
      </c>
      <c r="E241" s="51"/>
      <c r="F241" s="51"/>
      <c r="G241" s="51"/>
      <c r="H241" s="51"/>
      <c r="I241" s="51"/>
      <c r="J241" s="51"/>
      <c r="K241" s="6"/>
      <c r="L241" s="15"/>
      <c r="M241" s="14">
        <f t="shared" si="23"/>
        <v>0</v>
      </c>
    </row>
    <row r="242" spans="1:14" x14ac:dyDescent="0.15">
      <c r="B242" s="6"/>
      <c r="C242" s="15"/>
      <c r="D242" s="14">
        <f t="shared" si="22"/>
        <v>0</v>
      </c>
      <c r="E242" s="51"/>
      <c r="F242" s="51"/>
      <c r="G242" s="51"/>
      <c r="H242" s="51"/>
      <c r="I242" s="51"/>
      <c r="J242" s="51"/>
      <c r="K242" s="6"/>
      <c r="L242" s="15"/>
      <c r="M242" s="14">
        <f t="shared" si="23"/>
        <v>0</v>
      </c>
    </row>
    <row r="243" spans="1:14" ht="14.25" thickBot="1" x14ac:dyDescent="0.2">
      <c r="B243" s="6"/>
      <c r="C243" s="15"/>
      <c r="D243" s="14">
        <f t="shared" si="22"/>
        <v>0</v>
      </c>
      <c r="E243" s="51"/>
      <c r="F243" s="51"/>
      <c r="G243" s="51"/>
      <c r="H243" s="51"/>
      <c r="I243" s="51"/>
      <c r="J243" s="51"/>
      <c r="K243" s="4"/>
      <c r="L243" s="15"/>
      <c r="M243" s="14">
        <f>SUM(L243:L243)</f>
        <v>0</v>
      </c>
      <c r="N243" s="26"/>
    </row>
    <row r="244" spans="1:14" ht="14.25" thickBot="1" x14ac:dyDescent="0.2">
      <c r="B244" s="3" t="s">
        <v>5</v>
      </c>
      <c r="C244" s="16">
        <f>SUM(C220:C243)</f>
        <v>597</v>
      </c>
      <c r="D244" s="17">
        <f>SUM(D220:D243)</f>
        <v>597</v>
      </c>
      <c r="K244" s="3" t="s">
        <v>5</v>
      </c>
      <c r="L244" s="16">
        <f>SUM(L220:L243)</f>
        <v>2386</v>
      </c>
      <c r="M244" s="17">
        <f>SUM(M220:M243)</f>
        <v>2386</v>
      </c>
    </row>
    <row r="245" spans="1:14" ht="14.25" thickBot="1" x14ac:dyDescent="0.2">
      <c r="B245" s="18" t="s">
        <v>6</v>
      </c>
      <c r="C245" s="19">
        <f>C219-C244</f>
        <v>0</v>
      </c>
      <c r="D245" s="13">
        <f>D219-D244</f>
        <v>0</v>
      </c>
      <c r="K245" s="18" t="s">
        <v>6</v>
      </c>
      <c r="L245" s="19">
        <f>L219-L244</f>
        <v>0</v>
      </c>
      <c r="M245" s="13">
        <f>M219-M244</f>
        <v>0</v>
      </c>
    </row>
    <row r="247" spans="1:14" ht="18" thickBot="1" x14ac:dyDescent="0.25">
      <c r="A247" s="27" t="s">
        <v>8</v>
      </c>
      <c r="B247" s="28"/>
      <c r="C247" s="28"/>
      <c r="D247" s="28"/>
      <c r="J247" s="27" t="s">
        <v>7</v>
      </c>
    </row>
    <row r="248" spans="1:14" ht="14.25" thickBot="1" x14ac:dyDescent="0.2">
      <c r="B248" s="2"/>
      <c r="C248" s="3" t="s">
        <v>0</v>
      </c>
      <c r="D248" s="2" t="s">
        <v>1</v>
      </c>
      <c r="K248" s="2"/>
      <c r="L248" s="3" t="s">
        <v>0</v>
      </c>
      <c r="M248" s="2" t="s">
        <v>1</v>
      </c>
    </row>
    <row r="249" spans="1:14" x14ac:dyDescent="0.15">
      <c r="B249" s="43" t="s">
        <v>26</v>
      </c>
      <c r="C249" s="38">
        <f>C245</f>
        <v>0</v>
      </c>
      <c r="D249" s="39">
        <f t="shared" ref="D249:D259" si="24">SUM(C249:C249)</f>
        <v>0</v>
      </c>
      <c r="K249" s="43" t="s">
        <v>26</v>
      </c>
      <c r="L249" s="38">
        <f>L245</f>
        <v>0</v>
      </c>
      <c r="M249" s="39">
        <f t="shared" ref="M249:M259" si="25">SUM(L249:L249)</f>
        <v>0</v>
      </c>
    </row>
    <row r="250" spans="1:14" x14ac:dyDescent="0.15">
      <c r="B250" s="6" t="s">
        <v>3</v>
      </c>
      <c r="C250" s="7">
        <v>488</v>
      </c>
      <c r="D250" s="5">
        <f t="shared" si="24"/>
        <v>488</v>
      </c>
      <c r="E250" s="48">
        <v>41506</v>
      </c>
      <c r="F250" s="48"/>
      <c r="G250" s="48"/>
      <c r="H250" s="48"/>
      <c r="I250" s="48"/>
      <c r="K250" s="6" t="s">
        <v>3</v>
      </c>
      <c r="L250" s="7"/>
      <c r="M250" s="5">
        <f t="shared" si="25"/>
        <v>0</v>
      </c>
      <c r="N250" s="56"/>
    </row>
    <row r="251" spans="1:14" x14ac:dyDescent="0.15">
      <c r="B251" s="6" t="s">
        <v>64</v>
      </c>
      <c r="C251" s="7"/>
      <c r="D251" s="5">
        <f t="shared" si="24"/>
        <v>0</v>
      </c>
      <c r="E251" s="48">
        <v>41522</v>
      </c>
      <c r="F251" s="48"/>
      <c r="G251" s="48"/>
      <c r="H251" s="48"/>
      <c r="I251" s="48"/>
      <c r="K251" s="6" t="s">
        <v>3</v>
      </c>
      <c r="L251" s="7">
        <v>288</v>
      </c>
      <c r="M251" s="5">
        <f t="shared" si="25"/>
        <v>288</v>
      </c>
      <c r="N251" s="55">
        <v>41506</v>
      </c>
    </row>
    <row r="252" spans="1:14" x14ac:dyDescent="0.15">
      <c r="B252" s="6" t="s">
        <v>71</v>
      </c>
      <c r="C252" s="7">
        <v>10</v>
      </c>
      <c r="D252" s="5">
        <f t="shared" si="24"/>
        <v>10</v>
      </c>
      <c r="E252" s="48">
        <v>41557</v>
      </c>
      <c r="F252" s="48"/>
      <c r="G252" s="48"/>
      <c r="H252" s="48"/>
      <c r="I252" s="48"/>
      <c r="K252" s="6" t="s">
        <v>3</v>
      </c>
      <c r="L252" s="7"/>
      <c r="M252" s="5">
        <f t="shared" si="25"/>
        <v>0</v>
      </c>
    </row>
    <row r="253" spans="1:14" x14ac:dyDescent="0.15">
      <c r="B253" s="6" t="s">
        <v>3</v>
      </c>
      <c r="C253" s="7"/>
      <c r="D253" s="5">
        <f t="shared" si="24"/>
        <v>0</v>
      </c>
      <c r="K253" s="6" t="s">
        <v>3</v>
      </c>
      <c r="L253" s="7"/>
      <c r="M253" s="5">
        <f t="shared" si="25"/>
        <v>0</v>
      </c>
    </row>
    <row r="254" spans="1:14" x14ac:dyDescent="0.15">
      <c r="B254" s="6" t="s">
        <v>3</v>
      </c>
      <c r="C254" s="7"/>
      <c r="D254" s="5">
        <f t="shared" si="24"/>
        <v>0</v>
      </c>
      <c r="K254" s="6" t="s">
        <v>3</v>
      </c>
      <c r="L254" s="7"/>
      <c r="M254" s="5">
        <f t="shared" si="25"/>
        <v>0</v>
      </c>
    </row>
    <row r="255" spans="1:14" x14ac:dyDescent="0.15">
      <c r="B255" s="6" t="s">
        <v>3</v>
      </c>
      <c r="C255" s="7"/>
      <c r="D255" s="5">
        <f t="shared" si="24"/>
        <v>0</v>
      </c>
      <c r="K255" s="6" t="s">
        <v>3</v>
      </c>
      <c r="L255" s="7"/>
      <c r="M255" s="5">
        <f t="shared" si="25"/>
        <v>0</v>
      </c>
    </row>
    <row r="256" spans="1:14" x14ac:dyDescent="0.15">
      <c r="B256" s="6" t="s">
        <v>3</v>
      </c>
      <c r="C256" s="54"/>
      <c r="D256" s="5">
        <f t="shared" si="24"/>
        <v>0</v>
      </c>
      <c r="K256" s="6" t="s">
        <v>3</v>
      </c>
      <c r="L256" s="8"/>
      <c r="M256" s="5">
        <f t="shared" si="25"/>
        <v>0</v>
      </c>
    </row>
    <row r="257" spans="2:14" x14ac:dyDescent="0.15">
      <c r="B257" s="6" t="s">
        <v>3</v>
      </c>
      <c r="C257" s="54"/>
      <c r="D257" s="5">
        <f t="shared" si="24"/>
        <v>0</v>
      </c>
      <c r="K257" s="6" t="s">
        <v>3</v>
      </c>
      <c r="L257" s="54">
        <v>200</v>
      </c>
      <c r="M257" s="5">
        <f t="shared" si="25"/>
        <v>200</v>
      </c>
      <c r="N257" s="55">
        <v>41506</v>
      </c>
    </row>
    <row r="258" spans="2:14" x14ac:dyDescent="0.15">
      <c r="B258" s="6" t="s">
        <v>3</v>
      </c>
      <c r="C258" s="54"/>
      <c r="D258" s="5">
        <f t="shared" si="24"/>
        <v>0</v>
      </c>
      <c r="K258" s="6" t="s">
        <v>3</v>
      </c>
      <c r="L258" s="8"/>
      <c r="M258" s="5">
        <f t="shared" si="25"/>
        <v>0</v>
      </c>
    </row>
    <row r="259" spans="2:14" ht="14.25" thickBot="1" x14ac:dyDescent="0.2">
      <c r="B259" s="9" t="s">
        <v>3</v>
      </c>
      <c r="C259" s="10"/>
      <c r="D259" s="5">
        <f t="shared" si="24"/>
        <v>0</v>
      </c>
      <c r="K259" s="9" t="s">
        <v>3</v>
      </c>
      <c r="L259" s="10"/>
      <c r="M259" s="5">
        <f t="shared" si="25"/>
        <v>0</v>
      </c>
    </row>
    <row r="260" spans="2:14" ht="14.25" thickBot="1" x14ac:dyDescent="0.2">
      <c r="B260" s="11" t="s">
        <v>4</v>
      </c>
      <c r="C260" s="12">
        <f>SUM(C249:C259)</f>
        <v>498</v>
      </c>
      <c r="D260" s="13">
        <f>SUM(D249:D259)</f>
        <v>498</v>
      </c>
      <c r="K260" s="11" t="s">
        <v>4</v>
      </c>
      <c r="L260" s="12">
        <f>SUM(L249:L259)</f>
        <v>488</v>
      </c>
      <c r="M260" s="13">
        <f>SUM(M249:M259)</f>
        <v>488</v>
      </c>
    </row>
    <row r="261" spans="2:14" x14ac:dyDescent="0.15">
      <c r="B261" s="4" t="s">
        <v>11</v>
      </c>
      <c r="C261" s="44">
        <v>50</v>
      </c>
      <c r="D261" s="14">
        <f>C261</f>
        <v>50</v>
      </c>
      <c r="E261" s="55">
        <v>41508</v>
      </c>
      <c r="F261" s="55"/>
      <c r="G261" s="55"/>
      <c r="H261" s="55"/>
      <c r="I261" s="55"/>
      <c r="K261" s="4" t="s">
        <v>9</v>
      </c>
      <c r="L261" s="44">
        <v>488</v>
      </c>
      <c r="M261" s="14">
        <f t="shared" ref="M261:M283" si="26">SUM(L261:L261)</f>
        <v>488</v>
      </c>
      <c r="N261" s="48">
        <v>41506</v>
      </c>
    </row>
    <row r="262" spans="2:14" x14ac:dyDescent="0.15">
      <c r="B262" s="6" t="s">
        <v>11</v>
      </c>
      <c r="C262" s="15">
        <v>40</v>
      </c>
      <c r="D262" s="14">
        <f>C262</f>
        <v>40</v>
      </c>
      <c r="E262" s="57">
        <v>41508</v>
      </c>
      <c r="F262" s="57"/>
      <c r="G262" s="57"/>
      <c r="H262" s="57"/>
      <c r="I262" s="57"/>
      <c r="J262" s="51"/>
      <c r="K262" s="4"/>
      <c r="L262" s="15"/>
      <c r="M262" s="14">
        <f t="shared" si="26"/>
        <v>0</v>
      </c>
    </row>
    <row r="263" spans="2:14" x14ac:dyDescent="0.15">
      <c r="B263" s="4" t="s">
        <v>44</v>
      </c>
      <c r="C263" s="15">
        <v>50</v>
      </c>
      <c r="D263" s="14">
        <f t="shared" ref="D263:D284" si="27">SUM(C263)</f>
        <v>50</v>
      </c>
      <c r="E263" s="55">
        <v>41508</v>
      </c>
      <c r="F263" s="55"/>
      <c r="G263" s="55"/>
      <c r="H263" s="55"/>
      <c r="I263" s="55"/>
      <c r="J263" s="51"/>
      <c r="K263" s="4"/>
      <c r="L263" s="15"/>
      <c r="M263" s="14">
        <f t="shared" si="26"/>
        <v>0</v>
      </c>
    </row>
    <row r="264" spans="2:14" x14ac:dyDescent="0.15">
      <c r="B264" s="6" t="s">
        <v>23</v>
      </c>
      <c r="C264" s="15">
        <v>2</v>
      </c>
      <c r="D264" s="14">
        <f t="shared" si="27"/>
        <v>2</v>
      </c>
      <c r="E264" s="55">
        <v>41508</v>
      </c>
      <c r="F264" s="55"/>
      <c r="G264" s="55"/>
      <c r="H264" s="55"/>
      <c r="I264" s="55"/>
      <c r="J264" s="51"/>
      <c r="K264" s="4"/>
      <c r="L264" s="15"/>
      <c r="M264" s="14">
        <f t="shared" si="26"/>
        <v>0</v>
      </c>
    </row>
    <row r="265" spans="2:14" x14ac:dyDescent="0.15">
      <c r="B265" s="6" t="s">
        <v>23</v>
      </c>
      <c r="C265" s="15">
        <v>1</v>
      </c>
      <c r="D265" s="14">
        <f t="shared" si="27"/>
        <v>1</v>
      </c>
      <c r="E265" s="55">
        <v>41508</v>
      </c>
      <c r="F265" s="55"/>
      <c r="G265" s="55"/>
      <c r="H265" s="55"/>
      <c r="I265" s="55"/>
      <c r="J265" s="51"/>
      <c r="K265" s="6"/>
      <c r="L265" s="15"/>
      <c r="M265" s="14">
        <f t="shared" si="26"/>
        <v>0</v>
      </c>
    </row>
    <row r="266" spans="2:14" x14ac:dyDescent="0.15">
      <c r="B266" s="6" t="s">
        <v>11</v>
      </c>
      <c r="C266" s="15">
        <v>30</v>
      </c>
      <c r="D266" s="14">
        <f t="shared" si="27"/>
        <v>30</v>
      </c>
      <c r="E266" s="55">
        <v>41508</v>
      </c>
      <c r="F266" s="55"/>
      <c r="G266" s="55"/>
      <c r="H266" s="55"/>
      <c r="I266" s="55"/>
      <c r="J266" s="51"/>
      <c r="K266" s="4"/>
      <c r="L266" s="15"/>
      <c r="M266" s="14">
        <f t="shared" si="26"/>
        <v>0</v>
      </c>
    </row>
    <row r="267" spans="2:14" x14ac:dyDescent="0.15">
      <c r="B267" s="4" t="s">
        <v>31</v>
      </c>
      <c r="C267" s="15">
        <v>30</v>
      </c>
      <c r="D267" s="14">
        <f>SUM(C267)</f>
        <v>30</v>
      </c>
      <c r="E267" s="55">
        <v>41506</v>
      </c>
      <c r="F267" s="55"/>
      <c r="G267" s="55"/>
      <c r="H267" s="55"/>
      <c r="I267" s="55"/>
      <c r="J267" s="51"/>
      <c r="K267" s="6"/>
      <c r="L267" s="15"/>
      <c r="M267" s="14">
        <f t="shared" si="26"/>
        <v>0</v>
      </c>
    </row>
    <row r="268" spans="2:14" x14ac:dyDescent="0.15">
      <c r="B268" s="4" t="s">
        <v>31</v>
      </c>
      <c r="C268" s="15">
        <v>10</v>
      </c>
      <c r="D268" s="14">
        <f>SUM(C268)</f>
        <v>10</v>
      </c>
      <c r="E268" s="55">
        <v>41507</v>
      </c>
      <c r="F268" s="55"/>
      <c r="G268" s="55"/>
      <c r="H268" s="55"/>
      <c r="I268" s="55"/>
      <c r="J268" s="51"/>
      <c r="K268" s="6"/>
      <c r="L268" s="15"/>
      <c r="M268" s="14">
        <f t="shared" si="26"/>
        <v>0</v>
      </c>
    </row>
    <row r="269" spans="2:14" x14ac:dyDescent="0.15">
      <c r="B269" s="6" t="s">
        <v>23</v>
      </c>
      <c r="C269" s="15">
        <v>1</v>
      </c>
      <c r="D269" s="14">
        <f t="shared" si="27"/>
        <v>1</v>
      </c>
      <c r="E269" s="55">
        <v>41515</v>
      </c>
      <c r="F269" s="55"/>
      <c r="G269" s="55"/>
      <c r="H269" s="55"/>
      <c r="I269" s="55"/>
      <c r="J269" s="51"/>
      <c r="K269" s="4"/>
      <c r="L269" s="15"/>
      <c r="M269" s="14">
        <f t="shared" si="26"/>
        <v>0</v>
      </c>
    </row>
    <row r="270" spans="2:14" x14ac:dyDescent="0.15">
      <c r="B270" s="4" t="s">
        <v>37</v>
      </c>
      <c r="C270" s="15">
        <v>10</v>
      </c>
      <c r="D270" s="14">
        <f t="shared" si="27"/>
        <v>10</v>
      </c>
      <c r="E270" s="48">
        <v>41510</v>
      </c>
      <c r="F270" s="48"/>
      <c r="G270" s="48"/>
      <c r="H270" s="48"/>
      <c r="I270" s="48"/>
      <c r="J270" s="51"/>
      <c r="K270" s="4"/>
      <c r="L270" s="15"/>
      <c r="M270" s="14">
        <f t="shared" si="26"/>
        <v>0</v>
      </c>
    </row>
    <row r="271" spans="2:14" x14ac:dyDescent="0.15">
      <c r="B271" s="4" t="s">
        <v>37</v>
      </c>
      <c r="C271" s="15">
        <v>10</v>
      </c>
      <c r="D271" s="14">
        <f t="shared" si="27"/>
        <v>10</v>
      </c>
      <c r="E271" s="48">
        <v>41512</v>
      </c>
      <c r="F271" s="48"/>
      <c r="G271" s="48"/>
      <c r="H271" s="48"/>
      <c r="I271" s="48"/>
      <c r="J271" s="51"/>
      <c r="K271" s="4"/>
      <c r="L271" s="15"/>
      <c r="M271" s="14">
        <f t="shared" si="26"/>
        <v>0</v>
      </c>
    </row>
    <row r="272" spans="2:14" x14ac:dyDescent="0.15">
      <c r="B272" s="4" t="s">
        <v>37</v>
      </c>
      <c r="C272" s="15">
        <v>10</v>
      </c>
      <c r="D272" s="14">
        <f t="shared" si="27"/>
        <v>10</v>
      </c>
      <c r="E272" s="48">
        <v>41514</v>
      </c>
      <c r="F272" s="48"/>
      <c r="G272" s="48"/>
      <c r="H272" s="48"/>
      <c r="I272" s="48"/>
      <c r="J272" s="51"/>
      <c r="K272" s="4"/>
      <c r="L272" s="15"/>
      <c r="M272" s="14">
        <f t="shared" si="26"/>
        <v>0</v>
      </c>
    </row>
    <row r="273" spans="1:14" x14ac:dyDescent="0.15">
      <c r="B273" s="6" t="s">
        <v>23</v>
      </c>
      <c r="C273" s="15">
        <v>6</v>
      </c>
      <c r="D273" s="14">
        <f t="shared" si="27"/>
        <v>6</v>
      </c>
      <c r="E273" s="55">
        <v>41520</v>
      </c>
      <c r="F273" s="55"/>
      <c r="G273" s="55"/>
      <c r="H273" s="55"/>
      <c r="I273" s="55"/>
      <c r="J273" s="51"/>
      <c r="K273" s="6"/>
      <c r="L273" s="15"/>
      <c r="M273" s="14">
        <f t="shared" si="26"/>
        <v>0</v>
      </c>
    </row>
    <row r="274" spans="1:14" x14ac:dyDescent="0.15">
      <c r="B274" s="6" t="s">
        <v>31</v>
      </c>
      <c r="C274" s="15">
        <v>10</v>
      </c>
      <c r="D274" s="14">
        <f t="shared" si="27"/>
        <v>10</v>
      </c>
      <c r="E274" s="48">
        <v>41519</v>
      </c>
      <c r="F274" s="48"/>
      <c r="G274" s="48"/>
      <c r="H274" s="48"/>
      <c r="I274" s="48"/>
      <c r="J274" s="51"/>
      <c r="K274" s="6"/>
      <c r="L274" s="15"/>
      <c r="M274" s="14">
        <f t="shared" si="26"/>
        <v>0</v>
      </c>
    </row>
    <row r="275" spans="1:14" x14ac:dyDescent="0.15">
      <c r="B275" s="6" t="s">
        <v>31</v>
      </c>
      <c r="C275" s="15">
        <v>14</v>
      </c>
      <c r="D275" s="14">
        <f t="shared" si="27"/>
        <v>14</v>
      </c>
      <c r="E275" s="48">
        <v>41521</v>
      </c>
      <c r="F275" s="48"/>
      <c r="G275" s="48"/>
      <c r="H275" s="48"/>
      <c r="I275" s="48"/>
      <c r="J275" s="51"/>
      <c r="K275" s="4"/>
      <c r="L275" s="15"/>
      <c r="M275" s="14">
        <f t="shared" si="26"/>
        <v>0</v>
      </c>
    </row>
    <row r="276" spans="1:14" x14ac:dyDescent="0.15">
      <c r="B276" s="6" t="s">
        <v>57</v>
      </c>
      <c r="C276" s="15">
        <v>4</v>
      </c>
      <c r="D276" s="14">
        <f t="shared" si="27"/>
        <v>4</v>
      </c>
      <c r="E276" s="58">
        <v>41527</v>
      </c>
      <c r="F276" s="58"/>
      <c r="G276" s="58"/>
      <c r="H276" s="58"/>
      <c r="I276" s="58"/>
      <c r="J276" s="51"/>
      <c r="K276" s="6"/>
      <c r="L276" s="15"/>
      <c r="M276" s="14">
        <f t="shared" si="26"/>
        <v>0</v>
      </c>
    </row>
    <row r="277" spans="1:14" x14ac:dyDescent="0.15">
      <c r="B277" s="6" t="s">
        <v>37</v>
      </c>
      <c r="C277" s="15">
        <v>10</v>
      </c>
      <c r="D277" s="14">
        <f t="shared" si="27"/>
        <v>10</v>
      </c>
      <c r="E277" s="48">
        <v>41529</v>
      </c>
      <c r="F277" s="48"/>
      <c r="G277" s="48"/>
      <c r="H277" s="48"/>
      <c r="I277" s="48"/>
      <c r="J277" s="51"/>
      <c r="K277" s="6"/>
      <c r="L277" s="15"/>
      <c r="M277" s="14">
        <f t="shared" si="26"/>
        <v>0</v>
      </c>
    </row>
    <row r="278" spans="1:14" x14ac:dyDescent="0.15">
      <c r="B278" s="6" t="s">
        <v>70</v>
      </c>
      <c r="C278" s="15">
        <v>10</v>
      </c>
      <c r="D278" s="14">
        <f t="shared" si="27"/>
        <v>10</v>
      </c>
      <c r="E278" s="48">
        <v>41534</v>
      </c>
      <c r="F278" s="48"/>
      <c r="G278" s="48"/>
      <c r="H278" s="48"/>
      <c r="I278" s="48"/>
      <c r="J278" s="51"/>
      <c r="K278" s="4"/>
      <c r="L278" s="15"/>
      <c r="M278" s="14">
        <f t="shared" si="26"/>
        <v>0</v>
      </c>
    </row>
    <row r="279" spans="1:14" x14ac:dyDescent="0.15">
      <c r="B279" s="6" t="s">
        <v>57</v>
      </c>
      <c r="C279" s="15">
        <v>4</v>
      </c>
      <c r="D279" s="14">
        <f t="shared" si="27"/>
        <v>4</v>
      </c>
      <c r="E279" s="58">
        <v>41540</v>
      </c>
      <c r="F279" s="58"/>
      <c r="G279" s="58"/>
      <c r="H279" s="58"/>
      <c r="I279" s="58"/>
      <c r="J279" s="51"/>
      <c r="K279" s="6"/>
      <c r="L279" s="15"/>
      <c r="M279" s="14">
        <f t="shared" si="26"/>
        <v>0</v>
      </c>
    </row>
    <row r="280" spans="1:14" x14ac:dyDescent="0.15">
      <c r="B280" s="6" t="s">
        <v>37</v>
      </c>
      <c r="C280" s="15">
        <v>3</v>
      </c>
      <c r="D280" s="14">
        <f t="shared" si="27"/>
        <v>3</v>
      </c>
      <c r="E280" s="48">
        <v>41550</v>
      </c>
      <c r="F280" s="48"/>
      <c r="G280" s="48"/>
      <c r="H280" s="48"/>
      <c r="I280" s="48"/>
      <c r="J280" s="51"/>
      <c r="K280" s="6"/>
      <c r="L280" s="15"/>
      <c r="M280" s="14">
        <f t="shared" si="26"/>
        <v>0</v>
      </c>
    </row>
    <row r="281" spans="1:14" x14ac:dyDescent="0.15">
      <c r="B281" s="6" t="s">
        <v>72</v>
      </c>
      <c r="C281" s="15">
        <v>1</v>
      </c>
      <c r="D281" s="14">
        <f t="shared" si="27"/>
        <v>1</v>
      </c>
      <c r="E281" s="48">
        <v>41551</v>
      </c>
      <c r="F281" s="48"/>
      <c r="G281" s="48"/>
      <c r="H281" s="48"/>
      <c r="I281" s="48"/>
      <c r="J281" s="51"/>
      <c r="K281" s="4"/>
      <c r="L281" s="15"/>
      <c r="M281" s="14">
        <f t="shared" si="26"/>
        <v>0</v>
      </c>
    </row>
    <row r="282" spans="1:14" x14ac:dyDescent="0.15">
      <c r="B282" s="6" t="s">
        <v>37</v>
      </c>
      <c r="C282" s="15">
        <v>1</v>
      </c>
      <c r="D282" s="14">
        <f t="shared" si="27"/>
        <v>1</v>
      </c>
      <c r="E282" s="48">
        <v>41559</v>
      </c>
      <c r="F282" s="48"/>
      <c r="G282" s="48"/>
      <c r="H282" s="48"/>
      <c r="I282" s="48"/>
      <c r="J282" s="51"/>
      <c r="K282" s="6"/>
      <c r="L282" s="15"/>
      <c r="M282" s="14">
        <f t="shared" si="26"/>
        <v>0</v>
      </c>
    </row>
    <row r="283" spans="1:14" x14ac:dyDescent="0.15">
      <c r="B283" s="6" t="s">
        <v>31</v>
      </c>
      <c r="C283" s="15">
        <v>6</v>
      </c>
      <c r="D283" s="14">
        <f t="shared" si="27"/>
        <v>6</v>
      </c>
      <c r="E283" s="58">
        <v>41562</v>
      </c>
      <c r="F283" s="58"/>
      <c r="G283" s="58"/>
      <c r="H283" s="58"/>
      <c r="I283" s="58"/>
      <c r="J283" s="51"/>
      <c r="K283" s="6"/>
      <c r="L283" s="15"/>
      <c r="M283" s="14">
        <f t="shared" si="26"/>
        <v>0</v>
      </c>
    </row>
    <row r="284" spans="1:14" ht="14.25" thickBot="1" x14ac:dyDescent="0.2">
      <c r="B284" s="6" t="s">
        <v>31</v>
      </c>
      <c r="C284" s="15">
        <v>1</v>
      </c>
      <c r="D284" s="14">
        <f t="shared" si="27"/>
        <v>1</v>
      </c>
      <c r="E284" s="48">
        <v>41564</v>
      </c>
      <c r="F284" s="48"/>
      <c r="G284" s="48"/>
      <c r="H284" s="48"/>
      <c r="I284" s="48"/>
      <c r="J284" s="51"/>
      <c r="K284" s="4"/>
      <c r="L284" s="15"/>
      <c r="M284" s="14">
        <f>SUM(L284:L284)</f>
        <v>0</v>
      </c>
    </row>
    <row r="285" spans="1:14" ht="14.25" thickBot="1" x14ac:dyDescent="0.2">
      <c r="B285" s="3" t="s">
        <v>5</v>
      </c>
      <c r="C285" s="16">
        <f>SUM(C261:C284)</f>
        <v>314</v>
      </c>
      <c r="D285" s="17">
        <f>SUM(D261:D284)</f>
        <v>314</v>
      </c>
      <c r="K285" s="3" t="s">
        <v>5</v>
      </c>
      <c r="L285" s="16">
        <f>SUM(L261:L284)</f>
        <v>488</v>
      </c>
      <c r="M285" s="17">
        <f>SUM(M261:M284)</f>
        <v>488</v>
      </c>
    </row>
    <row r="286" spans="1:14" ht="14.25" thickBot="1" x14ac:dyDescent="0.2">
      <c r="B286" s="18" t="s">
        <v>6</v>
      </c>
      <c r="C286" s="19">
        <f>C260-C285</f>
        <v>184</v>
      </c>
      <c r="D286" s="13">
        <f>D260-D285</f>
        <v>184</v>
      </c>
      <c r="K286" s="18" t="s">
        <v>6</v>
      </c>
      <c r="L286" s="19">
        <f>L260-L285</f>
        <v>0</v>
      </c>
      <c r="M286" s="13">
        <f>M260-M285</f>
        <v>0</v>
      </c>
    </row>
    <row r="288" spans="1:14" ht="18" thickBot="1" x14ac:dyDescent="0.25">
      <c r="A288" s="27" t="s">
        <v>8</v>
      </c>
      <c r="B288" s="28"/>
      <c r="C288" s="28"/>
      <c r="D288" s="28"/>
      <c r="J288" s="63" t="s">
        <v>7</v>
      </c>
      <c r="K288" s="76"/>
      <c r="L288" s="76"/>
      <c r="M288" s="76"/>
      <c r="N288" s="64"/>
    </row>
    <row r="289" spans="2:14" ht="14.25" thickBot="1" x14ac:dyDescent="0.2">
      <c r="B289" s="2"/>
      <c r="C289" s="3" t="s">
        <v>0</v>
      </c>
      <c r="D289" s="2" t="s">
        <v>1</v>
      </c>
      <c r="K289" s="77"/>
      <c r="L289" s="78" t="s">
        <v>0</v>
      </c>
      <c r="M289" s="77" t="s">
        <v>1</v>
      </c>
    </row>
    <row r="290" spans="2:14" x14ac:dyDescent="0.15">
      <c r="B290" s="43" t="s">
        <v>26</v>
      </c>
      <c r="C290" s="38">
        <f>C286</f>
        <v>184</v>
      </c>
      <c r="D290" s="39">
        <f t="shared" ref="D290:D300" si="28">SUM(C290:C290)</f>
        <v>184</v>
      </c>
      <c r="K290" s="79" t="s">
        <v>26</v>
      </c>
      <c r="L290" s="80">
        <f>L286</f>
        <v>0</v>
      </c>
      <c r="M290" s="81">
        <f t="shared" ref="M290:M300" si="29">SUM(L290:L290)</f>
        <v>0</v>
      </c>
    </row>
    <row r="291" spans="2:14" x14ac:dyDescent="0.15">
      <c r="B291" s="6" t="s">
        <v>71</v>
      </c>
      <c r="C291" s="7">
        <v>2</v>
      </c>
      <c r="D291" s="5">
        <f t="shared" si="28"/>
        <v>2</v>
      </c>
      <c r="E291" s="48">
        <v>41633</v>
      </c>
      <c r="F291" s="48"/>
      <c r="G291" s="48"/>
      <c r="H291" s="48"/>
      <c r="I291" s="48"/>
      <c r="K291" s="82" t="s">
        <v>3</v>
      </c>
      <c r="L291" s="83"/>
      <c r="M291" s="84">
        <f t="shared" si="29"/>
        <v>0</v>
      </c>
      <c r="N291" s="65"/>
    </row>
    <row r="292" spans="2:14" x14ac:dyDescent="0.15">
      <c r="B292" s="6" t="s">
        <v>3</v>
      </c>
      <c r="C292" s="7"/>
      <c r="D292" s="5">
        <f t="shared" si="28"/>
        <v>0</v>
      </c>
      <c r="E292" s="48"/>
      <c r="F292" s="48"/>
      <c r="G292" s="48"/>
      <c r="H292" s="48"/>
      <c r="I292" s="48"/>
      <c r="K292" s="82" t="s">
        <v>3</v>
      </c>
      <c r="L292" s="83"/>
      <c r="M292" s="84">
        <f t="shared" si="29"/>
        <v>0</v>
      </c>
      <c r="N292" s="58"/>
    </row>
    <row r="293" spans="2:14" x14ac:dyDescent="0.15">
      <c r="B293" s="6" t="s">
        <v>3</v>
      </c>
      <c r="C293" s="7"/>
      <c r="D293" s="5">
        <f t="shared" si="28"/>
        <v>0</v>
      </c>
      <c r="E293" s="48"/>
      <c r="F293" s="48"/>
      <c r="G293" s="48"/>
      <c r="H293" s="48"/>
      <c r="I293" s="48"/>
      <c r="K293" s="82" t="s">
        <v>3</v>
      </c>
      <c r="L293" s="83"/>
      <c r="M293" s="84">
        <f t="shared" si="29"/>
        <v>0</v>
      </c>
      <c r="N293" s="65"/>
    </row>
    <row r="294" spans="2:14" x14ac:dyDescent="0.15">
      <c r="B294" s="6" t="s">
        <v>3</v>
      </c>
      <c r="C294" s="7"/>
      <c r="D294" s="5">
        <f t="shared" si="28"/>
        <v>0</v>
      </c>
      <c r="K294" s="82" t="s">
        <v>3</v>
      </c>
      <c r="L294" s="83"/>
      <c r="M294" s="84">
        <f t="shared" si="29"/>
        <v>0</v>
      </c>
      <c r="N294" s="65"/>
    </row>
    <row r="295" spans="2:14" x14ac:dyDescent="0.15">
      <c r="B295" s="6" t="s">
        <v>3</v>
      </c>
      <c r="C295" s="7"/>
      <c r="D295" s="5">
        <f t="shared" si="28"/>
        <v>0</v>
      </c>
      <c r="K295" s="82" t="s">
        <v>3</v>
      </c>
      <c r="L295" s="83"/>
      <c r="M295" s="84">
        <f t="shared" si="29"/>
        <v>0</v>
      </c>
      <c r="N295" s="65"/>
    </row>
    <row r="296" spans="2:14" x14ac:dyDescent="0.15">
      <c r="B296" s="6" t="s">
        <v>3</v>
      </c>
      <c r="C296" s="7"/>
      <c r="D296" s="5">
        <f t="shared" si="28"/>
        <v>0</v>
      </c>
      <c r="K296" s="82" t="s">
        <v>3</v>
      </c>
      <c r="L296" s="83"/>
      <c r="M296" s="84">
        <f t="shared" si="29"/>
        <v>0</v>
      </c>
      <c r="N296" s="65"/>
    </row>
    <row r="297" spans="2:14" x14ac:dyDescent="0.15">
      <c r="B297" s="6" t="s">
        <v>3</v>
      </c>
      <c r="C297" s="54"/>
      <c r="D297" s="5">
        <f t="shared" si="28"/>
        <v>0</v>
      </c>
      <c r="K297" s="82" t="s">
        <v>3</v>
      </c>
      <c r="L297" s="85"/>
      <c r="M297" s="84">
        <f t="shared" si="29"/>
        <v>0</v>
      </c>
      <c r="N297" s="58"/>
    </row>
    <row r="298" spans="2:14" x14ac:dyDescent="0.15">
      <c r="B298" s="6" t="s">
        <v>3</v>
      </c>
      <c r="C298" s="54"/>
      <c r="D298" s="5">
        <f t="shared" si="28"/>
        <v>0</v>
      </c>
      <c r="K298" s="82" t="s">
        <v>3</v>
      </c>
      <c r="L298" s="85"/>
      <c r="M298" s="84">
        <f t="shared" si="29"/>
        <v>0</v>
      </c>
      <c r="N298" s="65"/>
    </row>
    <row r="299" spans="2:14" x14ac:dyDescent="0.15">
      <c r="B299" s="6" t="s">
        <v>3</v>
      </c>
      <c r="C299" s="54"/>
      <c r="D299" s="5">
        <f t="shared" si="28"/>
        <v>0</v>
      </c>
      <c r="K299" s="82" t="s">
        <v>3</v>
      </c>
      <c r="L299" s="86"/>
      <c r="M299" s="84">
        <f t="shared" si="29"/>
        <v>0</v>
      </c>
      <c r="N299" s="65"/>
    </row>
    <row r="300" spans="2:14" ht="14.25" thickBot="1" x14ac:dyDescent="0.2">
      <c r="B300" s="9" t="s">
        <v>3</v>
      </c>
      <c r="C300" s="10"/>
      <c r="D300" s="5">
        <f t="shared" si="28"/>
        <v>0</v>
      </c>
      <c r="K300" s="87" t="s">
        <v>3</v>
      </c>
      <c r="L300" s="88"/>
      <c r="M300" s="84">
        <f t="shared" si="29"/>
        <v>0</v>
      </c>
    </row>
    <row r="301" spans="2:14" ht="14.25" thickBot="1" x14ac:dyDescent="0.2">
      <c r="B301" s="11" t="s">
        <v>4</v>
      </c>
      <c r="C301" s="12">
        <f>SUM(C290:C300)</f>
        <v>186</v>
      </c>
      <c r="D301" s="13">
        <f>SUM(D290:D300)</f>
        <v>186</v>
      </c>
      <c r="K301" s="89" t="s">
        <v>4</v>
      </c>
      <c r="L301" s="90">
        <f>SUM(L290:L300)</f>
        <v>0</v>
      </c>
      <c r="M301" s="91">
        <f>SUM(M290:M300)</f>
        <v>0</v>
      </c>
    </row>
    <row r="302" spans="2:14" x14ac:dyDescent="0.15">
      <c r="B302" s="4" t="s">
        <v>37</v>
      </c>
      <c r="C302" s="44">
        <v>1</v>
      </c>
      <c r="D302" s="14">
        <f>C302</f>
        <v>1</v>
      </c>
      <c r="E302" s="55">
        <v>41566</v>
      </c>
      <c r="F302" s="55"/>
      <c r="G302" s="55"/>
      <c r="H302" s="55"/>
      <c r="I302" s="55"/>
      <c r="K302" s="92"/>
      <c r="L302" s="93"/>
      <c r="M302" s="94">
        <f t="shared" ref="M302:M324" si="30">SUM(L302:L302)</f>
        <v>0</v>
      </c>
    </row>
    <row r="303" spans="2:14" x14ac:dyDescent="0.15">
      <c r="B303" s="4" t="s">
        <v>37</v>
      </c>
      <c r="C303" s="15">
        <v>1</v>
      </c>
      <c r="D303" s="14">
        <f>C303</f>
        <v>1</v>
      </c>
      <c r="E303" s="57">
        <v>41572</v>
      </c>
      <c r="F303" s="57"/>
      <c r="G303" s="57"/>
      <c r="H303" s="57"/>
      <c r="I303" s="57"/>
      <c r="J303" s="51"/>
      <c r="K303" s="92"/>
      <c r="L303" s="95"/>
      <c r="M303" s="94">
        <f t="shared" si="30"/>
        <v>0</v>
      </c>
    </row>
    <row r="304" spans="2:14" x14ac:dyDescent="0.15">
      <c r="B304" s="4" t="s">
        <v>37</v>
      </c>
      <c r="C304" s="15">
        <v>1</v>
      </c>
      <c r="D304" s="14">
        <f t="shared" ref="D304:D309" si="31">SUM(C304)</f>
        <v>1</v>
      </c>
      <c r="E304" s="55">
        <v>41573</v>
      </c>
      <c r="F304" s="55"/>
      <c r="G304" s="55"/>
      <c r="H304" s="55"/>
      <c r="I304" s="55"/>
      <c r="J304" s="51"/>
      <c r="K304" s="92"/>
      <c r="L304" s="95"/>
      <c r="M304" s="94">
        <f t="shared" si="30"/>
        <v>0</v>
      </c>
    </row>
    <row r="305" spans="2:13" x14ac:dyDescent="0.15">
      <c r="B305" s="4" t="s">
        <v>37</v>
      </c>
      <c r="C305" s="15">
        <v>1</v>
      </c>
      <c r="D305" s="14">
        <f t="shared" si="31"/>
        <v>1</v>
      </c>
      <c r="E305" s="55">
        <v>41579</v>
      </c>
      <c r="F305" s="55"/>
      <c r="G305" s="55"/>
      <c r="H305" s="55"/>
      <c r="I305" s="55"/>
      <c r="J305" s="51"/>
      <c r="K305" s="92"/>
      <c r="L305" s="95"/>
      <c r="M305" s="94">
        <f t="shared" si="30"/>
        <v>0</v>
      </c>
    </row>
    <row r="306" spans="2:13" x14ac:dyDescent="0.15">
      <c r="B306" s="4" t="s">
        <v>37</v>
      </c>
      <c r="C306" s="15">
        <v>5</v>
      </c>
      <c r="D306" s="14">
        <f t="shared" si="31"/>
        <v>5</v>
      </c>
      <c r="E306" s="55">
        <v>41584</v>
      </c>
      <c r="F306" s="55"/>
      <c r="G306" s="55"/>
      <c r="H306" s="55"/>
      <c r="I306" s="55"/>
      <c r="J306" s="51"/>
      <c r="K306" s="82"/>
      <c r="L306" s="95"/>
      <c r="M306" s="94">
        <f t="shared" si="30"/>
        <v>0</v>
      </c>
    </row>
    <row r="307" spans="2:13" x14ac:dyDescent="0.15">
      <c r="B307" s="4" t="s">
        <v>37</v>
      </c>
      <c r="C307" s="15">
        <v>3</v>
      </c>
      <c r="D307" s="14">
        <f t="shared" si="31"/>
        <v>3</v>
      </c>
      <c r="E307" s="26">
        <v>41584</v>
      </c>
      <c r="F307" s="26"/>
      <c r="G307" s="26"/>
      <c r="H307" s="26"/>
      <c r="I307" s="26"/>
      <c r="J307" s="51"/>
      <c r="K307" s="92"/>
      <c r="L307" s="95"/>
      <c r="M307" s="94">
        <f t="shared" si="30"/>
        <v>0</v>
      </c>
    </row>
    <row r="308" spans="2:13" x14ac:dyDescent="0.15">
      <c r="B308" s="4" t="s">
        <v>37</v>
      </c>
      <c r="C308" s="15">
        <v>2</v>
      </c>
      <c r="D308" s="14">
        <f t="shared" si="31"/>
        <v>2</v>
      </c>
      <c r="E308" s="55">
        <v>41589</v>
      </c>
      <c r="F308" s="55"/>
      <c r="G308" s="55"/>
      <c r="H308" s="55"/>
      <c r="I308" s="55"/>
      <c r="J308" s="51"/>
      <c r="K308" s="82"/>
      <c r="L308" s="95"/>
      <c r="M308" s="94">
        <f t="shared" si="30"/>
        <v>0</v>
      </c>
    </row>
    <row r="309" spans="2:13" x14ac:dyDescent="0.15">
      <c r="B309" s="4" t="s">
        <v>37</v>
      </c>
      <c r="C309" s="15">
        <v>1</v>
      </c>
      <c r="D309" s="14">
        <f t="shared" si="31"/>
        <v>1</v>
      </c>
      <c r="E309" s="55">
        <v>41596</v>
      </c>
      <c r="F309" s="55"/>
      <c r="G309" s="55"/>
      <c r="H309" s="55"/>
      <c r="I309" s="55"/>
      <c r="J309" s="51"/>
      <c r="K309" s="82"/>
      <c r="L309" s="95"/>
      <c r="M309" s="94">
        <f t="shared" si="30"/>
        <v>0</v>
      </c>
    </row>
    <row r="310" spans="2:13" x14ac:dyDescent="0.15">
      <c r="B310" s="4" t="s">
        <v>37</v>
      </c>
      <c r="C310" s="15">
        <v>1</v>
      </c>
      <c r="D310" s="14">
        <f t="shared" ref="D310:D325" si="32">SUM(C310)</f>
        <v>1</v>
      </c>
      <c r="E310" s="55">
        <v>41597</v>
      </c>
      <c r="F310" s="55"/>
      <c r="G310" s="55"/>
      <c r="H310" s="55"/>
      <c r="I310" s="55"/>
      <c r="J310" s="51"/>
      <c r="K310" s="92"/>
      <c r="L310" s="95"/>
      <c r="M310" s="94">
        <f t="shared" si="30"/>
        <v>0</v>
      </c>
    </row>
    <row r="311" spans="2:13" x14ac:dyDescent="0.15">
      <c r="B311" s="4" t="s">
        <v>37</v>
      </c>
      <c r="C311" s="15">
        <v>1</v>
      </c>
      <c r="D311" s="14">
        <f t="shared" si="32"/>
        <v>1</v>
      </c>
      <c r="E311" s="48">
        <v>41603</v>
      </c>
      <c r="F311" s="48"/>
      <c r="G311" s="48"/>
      <c r="H311" s="48"/>
      <c r="I311" s="48"/>
      <c r="J311" s="51"/>
      <c r="K311" s="92"/>
      <c r="L311" s="95"/>
      <c r="M311" s="94">
        <f t="shared" si="30"/>
        <v>0</v>
      </c>
    </row>
    <row r="312" spans="2:13" x14ac:dyDescent="0.15">
      <c r="B312" s="4" t="s">
        <v>37</v>
      </c>
      <c r="C312" s="15">
        <v>1</v>
      </c>
      <c r="D312" s="14">
        <f t="shared" si="32"/>
        <v>1</v>
      </c>
      <c r="E312" s="48">
        <v>41605</v>
      </c>
      <c r="F312" s="48"/>
      <c r="G312" s="48"/>
      <c r="H312" s="48"/>
      <c r="I312" s="48"/>
      <c r="J312" s="51"/>
      <c r="K312" s="92"/>
      <c r="L312" s="95"/>
      <c r="M312" s="94">
        <f t="shared" si="30"/>
        <v>0</v>
      </c>
    </row>
    <row r="313" spans="2:13" x14ac:dyDescent="0.15">
      <c r="B313" s="4" t="s">
        <v>37</v>
      </c>
      <c r="C313" s="15">
        <v>1</v>
      </c>
      <c r="D313" s="14">
        <f t="shared" si="32"/>
        <v>1</v>
      </c>
      <c r="E313" s="48">
        <v>41611</v>
      </c>
      <c r="F313" s="48"/>
      <c r="G313" s="48"/>
      <c r="H313" s="48"/>
      <c r="I313" s="48"/>
      <c r="J313" s="51"/>
      <c r="K313" s="92"/>
      <c r="L313" s="95"/>
      <c r="M313" s="94">
        <f t="shared" si="30"/>
        <v>0</v>
      </c>
    </row>
    <row r="314" spans="2:13" x14ac:dyDescent="0.15">
      <c r="B314" s="4" t="s">
        <v>37</v>
      </c>
      <c r="C314" s="15">
        <v>1</v>
      </c>
      <c r="D314" s="14">
        <f t="shared" si="32"/>
        <v>1</v>
      </c>
      <c r="E314" s="55">
        <v>41619</v>
      </c>
      <c r="F314" s="55"/>
      <c r="G314" s="55"/>
      <c r="H314" s="55"/>
      <c r="I314" s="55"/>
      <c r="J314" s="51"/>
      <c r="K314" s="82"/>
      <c r="L314" s="95"/>
      <c r="M314" s="94">
        <f t="shared" si="30"/>
        <v>0</v>
      </c>
    </row>
    <row r="315" spans="2:13" x14ac:dyDescent="0.15">
      <c r="B315" s="4" t="s">
        <v>37</v>
      </c>
      <c r="C315" s="15">
        <v>1</v>
      </c>
      <c r="D315" s="14">
        <f t="shared" si="32"/>
        <v>1</v>
      </c>
      <c r="E315" s="48">
        <v>41620</v>
      </c>
      <c r="F315" s="48"/>
      <c r="G315" s="48"/>
      <c r="H315" s="48"/>
      <c r="I315" s="48"/>
      <c r="J315" s="51"/>
      <c r="K315" s="82"/>
      <c r="L315" s="95"/>
      <c r="M315" s="94">
        <f t="shared" si="30"/>
        <v>0</v>
      </c>
    </row>
    <row r="316" spans="2:13" x14ac:dyDescent="0.15">
      <c r="B316" s="4" t="s">
        <v>74</v>
      </c>
      <c r="C316" s="15">
        <v>2</v>
      </c>
      <c r="D316" s="14">
        <f t="shared" si="32"/>
        <v>2</v>
      </c>
      <c r="E316" s="48">
        <v>41625</v>
      </c>
      <c r="F316" s="48"/>
      <c r="G316" s="48"/>
      <c r="H316" s="48"/>
      <c r="I316" s="48"/>
      <c r="J316" s="51"/>
      <c r="K316" s="92"/>
      <c r="L316" s="95"/>
      <c r="M316" s="94">
        <f t="shared" si="30"/>
        <v>0</v>
      </c>
    </row>
    <row r="317" spans="2:13" x14ac:dyDescent="0.15">
      <c r="B317" s="6" t="s">
        <v>73</v>
      </c>
      <c r="C317" s="15">
        <v>2</v>
      </c>
      <c r="D317" s="14">
        <f t="shared" si="32"/>
        <v>2</v>
      </c>
      <c r="E317" s="58">
        <v>41625</v>
      </c>
      <c r="F317" s="58"/>
      <c r="G317" s="58"/>
      <c r="H317" s="58"/>
      <c r="I317" s="58"/>
      <c r="J317" s="51"/>
      <c r="K317" s="82"/>
      <c r="L317" s="95"/>
      <c r="M317" s="94">
        <f t="shared" si="30"/>
        <v>0</v>
      </c>
    </row>
    <row r="318" spans="2:13" x14ac:dyDescent="0.15">
      <c r="B318" s="6" t="s">
        <v>37</v>
      </c>
      <c r="C318" s="15">
        <v>2</v>
      </c>
      <c r="D318" s="14">
        <f t="shared" si="32"/>
        <v>2</v>
      </c>
      <c r="E318" s="48">
        <v>41643</v>
      </c>
      <c r="F318" s="48"/>
      <c r="G318" s="48"/>
      <c r="H318" s="48"/>
      <c r="I318" s="48"/>
      <c r="J318" s="51"/>
      <c r="K318" s="82"/>
      <c r="L318" s="95"/>
      <c r="M318" s="94">
        <f t="shared" si="30"/>
        <v>0</v>
      </c>
    </row>
    <row r="319" spans="2:13" x14ac:dyDescent="0.15">
      <c r="B319" s="6" t="s">
        <v>37</v>
      </c>
      <c r="C319" s="15">
        <v>5</v>
      </c>
      <c r="D319" s="14">
        <f t="shared" si="32"/>
        <v>5</v>
      </c>
      <c r="E319" s="48">
        <v>41646</v>
      </c>
      <c r="F319" s="48"/>
      <c r="G319" s="48"/>
      <c r="H319" s="48"/>
      <c r="I319" s="48"/>
      <c r="J319" s="51"/>
      <c r="K319" s="92"/>
      <c r="L319" s="95"/>
      <c r="M319" s="94">
        <f t="shared" si="30"/>
        <v>0</v>
      </c>
    </row>
    <row r="320" spans="2:13" x14ac:dyDescent="0.15">
      <c r="B320" s="6" t="s">
        <v>37</v>
      </c>
      <c r="C320" s="15">
        <v>1</v>
      </c>
      <c r="D320" s="14">
        <f t="shared" si="32"/>
        <v>1</v>
      </c>
      <c r="E320" s="58">
        <v>41648</v>
      </c>
      <c r="F320" s="58"/>
      <c r="G320" s="58"/>
      <c r="H320" s="58"/>
      <c r="I320" s="58"/>
      <c r="J320" s="51"/>
      <c r="K320" s="82"/>
      <c r="L320" s="95"/>
      <c r="M320" s="94">
        <f t="shared" si="30"/>
        <v>0</v>
      </c>
    </row>
    <row r="321" spans="1:14" x14ac:dyDescent="0.15">
      <c r="B321" s="6" t="s">
        <v>37</v>
      </c>
      <c r="C321" s="15">
        <v>1</v>
      </c>
      <c r="D321" s="14">
        <f t="shared" si="32"/>
        <v>1</v>
      </c>
      <c r="E321" s="48">
        <v>41653</v>
      </c>
      <c r="F321" s="48"/>
      <c r="G321" s="48"/>
      <c r="H321" s="48"/>
      <c r="I321" s="48"/>
      <c r="J321" s="51"/>
      <c r="K321" s="82"/>
      <c r="L321" s="95"/>
      <c r="M321" s="94">
        <f t="shared" si="30"/>
        <v>0</v>
      </c>
    </row>
    <row r="322" spans="1:14" x14ac:dyDescent="0.15">
      <c r="B322" s="6" t="s">
        <v>37</v>
      </c>
      <c r="C322" s="15">
        <v>1</v>
      </c>
      <c r="D322" s="14">
        <f t="shared" si="32"/>
        <v>1</v>
      </c>
      <c r="E322" s="48">
        <v>41661</v>
      </c>
      <c r="F322" s="48"/>
      <c r="G322" s="48"/>
      <c r="H322" s="48"/>
      <c r="I322" s="48"/>
      <c r="J322" s="51"/>
      <c r="K322" s="92"/>
      <c r="L322" s="95"/>
      <c r="M322" s="94">
        <f t="shared" si="30"/>
        <v>0</v>
      </c>
    </row>
    <row r="323" spans="1:14" x14ac:dyDescent="0.15">
      <c r="B323" s="6" t="s">
        <v>37</v>
      </c>
      <c r="C323" s="15">
        <v>1</v>
      </c>
      <c r="D323" s="14">
        <f t="shared" si="32"/>
        <v>1</v>
      </c>
      <c r="E323" s="48">
        <v>41663</v>
      </c>
      <c r="F323" s="48"/>
      <c r="G323" s="48"/>
      <c r="H323" s="48"/>
      <c r="I323" s="48"/>
      <c r="J323" s="51"/>
      <c r="K323" s="82"/>
      <c r="L323" s="95"/>
      <c r="M323" s="94">
        <f t="shared" si="30"/>
        <v>0</v>
      </c>
    </row>
    <row r="324" spans="1:14" x14ac:dyDescent="0.15">
      <c r="B324" s="6" t="s">
        <v>37</v>
      </c>
      <c r="C324" s="15">
        <v>2</v>
      </c>
      <c r="D324" s="14">
        <f t="shared" si="32"/>
        <v>2</v>
      </c>
      <c r="E324" s="58">
        <v>41666</v>
      </c>
      <c r="F324" s="58"/>
      <c r="G324" s="58"/>
      <c r="H324" s="58"/>
      <c r="I324" s="58"/>
      <c r="J324" s="51"/>
      <c r="K324" s="82"/>
      <c r="L324" s="95"/>
      <c r="M324" s="94">
        <f t="shared" si="30"/>
        <v>0</v>
      </c>
    </row>
    <row r="325" spans="1:14" ht="14.25" thickBot="1" x14ac:dyDescent="0.2">
      <c r="B325" s="6" t="s">
        <v>37</v>
      </c>
      <c r="C325" s="15">
        <v>1</v>
      </c>
      <c r="D325" s="14">
        <f t="shared" si="32"/>
        <v>1</v>
      </c>
      <c r="E325" s="48">
        <v>41667</v>
      </c>
      <c r="F325" s="48"/>
      <c r="G325" s="48"/>
      <c r="H325" s="48"/>
      <c r="I325" s="48"/>
      <c r="J325" s="51"/>
      <c r="K325" s="92"/>
      <c r="L325" s="95"/>
      <c r="M325" s="94">
        <f>SUM(L325:L325)</f>
        <v>0</v>
      </c>
    </row>
    <row r="326" spans="1:14" ht="14.25" thickBot="1" x14ac:dyDescent="0.2">
      <c r="B326" s="3" t="s">
        <v>5</v>
      </c>
      <c r="C326" s="16">
        <f>SUM(C302:C325)</f>
        <v>39</v>
      </c>
      <c r="D326" s="17">
        <f>SUM(D302:D325)</f>
        <v>39</v>
      </c>
      <c r="K326" s="78" t="s">
        <v>5</v>
      </c>
      <c r="L326" s="96">
        <f>SUM(L302:L325)</f>
        <v>0</v>
      </c>
      <c r="M326" s="97">
        <f>SUM(M302:M325)</f>
        <v>0</v>
      </c>
    </row>
    <row r="327" spans="1:14" ht="14.25" thickBot="1" x14ac:dyDescent="0.2">
      <c r="B327" s="18" t="s">
        <v>6</v>
      </c>
      <c r="C327" s="19">
        <f>C301-C326</f>
        <v>147</v>
      </c>
      <c r="D327" s="13">
        <f>D301-D326</f>
        <v>147</v>
      </c>
      <c r="K327" s="98" t="s">
        <v>6</v>
      </c>
      <c r="L327" s="99">
        <f>L301-L326</f>
        <v>0</v>
      </c>
      <c r="M327" s="91">
        <f>M301-M326</f>
        <v>0</v>
      </c>
    </row>
    <row r="329" spans="1:14" ht="18" thickBot="1" x14ac:dyDescent="0.25">
      <c r="A329" s="27" t="s">
        <v>8</v>
      </c>
      <c r="B329" s="28"/>
      <c r="C329" s="28"/>
      <c r="D329" s="28"/>
      <c r="J329" s="63" t="s">
        <v>7</v>
      </c>
      <c r="K329" s="64"/>
      <c r="L329" s="64"/>
      <c r="M329" s="64"/>
      <c r="N329" s="64"/>
    </row>
    <row r="330" spans="1:14" ht="14.25" thickBot="1" x14ac:dyDescent="0.2">
      <c r="B330" s="2"/>
      <c r="C330" s="3" t="s">
        <v>0</v>
      </c>
      <c r="D330" s="2" t="s">
        <v>1</v>
      </c>
      <c r="K330" s="2"/>
      <c r="L330" s="3" t="s">
        <v>0</v>
      </c>
      <c r="M330" s="2" t="s">
        <v>1</v>
      </c>
    </row>
    <row r="331" spans="1:14" x14ac:dyDescent="0.15">
      <c r="B331" s="43" t="s">
        <v>26</v>
      </c>
      <c r="C331" s="38">
        <f>C327</f>
        <v>147</v>
      </c>
      <c r="D331" s="39">
        <f t="shared" ref="D331:D341" si="33">SUM(C331:C331)</f>
        <v>147</v>
      </c>
      <c r="K331" s="43" t="s">
        <v>26</v>
      </c>
      <c r="L331" s="38">
        <f>L327</f>
        <v>0</v>
      </c>
      <c r="M331" s="39">
        <f t="shared" ref="M331:M341" si="34">SUM(L331:L331)</f>
        <v>0</v>
      </c>
    </row>
    <row r="332" spans="1:14" x14ac:dyDescent="0.15">
      <c r="B332" s="6" t="s">
        <v>3</v>
      </c>
      <c r="C332" s="7"/>
      <c r="D332" s="5">
        <f t="shared" si="33"/>
        <v>0</v>
      </c>
      <c r="K332" s="6" t="s">
        <v>3</v>
      </c>
      <c r="L332" s="7"/>
      <c r="M332" s="5">
        <f t="shared" si="34"/>
        <v>0</v>
      </c>
    </row>
    <row r="333" spans="1:14" x14ac:dyDescent="0.15">
      <c r="B333" s="6" t="s">
        <v>3</v>
      </c>
      <c r="C333" s="7"/>
      <c r="D333" s="5">
        <f t="shared" si="33"/>
        <v>0</v>
      </c>
      <c r="K333" s="6" t="s">
        <v>3</v>
      </c>
      <c r="L333" s="7">
        <v>2000</v>
      </c>
      <c r="M333" s="5">
        <f t="shared" si="34"/>
        <v>2000</v>
      </c>
      <c r="N333" s="58">
        <v>41338</v>
      </c>
    </row>
    <row r="334" spans="1:14" x14ac:dyDescent="0.15">
      <c r="B334" s="6" t="s">
        <v>3</v>
      </c>
      <c r="C334" s="7"/>
      <c r="D334" s="5">
        <f t="shared" si="33"/>
        <v>0</v>
      </c>
      <c r="K334" s="6" t="s">
        <v>3</v>
      </c>
      <c r="L334" s="7"/>
      <c r="M334" s="5">
        <f t="shared" si="34"/>
        <v>0</v>
      </c>
    </row>
    <row r="335" spans="1:14" x14ac:dyDescent="0.15">
      <c r="B335" s="6" t="s">
        <v>3</v>
      </c>
      <c r="C335" s="7"/>
      <c r="D335" s="5">
        <f t="shared" si="33"/>
        <v>0</v>
      </c>
      <c r="K335" s="6" t="s">
        <v>3</v>
      </c>
      <c r="L335" s="7"/>
      <c r="M335" s="5">
        <f t="shared" si="34"/>
        <v>0</v>
      </c>
    </row>
    <row r="336" spans="1:14" x14ac:dyDescent="0.15">
      <c r="B336" s="6" t="s">
        <v>3</v>
      </c>
      <c r="C336" s="7"/>
      <c r="D336" s="5">
        <f t="shared" si="33"/>
        <v>0</v>
      </c>
      <c r="K336" s="6" t="s">
        <v>3</v>
      </c>
      <c r="L336" s="7"/>
      <c r="M336" s="5">
        <f t="shared" si="34"/>
        <v>0</v>
      </c>
    </row>
    <row r="337" spans="2:14" x14ac:dyDescent="0.15">
      <c r="B337" s="6" t="s">
        <v>3</v>
      </c>
      <c r="C337" s="7"/>
      <c r="D337" s="5">
        <f t="shared" si="33"/>
        <v>0</v>
      </c>
      <c r="K337" s="6" t="s">
        <v>3</v>
      </c>
      <c r="L337" s="7"/>
      <c r="M337" s="5">
        <f t="shared" si="34"/>
        <v>0</v>
      </c>
    </row>
    <row r="338" spans="2:14" x14ac:dyDescent="0.15">
      <c r="B338" s="6" t="s">
        <v>3</v>
      </c>
      <c r="C338" s="54"/>
      <c r="D338" s="5">
        <f t="shared" si="33"/>
        <v>0</v>
      </c>
      <c r="K338" s="6" t="s">
        <v>3</v>
      </c>
      <c r="L338" s="54"/>
      <c r="M338" s="5">
        <f t="shared" si="34"/>
        <v>0</v>
      </c>
      <c r="N338" s="58"/>
    </row>
    <row r="339" spans="2:14" x14ac:dyDescent="0.15">
      <c r="B339" s="6" t="s">
        <v>3</v>
      </c>
      <c r="C339" s="54"/>
      <c r="D339" s="5">
        <f t="shared" si="33"/>
        <v>0</v>
      </c>
      <c r="K339" s="6" t="s">
        <v>3</v>
      </c>
      <c r="L339" s="54"/>
      <c r="M339" s="5">
        <f t="shared" si="34"/>
        <v>0</v>
      </c>
    </row>
    <row r="340" spans="2:14" x14ac:dyDescent="0.15">
      <c r="B340" s="6" t="s">
        <v>3</v>
      </c>
      <c r="C340" s="54"/>
      <c r="D340" s="5">
        <f t="shared" si="33"/>
        <v>0</v>
      </c>
      <c r="K340" s="59" t="s">
        <v>3</v>
      </c>
      <c r="L340" s="62"/>
      <c r="M340" s="60">
        <f t="shared" si="34"/>
        <v>0</v>
      </c>
      <c r="N340" s="61"/>
    </row>
    <row r="341" spans="2:14" ht="14.25" thickBot="1" x14ac:dyDescent="0.2">
      <c r="B341" s="9" t="s">
        <v>3</v>
      </c>
      <c r="C341" s="10"/>
      <c r="D341" s="5">
        <f t="shared" si="33"/>
        <v>0</v>
      </c>
      <c r="K341" s="9" t="s">
        <v>3</v>
      </c>
      <c r="L341" s="10"/>
      <c r="M341" s="5">
        <f t="shared" si="34"/>
        <v>0</v>
      </c>
    </row>
    <row r="342" spans="2:14" ht="14.25" thickBot="1" x14ac:dyDescent="0.2">
      <c r="B342" s="11" t="s">
        <v>4</v>
      </c>
      <c r="C342" s="12">
        <f>SUM(C331:C341)</f>
        <v>147</v>
      </c>
      <c r="D342" s="13">
        <f>SUM(D331:D341)</f>
        <v>147</v>
      </c>
      <c r="K342" s="11" t="s">
        <v>4</v>
      </c>
      <c r="L342" s="12">
        <f>SUM(L331:L341)</f>
        <v>2000</v>
      </c>
      <c r="M342" s="13">
        <f>SUM(M331:M341)</f>
        <v>2000</v>
      </c>
    </row>
    <row r="343" spans="2:14" x14ac:dyDescent="0.15">
      <c r="B343" s="6" t="s">
        <v>75</v>
      </c>
      <c r="C343" s="44">
        <v>1</v>
      </c>
      <c r="D343" s="14">
        <f>C343</f>
        <v>1</v>
      </c>
      <c r="E343" s="48">
        <v>41669</v>
      </c>
      <c r="F343" s="48"/>
      <c r="G343" s="48"/>
      <c r="H343" s="48"/>
      <c r="I343" s="48"/>
      <c r="K343" s="4" t="s">
        <v>31</v>
      </c>
      <c r="L343" s="44">
        <v>100</v>
      </c>
      <c r="M343" s="14">
        <f t="shared" ref="M343:M365" si="35">SUM(L343:L343)</f>
        <v>100</v>
      </c>
      <c r="N343" s="58">
        <v>41716</v>
      </c>
    </row>
    <row r="344" spans="2:14" x14ac:dyDescent="0.15">
      <c r="B344" s="4" t="s">
        <v>31</v>
      </c>
      <c r="C344" s="15">
        <v>1</v>
      </c>
      <c r="D344" s="14">
        <f>C344</f>
        <v>1</v>
      </c>
      <c r="E344" s="48">
        <v>41673</v>
      </c>
      <c r="F344" s="48"/>
      <c r="G344" s="48"/>
      <c r="H344" s="48"/>
      <c r="I344" s="48"/>
      <c r="J344" s="51"/>
      <c r="K344" s="4" t="s">
        <v>31</v>
      </c>
      <c r="L344" s="15">
        <v>100</v>
      </c>
      <c r="M344" s="14">
        <f t="shared" si="35"/>
        <v>100</v>
      </c>
      <c r="N344" s="58">
        <v>41731</v>
      </c>
    </row>
    <row r="345" spans="2:14" x14ac:dyDescent="0.15">
      <c r="B345" s="4" t="s">
        <v>31</v>
      </c>
      <c r="C345" s="15">
        <v>1</v>
      </c>
      <c r="D345" s="14">
        <f t="shared" ref="D345:D366" si="36">SUM(C345)</f>
        <v>1</v>
      </c>
      <c r="E345" s="48">
        <v>41674</v>
      </c>
      <c r="F345" s="48"/>
      <c r="G345" s="48"/>
      <c r="H345" s="48"/>
      <c r="I345" s="48"/>
      <c r="J345" s="51"/>
      <c r="K345" s="4" t="s">
        <v>31</v>
      </c>
      <c r="L345" s="15">
        <v>100</v>
      </c>
      <c r="M345" s="14">
        <f t="shared" si="35"/>
        <v>100</v>
      </c>
      <c r="N345" s="58">
        <v>41744</v>
      </c>
    </row>
    <row r="346" spans="2:14" x14ac:dyDescent="0.15">
      <c r="B346" s="4" t="s">
        <v>31</v>
      </c>
      <c r="C346" s="15">
        <v>1</v>
      </c>
      <c r="D346" s="14">
        <f t="shared" si="36"/>
        <v>1</v>
      </c>
      <c r="E346" s="48">
        <v>41682</v>
      </c>
      <c r="F346" s="48"/>
      <c r="G346" s="48"/>
      <c r="H346" s="48"/>
      <c r="I346" s="48"/>
      <c r="J346" s="51"/>
      <c r="K346" s="4" t="s">
        <v>95</v>
      </c>
      <c r="L346" s="15">
        <v>100</v>
      </c>
      <c r="M346" s="14">
        <f t="shared" si="35"/>
        <v>100</v>
      </c>
      <c r="N346" s="58">
        <v>41746</v>
      </c>
    </row>
    <row r="347" spans="2:14" x14ac:dyDescent="0.15">
      <c r="B347" s="4" t="s">
        <v>76</v>
      </c>
      <c r="C347" s="15">
        <v>40</v>
      </c>
      <c r="D347" s="14">
        <f t="shared" si="36"/>
        <v>40</v>
      </c>
      <c r="E347" s="58">
        <v>41695</v>
      </c>
      <c r="F347" s="58"/>
      <c r="G347" s="58"/>
      <c r="H347" s="58"/>
      <c r="I347" s="58"/>
      <c r="J347" s="51"/>
      <c r="K347" s="4" t="s">
        <v>96</v>
      </c>
      <c r="L347" s="15">
        <v>100</v>
      </c>
      <c r="M347" s="14">
        <f t="shared" si="35"/>
        <v>100</v>
      </c>
      <c r="N347" s="58">
        <v>41747</v>
      </c>
    </row>
    <row r="348" spans="2:14" x14ac:dyDescent="0.15">
      <c r="B348" s="4" t="s">
        <v>31</v>
      </c>
      <c r="C348" s="15">
        <v>2</v>
      </c>
      <c r="D348" s="14">
        <f t="shared" si="36"/>
        <v>2</v>
      </c>
      <c r="E348" s="58">
        <v>41687</v>
      </c>
      <c r="F348" s="58"/>
      <c r="G348" s="58"/>
      <c r="H348" s="58"/>
      <c r="I348" s="58"/>
      <c r="J348" s="51"/>
      <c r="K348" s="4" t="s">
        <v>97</v>
      </c>
      <c r="L348" s="15">
        <v>100</v>
      </c>
      <c r="M348" s="14">
        <f t="shared" si="35"/>
        <v>100</v>
      </c>
      <c r="N348" s="58">
        <v>41753</v>
      </c>
    </row>
    <row r="349" spans="2:14" x14ac:dyDescent="0.15">
      <c r="B349" s="4" t="s">
        <v>77</v>
      </c>
      <c r="C349" s="15">
        <v>30</v>
      </c>
      <c r="D349" s="14">
        <f t="shared" si="36"/>
        <v>30</v>
      </c>
      <c r="E349" s="58">
        <v>41694</v>
      </c>
      <c r="F349" s="58"/>
      <c r="G349" s="58"/>
      <c r="H349" s="58"/>
      <c r="I349" s="58"/>
      <c r="J349" s="51"/>
      <c r="K349" s="67" t="s">
        <v>99</v>
      </c>
      <c r="L349" s="15">
        <v>170</v>
      </c>
      <c r="M349" s="14">
        <f t="shared" si="35"/>
        <v>170</v>
      </c>
      <c r="N349" s="58">
        <v>41754</v>
      </c>
    </row>
    <row r="350" spans="2:14" x14ac:dyDescent="0.15">
      <c r="B350" s="4" t="s">
        <v>78</v>
      </c>
      <c r="C350" s="15">
        <v>1</v>
      </c>
      <c r="D350" s="14">
        <f t="shared" si="36"/>
        <v>1</v>
      </c>
      <c r="E350" s="48">
        <v>41691</v>
      </c>
      <c r="F350" s="48"/>
      <c r="G350" s="48"/>
      <c r="H350" s="48"/>
      <c r="I350" s="48"/>
      <c r="J350" s="51"/>
      <c r="K350" s="6"/>
      <c r="L350" s="15"/>
      <c r="M350" s="14">
        <f t="shared" si="35"/>
        <v>0</v>
      </c>
    </row>
    <row r="351" spans="2:14" x14ac:dyDescent="0.15">
      <c r="B351" s="4" t="s">
        <v>84</v>
      </c>
      <c r="C351" s="15">
        <v>2</v>
      </c>
      <c r="D351" s="14">
        <f t="shared" si="36"/>
        <v>2</v>
      </c>
      <c r="E351" s="48">
        <v>41696</v>
      </c>
      <c r="F351" s="48"/>
      <c r="G351" s="48"/>
      <c r="H351" s="48"/>
      <c r="I351" s="48"/>
      <c r="J351" s="51"/>
      <c r="K351" s="4"/>
      <c r="L351" s="15"/>
      <c r="M351" s="14">
        <f t="shared" si="35"/>
        <v>0</v>
      </c>
    </row>
    <row r="352" spans="2:14" x14ac:dyDescent="0.15">
      <c r="B352" s="4" t="s">
        <v>79</v>
      </c>
      <c r="C352" s="15">
        <v>1</v>
      </c>
      <c r="D352" s="14">
        <f t="shared" si="36"/>
        <v>1</v>
      </c>
      <c r="E352" s="68" t="s">
        <v>80</v>
      </c>
      <c r="F352" s="68"/>
      <c r="G352" s="68"/>
      <c r="H352" s="68"/>
      <c r="I352" s="68"/>
      <c r="J352" s="51"/>
      <c r="K352" s="4"/>
      <c r="L352" s="15"/>
      <c r="M352" s="14">
        <f t="shared" si="35"/>
        <v>0</v>
      </c>
    </row>
    <row r="353" spans="2:14" x14ac:dyDescent="0.15">
      <c r="B353" s="6" t="s">
        <v>81</v>
      </c>
      <c r="C353" s="15">
        <v>1</v>
      </c>
      <c r="D353" s="14">
        <f t="shared" si="36"/>
        <v>1</v>
      </c>
      <c r="E353" s="48">
        <v>41701</v>
      </c>
      <c r="F353" s="48"/>
      <c r="G353" s="48"/>
      <c r="H353" s="48"/>
      <c r="I353" s="48"/>
      <c r="J353" s="51"/>
      <c r="K353" s="4"/>
      <c r="L353" s="15"/>
      <c r="M353" s="14">
        <f t="shared" si="35"/>
        <v>0</v>
      </c>
    </row>
    <row r="354" spans="2:14" x14ac:dyDescent="0.15">
      <c r="B354" s="4" t="s">
        <v>82</v>
      </c>
      <c r="C354" s="15">
        <v>1</v>
      </c>
      <c r="D354" s="14">
        <f t="shared" si="36"/>
        <v>1</v>
      </c>
      <c r="E354" s="48">
        <v>41699</v>
      </c>
      <c r="F354" s="48"/>
      <c r="G354" s="48"/>
      <c r="H354" s="48"/>
      <c r="I354" s="48"/>
      <c r="J354" s="51"/>
      <c r="K354" s="4"/>
      <c r="L354" s="15"/>
      <c r="M354" s="14">
        <f t="shared" si="35"/>
        <v>0</v>
      </c>
    </row>
    <row r="355" spans="2:14" x14ac:dyDescent="0.15">
      <c r="B355" s="4" t="s">
        <v>83</v>
      </c>
      <c r="C355" s="15">
        <v>1</v>
      </c>
      <c r="D355" s="14">
        <f t="shared" si="36"/>
        <v>1</v>
      </c>
      <c r="E355" s="48">
        <v>41703</v>
      </c>
      <c r="F355" s="48"/>
      <c r="G355" s="48"/>
      <c r="H355" s="48"/>
      <c r="I355" s="48"/>
      <c r="J355" s="51"/>
      <c r="K355" s="6"/>
      <c r="L355" s="15"/>
      <c r="M355" s="14">
        <f t="shared" si="35"/>
        <v>0</v>
      </c>
    </row>
    <row r="356" spans="2:14" x14ac:dyDescent="0.15">
      <c r="B356" s="4" t="s">
        <v>37</v>
      </c>
      <c r="C356" s="15">
        <v>1</v>
      </c>
      <c r="D356" s="14">
        <f t="shared" si="36"/>
        <v>1</v>
      </c>
      <c r="E356" s="48">
        <v>41704</v>
      </c>
      <c r="F356" s="48"/>
      <c r="G356" s="48"/>
      <c r="H356" s="48"/>
      <c r="I356" s="48"/>
      <c r="J356" s="51"/>
      <c r="K356" s="6"/>
      <c r="L356" s="15"/>
      <c r="M356" s="14">
        <f t="shared" si="35"/>
        <v>0</v>
      </c>
    </row>
    <row r="357" spans="2:14" x14ac:dyDescent="0.15">
      <c r="B357" s="4" t="s">
        <v>37</v>
      </c>
      <c r="C357" s="15">
        <v>2</v>
      </c>
      <c r="D357" s="14">
        <f t="shared" si="36"/>
        <v>2</v>
      </c>
      <c r="E357" s="48">
        <v>41705</v>
      </c>
      <c r="F357" s="48"/>
      <c r="G357" s="48"/>
      <c r="H357" s="48"/>
      <c r="I357" s="48"/>
      <c r="J357" s="51"/>
      <c r="K357" s="4"/>
      <c r="L357" s="15"/>
      <c r="M357" s="14">
        <f t="shared" si="35"/>
        <v>0</v>
      </c>
    </row>
    <row r="358" spans="2:14" x14ac:dyDescent="0.15">
      <c r="B358" s="6" t="s">
        <v>31</v>
      </c>
      <c r="C358" s="15">
        <v>3</v>
      </c>
      <c r="D358" s="14">
        <f t="shared" si="36"/>
        <v>3</v>
      </c>
      <c r="E358" s="48">
        <v>41708</v>
      </c>
      <c r="F358" s="48"/>
      <c r="G358" s="48"/>
      <c r="H358" s="48"/>
      <c r="I358" s="48"/>
      <c r="J358" s="51"/>
      <c r="K358" s="6"/>
      <c r="L358" s="15"/>
      <c r="M358" s="14">
        <f t="shared" si="35"/>
        <v>0</v>
      </c>
    </row>
    <row r="359" spans="2:14" x14ac:dyDescent="0.15">
      <c r="B359" s="6" t="s">
        <v>31</v>
      </c>
      <c r="C359" s="15">
        <v>2</v>
      </c>
      <c r="D359" s="14">
        <f t="shared" si="36"/>
        <v>2</v>
      </c>
      <c r="E359" s="48">
        <v>41710</v>
      </c>
      <c r="F359" s="48"/>
      <c r="G359" s="48"/>
      <c r="H359" s="48"/>
      <c r="I359" s="48"/>
      <c r="J359" s="51"/>
      <c r="K359" s="6"/>
      <c r="L359" s="15"/>
      <c r="M359" s="14">
        <f t="shared" si="35"/>
        <v>0</v>
      </c>
      <c r="N359" s="58"/>
    </row>
    <row r="360" spans="2:14" x14ac:dyDescent="0.15">
      <c r="B360" s="4" t="s">
        <v>77</v>
      </c>
      <c r="C360" s="15">
        <v>20</v>
      </c>
      <c r="D360" s="14">
        <f t="shared" si="36"/>
        <v>20</v>
      </c>
      <c r="E360" s="58">
        <v>41715</v>
      </c>
      <c r="F360" s="58"/>
      <c r="G360" s="58"/>
      <c r="H360" s="58"/>
      <c r="I360" s="58"/>
      <c r="J360" s="51"/>
      <c r="K360" s="4"/>
      <c r="L360" s="15"/>
      <c r="M360" s="14">
        <f t="shared" si="35"/>
        <v>0</v>
      </c>
      <c r="N360" s="58"/>
    </row>
    <row r="361" spans="2:14" x14ac:dyDescent="0.15">
      <c r="B361" s="6" t="s">
        <v>37</v>
      </c>
      <c r="C361" s="15">
        <v>2</v>
      </c>
      <c r="D361" s="14">
        <f t="shared" si="36"/>
        <v>2</v>
      </c>
      <c r="E361" s="48">
        <v>41710</v>
      </c>
      <c r="F361" s="48"/>
      <c r="G361" s="48"/>
      <c r="H361" s="48"/>
      <c r="I361" s="48"/>
      <c r="J361" s="51"/>
      <c r="K361" s="6"/>
      <c r="L361" s="15"/>
      <c r="M361" s="14">
        <f t="shared" si="35"/>
        <v>0</v>
      </c>
      <c r="N361" s="58"/>
    </row>
    <row r="362" spans="2:14" x14ac:dyDescent="0.15">
      <c r="B362" s="6" t="s">
        <v>37</v>
      </c>
      <c r="C362" s="15">
        <v>2</v>
      </c>
      <c r="D362" s="14">
        <f t="shared" si="36"/>
        <v>2</v>
      </c>
      <c r="E362" s="48">
        <v>41712</v>
      </c>
      <c r="F362" s="48"/>
      <c r="G362" s="48"/>
      <c r="H362" s="48"/>
      <c r="I362" s="48"/>
      <c r="J362" s="51"/>
      <c r="K362" s="69"/>
      <c r="L362" s="15"/>
      <c r="M362" s="14">
        <f t="shared" si="35"/>
        <v>0</v>
      </c>
      <c r="N362" s="65"/>
    </row>
    <row r="363" spans="2:14" x14ac:dyDescent="0.15">
      <c r="B363" s="4" t="s">
        <v>76</v>
      </c>
      <c r="C363" s="15">
        <v>32</v>
      </c>
      <c r="D363" s="14">
        <f t="shared" si="36"/>
        <v>32</v>
      </c>
      <c r="E363" s="58">
        <v>41716</v>
      </c>
      <c r="F363" s="58"/>
      <c r="G363" s="58"/>
      <c r="H363" s="58"/>
      <c r="I363" s="58"/>
      <c r="J363" s="51"/>
      <c r="K363" s="67"/>
      <c r="L363" s="15"/>
      <c r="M363" s="14">
        <f t="shared" si="35"/>
        <v>0</v>
      </c>
      <c r="N363" s="65"/>
    </row>
    <row r="364" spans="2:14" x14ac:dyDescent="0.15">
      <c r="B364" s="6"/>
      <c r="C364" s="15"/>
      <c r="D364" s="14">
        <f t="shared" si="36"/>
        <v>0</v>
      </c>
      <c r="E364" s="48"/>
      <c r="F364" s="48"/>
      <c r="G364" s="48"/>
      <c r="H364" s="48"/>
      <c r="I364" s="48"/>
      <c r="J364" s="51"/>
      <c r="K364" s="6"/>
      <c r="L364" s="15"/>
      <c r="M364" s="14">
        <f t="shared" si="35"/>
        <v>0</v>
      </c>
      <c r="N364" s="65"/>
    </row>
    <row r="365" spans="2:14" x14ac:dyDescent="0.15">
      <c r="B365" s="6"/>
      <c r="C365" s="15"/>
      <c r="D365" s="14">
        <f t="shared" si="36"/>
        <v>0</v>
      </c>
      <c r="E365" s="65"/>
      <c r="F365" s="65"/>
      <c r="G365" s="65"/>
      <c r="H365" s="65"/>
      <c r="I365" s="65"/>
      <c r="J365" s="51"/>
      <c r="K365" s="6"/>
      <c r="L365" s="15"/>
      <c r="M365" s="14">
        <f t="shared" si="35"/>
        <v>0</v>
      </c>
      <c r="N365" s="58"/>
    </row>
    <row r="366" spans="2:14" ht="14.25" thickBot="1" x14ac:dyDescent="0.2">
      <c r="B366" s="6"/>
      <c r="C366" s="15"/>
      <c r="D366" s="14">
        <f t="shared" si="36"/>
        <v>0</v>
      </c>
      <c r="E366" s="58"/>
      <c r="F366" s="58"/>
      <c r="G366" s="58"/>
      <c r="H366" s="58"/>
      <c r="I366" s="58"/>
      <c r="J366" s="51"/>
      <c r="K366" s="6"/>
      <c r="L366" s="15"/>
      <c r="M366" s="14">
        <f>SUM(L366)</f>
        <v>0</v>
      </c>
      <c r="N366" s="58"/>
    </row>
    <row r="367" spans="2:14" ht="14.25" thickBot="1" x14ac:dyDescent="0.2">
      <c r="B367" s="3" t="s">
        <v>5</v>
      </c>
      <c r="C367" s="16">
        <f>SUM(C343:C366)</f>
        <v>147</v>
      </c>
      <c r="D367" s="17">
        <f>SUM(D343:D366)</f>
        <v>147</v>
      </c>
      <c r="K367" s="3" t="s">
        <v>5</v>
      </c>
      <c r="L367" s="16">
        <f>SUM(L343:L366)</f>
        <v>770</v>
      </c>
      <c r="M367" s="17">
        <f>SUM(M343:M366)</f>
        <v>770</v>
      </c>
    </row>
    <row r="368" spans="2:14" ht="14.25" thickBot="1" x14ac:dyDescent="0.2">
      <c r="B368" s="18" t="s">
        <v>6</v>
      </c>
      <c r="C368" s="19">
        <f>C342-C367</f>
        <v>0</v>
      </c>
      <c r="D368" s="13">
        <f>D342-D367</f>
        <v>0</v>
      </c>
      <c r="K368" s="18" t="s">
        <v>6</v>
      </c>
      <c r="L368" s="19">
        <f>L342-L367</f>
        <v>1230</v>
      </c>
      <c r="M368" s="13">
        <f>M342-M367</f>
        <v>1230</v>
      </c>
    </row>
    <row r="370" spans="1:15" ht="18" thickBot="1" x14ac:dyDescent="0.25">
      <c r="A370" s="27" t="s">
        <v>8</v>
      </c>
      <c r="B370" s="28"/>
      <c r="C370" s="28"/>
      <c r="D370" s="28"/>
      <c r="J370" s="63" t="s">
        <v>7</v>
      </c>
      <c r="K370" s="64"/>
      <c r="L370" s="64"/>
      <c r="M370" s="64"/>
      <c r="N370" s="64"/>
    </row>
    <row r="371" spans="1:15" ht="14.25" thickBot="1" x14ac:dyDescent="0.2">
      <c r="B371" s="2"/>
      <c r="C371" s="3" t="s">
        <v>0</v>
      </c>
      <c r="D371" s="2" t="s">
        <v>1</v>
      </c>
      <c r="K371" s="2"/>
      <c r="L371" s="3" t="s">
        <v>0</v>
      </c>
      <c r="M371" s="2" t="s">
        <v>1</v>
      </c>
    </row>
    <row r="372" spans="1:15" x14ac:dyDescent="0.15">
      <c r="B372" s="43" t="s">
        <v>26</v>
      </c>
      <c r="C372" s="38">
        <f>C368</f>
        <v>0</v>
      </c>
      <c r="D372" s="39">
        <f t="shared" ref="D372:D382" si="37">SUM(C372:C372)</f>
        <v>0</v>
      </c>
      <c r="K372" s="43" t="s">
        <v>26</v>
      </c>
      <c r="L372" s="38">
        <f>L368</f>
        <v>1230</v>
      </c>
      <c r="M372" s="39">
        <f t="shared" ref="M372:M382" si="38">SUM(L372:L372)</f>
        <v>1230</v>
      </c>
    </row>
    <row r="373" spans="1:15" x14ac:dyDescent="0.15">
      <c r="B373" s="6" t="s">
        <v>3</v>
      </c>
      <c r="C373" s="7">
        <v>100</v>
      </c>
      <c r="D373" s="5">
        <f t="shared" si="37"/>
        <v>100</v>
      </c>
      <c r="E373" s="58">
        <v>41716</v>
      </c>
      <c r="F373" s="58"/>
      <c r="G373" s="58"/>
      <c r="H373" s="58"/>
      <c r="I373" s="58"/>
      <c r="K373" s="6" t="s">
        <v>3</v>
      </c>
      <c r="L373" s="7"/>
      <c r="M373" s="5">
        <f t="shared" si="38"/>
        <v>0</v>
      </c>
    </row>
    <row r="374" spans="1:15" x14ac:dyDescent="0.15">
      <c r="B374" s="6" t="s">
        <v>88</v>
      </c>
      <c r="C374" s="7">
        <v>1</v>
      </c>
      <c r="D374" s="5">
        <f t="shared" si="37"/>
        <v>1</v>
      </c>
      <c r="E374" s="58">
        <v>41724</v>
      </c>
      <c r="F374" s="58"/>
      <c r="G374" s="58"/>
      <c r="H374" s="58"/>
      <c r="I374" s="58"/>
      <c r="K374" s="6" t="s">
        <v>3</v>
      </c>
      <c r="L374" s="54"/>
      <c r="M374" s="5">
        <f>SUM(L374:L374)</f>
        <v>0</v>
      </c>
      <c r="N374" s="58"/>
      <c r="O374" s="65"/>
    </row>
    <row r="375" spans="1:15" x14ac:dyDescent="0.15">
      <c r="B375" s="6" t="s">
        <v>3</v>
      </c>
      <c r="C375" s="7">
        <v>100</v>
      </c>
      <c r="D375" s="5">
        <f t="shared" si="37"/>
        <v>100</v>
      </c>
      <c r="E375" s="58">
        <v>41731</v>
      </c>
      <c r="F375" s="58"/>
      <c r="G375" s="58"/>
      <c r="H375" s="58"/>
      <c r="I375" s="58"/>
      <c r="K375" s="6" t="s">
        <v>3</v>
      </c>
      <c r="L375" s="7"/>
      <c r="M375" s="5">
        <f t="shared" si="38"/>
        <v>0</v>
      </c>
    </row>
    <row r="376" spans="1:15" x14ac:dyDescent="0.15">
      <c r="B376" s="6" t="s">
        <v>92</v>
      </c>
      <c r="C376" s="7">
        <v>12</v>
      </c>
      <c r="D376" s="5">
        <f t="shared" si="37"/>
        <v>12</v>
      </c>
      <c r="E376" s="48">
        <v>41737</v>
      </c>
      <c r="F376" s="48"/>
      <c r="G376" s="48"/>
      <c r="H376" s="48"/>
      <c r="I376" s="48"/>
      <c r="K376" s="6" t="s">
        <v>3</v>
      </c>
      <c r="L376" s="7"/>
      <c r="M376" s="5">
        <f t="shared" si="38"/>
        <v>0</v>
      </c>
    </row>
    <row r="377" spans="1:15" x14ac:dyDescent="0.15">
      <c r="B377" s="6" t="s">
        <v>3</v>
      </c>
      <c r="C377" s="7"/>
      <c r="D377" s="5">
        <f t="shared" si="37"/>
        <v>0</v>
      </c>
      <c r="K377" s="6" t="s">
        <v>3</v>
      </c>
      <c r="L377" s="7"/>
      <c r="M377" s="5">
        <f t="shared" si="38"/>
        <v>0</v>
      </c>
    </row>
    <row r="378" spans="1:15" x14ac:dyDescent="0.15">
      <c r="B378" s="6" t="s">
        <v>3</v>
      </c>
      <c r="C378" s="7"/>
      <c r="D378" s="5">
        <f t="shared" si="37"/>
        <v>0</v>
      </c>
      <c r="K378" s="6" t="s">
        <v>3</v>
      </c>
      <c r="L378" s="7"/>
      <c r="M378" s="5">
        <f t="shared" si="38"/>
        <v>0</v>
      </c>
    </row>
    <row r="379" spans="1:15" x14ac:dyDescent="0.15">
      <c r="B379" s="6" t="s">
        <v>3</v>
      </c>
      <c r="C379" s="54"/>
      <c r="D379" s="5">
        <f t="shared" si="37"/>
        <v>0</v>
      </c>
      <c r="K379" s="6" t="s">
        <v>3</v>
      </c>
      <c r="L379" s="54"/>
      <c r="M379" s="5">
        <f t="shared" si="38"/>
        <v>0</v>
      </c>
      <c r="N379" s="58"/>
    </row>
    <row r="380" spans="1:15" x14ac:dyDescent="0.15">
      <c r="B380" s="6" t="s">
        <v>3</v>
      </c>
      <c r="C380" s="54"/>
      <c r="D380" s="5">
        <f t="shared" si="37"/>
        <v>0</v>
      </c>
      <c r="K380" s="6" t="s">
        <v>3</v>
      </c>
      <c r="L380" s="54"/>
      <c r="M380" s="5">
        <f t="shared" si="38"/>
        <v>0</v>
      </c>
    </row>
    <row r="381" spans="1:15" x14ac:dyDescent="0.15">
      <c r="B381" s="6" t="s">
        <v>3</v>
      </c>
      <c r="C381" s="54"/>
      <c r="D381" s="5">
        <f t="shared" si="37"/>
        <v>0</v>
      </c>
      <c r="K381" s="6" t="s">
        <v>3</v>
      </c>
      <c r="L381" s="54"/>
      <c r="M381" s="5">
        <f t="shared" si="38"/>
        <v>0</v>
      </c>
      <c r="N381" s="58"/>
    </row>
    <row r="382" spans="1:15" ht="14.25" thickBot="1" x14ac:dyDescent="0.2">
      <c r="B382" s="9" t="s">
        <v>3</v>
      </c>
      <c r="C382" s="10"/>
      <c r="D382" s="5">
        <f t="shared" si="37"/>
        <v>0</v>
      </c>
      <c r="K382" s="9" t="s">
        <v>3</v>
      </c>
      <c r="L382" s="10"/>
      <c r="M382" s="5">
        <f t="shared" si="38"/>
        <v>0</v>
      </c>
    </row>
    <row r="383" spans="1:15" ht="14.25" thickBot="1" x14ac:dyDescent="0.2">
      <c r="B383" s="11" t="s">
        <v>4</v>
      </c>
      <c r="C383" s="12">
        <f>SUM(C372:C382)</f>
        <v>213</v>
      </c>
      <c r="D383" s="13">
        <f>SUM(D372:D382)</f>
        <v>213</v>
      </c>
      <c r="K383" s="11" t="s">
        <v>4</v>
      </c>
      <c r="L383" s="12">
        <f>SUM(L372:L382)</f>
        <v>1230</v>
      </c>
      <c r="M383" s="13">
        <f>SUM(M372:M382)</f>
        <v>1230</v>
      </c>
    </row>
    <row r="384" spans="1:15" x14ac:dyDescent="0.15">
      <c r="B384" s="6" t="s">
        <v>85</v>
      </c>
      <c r="C384" s="15">
        <v>30</v>
      </c>
      <c r="D384" s="14">
        <f>C384</f>
        <v>30</v>
      </c>
      <c r="E384" s="58">
        <v>41724</v>
      </c>
      <c r="F384" s="58"/>
      <c r="G384" s="58"/>
      <c r="H384" s="58"/>
      <c r="I384" s="58"/>
      <c r="K384" s="4" t="s">
        <v>31</v>
      </c>
      <c r="L384" s="44">
        <v>100</v>
      </c>
      <c r="M384" s="14">
        <f t="shared" ref="M384:M405" si="39">SUM(L384:L384)</f>
        <v>100</v>
      </c>
      <c r="N384" s="58">
        <v>41754</v>
      </c>
    </row>
    <row r="385" spans="2:14" x14ac:dyDescent="0.15">
      <c r="B385" s="4" t="s">
        <v>37</v>
      </c>
      <c r="C385" s="15">
        <v>1</v>
      </c>
      <c r="D385" s="14">
        <f>C385</f>
        <v>1</v>
      </c>
      <c r="E385" s="58">
        <v>41717</v>
      </c>
      <c r="F385" s="58"/>
      <c r="G385" s="58"/>
      <c r="H385" s="58"/>
      <c r="I385" s="58"/>
      <c r="J385" s="51"/>
      <c r="K385" s="4" t="s">
        <v>103</v>
      </c>
      <c r="L385" s="15">
        <v>50</v>
      </c>
      <c r="M385" s="14">
        <f t="shared" si="39"/>
        <v>50</v>
      </c>
      <c r="N385" s="58">
        <v>41759</v>
      </c>
    </row>
    <row r="386" spans="2:14" x14ac:dyDescent="0.15">
      <c r="B386" s="4" t="s">
        <v>87</v>
      </c>
      <c r="C386" s="15">
        <v>1</v>
      </c>
      <c r="D386" s="14">
        <f t="shared" ref="D386:D407" si="40">SUM(C386)</f>
        <v>1</v>
      </c>
      <c r="E386" s="48">
        <v>41718</v>
      </c>
      <c r="F386" s="48"/>
      <c r="G386" s="48"/>
      <c r="H386" s="48"/>
      <c r="I386" s="48"/>
      <c r="J386" s="51"/>
      <c r="K386" s="4" t="s">
        <v>105</v>
      </c>
      <c r="L386" s="15">
        <v>250</v>
      </c>
      <c r="M386" s="14">
        <f t="shared" si="39"/>
        <v>250</v>
      </c>
      <c r="N386" s="26">
        <v>41760</v>
      </c>
    </row>
    <row r="387" spans="2:14" x14ac:dyDescent="0.15">
      <c r="B387" s="4" t="s">
        <v>86</v>
      </c>
      <c r="C387" s="15">
        <v>-1</v>
      </c>
      <c r="D387" s="14">
        <f t="shared" si="40"/>
        <v>-1</v>
      </c>
      <c r="E387" s="48">
        <v>41722</v>
      </c>
      <c r="F387" s="48"/>
      <c r="G387" s="48"/>
      <c r="H387" s="48"/>
      <c r="I387" s="48"/>
      <c r="J387" s="51"/>
      <c r="K387" s="4"/>
      <c r="L387" s="15"/>
      <c r="M387" s="14">
        <f t="shared" si="39"/>
        <v>0</v>
      </c>
      <c r="N387" s="26"/>
    </row>
    <row r="388" spans="2:14" x14ac:dyDescent="0.15">
      <c r="B388" s="4" t="s">
        <v>37</v>
      </c>
      <c r="C388" s="15">
        <v>3</v>
      </c>
      <c r="D388" s="14">
        <f t="shared" si="40"/>
        <v>3</v>
      </c>
      <c r="E388" s="48">
        <v>41722</v>
      </c>
      <c r="F388" s="48"/>
      <c r="G388" s="48"/>
      <c r="H388" s="48"/>
      <c r="I388" s="48"/>
      <c r="J388" s="51"/>
      <c r="K388" s="6"/>
      <c r="L388" s="15"/>
      <c r="M388" s="14">
        <f t="shared" si="39"/>
        <v>0</v>
      </c>
    </row>
    <row r="389" spans="2:14" x14ac:dyDescent="0.15">
      <c r="B389" s="4" t="s">
        <v>77</v>
      </c>
      <c r="C389" s="15">
        <v>20</v>
      </c>
      <c r="D389" s="14">
        <f t="shared" si="40"/>
        <v>20</v>
      </c>
      <c r="E389" s="58">
        <v>41725</v>
      </c>
      <c r="F389" s="58"/>
      <c r="G389" s="58"/>
      <c r="H389" s="58"/>
      <c r="I389" s="58"/>
      <c r="J389" s="51"/>
      <c r="K389" s="4"/>
      <c r="L389" s="15"/>
      <c r="M389" s="14">
        <f t="shared" si="39"/>
        <v>0</v>
      </c>
    </row>
    <row r="390" spans="2:14" x14ac:dyDescent="0.15">
      <c r="B390" s="4" t="s">
        <v>37</v>
      </c>
      <c r="C390" s="15">
        <v>4</v>
      </c>
      <c r="D390" s="14">
        <f t="shared" si="40"/>
        <v>4</v>
      </c>
      <c r="E390" s="48">
        <v>41723</v>
      </c>
      <c r="F390" s="48"/>
      <c r="G390" s="48"/>
      <c r="H390" s="48"/>
      <c r="I390" s="48"/>
      <c r="J390" s="51"/>
      <c r="K390" s="6"/>
      <c r="L390" s="15"/>
      <c r="M390" s="14">
        <f t="shared" si="39"/>
        <v>0</v>
      </c>
    </row>
    <row r="391" spans="2:14" x14ac:dyDescent="0.15">
      <c r="B391" s="4" t="s">
        <v>37</v>
      </c>
      <c r="C391" s="15">
        <v>3</v>
      </c>
      <c r="D391" s="14">
        <f t="shared" si="40"/>
        <v>3</v>
      </c>
      <c r="E391" s="48">
        <v>41724</v>
      </c>
      <c r="F391" s="48"/>
      <c r="G391" s="48"/>
      <c r="H391" s="48"/>
      <c r="I391" s="48"/>
      <c r="J391" s="51"/>
      <c r="K391" s="6"/>
      <c r="L391" s="15"/>
      <c r="M391" s="14">
        <f t="shared" si="39"/>
        <v>0</v>
      </c>
    </row>
    <row r="392" spans="2:14" x14ac:dyDescent="0.15">
      <c r="B392" s="4" t="s">
        <v>37</v>
      </c>
      <c r="C392" s="15">
        <v>2</v>
      </c>
      <c r="D392" s="14">
        <f t="shared" si="40"/>
        <v>2</v>
      </c>
      <c r="E392" s="48">
        <v>41725</v>
      </c>
      <c r="F392" s="48"/>
      <c r="G392" s="48"/>
      <c r="H392" s="48"/>
      <c r="I392" s="48"/>
      <c r="J392" s="51"/>
      <c r="K392" s="4"/>
      <c r="L392" s="15"/>
      <c r="M392" s="14">
        <f t="shared" si="39"/>
        <v>0</v>
      </c>
    </row>
    <row r="393" spans="2:14" x14ac:dyDescent="0.15">
      <c r="B393" s="4" t="s">
        <v>37</v>
      </c>
      <c r="C393" s="15">
        <v>1</v>
      </c>
      <c r="D393" s="14">
        <f t="shared" si="40"/>
        <v>1</v>
      </c>
      <c r="E393" s="48">
        <v>41726</v>
      </c>
      <c r="F393" s="48"/>
      <c r="G393" s="48"/>
      <c r="H393" s="48"/>
      <c r="I393" s="48"/>
      <c r="J393" s="51"/>
      <c r="K393" s="4"/>
      <c r="L393" s="15"/>
      <c r="M393" s="14">
        <f t="shared" si="39"/>
        <v>0</v>
      </c>
    </row>
    <row r="394" spans="2:14" x14ac:dyDescent="0.15">
      <c r="B394" s="4" t="s">
        <v>89</v>
      </c>
      <c r="C394" s="15">
        <v>11</v>
      </c>
      <c r="D394" s="14">
        <f t="shared" si="40"/>
        <v>11</v>
      </c>
      <c r="E394" s="48">
        <v>41729</v>
      </c>
      <c r="F394" s="48"/>
      <c r="G394" s="48"/>
      <c r="H394" s="48"/>
      <c r="I394" s="48"/>
      <c r="J394" s="51"/>
      <c r="K394" s="4"/>
      <c r="L394" s="15"/>
      <c r="M394" s="14">
        <f t="shared" si="39"/>
        <v>0</v>
      </c>
    </row>
    <row r="395" spans="2:14" x14ac:dyDescent="0.15">
      <c r="B395" s="4" t="s">
        <v>77</v>
      </c>
      <c r="C395" s="15">
        <v>10</v>
      </c>
      <c r="D395" s="14">
        <f t="shared" si="40"/>
        <v>10</v>
      </c>
      <c r="E395" s="58">
        <v>41731</v>
      </c>
      <c r="F395" s="58"/>
      <c r="G395" s="58"/>
      <c r="H395" s="58"/>
      <c r="I395" s="58"/>
      <c r="J395" s="51"/>
      <c r="K395" s="4"/>
      <c r="L395" s="15"/>
      <c r="M395" s="14">
        <f t="shared" si="39"/>
        <v>0</v>
      </c>
      <c r="N395" s="65"/>
    </row>
    <row r="396" spans="2:14" x14ac:dyDescent="0.15">
      <c r="B396" s="4" t="s">
        <v>37</v>
      </c>
      <c r="C396" s="15">
        <v>1</v>
      </c>
      <c r="D396" s="14">
        <f t="shared" si="40"/>
        <v>1</v>
      </c>
      <c r="E396" s="48">
        <v>41730</v>
      </c>
      <c r="F396" s="48"/>
      <c r="G396" s="48"/>
      <c r="H396" s="48"/>
      <c r="I396" s="48"/>
      <c r="J396" s="51"/>
      <c r="K396" s="6"/>
      <c r="L396" s="15"/>
      <c r="M396" s="14">
        <f t="shared" si="39"/>
        <v>0</v>
      </c>
      <c r="N396" s="65"/>
    </row>
    <row r="397" spans="2:14" x14ac:dyDescent="0.15">
      <c r="B397" s="4" t="s">
        <v>90</v>
      </c>
      <c r="C397" s="15">
        <v>20</v>
      </c>
      <c r="D397" s="14">
        <f t="shared" si="40"/>
        <v>20</v>
      </c>
      <c r="E397" s="58">
        <v>41745</v>
      </c>
      <c r="F397" s="58"/>
      <c r="G397" s="58"/>
      <c r="H397" s="58"/>
      <c r="I397" s="58"/>
      <c r="J397" s="51"/>
      <c r="K397" s="6"/>
      <c r="L397" s="15"/>
      <c r="M397" s="14">
        <f t="shared" si="39"/>
        <v>0</v>
      </c>
      <c r="N397" s="65"/>
    </row>
    <row r="398" spans="2:14" x14ac:dyDescent="0.15">
      <c r="B398" s="4" t="s">
        <v>91</v>
      </c>
      <c r="C398" s="15">
        <v>20</v>
      </c>
      <c r="D398" s="14">
        <f t="shared" si="40"/>
        <v>20</v>
      </c>
      <c r="E398" s="58">
        <v>41745</v>
      </c>
      <c r="F398" s="58"/>
      <c r="G398" s="58"/>
      <c r="H398" s="58"/>
      <c r="I398" s="58"/>
      <c r="J398" s="51"/>
      <c r="K398" s="70"/>
      <c r="L398" s="15"/>
      <c r="M398" s="14">
        <f t="shared" si="39"/>
        <v>0</v>
      </c>
      <c r="N398" s="65"/>
    </row>
    <row r="399" spans="2:14" x14ac:dyDescent="0.15">
      <c r="B399" s="6" t="s">
        <v>31</v>
      </c>
      <c r="C399" s="15">
        <v>1</v>
      </c>
      <c r="D399" s="14">
        <f t="shared" si="40"/>
        <v>1</v>
      </c>
      <c r="E399" s="48">
        <v>41730</v>
      </c>
      <c r="F399" s="48"/>
      <c r="G399" s="48"/>
      <c r="H399" s="48"/>
      <c r="I399" s="48"/>
      <c r="J399" s="51"/>
      <c r="K399" s="71"/>
      <c r="L399" s="15"/>
      <c r="M399" s="14">
        <f t="shared" si="39"/>
        <v>0</v>
      </c>
      <c r="N399" s="65"/>
    </row>
    <row r="400" spans="2:14" x14ac:dyDescent="0.15">
      <c r="B400" s="6" t="s">
        <v>31</v>
      </c>
      <c r="C400" s="15">
        <v>1</v>
      </c>
      <c r="D400" s="14">
        <f t="shared" si="40"/>
        <v>1</v>
      </c>
      <c r="E400" s="48">
        <v>41732</v>
      </c>
      <c r="F400" s="48"/>
      <c r="G400" s="48"/>
      <c r="H400" s="48"/>
      <c r="I400" s="48"/>
      <c r="J400" s="51"/>
      <c r="K400" s="6"/>
      <c r="L400" s="15"/>
      <c r="M400" s="14">
        <f t="shared" si="39"/>
        <v>0</v>
      </c>
      <c r="N400" s="58"/>
    </row>
    <row r="401" spans="1:14" x14ac:dyDescent="0.15">
      <c r="B401" s="6" t="s">
        <v>31</v>
      </c>
      <c r="C401" s="15">
        <v>2</v>
      </c>
      <c r="D401" s="14">
        <f t="shared" si="40"/>
        <v>2</v>
      </c>
      <c r="E401" s="48">
        <v>41734</v>
      </c>
      <c r="F401" s="48"/>
      <c r="G401" s="48"/>
      <c r="H401" s="48"/>
      <c r="I401" s="48"/>
      <c r="J401" s="51"/>
      <c r="K401" s="4"/>
      <c r="L401" s="15"/>
      <c r="M401" s="14">
        <f t="shared" si="39"/>
        <v>0</v>
      </c>
      <c r="N401" s="58"/>
    </row>
    <row r="402" spans="1:14" x14ac:dyDescent="0.15">
      <c r="B402" s="6" t="s">
        <v>37</v>
      </c>
      <c r="C402" s="15">
        <v>2</v>
      </c>
      <c r="D402" s="14">
        <f t="shared" si="40"/>
        <v>2</v>
      </c>
      <c r="E402" s="48">
        <v>41733</v>
      </c>
      <c r="F402" s="48"/>
      <c r="G402" s="48"/>
      <c r="H402" s="48"/>
      <c r="I402" s="48"/>
      <c r="J402" s="51"/>
      <c r="K402" s="6"/>
      <c r="L402" s="15"/>
      <c r="M402" s="14">
        <f t="shared" si="39"/>
        <v>0</v>
      </c>
      <c r="N402" s="58"/>
    </row>
    <row r="403" spans="1:14" x14ac:dyDescent="0.15">
      <c r="B403" s="6" t="s">
        <v>37</v>
      </c>
      <c r="C403" s="15">
        <v>2</v>
      </c>
      <c r="D403" s="14">
        <f t="shared" si="40"/>
        <v>2</v>
      </c>
      <c r="E403" s="48">
        <v>41736</v>
      </c>
      <c r="F403" s="48"/>
      <c r="G403" s="48"/>
      <c r="H403" s="48"/>
      <c r="I403" s="48"/>
      <c r="J403" s="51"/>
      <c r="K403" s="4"/>
      <c r="L403" s="15"/>
      <c r="M403" s="14">
        <f>SUM(L403:L403)</f>
        <v>0</v>
      </c>
      <c r="N403" s="58"/>
    </row>
    <row r="404" spans="1:14" x14ac:dyDescent="0.15">
      <c r="B404" s="6" t="s">
        <v>37</v>
      </c>
      <c r="C404" s="15">
        <v>4</v>
      </c>
      <c r="D404" s="14">
        <f t="shared" si="40"/>
        <v>4</v>
      </c>
      <c r="E404" s="48">
        <v>41737</v>
      </c>
      <c r="F404" s="48"/>
      <c r="G404" s="48"/>
      <c r="H404" s="48"/>
      <c r="I404" s="48"/>
      <c r="J404" s="51"/>
      <c r="K404" s="67"/>
      <c r="L404" s="15"/>
      <c r="M404" s="14">
        <f t="shared" si="39"/>
        <v>0</v>
      </c>
      <c r="N404" s="65"/>
    </row>
    <row r="405" spans="1:14" x14ac:dyDescent="0.15">
      <c r="B405" s="6" t="s">
        <v>93</v>
      </c>
      <c r="C405" s="15">
        <v>15</v>
      </c>
      <c r="D405" s="14">
        <f t="shared" si="40"/>
        <v>15</v>
      </c>
      <c r="E405" s="58">
        <v>41747</v>
      </c>
      <c r="F405" s="58"/>
      <c r="G405" s="58"/>
      <c r="H405" s="58"/>
      <c r="I405" s="58"/>
      <c r="J405" s="51"/>
      <c r="K405" s="6"/>
      <c r="L405" s="15"/>
      <c r="M405" s="14">
        <f t="shared" si="39"/>
        <v>0</v>
      </c>
      <c r="N405" s="36"/>
    </row>
    <row r="406" spans="1:14" x14ac:dyDescent="0.15">
      <c r="B406" s="6" t="s">
        <v>37</v>
      </c>
      <c r="C406" s="15">
        <v>4</v>
      </c>
      <c r="D406" s="14">
        <f t="shared" si="40"/>
        <v>4</v>
      </c>
      <c r="E406" s="48">
        <v>41739</v>
      </c>
      <c r="F406" s="48"/>
      <c r="G406" s="48"/>
      <c r="H406" s="48"/>
      <c r="I406" s="48"/>
      <c r="J406" s="51"/>
      <c r="K406" s="6"/>
      <c r="L406" s="15"/>
      <c r="M406" s="14">
        <f>SUM(L406:L406)</f>
        <v>0</v>
      </c>
      <c r="N406" s="65"/>
    </row>
    <row r="407" spans="1:14" ht="14.25" thickBot="1" x14ac:dyDescent="0.2">
      <c r="B407" s="6" t="s">
        <v>37</v>
      </c>
      <c r="C407" s="15">
        <v>3</v>
      </c>
      <c r="D407" s="14">
        <f t="shared" si="40"/>
        <v>3</v>
      </c>
      <c r="E407" s="48">
        <v>41740</v>
      </c>
      <c r="F407" s="48"/>
      <c r="G407" s="48"/>
      <c r="H407" s="48"/>
      <c r="I407" s="48"/>
      <c r="J407" s="51"/>
      <c r="K407" s="6"/>
      <c r="L407" s="15"/>
      <c r="M407" s="14">
        <f>SUM(L407)</f>
        <v>0</v>
      </c>
      <c r="N407" s="58"/>
    </row>
    <row r="408" spans="1:14" ht="14.25" thickBot="1" x14ac:dyDescent="0.2">
      <c r="B408" s="3" t="s">
        <v>5</v>
      </c>
      <c r="C408" s="16">
        <f>SUM(C384:C407)</f>
        <v>160</v>
      </c>
      <c r="D408" s="17">
        <f>SUM(D384:D407)</f>
        <v>160</v>
      </c>
      <c r="K408" s="3" t="s">
        <v>5</v>
      </c>
      <c r="L408" s="16">
        <f>SUM(L384:L407)</f>
        <v>400</v>
      </c>
      <c r="M408" s="17">
        <f>SUM(M384:M407)</f>
        <v>400</v>
      </c>
    </row>
    <row r="409" spans="1:14" ht="14.25" thickBot="1" x14ac:dyDescent="0.2">
      <c r="B409" s="18" t="s">
        <v>6</v>
      </c>
      <c r="C409" s="19">
        <f>C383-C408</f>
        <v>53</v>
      </c>
      <c r="D409" s="13">
        <f>D383-D408</f>
        <v>53</v>
      </c>
      <c r="K409" s="18" t="s">
        <v>6</v>
      </c>
      <c r="L409" s="19">
        <f>L383-L408</f>
        <v>830</v>
      </c>
      <c r="M409" s="13">
        <f>M383-M408</f>
        <v>830</v>
      </c>
    </row>
    <row r="411" spans="1:14" ht="18" thickBot="1" x14ac:dyDescent="0.25">
      <c r="A411" s="27" t="s">
        <v>8</v>
      </c>
      <c r="B411" s="28"/>
      <c r="C411" s="28"/>
      <c r="D411" s="28"/>
      <c r="J411" s="63" t="s">
        <v>7</v>
      </c>
      <c r="K411" s="64"/>
      <c r="L411" s="64"/>
      <c r="M411" s="64"/>
      <c r="N411" s="64"/>
    </row>
    <row r="412" spans="1:14" ht="14.25" thickBot="1" x14ac:dyDescent="0.2">
      <c r="B412" s="2"/>
      <c r="C412" s="3" t="s">
        <v>0</v>
      </c>
      <c r="D412" s="2" t="s">
        <v>1</v>
      </c>
      <c r="K412" s="2"/>
      <c r="L412" s="3" t="s">
        <v>0</v>
      </c>
      <c r="M412" s="2" t="s">
        <v>1</v>
      </c>
    </row>
    <row r="413" spans="1:14" x14ac:dyDescent="0.15">
      <c r="B413" s="43" t="s">
        <v>26</v>
      </c>
      <c r="C413" s="38">
        <f>C409</f>
        <v>53</v>
      </c>
      <c r="D413" s="39">
        <f t="shared" ref="D413:D423" si="41">SUM(C413:C413)</f>
        <v>53</v>
      </c>
      <c r="K413" s="43" t="s">
        <v>26</v>
      </c>
      <c r="L413" s="38">
        <f>L409</f>
        <v>830</v>
      </c>
      <c r="M413" s="39">
        <f t="shared" ref="M413:M423" si="42">SUM(L413:L413)</f>
        <v>830</v>
      </c>
    </row>
    <row r="414" spans="1:14" x14ac:dyDescent="0.15">
      <c r="B414" s="6" t="s">
        <v>3</v>
      </c>
      <c r="C414" s="7">
        <v>100</v>
      </c>
      <c r="D414" s="5">
        <f t="shared" si="41"/>
        <v>100</v>
      </c>
      <c r="E414" s="58">
        <v>41744</v>
      </c>
      <c r="F414" s="58"/>
      <c r="G414" s="58"/>
      <c r="H414" s="58"/>
      <c r="I414" s="58"/>
      <c r="K414" s="6" t="s">
        <v>3</v>
      </c>
      <c r="L414" s="7"/>
      <c r="M414" s="5">
        <f t="shared" si="42"/>
        <v>0</v>
      </c>
      <c r="N414" s="65"/>
    </row>
    <row r="415" spans="1:14" x14ac:dyDescent="0.15">
      <c r="B415" s="6" t="s">
        <v>98</v>
      </c>
      <c r="C415" s="7">
        <v>1</v>
      </c>
      <c r="D415" s="5">
        <f t="shared" si="41"/>
        <v>1</v>
      </c>
      <c r="E415" s="48">
        <v>41753</v>
      </c>
      <c r="F415" s="48"/>
      <c r="G415" s="48"/>
      <c r="H415" s="48"/>
      <c r="I415" s="48"/>
      <c r="K415" s="6" t="s">
        <v>3</v>
      </c>
      <c r="L415" s="54">
        <v>2000</v>
      </c>
      <c r="M415" s="5">
        <f>SUM(L415:L415)</f>
        <v>2000</v>
      </c>
      <c r="N415" s="58">
        <v>41767</v>
      </c>
    </row>
    <row r="416" spans="1:14" x14ac:dyDescent="0.15">
      <c r="B416" s="6" t="s">
        <v>3</v>
      </c>
      <c r="C416" s="7">
        <v>100</v>
      </c>
      <c r="D416" s="5">
        <f t="shared" si="41"/>
        <v>100</v>
      </c>
      <c r="E416" s="58">
        <v>41754</v>
      </c>
      <c r="F416" s="58"/>
      <c r="G416" s="58"/>
      <c r="H416" s="58"/>
      <c r="I416" s="58"/>
      <c r="K416" s="6" t="s">
        <v>3</v>
      </c>
      <c r="L416" s="7"/>
      <c r="M416" s="5">
        <f t="shared" si="42"/>
        <v>0</v>
      </c>
      <c r="N416" s="61"/>
    </row>
    <row r="417" spans="2:14" x14ac:dyDescent="0.15">
      <c r="B417" s="6" t="s">
        <v>3</v>
      </c>
      <c r="C417" s="7">
        <v>200</v>
      </c>
      <c r="D417" s="5">
        <f t="shared" si="41"/>
        <v>200</v>
      </c>
      <c r="E417" s="74">
        <v>41761</v>
      </c>
      <c r="F417" s="74"/>
      <c r="G417" s="74"/>
      <c r="H417" s="74"/>
      <c r="I417" s="74"/>
      <c r="K417" s="6" t="s">
        <v>3</v>
      </c>
      <c r="L417" s="7"/>
      <c r="M417" s="5">
        <f t="shared" si="42"/>
        <v>0</v>
      </c>
      <c r="N417" s="65"/>
    </row>
    <row r="418" spans="2:14" x14ac:dyDescent="0.15">
      <c r="B418" s="6" t="s">
        <v>3</v>
      </c>
      <c r="C418" s="7"/>
      <c r="D418" s="5">
        <f t="shared" si="41"/>
        <v>0</v>
      </c>
      <c r="K418" s="6" t="s">
        <v>3</v>
      </c>
      <c r="L418" s="7"/>
      <c r="M418" s="5">
        <f t="shared" si="42"/>
        <v>0</v>
      </c>
      <c r="N418" s="61"/>
    </row>
    <row r="419" spans="2:14" x14ac:dyDescent="0.15">
      <c r="B419" s="6" t="s">
        <v>3</v>
      </c>
      <c r="C419" s="7"/>
      <c r="D419" s="5">
        <f t="shared" si="41"/>
        <v>0</v>
      </c>
      <c r="K419" s="6" t="s">
        <v>3</v>
      </c>
      <c r="L419" s="7"/>
      <c r="M419" s="5">
        <f t="shared" si="42"/>
        <v>0</v>
      </c>
      <c r="N419" s="65"/>
    </row>
    <row r="420" spans="2:14" x14ac:dyDescent="0.15">
      <c r="B420" s="6" t="s">
        <v>3</v>
      </c>
      <c r="C420" s="54"/>
      <c r="D420" s="5">
        <f t="shared" si="41"/>
        <v>0</v>
      </c>
      <c r="K420" s="6" t="s">
        <v>3</v>
      </c>
      <c r="L420" s="54"/>
      <c r="M420" s="5">
        <f t="shared" si="42"/>
        <v>0</v>
      </c>
      <c r="N420" s="58"/>
    </row>
    <row r="421" spans="2:14" x14ac:dyDescent="0.15">
      <c r="B421" s="6" t="s">
        <v>3</v>
      </c>
      <c r="C421" s="54"/>
      <c r="D421" s="5">
        <f t="shared" si="41"/>
        <v>0</v>
      </c>
      <c r="K421" s="6" t="s">
        <v>3</v>
      </c>
      <c r="L421" s="54"/>
      <c r="M421" s="5">
        <f t="shared" si="42"/>
        <v>0</v>
      </c>
      <c r="N421" s="65"/>
    </row>
    <row r="422" spans="2:14" x14ac:dyDescent="0.15">
      <c r="B422" s="6" t="s">
        <v>3</v>
      </c>
      <c r="C422" s="54"/>
      <c r="D422" s="5">
        <f t="shared" si="41"/>
        <v>0</v>
      </c>
      <c r="K422" s="6" t="s">
        <v>3</v>
      </c>
      <c r="L422" s="8"/>
      <c r="M422" s="5">
        <f t="shared" si="42"/>
        <v>0</v>
      </c>
      <c r="N422" s="65"/>
    </row>
    <row r="423" spans="2:14" ht="14.25" thickBot="1" x14ac:dyDescent="0.2">
      <c r="B423" s="9" t="s">
        <v>3</v>
      </c>
      <c r="C423" s="10"/>
      <c r="D423" s="5">
        <f t="shared" si="41"/>
        <v>0</v>
      </c>
      <c r="K423" s="9" t="s">
        <v>3</v>
      </c>
      <c r="L423" s="10"/>
      <c r="M423" s="5">
        <f t="shared" si="42"/>
        <v>0</v>
      </c>
    </row>
    <row r="424" spans="2:14" ht="14.25" thickBot="1" x14ac:dyDescent="0.2">
      <c r="B424" s="11" t="s">
        <v>4</v>
      </c>
      <c r="C424" s="12">
        <f>SUM(C413:C423)</f>
        <v>454</v>
      </c>
      <c r="D424" s="13">
        <f>SUM(D413:D423)</f>
        <v>454</v>
      </c>
      <c r="K424" s="11" t="s">
        <v>4</v>
      </c>
      <c r="L424" s="12">
        <f>SUM(L413:L423)</f>
        <v>2830</v>
      </c>
      <c r="M424" s="13">
        <f>SUM(M413:M423)</f>
        <v>2830</v>
      </c>
    </row>
    <row r="425" spans="2:14" x14ac:dyDescent="0.15">
      <c r="B425" s="6" t="s">
        <v>94</v>
      </c>
      <c r="C425" s="15">
        <v>69</v>
      </c>
      <c r="D425" s="14">
        <f>C425</f>
        <v>69</v>
      </c>
      <c r="E425" s="58">
        <v>41745</v>
      </c>
      <c r="F425" s="58"/>
      <c r="G425" s="58"/>
      <c r="H425" s="58"/>
      <c r="I425" s="58"/>
      <c r="K425" s="4" t="s">
        <v>31</v>
      </c>
      <c r="L425" s="44">
        <v>200</v>
      </c>
      <c r="M425" s="14">
        <f t="shared" ref="M425:M447" si="43">SUM(L425:L425)</f>
        <v>200</v>
      </c>
      <c r="N425" s="74">
        <v>41761</v>
      </c>
    </row>
    <row r="426" spans="2:14" x14ac:dyDescent="0.15">
      <c r="B426" s="4" t="s">
        <v>31</v>
      </c>
      <c r="C426" s="15">
        <v>10</v>
      </c>
      <c r="D426" s="14">
        <f>C426</f>
        <v>10</v>
      </c>
      <c r="E426" s="58">
        <v>41743</v>
      </c>
      <c r="F426" s="58"/>
      <c r="G426" s="58"/>
      <c r="H426" s="58"/>
      <c r="I426" s="58"/>
      <c r="J426" s="51"/>
      <c r="K426" s="4" t="s">
        <v>106</v>
      </c>
      <c r="L426" s="15">
        <v>300</v>
      </c>
      <c r="M426" s="14">
        <f t="shared" si="43"/>
        <v>300</v>
      </c>
      <c r="N426" s="26">
        <v>41761</v>
      </c>
    </row>
    <row r="427" spans="2:14" x14ac:dyDescent="0.15">
      <c r="B427" s="4" t="s">
        <v>31</v>
      </c>
      <c r="C427" s="15">
        <v>5</v>
      </c>
      <c r="D427" s="14">
        <f t="shared" ref="D427:D448" si="44">SUM(C427)</f>
        <v>5</v>
      </c>
      <c r="E427" s="48">
        <v>41743</v>
      </c>
      <c r="F427" s="48"/>
      <c r="G427" s="48"/>
      <c r="H427" s="48"/>
      <c r="I427" s="48"/>
      <c r="J427" s="51"/>
      <c r="K427" s="4" t="s">
        <v>110</v>
      </c>
      <c r="L427" s="15">
        <v>255</v>
      </c>
      <c r="M427" s="14">
        <f t="shared" si="43"/>
        <v>255</v>
      </c>
      <c r="N427" s="74">
        <v>41768</v>
      </c>
    </row>
    <row r="428" spans="2:14" x14ac:dyDescent="0.15">
      <c r="B428" s="4" t="s">
        <v>37</v>
      </c>
      <c r="C428" s="15">
        <v>4</v>
      </c>
      <c r="D428" s="14">
        <f t="shared" si="44"/>
        <v>4</v>
      </c>
      <c r="E428" s="48">
        <v>41745</v>
      </c>
      <c r="F428" s="48"/>
      <c r="G428" s="48"/>
      <c r="H428" s="48"/>
      <c r="I428" s="48"/>
      <c r="J428" s="51"/>
      <c r="K428" s="4" t="s">
        <v>31</v>
      </c>
      <c r="L428" s="15">
        <v>100</v>
      </c>
      <c r="M428" s="14">
        <f t="shared" si="43"/>
        <v>100</v>
      </c>
      <c r="N428" s="74">
        <v>41772</v>
      </c>
    </row>
    <row r="429" spans="2:14" x14ac:dyDescent="0.15">
      <c r="B429" s="4" t="s">
        <v>37</v>
      </c>
      <c r="C429" s="15">
        <v>7</v>
      </c>
      <c r="D429" s="14">
        <f t="shared" si="44"/>
        <v>7</v>
      </c>
      <c r="E429" s="48">
        <v>41746</v>
      </c>
      <c r="F429" s="48"/>
      <c r="G429" s="48"/>
      <c r="H429" s="48"/>
      <c r="I429" s="48"/>
      <c r="J429" s="51"/>
      <c r="K429" s="4"/>
      <c r="L429" s="15"/>
      <c r="M429" s="14">
        <f t="shared" si="43"/>
        <v>0</v>
      </c>
      <c r="N429" s="74"/>
    </row>
    <row r="430" spans="2:14" x14ac:dyDescent="0.15">
      <c r="B430" s="4" t="s">
        <v>37</v>
      </c>
      <c r="C430" s="15">
        <v>4</v>
      </c>
      <c r="D430" s="14">
        <f t="shared" si="44"/>
        <v>4</v>
      </c>
      <c r="E430" s="48">
        <v>41747</v>
      </c>
      <c r="F430" s="48"/>
      <c r="G430" s="48"/>
      <c r="H430" s="48"/>
      <c r="I430" s="48"/>
      <c r="J430" s="51"/>
      <c r="K430" s="4"/>
      <c r="L430" s="15"/>
      <c r="M430" s="14">
        <f t="shared" si="43"/>
        <v>0</v>
      </c>
    </row>
    <row r="431" spans="2:14" x14ac:dyDescent="0.15">
      <c r="B431" s="4" t="s">
        <v>37</v>
      </c>
      <c r="C431" s="15">
        <v>3</v>
      </c>
      <c r="D431" s="14">
        <f t="shared" si="44"/>
        <v>3</v>
      </c>
      <c r="E431" s="48">
        <v>41750</v>
      </c>
      <c r="F431" s="48"/>
      <c r="G431" s="48"/>
      <c r="H431" s="48"/>
      <c r="I431" s="48"/>
      <c r="J431" s="51"/>
      <c r="K431" s="6"/>
      <c r="L431" s="15"/>
      <c r="M431" s="14">
        <f t="shared" si="43"/>
        <v>0</v>
      </c>
    </row>
    <row r="432" spans="2:14" x14ac:dyDescent="0.15">
      <c r="B432" s="4" t="s">
        <v>37</v>
      </c>
      <c r="C432" s="15">
        <v>2</v>
      </c>
      <c r="D432" s="14">
        <f t="shared" si="44"/>
        <v>2</v>
      </c>
      <c r="E432" s="48">
        <v>41750</v>
      </c>
      <c r="F432" s="48"/>
      <c r="G432" s="48"/>
      <c r="H432" s="48"/>
      <c r="I432" s="48"/>
      <c r="J432" s="51"/>
      <c r="K432" s="6"/>
      <c r="L432" s="15"/>
      <c r="M432" s="14">
        <f t="shared" si="43"/>
        <v>0</v>
      </c>
    </row>
    <row r="433" spans="2:15" x14ac:dyDescent="0.15">
      <c r="B433" s="4" t="s">
        <v>37</v>
      </c>
      <c r="C433" s="15">
        <v>1</v>
      </c>
      <c r="D433" s="14">
        <f t="shared" si="44"/>
        <v>1</v>
      </c>
      <c r="E433" s="48">
        <v>41751</v>
      </c>
      <c r="F433" s="48"/>
      <c r="G433" s="48"/>
      <c r="H433" s="48"/>
      <c r="I433" s="48"/>
      <c r="J433" s="51"/>
      <c r="K433" s="4"/>
      <c r="L433" s="15"/>
      <c r="M433" s="14">
        <f t="shared" si="43"/>
        <v>0</v>
      </c>
    </row>
    <row r="434" spans="2:15" x14ac:dyDescent="0.15">
      <c r="B434" s="4" t="s">
        <v>37</v>
      </c>
      <c r="C434" s="15">
        <v>6</v>
      </c>
      <c r="D434" s="14">
        <f t="shared" si="44"/>
        <v>6</v>
      </c>
      <c r="E434" s="48">
        <v>41752</v>
      </c>
      <c r="F434" s="48"/>
      <c r="G434" s="48"/>
      <c r="H434" s="48"/>
      <c r="I434" s="48"/>
      <c r="J434" s="51"/>
      <c r="K434" s="4"/>
      <c r="L434" s="15"/>
      <c r="M434" s="14">
        <f t="shared" si="43"/>
        <v>0</v>
      </c>
    </row>
    <row r="435" spans="2:15" x14ac:dyDescent="0.15">
      <c r="B435" s="4" t="s">
        <v>101</v>
      </c>
      <c r="C435" s="15">
        <v>1</v>
      </c>
      <c r="D435" s="14">
        <f t="shared" si="44"/>
        <v>1</v>
      </c>
      <c r="E435" s="48">
        <v>41753</v>
      </c>
      <c r="F435" s="48"/>
      <c r="G435" s="48"/>
      <c r="H435" s="48"/>
      <c r="I435" s="48"/>
      <c r="J435" s="51"/>
      <c r="K435" s="4"/>
      <c r="L435" s="15"/>
      <c r="M435" s="14">
        <f t="shared" si="43"/>
        <v>0</v>
      </c>
    </row>
    <row r="436" spans="2:15" x14ac:dyDescent="0.15">
      <c r="B436" s="4" t="s">
        <v>100</v>
      </c>
      <c r="C436" s="15">
        <v>33</v>
      </c>
      <c r="D436" s="14">
        <f t="shared" si="44"/>
        <v>33</v>
      </c>
      <c r="E436" s="58">
        <v>41755</v>
      </c>
      <c r="F436" s="58"/>
      <c r="G436" s="58"/>
      <c r="H436" s="58"/>
      <c r="I436" s="58"/>
      <c r="J436" s="51"/>
      <c r="K436" s="6"/>
      <c r="L436" s="15"/>
      <c r="M436" s="14">
        <f t="shared" si="43"/>
        <v>0</v>
      </c>
      <c r="N436" s="61"/>
    </row>
    <row r="437" spans="2:15" x14ac:dyDescent="0.15">
      <c r="B437" s="4" t="s">
        <v>102</v>
      </c>
      <c r="C437" s="15">
        <v>4</v>
      </c>
      <c r="D437" s="14">
        <f t="shared" si="44"/>
        <v>4</v>
      </c>
      <c r="E437" s="48">
        <v>41754</v>
      </c>
      <c r="F437" s="48"/>
      <c r="G437" s="48"/>
      <c r="H437" s="48"/>
      <c r="I437" s="48"/>
      <c r="J437" s="51"/>
      <c r="K437" s="72"/>
      <c r="L437" s="15"/>
      <c r="M437" s="14">
        <f t="shared" si="43"/>
        <v>0</v>
      </c>
      <c r="N437" s="61"/>
    </row>
    <row r="438" spans="2:15" x14ac:dyDescent="0.15">
      <c r="B438" s="4" t="s">
        <v>37</v>
      </c>
      <c r="C438" s="15">
        <v>2</v>
      </c>
      <c r="D438" s="14">
        <f t="shared" si="44"/>
        <v>2</v>
      </c>
      <c r="E438" s="48">
        <v>41755</v>
      </c>
      <c r="F438" s="48"/>
      <c r="G438" s="48"/>
      <c r="H438" s="48"/>
      <c r="I438" s="48"/>
      <c r="J438" s="51"/>
      <c r="K438" s="6"/>
      <c r="L438" s="15"/>
      <c r="M438" s="14">
        <f t="shared" si="43"/>
        <v>0</v>
      </c>
      <c r="N438" s="61"/>
    </row>
    <row r="439" spans="2:15" x14ac:dyDescent="0.15">
      <c r="B439" s="4" t="s">
        <v>107</v>
      </c>
      <c r="C439" s="15">
        <v>14</v>
      </c>
      <c r="D439" s="14">
        <f t="shared" si="44"/>
        <v>14</v>
      </c>
      <c r="E439" s="48">
        <v>41757</v>
      </c>
      <c r="F439" s="48"/>
      <c r="G439" s="48"/>
      <c r="H439" s="48"/>
      <c r="I439" s="48"/>
      <c r="J439" s="51"/>
      <c r="K439" s="4"/>
      <c r="L439" s="15"/>
      <c r="M439" s="14">
        <f t="shared" si="43"/>
        <v>0</v>
      </c>
      <c r="N439" s="73"/>
      <c r="O439" s="65"/>
    </row>
    <row r="440" spans="2:15" x14ac:dyDescent="0.15">
      <c r="B440" s="69" t="s">
        <v>104</v>
      </c>
      <c r="C440" s="15">
        <v>1</v>
      </c>
      <c r="D440" s="14">
        <f t="shared" si="44"/>
        <v>1</v>
      </c>
      <c r="E440" s="48">
        <v>41760</v>
      </c>
      <c r="F440" s="48"/>
      <c r="G440" s="48"/>
      <c r="H440" s="48"/>
      <c r="I440" s="48"/>
      <c r="J440" s="51"/>
      <c r="K440" s="4"/>
      <c r="L440" s="15"/>
      <c r="M440" s="14">
        <f t="shared" si="43"/>
        <v>0</v>
      </c>
      <c r="N440" s="66"/>
    </row>
    <row r="441" spans="2:15" x14ac:dyDescent="0.15">
      <c r="B441" s="6" t="s">
        <v>111</v>
      </c>
      <c r="C441" s="15">
        <v>20</v>
      </c>
      <c r="D441" s="14">
        <f t="shared" si="44"/>
        <v>20</v>
      </c>
      <c r="E441" s="74">
        <v>41768</v>
      </c>
      <c r="F441" s="74"/>
      <c r="G441" s="74"/>
      <c r="H441" s="74"/>
      <c r="I441" s="74"/>
      <c r="J441" s="51"/>
      <c r="K441" s="4"/>
      <c r="L441" s="15"/>
      <c r="M441" s="14">
        <f>SUM(L441:L441)</f>
        <v>0</v>
      </c>
      <c r="N441" s="66"/>
    </row>
    <row r="442" spans="2:15" x14ac:dyDescent="0.15">
      <c r="B442" s="6" t="s">
        <v>109</v>
      </c>
      <c r="C442" s="15">
        <v>12</v>
      </c>
      <c r="D442" s="14">
        <f t="shared" si="44"/>
        <v>12</v>
      </c>
      <c r="E442" s="48">
        <v>41759</v>
      </c>
      <c r="F442" s="48"/>
      <c r="G442" s="48"/>
      <c r="H442" s="48"/>
      <c r="I442" s="48"/>
      <c r="J442" s="51"/>
      <c r="K442" s="71"/>
      <c r="L442" s="15"/>
      <c r="M442" s="14">
        <f t="shared" si="43"/>
        <v>0</v>
      </c>
      <c r="N442" s="66"/>
    </row>
    <row r="443" spans="2:15" x14ac:dyDescent="0.15">
      <c r="B443" s="6" t="s">
        <v>108</v>
      </c>
      <c r="C443" s="15">
        <v>50</v>
      </c>
      <c r="D443" s="14">
        <f t="shared" si="44"/>
        <v>50</v>
      </c>
      <c r="E443" s="74">
        <v>41761</v>
      </c>
      <c r="F443" s="74"/>
      <c r="G443" s="74"/>
      <c r="H443" s="74"/>
      <c r="I443" s="74"/>
      <c r="J443" s="51"/>
      <c r="K443" s="6"/>
      <c r="L443" s="15"/>
      <c r="M443" s="14">
        <f t="shared" si="43"/>
        <v>0</v>
      </c>
      <c r="N443" s="61"/>
    </row>
    <row r="444" spans="2:15" x14ac:dyDescent="0.15">
      <c r="B444" s="6" t="s">
        <v>37</v>
      </c>
      <c r="C444" s="15">
        <v>5</v>
      </c>
      <c r="D444" s="14">
        <f t="shared" si="44"/>
        <v>5</v>
      </c>
      <c r="E444" s="48">
        <v>41760</v>
      </c>
      <c r="F444" s="48"/>
      <c r="G444" s="48"/>
      <c r="H444" s="48"/>
      <c r="I444" s="48"/>
      <c r="J444" s="51"/>
      <c r="K444" s="6"/>
      <c r="L444" s="15"/>
      <c r="M444" s="14">
        <f>SUM(L444)</f>
        <v>0</v>
      </c>
      <c r="N444" s="61"/>
    </row>
    <row r="445" spans="2:15" x14ac:dyDescent="0.15">
      <c r="B445" s="6" t="s">
        <v>37</v>
      </c>
      <c r="C445" s="15">
        <v>5</v>
      </c>
      <c r="D445" s="14">
        <f t="shared" si="44"/>
        <v>5</v>
      </c>
      <c r="E445" s="48">
        <v>41761</v>
      </c>
      <c r="F445" s="48"/>
      <c r="G445" s="48"/>
      <c r="H445" s="48"/>
      <c r="I445" s="48"/>
      <c r="J445" s="51"/>
      <c r="K445" s="6"/>
      <c r="L445" s="15"/>
      <c r="M445" s="14">
        <f>SUM(L445:L445)</f>
        <v>0</v>
      </c>
      <c r="N445" s="66"/>
    </row>
    <row r="446" spans="2:15" x14ac:dyDescent="0.15">
      <c r="B446" s="6" t="s">
        <v>37</v>
      </c>
      <c r="C446" s="15">
        <v>15</v>
      </c>
      <c r="D446" s="14">
        <f t="shared" si="44"/>
        <v>15</v>
      </c>
      <c r="E446" s="48">
        <v>41764</v>
      </c>
      <c r="F446" s="48"/>
      <c r="G446" s="48"/>
      <c r="H446" s="48"/>
      <c r="I446" s="48"/>
      <c r="J446" s="51"/>
      <c r="K446" s="70"/>
      <c r="L446" s="15"/>
      <c r="M446" s="14">
        <f t="shared" si="43"/>
        <v>0</v>
      </c>
      <c r="N446" s="66"/>
    </row>
    <row r="447" spans="2:15" x14ac:dyDescent="0.15">
      <c r="B447" s="6" t="s">
        <v>113</v>
      </c>
      <c r="C447" s="15">
        <v>28</v>
      </c>
      <c r="D447" s="14">
        <f t="shared" si="44"/>
        <v>28</v>
      </c>
      <c r="E447" s="48">
        <v>41766</v>
      </c>
      <c r="F447" s="48"/>
      <c r="G447" s="48"/>
      <c r="H447" s="48"/>
      <c r="I447" s="48"/>
      <c r="J447" s="51"/>
      <c r="K447" s="71"/>
      <c r="L447" s="15"/>
      <c r="M447" s="14">
        <f t="shared" si="43"/>
        <v>0</v>
      </c>
      <c r="N447" s="66"/>
    </row>
    <row r="448" spans="2:15" ht="14.25" thickBot="1" x14ac:dyDescent="0.2">
      <c r="B448" s="6" t="s">
        <v>111</v>
      </c>
      <c r="C448" s="15">
        <v>20</v>
      </c>
      <c r="D448" s="14">
        <f t="shared" si="44"/>
        <v>20</v>
      </c>
      <c r="E448" s="74">
        <v>41773</v>
      </c>
      <c r="F448" s="74"/>
      <c r="G448" s="74"/>
      <c r="H448" s="74"/>
      <c r="I448" s="74"/>
      <c r="J448" s="51"/>
      <c r="K448" s="6"/>
      <c r="L448" s="15"/>
      <c r="M448" s="14">
        <f>SUM(L448)</f>
        <v>0</v>
      </c>
      <c r="N448" s="73"/>
    </row>
    <row r="449" spans="1:14" ht="14.25" thickBot="1" x14ac:dyDescent="0.2">
      <c r="B449" s="3" t="s">
        <v>5</v>
      </c>
      <c r="C449" s="16">
        <f>SUM(C425:C448)</f>
        <v>321</v>
      </c>
      <c r="D449" s="17">
        <f>SUM(D425:D448)</f>
        <v>321</v>
      </c>
      <c r="K449" s="3" t="s">
        <v>5</v>
      </c>
      <c r="L449" s="16">
        <f>SUM(L425:L448)</f>
        <v>855</v>
      </c>
      <c r="M449" s="17">
        <f>SUM(M425:M448)</f>
        <v>855</v>
      </c>
    </row>
    <row r="450" spans="1:14" ht="14.25" thickBot="1" x14ac:dyDescent="0.2">
      <c r="B450" s="18" t="s">
        <v>6</v>
      </c>
      <c r="C450" s="19">
        <f>C424-C449</f>
        <v>133</v>
      </c>
      <c r="D450" s="13">
        <f>D424-D449</f>
        <v>133</v>
      </c>
      <c r="K450" s="18" t="s">
        <v>6</v>
      </c>
      <c r="L450" s="19">
        <f>L424-L449</f>
        <v>1975</v>
      </c>
      <c r="M450" s="13">
        <f>M424-M449</f>
        <v>1975</v>
      </c>
    </row>
    <row r="452" spans="1:14" ht="18" thickBot="1" x14ac:dyDescent="0.25">
      <c r="A452" s="27" t="s">
        <v>8</v>
      </c>
      <c r="B452" s="28"/>
      <c r="C452" s="28"/>
      <c r="D452" s="28"/>
      <c r="J452" s="63" t="s">
        <v>7</v>
      </c>
      <c r="K452" s="64"/>
      <c r="L452" s="64"/>
      <c r="M452" s="64"/>
      <c r="N452" s="64"/>
    </row>
    <row r="453" spans="1:14" ht="14.25" thickBot="1" x14ac:dyDescent="0.2">
      <c r="B453" s="2"/>
      <c r="C453" s="3" t="s">
        <v>0</v>
      </c>
      <c r="D453" s="2" t="s">
        <v>1</v>
      </c>
      <c r="K453" s="2"/>
      <c r="L453" s="3" t="s">
        <v>0</v>
      </c>
      <c r="M453" s="2" t="s">
        <v>1</v>
      </c>
    </row>
    <row r="454" spans="1:14" x14ac:dyDescent="0.15">
      <c r="B454" s="43" t="s">
        <v>26</v>
      </c>
      <c r="C454" s="38">
        <f>C450</f>
        <v>133</v>
      </c>
      <c r="D454" s="39">
        <f t="shared" ref="D454:D464" si="45">SUM(C454:C454)</f>
        <v>133</v>
      </c>
      <c r="K454" s="43" t="s">
        <v>26</v>
      </c>
      <c r="L454" s="38">
        <f>L450</f>
        <v>1975</v>
      </c>
      <c r="M454" s="39">
        <f t="shared" ref="M454:M464" si="46">SUM(L454:L454)</f>
        <v>1975</v>
      </c>
    </row>
    <row r="455" spans="1:14" x14ac:dyDescent="0.15">
      <c r="B455" s="6" t="s">
        <v>3</v>
      </c>
      <c r="C455" s="7">
        <v>100</v>
      </c>
      <c r="D455" s="5">
        <f t="shared" si="45"/>
        <v>100</v>
      </c>
      <c r="E455" s="74">
        <v>41772</v>
      </c>
      <c r="F455" s="74"/>
      <c r="G455" s="74"/>
      <c r="H455" s="74"/>
      <c r="I455" s="74"/>
      <c r="K455" s="6" t="s">
        <v>3</v>
      </c>
      <c r="L455" s="7"/>
      <c r="M455" s="5">
        <f t="shared" si="46"/>
        <v>0</v>
      </c>
      <c r="N455" s="65"/>
    </row>
    <row r="456" spans="1:14" x14ac:dyDescent="0.15">
      <c r="B456" s="6" t="s">
        <v>3</v>
      </c>
      <c r="C456" s="7">
        <v>100</v>
      </c>
      <c r="D456" s="5">
        <f t="shared" si="45"/>
        <v>100</v>
      </c>
      <c r="E456" s="74">
        <v>41778</v>
      </c>
      <c r="F456" s="74"/>
      <c r="G456" s="74"/>
      <c r="H456" s="74"/>
      <c r="I456" s="74"/>
      <c r="K456" s="6" t="s">
        <v>3</v>
      </c>
      <c r="L456" s="54"/>
      <c r="M456" s="5">
        <f t="shared" si="46"/>
        <v>0</v>
      </c>
      <c r="N456" s="26"/>
    </row>
    <row r="457" spans="1:14" x14ac:dyDescent="0.15">
      <c r="B457" s="6" t="s">
        <v>3</v>
      </c>
      <c r="C457" s="7">
        <v>100</v>
      </c>
      <c r="D457" s="5">
        <f t="shared" si="45"/>
        <v>100</v>
      </c>
      <c r="E457" s="74">
        <v>41780</v>
      </c>
      <c r="F457" s="74"/>
      <c r="G457" s="74"/>
      <c r="H457" s="74"/>
      <c r="I457" s="74"/>
      <c r="K457" s="6" t="s">
        <v>3</v>
      </c>
      <c r="L457" s="7"/>
      <c r="M457" s="5">
        <f t="shared" si="46"/>
        <v>0</v>
      </c>
      <c r="N457" s="26"/>
    </row>
    <row r="458" spans="1:14" x14ac:dyDescent="0.15">
      <c r="B458" s="6" t="s">
        <v>3</v>
      </c>
      <c r="C458" s="7"/>
      <c r="D458" s="5">
        <f t="shared" si="45"/>
        <v>0</v>
      </c>
      <c r="K458" s="6" t="s">
        <v>3</v>
      </c>
      <c r="L458" s="7"/>
      <c r="M458" s="5">
        <f>SUM(L458:L458)</f>
        <v>0</v>
      </c>
      <c r="N458" s="26"/>
    </row>
    <row r="459" spans="1:14" x14ac:dyDescent="0.15">
      <c r="B459" s="6" t="s">
        <v>3</v>
      </c>
      <c r="C459" s="7">
        <v>100</v>
      </c>
      <c r="D459" s="5">
        <f t="shared" si="45"/>
        <v>100</v>
      </c>
      <c r="E459" s="74">
        <v>41781</v>
      </c>
      <c r="F459" s="74"/>
      <c r="G459" s="74"/>
      <c r="H459" s="74"/>
      <c r="I459" s="74"/>
      <c r="K459" s="6" t="s">
        <v>3</v>
      </c>
      <c r="L459" s="7"/>
      <c r="M459" s="5">
        <f t="shared" si="46"/>
        <v>0</v>
      </c>
      <c r="N459" s="26"/>
    </row>
    <row r="460" spans="1:14" x14ac:dyDescent="0.15">
      <c r="B460" s="6" t="s">
        <v>3</v>
      </c>
      <c r="C460" s="7">
        <v>100</v>
      </c>
      <c r="D460" s="5">
        <f t="shared" si="45"/>
        <v>100</v>
      </c>
      <c r="E460" s="74">
        <v>41783</v>
      </c>
      <c r="F460" s="74"/>
      <c r="G460" s="74"/>
      <c r="H460" s="74"/>
      <c r="I460" s="74"/>
      <c r="K460" s="6" t="s">
        <v>3</v>
      </c>
      <c r="L460" s="7"/>
      <c r="M460" s="5">
        <f t="shared" si="46"/>
        <v>0</v>
      </c>
      <c r="N460" s="65"/>
    </row>
    <row r="461" spans="1:14" x14ac:dyDescent="0.15">
      <c r="B461" s="6" t="s">
        <v>122</v>
      </c>
      <c r="C461" s="54">
        <v>3</v>
      </c>
      <c r="D461" s="5">
        <f t="shared" si="45"/>
        <v>3</v>
      </c>
      <c r="E461" s="48">
        <v>41785</v>
      </c>
      <c r="F461" s="48"/>
      <c r="G461" s="48"/>
      <c r="H461" s="48"/>
      <c r="I461" s="48"/>
      <c r="K461" s="6" t="s">
        <v>3</v>
      </c>
      <c r="L461" s="54"/>
      <c r="M461" s="5">
        <f t="shared" si="46"/>
        <v>0</v>
      </c>
      <c r="N461" s="58"/>
    </row>
    <row r="462" spans="1:14" x14ac:dyDescent="0.15">
      <c r="B462" s="6" t="s">
        <v>3</v>
      </c>
      <c r="C462" s="54">
        <v>100</v>
      </c>
      <c r="D462" s="5">
        <f t="shared" si="45"/>
        <v>100</v>
      </c>
      <c r="E462" s="74">
        <v>41788</v>
      </c>
      <c r="F462" s="74"/>
      <c r="G462" s="74"/>
      <c r="H462" s="74"/>
      <c r="I462" s="74"/>
      <c r="K462" s="6" t="s">
        <v>3</v>
      </c>
      <c r="L462" s="54"/>
      <c r="M462" s="5">
        <f t="shared" si="46"/>
        <v>0</v>
      </c>
      <c r="N462" s="65"/>
    </row>
    <row r="463" spans="1:14" x14ac:dyDescent="0.15">
      <c r="B463" s="6" t="s">
        <v>3</v>
      </c>
      <c r="C463" s="54"/>
      <c r="D463" s="5">
        <f t="shared" si="45"/>
        <v>0</v>
      </c>
      <c r="K463" s="6" t="s">
        <v>3</v>
      </c>
      <c r="L463" s="8"/>
      <c r="M463" s="5">
        <f t="shared" si="46"/>
        <v>0</v>
      </c>
      <c r="N463" s="65"/>
    </row>
    <row r="464" spans="1:14" ht="14.25" thickBot="1" x14ac:dyDescent="0.2">
      <c r="B464" s="9" t="s">
        <v>3</v>
      </c>
      <c r="C464" s="10"/>
      <c r="D464" s="5">
        <f t="shared" si="45"/>
        <v>0</v>
      </c>
      <c r="K464" s="9" t="s">
        <v>3</v>
      </c>
      <c r="L464" s="10"/>
      <c r="M464" s="5">
        <f t="shared" si="46"/>
        <v>0</v>
      </c>
    </row>
    <row r="465" spans="2:14" ht="14.25" thickBot="1" x14ac:dyDescent="0.2">
      <c r="B465" s="11" t="s">
        <v>4</v>
      </c>
      <c r="C465" s="12">
        <f>SUM(C454:C464)</f>
        <v>736</v>
      </c>
      <c r="D465" s="13">
        <f>SUM(D454:D464)</f>
        <v>736</v>
      </c>
      <c r="K465" s="11" t="s">
        <v>4</v>
      </c>
      <c r="L465" s="12">
        <f>SUM(L454:L464)</f>
        <v>1975</v>
      </c>
      <c r="M465" s="13">
        <f>SUM(M454:M464)</f>
        <v>1975</v>
      </c>
    </row>
    <row r="466" spans="2:14" x14ac:dyDescent="0.15">
      <c r="B466" s="6" t="s">
        <v>112</v>
      </c>
      <c r="C466" s="15">
        <v>20</v>
      </c>
      <c r="D466" s="14">
        <f>C466</f>
        <v>20</v>
      </c>
      <c r="E466" s="74">
        <v>41773</v>
      </c>
      <c r="F466" s="74"/>
      <c r="G466" s="74"/>
      <c r="H466" s="74"/>
      <c r="I466" s="74"/>
      <c r="K466" s="4" t="s">
        <v>115</v>
      </c>
      <c r="L466" s="15">
        <v>160</v>
      </c>
      <c r="M466" s="14">
        <f>SUM(L466)</f>
        <v>160</v>
      </c>
      <c r="N466" s="74">
        <v>41776</v>
      </c>
    </row>
    <row r="467" spans="2:14" x14ac:dyDescent="0.15">
      <c r="B467" s="4" t="s">
        <v>37</v>
      </c>
      <c r="C467" s="15">
        <v>9</v>
      </c>
      <c r="D467" s="14">
        <f>C467</f>
        <v>9</v>
      </c>
      <c r="E467" s="48">
        <v>41767</v>
      </c>
      <c r="F467" s="48"/>
      <c r="G467" s="48"/>
      <c r="H467" s="48"/>
      <c r="I467" s="48"/>
      <c r="J467" s="51"/>
      <c r="K467" s="4" t="s">
        <v>31</v>
      </c>
      <c r="L467" s="15">
        <v>100</v>
      </c>
      <c r="M467" s="14">
        <f>SUM(L467:L467)</f>
        <v>100</v>
      </c>
      <c r="N467" s="74">
        <v>41778</v>
      </c>
    </row>
    <row r="468" spans="2:14" x14ac:dyDescent="0.15">
      <c r="B468" s="4" t="s">
        <v>37</v>
      </c>
      <c r="C468" s="15">
        <v>18</v>
      </c>
      <c r="D468" s="14">
        <f t="shared" ref="D468:D489" si="47">SUM(C468)</f>
        <v>18</v>
      </c>
      <c r="E468" s="48">
        <v>41768</v>
      </c>
      <c r="F468" s="48"/>
      <c r="G468" s="48"/>
      <c r="H468" s="48"/>
      <c r="I468" s="48"/>
      <c r="J468" s="51"/>
      <c r="K468" s="4" t="s">
        <v>115</v>
      </c>
      <c r="L468" s="15">
        <v>131</v>
      </c>
      <c r="M468" s="14">
        <f t="shared" ref="M468:M479" si="48">SUM(L468:L468)</f>
        <v>131</v>
      </c>
      <c r="N468" s="74">
        <v>41779</v>
      </c>
    </row>
    <row r="469" spans="2:14" x14ac:dyDescent="0.15">
      <c r="B469" s="4" t="s">
        <v>37</v>
      </c>
      <c r="C469" s="15">
        <v>9</v>
      </c>
      <c r="D469" s="14">
        <f t="shared" si="47"/>
        <v>9</v>
      </c>
      <c r="E469" s="48">
        <v>41769</v>
      </c>
      <c r="F469" s="48"/>
      <c r="G469" s="48"/>
      <c r="H469" s="48"/>
      <c r="I469" s="48"/>
      <c r="J469" s="51"/>
      <c r="K469" s="4" t="s">
        <v>31</v>
      </c>
      <c r="L469" s="15">
        <v>100</v>
      </c>
      <c r="M469" s="14">
        <f t="shared" si="48"/>
        <v>100</v>
      </c>
      <c r="N469" s="74">
        <v>41780</v>
      </c>
    </row>
    <row r="470" spans="2:14" x14ac:dyDescent="0.15">
      <c r="B470" s="4" t="s">
        <v>37</v>
      </c>
      <c r="C470" s="15">
        <v>43</v>
      </c>
      <c r="D470" s="14">
        <f t="shared" si="47"/>
        <v>43</v>
      </c>
      <c r="E470" s="48">
        <v>41771</v>
      </c>
      <c r="F470" s="48"/>
      <c r="G470" s="48"/>
      <c r="H470" s="48"/>
      <c r="I470" s="48"/>
      <c r="J470" s="51"/>
      <c r="K470" s="6" t="s">
        <v>116</v>
      </c>
      <c r="L470" s="15">
        <v>80</v>
      </c>
      <c r="M470" s="14">
        <f t="shared" si="48"/>
        <v>80</v>
      </c>
      <c r="N470" s="74">
        <v>41780</v>
      </c>
    </row>
    <row r="471" spans="2:14" x14ac:dyDescent="0.15">
      <c r="B471" s="4" t="s">
        <v>114</v>
      </c>
      <c r="C471" s="15">
        <v>30</v>
      </c>
      <c r="D471" s="14">
        <f t="shared" si="47"/>
        <v>30</v>
      </c>
      <c r="E471" s="74">
        <v>41775</v>
      </c>
      <c r="F471" s="74"/>
      <c r="G471" s="74"/>
      <c r="H471" s="74"/>
      <c r="I471" s="74"/>
      <c r="J471" s="51"/>
      <c r="K471" s="4" t="s">
        <v>31</v>
      </c>
      <c r="L471" s="15">
        <v>100</v>
      </c>
      <c r="M471" s="14">
        <f>SUM(L471:L471)</f>
        <v>100</v>
      </c>
      <c r="N471" s="74">
        <v>41781</v>
      </c>
    </row>
    <row r="472" spans="2:14" x14ac:dyDescent="0.15">
      <c r="B472" s="4" t="s">
        <v>77</v>
      </c>
      <c r="C472" s="15">
        <v>20</v>
      </c>
      <c r="D472" s="14">
        <f t="shared" si="47"/>
        <v>20</v>
      </c>
      <c r="E472" s="74">
        <v>41775</v>
      </c>
      <c r="F472" s="74"/>
      <c r="G472" s="74"/>
      <c r="H472" s="74"/>
      <c r="I472" s="74"/>
      <c r="J472" s="51"/>
      <c r="K472" s="6" t="s">
        <v>116</v>
      </c>
      <c r="L472" s="15">
        <v>200</v>
      </c>
      <c r="M472" s="14">
        <f t="shared" si="48"/>
        <v>200</v>
      </c>
      <c r="N472" s="74">
        <v>41782</v>
      </c>
    </row>
    <row r="473" spans="2:14" x14ac:dyDescent="0.15">
      <c r="B473" s="4" t="s">
        <v>31</v>
      </c>
      <c r="C473" s="15">
        <v>9</v>
      </c>
      <c r="D473" s="14">
        <f t="shared" si="47"/>
        <v>9</v>
      </c>
      <c r="E473" s="48">
        <v>41772</v>
      </c>
      <c r="F473" s="48"/>
      <c r="G473" s="48"/>
      <c r="H473" s="48"/>
      <c r="I473" s="48"/>
      <c r="J473" s="51"/>
      <c r="K473" s="4" t="s">
        <v>31</v>
      </c>
      <c r="L473" s="15">
        <v>100</v>
      </c>
      <c r="M473" s="14">
        <f t="shared" si="48"/>
        <v>100</v>
      </c>
      <c r="N473" s="74">
        <v>41783</v>
      </c>
    </row>
    <row r="474" spans="2:14" x14ac:dyDescent="0.15">
      <c r="B474" s="4" t="s">
        <v>31</v>
      </c>
      <c r="C474" s="15">
        <v>20</v>
      </c>
      <c r="D474" s="14">
        <f t="shared" si="47"/>
        <v>20</v>
      </c>
      <c r="E474" s="48">
        <v>41773</v>
      </c>
      <c r="F474" s="48"/>
      <c r="G474" s="48"/>
      <c r="H474" s="48"/>
      <c r="I474" s="48"/>
      <c r="J474" s="51"/>
      <c r="K474" s="6" t="s">
        <v>120</v>
      </c>
      <c r="L474" s="15">
        <v>100</v>
      </c>
      <c r="M474" s="14">
        <f>SUM(L474)</f>
        <v>100</v>
      </c>
      <c r="N474" s="74">
        <v>41786</v>
      </c>
    </row>
    <row r="475" spans="2:14" x14ac:dyDescent="0.15">
      <c r="B475" s="4" t="s">
        <v>31</v>
      </c>
      <c r="C475" s="15">
        <v>5</v>
      </c>
      <c r="D475" s="14">
        <f t="shared" si="47"/>
        <v>5</v>
      </c>
      <c r="E475" s="48">
        <v>41774</v>
      </c>
      <c r="F475" s="48"/>
      <c r="G475" s="48"/>
      <c r="H475" s="48"/>
      <c r="I475" s="48"/>
      <c r="J475" s="51"/>
      <c r="K475" s="4" t="s">
        <v>31</v>
      </c>
      <c r="L475" s="15">
        <v>100</v>
      </c>
      <c r="M475" s="14">
        <f t="shared" si="48"/>
        <v>100</v>
      </c>
      <c r="N475" s="26">
        <v>41788</v>
      </c>
    </row>
    <row r="476" spans="2:14" x14ac:dyDescent="0.15">
      <c r="B476" s="4" t="s">
        <v>31</v>
      </c>
      <c r="C476" s="15">
        <v>17</v>
      </c>
      <c r="D476" s="14">
        <f t="shared" si="47"/>
        <v>17</v>
      </c>
      <c r="E476" s="74">
        <v>41775</v>
      </c>
      <c r="F476" s="74"/>
      <c r="G476" s="74"/>
      <c r="H476" s="74"/>
      <c r="I476" s="74"/>
      <c r="J476" s="51"/>
      <c r="K476" s="4" t="s">
        <v>31</v>
      </c>
      <c r="L476" s="15">
        <v>200</v>
      </c>
      <c r="M476" s="14">
        <f>SUM(L476:L476)</f>
        <v>200</v>
      </c>
      <c r="N476" s="26">
        <v>41790</v>
      </c>
    </row>
    <row r="477" spans="2:14" x14ac:dyDescent="0.15">
      <c r="B477" s="4" t="s">
        <v>31</v>
      </c>
      <c r="C477" s="15">
        <v>13</v>
      </c>
      <c r="D477" s="14">
        <f t="shared" si="47"/>
        <v>13</v>
      </c>
      <c r="E477" s="48">
        <v>41776</v>
      </c>
      <c r="F477" s="48"/>
      <c r="G477" s="48"/>
      <c r="H477" s="48"/>
      <c r="I477" s="48"/>
      <c r="J477" s="51"/>
      <c r="K477" s="6"/>
      <c r="L477" s="15"/>
      <c r="M477" s="14">
        <f t="shared" si="48"/>
        <v>0</v>
      </c>
      <c r="N477" s="36"/>
    </row>
    <row r="478" spans="2:14" x14ac:dyDescent="0.15">
      <c r="B478" s="4" t="s">
        <v>31</v>
      </c>
      <c r="C478" s="15">
        <v>60</v>
      </c>
      <c r="D478" s="14">
        <f t="shared" si="47"/>
        <v>60</v>
      </c>
      <c r="E478" s="48">
        <v>41778</v>
      </c>
      <c r="F478" s="48"/>
      <c r="G478" s="48"/>
      <c r="H478" s="48"/>
      <c r="I478" s="48"/>
      <c r="J478" s="51"/>
      <c r="K478" s="72"/>
      <c r="L478" s="15"/>
      <c r="M478" s="14">
        <f t="shared" si="48"/>
        <v>0</v>
      </c>
      <c r="N478" s="26"/>
    </row>
    <row r="479" spans="2:14" x14ac:dyDescent="0.15">
      <c r="B479" s="4" t="s">
        <v>117</v>
      </c>
      <c r="C479" s="15">
        <v>25</v>
      </c>
      <c r="D479" s="14">
        <f t="shared" si="47"/>
        <v>25</v>
      </c>
      <c r="E479" s="74">
        <v>41787</v>
      </c>
      <c r="F479" s="74"/>
      <c r="G479" s="74"/>
      <c r="H479" s="74"/>
      <c r="I479" s="74"/>
      <c r="J479" s="51"/>
      <c r="K479" s="6"/>
      <c r="L479" s="15"/>
      <c r="M479" s="14">
        <f t="shared" si="48"/>
        <v>0</v>
      </c>
      <c r="N479" s="26"/>
    </row>
    <row r="480" spans="2:14" x14ac:dyDescent="0.15">
      <c r="B480" s="4" t="s">
        <v>114</v>
      </c>
      <c r="C480" s="15">
        <v>50</v>
      </c>
      <c r="D480" s="14">
        <f t="shared" si="47"/>
        <v>50</v>
      </c>
      <c r="E480" s="74">
        <v>41785</v>
      </c>
      <c r="F480" s="74"/>
      <c r="G480" s="74"/>
      <c r="H480" s="74"/>
      <c r="I480" s="74"/>
      <c r="J480" s="51"/>
      <c r="K480" s="6"/>
      <c r="L480" s="15"/>
      <c r="M480" s="14">
        <f>SUM(L480:L480)</f>
        <v>0</v>
      </c>
      <c r="N480" s="26"/>
    </row>
    <row r="481" spans="1:14" x14ac:dyDescent="0.15">
      <c r="B481" s="6" t="s">
        <v>31</v>
      </c>
      <c r="C481" s="15">
        <v>22</v>
      </c>
      <c r="D481" s="14">
        <f t="shared" si="47"/>
        <v>22</v>
      </c>
      <c r="E481" s="48">
        <v>41780</v>
      </c>
      <c r="F481" s="48"/>
      <c r="G481" s="48"/>
      <c r="H481" s="48"/>
      <c r="I481" s="48"/>
      <c r="J481" s="51"/>
      <c r="K481" s="6"/>
      <c r="L481" s="15"/>
      <c r="M481" s="14">
        <f>SUM(L481:L481)</f>
        <v>0</v>
      </c>
      <c r="N481" s="36"/>
    </row>
    <row r="482" spans="1:14" x14ac:dyDescent="0.15">
      <c r="B482" s="6" t="s">
        <v>118</v>
      </c>
      <c r="C482" s="15">
        <v>26</v>
      </c>
      <c r="D482" s="14">
        <f t="shared" si="47"/>
        <v>26</v>
      </c>
      <c r="E482" s="48">
        <v>41781</v>
      </c>
      <c r="F482" s="48"/>
      <c r="G482" s="48"/>
      <c r="H482" s="48"/>
      <c r="I482" s="48"/>
      <c r="J482" s="51"/>
      <c r="K482" s="6"/>
      <c r="L482" s="15"/>
      <c r="M482" s="14">
        <f>SUM(L482:L482)</f>
        <v>0</v>
      </c>
      <c r="N482" s="26"/>
    </row>
    <row r="483" spans="1:14" x14ac:dyDescent="0.15">
      <c r="B483" s="6" t="s">
        <v>118</v>
      </c>
      <c r="C483" s="15">
        <v>20</v>
      </c>
      <c r="D483" s="14">
        <f t="shared" si="47"/>
        <v>20</v>
      </c>
      <c r="E483" s="48">
        <v>41782</v>
      </c>
      <c r="F483" s="48"/>
      <c r="G483" s="48"/>
      <c r="H483" s="48"/>
      <c r="I483" s="48"/>
      <c r="J483" s="51"/>
      <c r="K483" s="6"/>
      <c r="L483" s="15"/>
      <c r="M483" s="14">
        <f t="shared" ref="M483:M489" si="49">SUM(L483:L483)</f>
        <v>0</v>
      </c>
      <c r="N483" s="36"/>
    </row>
    <row r="484" spans="1:14" x14ac:dyDescent="0.15">
      <c r="B484" s="6" t="s">
        <v>37</v>
      </c>
      <c r="C484" s="15">
        <v>22</v>
      </c>
      <c r="D484" s="14">
        <f t="shared" si="47"/>
        <v>22</v>
      </c>
      <c r="E484" s="48">
        <v>41779</v>
      </c>
      <c r="F484" s="48"/>
      <c r="G484" s="48"/>
      <c r="H484" s="48"/>
      <c r="I484" s="48"/>
      <c r="J484" s="51"/>
      <c r="K484" s="72"/>
      <c r="L484" s="15"/>
      <c r="M484" s="14">
        <f t="shared" si="49"/>
        <v>0</v>
      </c>
      <c r="N484" s="26"/>
    </row>
    <row r="485" spans="1:14" x14ac:dyDescent="0.15">
      <c r="B485" s="6" t="s">
        <v>121</v>
      </c>
      <c r="C485" s="15">
        <v>10</v>
      </c>
      <c r="D485" s="14">
        <f t="shared" si="47"/>
        <v>10</v>
      </c>
      <c r="E485" s="48">
        <v>41783</v>
      </c>
      <c r="F485" s="48"/>
      <c r="G485" s="48"/>
      <c r="H485" s="48"/>
      <c r="I485" s="48"/>
      <c r="J485" s="51"/>
      <c r="K485" s="6"/>
      <c r="L485" s="15"/>
      <c r="M485" s="14">
        <f t="shared" si="49"/>
        <v>0</v>
      </c>
      <c r="N485" s="26"/>
    </row>
    <row r="486" spans="1:14" x14ac:dyDescent="0.15">
      <c r="B486" s="4" t="s">
        <v>119</v>
      </c>
      <c r="C486" s="15">
        <v>-1</v>
      </c>
      <c r="D486" s="14">
        <f t="shared" si="47"/>
        <v>-1</v>
      </c>
      <c r="E486" s="48">
        <v>41785</v>
      </c>
      <c r="F486" s="48"/>
      <c r="G486" s="48"/>
      <c r="H486" s="48"/>
      <c r="I486" s="48"/>
      <c r="J486" s="51"/>
      <c r="K486" s="4"/>
      <c r="L486" s="15"/>
      <c r="M486" s="14">
        <f t="shared" si="49"/>
        <v>0</v>
      </c>
      <c r="N486" s="26"/>
    </row>
    <row r="487" spans="1:14" x14ac:dyDescent="0.15">
      <c r="B487" s="6" t="s">
        <v>37</v>
      </c>
      <c r="C487" s="15">
        <v>32</v>
      </c>
      <c r="D487" s="14">
        <f t="shared" si="47"/>
        <v>32</v>
      </c>
      <c r="E487" s="74">
        <v>41785</v>
      </c>
      <c r="F487" s="74"/>
      <c r="G487" s="74"/>
      <c r="H487" s="74"/>
      <c r="I487" s="74"/>
      <c r="J487" s="51"/>
      <c r="K487" s="4"/>
      <c r="L487" s="15"/>
      <c r="M487" s="14">
        <f t="shared" si="49"/>
        <v>0</v>
      </c>
      <c r="N487" s="36"/>
    </row>
    <row r="488" spans="1:14" x14ac:dyDescent="0.15">
      <c r="B488" s="6" t="s">
        <v>123</v>
      </c>
      <c r="C488" s="15">
        <v>60</v>
      </c>
      <c r="D488" s="14">
        <f t="shared" si="47"/>
        <v>60</v>
      </c>
      <c r="E488" s="74">
        <v>41792</v>
      </c>
      <c r="F488" s="74"/>
      <c r="G488" s="74"/>
      <c r="H488" s="74"/>
      <c r="I488" s="74"/>
      <c r="J488" s="51"/>
      <c r="K488" s="4"/>
      <c r="L488" s="15"/>
      <c r="M488" s="14">
        <f t="shared" si="49"/>
        <v>0</v>
      </c>
      <c r="N488" s="36"/>
    </row>
    <row r="489" spans="1:14" ht="14.25" thickBot="1" x14ac:dyDescent="0.2">
      <c r="B489" s="6" t="s">
        <v>124</v>
      </c>
      <c r="C489" s="15">
        <v>40</v>
      </c>
      <c r="D489" s="14">
        <f t="shared" si="47"/>
        <v>40</v>
      </c>
      <c r="E489" s="74">
        <v>41792</v>
      </c>
      <c r="F489" s="74"/>
      <c r="G489" s="74"/>
      <c r="H489" s="74"/>
      <c r="I489" s="74"/>
      <c r="J489" s="51"/>
      <c r="K489" s="71"/>
      <c r="L489" s="15"/>
      <c r="M489" s="14">
        <f t="shared" si="49"/>
        <v>0</v>
      </c>
      <c r="N489" s="36"/>
    </row>
    <row r="490" spans="1:14" ht="14.25" thickBot="1" x14ac:dyDescent="0.2">
      <c r="B490" s="3" t="s">
        <v>5</v>
      </c>
      <c r="C490" s="16">
        <f>SUM(C466:C489)</f>
        <v>579</v>
      </c>
      <c r="D490" s="17">
        <f>SUM(D466:D489)</f>
        <v>579</v>
      </c>
      <c r="K490" s="3" t="s">
        <v>5</v>
      </c>
      <c r="L490" s="16">
        <f>SUM(L466:L489)</f>
        <v>1371</v>
      </c>
      <c r="M490" s="17">
        <f>SUM(M466:M489)</f>
        <v>1371</v>
      </c>
    </row>
    <row r="491" spans="1:14" ht="14.25" thickBot="1" x14ac:dyDescent="0.2">
      <c r="B491" s="18" t="s">
        <v>6</v>
      </c>
      <c r="C491" s="19">
        <f>C465-C490</f>
        <v>157</v>
      </c>
      <c r="D491" s="13">
        <f>D465-D490</f>
        <v>157</v>
      </c>
      <c r="K491" s="18" t="s">
        <v>6</v>
      </c>
      <c r="L491" s="19">
        <f>L465-L490</f>
        <v>604</v>
      </c>
      <c r="M491" s="13">
        <f>M465-M490</f>
        <v>604</v>
      </c>
    </row>
    <row r="493" spans="1:14" ht="18" thickBot="1" x14ac:dyDescent="0.25">
      <c r="A493" s="27" t="s">
        <v>8</v>
      </c>
      <c r="B493" s="28"/>
      <c r="C493" s="28"/>
      <c r="D493" s="28"/>
      <c r="J493" s="63" t="s">
        <v>7</v>
      </c>
      <c r="K493" s="64"/>
      <c r="L493" s="64"/>
      <c r="M493" s="64"/>
      <c r="N493" s="64"/>
    </row>
    <row r="494" spans="1:14" ht="14.25" thickBot="1" x14ac:dyDescent="0.2">
      <c r="B494" s="2"/>
      <c r="C494" s="3" t="s">
        <v>0</v>
      </c>
      <c r="D494" s="2" t="s">
        <v>1</v>
      </c>
      <c r="K494" s="2"/>
      <c r="L494" s="3" t="s">
        <v>0</v>
      </c>
      <c r="M494" s="2" t="s">
        <v>1</v>
      </c>
    </row>
    <row r="495" spans="1:14" x14ac:dyDescent="0.15">
      <c r="B495" s="43" t="s">
        <v>26</v>
      </c>
      <c r="C495" s="38">
        <f>C491</f>
        <v>157</v>
      </c>
      <c r="D495" s="39">
        <f t="shared" ref="D495:D505" si="50">SUM(C495:C495)</f>
        <v>157</v>
      </c>
      <c r="K495" s="43" t="s">
        <v>26</v>
      </c>
      <c r="L495" s="38">
        <f>L491</f>
        <v>604</v>
      </c>
      <c r="M495" s="39">
        <f>SUM(L495:L495)</f>
        <v>604</v>
      </c>
    </row>
    <row r="496" spans="1:14" x14ac:dyDescent="0.15">
      <c r="B496" s="6" t="s">
        <v>3</v>
      </c>
      <c r="C496" s="7">
        <v>200</v>
      </c>
      <c r="D496" s="5">
        <f t="shared" si="50"/>
        <v>200</v>
      </c>
      <c r="E496" s="74">
        <v>41790</v>
      </c>
      <c r="F496" s="74"/>
      <c r="G496" s="74"/>
      <c r="H496" s="74"/>
      <c r="I496" s="74"/>
      <c r="K496" s="6" t="s">
        <v>3</v>
      </c>
      <c r="L496" s="7"/>
      <c r="M496" s="5">
        <f>SUM(L496:L496)</f>
        <v>0</v>
      </c>
      <c r="N496" s="65"/>
    </row>
    <row r="497" spans="2:14" x14ac:dyDescent="0.15">
      <c r="B497" s="6" t="s">
        <v>3</v>
      </c>
      <c r="C497" s="7"/>
      <c r="D497" s="5">
        <f t="shared" si="50"/>
        <v>0</v>
      </c>
      <c r="K497" s="6" t="s">
        <v>3</v>
      </c>
      <c r="L497" s="7">
        <v>2000</v>
      </c>
      <c r="M497" s="5">
        <f>SUM(L497:L497)</f>
        <v>2000</v>
      </c>
      <c r="N497" s="26">
        <v>41787</v>
      </c>
    </row>
    <row r="498" spans="2:14" x14ac:dyDescent="0.15">
      <c r="B498" s="6" t="s">
        <v>3</v>
      </c>
      <c r="C498" s="7">
        <v>300</v>
      </c>
      <c r="D498" s="5">
        <f t="shared" si="50"/>
        <v>300</v>
      </c>
      <c r="E498" s="74">
        <v>41793</v>
      </c>
      <c r="F498" s="74"/>
      <c r="G498" s="74"/>
      <c r="H498" s="74"/>
      <c r="I498" s="74"/>
      <c r="K498" s="6" t="s">
        <v>3</v>
      </c>
      <c r="L498" s="7">
        <v>1500</v>
      </c>
      <c r="M498" s="5">
        <f>SUM(L498:L498)</f>
        <v>1500</v>
      </c>
      <c r="N498" s="26">
        <v>41787</v>
      </c>
    </row>
    <row r="499" spans="2:14" x14ac:dyDescent="0.15">
      <c r="B499" s="6" t="s">
        <v>3</v>
      </c>
      <c r="C499" s="7"/>
      <c r="D499" s="5">
        <f t="shared" si="50"/>
        <v>0</v>
      </c>
      <c r="E499" s="48"/>
      <c r="F499" s="48"/>
      <c r="G499" s="48"/>
      <c r="H499" s="48"/>
      <c r="I499" s="48"/>
      <c r="K499" s="6" t="s">
        <v>3</v>
      </c>
      <c r="L499" s="7">
        <v>1000</v>
      </c>
      <c r="M499" s="5">
        <f>SUM(L499:L499)</f>
        <v>1000</v>
      </c>
      <c r="N499" s="26">
        <v>41787</v>
      </c>
    </row>
    <row r="500" spans="2:14" x14ac:dyDescent="0.15">
      <c r="B500" s="6" t="s">
        <v>3</v>
      </c>
      <c r="C500" s="7">
        <v>200</v>
      </c>
      <c r="D500" s="5">
        <f t="shared" si="50"/>
        <v>200</v>
      </c>
      <c r="E500" s="74">
        <v>41800</v>
      </c>
      <c r="F500" s="74"/>
      <c r="G500" s="74"/>
      <c r="H500" s="74"/>
      <c r="I500" s="74"/>
      <c r="K500" s="6" t="s">
        <v>3</v>
      </c>
      <c r="L500" s="7"/>
      <c r="M500" s="5">
        <f t="shared" ref="M500:M505" si="51">SUM(L500:L500)</f>
        <v>0</v>
      </c>
      <c r="N500" s="26"/>
    </row>
    <row r="501" spans="2:14" x14ac:dyDescent="0.15">
      <c r="B501" s="6" t="s">
        <v>3</v>
      </c>
      <c r="C501" s="7">
        <v>100</v>
      </c>
      <c r="D501" s="5">
        <f t="shared" si="50"/>
        <v>100</v>
      </c>
      <c r="E501" s="74">
        <v>41802</v>
      </c>
      <c r="F501" s="74"/>
      <c r="G501" s="74"/>
      <c r="H501" s="74"/>
      <c r="I501" s="74"/>
      <c r="K501" s="6" t="s">
        <v>3</v>
      </c>
      <c r="L501" s="7"/>
      <c r="M501" s="5">
        <f t="shared" si="51"/>
        <v>0</v>
      </c>
      <c r="N501" s="65"/>
    </row>
    <row r="502" spans="2:14" x14ac:dyDescent="0.15">
      <c r="B502" s="6" t="s">
        <v>3</v>
      </c>
      <c r="C502" s="54"/>
      <c r="D502" s="5">
        <f t="shared" si="50"/>
        <v>0</v>
      </c>
      <c r="K502" s="6" t="s">
        <v>3</v>
      </c>
      <c r="L502" s="54"/>
      <c r="M502" s="5">
        <f t="shared" si="51"/>
        <v>0</v>
      </c>
      <c r="N502" s="58"/>
    </row>
    <row r="503" spans="2:14" x14ac:dyDescent="0.15">
      <c r="B503" s="6" t="s">
        <v>3</v>
      </c>
      <c r="C503" s="54"/>
      <c r="D503" s="5">
        <f t="shared" si="50"/>
        <v>0</v>
      </c>
      <c r="K503" s="6" t="s">
        <v>3</v>
      </c>
      <c r="L503" s="54"/>
      <c r="M503" s="5">
        <f t="shared" si="51"/>
        <v>0</v>
      </c>
      <c r="N503" s="65"/>
    </row>
    <row r="504" spans="2:14" x14ac:dyDescent="0.15">
      <c r="B504" s="6" t="s">
        <v>3</v>
      </c>
      <c r="C504" s="54"/>
      <c r="D504" s="5">
        <f t="shared" si="50"/>
        <v>0</v>
      </c>
      <c r="K504" s="6" t="s">
        <v>3</v>
      </c>
      <c r="L504" s="8"/>
      <c r="M504" s="5">
        <f t="shared" si="51"/>
        <v>0</v>
      </c>
      <c r="N504" s="65"/>
    </row>
    <row r="505" spans="2:14" ht="14.25" thickBot="1" x14ac:dyDescent="0.2">
      <c r="B505" s="9" t="s">
        <v>3</v>
      </c>
      <c r="C505" s="10"/>
      <c r="D505" s="5">
        <f t="shared" si="50"/>
        <v>0</v>
      </c>
      <c r="K505" s="9" t="s">
        <v>3</v>
      </c>
      <c r="L505" s="10"/>
      <c r="M505" s="5">
        <f t="shared" si="51"/>
        <v>0</v>
      </c>
    </row>
    <row r="506" spans="2:14" ht="14.25" thickBot="1" x14ac:dyDescent="0.2">
      <c r="B506" s="11" t="s">
        <v>4</v>
      </c>
      <c r="C506" s="12">
        <f>SUM(C495:C505)</f>
        <v>957</v>
      </c>
      <c r="D506" s="13">
        <f>SUM(D495:D505)</f>
        <v>957</v>
      </c>
      <c r="K506" s="11" t="s">
        <v>4</v>
      </c>
      <c r="L506" s="12">
        <f>SUM(L495:L505)</f>
        <v>5104</v>
      </c>
      <c r="M506" s="13">
        <f>SUM(M495:M505)</f>
        <v>5104</v>
      </c>
    </row>
    <row r="507" spans="2:14" x14ac:dyDescent="0.15">
      <c r="B507" s="6" t="s">
        <v>31</v>
      </c>
      <c r="C507" s="15">
        <v>11</v>
      </c>
      <c r="D507" s="14">
        <f>C507</f>
        <v>11</v>
      </c>
      <c r="E507" s="48">
        <v>41786</v>
      </c>
      <c r="F507" s="48"/>
      <c r="G507" s="48"/>
      <c r="H507" s="48"/>
      <c r="I507" s="48"/>
      <c r="K507" s="4" t="s">
        <v>9</v>
      </c>
      <c r="L507" s="44">
        <v>300</v>
      </c>
      <c r="M507" s="14">
        <f t="shared" ref="M507:M516" si="52">SUM(L507:L507)</f>
        <v>300</v>
      </c>
      <c r="N507" s="74">
        <v>41793</v>
      </c>
    </row>
    <row r="508" spans="2:14" x14ac:dyDescent="0.15">
      <c r="B508" s="6" t="s">
        <v>31</v>
      </c>
      <c r="C508" s="15">
        <v>25</v>
      </c>
      <c r="D508" s="14">
        <f>C508</f>
        <v>25</v>
      </c>
      <c r="E508" s="48">
        <v>41787</v>
      </c>
      <c r="F508" s="48"/>
      <c r="G508" s="48"/>
      <c r="H508" s="48"/>
      <c r="I508" s="48"/>
      <c r="J508" s="51"/>
      <c r="K508" s="4" t="s">
        <v>114</v>
      </c>
      <c r="L508" s="15">
        <v>200</v>
      </c>
      <c r="M508" s="14">
        <f>SUM(L508)</f>
        <v>200</v>
      </c>
      <c r="N508" s="74">
        <v>41795</v>
      </c>
    </row>
    <row r="509" spans="2:14" x14ac:dyDescent="0.15">
      <c r="B509" s="6" t="s">
        <v>31</v>
      </c>
      <c r="C509" s="15">
        <v>25</v>
      </c>
      <c r="D509" s="14">
        <f t="shared" ref="D509:D530" si="53">SUM(C509)</f>
        <v>25</v>
      </c>
      <c r="E509" s="48">
        <v>41788</v>
      </c>
      <c r="F509" s="48"/>
      <c r="G509" s="48"/>
      <c r="H509" s="48"/>
      <c r="I509" s="48"/>
      <c r="J509" s="51"/>
      <c r="K509" s="4" t="s">
        <v>9</v>
      </c>
      <c r="L509" s="15">
        <v>200</v>
      </c>
      <c r="M509" s="14">
        <f t="shared" si="52"/>
        <v>200</v>
      </c>
      <c r="N509" s="74">
        <v>41800</v>
      </c>
    </row>
    <row r="510" spans="2:14" x14ac:dyDescent="0.15">
      <c r="B510" s="6" t="s">
        <v>10</v>
      </c>
      <c r="C510" s="15">
        <v>40</v>
      </c>
      <c r="D510" s="14">
        <f t="shared" si="53"/>
        <v>40</v>
      </c>
      <c r="E510" s="74">
        <v>41796</v>
      </c>
      <c r="F510" s="74"/>
      <c r="G510" s="74"/>
      <c r="H510" s="74"/>
      <c r="I510" s="74"/>
      <c r="J510" s="51"/>
      <c r="K510" s="4" t="s">
        <v>114</v>
      </c>
      <c r="L510" s="15">
        <v>200</v>
      </c>
      <c r="M510" s="14">
        <f t="shared" si="52"/>
        <v>200</v>
      </c>
      <c r="N510" s="74">
        <v>41801</v>
      </c>
    </row>
    <row r="511" spans="2:14" x14ac:dyDescent="0.15">
      <c r="B511" s="6" t="s">
        <v>124</v>
      </c>
      <c r="C511" s="15">
        <v>20</v>
      </c>
      <c r="D511" s="14">
        <f t="shared" si="53"/>
        <v>20</v>
      </c>
      <c r="E511" s="74">
        <v>41796</v>
      </c>
      <c r="F511" s="74"/>
      <c r="G511" s="74"/>
      <c r="H511" s="74"/>
      <c r="I511" s="74"/>
      <c r="J511" s="51"/>
      <c r="K511" s="6" t="s">
        <v>129</v>
      </c>
      <c r="L511" s="15">
        <v>205</v>
      </c>
      <c r="M511" s="14">
        <f t="shared" si="52"/>
        <v>205</v>
      </c>
      <c r="N511" s="74">
        <v>41800</v>
      </c>
    </row>
    <row r="512" spans="2:14" x14ac:dyDescent="0.15">
      <c r="B512" s="4" t="s">
        <v>37</v>
      </c>
      <c r="C512" s="15">
        <v>17</v>
      </c>
      <c r="D512" s="14">
        <f t="shared" si="53"/>
        <v>17</v>
      </c>
      <c r="E512" s="48">
        <v>41789</v>
      </c>
      <c r="F512" s="48"/>
      <c r="G512" s="48"/>
      <c r="H512" s="48"/>
      <c r="I512" s="48"/>
      <c r="J512" s="51"/>
      <c r="K512" s="4" t="s">
        <v>9</v>
      </c>
      <c r="L512" s="15">
        <v>100</v>
      </c>
      <c r="M512" s="14">
        <f t="shared" si="52"/>
        <v>100</v>
      </c>
      <c r="N512" s="74">
        <v>41802</v>
      </c>
    </row>
    <row r="513" spans="2:14" x14ac:dyDescent="0.15">
      <c r="B513" s="4" t="s">
        <v>37</v>
      </c>
      <c r="C513" s="15">
        <v>28</v>
      </c>
      <c r="D513" s="14">
        <f t="shared" si="53"/>
        <v>28</v>
      </c>
      <c r="E513" s="48">
        <v>41790</v>
      </c>
      <c r="F513" s="48"/>
      <c r="G513" s="48"/>
      <c r="H513" s="48"/>
      <c r="I513" s="48"/>
      <c r="J513" s="51"/>
      <c r="K513" s="4" t="s">
        <v>9</v>
      </c>
      <c r="L513" s="15">
        <v>200</v>
      </c>
      <c r="M513" s="14">
        <f t="shared" si="52"/>
        <v>200</v>
      </c>
      <c r="N513" s="74">
        <v>41806</v>
      </c>
    </row>
    <row r="514" spans="2:14" x14ac:dyDescent="0.15">
      <c r="B514" s="4" t="s">
        <v>31</v>
      </c>
      <c r="C514" s="15">
        <v>116</v>
      </c>
      <c r="D514" s="14">
        <f>SUM(C514)</f>
        <v>116</v>
      </c>
      <c r="E514" s="48">
        <v>41792</v>
      </c>
      <c r="F514" s="48"/>
      <c r="G514" s="48"/>
      <c r="H514" s="48"/>
      <c r="I514" s="48"/>
      <c r="J514" s="51"/>
      <c r="K514" s="6" t="s">
        <v>133</v>
      </c>
      <c r="L514" s="15">
        <v>20</v>
      </c>
      <c r="M514" s="14">
        <f t="shared" si="52"/>
        <v>20</v>
      </c>
      <c r="N514" s="74">
        <v>41807</v>
      </c>
    </row>
    <row r="515" spans="2:14" x14ac:dyDescent="0.15">
      <c r="B515" s="4" t="s">
        <v>31</v>
      </c>
      <c r="C515" s="15">
        <v>50</v>
      </c>
      <c r="D515" s="14">
        <f t="shared" si="53"/>
        <v>50</v>
      </c>
      <c r="E515" s="48">
        <v>41793</v>
      </c>
      <c r="F515" s="48"/>
      <c r="G515" s="48"/>
      <c r="H515" s="48"/>
      <c r="I515" s="48"/>
      <c r="J515" s="51"/>
      <c r="K515" s="4" t="s">
        <v>135</v>
      </c>
      <c r="L515" s="15">
        <v>200</v>
      </c>
      <c r="M515" s="14">
        <f t="shared" si="52"/>
        <v>200</v>
      </c>
      <c r="N515" s="74">
        <v>41808</v>
      </c>
    </row>
    <row r="516" spans="2:14" x14ac:dyDescent="0.15">
      <c r="B516" s="4" t="s">
        <v>125</v>
      </c>
      <c r="C516" s="15">
        <v>35</v>
      </c>
      <c r="D516" s="14">
        <f t="shared" si="53"/>
        <v>35</v>
      </c>
      <c r="E516" s="74">
        <v>41801</v>
      </c>
      <c r="F516" s="74"/>
      <c r="G516" s="74"/>
      <c r="H516" s="74"/>
      <c r="I516" s="74"/>
      <c r="J516" s="51"/>
      <c r="K516" s="6" t="s">
        <v>140</v>
      </c>
      <c r="L516" s="15">
        <v>140</v>
      </c>
      <c r="M516" s="14">
        <f t="shared" si="52"/>
        <v>140</v>
      </c>
      <c r="N516" s="26">
        <v>41810</v>
      </c>
    </row>
    <row r="517" spans="2:14" x14ac:dyDescent="0.15">
      <c r="B517" s="6" t="s">
        <v>10</v>
      </c>
      <c r="C517" s="15">
        <v>40</v>
      </c>
      <c r="D517" s="14">
        <f t="shared" si="53"/>
        <v>40</v>
      </c>
      <c r="E517" s="74">
        <v>41799</v>
      </c>
      <c r="F517" s="74"/>
      <c r="G517" s="74"/>
      <c r="H517" s="74"/>
      <c r="I517" s="74"/>
      <c r="J517" s="51"/>
      <c r="K517" s="6" t="s">
        <v>142</v>
      </c>
      <c r="L517" s="15">
        <v>180</v>
      </c>
      <c r="M517" s="14">
        <f>SUM(L517:L517)</f>
        <v>180</v>
      </c>
      <c r="N517" s="26">
        <v>41811</v>
      </c>
    </row>
    <row r="518" spans="2:14" x14ac:dyDescent="0.15">
      <c r="B518" s="6" t="s">
        <v>124</v>
      </c>
      <c r="C518" s="15">
        <v>20</v>
      </c>
      <c r="D518" s="14">
        <f t="shared" si="53"/>
        <v>20</v>
      </c>
      <c r="E518" s="74">
        <v>41799</v>
      </c>
      <c r="F518" s="74"/>
      <c r="G518" s="74"/>
      <c r="H518" s="74"/>
      <c r="I518" s="74"/>
      <c r="J518" s="51"/>
      <c r="K518" s="4" t="s">
        <v>100</v>
      </c>
      <c r="L518" s="15">
        <v>100</v>
      </c>
      <c r="M518" s="14">
        <f t="shared" ref="M518:M523" si="54">SUM(L518:L518)</f>
        <v>100</v>
      </c>
      <c r="N518" s="26">
        <v>41814</v>
      </c>
    </row>
    <row r="519" spans="2:14" x14ac:dyDescent="0.15">
      <c r="B519" s="4" t="s">
        <v>126</v>
      </c>
      <c r="C519" s="15">
        <v>51</v>
      </c>
      <c r="D519" s="14">
        <f t="shared" si="53"/>
        <v>51</v>
      </c>
      <c r="E519" s="48">
        <v>41794</v>
      </c>
      <c r="F519" s="48"/>
      <c r="G519" s="48"/>
      <c r="H519" s="48"/>
      <c r="I519" s="48"/>
      <c r="J519" s="51"/>
      <c r="K519" s="4" t="s">
        <v>37</v>
      </c>
      <c r="L519" s="15">
        <v>200</v>
      </c>
      <c r="M519" s="14">
        <f t="shared" si="54"/>
        <v>200</v>
      </c>
      <c r="N519" s="26">
        <v>41814</v>
      </c>
    </row>
    <row r="520" spans="2:14" x14ac:dyDescent="0.15">
      <c r="B520" s="4" t="s">
        <v>127</v>
      </c>
      <c r="C520" s="15">
        <v>28</v>
      </c>
      <c r="D520" s="14">
        <f t="shared" si="53"/>
        <v>28</v>
      </c>
      <c r="E520" s="48">
        <v>41795</v>
      </c>
      <c r="F520" s="48"/>
      <c r="G520" s="48"/>
      <c r="H520" s="48"/>
      <c r="I520" s="48"/>
      <c r="J520" s="51"/>
      <c r="K520" s="6" t="s">
        <v>140</v>
      </c>
      <c r="L520" s="15">
        <v>130</v>
      </c>
      <c r="M520" s="14">
        <f>SUM(L520:L520)</f>
        <v>130</v>
      </c>
      <c r="N520" s="26">
        <v>41815</v>
      </c>
    </row>
    <row r="521" spans="2:14" x14ac:dyDescent="0.15">
      <c r="B521" s="4" t="s">
        <v>77</v>
      </c>
      <c r="C521" s="15">
        <v>50</v>
      </c>
      <c r="D521" s="14">
        <f t="shared" si="53"/>
        <v>50</v>
      </c>
      <c r="E521" s="74">
        <v>41799</v>
      </c>
      <c r="F521" s="74"/>
      <c r="G521" s="74"/>
      <c r="H521" s="74"/>
      <c r="I521" s="74"/>
      <c r="J521" s="51"/>
      <c r="K521" s="4"/>
      <c r="L521" s="15"/>
      <c r="M521" s="14">
        <f>SUM(L521:L521)</f>
        <v>0</v>
      </c>
      <c r="N521" s="36"/>
    </row>
    <row r="522" spans="2:14" x14ac:dyDescent="0.15">
      <c r="B522" s="6" t="s">
        <v>85</v>
      </c>
      <c r="C522" s="15">
        <v>30</v>
      </c>
      <c r="D522" s="14">
        <f t="shared" si="53"/>
        <v>30</v>
      </c>
      <c r="E522" s="74">
        <v>41800</v>
      </c>
      <c r="F522" s="74"/>
      <c r="G522" s="74"/>
      <c r="H522" s="74"/>
      <c r="I522" s="74"/>
      <c r="J522" s="51"/>
      <c r="K522" s="6"/>
      <c r="L522" s="15"/>
      <c r="M522" s="14">
        <f t="shared" si="54"/>
        <v>0</v>
      </c>
      <c r="N522" s="74"/>
    </row>
    <row r="523" spans="2:14" x14ac:dyDescent="0.15">
      <c r="B523" s="6" t="s">
        <v>128</v>
      </c>
      <c r="C523" s="15">
        <v>27</v>
      </c>
      <c r="D523" s="14">
        <f t="shared" si="53"/>
        <v>27</v>
      </c>
      <c r="E523" s="48">
        <v>41796</v>
      </c>
      <c r="F523" s="48"/>
      <c r="G523" s="48"/>
      <c r="H523" s="48"/>
      <c r="I523" s="48"/>
      <c r="J523" s="51"/>
      <c r="K523" s="70"/>
      <c r="L523" s="15"/>
      <c r="M523" s="14">
        <f t="shared" si="54"/>
        <v>0</v>
      </c>
      <c r="N523" s="74"/>
    </row>
    <row r="524" spans="2:14" x14ac:dyDescent="0.15">
      <c r="B524" s="6" t="s">
        <v>37</v>
      </c>
      <c r="C524" s="15">
        <v>13</v>
      </c>
      <c r="D524" s="14">
        <f t="shared" si="53"/>
        <v>13</v>
      </c>
      <c r="E524" s="48">
        <v>41797</v>
      </c>
      <c r="F524" s="48"/>
      <c r="G524" s="48"/>
      <c r="H524" s="48"/>
      <c r="I524" s="48"/>
      <c r="J524" s="51"/>
      <c r="K524" s="6"/>
      <c r="L524" s="15"/>
      <c r="M524" s="14">
        <f t="shared" ref="M524:M529" si="55">SUM(L524:L524)</f>
        <v>0</v>
      </c>
      <c r="N524" s="74"/>
    </row>
    <row r="525" spans="2:14" x14ac:dyDescent="0.15">
      <c r="B525" s="6" t="s">
        <v>37</v>
      </c>
      <c r="C525" s="15">
        <v>43</v>
      </c>
      <c r="D525" s="14">
        <f t="shared" si="53"/>
        <v>43</v>
      </c>
      <c r="E525" s="48">
        <v>41799</v>
      </c>
      <c r="F525" s="48"/>
      <c r="G525" s="48"/>
      <c r="H525" s="48"/>
      <c r="I525" s="48"/>
      <c r="J525" s="51"/>
      <c r="K525" s="4"/>
      <c r="L525" s="15"/>
      <c r="M525" s="14">
        <f t="shared" si="55"/>
        <v>0</v>
      </c>
      <c r="N525" s="36"/>
    </row>
    <row r="526" spans="2:14" x14ac:dyDescent="0.15">
      <c r="B526" s="6" t="s">
        <v>130</v>
      </c>
      <c r="C526" s="15">
        <v>25</v>
      </c>
      <c r="D526" s="14">
        <f t="shared" si="53"/>
        <v>25</v>
      </c>
      <c r="E526" s="48">
        <v>41800</v>
      </c>
      <c r="F526" s="48"/>
      <c r="G526" s="48"/>
      <c r="H526" s="48"/>
      <c r="I526" s="48"/>
      <c r="J526" s="51"/>
      <c r="K526" s="4"/>
      <c r="L526" s="15"/>
      <c r="M526" s="14">
        <f>SUM(L526:L526)</f>
        <v>0</v>
      </c>
      <c r="N526" s="36"/>
    </row>
    <row r="527" spans="2:14" x14ac:dyDescent="0.15">
      <c r="B527" s="4" t="s">
        <v>44</v>
      </c>
      <c r="C527" s="15">
        <v>50</v>
      </c>
      <c r="D527" s="14">
        <f t="shared" si="53"/>
        <v>50</v>
      </c>
      <c r="E527" s="74">
        <v>41807</v>
      </c>
      <c r="F527" s="74"/>
      <c r="G527" s="74"/>
      <c r="H527" s="74"/>
      <c r="I527" s="74"/>
      <c r="J527" s="51"/>
      <c r="K527" s="4"/>
      <c r="L527" s="15"/>
      <c r="M527" s="14">
        <f>SUM(L527:L527)</f>
        <v>0</v>
      </c>
      <c r="N527" s="36"/>
    </row>
    <row r="528" spans="2:14" x14ac:dyDescent="0.15">
      <c r="B528" s="6" t="s">
        <v>131</v>
      </c>
      <c r="C528" s="15">
        <v>24</v>
      </c>
      <c r="D528" s="14">
        <f t="shared" si="53"/>
        <v>24</v>
      </c>
      <c r="E528" s="48">
        <v>41801</v>
      </c>
      <c r="F528" s="48"/>
      <c r="G528" s="48"/>
      <c r="H528" s="48"/>
      <c r="I528" s="48"/>
      <c r="J528" s="51"/>
      <c r="K528" s="70"/>
      <c r="L528" s="15"/>
      <c r="M528" s="14">
        <f t="shared" si="55"/>
        <v>0</v>
      </c>
      <c r="N528" s="36"/>
    </row>
    <row r="529" spans="1:14" x14ac:dyDescent="0.15">
      <c r="B529" s="6" t="s">
        <v>77</v>
      </c>
      <c r="C529" s="15">
        <v>30</v>
      </c>
      <c r="D529" s="14">
        <f t="shared" si="53"/>
        <v>30</v>
      </c>
      <c r="E529" s="74">
        <v>41806</v>
      </c>
      <c r="F529" s="74"/>
      <c r="G529" s="74"/>
      <c r="H529" s="74"/>
      <c r="I529" s="74"/>
      <c r="J529" s="51"/>
      <c r="K529" s="71"/>
      <c r="L529" s="15"/>
      <c r="M529" s="14">
        <f t="shared" si="55"/>
        <v>0</v>
      </c>
      <c r="N529" s="36"/>
    </row>
    <row r="530" spans="1:14" ht="14.25" thickBot="1" x14ac:dyDescent="0.2">
      <c r="B530" s="6" t="s">
        <v>37</v>
      </c>
      <c r="C530" s="15">
        <v>14</v>
      </c>
      <c r="D530" s="14">
        <f t="shared" si="53"/>
        <v>14</v>
      </c>
      <c r="E530" s="48">
        <v>41802</v>
      </c>
      <c r="F530" s="48"/>
      <c r="G530" s="48"/>
      <c r="H530" s="48"/>
      <c r="I530" s="48"/>
      <c r="J530" s="51"/>
      <c r="K530" s="4"/>
      <c r="L530" s="15"/>
      <c r="M530" s="14">
        <f>SUM(L530:L530)</f>
        <v>0</v>
      </c>
      <c r="N530" s="36"/>
    </row>
    <row r="531" spans="1:14" ht="14.25" thickBot="1" x14ac:dyDescent="0.2">
      <c r="B531" s="3" t="s">
        <v>5</v>
      </c>
      <c r="C531" s="16">
        <f>SUM(C507:C530)</f>
        <v>812</v>
      </c>
      <c r="D531" s="17">
        <f>SUM(D507:D530)</f>
        <v>812</v>
      </c>
      <c r="K531" s="3" t="s">
        <v>5</v>
      </c>
      <c r="L531" s="16">
        <f>SUM(L507:L530)</f>
        <v>2375</v>
      </c>
      <c r="M531" s="17">
        <f>SUM(M507:M530)</f>
        <v>2375</v>
      </c>
    </row>
    <row r="532" spans="1:14" ht="14.25" thickBot="1" x14ac:dyDescent="0.2">
      <c r="B532" s="18" t="s">
        <v>6</v>
      </c>
      <c r="C532" s="19">
        <f>C506-C531</f>
        <v>145</v>
      </c>
      <c r="D532" s="13">
        <f>D506-D531</f>
        <v>145</v>
      </c>
      <c r="K532" s="18" t="s">
        <v>6</v>
      </c>
      <c r="L532" s="19">
        <f>L506-L531</f>
        <v>2729</v>
      </c>
      <c r="M532" s="13">
        <f>M506-M531</f>
        <v>2729</v>
      </c>
    </row>
    <row r="534" spans="1:14" ht="18" thickBot="1" x14ac:dyDescent="0.25">
      <c r="A534" s="27" t="s">
        <v>8</v>
      </c>
      <c r="B534" s="28"/>
      <c r="C534" s="28"/>
      <c r="D534" s="28"/>
      <c r="J534" s="63" t="s">
        <v>7</v>
      </c>
      <c r="K534" s="64"/>
      <c r="L534" s="64"/>
      <c r="M534" s="64"/>
      <c r="N534" s="64"/>
    </row>
    <row r="535" spans="1:14" ht="14.25" thickBot="1" x14ac:dyDescent="0.2">
      <c r="B535" s="2"/>
      <c r="C535" s="3" t="s">
        <v>0</v>
      </c>
      <c r="D535" s="2" t="s">
        <v>1</v>
      </c>
      <c r="K535" s="2"/>
      <c r="L535" s="3" t="s">
        <v>0</v>
      </c>
      <c r="M535" s="2" t="s">
        <v>1</v>
      </c>
    </row>
    <row r="536" spans="1:14" x14ac:dyDescent="0.15">
      <c r="B536" s="43" t="s">
        <v>26</v>
      </c>
      <c r="C536" s="38">
        <f>C532</f>
        <v>145</v>
      </c>
      <c r="D536" s="39">
        <f t="shared" ref="D536:D546" si="56">SUM(C536:C536)</f>
        <v>145</v>
      </c>
      <c r="K536" s="43" t="s">
        <v>26</v>
      </c>
      <c r="L536" s="38">
        <f>L532</f>
        <v>2729</v>
      </c>
      <c r="M536" s="39">
        <f t="shared" ref="M536:M546" si="57">SUM(L536:L536)</f>
        <v>2729</v>
      </c>
    </row>
    <row r="537" spans="1:14" x14ac:dyDescent="0.15">
      <c r="B537" s="6" t="s">
        <v>3</v>
      </c>
      <c r="C537" s="7">
        <v>200</v>
      </c>
      <c r="D537" s="5">
        <f t="shared" si="56"/>
        <v>200</v>
      </c>
      <c r="E537" s="74">
        <v>41806</v>
      </c>
      <c r="F537" s="74"/>
      <c r="G537" s="74"/>
      <c r="H537" s="74"/>
      <c r="I537" s="74"/>
      <c r="K537" s="6" t="s">
        <v>3</v>
      </c>
      <c r="L537" s="7"/>
      <c r="M537" s="5">
        <f t="shared" si="57"/>
        <v>0</v>
      </c>
      <c r="N537" s="26"/>
    </row>
    <row r="538" spans="1:14" x14ac:dyDescent="0.15">
      <c r="B538" s="6" t="s">
        <v>3</v>
      </c>
      <c r="C538" s="7">
        <v>200</v>
      </c>
      <c r="D538" s="5">
        <f t="shared" si="56"/>
        <v>200</v>
      </c>
      <c r="E538" s="74">
        <v>41808</v>
      </c>
      <c r="F538" s="74"/>
      <c r="G538" s="74"/>
      <c r="H538" s="74"/>
      <c r="I538" s="74"/>
      <c r="K538" s="6" t="s">
        <v>3</v>
      </c>
      <c r="L538" s="7"/>
      <c r="M538" s="5">
        <f t="shared" si="57"/>
        <v>0</v>
      </c>
      <c r="N538" s="26"/>
    </row>
    <row r="539" spans="1:14" x14ac:dyDescent="0.15">
      <c r="B539" s="6" t="s">
        <v>3</v>
      </c>
      <c r="C539" s="7">
        <v>200</v>
      </c>
      <c r="D539" s="5">
        <f t="shared" si="56"/>
        <v>200</v>
      </c>
      <c r="E539" s="74">
        <v>41814</v>
      </c>
      <c r="F539" s="74"/>
      <c r="G539" s="74"/>
      <c r="H539" s="74"/>
      <c r="I539" s="74"/>
      <c r="K539" s="6" t="s">
        <v>3</v>
      </c>
      <c r="L539" s="7"/>
      <c r="M539" s="5">
        <f t="shared" si="57"/>
        <v>0</v>
      </c>
      <c r="N539" s="26"/>
    </row>
    <row r="540" spans="1:14" x14ac:dyDescent="0.15">
      <c r="B540" s="6" t="s">
        <v>3</v>
      </c>
      <c r="C540" s="7">
        <v>100</v>
      </c>
      <c r="D540" s="5">
        <f t="shared" si="56"/>
        <v>100</v>
      </c>
      <c r="E540" s="74">
        <v>41820</v>
      </c>
      <c r="F540" s="74"/>
      <c r="G540" s="74"/>
      <c r="H540" s="74"/>
      <c r="I540" s="74"/>
      <c r="K540" s="6" t="s">
        <v>3</v>
      </c>
      <c r="L540" s="7"/>
      <c r="M540" s="5">
        <f t="shared" si="57"/>
        <v>0</v>
      </c>
      <c r="N540" s="65"/>
    </row>
    <row r="541" spans="1:14" x14ac:dyDescent="0.15">
      <c r="B541" s="6" t="s">
        <v>3</v>
      </c>
      <c r="C541" s="7">
        <v>100</v>
      </c>
      <c r="D541" s="5">
        <f t="shared" si="56"/>
        <v>100</v>
      </c>
      <c r="E541" s="74">
        <v>41822</v>
      </c>
      <c r="F541" s="74"/>
      <c r="G541" s="74"/>
      <c r="H541" s="74"/>
      <c r="I541" s="74"/>
      <c r="K541" s="6" t="s">
        <v>3</v>
      </c>
      <c r="L541" s="7"/>
      <c r="M541" s="5">
        <f t="shared" si="57"/>
        <v>0</v>
      </c>
      <c r="N541" s="65"/>
    </row>
    <row r="542" spans="1:14" x14ac:dyDescent="0.15">
      <c r="B542" s="6" t="s">
        <v>3</v>
      </c>
      <c r="C542" s="7"/>
      <c r="D542" s="5">
        <f t="shared" si="56"/>
        <v>0</v>
      </c>
      <c r="K542" s="6" t="s">
        <v>3</v>
      </c>
      <c r="L542" s="7"/>
      <c r="M542" s="5">
        <f t="shared" si="57"/>
        <v>0</v>
      </c>
      <c r="N542" s="65"/>
    </row>
    <row r="543" spans="1:14" x14ac:dyDescent="0.15">
      <c r="B543" s="6" t="s">
        <v>3</v>
      </c>
      <c r="C543" s="54"/>
      <c r="D543" s="5">
        <f t="shared" si="56"/>
        <v>0</v>
      </c>
      <c r="K543" s="6" t="s">
        <v>3</v>
      </c>
      <c r="L543" s="54"/>
      <c r="M543" s="5">
        <f t="shared" si="57"/>
        <v>0</v>
      </c>
      <c r="N543" s="58"/>
    </row>
    <row r="544" spans="1:14" x14ac:dyDescent="0.15">
      <c r="B544" s="6" t="s">
        <v>3</v>
      </c>
      <c r="C544" s="54"/>
      <c r="D544" s="5">
        <f t="shared" si="56"/>
        <v>0</v>
      </c>
      <c r="K544" s="6" t="s">
        <v>3</v>
      </c>
      <c r="L544" s="54"/>
      <c r="M544" s="5">
        <f t="shared" si="57"/>
        <v>0</v>
      </c>
      <c r="N544" s="65"/>
    </row>
    <row r="545" spans="2:15" x14ac:dyDescent="0.15">
      <c r="B545" s="6" t="s">
        <v>3</v>
      </c>
      <c r="C545" s="54"/>
      <c r="D545" s="5">
        <f t="shared" si="56"/>
        <v>0</v>
      </c>
      <c r="K545" s="6" t="s">
        <v>3</v>
      </c>
      <c r="L545" s="8"/>
      <c r="M545" s="5">
        <f t="shared" si="57"/>
        <v>0</v>
      </c>
      <c r="N545" s="65"/>
    </row>
    <row r="546" spans="2:15" ht="14.25" thickBot="1" x14ac:dyDescent="0.2">
      <c r="B546" s="9" t="s">
        <v>3</v>
      </c>
      <c r="C546" s="10"/>
      <c r="D546" s="5">
        <f t="shared" si="56"/>
        <v>0</v>
      </c>
      <c r="K546" s="9" t="s">
        <v>3</v>
      </c>
      <c r="L546" s="10"/>
      <c r="M546" s="5">
        <f t="shared" si="57"/>
        <v>0</v>
      </c>
    </row>
    <row r="547" spans="2:15" ht="14.25" thickBot="1" x14ac:dyDescent="0.2">
      <c r="B547" s="11" t="s">
        <v>4</v>
      </c>
      <c r="C547" s="12">
        <f>SUM(C536:C546)</f>
        <v>945</v>
      </c>
      <c r="D547" s="13">
        <f>SUM(D536:D546)</f>
        <v>945</v>
      </c>
      <c r="K547" s="11" t="s">
        <v>4</v>
      </c>
      <c r="L547" s="12">
        <f>SUM(L536:L546)</f>
        <v>2729</v>
      </c>
      <c r="M547" s="13">
        <f>SUM(M536:M546)</f>
        <v>2729</v>
      </c>
    </row>
    <row r="548" spans="2:15" x14ac:dyDescent="0.15">
      <c r="B548" s="6" t="s">
        <v>132</v>
      </c>
      <c r="C548" s="15">
        <v>95</v>
      </c>
      <c r="D548" s="14">
        <f>C548</f>
        <v>95</v>
      </c>
      <c r="E548" s="74">
        <v>41806</v>
      </c>
      <c r="F548" s="74"/>
      <c r="G548" s="74"/>
      <c r="H548" s="74"/>
      <c r="I548" s="74"/>
      <c r="K548" s="6" t="s">
        <v>144</v>
      </c>
      <c r="L548" s="44">
        <v>100</v>
      </c>
      <c r="M548" s="14">
        <f t="shared" ref="M548:M562" si="58">SUM(L548:L548)</f>
        <v>100</v>
      </c>
      <c r="N548" s="74">
        <v>41823</v>
      </c>
    </row>
    <row r="549" spans="2:15" x14ac:dyDescent="0.15">
      <c r="B549" s="102" t="s">
        <v>31</v>
      </c>
      <c r="C549" s="103">
        <v>17</v>
      </c>
      <c r="D549" s="104">
        <f>C549</f>
        <v>17</v>
      </c>
      <c r="E549" s="105">
        <v>41803</v>
      </c>
      <c r="F549" s="105"/>
      <c r="G549" s="105"/>
      <c r="H549" s="105"/>
      <c r="I549" s="105"/>
      <c r="J549" s="107"/>
      <c r="K549" s="102" t="s">
        <v>9</v>
      </c>
      <c r="L549" s="103">
        <v>100</v>
      </c>
      <c r="M549" s="104">
        <f t="shared" si="58"/>
        <v>100</v>
      </c>
      <c r="N549" s="74">
        <v>41820</v>
      </c>
      <c r="O549" s="100"/>
    </row>
    <row r="550" spans="2:15" x14ac:dyDescent="0.15">
      <c r="B550" s="102" t="s">
        <v>31</v>
      </c>
      <c r="C550" s="103">
        <v>21</v>
      </c>
      <c r="D550" s="104">
        <f t="shared" ref="D550:D571" si="59">SUM(C550)</f>
        <v>21</v>
      </c>
      <c r="E550" s="108">
        <v>41804</v>
      </c>
      <c r="F550" s="108"/>
      <c r="G550" s="108"/>
      <c r="H550" s="108"/>
      <c r="I550" s="108"/>
      <c r="J550" s="107"/>
      <c r="K550" s="102" t="s">
        <v>9</v>
      </c>
      <c r="L550" s="103">
        <v>100</v>
      </c>
      <c r="M550" s="104">
        <f t="shared" si="58"/>
        <v>100</v>
      </c>
      <c r="N550" s="74">
        <v>41822</v>
      </c>
    </row>
    <row r="551" spans="2:15" x14ac:dyDescent="0.15">
      <c r="B551" s="102" t="s">
        <v>31</v>
      </c>
      <c r="C551" s="103">
        <v>61</v>
      </c>
      <c r="D551" s="104">
        <f t="shared" si="59"/>
        <v>61</v>
      </c>
      <c r="E551" s="105">
        <v>41806</v>
      </c>
      <c r="F551" s="105"/>
      <c r="G551" s="105"/>
      <c r="H551" s="105"/>
      <c r="I551" s="105"/>
      <c r="J551" s="107"/>
      <c r="K551" s="102" t="s">
        <v>9</v>
      </c>
      <c r="L551" s="103">
        <v>100</v>
      </c>
      <c r="M551" s="104">
        <f t="shared" si="58"/>
        <v>100</v>
      </c>
      <c r="N551" s="74">
        <v>41823</v>
      </c>
    </row>
    <row r="552" spans="2:15" x14ac:dyDescent="0.15">
      <c r="B552" s="102" t="s">
        <v>134</v>
      </c>
      <c r="C552" s="103">
        <v>70</v>
      </c>
      <c r="D552" s="104">
        <f t="shared" si="59"/>
        <v>70</v>
      </c>
      <c r="E552" s="105">
        <v>41808</v>
      </c>
      <c r="F552" s="105"/>
      <c r="G552" s="105"/>
      <c r="H552" s="105"/>
      <c r="I552" s="105"/>
      <c r="J552" s="107"/>
      <c r="K552" s="110" t="s">
        <v>151</v>
      </c>
      <c r="L552" s="103">
        <v>100</v>
      </c>
      <c r="M552" s="104">
        <f t="shared" si="58"/>
        <v>100</v>
      </c>
      <c r="N552" s="74">
        <v>41824</v>
      </c>
    </row>
    <row r="553" spans="2:15" x14ac:dyDescent="0.15">
      <c r="B553" s="102" t="s">
        <v>137</v>
      </c>
      <c r="C553" s="103">
        <v>30</v>
      </c>
      <c r="D553" s="104">
        <f t="shared" si="59"/>
        <v>30</v>
      </c>
      <c r="E553" s="108">
        <v>41807</v>
      </c>
      <c r="F553" s="108"/>
      <c r="G553" s="108"/>
      <c r="H553" s="108"/>
      <c r="I553" s="108"/>
      <c r="J553" s="107"/>
      <c r="K553" s="102" t="s">
        <v>31</v>
      </c>
      <c r="L553" s="103">
        <v>100</v>
      </c>
      <c r="M553" s="104">
        <f t="shared" si="58"/>
        <v>100</v>
      </c>
      <c r="N553" s="26">
        <v>41825</v>
      </c>
    </row>
    <row r="554" spans="2:15" x14ac:dyDescent="0.15">
      <c r="B554" s="102" t="s">
        <v>136</v>
      </c>
      <c r="C554" s="103">
        <v>20</v>
      </c>
      <c r="D554" s="104">
        <f t="shared" si="59"/>
        <v>20</v>
      </c>
      <c r="E554" s="105">
        <v>41815</v>
      </c>
      <c r="F554" s="105"/>
      <c r="G554" s="105"/>
      <c r="H554" s="105"/>
      <c r="I554" s="105"/>
      <c r="J554" s="107"/>
      <c r="K554" s="110"/>
      <c r="L554" s="103"/>
      <c r="M554" s="104">
        <f t="shared" si="58"/>
        <v>0</v>
      </c>
      <c r="N554" s="65"/>
    </row>
    <row r="555" spans="2:15" x14ac:dyDescent="0.15">
      <c r="B555" s="102" t="s">
        <v>141</v>
      </c>
      <c r="C555" s="103">
        <v>32</v>
      </c>
      <c r="D555" s="104">
        <f t="shared" si="59"/>
        <v>32</v>
      </c>
      <c r="E555" s="108">
        <v>41808</v>
      </c>
      <c r="F555" s="108"/>
      <c r="G555" s="108"/>
      <c r="H555" s="108"/>
      <c r="I555" s="108"/>
      <c r="J555" s="107"/>
      <c r="K555" s="110"/>
      <c r="L555" s="103"/>
      <c r="M555" s="104">
        <f t="shared" si="58"/>
        <v>0</v>
      </c>
      <c r="N555" s="65"/>
    </row>
    <row r="556" spans="2:15" x14ac:dyDescent="0.15">
      <c r="B556" s="102" t="s">
        <v>138</v>
      </c>
      <c r="C556" s="103">
        <v>30</v>
      </c>
      <c r="D556" s="104">
        <f t="shared" si="59"/>
        <v>30</v>
      </c>
      <c r="E556" s="105">
        <v>41809</v>
      </c>
      <c r="F556" s="105"/>
      <c r="G556" s="105"/>
      <c r="H556" s="105"/>
      <c r="I556" s="105"/>
      <c r="J556" s="107"/>
      <c r="K556" s="102"/>
      <c r="L556" s="103"/>
      <c r="M556" s="104">
        <f t="shared" si="58"/>
        <v>0</v>
      </c>
      <c r="N556" s="65"/>
    </row>
    <row r="557" spans="2:15" x14ac:dyDescent="0.15">
      <c r="B557" s="102" t="s">
        <v>139</v>
      </c>
      <c r="C557" s="103">
        <v>52</v>
      </c>
      <c r="D557" s="104">
        <f t="shared" si="59"/>
        <v>52</v>
      </c>
      <c r="E557" s="105">
        <v>41813</v>
      </c>
      <c r="F557" s="105"/>
      <c r="G557" s="105"/>
      <c r="H557" s="105"/>
      <c r="I557" s="105"/>
      <c r="J557" s="107"/>
      <c r="K557" s="102"/>
      <c r="L557" s="103"/>
      <c r="M557" s="104">
        <f t="shared" si="58"/>
        <v>0</v>
      </c>
      <c r="N557" s="65"/>
    </row>
    <row r="558" spans="2:15" x14ac:dyDescent="0.15">
      <c r="B558" s="102" t="s">
        <v>37</v>
      </c>
      <c r="C558" s="103">
        <v>26</v>
      </c>
      <c r="D558" s="104">
        <f t="shared" si="59"/>
        <v>26</v>
      </c>
      <c r="E558" s="108">
        <v>41809</v>
      </c>
      <c r="F558" s="108"/>
      <c r="G558" s="108"/>
      <c r="H558" s="108"/>
      <c r="I558" s="108"/>
      <c r="J558" s="107"/>
      <c r="K558" s="102"/>
      <c r="L558" s="103"/>
      <c r="M558" s="104">
        <f t="shared" si="58"/>
        <v>0</v>
      </c>
      <c r="N558" s="65"/>
    </row>
    <row r="559" spans="2:15" x14ac:dyDescent="0.15">
      <c r="B559" s="102" t="s">
        <v>37</v>
      </c>
      <c r="C559" s="103">
        <v>23</v>
      </c>
      <c r="D559" s="104">
        <f t="shared" si="59"/>
        <v>23</v>
      </c>
      <c r="E559" s="108">
        <v>41810</v>
      </c>
      <c r="F559" s="108"/>
      <c r="G559" s="108"/>
      <c r="H559" s="108"/>
      <c r="I559" s="108"/>
      <c r="J559" s="107"/>
      <c r="K559" s="102"/>
      <c r="L559" s="103"/>
      <c r="M559" s="104">
        <f t="shared" si="58"/>
        <v>0</v>
      </c>
      <c r="N559" s="65"/>
    </row>
    <row r="560" spans="2:15" x14ac:dyDescent="0.15">
      <c r="B560" s="102" t="s">
        <v>37</v>
      </c>
      <c r="C560" s="103">
        <v>20</v>
      </c>
      <c r="D560" s="104">
        <f t="shared" si="59"/>
        <v>20</v>
      </c>
      <c r="E560" s="108">
        <v>41811</v>
      </c>
      <c r="F560" s="108"/>
      <c r="G560" s="108"/>
      <c r="H560" s="108"/>
      <c r="I560" s="108"/>
      <c r="J560" s="107"/>
      <c r="K560" s="111"/>
      <c r="L560" s="103"/>
      <c r="M560" s="104">
        <f t="shared" si="58"/>
        <v>0</v>
      </c>
      <c r="N560" s="26"/>
    </row>
    <row r="561" spans="1:16" x14ac:dyDescent="0.15">
      <c r="B561" s="102" t="s">
        <v>143</v>
      </c>
      <c r="C561" s="103">
        <v>46</v>
      </c>
      <c r="D561" s="104">
        <f t="shared" si="59"/>
        <v>46</v>
      </c>
      <c r="E561" s="108">
        <v>41813</v>
      </c>
      <c r="F561" s="108"/>
      <c r="G561" s="108"/>
      <c r="H561" s="108"/>
      <c r="I561" s="108"/>
      <c r="J561" s="107"/>
      <c r="K561" s="110"/>
      <c r="L561" s="103"/>
      <c r="M561" s="104">
        <f t="shared" si="58"/>
        <v>0</v>
      </c>
      <c r="N561" s="26"/>
    </row>
    <row r="562" spans="1:16" x14ac:dyDescent="0.15">
      <c r="B562" s="102" t="s">
        <v>77</v>
      </c>
      <c r="C562" s="103">
        <v>10</v>
      </c>
      <c r="D562" s="104">
        <f t="shared" si="59"/>
        <v>10</v>
      </c>
      <c r="E562" s="105">
        <v>41816</v>
      </c>
      <c r="F562" s="105"/>
      <c r="G562" s="105"/>
      <c r="H562" s="105"/>
      <c r="I562" s="105"/>
      <c r="J562" s="107"/>
      <c r="K562" s="102"/>
      <c r="L562" s="103"/>
      <c r="M562" s="104">
        <f t="shared" si="58"/>
        <v>0</v>
      </c>
      <c r="N562" s="26"/>
    </row>
    <row r="563" spans="1:16" x14ac:dyDescent="0.15">
      <c r="B563" s="110" t="s">
        <v>37</v>
      </c>
      <c r="C563" s="103">
        <v>24</v>
      </c>
      <c r="D563" s="104">
        <f t="shared" si="59"/>
        <v>24</v>
      </c>
      <c r="E563" s="108">
        <v>41814</v>
      </c>
      <c r="F563" s="108"/>
      <c r="G563" s="108"/>
      <c r="H563" s="108"/>
      <c r="I563" s="108"/>
      <c r="J563" s="107"/>
      <c r="K563" s="111"/>
      <c r="L563" s="103"/>
      <c r="M563" s="104">
        <f>SUM(L563:L563)</f>
        <v>0</v>
      </c>
      <c r="N563" s="26"/>
    </row>
    <row r="564" spans="1:16" x14ac:dyDescent="0.15">
      <c r="B564" s="110" t="s">
        <v>37</v>
      </c>
      <c r="C564" s="103">
        <v>21</v>
      </c>
      <c r="D564" s="104">
        <f t="shared" si="59"/>
        <v>21</v>
      </c>
      <c r="E564" s="108">
        <v>41815</v>
      </c>
      <c r="F564" s="108"/>
      <c r="G564" s="108"/>
      <c r="H564" s="108"/>
      <c r="I564" s="108"/>
      <c r="J564" s="107"/>
      <c r="K564" s="110"/>
      <c r="L564" s="103"/>
      <c r="M564" s="104">
        <f>SUM(L564:L564)</f>
        <v>0</v>
      </c>
      <c r="N564" s="26"/>
    </row>
    <row r="565" spans="1:16" x14ac:dyDescent="0.15">
      <c r="B565" s="110" t="s">
        <v>37</v>
      </c>
      <c r="C565" s="103">
        <v>22</v>
      </c>
      <c r="D565" s="104">
        <f t="shared" si="59"/>
        <v>22</v>
      </c>
      <c r="E565" s="108">
        <v>41816</v>
      </c>
      <c r="F565" s="108"/>
      <c r="G565" s="108"/>
      <c r="H565" s="108"/>
      <c r="I565" s="108"/>
      <c r="J565" s="107"/>
      <c r="K565" s="102"/>
      <c r="L565" s="103"/>
      <c r="M565" s="104">
        <f>SUM(L565:L565)</f>
        <v>0</v>
      </c>
      <c r="N565" s="26"/>
    </row>
    <row r="566" spans="1:16" x14ac:dyDescent="0.15">
      <c r="B566" s="110" t="s">
        <v>37</v>
      </c>
      <c r="C566" s="103">
        <v>23</v>
      </c>
      <c r="D566" s="104">
        <f t="shared" si="59"/>
        <v>23</v>
      </c>
      <c r="E566" s="108">
        <v>41817</v>
      </c>
      <c r="F566" s="108"/>
      <c r="G566" s="108"/>
      <c r="H566" s="108"/>
      <c r="I566" s="108"/>
      <c r="J566" s="107"/>
      <c r="K566" s="102"/>
      <c r="L566" s="103"/>
      <c r="M566" s="104">
        <f>SUM(L566:L566)</f>
        <v>0</v>
      </c>
      <c r="N566" s="36"/>
    </row>
    <row r="567" spans="1:16" x14ac:dyDescent="0.15">
      <c r="B567" s="110" t="s">
        <v>37</v>
      </c>
      <c r="C567" s="103">
        <v>15</v>
      </c>
      <c r="D567" s="104">
        <f t="shared" si="59"/>
        <v>15</v>
      </c>
      <c r="E567" s="108">
        <v>41818</v>
      </c>
      <c r="F567" s="108"/>
      <c r="G567" s="108"/>
      <c r="H567" s="108"/>
      <c r="I567" s="108"/>
      <c r="J567" s="107"/>
      <c r="K567" s="110"/>
      <c r="L567" s="103"/>
      <c r="M567" s="104">
        <f>SUM(L567)</f>
        <v>0</v>
      </c>
      <c r="N567" s="26"/>
      <c r="P567" s="1" t="s">
        <v>145</v>
      </c>
    </row>
    <row r="568" spans="1:16" x14ac:dyDescent="0.15">
      <c r="B568" s="110" t="s">
        <v>147</v>
      </c>
      <c r="C568" s="103">
        <v>53</v>
      </c>
      <c r="D568" s="104">
        <f t="shared" si="59"/>
        <v>53</v>
      </c>
      <c r="E568" s="108">
        <v>41820</v>
      </c>
      <c r="F568" s="108"/>
      <c r="G568" s="108"/>
      <c r="H568" s="108"/>
      <c r="I568" s="108"/>
      <c r="J568" s="107"/>
      <c r="K568" s="110"/>
      <c r="L568" s="103"/>
      <c r="M568" s="104">
        <f>SUM(L568)</f>
        <v>0</v>
      </c>
      <c r="N568" s="26"/>
    </row>
    <row r="569" spans="1:16" x14ac:dyDescent="0.15">
      <c r="B569" s="110" t="s">
        <v>146</v>
      </c>
      <c r="C569" s="103">
        <v>80</v>
      </c>
      <c r="D569" s="104">
        <f t="shared" si="59"/>
        <v>80</v>
      </c>
      <c r="E569" s="105">
        <v>41822</v>
      </c>
      <c r="F569" s="105"/>
      <c r="G569" s="105"/>
      <c r="H569" s="105"/>
      <c r="I569" s="105"/>
      <c r="J569" s="107"/>
      <c r="K569" s="102"/>
      <c r="L569" s="103"/>
      <c r="M569" s="104">
        <f>SUM(L569:L569)</f>
        <v>0</v>
      </c>
      <c r="N569" s="36"/>
    </row>
    <row r="570" spans="1:16" x14ac:dyDescent="0.15">
      <c r="B570" s="110" t="s">
        <v>148</v>
      </c>
      <c r="C570" s="103">
        <v>25</v>
      </c>
      <c r="D570" s="104">
        <f t="shared" si="59"/>
        <v>25</v>
      </c>
      <c r="E570" s="108">
        <v>41822</v>
      </c>
      <c r="F570" s="108"/>
      <c r="G570" s="108"/>
      <c r="H570" s="108"/>
      <c r="I570" s="108"/>
      <c r="J570" s="107"/>
      <c r="K570" s="110"/>
      <c r="L570" s="103"/>
      <c r="M570" s="104">
        <f>SUM(L570)</f>
        <v>0</v>
      </c>
      <c r="N570" s="26"/>
    </row>
    <row r="571" spans="1:16" ht="14.25" thickBot="1" x14ac:dyDescent="0.2">
      <c r="B571" s="110" t="s">
        <v>37</v>
      </c>
      <c r="C571" s="103">
        <v>29</v>
      </c>
      <c r="D571" s="104">
        <f t="shared" si="59"/>
        <v>29</v>
      </c>
      <c r="E571" s="108">
        <v>41821</v>
      </c>
      <c r="F571" s="108"/>
      <c r="G571" s="108"/>
      <c r="H571" s="108"/>
      <c r="I571" s="108"/>
      <c r="J571" s="107"/>
      <c r="K571" s="110"/>
      <c r="L571" s="103"/>
      <c r="M571" s="104">
        <f>SUM(L571)</f>
        <v>0</v>
      </c>
      <c r="N571" s="26"/>
    </row>
    <row r="572" spans="1:16" ht="14.25" thickBot="1" x14ac:dyDescent="0.2">
      <c r="B572" s="112" t="s">
        <v>5</v>
      </c>
      <c r="C572" s="113">
        <f>SUM(C548:C571)</f>
        <v>845</v>
      </c>
      <c r="D572" s="114">
        <f>SUM(D548:D571)</f>
        <v>845</v>
      </c>
      <c r="E572" s="106"/>
      <c r="F572" s="106"/>
      <c r="G572" s="106"/>
      <c r="H572" s="106"/>
      <c r="I572" s="106"/>
      <c r="J572" s="106"/>
      <c r="K572" s="112" t="s">
        <v>5</v>
      </c>
      <c r="L572" s="113">
        <f>SUM(L548:L571)</f>
        <v>600</v>
      </c>
      <c r="M572" s="114">
        <f>SUM(M548:M571)</f>
        <v>600</v>
      </c>
    </row>
    <row r="573" spans="1:16" ht="14.25" thickBot="1" x14ac:dyDescent="0.2">
      <c r="B573" s="115" t="s">
        <v>6</v>
      </c>
      <c r="C573" s="116">
        <f>C547-C572</f>
        <v>100</v>
      </c>
      <c r="D573" s="117">
        <f>D547-D572</f>
        <v>100</v>
      </c>
      <c r="E573" s="106"/>
      <c r="F573" s="106"/>
      <c r="G573" s="106"/>
      <c r="H573" s="106"/>
      <c r="I573" s="106"/>
      <c r="J573" s="106"/>
      <c r="K573" s="115" t="s">
        <v>6</v>
      </c>
      <c r="L573" s="116">
        <f>L547-L572</f>
        <v>2129</v>
      </c>
      <c r="M573" s="117">
        <f>M547-M572</f>
        <v>2129</v>
      </c>
    </row>
    <row r="574" spans="1:16" x14ac:dyDescent="0.15"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</row>
    <row r="575" spans="1:16" ht="18" thickBot="1" x14ac:dyDescent="0.25">
      <c r="A575" s="27" t="s">
        <v>8</v>
      </c>
      <c r="B575" s="118"/>
      <c r="C575" s="118"/>
      <c r="D575" s="118"/>
      <c r="E575" s="106"/>
      <c r="F575" s="106"/>
      <c r="G575" s="106"/>
      <c r="H575" s="106"/>
      <c r="I575" s="106"/>
      <c r="J575" s="119" t="s">
        <v>7</v>
      </c>
      <c r="K575" s="106"/>
      <c r="L575" s="106"/>
      <c r="M575" s="106"/>
      <c r="N575" s="64"/>
    </row>
    <row r="576" spans="1:16" ht="14.25" thickBot="1" x14ac:dyDescent="0.2">
      <c r="B576" s="120"/>
      <c r="C576" s="112" t="s">
        <v>0</v>
      </c>
      <c r="D576" s="120" t="s">
        <v>1</v>
      </c>
      <c r="E576" s="106"/>
      <c r="F576" s="106"/>
      <c r="G576" s="106"/>
      <c r="H576" s="106"/>
      <c r="I576" s="106"/>
      <c r="J576" s="106"/>
      <c r="K576" s="120"/>
      <c r="L576" s="112" t="s">
        <v>0</v>
      </c>
      <c r="M576" s="120" t="s">
        <v>1</v>
      </c>
    </row>
    <row r="577" spans="2:15" x14ac:dyDescent="0.15">
      <c r="B577" s="121" t="s">
        <v>26</v>
      </c>
      <c r="C577" s="122">
        <f>C573</f>
        <v>100</v>
      </c>
      <c r="D577" s="123">
        <f t="shared" ref="D577:D587" si="60">SUM(C577:C577)</f>
        <v>100</v>
      </c>
      <c r="E577" s="106"/>
      <c r="F577" s="106"/>
      <c r="G577" s="106"/>
      <c r="H577" s="106"/>
      <c r="I577" s="106"/>
      <c r="J577" s="106"/>
      <c r="K577" s="121" t="s">
        <v>26</v>
      </c>
      <c r="L577" s="122">
        <f>L573</f>
        <v>2129</v>
      </c>
      <c r="M577" s="123">
        <f t="shared" ref="M577:M587" si="61">SUM(L577:L577)</f>
        <v>2129</v>
      </c>
    </row>
    <row r="578" spans="2:15" x14ac:dyDescent="0.15">
      <c r="B578" s="110" t="s">
        <v>3</v>
      </c>
      <c r="C578" s="124">
        <v>100</v>
      </c>
      <c r="D578" s="125">
        <f t="shared" si="60"/>
        <v>100</v>
      </c>
      <c r="E578" s="105">
        <v>41823</v>
      </c>
      <c r="F578" s="105"/>
      <c r="G578" s="105"/>
      <c r="H578" s="105"/>
      <c r="I578" s="105"/>
      <c r="J578" s="106"/>
      <c r="K578" s="110" t="s">
        <v>3</v>
      </c>
      <c r="L578" s="124"/>
      <c r="M578" s="125">
        <f t="shared" si="61"/>
        <v>0</v>
      </c>
      <c r="N578" s="26"/>
    </row>
    <row r="579" spans="2:15" x14ac:dyDescent="0.15">
      <c r="B579" s="110" t="s">
        <v>3</v>
      </c>
      <c r="C579" s="124">
        <v>100</v>
      </c>
      <c r="D579" s="125">
        <f t="shared" si="60"/>
        <v>100</v>
      </c>
      <c r="E579" s="105">
        <v>41825</v>
      </c>
      <c r="F579" s="105"/>
      <c r="G579" s="105"/>
      <c r="H579" s="105"/>
      <c r="I579" s="105"/>
      <c r="J579" s="109"/>
      <c r="K579" s="110" t="s">
        <v>3</v>
      </c>
      <c r="L579" s="124"/>
      <c r="M579" s="125">
        <f t="shared" si="61"/>
        <v>0</v>
      </c>
      <c r="N579" s="26"/>
      <c r="O579" s="74"/>
    </row>
    <row r="580" spans="2:15" x14ac:dyDescent="0.15">
      <c r="B580" s="110" t="s">
        <v>3</v>
      </c>
      <c r="C580" s="124"/>
      <c r="D580" s="125">
        <f t="shared" si="60"/>
        <v>0</v>
      </c>
      <c r="E580" s="106"/>
      <c r="F580" s="106"/>
      <c r="G580" s="106"/>
      <c r="H580" s="106"/>
      <c r="I580" s="106"/>
      <c r="J580" s="109"/>
      <c r="K580" s="110" t="s">
        <v>3</v>
      </c>
      <c r="L580" s="124"/>
      <c r="M580" s="125">
        <f t="shared" si="61"/>
        <v>0</v>
      </c>
      <c r="N580" s="26"/>
      <c r="O580" s="75"/>
    </row>
    <row r="581" spans="2:15" x14ac:dyDescent="0.15">
      <c r="B581" s="110" t="s">
        <v>158</v>
      </c>
      <c r="C581" s="124">
        <v>300</v>
      </c>
      <c r="D581" s="125">
        <f t="shared" si="60"/>
        <v>300</v>
      </c>
      <c r="E581" s="126">
        <v>41827</v>
      </c>
      <c r="F581" s="126"/>
      <c r="G581" s="126"/>
      <c r="H581" s="126"/>
      <c r="I581" s="126"/>
      <c r="J581" s="109"/>
      <c r="K581" s="110" t="s">
        <v>3</v>
      </c>
      <c r="L581" s="124"/>
      <c r="M581" s="125">
        <f t="shared" si="61"/>
        <v>0</v>
      </c>
      <c r="N581" s="26"/>
      <c r="O581" s="75"/>
    </row>
    <row r="582" spans="2:15" x14ac:dyDescent="0.15">
      <c r="B582" s="110" t="s">
        <v>158</v>
      </c>
      <c r="C582" s="124">
        <v>500</v>
      </c>
      <c r="D582" s="125">
        <f t="shared" si="60"/>
        <v>500</v>
      </c>
      <c r="E582" s="126">
        <v>41827</v>
      </c>
      <c r="F582" s="126"/>
      <c r="G582" s="126"/>
      <c r="H582" s="126"/>
      <c r="I582" s="126"/>
      <c r="J582" s="109"/>
      <c r="K582" s="110" t="s">
        <v>3</v>
      </c>
      <c r="L582" s="124"/>
      <c r="M582" s="125">
        <f t="shared" si="61"/>
        <v>0</v>
      </c>
      <c r="N582" s="36"/>
      <c r="O582" s="75"/>
    </row>
    <row r="583" spans="2:15" x14ac:dyDescent="0.15">
      <c r="B583" s="110" t="s">
        <v>3</v>
      </c>
      <c r="C583" s="124"/>
      <c r="D583" s="125">
        <f t="shared" si="60"/>
        <v>0</v>
      </c>
      <c r="E583" s="106"/>
      <c r="F583" s="106"/>
      <c r="G583" s="106"/>
      <c r="H583" s="106"/>
      <c r="I583" s="106"/>
      <c r="J583" s="109"/>
      <c r="K583" s="110" t="s">
        <v>3</v>
      </c>
      <c r="L583" s="124"/>
      <c r="M583" s="125">
        <f t="shared" si="61"/>
        <v>0</v>
      </c>
      <c r="N583" s="36"/>
      <c r="O583" s="75"/>
    </row>
    <row r="584" spans="2:15" x14ac:dyDescent="0.15">
      <c r="B584" s="110" t="s">
        <v>71</v>
      </c>
      <c r="C584" s="127">
        <v>6</v>
      </c>
      <c r="D584" s="125">
        <f t="shared" si="60"/>
        <v>6</v>
      </c>
      <c r="E584" s="108">
        <v>41830</v>
      </c>
      <c r="F584" s="108"/>
      <c r="G584" s="108"/>
      <c r="H584" s="108"/>
      <c r="I584" s="108"/>
      <c r="J584" s="106"/>
      <c r="K584" s="110" t="s">
        <v>3</v>
      </c>
      <c r="L584" s="127"/>
      <c r="M584" s="125">
        <f t="shared" si="61"/>
        <v>0</v>
      </c>
      <c r="N584" s="26"/>
    </row>
    <row r="585" spans="2:15" x14ac:dyDescent="0.15">
      <c r="B585" s="110" t="s">
        <v>3</v>
      </c>
      <c r="C585" s="127"/>
      <c r="D585" s="125">
        <f t="shared" si="60"/>
        <v>0</v>
      </c>
      <c r="E585" s="108"/>
      <c r="F585" s="108"/>
      <c r="G585" s="108"/>
      <c r="H585" s="108"/>
      <c r="I585" s="108"/>
      <c r="J585" s="106"/>
      <c r="K585" s="110" t="s">
        <v>3</v>
      </c>
      <c r="L585" s="127"/>
      <c r="M585" s="125">
        <f t="shared" si="61"/>
        <v>0</v>
      </c>
      <c r="N585" s="65"/>
    </row>
    <row r="586" spans="2:15" x14ac:dyDescent="0.15">
      <c r="B586" s="110" t="s">
        <v>158</v>
      </c>
      <c r="C586" s="127">
        <v>400</v>
      </c>
      <c r="D586" s="125">
        <f t="shared" si="60"/>
        <v>400</v>
      </c>
      <c r="E586" s="105">
        <v>41830</v>
      </c>
      <c r="F586" s="105"/>
      <c r="G586" s="105"/>
      <c r="H586" s="105"/>
      <c r="I586" s="105"/>
      <c r="J586" s="106"/>
      <c r="K586" s="110" t="s">
        <v>3</v>
      </c>
      <c r="L586" s="128"/>
      <c r="M586" s="125">
        <f t="shared" si="61"/>
        <v>0</v>
      </c>
      <c r="N586" s="65"/>
    </row>
    <row r="587" spans="2:15" ht="14.25" thickBot="1" x14ac:dyDescent="0.2">
      <c r="B587" s="110" t="s">
        <v>158</v>
      </c>
      <c r="C587" s="129">
        <v>400</v>
      </c>
      <c r="D587" s="125">
        <f t="shared" si="60"/>
        <v>400</v>
      </c>
      <c r="E587" s="105">
        <v>41836</v>
      </c>
      <c r="F587" s="105"/>
      <c r="G587" s="105"/>
      <c r="H587" s="105"/>
      <c r="I587" s="105"/>
      <c r="J587" s="106"/>
      <c r="K587" s="130" t="s">
        <v>3</v>
      </c>
      <c r="L587" s="131"/>
      <c r="M587" s="125">
        <f t="shared" si="61"/>
        <v>0</v>
      </c>
    </row>
    <row r="588" spans="2:15" ht="14.25" thickBot="1" x14ac:dyDescent="0.2">
      <c r="B588" s="132" t="s">
        <v>4</v>
      </c>
      <c r="C588" s="133">
        <f>SUM(C577:C587)</f>
        <v>1906</v>
      </c>
      <c r="D588" s="117">
        <f>SUM(D577:D587)</f>
        <v>1906</v>
      </c>
      <c r="E588" s="106"/>
      <c r="F588" s="106"/>
      <c r="G588" s="106"/>
      <c r="H588" s="106"/>
      <c r="I588" s="106"/>
      <c r="J588" s="106"/>
      <c r="K588" s="132" t="s">
        <v>4</v>
      </c>
      <c r="L588" s="133">
        <f>SUM(L577:L587)</f>
        <v>2129</v>
      </c>
      <c r="M588" s="117">
        <f>SUM(M577:M587)</f>
        <v>2129</v>
      </c>
    </row>
    <row r="589" spans="2:15" x14ac:dyDescent="0.15">
      <c r="B589" s="110" t="s">
        <v>149</v>
      </c>
      <c r="C589" s="103">
        <v>65</v>
      </c>
      <c r="D589" s="104">
        <f>C589</f>
        <v>65</v>
      </c>
      <c r="E589" s="105">
        <v>41823</v>
      </c>
      <c r="F589" s="105"/>
      <c r="G589" s="105"/>
      <c r="H589" s="105"/>
      <c r="I589" s="105"/>
      <c r="J589" s="106"/>
      <c r="K589" s="110" t="s">
        <v>157</v>
      </c>
      <c r="L589" s="134">
        <v>1400</v>
      </c>
      <c r="M589" s="104">
        <f t="shared" ref="M589:M605" si="62">SUM(L589:L589)</f>
        <v>1400</v>
      </c>
      <c r="N589" s="74">
        <v>41834</v>
      </c>
    </row>
    <row r="590" spans="2:15" x14ac:dyDescent="0.15">
      <c r="B590" s="102" t="s">
        <v>150</v>
      </c>
      <c r="C590" s="103">
        <v>10</v>
      </c>
      <c r="D590" s="104">
        <f>C590</f>
        <v>10</v>
      </c>
      <c r="E590" s="105">
        <v>41830</v>
      </c>
      <c r="F590" s="105"/>
      <c r="G590" s="105"/>
      <c r="H590" s="105"/>
      <c r="I590" s="105"/>
      <c r="J590" s="107"/>
      <c r="K590" s="102" t="s">
        <v>100</v>
      </c>
      <c r="L590" s="103">
        <v>140</v>
      </c>
      <c r="M590" s="104">
        <f t="shared" si="62"/>
        <v>140</v>
      </c>
      <c r="N590" s="74">
        <v>41834</v>
      </c>
    </row>
    <row r="591" spans="2:15" x14ac:dyDescent="0.15">
      <c r="B591" s="102" t="s">
        <v>161</v>
      </c>
      <c r="C591" s="103">
        <v>34</v>
      </c>
      <c r="D591" s="104">
        <f t="shared" ref="D591:D611" si="63">SUM(C591)</f>
        <v>34</v>
      </c>
      <c r="E591" s="108">
        <v>41822</v>
      </c>
      <c r="F591" s="108"/>
      <c r="G591" s="108"/>
      <c r="H591" s="108"/>
      <c r="I591" s="108"/>
      <c r="J591" s="107"/>
      <c r="K591" s="110" t="s">
        <v>259</v>
      </c>
      <c r="L591" s="103">
        <v>502</v>
      </c>
      <c r="M591" s="104">
        <f t="shared" si="62"/>
        <v>502</v>
      </c>
      <c r="N591" s="74">
        <v>41836</v>
      </c>
    </row>
    <row r="592" spans="2:15" x14ac:dyDescent="0.15">
      <c r="B592" s="135" t="s">
        <v>152</v>
      </c>
      <c r="C592" s="103">
        <v>10</v>
      </c>
      <c r="D592" s="104">
        <f t="shared" si="63"/>
        <v>10</v>
      </c>
      <c r="E592" s="105">
        <v>41828</v>
      </c>
      <c r="F592" s="105"/>
      <c r="G592" s="105"/>
      <c r="H592" s="105"/>
      <c r="I592" s="105"/>
      <c r="J592" s="107"/>
      <c r="K592" s="136" t="s">
        <v>154</v>
      </c>
      <c r="L592" s="103">
        <v>85</v>
      </c>
      <c r="M592" s="104">
        <f t="shared" si="62"/>
        <v>85</v>
      </c>
      <c r="N592" s="74">
        <v>41835</v>
      </c>
    </row>
    <row r="593" spans="2:15" x14ac:dyDescent="0.15">
      <c r="B593" s="102" t="s">
        <v>161</v>
      </c>
      <c r="C593" s="103">
        <v>20</v>
      </c>
      <c r="D593" s="104">
        <f t="shared" si="63"/>
        <v>20</v>
      </c>
      <c r="E593" s="108">
        <v>41823</v>
      </c>
      <c r="F593" s="108"/>
      <c r="G593" s="108"/>
      <c r="H593" s="108"/>
      <c r="I593" s="108"/>
      <c r="J593" s="107"/>
      <c r="K593" s="110" t="s">
        <v>31</v>
      </c>
      <c r="L593" s="103">
        <v>2</v>
      </c>
      <c r="M593" s="104">
        <f t="shared" si="62"/>
        <v>2</v>
      </c>
      <c r="N593" s="74">
        <v>41837</v>
      </c>
    </row>
    <row r="594" spans="2:15" x14ac:dyDescent="0.15">
      <c r="B594" s="102" t="s">
        <v>161</v>
      </c>
      <c r="C594" s="103">
        <v>13</v>
      </c>
      <c r="D594" s="104">
        <f t="shared" si="63"/>
        <v>13</v>
      </c>
      <c r="E594" s="108">
        <v>41824</v>
      </c>
      <c r="F594" s="108"/>
      <c r="G594" s="108"/>
      <c r="H594" s="108"/>
      <c r="I594" s="108"/>
      <c r="J594" s="107"/>
      <c r="K594" s="102"/>
      <c r="L594" s="103"/>
      <c r="M594" s="104">
        <f t="shared" si="62"/>
        <v>0</v>
      </c>
      <c r="N594" s="58"/>
    </row>
    <row r="595" spans="2:15" x14ac:dyDescent="0.15">
      <c r="B595" s="102" t="s">
        <v>161</v>
      </c>
      <c r="C595" s="103">
        <v>12</v>
      </c>
      <c r="D595" s="104">
        <f t="shared" si="63"/>
        <v>12</v>
      </c>
      <c r="E595" s="108">
        <v>41825</v>
      </c>
      <c r="F595" s="108"/>
      <c r="G595" s="108"/>
      <c r="H595" s="108"/>
      <c r="I595" s="108"/>
      <c r="J595" s="107"/>
      <c r="K595" s="110"/>
      <c r="L595" s="103"/>
      <c r="M595" s="104">
        <f t="shared" si="62"/>
        <v>0</v>
      </c>
      <c r="N595" s="65"/>
    </row>
    <row r="596" spans="2:15" x14ac:dyDescent="0.15">
      <c r="B596" s="102" t="s">
        <v>153</v>
      </c>
      <c r="C596" s="103">
        <v>400</v>
      </c>
      <c r="D596" s="104">
        <f t="shared" si="63"/>
        <v>400</v>
      </c>
      <c r="E596" s="105">
        <v>41828</v>
      </c>
      <c r="F596" s="105"/>
      <c r="G596" s="105"/>
      <c r="H596" s="105"/>
      <c r="I596" s="105"/>
      <c r="J596" s="107"/>
      <c r="K596" s="110"/>
      <c r="L596" s="103"/>
      <c r="M596" s="104">
        <f t="shared" si="62"/>
        <v>0</v>
      </c>
      <c r="N596" s="65"/>
    </row>
    <row r="597" spans="2:15" x14ac:dyDescent="0.15">
      <c r="B597" s="102" t="s">
        <v>155</v>
      </c>
      <c r="C597" s="103">
        <v>40</v>
      </c>
      <c r="D597" s="104">
        <f t="shared" si="63"/>
        <v>40</v>
      </c>
      <c r="E597" s="105">
        <v>41829</v>
      </c>
      <c r="F597" s="105"/>
      <c r="G597" s="105"/>
      <c r="H597" s="105"/>
      <c r="I597" s="105"/>
      <c r="J597" s="107"/>
      <c r="K597" s="102"/>
      <c r="L597" s="103"/>
      <c r="M597" s="104">
        <f t="shared" si="62"/>
        <v>0</v>
      </c>
      <c r="N597" s="65"/>
    </row>
    <row r="598" spans="2:15" x14ac:dyDescent="0.15">
      <c r="B598" s="102" t="s">
        <v>161</v>
      </c>
      <c r="C598" s="103">
        <v>35</v>
      </c>
      <c r="D598" s="104">
        <f t="shared" si="63"/>
        <v>35</v>
      </c>
      <c r="E598" s="105">
        <v>41827</v>
      </c>
      <c r="F598" s="105"/>
      <c r="G598" s="105"/>
      <c r="H598" s="105"/>
      <c r="I598" s="105"/>
      <c r="J598" s="107"/>
      <c r="K598" s="102"/>
      <c r="L598" s="103"/>
      <c r="M598" s="104">
        <f t="shared" si="62"/>
        <v>0</v>
      </c>
      <c r="N598" s="65"/>
    </row>
    <row r="599" spans="2:15" x14ac:dyDescent="0.15">
      <c r="B599" s="102" t="s">
        <v>161</v>
      </c>
      <c r="C599" s="103">
        <v>22</v>
      </c>
      <c r="D599" s="104">
        <f t="shared" si="63"/>
        <v>22</v>
      </c>
      <c r="E599" s="108">
        <v>41828</v>
      </c>
      <c r="F599" s="108"/>
      <c r="G599" s="108"/>
      <c r="H599" s="108"/>
      <c r="I599" s="108"/>
      <c r="J599" s="107"/>
      <c r="K599" s="102"/>
      <c r="L599" s="103"/>
      <c r="M599" s="104">
        <f t="shared" si="62"/>
        <v>0</v>
      </c>
      <c r="N599" s="65"/>
    </row>
    <row r="600" spans="2:15" x14ac:dyDescent="0.15">
      <c r="B600" s="102" t="s">
        <v>161</v>
      </c>
      <c r="C600" s="103">
        <v>12</v>
      </c>
      <c r="D600" s="104">
        <f t="shared" si="63"/>
        <v>12</v>
      </c>
      <c r="E600" s="108">
        <v>41829</v>
      </c>
      <c r="F600" s="108"/>
      <c r="G600" s="108"/>
      <c r="H600" s="108"/>
      <c r="I600" s="108"/>
      <c r="J600" s="107"/>
      <c r="K600" s="102"/>
      <c r="L600" s="103"/>
      <c r="M600" s="104">
        <f t="shared" si="62"/>
        <v>0</v>
      </c>
      <c r="N600" s="65"/>
    </row>
    <row r="601" spans="2:15" x14ac:dyDescent="0.15">
      <c r="B601" s="102" t="s">
        <v>77</v>
      </c>
      <c r="C601" s="103">
        <v>20</v>
      </c>
      <c r="D601" s="104">
        <f t="shared" si="63"/>
        <v>20</v>
      </c>
      <c r="E601" s="105">
        <v>41834</v>
      </c>
      <c r="F601" s="105"/>
      <c r="G601" s="105"/>
      <c r="H601" s="105"/>
      <c r="I601" s="105"/>
      <c r="J601" s="107"/>
      <c r="K601" s="111"/>
      <c r="L601" s="103"/>
      <c r="M601" s="104">
        <f t="shared" si="62"/>
        <v>0</v>
      </c>
      <c r="N601" s="58"/>
    </row>
    <row r="602" spans="2:15" x14ac:dyDescent="0.15">
      <c r="B602" s="102" t="s">
        <v>161</v>
      </c>
      <c r="C602" s="103">
        <v>14</v>
      </c>
      <c r="D602" s="104">
        <f t="shared" si="63"/>
        <v>14</v>
      </c>
      <c r="E602" s="108">
        <v>41830</v>
      </c>
      <c r="F602" s="108"/>
      <c r="G602" s="108"/>
      <c r="H602" s="108"/>
      <c r="I602" s="108"/>
      <c r="J602" s="107"/>
      <c r="K602" s="110"/>
      <c r="L602" s="103"/>
      <c r="M602" s="104">
        <f t="shared" si="62"/>
        <v>0</v>
      </c>
      <c r="N602" s="26"/>
    </row>
    <row r="603" spans="2:15" x14ac:dyDescent="0.15">
      <c r="B603" s="102" t="s">
        <v>161</v>
      </c>
      <c r="C603" s="103">
        <v>20</v>
      </c>
      <c r="D603" s="104">
        <f t="shared" si="63"/>
        <v>20</v>
      </c>
      <c r="E603" s="105">
        <v>41831</v>
      </c>
      <c r="F603" s="105"/>
      <c r="G603" s="105"/>
      <c r="H603" s="105"/>
      <c r="I603" s="105"/>
      <c r="J603" s="107"/>
      <c r="K603" s="102"/>
      <c r="L603" s="103"/>
      <c r="M603" s="104">
        <f t="shared" si="62"/>
        <v>0</v>
      </c>
      <c r="N603" s="26"/>
    </row>
    <row r="604" spans="2:15" x14ac:dyDescent="0.15">
      <c r="B604" s="102" t="s">
        <v>161</v>
      </c>
      <c r="C604" s="103">
        <v>86</v>
      </c>
      <c r="D604" s="104">
        <f t="shared" si="63"/>
        <v>86</v>
      </c>
      <c r="E604" s="108">
        <v>41834</v>
      </c>
      <c r="F604" s="108"/>
      <c r="G604" s="108"/>
      <c r="H604" s="108"/>
      <c r="I604" s="108"/>
      <c r="J604" s="107"/>
      <c r="K604" s="102"/>
      <c r="L604" s="103"/>
      <c r="M604" s="104">
        <f t="shared" si="62"/>
        <v>0</v>
      </c>
      <c r="N604" s="36"/>
    </row>
    <row r="605" spans="2:15" x14ac:dyDescent="0.15">
      <c r="B605" s="135" t="s">
        <v>152</v>
      </c>
      <c r="C605" s="103">
        <v>160</v>
      </c>
      <c r="D605" s="104">
        <f t="shared" si="63"/>
        <v>160</v>
      </c>
      <c r="E605" s="105">
        <v>41837</v>
      </c>
      <c r="F605" s="105"/>
      <c r="G605" s="105"/>
      <c r="H605" s="105"/>
      <c r="I605" s="105"/>
      <c r="J605" s="107"/>
      <c r="K605" s="110"/>
      <c r="L605" s="103"/>
      <c r="M605" s="104">
        <f t="shared" si="62"/>
        <v>0</v>
      </c>
      <c r="N605" s="26"/>
    </row>
    <row r="606" spans="2:15" x14ac:dyDescent="0.15">
      <c r="B606" s="110" t="s">
        <v>161</v>
      </c>
      <c r="C606" s="103">
        <v>28</v>
      </c>
      <c r="D606" s="104">
        <f t="shared" si="63"/>
        <v>28</v>
      </c>
      <c r="E606" s="108">
        <v>41835</v>
      </c>
      <c r="F606" s="108"/>
      <c r="G606" s="108"/>
      <c r="H606" s="108"/>
      <c r="I606" s="108"/>
      <c r="J606" s="107"/>
      <c r="K606" s="136"/>
      <c r="L606" s="103"/>
      <c r="M606" s="104">
        <f>SUM(L606:L606)</f>
        <v>0</v>
      </c>
      <c r="N606" s="36"/>
      <c r="O606" s="100"/>
    </row>
    <row r="607" spans="2:15" x14ac:dyDescent="0.15">
      <c r="B607" s="110" t="s">
        <v>159</v>
      </c>
      <c r="C607" s="103">
        <v>-2</v>
      </c>
      <c r="D607" s="104">
        <f t="shared" si="63"/>
        <v>-2</v>
      </c>
      <c r="E607" s="108">
        <v>41837</v>
      </c>
      <c r="F607" s="108"/>
      <c r="G607" s="108"/>
      <c r="H607" s="108"/>
      <c r="I607" s="108"/>
      <c r="J607" s="107"/>
      <c r="K607" s="136"/>
      <c r="L607" s="103"/>
      <c r="M607" s="104">
        <f>SUM(L607)</f>
        <v>0</v>
      </c>
      <c r="N607" s="26"/>
      <c r="O607" s="100"/>
    </row>
    <row r="608" spans="2:15" x14ac:dyDescent="0.15">
      <c r="B608" s="102" t="s">
        <v>161</v>
      </c>
      <c r="C608" s="103">
        <v>27</v>
      </c>
      <c r="D608" s="104">
        <f>SUM(C608)</f>
        <v>27</v>
      </c>
      <c r="E608" s="105">
        <v>41836</v>
      </c>
      <c r="F608" s="105"/>
      <c r="G608" s="105"/>
      <c r="H608" s="105"/>
      <c r="I608" s="105"/>
      <c r="J608" s="107"/>
      <c r="K608" s="110"/>
      <c r="L608" s="103"/>
      <c r="M608" s="104">
        <f>SUM(L608)</f>
        <v>0</v>
      </c>
      <c r="N608" s="26"/>
    </row>
    <row r="609" spans="1:15" x14ac:dyDescent="0.15">
      <c r="B609" s="102" t="s">
        <v>161</v>
      </c>
      <c r="C609" s="103">
        <v>27</v>
      </c>
      <c r="D609" s="104">
        <f t="shared" si="63"/>
        <v>27</v>
      </c>
      <c r="E609" s="108">
        <v>41837</v>
      </c>
      <c r="F609" s="108"/>
      <c r="G609" s="108"/>
      <c r="H609" s="108"/>
      <c r="I609" s="108"/>
      <c r="J609" s="107"/>
      <c r="K609" s="135"/>
      <c r="L609" s="103"/>
      <c r="M609" s="104">
        <f>SUM(L609:L609)</f>
        <v>0</v>
      </c>
      <c r="N609" s="26"/>
    </row>
    <row r="610" spans="1:15" x14ac:dyDescent="0.15">
      <c r="B610" s="135" t="s">
        <v>160</v>
      </c>
      <c r="C610" s="103">
        <v>75</v>
      </c>
      <c r="D610" s="104">
        <f>C610</f>
        <v>75</v>
      </c>
      <c r="E610" s="105">
        <v>41839</v>
      </c>
      <c r="F610" s="105"/>
      <c r="G610" s="105"/>
      <c r="H610" s="105"/>
      <c r="I610" s="105"/>
      <c r="J610" s="107"/>
      <c r="K610" s="102"/>
      <c r="L610" s="103"/>
      <c r="M610" s="104">
        <f>SUM(L610:L610)</f>
        <v>0</v>
      </c>
      <c r="N610" s="26"/>
    </row>
    <row r="611" spans="1:15" x14ac:dyDescent="0.15">
      <c r="B611" s="110" t="s">
        <v>161</v>
      </c>
      <c r="C611" s="103">
        <v>18</v>
      </c>
      <c r="D611" s="104">
        <f t="shared" si="63"/>
        <v>18</v>
      </c>
      <c r="E611" s="105">
        <v>41838</v>
      </c>
      <c r="F611" s="105"/>
      <c r="G611" s="105"/>
      <c r="H611" s="105"/>
      <c r="I611" s="105"/>
      <c r="J611" s="107"/>
      <c r="K611" s="135"/>
      <c r="L611" s="103"/>
      <c r="M611" s="104">
        <f>SUM(L611:L611)</f>
        <v>0</v>
      </c>
      <c r="N611" s="26"/>
      <c r="O611" s="100"/>
    </row>
    <row r="612" spans="1:15" ht="14.25" thickBot="1" x14ac:dyDescent="0.2">
      <c r="B612" s="110" t="s">
        <v>162</v>
      </c>
      <c r="C612" s="103">
        <v>25</v>
      </c>
      <c r="D612" s="104">
        <f>SUM(C612)</f>
        <v>25</v>
      </c>
      <c r="E612" s="105">
        <v>41839</v>
      </c>
      <c r="F612" s="105"/>
      <c r="G612" s="105"/>
      <c r="H612" s="105"/>
      <c r="I612" s="105"/>
      <c r="J612" s="107"/>
      <c r="K612" s="135"/>
      <c r="L612" s="103"/>
      <c r="M612" s="104">
        <f>SUM(L612:L612)</f>
        <v>0</v>
      </c>
      <c r="N612" s="26"/>
    </row>
    <row r="613" spans="1:15" ht="14.25" thickBot="1" x14ac:dyDescent="0.2">
      <c r="B613" s="112" t="s">
        <v>5</v>
      </c>
      <c r="C613" s="113">
        <f>SUM(C589:C612)</f>
        <v>1171</v>
      </c>
      <c r="D613" s="114">
        <f>SUM(D589:D612)</f>
        <v>1171</v>
      </c>
      <c r="E613" s="106"/>
      <c r="F613" s="106"/>
      <c r="G613" s="106"/>
      <c r="H613" s="106"/>
      <c r="I613" s="106"/>
      <c r="J613" s="106"/>
      <c r="K613" s="112" t="s">
        <v>5</v>
      </c>
      <c r="L613" s="113">
        <f>SUM(L589:L612)</f>
        <v>2129</v>
      </c>
      <c r="M613" s="114">
        <f>SUM(M589:M612)</f>
        <v>2129</v>
      </c>
    </row>
    <row r="614" spans="1:15" ht="14.25" thickBot="1" x14ac:dyDescent="0.2">
      <c r="B614" s="115" t="s">
        <v>6</v>
      </c>
      <c r="C614" s="116">
        <f>C588-C613</f>
        <v>735</v>
      </c>
      <c r="D614" s="117">
        <f>D588-D613</f>
        <v>735</v>
      </c>
      <c r="E614" s="106"/>
      <c r="F614" s="106"/>
      <c r="G614" s="106"/>
      <c r="H614" s="106"/>
      <c r="I614" s="106"/>
      <c r="J614" s="106"/>
      <c r="K614" s="115" t="s">
        <v>6</v>
      </c>
      <c r="L614" s="116">
        <f>L588-L613</f>
        <v>0</v>
      </c>
      <c r="M614" s="117">
        <f>M588-M613</f>
        <v>0</v>
      </c>
    </row>
    <row r="615" spans="1:15" x14ac:dyDescent="0.15"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</row>
    <row r="616" spans="1:15" ht="18" thickBot="1" x14ac:dyDescent="0.25">
      <c r="A616" s="27" t="s">
        <v>8</v>
      </c>
      <c r="B616" s="118"/>
      <c r="C616" s="118"/>
      <c r="D616" s="118"/>
      <c r="E616" s="106"/>
      <c r="F616" s="106"/>
      <c r="G616" s="106"/>
      <c r="H616" s="106"/>
      <c r="I616" s="106"/>
      <c r="J616" s="119" t="s">
        <v>7</v>
      </c>
      <c r="K616" s="106"/>
      <c r="L616" s="106"/>
      <c r="M616" s="106"/>
      <c r="N616" s="64"/>
    </row>
    <row r="617" spans="1:15" ht="14.25" thickBot="1" x14ac:dyDescent="0.2">
      <c r="B617" s="120"/>
      <c r="C617" s="112" t="s">
        <v>0</v>
      </c>
      <c r="D617" s="120" t="s">
        <v>1</v>
      </c>
      <c r="E617" s="106"/>
      <c r="F617" s="106"/>
      <c r="G617" s="106"/>
      <c r="H617" s="106"/>
      <c r="I617" s="106"/>
      <c r="J617" s="106"/>
      <c r="K617" s="120"/>
      <c r="L617" s="112" t="s">
        <v>0</v>
      </c>
      <c r="M617" s="120" t="s">
        <v>1</v>
      </c>
    </row>
    <row r="618" spans="1:15" x14ac:dyDescent="0.15">
      <c r="B618" s="121" t="s">
        <v>26</v>
      </c>
      <c r="C618" s="122">
        <f>C614</f>
        <v>735</v>
      </c>
      <c r="D618" s="123">
        <f t="shared" ref="D618:D628" si="64">SUM(C618:C618)</f>
        <v>735</v>
      </c>
      <c r="E618" s="106"/>
      <c r="F618" s="106"/>
      <c r="G618" s="106"/>
      <c r="H618" s="106"/>
      <c r="I618" s="106"/>
      <c r="J618" s="106"/>
      <c r="K618" s="121" t="s">
        <v>26</v>
      </c>
      <c r="L618" s="122">
        <f>L614</f>
        <v>0</v>
      </c>
      <c r="M618" s="123">
        <f t="shared" ref="M618:M628" si="65">SUM(L618:L618)</f>
        <v>0</v>
      </c>
    </row>
    <row r="619" spans="1:15" x14ac:dyDescent="0.15">
      <c r="B619" s="110" t="s">
        <v>163</v>
      </c>
      <c r="C619" s="124">
        <v>43</v>
      </c>
      <c r="D619" s="125">
        <f t="shared" si="64"/>
        <v>43</v>
      </c>
      <c r="E619" s="108">
        <v>41845</v>
      </c>
      <c r="F619" s="108"/>
      <c r="G619" s="108"/>
      <c r="H619" s="108"/>
      <c r="I619" s="108"/>
      <c r="J619" s="106"/>
      <c r="K619" s="110" t="s">
        <v>3</v>
      </c>
      <c r="L619" s="124"/>
      <c r="M619" s="125">
        <f t="shared" si="65"/>
        <v>0</v>
      </c>
      <c r="N619" s="26"/>
    </row>
    <row r="620" spans="1:15" x14ac:dyDescent="0.15">
      <c r="B620" s="110" t="s">
        <v>3</v>
      </c>
      <c r="C620" s="124"/>
      <c r="D620" s="125">
        <f t="shared" si="64"/>
        <v>0</v>
      </c>
      <c r="E620" s="105"/>
      <c r="F620" s="105"/>
      <c r="G620" s="105"/>
      <c r="H620" s="105"/>
      <c r="I620" s="105"/>
      <c r="J620" s="106"/>
      <c r="K620" s="110" t="s">
        <v>3</v>
      </c>
      <c r="L620" s="124"/>
      <c r="M620" s="125">
        <f t="shared" si="65"/>
        <v>0</v>
      </c>
      <c r="N620" s="26"/>
    </row>
    <row r="621" spans="1:15" x14ac:dyDescent="0.15">
      <c r="B621" s="110" t="s">
        <v>3</v>
      </c>
      <c r="C621" s="124"/>
      <c r="D621" s="125">
        <f t="shared" si="64"/>
        <v>0</v>
      </c>
      <c r="E621" s="106"/>
      <c r="F621" s="106"/>
      <c r="G621" s="106"/>
      <c r="H621" s="106"/>
      <c r="I621" s="106"/>
      <c r="J621" s="106"/>
      <c r="K621" s="110" t="s">
        <v>3</v>
      </c>
      <c r="L621" s="124">
        <v>400</v>
      </c>
      <c r="M621" s="125">
        <f t="shared" si="65"/>
        <v>400</v>
      </c>
      <c r="N621" s="26">
        <v>41852</v>
      </c>
    </row>
    <row r="622" spans="1:15" x14ac:dyDescent="0.15">
      <c r="B622" s="110" t="s">
        <v>3</v>
      </c>
      <c r="C622" s="124"/>
      <c r="D622" s="125">
        <f t="shared" si="64"/>
        <v>0</v>
      </c>
      <c r="E622" s="106"/>
      <c r="F622" s="106"/>
      <c r="G622" s="106"/>
      <c r="H622" s="106"/>
      <c r="I622" s="106"/>
      <c r="J622" s="109"/>
      <c r="K622" s="110" t="s">
        <v>3</v>
      </c>
      <c r="L622" s="124">
        <v>1600</v>
      </c>
      <c r="M622" s="125">
        <f t="shared" si="65"/>
        <v>1600</v>
      </c>
      <c r="N622" s="26">
        <v>41863</v>
      </c>
    </row>
    <row r="623" spans="1:15" x14ac:dyDescent="0.15">
      <c r="B623" s="110" t="s">
        <v>3</v>
      </c>
      <c r="C623" s="124"/>
      <c r="D623" s="125">
        <f t="shared" si="64"/>
        <v>0</v>
      </c>
      <c r="E623" s="106"/>
      <c r="F623" s="106"/>
      <c r="G623" s="106"/>
      <c r="H623" s="106"/>
      <c r="I623" s="106"/>
      <c r="J623" s="106"/>
      <c r="K623" s="110" t="s">
        <v>3</v>
      </c>
      <c r="L623" s="124"/>
      <c r="M623" s="125">
        <f t="shared" si="65"/>
        <v>0</v>
      </c>
      <c r="N623" s="65"/>
    </row>
    <row r="624" spans="1:15" x14ac:dyDescent="0.15">
      <c r="B624" s="110" t="s">
        <v>3</v>
      </c>
      <c r="C624" s="124"/>
      <c r="D624" s="125">
        <f t="shared" si="64"/>
        <v>0</v>
      </c>
      <c r="E624" s="106"/>
      <c r="F624" s="106"/>
      <c r="G624" s="106"/>
      <c r="H624" s="106"/>
      <c r="I624" s="106"/>
      <c r="J624" s="106"/>
      <c r="K624" s="110" t="s">
        <v>3</v>
      </c>
      <c r="L624" s="124"/>
      <c r="M624" s="125">
        <f t="shared" si="65"/>
        <v>0</v>
      </c>
      <c r="N624" s="26"/>
    </row>
    <row r="625" spans="2:14" x14ac:dyDescent="0.15">
      <c r="B625" s="110" t="s">
        <v>3</v>
      </c>
      <c r="C625" s="127"/>
      <c r="D625" s="125">
        <f t="shared" si="64"/>
        <v>0</v>
      </c>
      <c r="E625" s="106"/>
      <c r="F625" s="106"/>
      <c r="G625" s="106"/>
      <c r="H625" s="106"/>
      <c r="I625" s="106"/>
      <c r="J625" s="106"/>
      <c r="K625" s="110" t="s">
        <v>3</v>
      </c>
      <c r="L625" s="124"/>
      <c r="M625" s="125">
        <f>SUM(L625:L625)</f>
        <v>0</v>
      </c>
      <c r="N625" s="26"/>
    </row>
    <row r="626" spans="2:14" x14ac:dyDescent="0.15">
      <c r="B626" s="110" t="s">
        <v>3</v>
      </c>
      <c r="C626" s="127"/>
      <c r="D626" s="125">
        <f t="shared" si="64"/>
        <v>0</v>
      </c>
      <c r="E626" s="106"/>
      <c r="F626" s="106"/>
      <c r="G626" s="106"/>
      <c r="H626" s="106"/>
      <c r="I626" s="106"/>
      <c r="J626" s="106"/>
      <c r="K626" s="110" t="s">
        <v>3</v>
      </c>
      <c r="L626" s="127"/>
      <c r="M626" s="125">
        <f t="shared" si="65"/>
        <v>0</v>
      </c>
      <c r="N626" s="65"/>
    </row>
    <row r="627" spans="2:14" x14ac:dyDescent="0.15">
      <c r="B627" s="110" t="s">
        <v>3</v>
      </c>
      <c r="C627" s="127">
        <v>400</v>
      </c>
      <c r="D627" s="125">
        <f t="shared" si="64"/>
        <v>400</v>
      </c>
      <c r="E627" s="105">
        <v>41845</v>
      </c>
      <c r="F627" s="105"/>
      <c r="G627" s="105"/>
      <c r="H627" s="105"/>
      <c r="I627" s="105"/>
      <c r="J627" s="106"/>
      <c r="K627" s="110" t="s">
        <v>3</v>
      </c>
      <c r="L627" s="128"/>
      <c r="M627" s="125">
        <f t="shared" si="65"/>
        <v>0</v>
      </c>
      <c r="N627" s="65"/>
    </row>
    <row r="628" spans="2:14" ht="14.25" thickBot="1" x14ac:dyDescent="0.2">
      <c r="B628" s="130" t="s">
        <v>3</v>
      </c>
      <c r="C628" s="129">
        <v>400</v>
      </c>
      <c r="D628" s="125">
        <f t="shared" si="64"/>
        <v>400</v>
      </c>
      <c r="E628" s="105">
        <v>41852</v>
      </c>
      <c r="F628" s="105"/>
      <c r="G628" s="105"/>
      <c r="H628" s="105"/>
      <c r="I628" s="105"/>
      <c r="J628" s="106"/>
      <c r="K628" s="130" t="s">
        <v>3</v>
      </c>
      <c r="L628" s="131"/>
      <c r="M628" s="125">
        <f t="shared" si="65"/>
        <v>0</v>
      </c>
    </row>
    <row r="629" spans="2:14" ht="14.25" thickBot="1" x14ac:dyDescent="0.2">
      <c r="B629" s="132" t="s">
        <v>4</v>
      </c>
      <c r="C629" s="133">
        <f>SUM(C618:C628)</f>
        <v>1578</v>
      </c>
      <c r="D629" s="117">
        <f>SUM(D618:D628)</f>
        <v>1578</v>
      </c>
      <c r="E629" s="106"/>
      <c r="F629" s="106"/>
      <c r="G629" s="106"/>
      <c r="H629" s="106"/>
      <c r="I629" s="106"/>
      <c r="J629" s="106"/>
      <c r="K629" s="132" t="s">
        <v>4</v>
      </c>
      <c r="L629" s="133">
        <f>SUM(L618:L628)</f>
        <v>2000</v>
      </c>
      <c r="M629" s="117">
        <f>SUM(M618:M628)</f>
        <v>2000</v>
      </c>
    </row>
    <row r="630" spans="2:14" x14ac:dyDescent="0.15">
      <c r="B630" s="135" t="s">
        <v>162</v>
      </c>
      <c r="C630" s="103">
        <v>78</v>
      </c>
      <c r="D630" s="104">
        <f>C630</f>
        <v>78</v>
      </c>
      <c r="E630" s="105">
        <v>41842</v>
      </c>
      <c r="F630" s="105"/>
      <c r="G630" s="105"/>
      <c r="H630" s="105"/>
      <c r="I630" s="105"/>
      <c r="J630" s="106"/>
      <c r="K630" s="102" t="s">
        <v>9</v>
      </c>
      <c r="L630" s="134">
        <v>400</v>
      </c>
      <c r="M630" s="104">
        <f t="shared" ref="M630:M644" si="66">SUM(L630:L630)</f>
        <v>400</v>
      </c>
      <c r="N630" s="74">
        <v>41852</v>
      </c>
    </row>
    <row r="631" spans="2:14" x14ac:dyDescent="0.15">
      <c r="B631" s="102" t="s">
        <v>156</v>
      </c>
      <c r="C631" s="103">
        <v>60</v>
      </c>
      <c r="D631" s="104">
        <f>SUM(C631)</f>
        <v>60</v>
      </c>
      <c r="E631" s="105">
        <v>41848</v>
      </c>
      <c r="F631" s="105"/>
      <c r="G631" s="105"/>
      <c r="H631" s="105"/>
      <c r="I631" s="105"/>
      <c r="J631" s="107"/>
      <c r="K631" s="102" t="s">
        <v>9</v>
      </c>
      <c r="L631" s="103">
        <v>1600</v>
      </c>
      <c r="M631" s="104">
        <f t="shared" si="66"/>
        <v>1600</v>
      </c>
      <c r="N631" s="48">
        <v>41863</v>
      </c>
    </row>
    <row r="632" spans="2:14" x14ac:dyDescent="0.15">
      <c r="B632" s="110" t="s">
        <v>44</v>
      </c>
      <c r="C632" s="103">
        <v>80</v>
      </c>
      <c r="D632" s="104">
        <f>SUM(C632)</f>
        <v>80</v>
      </c>
      <c r="E632" s="105">
        <v>41850</v>
      </c>
      <c r="F632" s="105"/>
      <c r="G632" s="105"/>
      <c r="H632" s="105"/>
      <c r="I632" s="105"/>
      <c r="J632" s="107"/>
      <c r="K632" s="102"/>
      <c r="L632" s="103"/>
      <c r="M632" s="104">
        <f t="shared" si="66"/>
        <v>0</v>
      </c>
    </row>
    <row r="633" spans="2:14" x14ac:dyDescent="0.15">
      <c r="B633" s="102" t="s">
        <v>114</v>
      </c>
      <c r="C633" s="103">
        <v>100</v>
      </c>
      <c r="D633" s="104">
        <f>SUM(C633)</f>
        <v>100</v>
      </c>
      <c r="E633" s="105">
        <v>41849</v>
      </c>
      <c r="F633" s="105"/>
      <c r="G633" s="105"/>
      <c r="H633" s="105"/>
      <c r="I633" s="105"/>
      <c r="J633" s="107"/>
      <c r="K633" s="102"/>
      <c r="L633" s="103"/>
      <c r="M633" s="104">
        <f t="shared" si="66"/>
        <v>0</v>
      </c>
    </row>
    <row r="634" spans="2:14" x14ac:dyDescent="0.15">
      <c r="B634" s="102" t="s">
        <v>162</v>
      </c>
      <c r="C634" s="103">
        <v>31</v>
      </c>
      <c r="D634" s="104">
        <f t="shared" ref="D634:D652" si="67">SUM(C634)</f>
        <v>31</v>
      </c>
      <c r="E634" s="108">
        <v>41843</v>
      </c>
      <c r="F634" s="108"/>
      <c r="G634" s="108"/>
      <c r="H634" s="108"/>
      <c r="I634" s="108"/>
      <c r="J634" s="107"/>
      <c r="K634" s="110"/>
      <c r="L634" s="103"/>
      <c r="M634" s="104">
        <f t="shared" si="66"/>
        <v>0</v>
      </c>
    </row>
    <row r="635" spans="2:14" x14ac:dyDescent="0.15">
      <c r="B635" s="102" t="s">
        <v>162</v>
      </c>
      <c r="C635" s="103">
        <v>36</v>
      </c>
      <c r="D635" s="104">
        <f t="shared" si="67"/>
        <v>36</v>
      </c>
      <c r="E635" s="108">
        <v>41844</v>
      </c>
      <c r="F635" s="108"/>
      <c r="G635" s="108"/>
      <c r="H635" s="108"/>
      <c r="I635" s="108"/>
      <c r="J635" s="107"/>
      <c r="K635" s="102"/>
      <c r="L635" s="103"/>
      <c r="M635" s="104">
        <f t="shared" si="66"/>
        <v>0</v>
      </c>
      <c r="N635" s="65"/>
    </row>
    <row r="636" spans="2:14" x14ac:dyDescent="0.15">
      <c r="B636" s="102" t="s">
        <v>162</v>
      </c>
      <c r="C636" s="103">
        <v>31</v>
      </c>
      <c r="D636" s="104">
        <f t="shared" si="67"/>
        <v>31</v>
      </c>
      <c r="E636" s="108">
        <v>41845</v>
      </c>
      <c r="F636" s="108"/>
      <c r="G636" s="108"/>
      <c r="H636" s="108"/>
      <c r="I636" s="108"/>
      <c r="J636" s="107"/>
      <c r="K636" s="110"/>
      <c r="L636" s="103"/>
      <c r="M636" s="104">
        <f t="shared" si="66"/>
        <v>0</v>
      </c>
      <c r="N636" s="65"/>
    </row>
    <row r="637" spans="2:14" x14ac:dyDescent="0.15">
      <c r="B637" s="102" t="s">
        <v>162</v>
      </c>
      <c r="C637" s="103">
        <v>31</v>
      </c>
      <c r="D637" s="104">
        <f t="shared" si="67"/>
        <v>31</v>
      </c>
      <c r="E637" s="105">
        <v>41846</v>
      </c>
      <c r="F637" s="105"/>
      <c r="G637" s="105"/>
      <c r="H637" s="105"/>
      <c r="I637" s="105"/>
      <c r="J637" s="107"/>
      <c r="K637" s="110"/>
      <c r="L637" s="103"/>
      <c r="M637" s="104">
        <f t="shared" si="66"/>
        <v>0</v>
      </c>
      <c r="N637" s="65"/>
    </row>
    <row r="638" spans="2:14" x14ac:dyDescent="0.15">
      <c r="B638" s="102" t="s">
        <v>77</v>
      </c>
      <c r="C638" s="103">
        <v>10</v>
      </c>
      <c r="D638" s="104">
        <f t="shared" si="67"/>
        <v>10</v>
      </c>
      <c r="E638" s="105">
        <v>41849</v>
      </c>
      <c r="F638" s="105"/>
      <c r="G638" s="105"/>
      <c r="H638" s="105"/>
      <c r="I638" s="105"/>
      <c r="J638" s="107"/>
      <c r="K638" s="102"/>
      <c r="L638" s="103"/>
      <c r="M638" s="104">
        <f t="shared" si="66"/>
        <v>0</v>
      </c>
      <c r="N638" s="65"/>
    </row>
    <row r="639" spans="2:14" x14ac:dyDescent="0.15">
      <c r="B639" s="102" t="s">
        <v>164</v>
      </c>
      <c r="C639" s="103">
        <v>10</v>
      </c>
      <c r="D639" s="104">
        <f t="shared" si="67"/>
        <v>10</v>
      </c>
      <c r="E639" s="105">
        <v>41850</v>
      </c>
      <c r="F639" s="105"/>
      <c r="G639" s="105"/>
      <c r="H639" s="105"/>
      <c r="I639" s="105"/>
      <c r="J639" s="107"/>
      <c r="K639" s="102"/>
      <c r="L639" s="103"/>
      <c r="M639" s="104">
        <f t="shared" si="66"/>
        <v>0</v>
      </c>
      <c r="N639" s="65"/>
    </row>
    <row r="640" spans="2:14" x14ac:dyDescent="0.15">
      <c r="B640" s="102" t="s">
        <v>162</v>
      </c>
      <c r="C640" s="103">
        <v>78</v>
      </c>
      <c r="D640" s="104">
        <f t="shared" si="67"/>
        <v>78</v>
      </c>
      <c r="E640" s="108">
        <v>41848</v>
      </c>
      <c r="F640" s="108"/>
      <c r="G640" s="108"/>
      <c r="H640" s="108"/>
      <c r="I640" s="108"/>
      <c r="J640" s="107"/>
      <c r="K640" s="102"/>
      <c r="L640" s="103"/>
      <c r="M640" s="104">
        <f t="shared" si="66"/>
        <v>0</v>
      </c>
      <c r="N640" s="65"/>
    </row>
    <row r="641" spans="2:15" x14ac:dyDescent="0.15">
      <c r="B641" s="102" t="s">
        <v>166</v>
      </c>
      <c r="C641" s="103">
        <v>60</v>
      </c>
      <c r="D641" s="104">
        <f t="shared" si="67"/>
        <v>60</v>
      </c>
      <c r="E641" s="105">
        <v>41850</v>
      </c>
      <c r="F641" s="105"/>
      <c r="G641" s="105"/>
      <c r="H641" s="105"/>
      <c r="I641" s="105"/>
      <c r="J641" s="107"/>
      <c r="K641" s="102"/>
      <c r="L641" s="103"/>
      <c r="M641" s="104">
        <f t="shared" si="66"/>
        <v>0</v>
      </c>
      <c r="N641" s="65"/>
    </row>
    <row r="642" spans="2:15" x14ac:dyDescent="0.15">
      <c r="B642" s="102" t="s">
        <v>167</v>
      </c>
      <c r="C642" s="103">
        <v>30</v>
      </c>
      <c r="D642" s="104">
        <f t="shared" si="67"/>
        <v>30</v>
      </c>
      <c r="E642" s="105">
        <v>41849</v>
      </c>
      <c r="F642" s="105"/>
      <c r="G642" s="105"/>
      <c r="H642" s="105"/>
      <c r="I642" s="105"/>
      <c r="J642" s="107"/>
      <c r="K642" s="111"/>
      <c r="L642" s="103"/>
      <c r="M642" s="104">
        <f t="shared" si="66"/>
        <v>0</v>
      </c>
      <c r="N642" s="58"/>
    </row>
    <row r="643" spans="2:15" x14ac:dyDescent="0.15">
      <c r="B643" s="102" t="s">
        <v>165</v>
      </c>
      <c r="C643" s="103">
        <v>40</v>
      </c>
      <c r="D643" s="104">
        <f t="shared" si="67"/>
        <v>40</v>
      </c>
      <c r="E643" s="105">
        <v>41851</v>
      </c>
      <c r="F643" s="105"/>
      <c r="G643" s="105"/>
      <c r="H643" s="105"/>
      <c r="I643" s="105"/>
      <c r="J643" s="107"/>
      <c r="K643" s="110"/>
      <c r="L643" s="103"/>
      <c r="M643" s="104">
        <f t="shared" si="66"/>
        <v>0</v>
      </c>
      <c r="N643" s="26"/>
    </row>
    <row r="644" spans="2:15" x14ac:dyDescent="0.15">
      <c r="B644" s="102" t="s">
        <v>162</v>
      </c>
      <c r="C644" s="103">
        <v>28</v>
      </c>
      <c r="D644" s="104">
        <f t="shared" si="67"/>
        <v>28</v>
      </c>
      <c r="E644" s="108">
        <v>41850</v>
      </c>
      <c r="F644" s="108"/>
      <c r="G644" s="108"/>
      <c r="H644" s="108"/>
      <c r="I644" s="108"/>
      <c r="J644" s="107"/>
      <c r="K644" s="102"/>
      <c r="L644" s="103"/>
      <c r="M644" s="104">
        <f t="shared" si="66"/>
        <v>0</v>
      </c>
      <c r="N644" s="26"/>
    </row>
    <row r="645" spans="2:15" x14ac:dyDescent="0.15">
      <c r="B645" s="102" t="s">
        <v>162</v>
      </c>
      <c r="C645" s="103">
        <v>33</v>
      </c>
      <c r="D645" s="104">
        <f t="shared" si="67"/>
        <v>33</v>
      </c>
      <c r="E645" s="108">
        <v>41851</v>
      </c>
      <c r="F645" s="108"/>
      <c r="G645" s="108"/>
      <c r="H645" s="108"/>
      <c r="I645" s="108"/>
      <c r="J645" s="107"/>
      <c r="K645" s="110"/>
      <c r="L645" s="103"/>
      <c r="M645" s="104">
        <f>SUM(L645)</f>
        <v>0</v>
      </c>
      <c r="N645" s="26"/>
    </row>
    <row r="646" spans="2:15" x14ac:dyDescent="0.15">
      <c r="B646" s="102" t="s">
        <v>162</v>
      </c>
      <c r="C646" s="103">
        <v>32</v>
      </c>
      <c r="D646" s="104">
        <f t="shared" si="67"/>
        <v>32</v>
      </c>
      <c r="E646" s="105">
        <v>41852</v>
      </c>
      <c r="F646" s="105"/>
      <c r="G646" s="105"/>
      <c r="H646" s="105"/>
      <c r="I646" s="105"/>
      <c r="J646" s="107"/>
      <c r="K646" s="110"/>
      <c r="L646" s="103"/>
      <c r="M646" s="104">
        <f>SUM(L646)</f>
        <v>0</v>
      </c>
      <c r="N646" s="26"/>
    </row>
    <row r="647" spans="2:15" x14ac:dyDescent="0.15">
      <c r="B647" s="110" t="s">
        <v>165</v>
      </c>
      <c r="C647" s="103">
        <v>100</v>
      </c>
      <c r="D647" s="104">
        <f t="shared" si="67"/>
        <v>100</v>
      </c>
      <c r="E647" s="105">
        <v>41855</v>
      </c>
      <c r="F647" s="105"/>
      <c r="G647" s="105"/>
      <c r="H647" s="105"/>
      <c r="I647" s="105"/>
      <c r="J647" s="107"/>
      <c r="K647" s="110"/>
      <c r="L647" s="103"/>
      <c r="M647" s="104">
        <f>SUM(L647:L647)</f>
        <v>0</v>
      </c>
      <c r="N647" s="26"/>
    </row>
    <row r="648" spans="2:15" x14ac:dyDescent="0.15">
      <c r="B648" s="110" t="s">
        <v>162</v>
      </c>
      <c r="C648" s="103">
        <v>34</v>
      </c>
      <c r="D648" s="104">
        <f t="shared" si="67"/>
        <v>34</v>
      </c>
      <c r="E648" s="105">
        <v>41853</v>
      </c>
      <c r="F648" s="105"/>
      <c r="G648" s="105"/>
      <c r="H648" s="105"/>
      <c r="I648" s="105"/>
      <c r="J648" s="107"/>
      <c r="K648" s="110"/>
      <c r="L648" s="103"/>
      <c r="M648" s="104">
        <f>SUM(L648)</f>
        <v>0</v>
      </c>
      <c r="N648" s="26"/>
    </row>
    <row r="649" spans="2:15" x14ac:dyDescent="0.15">
      <c r="B649" s="110" t="s">
        <v>168</v>
      </c>
      <c r="C649" s="103">
        <v>60</v>
      </c>
      <c r="D649" s="104">
        <f t="shared" si="67"/>
        <v>60</v>
      </c>
      <c r="E649" s="105">
        <v>41856</v>
      </c>
      <c r="F649" s="105"/>
      <c r="G649" s="105"/>
      <c r="H649" s="105"/>
      <c r="I649" s="105"/>
      <c r="J649" s="107"/>
      <c r="K649" s="102"/>
      <c r="L649" s="103"/>
      <c r="M649" s="104">
        <f>SUM(L649:L649)</f>
        <v>0</v>
      </c>
      <c r="N649" s="26"/>
      <c r="O649" s="75"/>
    </row>
    <row r="650" spans="2:15" x14ac:dyDescent="0.15">
      <c r="B650" s="110" t="s">
        <v>169</v>
      </c>
      <c r="C650" s="103">
        <v>102</v>
      </c>
      <c r="D650" s="104">
        <f t="shared" si="67"/>
        <v>102</v>
      </c>
      <c r="E650" s="108">
        <v>41855</v>
      </c>
      <c r="F650" s="108"/>
      <c r="G650" s="108"/>
      <c r="H650" s="108"/>
      <c r="I650" s="108"/>
      <c r="J650" s="107"/>
      <c r="K650" s="102"/>
      <c r="L650" s="103"/>
      <c r="M650" s="104">
        <f>SUM(L650:L650)</f>
        <v>0</v>
      </c>
      <c r="N650" s="26"/>
    </row>
    <row r="651" spans="2:15" x14ac:dyDescent="0.15">
      <c r="B651" s="102" t="s">
        <v>170</v>
      </c>
      <c r="C651" s="103">
        <v>1</v>
      </c>
      <c r="D651" s="104">
        <f t="shared" si="67"/>
        <v>1</v>
      </c>
      <c r="E651" s="105">
        <v>41856</v>
      </c>
      <c r="F651" s="105"/>
      <c r="G651" s="105"/>
      <c r="H651" s="105"/>
      <c r="I651" s="105"/>
      <c r="J651" s="107"/>
      <c r="K651" s="110"/>
      <c r="L651" s="103"/>
      <c r="M651" s="104">
        <f>SUM(L651:L651)</f>
        <v>0</v>
      </c>
      <c r="N651" s="26"/>
    </row>
    <row r="652" spans="2:15" x14ac:dyDescent="0.15">
      <c r="B652" s="102" t="s">
        <v>150</v>
      </c>
      <c r="C652" s="103">
        <v>10</v>
      </c>
      <c r="D652" s="104">
        <f t="shared" si="67"/>
        <v>10</v>
      </c>
      <c r="E652" s="105">
        <v>41859</v>
      </c>
      <c r="F652" s="105"/>
      <c r="G652" s="105"/>
      <c r="H652" s="105"/>
      <c r="I652" s="105"/>
      <c r="J652" s="107"/>
      <c r="K652" s="110"/>
      <c r="L652" s="103"/>
      <c r="M652" s="104">
        <f>SUM(L652)</f>
        <v>0</v>
      </c>
      <c r="N652" s="26"/>
    </row>
    <row r="653" spans="2:15" ht="14.25" thickBot="1" x14ac:dyDescent="0.2">
      <c r="B653" s="102" t="s">
        <v>95</v>
      </c>
      <c r="C653" s="103">
        <v>91</v>
      </c>
      <c r="D653" s="104">
        <f>SUM(C653)</f>
        <v>91</v>
      </c>
      <c r="E653" s="105">
        <v>41857</v>
      </c>
      <c r="F653" s="105"/>
      <c r="G653" s="105"/>
      <c r="H653" s="105"/>
      <c r="I653" s="105"/>
      <c r="J653" s="107"/>
      <c r="K653" s="110"/>
      <c r="L653" s="103"/>
      <c r="M653" s="104">
        <f>SUM(L653:L653)</f>
        <v>0</v>
      </c>
      <c r="N653" s="26"/>
    </row>
    <row r="654" spans="2:15" ht="14.25" thickBot="1" x14ac:dyDescent="0.2">
      <c r="B654" s="112" t="s">
        <v>5</v>
      </c>
      <c r="C654" s="113">
        <f>SUM(C630:C653)</f>
        <v>1166</v>
      </c>
      <c r="D654" s="114">
        <f>SUM(D630:D653)</f>
        <v>1166</v>
      </c>
      <c r="E654" s="106"/>
      <c r="F654" s="106"/>
      <c r="G654" s="106"/>
      <c r="H654" s="106"/>
      <c r="I654" s="106"/>
      <c r="J654" s="106"/>
      <c r="K654" s="112" t="s">
        <v>5</v>
      </c>
      <c r="L654" s="113">
        <f>SUM(L630:L653)</f>
        <v>2000</v>
      </c>
      <c r="M654" s="114">
        <f>SUM(M630:M653)</f>
        <v>2000</v>
      </c>
    </row>
    <row r="655" spans="2:15" ht="14.25" thickBot="1" x14ac:dyDescent="0.2">
      <c r="B655" s="115" t="s">
        <v>6</v>
      </c>
      <c r="C655" s="116">
        <f>C629-C654</f>
        <v>412</v>
      </c>
      <c r="D655" s="117">
        <f>D629-D654</f>
        <v>412</v>
      </c>
      <c r="E655" s="106"/>
      <c r="F655" s="106"/>
      <c r="G655" s="106"/>
      <c r="H655" s="106"/>
      <c r="I655" s="106"/>
      <c r="J655" s="106"/>
      <c r="K655" s="115" t="s">
        <v>6</v>
      </c>
      <c r="L655" s="116">
        <f>L629-L654</f>
        <v>0</v>
      </c>
      <c r="M655" s="117">
        <f>M629-M654</f>
        <v>0</v>
      </c>
    </row>
    <row r="657" spans="1:14" ht="18" thickBot="1" x14ac:dyDescent="0.25">
      <c r="A657" s="27" t="s">
        <v>8</v>
      </c>
      <c r="B657" s="28"/>
      <c r="C657" s="28"/>
      <c r="D657" s="28"/>
      <c r="J657" s="63" t="s">
        <v>192</v>
      </c>
      <c r="K657" s="64"/>
      <c r="L657" s="64"/>
      <c r="M657" s="64"/>
      <c r="N657" s="64"/>
    </row>
    <row r="658" spans="1:14" ht="14.25" thickBot="1" x14ac:dyDescent="0.2">
      <c r="B658" s="2"/>
      <c r="C658" s="3" t="s">
        <v>0</v>
      </c>
      <c r="D658" s="2" t="s">
        <v>1</v>
      </c>
      <c r="K658" s="2"/>
      <c r="L658" s="3" t="s">
        <v>0</v>
      </c>
      <c r="M658" s="2" t="s">
        <v>1</v>
      </c>
    </row>
    <row r="659" spans="1:14" x14ac:dyDescent="0.15">
      <c r="B659" s="43" t="s">
        <v>26</v>
      </c>
      <c r="C659" s="38">
        <f>C655</f>
        <v>412</v>
      </c>
      <c r="D659" s="39">
        <f t="shared" ref="D659:D669" si="68">SUM(C659:C659)</f>
        <v>412</v>
      </c>
      <c r="K659" s="43" t="s">
        <v>26</v>
      </c>
      <c r="L659" s="38">
        <f>L655</f>
        <v>0</v>
      </c>
      <c r="M659" s="39">
        <f t="shared" ref="M659:M665" si="69">SUM(L659:L659)</f>
        <v>0</v>
      </c>
    </row>
    <row r="660" spans="1:14" x14ac:dyDescent="0.15">
      <c r="B660" s="6" t="s">
        <v>172</v>
      </c>
      <c r="C660" s="7">
        <v>1</v>
      </c>
      <c r="D660" s="5">
        <f t="shared" si="68"/>
        <v>1</v>
      </c>
      <c r="E660" s="48">
        <v>41862</v>
      </c>
      <c r="F660" s="48"/>
      <c r="G660" s="48"/>
      <c r="H660" s="48"/>
      <c r="I660" s="48"/>
      <c r="K660" s="6" t="s">
        <v>3</v>
      </c>
      <c r="L660" s="7"/>
      <c r="M660" s="5">
        <f t="shared" si="69"/>
        <v>0</v>
      </c>
      <c r="N660" s="26"/>
    </row>
    <row r="661" spans="1:14" x14ac:dyDescent="0.15">
      <c r="B661" s="6" t="s">
        <v>3</v>
      </c>
      <c r="C661" s="7">
        <v>1600</v>
      </c>
      <c r="D661" s="5">
        <f t="shared" si="68"/>
        <v>1600</v>
      </c>
      <c r="E661" s="74">
        <v>41863</v>
      </c>
      <c r="F661" s="74"/>
      <c r="G661" s="74"/>
      <c r="H661" s="74"/>
      <c r="I661" s="74"/>
      <c r="K661" s="6" t="s">
        <v>3</v>
      </c>
      <c r="L661" s="7">
        <v>2000</v>
      </c>
      <c r="M661" s="5">
        <f t="shared" si="69"/>
        <v>2000</v>
      </c>
      <c r="N661" s="26">
        <v>41880</v>
      </c>
    </row>
    <row r="662" spans="1:14" x14ac:dyDescent="0.15">
      <c r="B662" s="4" t="s">
        <v>173</v>
      </c>
      <c r="C662" s="7">
        <v>1</v>
      </c>
      <c r="D662" s="5">
        <f t="shared" si="68"/>
        <v>1</v>
      </c>
      <c r="E662" s="48">
        <v>41862</v>
      </c>
      <c r="F662" s="48"/>
      <c r="G662" s="48"/>
      <c r="H662" s="48"/>
      <c r="I662" s="48"/>
      <c r="K662" s="6" t="s">
        <v>3</v>
      </c>
      <c r="L662" s="7"/>
      <c r="M662" s="5">
        <f>SUM(L662:L662)</f>
        <v>0</v>
      </c>
      <c r="N662" s="26"/>
    </row>
    <row r="663" spans="1:14" x14ac:dyDescent="0.15">
      <c r="B663" s="6" t="s">
        <v>71</v>
      </c>
      <c r="C663" s="7">
        <v>1</v>
      </c>
      <c r="D663" s="5">
        <f t="shared" si="68"/>
        <v>1</v>
      </c>
      <c r="E663" s="48">
        <v>41876</v>
      </c>
      <c r="F663" s="48"/>
      <c r="G663" s="48"/>
      <c r="H663" s="48"/>
      <c r="I663" s="48"/>
      <c r="K663" s="6" t="s">
        <v>3</v>
      </c>
      <c r="L663" s="7"/>
      <c r="M663" s="5">
        <f t="shared" si="69"/>
        <v>0</v>
      </c>
      <c r="N663" s="26"/>
    </row>
    <row r="664" spans="1:14" x14ac:dyDescent="0.15">
      <c r="B664" s="6" t="s">
        <v>3</v>
      </c>
      <c r="C664" s="7"/>
      <c r="D664" s="5">
        <f t="shared" si="68"/>
        <v>0</v>
      </c>
      <c r="K664" s="6" t="s">
        <v>3</v>
      </c>
      <c r="L664" s="7"/>
      <c r="M664" s="5">
        <f t="shared" si="69"/>
        <v>0</v>
      </c>
      <c r="N664" s="26"/>
    </row>
    <row r="665" spans="1:14" x14ac:dyDescent="0.15">
      <c r="B665" s="6" t="s">
        <v>3</v>
      </c>
      <c r="C665" s="7"/>
      <c r="D665" s="5">
        <f t="shared" si="68"/>
        <v>0</v>
      </c>
      <c r="K665" s="6" t="s">
        <v>3</v>
      </c>
      <c r="L665" s="7"/>
      <c r="M665" s="5">
        <f t="shared" si="69"/>
        <v>0</v>
      </c>
      <c r="N665" s="26"/>
    </row>
    <row r="666" spans="1:14" x14ac:dyDescent="0.15">
      <c r="B666" s="6" t="s">
        <v>3</v>
      </c>
      <c r="C666" s="54"/>
      <c r="D666" s="5">
        <f t="shared" si="68"/>
        <v>0</v>
      </c>
      <c r="K666" s="6" t="s">
        <v>3</v>
      </c>
      <c r="L666" s="7"/>
      <c r="M666" s="5">
        <f>SUM(L666:L666)</f>
        <v>0</v>
      </c>
      <c r="N666" s="26"/>
    </row>
    <row r="667" spans="1:14" x14ac:dyDescent="0.15">
      <c r="B667" s="6" t="s">
        <v>3</v>
      </c>
      <c r="C667" s="54"/>
      <c r="D667" s="5">
        <f t="shared" si="68"/>
        <v>0</v>
      </c>
      <c r="K667" s="6" t="s">
        <v>3</v>
      </c>
      <c r="L667" s="7"/>
      <c r="M667" s="5">
        <f>SUM(L667:L667)</f>
        <v>0</v>
      </c>
      <c r="N667" s="26"/>
    </row>
    <row r="668" spans="1:14" x14ac:dyDescent="0.15">
      <c r="B668" s="6" t="s">
        <v>3</v>
      </c>
      <c r="C668" s="54"/>
      <c r="D668" s="5">
        <f t="shared" si="68"/>
        <v>0</v>
      </c>
      <c r="E668" s="74"/>
      <c r="F668" s="74"/>
      <c r="G668" s="74"/>
      <c r="H668" s="74"/>
      <c r="I668" s="74"/>
      <c r="K668" s="6" t="s">
        <v>3</v>
      </c>
      <c r="L668" s="7"/>
      <c r="M668" s="5">
        <f>SUM(L668:L668)</f>
        <v>0</v>
      </c>
      <c r="N668" s="26"/>
    </row>
    <row r="669" spans="1:14" ht="14.25" thickBot="1" x14ac:dyDescent="0.2">
      <c r="B669" s="9" t="s">
        <v>3</v>
      </c>
      <c r="C669" s="101"/>
      <c r="D669" s="5">
        <f t="shared" si="68"/>
        <v>0</v>
      </c>
      <c r="E669" s="74"/>
      <c r="F669" s="74"/>
      <c r="G669" s="74"/>
      <c r="H669" s="74"/>
      <c r="I669" s="74"/>
      <c r="K669" s="9" t="s">
        <v>3</v>
      </c>
      <c r="L669" s="10"/>
      <c r="M669" s="5">
        <f>SUM(L669:L669)</f>
        <v>0</v>
      </c>
    </row>
    <row r="670" spans="1:14" ht="14.25" thickBot="1" x14ac:dyDescent="0.2">
      <c r="B670" s="11" t="s">
        <v>4</v>
      </c>
      <c r="C670" s="12">
        <f>SUM(C659:C669)</f>
        <v>2015</v>
      </c>
      <c r="D670" s="13">
        <f>SUM(D659:D669)</f>
        <v>2015</v>
      </c>
      <c r="K670" s="11" t="s">
        <v>4</v>
      </c>
      <c r="L670" s="12">
        <f>SUM(L659:L669)</f>
        <v>2000</v>
      </c>
      <c r="M670" s="13">
        <f>SUM(M659:M669)</f>
        <v>2000</v>
      </c>
    </row>
    <row r="671" spans="1:14" x14ac:dyDescent="0.15">
      <c r="B671" s="71" t="s">
        <v>162</v>
      </c>
      <c r="C671" s="15">
        <v>29</v>
      </c>
      <c r="D671" s="14">
        <f>C671</f>
        <v>29</v>
      </c>
      <c r="E671" s="74">
        <v>41856</v>
      </c>
      <c r="F671" s="74"/>
      <c r="G671" s="74"/>
      <c r="H671" s="74"/>
      <c r="I671" s="74"/>
      <c r="K671" s="4"/>
      <c r="L671" s="44"/>
      <c r="M671" s="14">
        <f t="shared" ref="M671:M685" si="70">SUM(L671:L671)</f>
        <v>0</v>
      </c>
      <c r="N671" s="74"/>
    </row>
    <row r="672" spans="1:14" x14ac:dyDescent="0.15">
      <c r="B672" s="71" t="s">
        <v>171</v>
      </c>
      <c r="C672" s="15">
        <v>30</v>
      </c>
      <c r="D672" s="14">
        <f>SUM(C672)</f>
        <v>30</v>
      </c>
      <c r="E672" s="74">
        <v>41857</v>
      </c>
      <c r="F672" s="74"/>
      <c r="G672" s="74"/>
      <c r="H672" s="74"/>
      <c r="I672" s="74"/>
      <c r="J672" s="51"/>
      <c r="K672" s="4"/>
      <c r="L672" s="15"/>
      <c r="M672" s="14">
        <f t="shared" si="70"/>
        <v>0</v>
      </c>
    </row>
    <row r="673" spans="2:14" x14ac:dyDescent="0.15">
      <c r="B673" s="4" t="s">
        <v>95</v>
      </c>
      <c r="C673" s="15">
        <v>85</v>
      </c>
      <c r="D673" s="14">
        <f>SUM(C673)</f>
        <v>85</v>
      </c>
      <c r="E673" s="74">
        <v>41859</v>
      </c>
      <c r="F673" s="74"/>
      <c r="G673" s="74"/>
      <c r="H673" s="74"/>
      <c r="I673" s="74"/>
      <c r="J673" s="51"/>
      <c r="K673" s="4"/>
      <c r="L673" s="15"/>
      <c r="M673" s="14">
        <f t="shared" si="70"/>
        <v>0</v>
      </c>
    </row>
    <row r="674" spans="2:14" x14ac:dyDescent="0.15">
      <c r="B674" s="4" t="s">
        <v>162</v>
      </c>
      <c r="C674" s="15">
        <v>21</v>
      </c>
      <c r="D674" s="14">
        <f>SUM(C674)</f>
        <v>21</v>
      </c>
      <c r="E674" s="74">
        <v>41858</v>
      </c>
      <c r="F674" s="74"/>
      <c r="G674" s="74"/>
      <c r="H674" s="74"/>
      <c r="I674" s="74"/>
      <c r="J674" s="51"/>
      <c r="K674" s="4"/>
      <c r="L674" s="15"/>
      <c r="M674" s="14">
        <f t="shared" si="70"/>
        <v>0</v>
      </c>
    </row>
    <row r="675" spans="2:14" x14ac:dyDescent="0.15">
      <c r="B675" s="4" t="s">
        <v>95</v>
      </c>
      <c r="C675" s="15">
        <v>150</v>
      </c>
      <c r="D675" s="14">
        <f t="shared" ref="D675:D694" si="71">SUM(C675)</f>
        <v>150</v>
      </c>
      <c r="E675" s="74">
        <v>41862</v>
      </c>
      <c r="F675" s="74"/>
      <c r="G675" s="74"/>
      <c r="H675" s="74"/>
      <c r="I675" s="74"/>
      <c r="J675" s="51"/>
      <c r="K675" s="6"/>
      <c r="L675" s="15"/>
      <c r="M675" s="14">
        <f t="shared" si="70"/>
        <v>0</v>
      </c>
    </row>
    <row r="676" spans="2:14" x14ac:dyDescent="0.15">
      <c r="B676" s="4" t="s">
        <v>114</v>
      </c>
      <c r="C676" s="15">
        <v>100</v>
      </c>
      <c r="D676" s="14">
        <f>SUM(C676)</f>
        <v>100</v>
      </c>
      <c r="E676" s="74">
        <v>41870</v>
      </c>
      <c r="F676" s="74"/>
      <c r="G676" s="74"/>
      <c r="H676" s="74"/>
      <c r="I676" s="74"/>
      <c r="J676" s="51"/>
      <c r="K676" s="4"/>
      <c r="L676" s="15"/>
      <c r="M676" s="14">
        <f t="shared" si="70"/>
        <v>0</v>
      </c>
      <c r="N676" s="65"/>
    </row>
    <row r="677" spans="2:14" x14ac:dyDescent="0.15">
      <c r="B677" s="4" t="s">
        <v>162</v>
      </c>
      <c r="C677" s="15">
        <v>28</v>
      </c>
      <c r="D677" s="14">
        <f t="shared" si="71"/>
        <v>28</v>
      </c>
      <c r="E677" s="48">
        <v>41859</v>
      </c>
      <c r="F677" s="48"/>
      <c r="G677" s="48"/>
      <c r="H677" s="48"/>
      <c r="I677" s="48"/>
      <c r="J677" s="51"/>
      <c r="K677" s="6"/>
      <c r="L677" s="15"/>
      <c r="M677" s="14">
        <f t="shared" si="70"/>
        <v>0</v>
      </c>
      <c r="N677" s="65"/>
    </row>
    <row r="678" spans="2:14" x14ac:dyDescent="0.15">
      <c r="B678" s="4" t="s">
        <v>162</v>
      </c>
      <c r="C678" s="15">
        <v>44</v>
      </c>
      <c r="D678" s="14">
        <f t="shared" si="71"/>
        <v>44</v>
      </c>
      <c r="E678" s="74">
        <v>41862</v>
      </c>
      <c r="F678" s="74"/>
      <c r="G678" s="74"/>
      <c r="H678" s="74"/>
      <c r="I678" s="74"/>
      <c r="J678" s="51"/>
      <c r="K678" s="6"/>
      <c r="L678" s="15"/>
      <c r="M678" s="14">
        <f t="shared" si="70"/>
        <v>0</v>
      </c>
      <c r="N678" s="65"/>
    </row>
    <row r="679" spans="2:14" x14ac:dyDescent="0.15">
      <c r="B679" s="4" t="s">
        <v>162</v>
      </c>
      <c r="C679" s="15">
        <v>10</v>
      </c>
      <c r="D679" s="14">
        <f t="shared" si="71"/>
        <v>10</v>
      </c>
      <c r="E679" s="74">
        <v>41863</v>
      </c>
      <c r="F679" s="74"/>
      <c r="G679" s="74"/>
      <c r="H679" s="74"/>
      <c r="I679" s="74"/>
      <c r="J679" s="51"/>
      <c r="K679" s="4"/>
      <c r="L679" s="15"/>
      <c r="M679" s="14">
        <f t="shared" si="70"/>
        <v>0</v>
      </c>
      <c r="N679" s="65"/>
    </row>
    <row r="680" spans="2:14" x14ac:dyDescent="0.15">
      <c r="B680" s="4" t="s">
        <v>174</v>
      </c>
      <c r="C680" s="15">
        <v>21</v>
      </c>
      <c r="D680" s="14">
        <f t="shared" si="71"/>
        <v>21</v>
      </c>
      <c r="E680" s="74">
        <v>41866</v>
      </c>
      <c r="F680" s="74"/>
      <c r="G680" s="74"/>
      <c r="H680" s="74"/>
      <c r="I680" s="74"/>
      <c r="J680" s="51"/>
      <c r="K680" s="4"/>
      <c r="L680" s="15"/>
      <c r="M680" s="14">
        <f t="shared" si="70"/>
        <v>0</v>
      </c>
      <c r="N680" s="65"/>
    </row>
    <row r="681" spans="2:14" x14ac:dyDescent="0.15">
      <c r="B681" s="4" t="s">
        <v>100</v>
      </c>
      <c r="C681" s="15">
        <v>95</v>
      </c>
      <c r="D681" s="14">
        <f t="shared" si="71"/>
        <v>95</v>
      </c>
      <c r="E681" s="74">
        <v>41870</v>
      </c>
      <c r="F681" s="74"/>
      <c r="G681" s="74"/>
      <c r="H681" s="74"/>
      <c r="I681" s="74"/>
      <c r="J681" s="51"/>
      <c r="K681" s="4"/>
      <c r="L681" s="15"/>
      <c r="M681" s="14">
        <f t="shared" si="70"/>
        <v>0</v>
      </c>
      <c r="N681" s="65"/>
    </row>
    <row r="682" spans="2:14" x14ac:dyDescent="0.15">
      <c r="B682" s="4" t="s">
        <v>176</v>
      </c>
      <c r="C682" s="15">
        <v>35</v>
      </c>
      <c r="D682" s="14">
        <f t="shared" si="71"/>
        <v>35</v>
      </c>
      <c r="E682" s="74">
        <v>41869</v>
      </c>
      <c r="F682" s="74"/>
      <c r="G682" s="74"/>
      <c r="H682" s="74"/>
      <c r="I682" s="74"/>
      <c r="J682" s="51"/>
      <c r="K682" s="4"/>
      <c r="L682" s="15"/>
      <c r="M682" s="14">
        <f t="shared" si="70"/>
        <v>0</v>
      </c>
      <c r="N682" s="65"/>
    </row>
    <row r="683" spans="2:14" x14ac:dyDescent="0.15">
      <c r="B683" s="4" t="s">
        <v>175</v>
      </c>
      <c r="C683" s="15">
        <v>30</v>
      </c>
      <c r="D683" s="14">
        <f t="shared" si="71"/>
        <v>30</v>
      </c>
      <c r="E683" s="74">
        <v>41871</v>
      </c>
      <c r="F683" s="74"/>
      <c r="G683" s="74"/>
      <c r="H683" s="74"/>
      <c r="I683" s="74"/>
      <c r="J683" s="51"/>
      <c r="K683" s="72"/>
      <c r="L683" s="15"/>
      <c r="M683" s="14">
        <f t="shared" si="70"/>
        <v>0</v>
      </c>
      <c r="N683" s="58"/>
    </row>
    <row r="684" spans="2:14" x14ac:dyDescent="0.15">
      <c r="B684" s="4" t="s">
        <v>177</v>
      </c>
      <c r="C684" s="15">
        <v>9</v>
      </c>
      <c r="D684" s="14">
        <f t="shared" si="71"/>
        <v>9</v>
      </c>
      <c r="E684" s="74">
        <v>41870</v>
      </c>
      <c r="F684" s="74"/>
      <c r="G684" s="74"/>
      <c r="H684" s="74"/>
      <c r="I684" s="74"/>
      <c r="J684" s="51"/>
      <c r="K684" s="6"/>
      <c r="L684" s="15"/>
      <c r="M684" s="14">
        <f t="shared" si="70"/>
        <v>0</v>
      </c>
      <c r="N684" s="26"/>
    </row>
    <row r="685" spans="2:14" x14ac:dyDescent="0.15">
      <c r="B685" s="4" t="s">
        <v>179</v>
      </c>
      <c r="C685" s="15">
        <v>14</v>
      </c>
      <c r="D685" s="14">
        <f t="shared" si="71"/>
        <v>14</v>
      </c>
      <c r="E685" s="48">
        <v>41871</v>
      </c>
      <c r="F685" s="48"/>
      <c r="G685" s="48"/>
      <c r="H685" s="48"/>
      <c r="I685" s="48"/>
      <c r="J685" s="51"/>
      <c r="K685" s="4"/>
      <c r="L685" s="15"/>
      <c r="M685" s="14">
        <f t="shared" si="70"/>
        <v>0</v>
      </c>
      <c r="N685" s="26"/>
    </row>
    <row r="686" spans="2:14" x14ac:dyDescent="0.15">
      <c r="B686" s="4" t="s">
        <v>178</v>
      </c>
      <c r="C686" s="15">
        <v>55</v>
      </c>
      <c r="D686" s="14">
        <f t="shared" si="71"/>
        <v>55</v>
      </c>
      <c r="E686" s="74">
        <v>41873</v>
      </c>
      <c r="F686" s="74"/>
      <c r="G686" s="74"/>
      <c r="H686" s="74"/>
      <c r="I686" s="74"/>
      <c r="J686" s="51"/>
      <c r="K686" s="6"/>
      <c r="L686" s="15"/>
      <c r="M686" s="14">
        <f>SUM(L686)</f>
        <v>0</v>
      </c>
      <c r="N686" s="26"/>
    </row>
    <row r="687" spans="2:14" x14ac:dyDescent="0.15">
      <c r="B687" s="4" t="s">
        <v>162</v>
      </c>
      <c r="C687" s="15">
        <v>11</v>
      </c>
      <c r="D687" s="14">
        <f t="shared" si="71"/>
        <v>11</v>
      </c>
      <c r="E687" s="74">
        <v>41872</v>
      </c>
      <c r="F687" s="74"/>
      <c r="G687" s="74"/>
      <c r="H687" s="74"/>
      <c r="I687" s="74"/>
      <c r="J687" s="51"/>
      <c r="K687" s="6"/>
      <c r="L687" s="15"/>
      <c r="M687" s="14">
        <f>SUM(L687)</f>
        <v>0</v>
      </c>
      <c r="N687" s="26"/>
    </row>
    <row r="688" spans="2:14" x14ac:dyDescent="0.15">
      <c r="B688" s="4" t="s">
        <v>114</v>
      </c>
      <c r="C688" s="15">
        <v>70</v>
      </c>
      <c r="D688" s="14">
        <f t="shared" si="71"/>
        <v>70</v>
      </c>
      <c r="E688" s="74">
        <v>41876</v>
      </c>
      <c r="F688" s="74"/>
      <c r="G688" s="74"/>
      <c r="H688" s="74"/>
      <c r="I688" s="74"/>
      <c r="J688" s="51"/>
      <c r="K688" s="6"/>
      <c r="L688" s="15"/>
      <c r="M688" s="14">
        <f>SUM(L688:L688)</f>
        <v>0</v>
      </c>
      <c r="N688" s="26"/>
    </row>
    <row r="689" spans="1:14" x14ac:dyDescent="0.15">
      <c r="B689" s="6" t="s">
        <v>180</v>
      </c>
      <c r="C689" s="15">
        <v>20</v>
      </c>
      <c r="D689" s="14">
        <f t="shared" si="71"/>
        <v>20</v>
      </c>
      <c r="E689" s="48">
        <v>41873</v>
      </c>
      <c r="F689" s="48"/>
      <c r="G689" s="48"/>
      <c r="H689" s="48"/>
      <c r="I689" s="48"/>
      <c r="J689" s="51"/>
      <c r="K689" s="6"/>
      <c r="L689" s="15"/>
      <c r="M689" s="14">
        <f>SUM(L689)</f>
        <v>0</v>
      </c>
      <c r="N689" s="26"/>
    </row>
    <row r="690" spans="1:14" x14ac:dyDescent="0.15">
      <c r="B690" s="6" t="s">
        <v>162</v>
      </c>
      <c r="C690" s="15">
        <v>9</v>
      </c>
      <c r="D690" s="14">
        <f t="shared" si="71"/>
        <v>9</v>
      </c>
      <c r="E690" s="48">
        <v>41874</v>
      </c>
      <c r="F690" s="48"/>
      <c r="G690" s="48"/>
      <c r="H690" s="48"/>
      <c r="I690" s="48"/>
      <c r="J690" s="51"/>
      <c r="K690" s="4"/>
      <c r="L690" s="15"/>
      <c r="M690" s="14">
        <f>SUM(L690:L690)</f>
        <v>0</v>
      </c>
      <c r="N690" s="26"/>
    </row>
    <row r="691" spans="1:14" x14ac:dyDescent="0.15">
      <c r="B691" s="6" t="s">
        <v>162</v>
      </c>
      <c r="C691" s="15">
        <v>29</v>
      </c>
      <c r="D691" s="14">
        <f t="shared" si="71"/>
        <v>29</v>
      </c>
      <c r="E691" s="48">
        <v>41876</v>
      </c>
      <c r="F691" s="48"/>
      <c r="G691" s="48"/>
      <c r="H691" s="48"/>
      <c r="I691" s="48"/>
      <c r="J691" s="51"/>
      <c r="K691" s="4"/>
      <c r="L691" s="15"/>
      <c r="M691" s="14">
        <f>SUM(L691)</f>
        <v>0</v>
      </c>
      <c r="N691" s="74"/>
    </row>
    <row r="692" spans="1:14" x14ac:dyDescent="0.15">
      <c r="B692" s="6" t="s">
        <v>162</v>
      </c>
      <c r="C692" s="15">
        <v>7</v>
      </c>
      <c r="D692" s="14">
        <f>SUM(C692:C692)</f>
        <v>7</v>
      </c>
      <c r="E692" s="26">
        <v>41877</v>
      </c>
      <c r="F692" s="26"/>
      <c r="G692" s="26"/>
      <c r="H692" s="26"/>
      <c r="I692" s="26"/>
      <c r="J692" s="51"/>
      <c r="K692" s="4"/>
      <c r="L692" s="15"/>
      <c r="M692" s="14">
        <f>SUM(L692:L692)</f>
        <v>0</v>
      </c>
      <c r="N692" s="26"/>
    </row>
    <row r="693" spans="1:14" x14ac:dyDescent="0.15">
      <c r="B693" s="6" t="s">
        <v>162</v>
      </c>
      <c r="C693" s="15">
        <v>9</v>
      </c>
      <c r="D693" s="14">
        <f>SUM(C693)</f>
        <v>9</v>
      </c>
      <c r="E693" s="26">
        <v>41878</v>
      </c>
      <c r="F693" s="26"/>
      <c r="G693" s="26"/>
      <c r="H693" s="26"/>
      <c r="I693" s="26"/>
      <c r="J693" s="51"/>
      <c r="K693" s="6"/>
      <c r="L693" s="15"/>
      <c r="M693" s="14">
        <f>SUM(L693:L693)</f>
        <v>0</v>
      </c>
      <c r="N693" s="26"/>
    </row>
    <row r="694" spans="1:14" ht="14.25" thickBot="1" x14ac:dyDescent="0.2">
      <c r="B694" s="6" t="s">
        <v>162</v>
      </c>
      <c r="C694" s="15">
        <v>5</v>
      </c>
      <c r="D694" s="14">
        <f t="shared" si="71"/>
        <v>5</v>
      </c>
      <c r="E694" s="74">
        <v>41879</v>
      </c>
      <c r="F694" s="74"/>
      <c r="G694" s="74"/>
      <c r="H694" s="74"/>
      <c r="I694" s="74"/>
      <c r="J694" s="51"/>
      <c r="K694" s="6"/>
      <c r="L694" s="15"/>
      <c r="M694" s="14">
        <f>SUM(L694:L694)</f>
        <v>0</v>
      </c>
      <c r="N694" s="26"/>
    </row>
    <row r="695" spans="1:14" ht="14.25" thickBot="1" x14ac:dyDescent="0.2">
      <c r="B695" s="3" t="s">
        <v>5</v>
      </c>
      <c r="C695" s="16">
        <f>SUM(C671:C694)</f>
        <v>916</v>
      </c>
      <c r="D695" s="17">
        <f>SUM(D671:D694)</f>
        <v>916</v>
      </c>
      <c r="K695" s="3" t="s">
        <v>5</v>
      </c>
      <c r="L695" s="16">
        <f>SUM(L671:L694)</f>
        <v>0</v>
      </c>
      <c r="M695" s="17">
        <f>SUM(M671:M694)</f>
        <v>0</v>
      </c>
    </row>
    <row r="696" spans="1:14" ht="14.25" thickBot="1" x14ac:dyDescent="0.2">
      <c r="B696" s="18" t="s">
        <v>6</v>
      </c>
      <c r="C696" s="19">
        <f>C670-C695</f>
        <v>1099</v>
      </c>
      <c r="D696" s="13">
        <f>D670-D695</f>
        <v>1099</v>
      </c>
      <c r="K696" s="18" t="s">
        <v>6</v>
      </c>
      <c r="L696" s="19">
        <f>L670-L695</f>
        <v>2000</v>
      </c>
      <c r="M696" s="13">
        <f>M670-M695</f>
        <v>2000</v>
      </c>
    </row>
    <row r="698" spans="1:14" ht="18" thickBot="1" x14ac:dyDescent="0.25">
      <c r="A698" s="27" t="s">
        <v>8</v>
      </c>
      <c r="B698" s="28"/>
      <c r="C698" s="28"/>
      <c r="D698" s="28"/>
      <c r="J698" s="63" t="s">
        <v>192</v>
      </c>
      <c r="K698" s="64"/>
      <c r="L698" s="64"/>
      <c r="M698" s="64"/>
      <c r="N698" s="64"/>
    </row>
    <row r="699" spans="1:14" ht="14.25" thickBot="1" x14ac:dyDescent="0.2">
      <c r="B699" s="2"/>
      <c r="C699" s="3" t="s">
        <v>0</v>
      </c>
      <c r="D699" s="2" t="s">
        <v>1</v>
      </c>
      <c r="K699" s="2"/>
      <c r="L699" s="3" t="s">
        <v>0</v>
      </c>
      <c r="M699" s="2" t="s">
        <v>1</v>
      </c>
    </row>
    <row r="700" spans="1:14" x14ac:dyDescent="0.15">
      <c r="B700" s="43" t="s">
        <v>26</v>
      </c>
      <c r="C700" s="38">
        <f>C696</f>
        <v>1099</v>
      </c>
      <c r="D700" s="39">
        <f t="shared" ref="D700:D710" si="72">SUM(C700:C700)</f>
        <v>1099</v>
      </c>
      <c r="K700" s="43" t="s">
        <v>26</v>
      </c>
      <c r="L700" s="38">
        <f>L696</f>
        <v>2000</v>
      </c>
      <c r="M700" s="39">
        <f t="shared" ref="M700:M710" si="73">SUM(L700:L700)</f>
        <v>2000</v>
      </c>
    </row>
    <row r="701" spans="1:14" x14ac:dyDescent="0.15">
      <c r="B701" s="6" t="s">
        <v>184</v>
      </c>
      <c r="C701" s="7">
        <v>2</v>
      </c>
      <c r="D701" s="5">
        <f t="shared" si="72"/>
        <v>2</v>
      </c>
      <c r="E701" s="48">
        <v>41884</v>
      </c>
      <c r="F701" s="48"/>
      <c r="G701" s="48"/>
      <c r="H701" s="48"/>
      <c r="I701" s="48"/>
      <c r="K701" s="6" t="s">
        <v>3</v>
      </c>
      <c r="L701" s="7"/>
      <c r="M701" s="5">
        <f t="shared" si="73"/>
        <v>0</v>
      </c>
      <c r="N701" s="26"/>
    </row>
    <row r="702" spans="1:14" x14ac:dyDescent="0.15">
      <c r="B702" s="6" t="s">
        <v>3</v>
      </c>
      <c r="C702" s="7"/>
      <c r="D702" s="5">
        <f t="shared" si="72"/>
        <v>0</v>
      </c>
      <c r="E702" s="48"/>
      <c r="F702" s="48"/>
      <c r="G702" s="48"/>
      <c r="H702" s="48"/>
      <c r="I702" s="48"/>
      <c r="K702" s="6" t="s">
        <v>3</v>
      </c>
      <c r="L702" s="7"/>
      <c r="M702" s="5">
        <f t="shared" si="73"/>
        <v>0</v>
      </c>
      <c r="N702" s="26"/>
    </row>
    <row r="703" spans="1:14" x14ac:dyDescent="0.15">
      <c r="B703" s="6" t="s">
        <v>3</v>
      </c>
      <c r="C703" s="7"/>
      <c r="D703" s="5">
        <f t="shared" si="72"/>
        <v>0</v>
      </c>
      <c r="K703" s="6" t="s">
        <v>3</v>
      </c>
      <c r="L703" s="7"/>
      <c r="M703" s="5">
        <f t="shared" si="73"/>
        <v>0</v>
      </c>
      <c r="N703" s="26"/>
    </row>
    <row r="704" spans="1:14" x14ac:dyDescent="0.15">
      <c r="B704" s="6" t="s">
        <v>3</v>
      </c>
      <c r="C704" s="7"/>
      <c r="D704" s="5">
        <f t="shared" si="72"/>
        <v>0</v>
      </c>
      <c r="K704" s="6" t="s">
        <v>3</v>
      </c>
      <c r="L704" s="7"/>
      <c r="M704" s="5">
        <f t="shared" si="73"/>
        <v>0</v>
      </c>
      <c r="N704" s="26"/>
    </row>
    <row r="705" spans="2:14" x14ac:dyDescent="0.15">
      <c r="B705" s="6" t="s">
        <v>3</v>
      </c>
      <c r="C705" s="7"/>
      <c r="D705" s="5">
        <f t="shared" si="72"/>
        <v>0</v>
      </c>
      <c r="K705" s="6" t="s">
        <v>3</v>
      </c>
      <c r="L705" s="7"/>
      <c r="M705" s="5">
        <f t="shared" si="73"/>
        <v>0</v>
      </c>
      <c r="N705" s="26"/>
    </row>
    <row r="706" spans="2:14" x14ac:dyDescent="0.15">
      <c r="B706" s="6" t="s">
        <v>3</v>
      </c>
      <c r="C706" s="7"/>
      <c r="D706" s="5">
        <f t="shared" si="72"/>
        <v>0</v>
      </c>
      <c r="K706" s="6" t="s">
        <v>3</v>
      </c>
      <c r="L706" s="7"/>
      <c r="M706" s="5">
        <f t="shared" si="73"/>
        <v>0</v>
      </c>
      <c r="N706" s="26"/>
    </row>
    <row r="707" spans="2:14" x14ac:dyDescent="0.15">
      <c r="B707" s="6" t="s">
        <v>3</v>
      </c>
      <c r="C707" s="54"/>
      <c r="D707" s="5">
        <f t="shared" si="72"/>
        <v>0</v>
      </c>
      <c r="K707" s="6" t="s">
        <v>3</v>
      </c>
      <c r="L707" s="7"/>
      <c r="M707" s="5">
        <f t="shared" si="73"/>
        <v>0</v>
      </c>
      <c r="N707" s="26"/>
    </row>
    <row r="708" spans="2:14" x14ac:dyDescent="0.15">
      <c r="B708" s="6" t="s">
        <v>3</v>
      </c>
      <c r="C708" s="54"/>
      <c r="D708" s="5">
        <f t="shared" si="72"/>
        <v>0</v>
      </c>
      <c r="K708" s="6" t="s">
        <v>3</v>
      </c>
      <c r="L708" s="7"/>
      <c r="M708" s="5">
        <f t="shared" si="73"/>
        <v>0</v>
      </c>
      <c r="N708" s="26"/>
    </row>
    <row r="709" spans="2:14" x14ac:dyDescent="0.15">
      <c r="B709" s="6" t="s">
        <v>3</v>
      </c>
      <c r="C709" s="54"/>
      <c r="D709" s="5">
        <f t="shared" si="72"/>
        <v>0</v>
      </c>
      <c r="K709" s="6" t="s">
        <v>3</v>
      </c>
      <c r="L709" s="7"/>
      <c r="M709" s="5">
        <f t="shared" si="73"/>
        <v>0</v>
      </c>
      <c r="N709" s="26"/>
    </row>
    <row r="710" spans="2:14" ht="14.25" thickBot="1" x14ac:dyDescent="0.2">
      <c r="B710" s="9" t="s">
        <v>3</v>
      </c>
      <c r="C710" s="101"/>
      <c r="D710" s="5">
        <f t="shared" si="72"/>
        <v>0</v>
      </c>
      <c r="K710" s="9" t="s">
        <v>3</v>
      </c>
      <c r="L710" s="10"/>
      <c r="M710" s="5">
        <f t="shared" si="73"/>
        <v>0</v>
      </c>
    </row>
    <row r="711" spans="2:14" ht="14.25" thickBot="1" x14ac:dyDescent="0.2">
      <c r="B711" s="11" t="s">
        <v>4</v>
      </c>
      <c r="C711" s="12">
        <f>SUM(C700:C710)</f>
        <v>1101</v>
      </c>
      <c r="D711" s="13">
        <f>SUM(D700:D710)</f>
        <v>1101</v>
      </c>
      <c r="K711" s="11" t="s">
        <v>4</v>
      </c>
      <c r="L711" s="12">
        <f>SUM(L700:L710)</f>
        <v>2000</v>
      </c>
      <c r="M711" s="13">
        <f>SUM(M700:M710)</f>
        <v>2000</v>
      </c>
    </row>
    <row r="712" spans="2:14" x14ac:dyDescent="0.15">
      <c r="B712" s="71" t="s">
        <v>162</v>
      </c>
      <c r="C712" s="15">
        <v>4</v>
      </c>
      <c r="D712" s="14">
        <f>C712</f>
        <v>4</v>
      </c>
      <c r="E712" s="48">
        <v>41880</v>
      </c>
      <c r="F712" s="48"/>
      <c r="G712" s="48"/>
      <c r="H712" s="48"/>
      <c r="I712" s="48"/>
      <c r="K712" s="4"/>
      <c r="L712" s="44"/>
      <c r="M712" s="14">
        <f t="shared" ref="M712:M726" si="74">SUM(L712:L712)</f>
        <v>0</v>
      </c>
      <c r="N712" s="74"/>
    </row>
    <row r="713" spans="2:14" x14ac:dyDescent="0.15">
      <c r="B713" s="71" t="s">
        <v>162</v>
      </c>
      <c r="C713" s="15">
        <v>3</v>
      </c>
      <c r="D713" s="14">
        <f>SUM(C713)</f>
        <v>3</v>
      </c>
      <c r="E713" s="48">
        <v>41881</v>
      </c>
      <c r="F713" s="48"/>
      <c r="G713" s="48"/>
      <c r="H713" s="48"/>
      <c r="I713" s="48"/>
      <c r="J713" s="51"/>
      <c r="K713" s="4"/>
      <c r="L713" s="15"/>
      <c r="M713" s="14">
        <f t="shared" si="74"/>
        <v>0</v>
      </c>
    </row>
    <row r="714" spans="2:14" x14ac:dyDescent="0.15">
      <c r="B714" s="71" t="s">
        <v>182</v>
      </c>
      <c r="C714" s="15">
        <v>17</v>
      </c>
      <c r="D714" s="14">
        <f>SUM(C714)</f>
        <v>17</v>
      </c>
      <c r="E714" s="48">
        <v>41883</v>
      </c>
      <c r="F714" s="48"/>
      <c r="G714" s="48"/>
      <c r="H714" s="48"/>
      <c r="I714" s="48"/>
      <c r="J714" s="51"/>
      <c r="K714" s="4"/>
      <c r="L714" s="15"/>
      <c r="M714" s="14">
        <f t="shared" si="74"/>
        <v>0</v>
      </c>
    </row>
    <row r="715" spans="2:14" x14ac:dyDescent="0.15">
      <c r="B715" s="4" t="s">
        <v>181</v>
      </c>
      <c r="C715" s="15">
        <v>50</v>
      </c>
      <c r="D715" s="14">
        <f>SUM(C715)</f>
        <v>50</v>
      </c>
      <c r="E715" s="74">
        <v>41885</v>
      </c>
      <c r="F715" s="74"/>
      <c r="G715" s="74"/>
      <c r="H715" s="74"/>
      <c r="I715" s="74"/>
      <c r="J715" s="51"/>
      <c r="K715" s="4"/>
      <c r="L715" s="15"/>
      <c r="M715" s="14">
        <f t="shared" si="74"/>
        <v>0</v>
      </c>
    </row>
    <row r="716" spans="2:14" x14ac:dyDescent="0.15">
      <c r="B716" s="4" t="s">
        <v>185</v>
      </c>
      <c r="C716" s="15">
        <v>8</v>
      </c>
      <c r="D716" s="14">
        <f>SUM(C716)</f>
        <v>8</v>
      </c>
      <c r="E716" s="74">
        <v>41884</v>
      </c>
      <c r="F716" s="74"/>
      <c r="G716" s="74"/>
      <c r="H716" s="74"/>
      <c r="I716" s="74"/>
      <c r="J716" s="51"/>
      <c r="K716" s="6"/>
      <c r="L716" s="15"/>
      <c r="M716" s="14">
        <f t="shared" si="74"/>
        <v>0</v>
      </c>
    </row>
    <row r="717" spans="2:14" x14ac:dyDescent="0.15">
      <c r="B717" s="4" t="s">
        <v>183</v>
      </c>
      <c r="C717" s="15">
        <v>3</v>
      </c>
      <c r="D717" s="14">
        <f>SUM(C717)</f>
        <v>3</v>
      </c>
      <c r="E717" s="74">
        <v>41887</v>
      </c>
      <c r="F717" s="74"/>
      <c r="G717" s="74"/>
      <c r="H717" s="74"/>
      <c r="I717" s="74"/>
      <c r="J717" s="51"/>
      <c r="K717" s="4"/>
      <c r="L717" s="15"/>
      <c r="M717" s="14">
        <f t="shared" si="74"/>
        <v>0</v>
      </c>
      <c r="N717" s="65"/>
    </row>
    <row r="718" spans="2:14" x14ac:dyDescent="0.15">
      <c r="B718" s="4" t="s">
        <v>186</v>
      </c>
      <c r="C718" s="15">
        <v>10</v>
      </c>
      <c r="D718" s="14">
        <f t="shared" ref="D718:D732" si="75">SUM(C718)</f>
        <v>10</v>
      </c>
      <c r="E718" s="48">
        <v>41885</v>
      </c>
      <c r="F718" s="48"/>
      <c r="G718" s="48"/>
      <c r="H718" s="48"/>
      <c r="I718" s="48"/>
      <c r="J718" s="51"/>
      <c r="K718" s="6"/>
      <c r="L718" s="15"/>
      <c r="M718" s="14">
        <f t="shared" si="74"/>
        <v>0</v>
      </c>
      <c r="N718" s="65"/>
    </row>
    <row r="719" spans="2:14" x14ac:dyDescent="0.15">
      <c r="B719" s="4" t="s">
        <v>162</v>
      </c>
      <c r="C719" s="15">
        <v>2</v>
      </c>
      <c r="D719" s="14">
        <f t="shared" si="75"/>
        <v>2</v>
      </c>
      <c r="E719" s="48">
        <v>41886</v>
      </c>
      <c r="F719" s="48"/>
      <c r="G719" s="48"/>
      <c r="H719" s="48"/>
      <c r="I719" s="48"/>
      <c r="J719" s="51"/>
      <c r="K719" s="6"/>
      <c r="L719" s="15"/>
      <c r="M719" s="14">
        <f t="shared" si="74"/>
        <v>0</v>
      </c>
      <c r="N719" s="65"/>
    </row>
    <row r="720" spans="2:14" x14ac:dyDescent="0.15">
      <c r="B720" s="4" t="s">
        <v>162</v>
      </c>
      <c r="C720" s="15">
        <v>3</v>
      </c>
      <c r="D720" s="14">
        <f t="shared" si="75"/>
        <v>3</v>
      </c>
      <c r="E720" s="48">
        <v>41887</v>
      </c>
      <c r="F720" s="48"/>
      <c r="G720" s="48"/>
      <c r="H720" s="48"/>
      <c r="I720" s="48"/>
      <c r="J720" s="51"/>
      <c r="K720" s="4"/>
      <c r="L720" s="15"/>
      <c r="M720" s="14">
        <f t="shared" si="74"/>
        <v>0</v>
      </c>
      <c r="N720" s="65"/>
    </row>
    <row r="721" spans="2:14" x14ac:dyDescent="0.15">
      <c r="B721" s="4" t="s">
        <v>188</v>
      </c>
      <c r="C721" s="15">
        <v>1</v>
      </c>
      <c r="D721" s="14">
        <f t="shared" si="75"/>
        <v>1</v>
      </c>
      <c r="E721" s="48">
        <v>41888</v>
      </c>
      <c r="F721" s="48"/>
      <c r="G721" s="48"/>
      <c r="H721" s="48"/>
      <c r="I721" s="48"/>
      <c r="J721" s="51"/>
      <c r="K721" s="4"/>
      <c r="L721" s="15"/>
      <c r="M721" s="14">
        <f t="shared" si="74"/>
        <v>0</v>
      </c>
      <c r="N721" s="65"/>
    </row>
    <row r="722" spans="2:14" x14ac:dyDescent="0.15">
      <c r="B722" s="4" t="s">
        <v>187</v>
      </c>
      <c r="C722" s="15">
        <v>30</v>
      </c>
      <c r="D722" s="14">
        <f t="shared" si="75"/>
        <v>30</v>
      </c>
      <c r="E722" s="74">
        <v>41891</v>
      </c>
      <c r="F722" s="74"/>
      <c r="G722" s="74"/>
      <c r="H722" s="74"/>
      <c r="I722" s="74"/>
      <c r="J722" s="51"/>
      <c r="K722" s="4"/>
      <c r="L722" s="15"/>
      <c r="M722" s="14">
        <f t="shared" si="74"/>
        <v>0</v>
      </c>
      <c r="N722" s="65"/>
    </row>
    <row r="723" spans="2:14" x14ac:dyDescent="0.15">
      <c r="B723" s="4" t="s">
        <v>162</v>
      </c>
      <c r="C723" s="15">
        <v>9</v>
      </c>
      <c r="D723" s="14">
        <f t="shared" si="75"/>
        <v>9</v>
      </c>
      <c r="E723" s="48">
        <v>41890</v>
      </c>
      <c r="F723" s="48"/>
      <c r="G723" s="48"/>
      <c r="H723" s="48"/>
      <c r="I723" s="48"/>
      <c r="J723" s="51"/>
      <c r="K723" s="4"/>
      <c r="L723" s="15"/>
      <c r="M723" s="14">
        <f t="shared" si="74"/>
        <v>0</v>
      </c>
      <c r="N723" s="65"/>
    </row>
    <row r="724" spans="2:14" x14ac:dyDescent="0.15">
      <c r="B724" s="4" t="s">
        <v>162</v>
      </c>
      <c r="C724" s="15">
        <v>6</v>
      </c>
      <c r="D724" s="14">
        <f t="shared" si="75"/>
        <v>6</v>
      </c>
      <c r="E724" s="48">
        <v>41891</v>
      </c>
      <c r="F724" s="48"/>
      <c r="G724" s="48"/>
      <c r="H724" s="48"/>
      <c r="I724" s="48"/>
      <c r="J724" s="51"/>
      <c r="K724" s="72"/>
      <c r="L724" s="15"/>
      <c r="M724" s="14">
        <f t="shared" si="74"/>
        <v>0</v>
      </c>
      <c r="N724" s="58"/>
    </row>
    <row r="725" spans="2:14" x14ac:dyDescent="0.15">
      <c r="B725" s="4" t="s">
        <v>77</v>
      </c>
      <c r="C725" s="15">
        <v>5</v>
      </c>
      <c r="D725" s="14">
        <f t="shared" si="75"/>
        <v>5</v>
      </c>
      <c r="E725" s="74">
        <v>41898</v>
      </c>
      <c r="F725" s="74"/>
      <c r="G725" s="74"/>
      <c r="H725" s="74"/>
      <c r="I725" s="74"/>
      <c r="J725" s="51"/>
      <c r="K725" s="6"/>
      <c r="L725" s="15"/>
      <c r="M725" s="14">
        <f t="shared" si="74"/>
        <v>0</v>
      </c>
      <c r="N725" s="26"/>
    </row>
    <row r="726" spans="2:14" x14ac:dyDescent="0.15">
      <c r="B726" s="4" t="s">
        <v>162</v>
      </c>
      <c r="C726" s="15">
        <v>2</v>
      </c>
      <c r="D726" s="14">
        <f t="shared" si="75"/>
        <v>2</v>
      </c>
      <c r="E726" s="48">
        <v>41892</v>
      </c>
      <c r="F726" s="48"/>
      <c r="G726" s="48"/>
      <c r="H726" s="48"/>
      <c r="I726" s="48"/>
      <c r="J726" s="51"/>
      <c r="K726" s="4"/>
      <c r="L726" s="15"/>
      <c r="M726" s="14">
        <f t="shared" si="74"/>
        <v>0</v>
      </c>
      <c r="N726" s="26"/>
    </row>
    <row r="727" spans="2:14" x14ac:dyDescent="0.15">
      <c r="B727" s="4" t="s">
        <v>162</v>
      </c>
      <c r="C727" s="15">
        <v>1</v>
      </c>
      <c r="D727" s="14">
        <f t="shared" si="75"/>
        <v>1</v>
      </c>
      <c r="E727" s="48">
        <v>41893</v>
      </c>
      <c r="F727" s="48"/>
      <c r="G727" s="48"/>
      <c r="H727" s="48"/>
      <c r="I727" s="48"/>
      <c r="J727" s="51"/>
      <c r="K727" s="6"/>
      <c r="L727" s="15"/>
      <c r="M727" s="14">
        <f>SUM(L727)</f>
        <v>0</v>
      </c>
      <c r="N727" s="26"/>
    </row>
    <row r="728" spans="2:14" x14ac:dyDescent="0.15">
      <c r="B728" s="4" t="s">
        <v>100</v>
      </c>
      <c r="C728" s="15">
        <v>40</v>
      </c>
      <c r="D728" s="14">
        <f t="shared" si="75"/>
        <v>40</v>
      </c>
      <c r="E728" s="74">
        <v>41897</v>
      </c>
      <c r="F728" s="74"/>
      <c r="G728" s="74"/>
      <c r="H728" s="74"/>
      <c r="I728" s="74"/>
      <c r="J728" s="51"/>
      <c r="K728" s="6"/>
      <c r="L728" s="15"/>
      <c r="M728" s="14">
        <f>SUM(L728)</f>
        <v>0</v>
      </c>
      <c r="N728" s="26"/>
    </row>
    <row r="729" spans="2:14" x14ac:dyDescent="0.15">
      <c r="B729" s="4" t="s">
        <v>189</v>
      </c>
      <c r="C729" s="15">
        <v>2</v>
      </c>
      <c r="D729" s="14">
        <f t="shared" si="75"/>
        <v>2</v>
      </c>
      <c r="E729" s="48">
        <v>41894</v>
      </c>
      <c r="F729" s="48"/>
      <c r="G729" s="48"/>
      <c r="H729" s="48"/>
      <c r="I729" s="48"/>
      <c r="J729" s="51"/>
      <c r="K729" s="6"/>
      <c r="L729" s="15"/>
      <c r="M729" s="14">
        <f>SUM(L729:L729)</f>
        <v>0</v>
      </c>
      <c r="N729" s="26"/>
    </row>
    <row r="730" spans="2:14" x14ac:dyDescent="0.15">
      <c r="B730" s="4" t="s">
        <v>100</v>
      </c>
      <c r="C730" s="15">
        <v>12</v>
      </c>
      <c r="D730" s="14">
        <f t="shared" si="75"/>
        <v>12</v>
      </c>
      <c r="E730" s="74">
        <v>41899</v>
      </c>
      <c r="F730" s="74"/>
      <c r="G730" s="74"/>
      <c r="H730" s="74"/>
      <c r="I730" s="74"/>
      <c r="J730" s="51"/>
      <c r="K730" s="6"/>
      <c r="L730" s="15"/>
      <c r="M730" s="14">
        <f>SUM(L730)</f>
        <v>0</v>
      </c>
      <c r="N730" s="26"/>
    </row>
    <row r="731" spans="2:14" x14ac:dyDescent="0.15">
      <c r="B731" s="6" t="s">
        <v>162</v>
      </c>
      <c r="C731" s="15">
        <v>18</v>
      </c>
      <c r="D731" s="14">
        <f t="shared" si="75"/>
        <v>18</v>
      </c>
      <c r="E731" s="48">
        <v>41898</v>
      </c>
      <c r="F731" s="48"/>
      <c r="G731" s="48"/>
      <c r="H731" s="48"/>
      <c r="I731" s="48"/>
      <c r="J731" s="51"/>
      <c r="K731" s="4"/>
      <c r="L731" s="15"/>
      <c r="M731" s="14">
        <f>SUM(L731:L731)</f>
        <v>0</v>
      </c>
      <c r="N731" s="26"/>
    </row>
    <row r="732" spans="2:14" x14ac:dyDescent="0.15">
      <c r="B732" s="6" t="s">
        <v>162</v>
      </c>
      <c r="C732" s="15">
        <v>5</v>
      </c>
      <c r="D732" s="14">
        <f t="shared" si="75"/>
        <v>5</v>
      </c>
      <c r="E732" s="48">
        <v>41899</v>
      </c>
      <c r="F732" s="48"/>
      <c r="G732" s="48"/>
      <c r="H732" s="48"/>
      <c r="I732" s="48"/>
      <c r="J732" s="51"/>
      <c r="K732" s="4"/>
      <c r="L732" s="15"/>
      <c r="M732" s="14">
        <f>SUM(L732)</f>
        <v>0</v>
      </c>
      <c r="N732" s="74"/>
    </row>
    <row r="733" spans="2:14" x14ac:dyDescent="0.15">
      <c r="B733" s="6" t="s">
        <v>162</v>
      </c>
      <c r="C733" s="15">
        <v>7</v>
      </c>
      <c r="D733" s="14">
        <f>SUM(C733:C733)</f>
        <v>7</v>
      </c>
      <c r="E733" s="48">
        <v>41900</v>
      </c>
      <c r="F733" s="48"/>
      <c r="G733" s="48"/>
      <c r="H733" s="48"/>
      <c r="I733" s="48"/>
      <c r="J733" s="51"/>
      <c r="K733" s="4"/>
      <c r="L733" s="15"/>
      <c r="M733" s="14">
        <f>SUM(L733:L733)</f>
        <v>0</v>
      </c>
      <c r="N733" s="26"/>
    </row>
    <row r="734" spans="2:14" x14ac:dyDescent="0.15">
      <c r="B734" s="6" t="s">
        <v>190</v>
      </c>
      <c r="C734" s="15">
        <v>20</v>
      </c>
      <c r="D734" s="14">
        <f>SUM(C734)</f>
        <v>20</v>
      </c>
      <c r="E734" s="48">
        <v>41901</v>
      </c>
      <c r="F734" s="48"/>
      <c r="G734" s="48"/>
      <c r="H734" s="48"/>
      <c r="I734" s="48"/>
      <c r="J734" s="51"/>
      <c r="K734" s="6"/>
      <c r="L734" s="15"/>
      <c r="M734" s="14">
        <f>SUM(L734:L734)</f>
        <v>0</v>
      </c>
      <c r="N734" s="26"/>
    </row>
    <row r="735" spans="2:14" ht="14.25" thickBot="1" x14ac:dyDescent="0.2">
      <c r="B735" s="4" t="s">
        <v>162</v>
      </c>
      <c r="C735" s="15">
        <v>5</v>
      </c>
      <c r="D735" s="14">
        <f>SUM(C735)</f>
        <v>5</v>
      </c>
      <c r="E735" s="48">
        <v>41902</v>
      </c>
      <c r="F735" s="48"/>
      <c r="G735" s="48"/>
      <c r="H735" s="48"/>
      <c r="I735" s="48"/>
      <c r="J735" s="51"/>
      <c r="K735" s="6"/>
      <c r="L735" s="15"/>
      <c r="M735" s="14">
        <f>SUM(L735:L735)</f>
        <v>0</v>
      </c>
      <c r="N735" s="26"/>
    </row>
    <row r="736" spans="2:14" ht="14.25" thickBot="1" x14ac:dyDescent="0.2">
      <c r="B736" s="3" t="s">
        <v>5</v>
      </c>
      <c r="C736" s="16">
        <f>SUM(C712:C735)</f>
        <v>263</v>
      </c>
      <c r="D736" s="17">
        <f>SUM(D712:D735)</f>
        <v>263</v>
      </c>
      <c r="K736" s="3" t="s">
        <v>5</v>
      </c>
      <c r="L736" s="16">
        <f>SUM(L712:L735)</f>
        <v>0</v>
      </c>
      <c r="M736" s="17">
        <f>SUM(M712:M735)</f>
        <v>0</v>
      </c>
    </row>
    <row r="737" spans="1:13" ht="14.25" thickBot="1" x14ac:dyDescent="0.2">
      <c r="B737" s="18" t="s">
        <v>6</v>
      </c>
      <c r="C737" s="19">
        <f>C711-C736</f>
        <v>838</v>
      </c>
      <c r="D737" s="13">
        <f>D711-D736</f>
        <v>838</v>
      </c>
      <c r="K737" s="18" t="s">
        <v>6</v>
      </c>
      <c r="L737" s="19">
        <f>L711-L736</f>
        <v>2000</v>
      </c>
      <c r="M737" s="13">
        <f>M711-M736</f>
        <v>2000</v>
      </c>
    </row>
    <row r="739" spans="1:13" ht="18" thickBot="1" x14ac:dyDescent="0.25">
      <c r="A739" s="27" t="s">
        <v>8</v>
      </c>
      <c r="B739" s="28"/>
      <c r="C739" s="28"/>
      <c r="D739" s="28"/>
      <c r="J739" s="63" t="s">
        <v>192</v>
      </c>
      <c r="K739" s="64"/>
      <c r="L739" s="64"/>
      <c r="M739" s="64"/>
    </row>
    <row r="740" spans="1:13" ht="14.25" thickBot="1" x14ac:dyDescent="0.2">
      <c r="B740" s="2"/>
      <c r="C740" s="3" t="s">
        <v>0</v>
      </c>
      <c r="D740" s="2" t="s">
        <v>1</v>
      </c>
      <c r="K740" s="2"/>
      <c r="L740" s="3" t="s">
        <v>0</v>
      </c>
      <c r="M740" s="2" t="s">
        <v>1</v>
      </c>
    </row>
    <row r="741" spans="1:13" x14ac:dyDescent="0.15">
      <c r="B741" s="43" t="s">
        <v>26</v>
      </c>
      <c r="C741" s="38">
        <f>C737</f>
        <v>838</v>
      </c>
      <c r="D741" s="39">
        <f t="shared" ref="D741:D751" si="76">SUM(C741:C741)</f>
        <v>838</v>
      </c>
      <c r="K741" s="43" t="s">
        <v>26</v>
      </c>
      <c r="L741" s="38">
        <f>L737</f>
        <v>2000</v>
      </c>
      <c r="M741" s="39">
        <f t="shared" ref="M741:M751" si="77">SUM(L741:L741)</f>
        <v>2000</v>
      </c>
    </row>
    <row r="742" spans="1:13" x14ac:dyDescent="0.15">
      <c r="B742" s="6" t="s">
        <v>184</v>
      </c>
      <c r="C742" s="7">
        <v>12</v>
      </c>
      <c r="D742" s="5">
        <f t="shared" si="76"/>
        <v>12</v>
      </c>
      <c r="E742" s="48">
        <v>41912</v>
      </c>
      <c r="F742" s="48"/>
      <c r="G742" s="48"/>
      <c r="H742" s="48"/>
      <c r="I742" s="48"/>
      <c r="K742" s="6" t="s">
        <v>3</v>
      </c>
      <c r="L742" s="7"/>
      <c r="M742" s="5">
        <f t="shared" si="77"/>
        <v>0</v>
      </c>
    </row>
    <row r="743" spans="1:13" x14ac:dyDescent="0.15">
      <c r="B743" s="6" t="s">
        <v>3</v>
      </c>
      <c r="C743" s="7"/>
      <c r="D743" s="5">
        <f t="shared" si="76"/>
        <v>0</v>
      </c>
      <c r="K743" s="6" t="s">
        <v>3</v>
      </c>
      <c r="L743" s="7"/>
      <c r="M743" s="5">
        <f t="shared" si="77"/>
        <v>0</v>
      </c>
    </row>
    <row r="744" spans="1:13" x14ac:dyDescent="0.15">
      <c r="B744" s="6" t="s">
        <v>3</v>
      </c>
      <c r="C744" s="7"/>
      <c r="D744" s="5">
        <f t="shared" si="76"/>
        <v>0</v>
      </c>
      <c r="K744" s="6" t="s">
        <v>3</v>
      </c>
      <c r="L744" s="7"/>
      <c r="M744" s="5">
        <f t="shared" si="77"/>
        <v>0</v>
      </c>
    </row>
    <row r="745" spans="1:13" x14ac:dyDescent="0.15">
      <c r="B745" s="6" t="s">
        <v>3</v>
      </c>
      <c r="C745" s="7"/>
      <c r="D745" s="5">
        <f t="shared" si="76"/>
        <v>0</v>
      </c>
      <c r="K745" s="6" t="s">
        <v>3</v>
      </c>
      <c r="L745" s="7"/>
      <c r="M745" s="5">
        <f t="shared" si="77"/>
        <v>0</v>
      </c>
    </row>
    <row r="746" spans="1:13" x14ac:dyDescent="0.15">
      <c r="B746" s="6" t="s">
        <v>3</v>
      </c>
      <c r="C746" s="7"/>
      <c r="D746" s="5">
        <f t="shared" si="76"/>
        <v>0</v>
      </c>
      <c r="K746" s="6" t="s">
        <v>3</v>
      </c>
      <c r="L746" s="7"/>
      <c r="M746" s="5">
        <f t="shared" si="77"/>
        <v>0</v>
      </c>
    </row>
    <row r="747" spans="1:13" x14ac:dyDescent="0.15">
      <c r="B747" s="6" t="s">
        <v>3</v>
      </c>
      <c r="C747" s="7"/>
      <c r="D747" s="5">
        <f t="shared" si="76"/>
        <v>0</v>
      </c>
      <c r="K747" s="6" t="s">
        <v>3</v>
      </c>
      <c r="L747" s="7"/>
      <c r="M747" s="5">
        <f t="shared" si="77"/>
        <v>0</v>
      </c>
    </row>
    <row r="748" spans="1:13" x14ac:dyDescent="0.15">
      <c r="B748" s="6" t="s">
        <v>3</v>
      </c>
      <c r="C748" s="54"/>
      <c r="D748" s="5">
        <f t="shared" si="76"/>
        <v>0</v>
      </c>
      <c r="K748" s="6" t="s">
        <v>3</v>
      </c>
      <c r="L748" s="7"/>
      <c r="M748" s="5">
        <f t="shared" si="77"/>
        <v>0</v>
      </c>
    </row>
    <row r="749" spans="1:13" x14ac:dyDescent="0.15">
      <c r="B749" s="6" t="s">
        <v>3</v>
      </c>
      <c r="C749" s="54"/>
      <c r="D749" s="5">
        <f t="shared" si="76"/>
        <v>0</v>
      </c>
      <c r="K749" s="6" t="s">
        <v>3</v>
      </c>
      <c r="L749" s="7"/>
      <c r="M749" s="5">
        <f t="shared" si="77"/>
        <v>0</v>
      </c>
    </row>
    <row r="750" spans="1:13" x14ac:dyDescent="0.15">
      <c r="B750" s="6" t="s">
        <v>3</v>
      </c>
      <c r="C750" s="54"/>
      <c r="D750" s="5">
        <f t="shared" si="76"/>
        <v>0</v>
      </c>
      <c r="K750" s="6" t="s">
        <v>3</v>
      </c>
      <c r="L750" s="7"/>
      <c r="M750" s="5">
        <f t="shared" si="77"/>
        <v>0</v>
      </c>
    </row>
    <row r="751" spans="1:13" ht="14.25" thickBot="1" x14ac:dyDescent="0.2">
      <c r="B751" s="9" t="s">
        <v>3</v>
      </c>
      <c r="C751" s="101"/>
      <c r="D751" s="5">
        <f t="shared" si="76"/>
        <v>0</v>
      </c>
      <c r="K751" s="9" t="s">
        <v>3</v>
      </c>
      <c r="L751" s="10"/>
      <c r="M751" s="5">
        <f t="shared" si="77"/>
        <v>0</v>
      </c>
    </row>
    <row r="752" spans="1:13" ht="14.25" thickBot="1" x14ac:dyDescent="0.2">
      <c r="B752" s="11" t="s">
        <v>4</v>
      </c>
      <c r="C752" s="12">
        <f>SUM(C741:C751)</f>
        <v>850</v>
      </c>
      <c r="D752" s="13">
        <f>SUM(D741:D751)</f>
        <v>850</v>
      </c>
      <c r="K752" s="11" t="s">
        <v>4</v>
      </c>
      <c r="L752" s="12">
        <f>SUM(L741:L751)</f>
        <v>2000</v>
      </c>
      <c r="M752" s="13">
        <f>SUM(M741:M751)</f>
        <v>2000</v>
      </c>
    </row>
    <row r="753" spans="2:13" x14ac:dyDescent="0.15">
      <c r="B753" s="71" t="s">
        <v>191</v>
      </c>
      <c r="C753" s="15">
        <v>1</v>
      </c>
      <c r="D753" s="14">
        <f>C753</f>
        <v>1</v>
      </c>
      <c r="E753" s="48">
        <v>41902</v>
      </c>
      <c r="F753" s="48"/>
      <c r="G753" s="48"/>
      <c r="H753" s="48"/>
      <c r="I753" s="48"/>
      <c r="K753" s="4"/>
      <c r="L753" s="44"/>
      <c r="M753" s="14">
        <f t="shared" ref="M753:M767" si="78">SUM(L753:L753)</f>
        <v>0</v>
      </c>
    </row>
    <row r="754" spans="2:13" x14ac:dyDescent="0.15">
      <c r="B754" s="71" t="s">
        <v>162</v>
      </c>
      <c r="C754" s="15">
        <v>5</v>
      </c>
      <c r="D754" s="14">
        <f>SUM(C754)</f>
        <v>5</v>
      </c>
      <c r="E754" s="48">
        <v>41904</v>
      </c>
      <c r="F754" s="48"/>
      <c r="G754" s="48"/>
      <c r="H754" s="48"/>
      <c r="I754" s="48"/>
      <c r="J754" s="51"/>
      <c r="K754" s="4"/>
      <c r="L754" s="15"/>
      <c r="M754" s="14">
        <f t="shared" si="78"/>
        <v>0</v>
      </c>
    </row>
    <row r="755" spans="2:13" x14ac:dyDescent="0.15">
      <c r="B755" s="71" t="s">
        <v>162</v>
      </c>
      <c r="C755" s="15">
        <v>6</v>
      </c>
      <c r="D755" s="14">
        <f>SUM(C755)</f>
        <v>6</v>
      </c>
      <c r="E755" s="48">
        <v>41906</v>
      </c>
      <c r="F755" s="48"/>
      <c r="G755" s="48"/>
      <c r="H755" s="48"/>
      <c r="I755" s="48"/>
      <c r="J755" s="51"/>
      <c r="K755" s="4"/>
      <c r="L755" s="15"/>
      <c r="M755" s="14">
        <f t="shared" si="78"/>
        <v>0</v>
      </c>
    </row>
    <row r="756" spans="2:13" x14ac:dyDescent="0.15">
      <c r="B756" s="71" t="s">
        <v>162</v>
      </c>
      <c r="C756" s="15">
        <v>1</v>
      </c>
      <c r="D756" s="14">
        <f>SUM(C756)</f>
        <v>1</v>
      </c>
      <c r="E756" s="48">
        <v>41907</v>
      </c>
      <c r="F756" s="48"/>
      <c r="G756" s="48"/>
      <c r="H756" s="48"/>
      <c r="I756" s="48"/>
      <c r="J756" s="51"/>
      <c r="K756" s="4"/>
      <c r="L756" s="15"/>
      <c r="M756" s="14">
        <f t="shared" si="78"/>
        <v>0</v>
      </c>
    </row>
    <row r="757" spans="2:13" x14ac:dyDescent="0.15">
      <c r="B757" s="71" t="s">
        <v>162</v>
      </c>
      <c r="C757" s="15">
        <v>3</v>
      </c>
      <c r="D757" s="14">
        <f>SUM(C757)</f>
        <v>3</v>
      </c>
      <c r="E757" s="48">
        <v>41908</v>
      </c>
      <c r="F757" s="48"/>
      <c r="G757" s="48"/>
      <c r="H757" s="48"/>
      <c r="I757" s="48"/>
      <c r="J757" s="51"/>
      <c r="K757" s="6"/>
      <c r="L757" s="15"/>
      <c r="M757" s="14">
        <f t="shared" si="78"/>
        <v>0</v>
      </c>
    </row>
    <row r="758" spans="2:13" x14ac:dyDescent="0.15">
      <c r="B758" s="71" t="s">
        <v>162</v>
      </c>
      <c r="C758" s="15">
        <v>4</v>
      </c>
      <c r="D758" s="14">
        <f>SUM(C758)</f>
        <v>4</v>
      </c>
      <c r="E758" s="48">
        <v>41911</v>
      </c>
      <c r="F758" s="48"/>
      <c r="G758" s="48"/>
      <c r="H758" s="48"/>
      <c r="I758" s="48"/>
      <c r="J758" s="51"/>
      <c r="K758" s="4"/>
      <c r="L758" s="15"/>
      <c r="M758" s="14">
        <f t="shared" si="78"/>
        <v>0</v>
      </c>
    </row>
    <row r="759" spans="2:13" x14ac:dyDescent="0.15">
      <c r="B759" s="71" t="s">
        <v>162</v>
      </c>
      <c r="C759" s="15">
        <v>1</v>
      </c>
      <c r="D759" s="14">
        <f t="shared" ref="D759:D774" si="79">SUM(C759)</f>
        <v>1</v>
      </c>
      <c r="E759" s="48">
        <v>41912</v>
      </c>
      <c r="F759" s="48"/>
      <c r="G759" s="48"/>
      <c r="H759" s="48"/>
      <c r="I759" s="48"/>
      <c r="J759" s="51"/>
      <c r="K759" s="6"/>
      <c r="L759" s="15"/>
      <c r="M759" s="14">
        <f t="shared" si="78"/>
        <v>0</v>
      </c>
    </row>
    <row r="760" spans="2:13" x14ac:dyDescent="0.15">
      <c r="B760" s="71" t="s">
        <v>162</v>
      </c>
      <c r="C760" s="15">
        <v>6</v>
      </c>
      <c r="D760" s="14">
        <f t="shared" si="79"/>
        <v>6</v>
      </c>
      <c r="E760" s="48">
        <v>41913</v>
      </c>
      <c r="F760" s="48"/>
      <c r="G760" s="48"/>
      <c r="H760" s="48"/>
      <c r="I760" s="48"/>
      <c r="J760" s="51"/>
      <c r="K760" s="6"/>
      <c r="L760" s="15"/>
      <c r="M760" s="14">
        <f t="shared" si="78"/>
        <v>0</v>
      </c>
    </row>
    <row r="761" spans="2:13" x14ac:dyDescent="0.15">
      <c r="B761" s="71" t="s">
        <v>162</v>
      </c>
      <c r="C761" s="15">
        <v>7</v>
      </c>
      <c r="D761" s="14">
        <f t="shared" si="79"/>
        <v>7</v>
      </c>
      <c r="E761" s="48">
        <v>41915</v>
      </c>
      <c r="F761" s="48"/>
      <c r="G761" s="48"/>
      <c r="H761" s="48"/>
      <c r="I761" s="48"/>
      <c r="J761" s="51"/>
      <c r="K761" s="4"/>
      <c r="L761" s="15"/>
      <c r="M761" s="14">
        <f t="shared" si="78"/>
        <v>0</v>
      </c>
    </row>
    <row r="762" spans="2:13" x14ac:dyDescent="0.15">
      <c r="B762" s="71" t="s">
        <v>162</v>
      </c>
      <c r="C762" s="15">
        <v>3</v>
      </c>
      <c r="D762" s="14">
        <f t="shared" si="79"/>
        <v>3</v>
      </c>
      <c r="E762" s="48">
        <v>41916</v>
      </c>
      <c r="F762" s="48"/>
      <c r="G762" s="48"/>
      <c r="H762" s="48"/>
      <c r="I762" s="48"/>
      <c r="J762" s="51"/>
      <c r="K762" s="4"/>
      <c r="L762" s="15"/>
      <c r="M762" s="14">
        <f t="shared" si="78"/>
        <v>0</v>
      </c>
    </row>
    <row r="763" spans="2:13" x14ac:dyDescent="0.15">
      <c r="B763" s="4" t="s">
        <v>162</v>
      </c>
      <c r="C763" s="15">
        <v>4</v>
      </c>
      <c r="D763" s="14">
        <f t="shared" si="79"/>
        <v>4</v>
      </c>
      <c r="E763" s="48">
        <v>41918</v>
      </c>
      <c r="F763" s="48"/>
      <c r="G763" s="48"/>
      <c r="H763" s="48"/>
      <c r="I763" s="48"/>
      <c r="J763" s="51"/>
      <c r="K763" s="4"/>
      <c r="L763" s="15"/>
      <c r="M763" s="14">
        <f t="shared" si="78"/>
        <v>0</v>
      </c>
    </row>
    <row r="764" spans="2:13" x14ac:dyDescent="0.15">
      <c r="B764" s="4" t="s">
        <v>162</v>
      </c>
      <c r="C764" s="15">
        <v>1</v>
      </c>
      <c r="D764" s="14">
        <f t="shared" si="79"/>
        <v>1</v>
      </c>
      <c r="E764" s="48">
        <v>41919</v>
      </c>
      <c r="F764" s="48"/>
      <c r="G764" s="48"/>
      <c r="H764" s="48"/>
      <c r="I764" s="48"/>
      <c r="J764" s="51"/>
      <c r="K764" s="4"/>
      <c r="L764" s="15"/>
      <c r="M764" s="14">
        <f t="shared" si="78"/>
        <v>0</v>
      </c>
    </row>
    <row r="765" spans="2:13" x14ac:dyDescent="0.15">
      <c r="B765" s="4" t="s">
        <v>162</v>
      </c>
      <c r="C765" s="15">
        <v>2</v>
      </c>
      <c r="D765" s="14">
        <f t="shared" si="79"/>
        <v>2</v>
      </c>
      <c r="E765" s="48">
        <v>41919</v>
      </c>
      <c r="F765" s="48"/>
      <c r="G765" s="48"/>
      <c r="H765" s="48"/>
      <c r="I765" s="48"/>
      <c r="J765" s="51"/>
      <c r="K765" s="72"/>
      <c r="L765" s="15"/>
      <c r="M765" s="14">
        <f t="shared" si="78"/>
        <v>0</v>
      </c>
    </row>
    <row r="766" spans="2:13" x14ac:dyDescent="0.15">
      <c r="B766" s="4" t="s">
        <v>162</v>
      </c>
      <c r="C766" s="15">
        <v>3</v>
      </c>
      <c r="D766" s="14">
        <f t="shared" si="79"/>
        <v>3</v>
      </c>
      <c r="E766" s="48">
        <v>41922</v>
      </c>
      <c r="F766" s="48"/>
      <c r="G766" s="48"/>
      <c r="H766" s="48"/>
      <c r="I766" s="48"/>
      <c r="J766" s="51"/>
      <c r="K766" s="6"/>
      <c r="L766" s="15"/>
      <c r="M766" s="14">
        <f t="shared" si="78"/>
        <v>0</v>
      </c>
    </row>
    <row r="767" spans="2:13" x14ac:dyDescent="0.15">
      <c r="B767" s="4" t="s">
        <v>162</v>
      </c>
      <c r="C767" s="15">
        <v>1</v>
      </c>
      <c r="D767" s="14">
        <f t="shared" si="79"/>
        <v>1</v>
      </c>
      <c r="E767" s="48">
        <v>41923</v>
      </c>
      <c r="F767" s="48"/>
      <c r="G767" s="48"/>
      <c r="H767" s="48"/>
      <c r="I767" s="48"/>
      <c r="J767" s="51"/>
      <c r="K767" s="4"/>
      <c r="L767" s="15"/>
      <c r="M767" s="14">
        <f t="shared" si="78"/>
        <v>0</v>
      </c>
    </row>
    <row r="768" spans="2:13" x14ac:dyDescent="0.15">
      <c r="B768" s="4" t="s">
        <v>162</v>
      </c>
      <c r="C768" s="15">
        <v>2</v>
      </c>
      <c r="D768" s="14">
        <f t="shared" si="79"/>
        <v>2</v>
      </c>
      <c r="E768" s="48">
        <v>41927</v>
      </c>
      <c r="F768" s="48"/>
      <c r="G768" s="48"/>
      <c r="H768" s="48"/>
      <c r="I768" s="48"/>
      <c r="J768" s="51"/>
      <c r="K768" s="6"/>
      <c r="L768" s="15"/>
      <c r="M768" s="14">
        <f>SUM(L768)</f>
        <v>0</v>
      </c>
    </row>
    <row r="769" spans="1:14" x14ac:dyDescent="0.15">
      <c r="B769" s="4" t="s">
        <v>162</v>
      </c>
      <c r="C769" s="15">
        <v>2</v>
      </c>
      <c r="D769" s="14">
        <f t="shared" si="79"/>
        <v>2</v>
      </c>
      <c r="E769" s="48">
        <v>41928</v>
      </c>
      <c r="F769" s="48"/>
      <c r="G769" s="48"/>
      <c r="H769" s="48"/>
      <c r="I769" s="48"/>
      <c r="J769" s="51"/>
      <c r="K769" s="6"/>
      <c r="L769" s="15"/>
      <c r="M769" s="14">
        <f>SUM(L769)</f>
        <v>0</v>
      </c>
    </row>
    <row r="770" spans="1:14" x14ac:dyDescent="0.15">
      <c r="B770" s="4" t="s">
        <v>161</v>
      </c>
      <c r="C770" s="15">
        <v>2</v>
      </c>
      <c r="D770" s="14">
        <f t="shared" si="79"/>
        <v>2</v>
      </c>
      <c r="E770" s="48">
        <v>41929</v>
      </c>
      <c r="F770" s="48"/>
      <c r="G770" s="48"/>
      <c r="H770" s="48"/>
      <c r="I770" s="48"/>
      <c r="J770" s="51"/>
      <c r="K770" s="6"/>
      <c r="L770" s="15"/>
      <c r="M770" s="14">
        <f>SUM(L770:L770)</f>
        <v>0</v>
      </c>
    </row>
    <row r="771" spans="1:14" x14ac:dyDescent="0.15">
      <c r="B771" s="4" t="s">
        <v>161</v>
      </c>
      <c r="C771" s="15">
        <v>1</v>
      </c>
      <c r="D771" s="14">
        <f t="shared" si="79"/>
        <v>1</v>
      </c>
      <c r="E771" s="48">
        <v>41930</v>
      </c>
      <c r="F771" s="48"/>
      <c r="G771" s="48"/>
      <c r="H771" s="48"/>
      <c r="I771" s="48"/>
      <c r="J771" s="51"/>
      <c r="K771" s="6"/>
      <c r="L771" s="15"/>
      <c r="M771" s="14">
        <f>SUM(L771)</f>
        <v>0</v>
      </c>
    </row>
    <row r="772" spans="1:14" x14ac:dyDescent="0.15">
      <c r="B772" s="4" t="s">
        <v>194</v>
      </c>
      <c r="C772" s="15">
        <v>4</v>
      </c>
      <c r="D772" s="14">
        <f t="shared" si="79"/>
        <v>4</v>
      </c>
      <c r="E772" s="48">
        <v>41932</v>
      </c>
      <c r="F772" s="48"/>
      <c r="G772" s="48"/>
      <c r="H772" s="48"/>
      <c r="I772" s="48"/>
      <c r="J772" s="51"/>
      <c r="K772" s="4"/>
      <c r="L772" s="15"/>
      <c r="M772" s="14">
        <f>SUM(L772:L772)</f>
        <v>0</v>
      </c>
    </row>
    <row r="773" spans="1:14" x14ac:dyDescent="0.15">
      <c r="B773" s="6" t="s">
        <v>193</v>
      </c>
      <c r="C773" s="15">
        <v>1</v>
      </c>
      <c r="D773" s="14">
        <f t="shared" si="79"/>
        <v>1</v>
      </c>
      <c r="E773" s="48">
        <v>41935</v>
      </c>
      <c r="F773" s="48"/>
      <c r="G773" s="48"/>
      <c r="H773" s="48"/>
      <c r="I773" s="48"/>
      <c r="J773" s="51"/>
      <c r="K773" s="4"/>
      <c r="L773" s="15"/>
      <c r="M773" s="14">
        <f>SUM(L773)</f>
        <v>0</v>
      </c>
    </row>
    <row r="774" spans="1:14" x14ac:dyDescent="0.15">
      <c r="B774" s="6" t="s">
        <v>162</v>
      </c>
      <c r="C774" s="15">
        <v>1</v>
      </c>
      <c r="D774" s="14">
        <f t="shared" si="79"/>
        <v>1</v>
      </c>
      <c r="E774" s="48">
        <v>41934</v>
      </c>
      <c r="F774" s="48"/>
      <c r="G774" s="48"/>
      <c r="H774" s="48"/>
      <c r="I774" s="48"/>
      <c r="J774" s="51"/>
      <c r="K774" s="4"/>
      <c r="L774" s="15"/>
      <c r="M774" s="14">
        <f>SUM(L774:L774)</f>
        <v>0</v>
      </c>
    </row>
    <row r="775" spans="1:14" x14ac:dyDescent="0.15">
      <c r="B775" s="6" t="s">
        <v>162</v>
      </c>
      <c r="C775" s="15">
        <v>1</v>
      </c>
      <c r="D775" s="14">
        <f>SUM(C775)</f>
        <v>1</v>
      </c>
      <c r="E775" s="48">
        <v>41937</v>
      </c>
      <c r="F775" s="48"/>
      <c r="G775" s="48"/>
      <c r="H775" s="48"/>
      <c r="I775" s="48"/>
      <c r="J775" s="51"/>
      <c r="K775" s="6"/>
      <c r="L775" s="15"/>
      <c r="M775" s="14">
        <f>SUM(L775:L775)</f>
        <v>0</v>
      </c>
    </row>
    <row r="776" spans="1:14" ht="14.25" thickBot="1" x14ac:dyDescent="0.2">
      <c r="B776" s="6" t="s">
        <v>162</v>
      </c>
      <c r="C776" s="15">
        <v>3</v>
      </c>
      <c r="D776" s="14">
        <f>SUM(C776)</f>
        <v>3</v>
      </c>
      <c r="E776" s="48">
        <v>41939</v>
      </c>
      <c r="F776" s="48"/>
      <c r="G776" s="48"/>
      <c r="H776" s="48"/>
      <c r="I776" s="48"/>
      <c r="J776" s="51"/>
      <c r="K776" s="6"/>
      <c r="L776" s="15"/>
      <c r="M776" s="14">
        <f>SUM(L776:L776)</f>
        <v>0</v>
      </c>
      <c r="N776" s="26"/>
    </row>
    <row r="777" spans="1:14" ht="14.25" thickBot="1" x14ac:dyDescent="0.2">
      <c r="B777" s="3" t="s">
        <v>5</v>
      </c>
      <c r="C777" s="16">
        <f>SUM(C753:C776)</f>
        <v>65</v>
      </c>
      <c r="D777" s="17">
        <f>SUM(D753:D776)</f>
        <v>65</v>
      </c>
      <c r="K777" s="3" t="s">
        <v>5</v>
      </c>
      <c r="L777" s="16">
        <f>SUM(L753:L776)</f>
        <v>0</v>
      </c>
      <c r="M777" s="17">
        <f>SUM(M753:M776)</f>
        <v>0</v>
      </c>
      <c r="N777" s="75"/>
    </row>
    <row r="778" spans="1:14" ht="14.25" thickBot="1" x14ac:dyDescent="0.2">
      <c r="B778" s="18" t="s">
        <v>6</v>
      </c>
      <c r="C778" s="19">
        <f>C752-C777</f>
        <v>785</v>
      </c>
      <c r="D778" s="13">
        <f>D752-D777</f>
        <v>785</v>
      </c>
      <c r="K778" s="18" t="s">
        <v>6</v>
      </c>
      <c r="L778" s="19">
        <f>L752-L777</f>
        <v>2000</v>
      </c>
      <c r="M778" s="13">
        <f>M752-M777</f>
        <v>2000</v>
      </c>
    </row>
    <row r="780" spans="1:14" ht="18" thickBot="1" x14ac:dyDescent="0.25">
      <c r="A780" s="27" t="s">
        <v>8</v>
      </c>
      <c r="B780" s="28"/>
      <c r="C780" s="28"/>
      <c r="D780" s="28"/>
      <c r="J780" s="63" t="s">
        <v>192</v>
      </c>
      <c r="K780" s="64"/>
      <c r="L780" s="64"/>
      <c r="M780" s="64"/>
    </row>
    <row r="781" spans="1:14" ht="14.25" thickBot="1" x14ac:dyDescent="0.2">
      <c r="B781" s="2"/>
      <c r="C781" s="3" t="s">
        <v>0</v>
      </c>
      <c r="D781" s="2" t="s">
        <v>1</v>
      </c>
      <c r="K781" s="2"/>
      <c r="L781" s="3" t="s">
        <v>0</v>
      </c>
      <c r="M781" s="2" t="s">
        <v>1</v>
      </c>
    </row>
    <row r="782" spans="1:14" x14ac:dyDescent="0.15">
      <c r="B782" s="43" t="s">
        <v>26</v>
      </c>
      <c r="C782" s="38">
        <f>C778</f>
        <v>785</v>
      </c>
      <c r="D782" s="39">
        <f t="shared" ref="D782:D792" si="80">SUM(C782:C782)</f>
        <v>785</v>
      </c>
      <c r="K782" s="43" t="s">
        <v>26</v>
      </c>
      <c r="L782" s="38">
        <f>L778</f>
        <v>2000</v>
      </c>
      <c r="M782" s="39">
        <f t="shared" ref="M782:M792" si="81">SUM(L782:L782)</f>
        <v>2000</v>
      </c>
    </row>
    <row r="783" spans="1:14" x14ac:dyDescent="0.15">
      <c r="B783" s="6" t="s">
        <v>172</v>
      </c>
      <c r="C783" s="7">
        <v>42</v>
      </c>
      <c r="D783" s="5">
        <f t="shared" si="80"/>
        <v>42</v>
      </c>
      <c r="E783" s="74">
        <v>41954</v>
      </c>
      <c r="F783" s="74"/>
      <c r="G783" s="74"/>
      <c r="H783" s="74"/>
      <c r="I783" s="74"/>
      <c r="K783" s="6" t="s">
        <v>3</v>
      </c>
      <c r="L783" s="7"/>
      <c r="M783" s="5">
        <f t="shared" si="81"/>
        <v>0</v>
      </c>
    </row>
    <row r="784" spans="1:14" x14ac:dyDescent="0.15">
      <c r="B784" s="6" t="s">
        <v>122</v>
      </c>
      <c r="C784" s="7">
        <v>3</v>
      </c>
      <c r="D784" s="5">
        <f t="shared" si="80"/>
        <v>3</v>
      </c>
      <c r="E784" s="48">
        <v>41960</v>
      </c>
      <c r="F784" s="48"/>
      <c r="G784" s="48"/>
      <c r="H784" s="48"/>
      <c r="I784" s="48"/>
      <c r="K784" s="6" t="s">
        <v>3</v>
      </c>
      <c r="L784" s="7"/>
      <c r="M784" s="5">
        <f t="shared" si="81"/>
        <v>0</v>
      </c>
    </row>
    <row r="785" spans="2:14" x14ac:dyDescent="0.15">
      <c r="B785" s="6" t="s">
        <v>184</v>
      </c>
      <c r="C785" s="7">
        <v>-2</v>
      </c>
      <c r="D785" s="5">
        <f t="shared" si="80"/>
        <v>-2</v>
      </c>
      <c r="E785" s="48">
        <v>41962</v>
      </c>
      <c r="F785" s="48"/>
      <c r="G785" s="48"/>
      <c r="H785" s="48"/>
      <c r="I785" s="48"/>
      <c r="K785" s="6" t="s">
        <v>3</v>
      </c>
      <c r="L785" s="7"/>
      <c r="M785" s="5">
        <f t="shared" si="81"/>
        <v>0</v>
      </c>
    </row>
    <row r="786" spans="2:14" x14ac:dyDescent="0.15">
      <c r="B786" s="69" t="s">
        <v>195</v>
      </c>
      <c r="C786" s="7">
        <v>1</v>
      </c>
      <c r="D786" s="5">
        <f t="shared" si="80"/>
        <v>1</v>
      </c>
      <c r="E786" s="48">
        <v>41974</v>
      </c>
      <c r="F786" s="48"/>
      <c r="G786" s="48"/>
      <c r="H786" s="48"/>
      <c r="I786" s="48"/>
      <c r="K786" s="6" t="s">
        <v>3</v>
      </c>
      <c r="L786" s="7"/>
      <c r="M786" s="5">
        <f t="shared" si="81"/>
        <v>0</v>
      </c>
    </row>
    <row r="787" spans="2:14" x14ac:dyDescent="0.15">
      <c r="B787" s="6" t="s">
        <v>3</v>
      </c>
      <c r="C787" s="7"/>
      <c r="D787" s="5">
        <f t="shared" si="80"/>
        <v>0</v>
      </c>
      <c r="K787" s="6" t="s">
        <v>3</v>
      </c>
      <c r="L787" s="7"/>
      <c r="M787" s="5">
        <f t="shared" si="81"/>
        <v>0</v>
      </c>
    </row>
    <row r="788" spans="2:14" x14ac:dyDescent="0.15">
      <c r="B788" s="6" t="s">
        <v>3</v>
      </c>
      <c r="C788" s="7"/>
      <c r="D788" s="5">
        <f t="shared" si="80"/>
        <v>0</v>
      </c>
      <c r="K788" s="6" t="s">
        <v>3</v>
      </c>
      <c r="L788" s="7"/>
      <c r="M788" s="5">
        <f t="shared" si="81"/>
        <v>0</v>
      </c>
    </row>
    <row r="789" spans="2:14" x14ac:dyDescent="0.15">
      <c r="B789" s="6" t="s">
        <v>3</v>
      </c>
      <c r="C789" s="54"/>
      <c r="D789" s="5">
        <f t="shared" si="80"/>
        <v>0</v>
      </c>
      <c r="K789" s="6" t="s">
        <v>3</v>
      </c>
      <c r="L789" s="7"/>
      <c r="M789" s="5">
        <f t="shared" si="81"/>
        <v>0</v>
      </c>
    </row>
    <row r="790" spans="2:14" x14ac:dyDescent="0.15">
      <c r="B790" s="6" t="s">
        <v>3</v>
      </c>
      <c r="C790" s="54"/>
      <c r="D790" s="5">
        <f t="shared" si="80"/>
        <v>0</v>
      </c>
      <c r="K790" s="6" t="s">
        <v>3</v>
      </c>
      <c r="L790" s="7"/>
      <c r="M790" s="5">
        <f t="shared" si="81"/>
        <v>0</v>
      </c>
    </row>
    <row r="791" spans="2:14" x14ac:dyDescent="0.15">
      <c r="B791" s="6" t="s">
        <v>3</v>
      </c>
      <c r="C791" s="54"/>
      <c r="D791" s="5">
        <f t="shared" si="80"/>
        <v>0</v>
      </c>
      <c r="K791" s="6" t="s">
        <v>3</v>
      </c>
      <c r="L791" s="7"/>
      <c r="M791" s="5">
        <f t="shared" si="81"/>
        <v>0</v>
      </c>
      <c r="N791" s="74"/>
    </row>
    <row r="792" spans="2:14" ht="14.25" thickBot="1" x14ac:dyDescent="0.2">
      <c r="B792" s="9" t="s">
        <v>3</v>
      </c>
      <c r="C792" s="101"/>
      <c r="D792" s="5">
        <f t="shared" si="80"/>
        <v>0</v>
      </c>
      <c r="K792" s="9" t="s">
        <v>3</v>
      </c>
      <c r="L792" s="10"/>
      <c r="M792" s="5">
        <f t="shared" si="81"/>
        <v>0</v>
      </c>
    </row>
    <row r="793" spans="2:14" ht="14.25" thickBot="1" x14ac:dyDescent="0.2">
      <c r="B793" s="11" t="s">
        <v>4</v>
      </c>
      <c r="C793" s="12">
        <f>SUM(C782:C792)</f>
        <v>829</v>
      </c>
      <c r="D793" s="13">
        <f>SUM(D782:D792)</f>
        <v>829</v>
      </c>
      <c r="K793" s="11" t="s">
        <v>4</v>
      </c>
      <c r="L793" s="12">
        <f>SUM(L782:L792)</f>
        <v>2000</v>
      </c>
      <c r="M793" s="13">
        <f>SUM(M782:M792)</f>
        <v>2000</v>
      </c>
    </row>
    <row r="794" spans="2:14" x14ac:dyDescent="0.15">
      <c r="B794" s="71" t="s">
        <v>162</v>
      </c>
      <c r="C794" s="15">
        <v>5</v>
      </c>
      <c r="D794" s="14">
        <f>C794</f>
        <v>5</v>
      </c>
      <c r="E794" s="48">
        <v>41940</v>
      </c>
      <c r="F794" s="48"/>
      <c r="G794" s="48"/>
      <c r="H794" s="48"/>
      <c r="I794" s="48"/>
      <c r="K794" s="4"/>
      <c r="L794" s="44"/>
      <c r="M794" s="14">
        <f t="shared" ref="M794:M808" si="82">SUM(L794:L794)</f>
        <v>0</v>
      </c>
    </row>
    <row r="795" spans="2:14" x14ac:dyDescent="0.15">
      <c r="B795" s="71" t="s">
        <v>162</v>
      </c>
      <c r="C795" s="15">
        <v>3</v>
      </c>
      <c r="D795" s="14">
        <f>SUM(C795)</f>
        <v>3</v>
      </c>
      <c r="E795" s="48">
        <v>41941</v>
      </c>
      <c r="F795" s="48"/>
      <c r="G795" s="48"/>
      <c r="H795" s="48"/>
      <c r="I795" s="48"/>
      <c r="J795" s="51"/>
      <c r="K795" s="4"/>
      <c r="L795" s="15"/>
      <c r="M795" s="14">
        <f t="shared" si="82"/>
        <v>0</v>
      </c>
    </row>
    <row r="796" spans="2:14" x14ac:dyDescent="0.15">
      <c r="B796" s="71" t="s">
        <v>162</v>
      </c>
      <c r="C796" s="15">
        <v>3</v>
      </c>
      <c r="D796" s="14">
        <f>SUM(C796)</f>
        <v>3</v>
      </c>
      <c r="E796" s="48">
        <v>41949</v>
      </c>
      <c r="F796" s="48"/>
      <c r="G796" s="48"/>
      <c r="H796" s="48"/>
      <c r="I796" s="48"/>
      <c r="J796" s="51"/>
      <c r="K796" s="4"/>
      <c r="L796" s="15"/>
      <c r="M796" s="14">
        <f t="shared" si="82"/>
        <v>0</v>
      </c>
    </row>
    <row r="797" spans="2:14" x14ac:dyDescent="0.15">
      <c r="B797" s="71" t="s">
        <v>162</v>
      </c>
      <c r="C797" s="15">
        <v>1</v>
      </c>
      <c r="D797" s="14">
        <f>SUM(C797)</f>
        <v>1</v>
      </c>
      <c r="E797" s="48">
        <v>41950</v>
      </c>
      <c r="F797" s="48"/>
      <c r="G797" s="48"/>
      <c r="H797" s="48"/>
      <c r="I797" s="48"/>
      <c r="J797" s="51"/>
      <c r="K797" s="4"/>
      <c r="L797" s="15"/>
      <c r="M797" s="14">
        <f t="shared" si="82"/>
        <v>0</v>
      </c>
    </row>
    <row r="798" spans="2:14" x14ac:dyDescent="0.15">
      <c r="B798" s="71" t="s">
        <v>162</v>
      </c>
      <c r="C798" s="15">
        <v>3</v>
      </c>
      <c r="D798" s="14">
        <f>SUM(C798)</f>
        <v>3</v>
      </c>
      <c r="E798" s="48">
        <v>41953</v>
      </c>
      <c r="F798" s="48"/>
      <c r="G798" s="48"/>
      <c r="H798" s="48"/>
      <c r="I798" s="48"/>
      <c r="J798" s="51"/>
      <c r="K798" s="6"/>
      <c r="L798" s="15"/>
      <c r="M798" s="14">
        <f t="shared" si="82"/>
        <v>0</v>
      </c>
    </row>
    <row r="799" spans="2:14" x14ac:dyDescent="0.15">
      <c r="B799" s="71" t="s">
        <v>162</v>
      </c>
      <c r="C799" s="15">
        <v>1</v>
      </c>
      <c r="D799" s="14">
        <f>SUM(C799)</f>
        <v>1</v>
      </c>
      <c r="E799" s="48">
        <v>41955</v>
      </c>
      <c r="F799" s="48"/>
      <c r="G799" s="48"/>
      <c r="H799" s="48"/>
      <c r="I799" s="48"/>
      <c r="J799" s="51"/>
      <c r="K799" s="4"/>
      <c r="L799" s="15"/>
      <c r="M799" s="14">
        <f t="shared" si="82"/>
        <v>0</v>
      </c>
    </row>
    <row r="800" spans="2:14" x14ac:dyDescent="0.15">
      <c r="B800" s="71" t="s">
        <v>162</v>
      </c>
      <c r="C800" s="15">
        <v>5</v>
      </c>
      <c r="D800" s="14">
        <f t="shared" ref="D800:D815" si="83">SUM(C800)</f>
        <v>5</v>
      </c>
      <c r="E800" s="48">
        <v>41957</v>
      </c>
      <c r="F800" s="48"/>
      <c r="G800" s="48"/>
      <c r="H800" s="48"/>
      <c r="I800" s="48"/>
      <c r="J800" s="51"/>
      <c r="K800" s="6"/>
      <c r="L800" s="15"/>
      <c r="M800" s="14">
        <f t="shared" si="82"/>
        <v>0</v>
      </c>
    </row>
    <row r="801" spans="2:13" x14ac:dyDescent="0.15">
      <c r="B801" s="71" t="s">
        <v>162</v>
      </c>
      <c r="C801" s="15">
        <v>1</v>
      </c>
      <c r="D801" s="14">
        <f t="shared" si="83"/>
        <v>1</v>
      </c>
      <c r="E801" s="48">
        <v>41960</v>
      </c>
      <c r="F801" s="48"/>
      <c r="G801" s="48"/>
      <c r="H801" s="48"/>
      <c r="I801" s="48"/>
      <c r="J801" s="51"/>
      <c r="K801" s="6"/>
      <c r="L801" s="15"/>
      <c r="M801" s="14">
        <f t="shared" si="82"/>
        <v>0</v>
      </c>
    </row>
    <row r="802" spans="2:13" x14ac:dyDescent="0.15">
      <c r="B802" s="71" t="s">
        <v>162</v>
      </c>
      <c r="C802" s="15">
        <v>3</v>
      </c>
      <c r="D802" s="14">
        <f t="shared" si="83"/>
        <v>3</v>
      </c>
      <c r="E802" s="48">
        <v>41961</v>
      </c>
      <c r="F802" s="48"/>
      <c r="G802" s="48"/>
      <c r="H802" s="48"/>
      <c r="I802" s="48"/>
      <c r="J802" s="51"/>
      <c r="K802" s="4"/>
      <c r="L802" s="15"/>
      <c r="M802" s="14">
        <f t="shared" si="82"/>
        <v>0</v>
      </c>
    </row>
    <row r="803" spans="2:13" x14ac:dyDescent="0.15">
      <c r="B803" s="71" t="s">
        <v>162</v>
      </c>
      <c r="C803" s="15">
        <v>1</v>
      </c>
      <c r="D803" s="14">
        <f t="shared" si="83"/>
        <v>1</v>
      </c>
      <c r="E803" s="48">
        <v>41962</v>
      </c>
      <c r="F803" s="48"/>
      <c r="G803" s="48"/>
      <c r="H803" s="48"/>
      <c r="I803" s="48"/>
      <c r="J803" s="51"/>
      <c r="K803" s="4"/>
      <c r="L803" s="15"/>
      <c r="M803" s="14">
        <f t="shared" si="82"/>
        <v>0</v>
      </c>
    </row>
    <row r="804" spans="2:13" x14ac:dyDescent="0.15">
      <c r="B804" s="71" t="s">
        <v>162</v>
      </c>
      <c r="C804" s="15">
        <v>1</v>
      </c>
      <c r="D804" s="14">
        <f t="shared" si="83"/>
        <v>1</v>
      </c>
      <c r="E804" s="48">
        <v>41968</v>
      </c>
      <c r="F804" s="48"/>
      <c r="G804" s="48"/>
      <c r="H804" s="48"/>
      <c r="I804" s="48"/>
      <c r="J804" s="51"/>
      <c r="K804" s="4"/>
      <c r="L804" s="15"/>
      <c r="M804" s="14">
        <f t="shared" si="82"/>
        <v>0</v>
      </c>
    </row>
    <row r="805" spans="2:13" x14ac:dyDescent="0.15">
      <c r="B805" s="71" t="s">
        <v>162</v>
      </c>
      <c r="C805" s="15">
        <v>1</v>
      </c>
      <c r="D805" s="14">
        <f t="shared" si="83"/>
        <v>1</v>
      </c>
      <c r="E805" s="48">
        <v>41972</v>
      </c>
      <c r="F805" s="48"/>
      <c r="G805" s="48"/>
      <c r="H805" s="48"/>
      <c r="I805" s="48"/>
      <c r="J805" s="51"/>
      <c r="K805" s="4"/>
      <c r="L805" s="15"/>
      <c r="M805" s="14">
        <f t="shared" si="82"/>
        <v>0</v>
      </c>
    </row>
    <row r="806" spans="2:13" x14ac:dyDescent="0.15">
      <c r="B806" s="71" t="s">
        <v>162</v>
      </c>
      <c r="C806" s="15">
        <v>3</v>
      </c>
      <c r="D806" s="14">
        <f t="shared" si="83"/>
        <v>3</v>
      </c>
      <c r="E806" s="48">
        <v>41974</v>
      </c>
      <c r="F806" s="48"/>
      <c r="G806" s="48"/>
      <c r="H806" s="48"/>
      <c r="I806" s="48"/>
      <c r="J806" s="51"/>
      <c r="K806" s="72"/>
      <c r="L806" s="15"/>
      <c r="M806" s="14">
        <f t="shared" si="82"/>
        <v>0</v>
      </c>
    </row>
    <row r="807" spans="2:13" x14ac:dyDescent="0.15">
      <c r="B807" s="4" t="s">
        <v>44</v>
      </c>
      <c r="C807" s="15">
        <v>2</v>
      </c>
      <c r="D807" s="14">
        <f t="shared" si="83"/>
        <v>2</v>
      </c>
      <c r="E807" s="74">
        <v>41981</v>
      </c>
      <c r="F807" s="74"/>
      <c r="G807" s="74"/>
      <c r="H807" s="74"/>
      <c r="I807" s="74"/>
      <c r="J807" s="51"/>
      <c r="K807" s="6"/>
      <c r="L807" s="15"/>
      <c r="M807" s="14">
        <f t="shared" si="82"/>
        <v>0</v>
      </c>
    </row>
    <row r="808" spans="2:13" x14ac:dyDescent="0.15">
      <c r="B808" s="4" t="s">
        <v>196</v>
      </c>
      <c r="C808" s="15">
        <v>1</v>
      </c>
      <c r="D808" s="14">
        <f t="shared" si="83"/>
        <v>1</v>
      </c>
      <c r="E808" s="48">
        <v>41976</v>
      </c>
      <c r="F808" s="48"/>
      <c r="G808" s="48"/>
      <c r="H808" s="48"/>
      <c r="I808" s="48"/>
      <c r="J808" s="51"/>
      <c r="K808" s="4"/>
      <c r="L808" s="15"/>
      <c r="M808" s="14">
        <f t="shared" si="82"/>
        <v>0</v>
      </c>
    </row>
    <row r="809" spans="2:13" x14ac:dyDescent="0.15">
      <c r="B809" s="4" t="s">
        <v>197</v>
      </c>
      <c r="C809" s="15">
        <v>1</v>
      </c>
      <c r="D809" s="14">
        <f t="shared" si="83"/>
        <v>1</v>
      </c>
      <c r="E809" s="48">
        <v>41978</v>
      </c>
      <c r="F809" s="48"/>
      <c r="G809" s="48"/>
      <c r="H809" s="48"/>
      <c r="I809" s="48"/>
      <c r="J809" s="51"/>
      <c r="K809" s="6"/>
      <c r="L809" s="15"/>
      <c r="M809" s="14">
        <f>SUM(L809)</f>
        <v>0</v>
      </c>
    </row>
    <row r="810" spans="2:13" x14ac:dyDescent="0.15">
      <c r="B810" s="4" t="s">
        <v>162</v>
      </c>
      <c r="C810" s="15">
        <v>1</v>
      </c>
      <c r="D810" s="14">
        <f t="shared" si="83"/>
        <v>1</v>
      </c>
      <c r="E810" s="48">
        <v>41979</v>
      </c>
      <c r="F810" s="48"/>
      <c r="G810" s="48"/>
      <c r="H810" s="48"/>
      <c r="I810" s="48"/>
      <c r="J810" s="51"/>
      <c r="K810" s="6"/>
      <c r="L810" s="15"/>
      <c r="M810" s="14">
        <f>SUM(L810)</f>
        <v>0</v>
      </c>
    </row>
    <row r="811" spans="2:13" x14ac:dyDescent="0.15">
      <c r="B811" s="4" t="s">
        <v>162</v>
      </c>
      <c r="C811" s="15">
        <v>1</v>
      </c>
      <c r="D811" s="14">
        <f t="shared" si="83"/>
        <v>1</v>
      </c>
      <c r="E811" s="48">
        <v>41985</v>
      </c>
      <c r="F811" s="48"/>
      <c r="G811" s="48"/>
      <c r="H811" s="48"/>
      <c r="I811" s="48"/>
      <c r="J811" s="51"/>
      <c r="K811" s="6"/>
      <c r="L811" s="15"/>
      <c r="M811" s="14">
        <f>SUM(L811:L811)</f>
        <v>0</v>
      </c>
    </row>
    <row r="812" spans="2:13" x14ac:dyDescent="0.15">
      <c r="B812" s="4" t="s">
        <v>162</v>
      </c>
      <c r="C812" s="15">
        <v>1</v>
      </c>
      <c r="D812" s="14">
        <f t="shared" si="83"/>
        <v>1</v>
      </c>
      <c r="E812" s="48">
        <v>41990</v>
      </c>
      <c r="F812" s="48"/>
      <c r="G812" s="48"/>
      <c r="H812" s="48"/>
      <c r="I812" s="48"/>
      <c r="J812" s="51"/>
      <c r="K812" s="6"/>
      <c r="L812" s="15"/>
      <c r="M812" s="14">
        <f>SUM(L812)</f>
        <v>0</v>
      </c>
    </row>
    <row r="813" spans="2:13" x14ac:dyDescent="0.15">
      <c r="B813" s="4" t="s">
        <v>162</v>
      </c>
      <c r="C813" s="15">
        <v>1</v>
      </c>
      <c r="D813" s="14">
        <f t="shared" si="83"/>
        <v>1</v>
      </c>
      <c r="E813" s="48">
        <v>41991</v>
      </c>
      <c r="F813" s="48"/>
      <c r="G813" s="48"/>
      <c r="H813" s="48"/>
      <c r="I813" s="48"/>
      <c r="J813" s="51"/>
      <c r="K813" s="4"/>
      <c r="L813" s="15"/>
      <c r="M813" s="14">
        <f>SUM(L813:L813)</f>
        <v>0</v>
      </c>
    </row>
    <row r="814" spans="2:13" x14ac:dyDescent="0.15">
      <c r="B814" s="4" t="s">
        <v>162</v>
      </c>
      <c r="C814" s="15">
        <v>2</v>
      </c>
      <c r="D814" s="14">
        <f t="shared" si="83"/>
        <v>2</v>
      </c>
      <c r="E814" s="48">
        <v>41995</v>
      </c>
      <c r="F814" s="48"/>
      <c r="G814" s="48"/>
      <c r="H814" s="48"/>
      <c r="I814" s="48"/>
      <c r="J814" s="51"/>
      <c r="K814" s="4"/>
      <c r="L814" s="15"/>
      <c r="M814" s="14">
        <f>SUM(L814)</f>
        <v>0</v>
      </c>
    </row>
    <row r="815" spans="2:13" x14ac:dyDescent="0.15">
      <c r="B815" s="4" t="s">
        <v>162</v>
      </c>
      <c r="C815" s="15">
        <v>1</v>
      </c>
      <c r="D815" s="14">
        <f t="shared" si="83"/>
        <v>1</v>
      </c>
      <c r="E815" s="48">
        <v>41997</v>
      </c>
      <c r="F815" s="48"/>
      <c r="G815" s="48"/>
      <c r="H815" s="48"/>
      <c r="I815" s="48"/>
      <c r="J815" s="51"/>
      <c r="K815" s="4"/>
      <c r="L815" s="15"/>
      <c r="M815" s="14">
        <f>SUM(L815:L815)</f>
        <v>0</v>
      </c>
    </row>
    <row r="816" spans="2:13" x14ac:dyDescent="0.15">
      <c r="B816" s="4" t="s">
        <v>162</v>
      </c>
      <c r="C816" s="15">
        <v>2</v>
      </c>
      <c r="D816" s="14">
        <f>SUM(C816)</f>
        <v>2</v>
      </c>
      <c r="E816" s="48">
        <v>42003</v>
      </c>
      <c r="F816" s="48"/>
      <c r="G816" s="48"/>
      <c r="H816" s="48"/>
      <c r="I816" s="48"/>
      <c r="J816" s="51"/>
      <c r="K816" s="6"/>
      <c r="L816" s="15"/>
      <c r="M816" s="14">
        <f>SUM(L816:L816)</f>
        <v>0</v>
      </c>
    </row>
    <row r="817" spans="1:14" ht="14.25" thickBot="1" x14ac:dyDescent="0.2">
      <c r="B817" s="4" t="s">
        <v>162</v>
      </c>
      <c r="C817" s="15">
        <v>2</v>
      </c>
      <c r="D817" s="14">
        <f>SUM(C817)</f>
        <v>2</v>
      </c>
      <c r="E817" s="48">
        <v>42007</v>
      </c>
      <c r="F817" s="48"/>
      <c r="G817" s="48"/>
      <c r="H817" s="48"/>
      <c r="I817" s="48"/>
      <c r="J817" s="51"/>
      <c r="K817" s="6"/>
      <c r="L817" s="15"/>
      <c r="M817" s="14">
        <f>SUM(L817:L817)</f>
        <v>0</v>
      </c>
      <c r="N817" s="75"/>
    </row>
    <row r="818" spans="1:14" ht="14.25" thickBot="1" x14ac:dyDescent="0.2">
      <c r="B818" s="3" t="s">
        <v>5</v>
      </c>
      <c r="C818" s="16">
        <f>SUM(C794:C817)</f>
        <v>46</v>
      </c>
      <c r="D818" s="17">
        <f>SUM(D794:D817)</f>
        <v>46</v>
      </c>
      <c r="K818" s="3" t="s">
        <v>5</v>
      </c>
      <c r="L818" s="16">
        <f>SUM(L794:L817)</f>
        <v>0</v>
      </c>
      <c r="M818" s="17">
        <f>SUM(M794:M817)</f>
        <v>0</v>
      </c>
    </row>
    <row r="819" spans="1:14" ht="14.25" thickBot="1" x14ac:dyDescent="0.2">
      <c r="B819" s="18" t="s">
        <v>6</v>
      </c>
      <c r="C819" s="19">
        <f>C793-C818</f>
        <v>783</v>
      </c>
      <c r="D819" s="13">
        <f>D793-D818</f>
        <v>783</v>
      </c>
      <c r="K819" s="18" t="s">
        <v>6</v>
      </c>
      <c r="L819" s="19">
        <f>L793-L818</f>
        <v>2000</v>
      </c>
      <c r="M819" s="13">
        <f>M793-M818</f>
        <v>2000</v>
      </c>
    </row>
    <row r="821" spans="1:14" ht="18" thickBot="1" x14ac:dyDescent="0.25">
      <c r="A821" s="27" t="s">
        <v>8</v>
      </c>
      <c r="B821" s="28"/>
      <c r="C821" s="28"/>
      <c r="D821" s="28"/>
      <c r="J821" s="63" t="s">
        <v>192</v>
      </c>
      <c r="K821" s="64"/>
      <c r="L821" s="64"/>
      <c r="M821" s="64"/>
    </row>
    <row r="822" spans="1:14" ht="14.25" thickBot="1" x14ac:dyDescent="0.2">
      <c r="B822" s="2"/>
      <c r="C822" s="3" t="s">
        <v>0</v>
      </c>
      <c r="D822" s="2" t="s">
        <v>1</v>
      </c>
      <c r="K822" s="2"/>
      <c r="L822" s="3" t="s">
        <v>0</v>
      </c>
      <c r="M822" s="2" t="s">
        <v>1</v>
      </c>
    </row>
    <row r="823" spans="1:14" x14ac:dyDescent="0.15">
      <c r="B823" s="43" t="s">
        <v>26</v>
      </c>
      <c r="C823" s="38">
        <f>C819</f>
        <v>783</v>
      </c>
      <c r="D823" s="39">
        <f t="shared" ref="D823:D833" si="84">SUM(C823:C823)</f>
        <v>783</v>
      </c>
      <c r="K823" s="43" t="s">
        <v>26</v>
      </c>
      <c r="L823" s="38">
        <f>L819</f>
        <v>2000</v>
      </c>
      <c r="M823" s="39">
        <f t="shared" ref="M823:M833" si="85">SUM(L823:L823)</f>
        <v>2000</v>
      </c>
    </row>
    <row r="824" spans="1:14" x14ac:dyDescent="0.15">
      <c r="B824" s="6" t="s">
        <v>3</v>
      </c>
      <c r="C824" s="7"/>
      <c r="D824" s="5">
        <f t="shared" si="84"/>
        <v>0</v>
      </c>
      <c r="E824" s="74"/>
      <c r="F824" s="74"/>
      <c r="G824" s="74"/>
      <c r="H824" s="74"/>
      <c r="I824" s="74"/>
      <c r="K824" s="6" t="s">
        <v>3</v>
      </c>
      <c r="L824" s="7"/>
      <c r="M824" s="5">
        <f t="shared" si="85"/>
        <v>0</v>
      </c>
    </row>
    <row r="825" spans="1:14" x14ac:dyDescent="0.15">
      <c r="B825" s="6" t="s">
        <v>3</v>
      </c>
      <c r="C825" s="7"/>
      <c r="D825" s="5">
        <f t="shared" si="84"/>
        <v>0</v>
      </c>
      <c r="E825" s="48"/>
      <c r="F825" s="48"/>
      <c r="G825" s="48"/>
      <c r="H825" s="48"/>
      <c r="I825" s="48"/>
      <c r="K825" s="6" t="s">
        <v>3</v>
      </c>
      <c r="L825" s="7"/>
      <c r="M825" s="5">
        <f t="shared" si="85"/>
        <v>0</v>
      </c>
    </row>
    <row r="826" spans="1:14" x14ac:dyDescent="0.15">
      <c r="B826" s="6" t="s">
        <v>3</v>
      </c>
      <c r="C826" s="7"/>
      <c r="D826" s="5">
        <f t="shared" si="84"/>
        <v>0</v>
      </c>
      <c r="E826" s="48"/>
      <c r="F826" s="48"/>
      <c r="G826" s="48"/>
      <c r="H826" s="48"/>
      <c r="I826" s="48"/>
      <c r="K826" s="6" t="s">
        <v>3</v>
      </c>
      <c r="L826" s="7"/>
      <c r="M826" s="5">
        <f t="shared" si="85"/>
        <v>0</v>
      </c>
      <c r="N826" s="74"/>
    </row>
    <row r="827" spans="1:14" x14ac:dyDescent="0.15">
      <c r="B827" s="6" t="s">
        <v>3</v>
      </c>
      <c r="C827" s="7"/>
      <c r="D827" s="5">
        <f t="shared" si="84"/>
        <v>0</v>
      </c>
      <c r="E827" s="48"/>
      <c r="F827" s="48"/>
      <c r="G827" s="48"/>
      <c r="H827" s="48"/>
      <c r="I827" s="48"/>
      <c r="K827" s="6" t="s">
        <v>3</v>
      </c>
      <c r="L827" s="7"/>
      <c r="M827" s="5">
        <f t="shared" si="85"/>
        <v>0</v>
      </c>
      <c r="N827" s="75"/>
    </row>
    <row r="828" spans="1:14" x14ac:dyDescent="0.15">
      <c r="B828" s="6" t="s">
        <v>3</v>
      </c>
      <c r="C828" s="7"/>
      <c r="D828" s="5">
        <f t="shared" si="84"/>
        <v>0</v>
      </c>
      <c r="K828" s="6" t="s">
        <v>3</v>
      </c>
      <c r="L828" s="7"/>
      <c r="M828" s="5">
        <f t="shared" si="85"/>
        <v>0</v>
      </c>
      <c r="N828" s="75"/>
    </row>
    <row r="829" spans="1:14" x14ac:dyDescent="0.15">
      <c r="B829" s="6" t="s">
        <v>3</v>
      </c>
      <c r="C829" s="7"/>
      <c r="D829" s="5">
        <f t="shared" si="84"/>
        <v>0</v>
      </c>
      <c r="K829" s="6" t="s">
        <v>3</v>
      </c>
      <c r="L829" s="7"/>
      <c r="M829" s="5">
        <f t="shared" si="85"/>
        <v>0</v>
      </c>
      <c r="N829" s="75"/>
    </row>
    <row r="830" spans="1:14" x14ac:dyDescent="0.15">
      <c r="B830" s="6" t="s">
        <v>3</v>
      </c>
      <c r="C830" s="54"/>
      <c r="D830" s="5">
        <f t="shared" si="84"/>
        <v>0</v>
      </c>
      <c r="K830" s="6" t="s">
        <v>3</v>
      </c>
      <c r="L830" s="7"/>
      <c r="M830" s="5">
        <f t="shared" si="85"/>
        <v>0</v>
      </c>
      <c r="N830" s="75"/>
    </row>
    <row r="831" spans="1:14" x14ac:dyDescent="0.15">
      <c r="B831" s="6" t="s">
        <v>3</v>
      </c>
      <c r="C831" s="54"/>
      <c r="D831" s="5">
        <f t="shared" si="84"/>
        <v>0</v>
      </c>
      <c r="K831" s="6" t="s">
        <v>3</v>
      </c>
      <c r="L831" s="7"/>
      <c r="M831" s="5">
        <f t="shared" si="85"/>
        <v>0</v>
      </c>
      <c r="N831" s="75"/>
    </row>
    <row r="832" spans="1:14" x14ac:dyDescent="0.15">
      <c r="B832" s="6" t="s">
        <v>3</v>
      </c>
      <c r="C832" s="54"/>
      <c r="D832" s="5">
        <f t="shared" si="84"/>
        <v>0</v>
      </c>
      <c r="K832" s="6" t="s">
        <v>3</v>
      </c>
      <c r="L832" s="7"/>
      <c r="M832" s="5">
        <f t="shared" si="85"/>
        <v>0</v>
      </c>
      <c r="N832" s="74"/>
    </row>
    <row r="833" spans="2:13" ht="14.25" thickBot="1" x14ac:dyDescent="0.2">
      <c r="B833" s="9" t="s">
        <v>3</v>
      </c>
      <c r="C833" s="101"/>
      <c r="D833" s="5">
        <f t="shared" si="84"/>
        <v>0</v>
      </c>
      <c r="K833" s="9" t="s">
        <v>3</v>
      </c>
      <c r="L833" s="10"/>
      <c r="M833" s="5">
        <f t="shared" si="85"/>
        <v>0</v>
      </c>
    </row>
    <row r="834" spans="2:13" ht="14.25" thickBot="1" x14ac:dyDescent="0.2">
      <c r="B834" s="11" t="s">
        <v>4</v>
      </c>
      <c r="C834" s="12">
        <f>SUM(C823:C833)</f>
        <v>783</v>
      </c>
      <c r="D834" s="13">
        <f>SUM(D823:D833)</f>
        <v>783</v>
      </c>
      <c r="K834" s="11" t="s">
        <v>4</v>
      </c>
      <c r="L834" s="12">
        <f>SUM(L823:L833)</f>
        <v>2000</v>
      </c>
      <c r="M834" s="13">
        <f>SUM(M823:M833)</f>
        <v>2000</v>
      </c>
    </row>
    <row r="835" spans="2:13" x14ac:dyDescent="0.15">
      <c r="B835" s="71" t="s">
        <v>162</v>
      </c>
      <c r="C835" s="15">
        <v>2</v>
      </c>
      <c r="D835" s="14">
        <f>C835</f>
        <v>2</v>
      </c>
      <c r="E835" s="48">
        <v>42011</v>
      </c>
      <c r="F835" s="48"/>
      <c r="G835" s="48"/>
      <c r="H835" s="48"/>
      <c r="I835" s="48"/>
      <c r="K835" s="4"/>
      <c r="L835" s="44"/>
      <c r="M835" s="14">
        <f t="shared" ref="M835:M849" si="86">SUM(L835:L835)</f>
        <v>0</v>
      </c>
    </row>
    <row r="836" spans="2:13" x14ac:dyDescent="0.15">
      <c r="B836" s="71" t="s">
        <v>162</v>
      </c>
      <c r="C836" s="15">
        <v>1</v>
      </c>
      <c r="D836" s="14">
        <f>SUM(C836)</f>
        <v>1</v>
      </c>
      <c r="E836" s="48">
        <v>42012</v>
      </c>
      <c r="F836" s="48"/>
      <c r="G836" s="48"/>
      <c r="H836" s="48"/>
      <c r="I836" s="48"/>
      <c r="J836" s="51"/>
      <c r="K836" s="4"/>
      <c r="L836" s="15"/>
      <c r="M836" s="14">
        <f t="shared" si="86"/>
        <v>0</v>
      </c>
    </row>
    <row r="837" spans="2:13" x14ac:dyDescent="0.15">
      <c r="B837" s="71" t="s">
        <v>198</v>
      </c>
      <c r="C837" s="15">
        <v>2</v>
      </c>
      <c r="D837" s="14">
        <f>SUM(C837)</f>
        <v>2</v>
      </c>
      <c r="E837" s="48">
        <v>42013</v>
      </c>
      <c r="F837" s="48"/>
      <c r="G837" s="48"/>
      <c r="H837" s="48"/>
      <c r="I837" s="48"/>
      <c r="J837" s="51"/>
      <c r="K837" s="4"/>
      <c r="L837" s="15"/>
      <c r="M837" s="14">
        <f t="shared" si="86"/>
        <v>0</v>
      </c>
    </row>
    <row r="838" spans="2:13" x14ac:dyDescent="0.15">
      <c r="B838" s="71" t="s">
        <v>162</v>
      </c>
      <c r="C838" s="15">
        <v>2</v>
      </c>
      <c r="D838" s="14">
        <f>SUM(C838)</f>
        <v>2</v>
      </c>
      <c r="E838" s="48">
        <v>42017</v>
      </c>
      <c r="F838" s="48"/>
      <c r="G838" s="48"/>
      <c r="H838" s="48"/>
      <c r="I838" s="48"/>
      <c r="J838" s="51"/>
      <c r="K838" s="4"/>
      <c r="L838" s="15"/>
      <c r="M838" s="14">
        <f t="shared" si="86"/>
        <v>0</v>
      </c>
    </row>
    <row r="839" spans="2:13" x14ac:dyDescent="0.15">
      <c r="B839" s="71" t="s">
        <v>162</v>
      </c>
      <c r="C839" s="15">
        <v>4</v>
      </c>
      <c r="D839" s="14">
        <f>SUM(C839)</f>
        <v>4</v>
      </c>
      <c r="E839" s="48">
        <v>42020</v>
      </c>
      <c r="F839" s="48"/>
      <c r="G839" s="48"/>
      <c r="H839" s="48"/>
      <c r="I839" s="48"/>
      <c r="J839" s="51"/>
      <c r="K839" s="6"/>
      <c r="L839" s="15"/>
      <c r="M839" s="14">
        <f t="shared" si="86"/>
        <v>0</v>
      </c>
    </row>
    <row r="840" spans="2:13" x14ac:dyDescent="0.15">
      <c r="B840" s="71" t="s">
        <v>162</v>
      </c>
      <c r="C840" s="15">
        <v>2</v>
      </c>
      <c r="D840" s="14">
        <f>SUM(C840)</f>
        <v>2</v>
      </c>
      <c r="E840" s="48">
        <v>42023</v>
      </c>
      <c r="F840" s="48"/>
      <c r="G840" s="48"/>
      <c r="H840" s="48"/>
      <c r="I840" s="48"/>
      <c r="J840" s="51"/>
      <c r="K840" s="4"/>
      <c r="L840" s="15"/>
      <c r="M840" s="14">
        <f t="shared" si="86"/>
        <v>0</v>
      </c>
    </row>
    <row r="841" spans="2:13" x14ac:dyDescent="0.15">
      <c r="B841" s="71" t="s">
        <v>162</v>
      </c>
      <c r="C841" s="15">
        <v>1</v>
      </c>
      <c r="D841" s="14">
        <f t="shared" ref="D841:D856" si="87">SUM(C841)</f>
        <v>1</v>
      </c>
      <c r="E841" s="48">
        <v>42024</v>
      </c>
      <c r="F841" s="48"/>
      <c r="G841" s="48"/>
      <c r="H841" s="48"/>
      <c r="I841" s="48"/>
      <c r="J841" s="51"/>
      <c r="K841" s="6"/>
      <c r="L841" s="15"/>
      <c r="M841" s="14">
        <f t="shared" si="86"/>
        <v>0</v>
      </c>
    </row>
    <row r="842" spans="2:13" x14ac:dyDescent="0.15">
      <c r="B842" s="71" t="s">
        <v>162</v>
      </c>
      <c r="C842" s="15">
        <v>4</v>
      </c>
      <c r="D842" s="14">
        <f t="shared" si="87"/>
        <v>4</v>
      </c>
      <c r="E842" s="48">
        <v>42025</v>
      </c>
      <c r="F842" s="48"/>
      <c r="G842" s="48"/>
      <c r="H842" s="48"/>
      <c r="I842" s="48"/>
      <c r="J842" s="51"/>
      <c r="K842" s="6"/>
      <c r="L842" s="15"/>
      <c r="M842" s="14">
        <f t="shared" si="86"/>
        <v>0</v>
      </c>
    </row>
    <row r="843" spans="2:13" x14ac:dyDescent="0.15">
      <c r="B843" s="71" t="s">
        <v>162</v>
      </c>
      <c r="C843" s="15">
        <v>1</v>
      </c>
      <c r="D843" s="14">
        <f t="shared" si="87"/>
        <v>1</v>
      </c>
      <c r="E843" s="48">
        <v>42026</v>
      </c>
      <c r="F843" s="48"/>
      <c r="G843" s="48"/>
      <c r="H843" s="48"/>
      <c r="I843" s="48"/>
      <c r="J843" s="51"/>
      <c r="K843" s="4"/>
      <c r="L843" s="15"/>
      <c r="M843" s="14">
        <f t="shared" si="86"/>
        <v>0</v>
      </c>
    </row>
    <row r="844" spans="2:13" x14ac:dyDescent="0.15">
      <c r="B844" s="71" t="s">
        <v>162</v>
      </c>
      <c r="C844" s="15">
        <v>1</v>
      </c>
      <c r="D844" s="14">
        <f t="shared" si="87"/>
        <v>1</v>
      </c>
      <c r="E844" s="48">
        <v>42027</v>
      </c>
      <c r="F844" s="48"/>
      <c r="G844" s="48"/>
      <c r="H844" s="48"/>
      <c r="I844" s="48"/>
      <c r="J844" s="51"/>
      <c r="K844" s="4"/>
      <c r="L844" s="15"/>
      <c r="M844" s="14">
        <f t="shared" si="86"/>
        <v>0</v>
      </c>
    </row>
    <row r="845" spans="2:13" x14ac:dyDescent="0.15">
      <c r="B845" s="71" t="s">
        <v>200</v>
      </c>
      <c r="C845" s="15">
        <v>1</v>
      </c>
      <c r="D845" s="14">
        <f t="shared" si="87"/>
        <v>1</v>
      </c>
      <c r="E845" s="48">
        <v>42032</v>
      </c>
      <c r="F845" s="48"/>
      <c r="G845" s="48"/>
      <c r="H845" s="48"/>
      <c r="I845" s="48"/>
      <c r="J845" s="51"/>
      <c r="K845" s="4"/>
      <c r="L845" s="15"/>
      <c r="M845" s="14">
        <f t="shared" si="86"/>
        <v>0</v>
      </c>
    </row>
    <row r="846" spans="2:13" x14ac:dyDescent="0.15">
      <c r="B846" s="71" t="s">
        <v>10</v>
      </c>
      <c r="C846" s="15">
        <v>20</v>
      </c>
      <c r="D846" s="14">
        <f t="shared" si="87"/>
        <v>20</v>
      </c>
      <c r="E846" s="74">
        <v>42047</v>
      </c>
      <c r="F846" s="74"/>
      <c r="G846" s="74"/>
      <c r="H846" s="74"/>
      <c r="I846" s="74"/>
      <c r="J846" s="51"/>
      <c r="K846" s="4"/>
      <c r="L846" s="15"/>
      <c r="M846" s="14">
        <f t="shared" si="86"/>
        <v>0</v>
      </c>
    </row>
    <row r="847" spans="2:13" x14ac:dyDescent="0.15">
      <c r="B847" s="71" t="s">
        <v>136</v>
      </c>
      <c r="C847" s="15">
        <v>20</v>
      </c>
      <c r="D847" s="14">
        <f t="shared" si="87"/>
        <v>20</v>
      </c>
      <c r="E847" s="74">
        <v>42047</v>
      </c>
      <c r="F847" s="74"/>
      <c r="G847" s="74"/>
      <c r="H847" s="74"/>
      <c r="I847" s="74"/>
      <c r="J847" s="51"/>
      <c r="K847" s="72"/>
      <c r="L847" s="15"/>
      <c r="M847" s="14">
        <f t="shared" si="86"/>
        <v>0</v>
      </c>
    </row>
    <row r="848" spans="2:13" x14ac:dyDescent="0.15">
      <c r="B848" s="4" t="s">
        <v>161</v>
      </c>
      <c r="C848" s="15">
        <v>1</v>
      </c>
      <c r="D848" s="14">
        <f t="shared" si="87"/>
        <v>1</v>
      </c>
      <c r="E848" s="74">
        <v>42035</v>
      </c>
      <c r="F848" s="74"/>
      <c r="G848" s="74"/>
      <c r="H848" s="74"/>
      <c r="I848" s="74"/>
      <c r="J848" s="51"/>
      <c r="K848" s="6"/>
      <c r="L848" s="15"/>
      <c r="M848" s="14">
        <f t="shared" si="86"/>
        <v>0</v>
      </c>
    </row>
    <row r="849" spans="1:14" x14ac:dyDescent="0.15">
      <c r="B849" s="4" t="s">
        <v>161</v>
      </c>
      <c r="C849" s="15">
        <v>24</v>
      </c>
      <c r="D849" s="14">
        <f t="shared" si="87"/>
        <v>24</v>
      </c>
      <c r="E849" s="48">
        <v>42037</v>
      </c>
      <c r="F849" s="48"/>
      <c r="G849" s="48"/>
      <c r="H849" s="48"/>
      <c r="I849" s="48"/>
      <c r="J849" s="51"/>
      <c r="K849" s="4"/>
      <c r="L849" s="15"/>
      <c r="M849" s="14">
        <f t="shared" si="86"/>
        <v>0</v>
      </c>
    </row>
    <row r="850" spans="1:14" x14ac:dyDescent="0.15">
      <c r="B850" s="4" t="s">
        <v>161</v>
      </c>
      <c r="C850" s="15">
        <v>4</v>
      </c>
      <c r="D850" s="14">
        <f t="shared" si="87"/>
        <v>4</v>
      </c>
      <c r="E850" s="48">
        <v>42038</v>
      </c>
      <c r="F850" s="48"/>
      <c r="G850" s="48"/>
      <c r="H850" s="48"/>
      <c r="I850" s="48"/>
      <c r="J850" s="51"/>
      <c r="K850" s="6"/>
      <c r="L850" s="15"/>
      <c r="M850" s="14">
        <f>SUM(L850)</f>
        <v>0</v>
      </c>
      <c r="N850" s="75"/>
    </row>
    <row r="851" spans="1:14" x14ac:dyDescent="0.15">
      <c r="B851" s="4" t="s">
        <v>114</v>
      </c>
      <c r="C851" s="15">
        <v>70</v>
      </c>
      <c r="D851" s="14">
        <f t="shared" si="87"/>
        <v>70</v>
      </c>
      <c r="E851" s="74">
        <v>42047</v>
      </c>
      <c r="F851" s="74"/>
      <c r="G851" s="74"/>
      <c r="H851" s="74"/>
      <c r="I851" s="74"/>
      <c r="J851" s="51"/>
      <c r="K851" s="6"/>
      <c r="L851" s="15"/>
      <c r="M851" s="14">
        <f>SUM(L851)</f>
        <v>0</v>
      </c>
      <c r="N851" s="74"/>
    </row>
    <row r="852" spans="1:14" x14ac:dyDescent="0.15">
      <c r="B852" s="4" t="s">
        <v>162</v>
      </c>
      <c r="C852" s="15">
        <v>2</v>
      </c>
      <c r="D852" s="14">
        <f t="shared" si="87"/>
        <v>2</v>
      </c>
      <c r="E852" s="48">
        <v>42044</v>
      </c>
      <c r="F852" s="48"/>
      <c r="G852" s="48"/>
      <c r="H852" s="48"/>
      <c r="I852" s="48"/>
      <c r="J852" s="51"/>
      <c r="K852" s="6"/>
      <c r="L852" s="15"/>
      <c r="M852" s="14">
        <f>SUM(L852:L852)</f>
        <v>0</v>
      </c>
      <c r="N852" s="75"/>
    </row>
    <row r="853" spans="1:14" x14ac:dyDescent="0.15">
      <c r="B853" s="67" t="s">
        <v>199</v>
      </c>
      <c r="C853" s="15">
        <v>1</v>
      </c>
      <c r="D853" s="14">
        <f t="shared" si="87"/>
        <v>1</v>
      </c>
      <c r="E853" s="48">
        <v>42053</v>
      </c>
      <c r="F853" s="48"/>
      <c r="G853" s="48"/>
      <c r="H853" s="48"/>
      <c r="I853" s="48"/>
      <c r="J853" s="51"/>
      <c r="K853" s="4"/>
      <c r="L853" s="15"/>
      <c r="M853" s="14">
        <f>SUM(L853)</f>
        <v>0</v>
      </c>
      <c r="N853" s="75"/>
    </row>
    <row r="854" spans="1:14" x14ac:dyDescent="0.15">
      <c r="B854" s="4" t="s">
        <v>162</v>
      </c>
      <c r="C854" s="15">
        <v>2</v>
      </c>
      <c r="D854" s="14">
        <f t="shared" si="87"/>
        <v>2</v>
      </c>
      <c r="E854" s="48">
        <v>42051</v>
      </c>
      <c r="F854" s="48"/>
      <c r="G854" s="48"/>
      <c r="H854" s="48"/>
      <c r="I854" s="48"/>
      <c r="J854" s="51"/>
      <c r="K854" s="4"/>
      <c r="L854" s="15"/>
      <c r="M854" s="14">
        <f>SUM(L854:L854)</f>
        <v>0</v>
      </c>
      <c r="N854" s="75"/>
    </row>
    <row r="855" spans="1:14" x14ac:dyDescent="0.15">
      <c r="B855" s="4" t="s">
        <v>162</v>
      </c>
      <c r="C855" s="15">
        <v>1</v>
      </c>
      <c r="D855" s="14">
        <f t="shared" si="87"/>
        <v>1</v>
      </c>
      <c r="E855" s="48">
        <v>42052</v>
      </c>
      <c r="F855" s="48"/>
      <c r="G855" s="48"/>
      <c r="H855" s="48"/>
      <c r="I855" s="48"/>
      <c r="J855" s="51"/>
      <c r="K855" s="4"/>
      <c r="L855" s="15"/>
      <c r="M855" s="14">
        <f>SUM(L855)</f>
        <v>0</v>
      </c>
      <c r="N855" s="75"/>
    </row>
    <row r="856" spans="1:14" x14ac:dyDescent="0.15">
      <c r="B856" s="4" t="s">
        <v>213</v>
      </c>
      <c r="C856" s="15">
        <v>8</v>
      </c>
      <c r="D856" s="14">
        <f t="shared" si="87"/>
        <v>8</v>
      </c>
      <c r="E856" s="74">
        <v>42059</v>
      </c>
      <c r="F856" s="74"/>
      <c r="G856" s="74"/>
      <c r="H856" s="74"/>
      <c r="I856" s="74"/>
      <c r="J856" s="51"/>
      <c r="K856" s="4"/>
      <c r="L856" s="15"/>
      <c r="M856" s="14">
        <f>SUM(L856:L856)</f>
        <v>0</v>
      </c>
      <c r="N856" s="75"/>
    </row>
    <row r="857" spans="1:14" x14ac:dyDescent="0.15">
      <c r="B857" s="4" t="s">
        <v>201</v>
      </c>
      <c r="C857" s="15">
        <v>3</v>
      </c>
      <c r="D857" s="14">
        <f>SUM(C857)</f>
        <v>3</v>
      </c>
      <c r="E857" s="48">
        <v>42054</v>
      </c>
      <c r="F857" s="48"/>
      <c r="G857" s="48"/>
      <c r="H857" s="48"/>
      <c r="I857" s="48"/>
      <c r="J857" s="51"/>
      <c r="K857" s="4"/>
      <c r="L857" s="15"/>
      <c r="M857" s="14">
        <f>SUM(L857:L857)</f>
        <v>0</v>
      </c>
      <c r="N857" s="75"/>
    </row>
    <row r="858" spans="1:14" ht="14.25" thickBot="1" x14ac:dyDescent="0.2">
      <c r="B858" s="4" t="s">
        <v>202</v>
      </c>
      <c r="C858" s="15">
        <v>2</v>
      </c>
      <c r="D858" s="14">
        <f>SUM(C858)</f>
        <v>2</v>
      </c>
      <c r="E858" s="48">
        <v>42055</v>
      </c>
      <c r="F858" s="48"/>
      <c r="G858" s="48"/>
      <c r="H858" s="48"/>
      <c r="I858" s="48"/>
      <c r="J858" s="51"/>
      <c r="K858" s="4"/>
      <c r="L858" s="15"/>
      <c r="M858" s="14">
        <f>SUM(L858:L858)</f>
        <v>0</v>
      </c>
      <c r="N858" s="75"/>
    </row>
    <row r="859" spans="1:14" ht="14.25" thickBot="1" x14ac:dyDescent="0.2">
      <c r="B859" s="3" t="s">
        <v>5</v>
      </c>
      <c r="C859" s="16">
        <f>SUM(C835:C858)</f>
        <v>179</v>
      </c>
      <c r="D859" s="17">
        <f>SUM(D835:D858)</f>
        <v>179</v>
      </c>
      <c r="K859" s="3" t="s">
        <v>5</v>
      </c>
      <c r="L859" s="16">
        <f>SUM(L835:L858)</f>
        <v>0</v>
      </c>
      <c r="M859" s="17">
        <f>SUM(M835:M858)</f>
        <v>0</v>
      </c>
    </row>
    <row r="860" spans="1:14" ht="14.25" thickBot="1" x14ac:dyDescent="0.2">
      <c r="B860" s="18" t="s">
        <v>6</v>
      </c>
      <c r="C860" s="19">
        <f>C834-C859</f>
        <v>604</v>
      </c>
      <c r="D860" s="13">
        <f>D834-D859</f>
        <v>604</v>
      </c>
      <c r="K860" s="18" t="s">
        <v>6</v>
      </c>
      <c r="L860" s="19">
        <f>L834-L859</f>
        <v>2000</v>
      </c>
      <c r="M860" s="13">
        <f>M834-M859</f>
        <v>2000</v>
      </c>
    </row>
    <row r="862" spans="1:14" ht="18" thickBot="1" x14ac:dyDescent="0.25">
      <c r="A862" s="27" t="s">
        <v>8</v>
      </c>
      <c r="B862" s="28"/>
      <c r="C862" s="28"/>
      <c r="D862" s="28"/>
      <c r="J862" s="63" t="s">
        <v>192</v>
      </c>
      <c r="K862" s="64"/>
      <c r="L862" s="64"/>
      <c r="M862" s="64"/>
    </row>
    <row r="863" spans="1:14" ht="14.25" thickBot="1" x14ac:dyDescent="0.2">
      <c r="B863" s="2"/>
      <c r="C863" s="3" t="s">
        <v>0</v>
      </c>
      <c r="D863" s="2" t="s">
        <v>1</v>
      </c>
      <c r="K863" s="2"/>
      <c r="L863" s="3" t="s">
        <v>0</v>
      </c>
      <c r="M863" s="2" t="s">
        <v>1</v>
      </c>
    </row>
    <row r="864" spans="1:14" x14ac:dyDescent="0.15">
      <c r="B864" s="43" t="s">
        <v>26</v>
      </c>
      <c r="C864" s="38">
        <f>C860</f>
        <v>604</v>
      </c>
      <c r="D864" s="39">
        <f t="shared" ref="D864:D874" si="88">SUM(C864:C864)</f>
        <v>604</v>
      </c>
      <c r="K864" s="43" t="s">
        <v>26</v>
      </c>
      <c r="L864" s="38">
        <f>L860</f>
        <v>2000</v>
      </c>
      <c r="M864" s="39">
        <f t="shared" ref="M864:M874" si="89">SUM(L864:L864)</f>
        <v>2000</v>
      </c>
    </row>
    <row r="865" spans="2:14" x14ac:dyDescent="0.15">
      <c r="B865" s="6" t="s">
        <v>3</v>
      </c>
      <c r="C865" s="7"/>
      <c r="D865" s="5">
        <f t="shared" si="88"/>
        <v>0</v>
      </c>
      <c r="E865" s="74"/>
      <c r="F865" s="74"/>
      <c r="G865" s="74"/>
      <c r="H865" s="74"/>
      <c r="I865" s="74"/>
      <c r="K865" s="6" t="s">
        <v>3</v>
      </c>
      <c r="L865" s="7"/>
      <c r="M865" s="5">
        <f t="shared" si="89"/>
        <v>0</v>
      </c>
    </row>
    <row r="866" spans="2:14" x14ac:dyDescent="0.15">
      <c r="B866" s="6" t="s">
        <v>3</v>
      </c>
      <c r="C866" s="7"/>
      <c r="D866" s="5">
        <f t="shared" si="88"/>
        <v>0</v>
      </c>
      <c r="E866" s="48"/>
      <c r="F866" s="48"/>
      <c r="G866" s="48"/>
      <c r="H866" s="48"/>
      <c r="I866" s="48"/>
      <c r="K866" s="6" t="s">
        <v>3</v>
      </c>
      <c r="L866" s="7"/>
      <c r="M866" s="5">
        <f t="shared" si="89"/>
        <v>0</v>
      </c>
    </row>
    <row r="867" spans="2:14" x14ac:dyDescent="0.15">
      <c r="B867" s="6" t="s">
        <v>3</v>
      </c>
      <c r="C867" s="7"/>
      <c r="D867" s="5">
        <f t="shared" si="88"/>
        <v>0</v>
      </c>
      <c r="E867" s="48"/>
      <c r="F867" s="48"/>
      <c r="G867" s="48"/>
      <c r="H867" s="48"/>
      <c r="I867" s="48"/>
      <c r="K867" s="6" t="s">
        <v>3</v>
      </c>
      <c r="L867" s="7"/>
      <c r="M867" s="5">
        <f t="shared" si="89"/>
        <v>0</v>
      </c>
      <c r="N867" s="74"/>
    </row>
    <row r="868" spans="2:14" x14ac:dyDescent="0.15">
      <c r="B868" s="6" t="s">
        <v>3</v>
      </c>
      <c r="C868" s="7"/>
      <c r="D868" s="5">
        <f t="shared" si="88"/>
        <v>0</v>
      </c>
      <c r="E868" s="48"/>
      <c r="F868" s="48"/>
      <c r="G868" s="48"/>
      <c r="H868" s="48"/>
      <c r="I868" s="48"/>
      <c r="K868" s="6" t="s">
        <v>3</v>
      </c>
      <c r="L868" s="7"/>
      <c r="M868" s="5">
        <f t="shared" si="89"/>
        <v>0</v>
      </c>
    </row>
    <row r="869" spans="2:14" x14ac:dyDescent="0.15">
      <c r="B869" s="6" t="s">
        <v>3</v>
      </c>
      <c r="C869" s="7"/>
      <c r="D869" s="5">
        <f t="shared" si="88"/>
        <v>0</v>
      </c>
      <c r="K869" s="6" t="s">
        <v>3</v>
      </c>
      <c r="L869" s="7"/>
      <c r="M869" s="5">
        <f t="shared" si="89"/>
        <v>0</v>
      </c>
    </row>
    <row r="870" spans="2:14" x14ac:dyDescent="0.15">
      <c r="B870" s="6" t="s">
        <v>3</v>
      </c>
      <c r="C870" s="7"/>
      <c r="D870" s="5">
        <f t="shared" si="88"/>
        <v>0</v>
      </c>
      <c r="K870" s="6" t="s">
        <v>3</v>
      </c>
      <c r="L870" s="7"/>
      <c r="M870" s="5">
        <f t="shared" si="89"/>
        <v>0</v>
      </c>
    </row>
    <row r="871" spans="2:14" x14ac:dyDescent="0.15">
      <c r="B871" s="6" t="s">
        <v>3</v>
      </c>
      <c r="C871" s="54"/>
      <c r="D871" s="5">
        <f t="shared" si="88"/>
        <v>0</v>
      </c>
      <c r="K871" s="6" t="s">
        <v>3</v>
      </c>
      <c r="L871" s="7"/>
      <c r="M871" s="5">
        <f t="shared" si="89"/>
        <v>0</v>
      </c>
    </row>
    <row r="872" spans="2:14" x14ac:dyDescent="0.15">
      <c r="B872" s="6" t="s">
        <v>3</v>
      </c>
      <c r="C872" s="54"/>
      <c r="D872" s="5">
        <f t="shared" si="88"/>
        <v>0</v>
      </c>
      <c r="K872" s="6" t="s">
        <v>3</v>
      </c>
      <c r="L872" s="7"/>
      <c r="M872" s="5">
        <f t="shared" si="89"/>
        <v>0</v>
      </c>
    </row>
    <row r="873" spans="2:14" x14ac:dyDescent="0.15">
      <c r="B873" s="6" t="s">
        <v>3</v>
      </c>
      <c r="C873" s="54"/>
      <c r="D873" s="5">
        <f t="shared" si="88"/>
        <v>0</v>
      </c>
      <c r="K873" s="6" t="s">
        <v>3</v>
      </c>
      <c r="L873" s="7"/>
      <c r="M873" s="5">
        <f t="shared" si="89"/>
        <v>0</v>
      </c>
      <c r="N873" s="74"/>
    </row>
    <row r="874" spans="2:14" ht="14.25" thickBot="1" x14ac:dyDescent="0.2">
      <c r="B874" s="9" t="s">
        <v>3</v>
      </c>
      <c r="C874" s="101"/>
      <c r="D874" s="5">
        <f t="shared" si="88"/>
        <v>0</v>
      </c>
      <c r="K874" s="9" t="s">
        <v>3</v>
      </c>
      <c r="L874" s="10"/>
      <c r="M874" s="5">
        <f t="shared" si="89"/>
        <v>0</v>
      </c>
    </row>
    <row r="875" spans="2:14" ht="14.25" thickBot="1" x14ac:dyDescent="0.2">
      <c r="B875" s="11" t="s">
        <v>4</v>
      </c>
      <c r="C875" s="12">
        <f>SUM(C864:C874)</f>
        <v>604</v>
      </c>
      <c r="D875" s="13">
        <f>SUM(D864:D874)</f>
        <v>604</v>
      </c>
      <c r="K875" s="11" t="s">
        <v>4</v>
      </c>
      <c r="L875" s="12">
        <f>SUM(L864:L874)</f>
        <v>2000</v>
      </c>
      <c r="M875" s="13">
        <f>SUM(M864:M874)</f>
        <v>2000</v>
      </c>
    </row>
    <row r="876" spans="2:14" x14ac:dyDescent="0.15">
      <c r="B876" s="71" t="s">
        <v>162</v>
      </c>
      <c r="C876" s="15">
        <v>4</v>
      </c>
      <c r="D876" s="14">
        <f>C876</f>
        <v>4</v>
      </c>
      <c r="E876" s="48">
        <v>42056</v>
      </c>
      <c r="F876" s="48"/>
      <c r="G876" s="48"/>
      <c r="H876" s="48"/>
      <c r="I876" s="48"/>
      <c r="K876" s="4"/>
      <c r="L876" s="44"/>
      <c r="M876" s="14">
        <f t="shared" ref="M876:M890" si="90">SUM(L876:L876)</f>
        <v>0</v>
      </c>
    </row>
    <row r="877" spans="2:14" x14ac:dyDescent="0.15">
      <c r="B877" s="71" t="s">
        <v>162</v>
      </c>
      <c r="C877" s="15">
        <v>3</v>
      </c>
      <c r="D877" s="14">
        <f>SUM(C877)</f>
        <v>3</v>
      </c>
      <c r="E877" s="48">
        <v>42058</v>
      </c>
      <c r="F877" s="48"/>
      <c r="G877" s="48"/>
      <c r="H877" s="48"/>
      <c r="I877" s="48"/>
      <c r="J877" s="51"/>
      <c r="K877" s="4"/>
      <c r="L877" s="15"/>
      <c r="M877" s="14">
        <f t="shared" si="90"/>
        <v>0</v>
      </c>
    </row>
    <row r="878" spans="2:14" x14ac:dyDescent="0.15">
      <c r="B878" s="71" t="s">
        <v>162</v>
      </c>
      <c r="C878" s="15">
        <v>1</v>
      </c>
      <c r="D878" s="14">
        <f>SUM(C878)</f>
        <v>1</v>
      </c>
      <c r="E878" s="48">
        <v>42059</v>
      </c>
      <c r="F878" s="48"/>
      <c r="G878" s="48"/>
      <c r="H878" s="48"/>
      <c r="I878" s="48"/>
      <c r="J878" s="51"/>
      <c r="K878" s="4"/>
      <c r="L878" s="15"/>
      <c r="M878" s="14">
        <f t="shared" si="90"/>
        <v>0</v>
      </c>
    </row>
    <row r="879" spans="2:14" x14ac:dyDescent="0.15">
      <c r="B879" s="71" t="s">
        <v>162</v>
      </c>
      <c r="C879" s="15">
        <v>2</v>
      </c>
      <c r="D879" s="14">
        <f>SUM(C879)</f>
        <v>2</v>
      </c>
      <c r="E879" s="48">
        <v>42060</v>
      </c>
      <c r="F879" s="48"/>
      <c r="G879" s="48"/>
      <c r="H879" s="48"/>
      <c r="I879" s="48"/>
      <c r="J879" s="51"/>
      <c r="K879" s="4"/>
      <c r="L879" s="15"/>
      <c r="M879" s="14">
        <f t="shared" si="90"/>
        <v>0</v>
      </c>
    </row>
    <row r="880" spans="2:14" x14ac:dyDescent="0.15">
      <c r="B880" s="71" t="s">
        <v>162</v>
      </c>
      <c r="C880" s="15">
        <v>3</v>
      </c>
      <c r="D880" s="14">
        <f>SUM(C880)</f>
        <v>3</v>
      </c>
      <c r="E880" s="48">
        <v>42061</v>
      </c>
      <c r="F880" s="48"/>
      <c r="G880" s="48"/>
      <c r="H880" s="48"/>
      <c r="I880" s="48"/>
      <c r="J880" s="51"/>
      <c r="K880" s="6"/>
      <c r="L880" s="15"/>
      <c r="M880" s="14">
        <f t="shared" si="90"/>
        <v>0</v>
      </c>
    </row>
    <row r="881" spans="2:14" x14ac:dyDescent="0.15">
      <c r="B881" s="71" t="s">
        <v>162</v>
      </c>
      <c r="C881" s="15">
        <v>2</v>
      </c>
      <c r="D881" s="14">
        <f>SUM(C881)</f>
        <v>2</v>
      </c>
      <c r="E881" s="48">
        <v>42062</v>
      </c>
      <c r="F881" s="48"/>
      <c r="G881" s="48"/>
      <c r="H881" s="48"/>
      <c r="I881" s="48"/>
      <c r="J881" s="51"/>
      <c r="K881" s="4"/>
      <c r="L881" s="15"/>
      <c r="M881" s="14">
        <f t="shared" si="90"/>
        <v>0</v>
      </c>
    </row>
    <row r="882" spans="2:14" x14ac:dyDescent="0.15">
      <c r="B882" s="71" t="s">
        <v>162</v>
      </c>
      <c r="C882" s="15">
        <v>2</v>
      </c>
      <c r="D882" s="14">
        <f t="shared" ref="D882:D897" si="91">SUM(C882)</f>
        <v>2</v>
      </c>
      <c r="E882" s="48">
        <v>42063</v>
      </c>
      <c r="F882" s="48"/>
      <c r="G882" s="48"/>
      <c r="H882" s="48"/>
      <c r="I882" s="48"/>
      <c r="J882" s="51"/>
      <c r="K882" s="6"/>
      <c r="L882" s="15"/>
      <c r="M882" s="14">
        <f t="shared" si="90"/>
        <v>0</v>
      </c>
    </row>
    <row r="883" spans="2:14" x14ac:dyDescent="0.15">
      <c r="B883" s="71" t="s">
        <v>204</v>
      </c>
      <c r="C883" s="15">
        <v>60</v>
      </c>
      <c r="D883" s="14">
        <f t="shared" si="91"/>
        <v>60</v>
      </c>
      <c r="E883" s="74">
        <v>42068</v>
      </c>
      <c r="F883" s="74"/>
      <c r="G883" s="74"/>
      <c r="H883" s="74"/>
      <c r="I883" s="74"/>
      <c r="J883" s="51"/>
      <c r="K883" s="6"/>
      <c r="L883" s="15"/>
      <c r="M883" s="14">
        <f t="shared" si="90"/>
        <v>0</v>
      </c>
    </row>
    <row r="884" spans="2:14" x14ac:dyDescent="0.15">
      <c r="B884" s="71" t="s">
        <v>162</v>
      </c>
      <c r="C884" s="15">
        <v>6</v>
      </c>
      <c r="D884" s="14">
        <f t="shared" si="91"/>
        <v>6</v>
      </c>
      <c r="E884" s="48">
        <v>42065</v>
      </c>
      <c r="F884" s="48"/>
      <c r="G884" s="48"/>
      <c r="H884" s="48"/>
      <c r="I884" s="48"/>
      <c r="J884" s="51"/>
      <c r="K884" s="4"/>
      <c r="L884" s="15"/>
      <c r="M884" s="14">
        <f t="shared" si="90"/>
        <v>0</v>
      </c>
    </row>
    <row r="885" spans="2:14" x14ac:dyDescent="0.15">
      <c r="B885" s="71" t="s">
        <v>162</v>
      </c>
      <c r="C885" s="15">
        <v>5</v>
      </c>
      <c r="D885" s="14">
        <f t="shared" si="91"/>
        <v>5</v>
      </c>
      <c r="E885" s="48">
        <v>42066</v>
      </c>
      <c r="F885" s="48"/>
      <c r="G885" s="48"/>
      <c r="H885" s="48"/>
      <c r="I885" s="48"/>
      <c r="J885" s="51"/>
      <c r="K885" s="4"/>
      <c r="L885" s="15"/>
      <c r="M885" s="14">
        <f t="shared" si="90"/>
        <v>0</v>
      </c>
    </row>
    <row r="886" spans="2:14" x14ac:dyDescent="0.15">
      <c r="B886" s="71" t="s">
        <v>203</v>
      </c>
      <c r="C886" s="15">
        <v>1</v>
      </c>
      <c r="D886" s="14">
        <f t="shared" si="91"/>
        <v>1</v>
      </c>
      <c r="E886" s="48">
        <v>42068</v>
      </c>
      <c r="F886" s="48"/>
      <c r="G886" s="48"/>
      <c r="H886" s="48"/>
      <c r="I886" s="48"/>
      <c r="J886" s="51"/>
      <c r="K886" s="4"/>
      <c r="L886" s="15"/>
      <c r="M886" s="14">
        <f t="shared" si="90"/>
        <v>0</v>
      </c>
    </row>
    <row r="887" spans="2:14" x14ac:dyDescent="0.15">
      <c r="B887" s="71" t="s">
        <v>162</v>
      </c>
      <c r="C887" s="15">
        <v>1</v>
      </c>
      <c r="D887" s="14">
        <f t="shared" si="91"/>
        <v>1</v>
      </c>
      <c r="E887" s="74">
        <v>42067</v>
      </c>
      <c r="F887" s="74"/>
      <c r="G887" s="74"/>
      <c r="H887" s="74"/>
      <c r="I887" s="74"/>
      <c r="J887" s="51"/>
      <c r="K887" s="4"/>
      <c r="L887" s="15"/>
      <c r="M887" s="14">
        <f>SUM(L887:L887)</f>
        <v>0</v>
      </c>
      <c r="N887" s="75"/>
    </row>
    <row r="888" spans="2:14" x14ac:dyDescent="0.15">
      <c r="B888" s="71" t="s">
        <v>162</v>
      </c>
      <c r="C888" s="15">
        <v>2</v>
      </c>
      <c r="D888" s="14">
        <f t="shared" si="91"/>
        <v>2</v>
      </c>
      <c r="E888" s="74">
        <v>42069</v>
      </c>
      <c r="F888" s="74"/>
      <c r="G888" s="74"/>
      <c r="H888" s="74"/>
      <c r="I888" s="74"/>
      <c r="J888" s="51"/>
      <c r="K888" s="6"/>
      <c r="L888" s="15"/>
      <c r="M888" s="14">
        <f>SUM(L888)</f>
        <v>0</v>
      </c>
      <c r="N888" s="75"/>
    </row>
    <row r="889" spans="2:14" x14ac:dyDescent="0.15">
      <c r="B889" s="71" t="s">
        <v>162</v>
      </c>
      <c r="C889" s="15">
        <v>1</v>
      </c>
      <c r="D889" s="14">
        <f t="shared" si="91"/>
        <v>1</v>
      </c>
      <c r="E889" s="74">
        <v>42072</v>
      </c>
      <c r="F889" s="74"/>
      <c r="G889" s="74"/>
      <c r="H889" s="74"/>
      <c r="I889" s="74"/>
      <c r="J889" s="51"/>
      <c r="K889" s="6"/>
      <c r="L889" s="15"/>
      <c r="M889" s="14">
        <f>SUM(L889)</f>
        <v>0</v>
      </c>
      <c r="N889" s="74"/>
    </row>
    <row r="890" spans="2:14" x14ac:dyDescent="0.15">
      <c r="B890" s="71" t="s">
        <v>162</v>
      </c>
      <c r="C890" s="15">
        <v>3</v>
      </c>
      <c r="D890" s="14">
        <f t="shared" si="91"/>
        <v>3</v>
      </c>
      <c r="E890" s="48">
        <v>42073</v>
      </c>
      <c r="F890" s="48"/>
      <c r="G890" s="48"/>
      <c r="H890" s="48"/>
      <c r="I890" s="48"/>
      <c r="J890" s="51"/>
      <c r="K890" s="4"/>
      <c r="L890" s="15"/>
      <c r="M890" s="14">
        <f t="shared" si="90"/>
        <v>0</v>
      </c>
      <c r="N890" s="74"/>
    </row>
    <row r="891" spans="2:14" x14ac:dyDescent="0.15">
      <c r="B891" s="71" t="s">
        <v>162</v>
      </c>
      <c r="C891" s="15">
        <v>1</v>
      </c>
      <c r="D891" s="14">
        <f t="shared" si="91"/>
        <v>1</v>
      </c>
      <c r="E891" s="48">
        <v>42075</v>
      </c>
      <c r="F891" s="48"/>
      <c r="G891" s="48"/>
      <c r="H891" s="48"/>
      <c r="I891" s="48"/>
      <c r="J891" s="51"/>
      <c r="K891" s="6"/>
      <c r="L891" s="15"/>
      <c r="M891" s="14">
        <f>SUM(L891)</f>
        <v>0</v>
      </c>
      <c r="N891" s="74"/>
    </row>
    <row r="892" spans="2:14" x14ac:dyDescent="0.15">
      <c r="B892" s="71" t="s">
        <v>162</v>
      </c>
      <c r="C892" s="15">
        <v>2</v>
      </c>
      <c r="D892" s="14">
        <f t="shared" si="91"/>
        <v>2</v>
      </c>
      <c r="E892" s="74">
        <v>42076</v>
      </c>
      <c r="F892" s="74"/>
      <c r="G892" s="74"/>
      <c r="H892" s="74"/>
      <c r="I892" s="74"/>
      <c r="J892" s="51"/>
      <c r="K892" s="6"/>
      <c r="L892" s="15"/>
      <c r="M892" s="14">
        <f>SUM(L892)</f>
        <v>0</v>
      </c>
      <c r="N892" s="75"/>
    </row>
    <row r="893" spans="2:14" x14ac:dyDescent="0.15">
      <c r="B893" s="71" t="s">
        <v>162</v>
      </c>
      <c r="C893" s="15">
        <v>5</v>
      </c>
      <c r="D893" s="14">
        <f t="shared" si="91"/>
        <v>5</v>
      </c>
      <c r="E893" s="48">
        <v>42079</v>
      </c>
      <c r="F893" s="48"/>
      <c r="G893" s="48"/>
      <c r="H893" s="48"/>
      <c r="I893" s="48"/>
      <c r="J893" s="51"/>
      <c r="K893" s="4"/>
      <c r="L893" s="15"/>
      <c r="M893" s="14">
        <f>SUM(L893:L893)</f>
        <v>0</v>
      </c>
      <c r="N893" s="74"/>
    </row>
    <row r="894" spans="2:14" x14ac:dyDescent="0.15">
      <c r="B894" s="71" t="s">
        <v>162</v>
      </c>
      <c r="C894" s="15">
        <v>3</v>
      </c>
      <c r="D894" s="14">
        <f t="shared" si="91"/>
        <v>3</v>
      </c>
      <c r="E894" s="48">
        <v>42081</v>
      </c>
      <c r="F894" s="48"/>
      <c r="G894" s="48"/>
      <c r="H894" s="48"/>
      <c r="I894" s="48"/>
      <c r="J894" s="51"/>
      <c r="K894" s="6"/>
      <c r="L894" s="15"/>
      <c r="M894" s="14">
        <f>SUM(L894)</f>
        <v>0</v>
      </c>
      <c r="N894" s="75"/>
    </row>
    <row r="895" spans="2:14" x14ac:dyDescent="0.15">
      <c r="B895" s="71" t="s">
        <v>162</v>
      </c>
      <c r="C895" s="15">
        <v>19</v>
      </c>
      <c r="D895" s="14">
        <f t="shared" si="91"/>
        <v>19</v>
      </c>
      <c r="E895" s="74">
        <v>42086</v>
      </c>
      <c r="F895" s="74"/>
      <c r="G895" s="74"/>
      <c r="H895" s="74"/>
      <c r="I895" s="74"/>
      <c r="J895" s="51"/>
      <c r="K895" s="4"/>
      <c r="L895" s="15"/>
      <c r="M895" s="14">
        <f>SUM(L895:L895)</f>
        <v>0</v>
      </c>
      <c r="N895" s="74"/>
    </row>
    <row r="896" spans="2:14" x14ac:dyDescent="0.15">
      <c r="B896" s="4" t="s">
        <v>162</v>
      </c>
      <c r="C896" s="15">
        <v>3</v>
      </c>
      <c r="D896" s="14">
        <f t="shared" si="91"/>
        <v>3</v>
      </c>
      <c r="E896" s="48">
        <v>42082</v>
      </c>
      <c r="F896" s="48"/>
      <c r="G896" s="48"/>
      <c r="H896" s="48"/>
      <c r="I896" s="48"/>
      <c r="J896" s="51"/>
      <c r="K896" s="138"/>
      <c r="L896" s="15"/>
      <c r="M896" s="14">
        <f>SUM(L896)</f>
        <v>0</v>
      </c>
      <c r="N896" s="75"/>
    </row>
    <row r="897" spans="1:14" x14ac:dyDescent="0.15">
      <c r="B897" s="6" t="s">
        <v>100</v>
      </c>
      <c r="C897" s="15">
        <v>84</v>
      </c>
      <c r="D897" s="14">
        <f t="shared" si="91"/>
        <v>84</v>
      </c>
      <c r="E897" s="74">
        <v>42087</v>
      </c>
      <c r="F897" s="74"/>
      <c r="G897" s="74"/>
      <c r="H897" s="74"/>
      <c r="I897" s="74"/>
      <c r="J897" s="51"/>
      <c r="K897" s="6"/>
      <c r="L897" s="15"/>
      <c r="M897" s="14">
        <f>SUM(L897)</f>
        <v>0</v>
      </c>
      <c r="N897" s="74"/>
    </row>
    <row r="898" spans="1:14" x14ac:dyDescent="0.15">
      <c r="B898" s="4" t="s">
        <v>204</v>
      </c>
      <c r="C898" s="15">
        <v>70</v>
      </c>
      <c r="D898" s="14">
        <f>SUM(C898)</f>
        <v>70</v>
      </c>
      <c r="E898" s="74">
        <v>42089</v>
      </c>
      <c r="F898" s="74"/>
      <c r="G898" s="74"/>
      <c r="H898" s="74"/>
      <c r="I898" s="74"/>
      <c r="J898" s="51"/>
      <c r="K898" s="6"/>
      <c r="L898" s="15"/>
      <c r="M898" s="14">
        <f>SUM(L898)</f>
        <v>0</v>
      </c>
      <c r="N898" s="74"/>
    </row>
    <row r="899" spans="1:14" ht="14.25" thickBot="1" x14ac:dyDescent="0.2">
      <c r="B899" s="4" t="s">
        <v>205</v>
      </c>
      <c r="C899" s="15">
        <v>2</v>
      </c>
      <c r="D899" s="14">
        <f>SUM(C899)</f>
        <v>2</v>
      </c>
      <c r="E899" s="48">
        <v>42087</v>
      </c>
      <c r="F899" s="48"/>
      <c r="G899" s="48"/>
      <c r="H899" s="48"/>
      <c r="I899" s="48"/>
      <c r="J899" s="51"/>
      <c r="K899" s="4"/>
      <c r="L899" s="15"/>
      <c r="M899" s="14">
        <f>SUM(L899:L899)</f>
        <v>0</v>
      </c>
      <c r="N899" s="75"/>
    </row>
    <row r="900" spans="1:14" ht="14.25" thickBot="1" x14ac:dyDescent="0.2">
      <c r="B900" s="3" t="s">
        <v>5</v>
      </c>
      <c r="C900" s="16">
        <f>SUM(C876:C899)</f>
        <v>285</v>
      </c>
      <c r="D900" s="17">
        <f>SUM(D876:D899)</f>
        <v>285</v>
      </c>
      <c r="K900" s="3" t="s">
        <v>5</v>
      </c>
      <c r="L900" s="16">
        <f>SUM(L876:L899)</f>
        <v>0</v>
      </c>
      <c r="M900" s="17">
        <f>SUM(M876:M899)</f>
        <v>0</v>
      </c>
    </row>
    <row r="901" spans="1:14" ht="14.25" thickBot="1" x14ac:dyDescent="0.2">
      <c r="B901" s="18" t="s">
        <v>6</v>
      </c>
      <c r="C901" s="19">
        <f>C875-C900</f>
        <v>319</v>
      </c>
      <c r="D901" s="13">
        <f>D875-D900</f>
        <v>319</v>
      </c>
      <c r="K901" s="18" t="s">
        <v>6</v>
      </c>
      <c r="L901" s="19">
        <f>L875-L900</f>
        <v>2000</v>
      </c>
      <c r="M901" s="13">
        <f>M875-M900</f>
        <v>2000</v>
      </c>
    </row>
    <row r="903" spans="1:14" ht="18" thickBot="1" x14ac:dyDescent="0.25">
      <c r="A903" s="27" t="s">
        <v>8</v>
      </c>
      <c r="B903" s="28"/>
      <c r="C903" s="28"/>
      <c r="D903" s="28"/>
      <c r="J903" s="63" t="s">
        <v>192</v>
      </c>
      <c r="K903" s="64"/>
      <c r="L903" s="64"/>
      <c r="M903" s="64"/>
    </row>
    <row r="904" spans="1:14" ht="14.25" thickBot="1" x14ac:dyDescent="0.2">
      <c r="B904" s="2"/>
      <c r="C904" s="3" t="s">
        <v>0</v>
      </c>
      <c r="D904" s="2" t="s">
        <v>1</v>
      </c>
      <c r="K904" s="2"/>
      <c r="L904" s="3" t="s">
        <v>0</v>
      </c>
      <c r="M904" s="2" t="s">
        <v>1</v>
      </c>
    </row>
    <row r="905" spans="1:14" x14ac:dyDescent="0.15">
      <c r="B905" s="43" t="s">
        <v>26</v>
      </c>
      <c r="C905" s="38">
        <f>C901</f>
        <v>319</v>
      </c>
      <c r="D905" s="39">
        <f t="shared" ref="D905:D915" si="92">SUM(C905:C905)</f>
        <v>319</v>
      </c>
      <c r="K905" s="43" t="s">
        <v>26</v>
      </c>
      <c r="L905" s="38">
        <f>L901</f>
        <v>2000</v>
      </c>
      <c r="M905" s="39">
        <f t="shared" ref="M905:M915" si="93">SUM(L905:L905)</f>
        <v>2000</v>
      </c>
    </row>
    <row r="906" spans="1:14" x14ac:dyDescent="0.15">
      <c r="B906" s="6" t="s">
        <v>3</v>
      </c>
      <c r="C906" s="7">
        <v>200</v>
      </c>
      <c r="D906" s="5">
        <f t="shared" si="92"/>
        <v>200</v>
      </c>
      <c r="E906" s="74">
        <v>42102</v>
      </c>
      <c r="F906" s="74"/>
      <c r="G906" s="74"/>
      <c r="H906" s="74"/>
      <c r="I906" s="74"/>
      <c r="K906" s="6" t="s">
        <v>3</v>
      </c>
      <c r="L906" s="7"/>
      <c r="M906" s="5">
        <f t="shared" si="93"/>
        <v>0</v>
      </c>
    </row>
    <row r="907" spans="1:14" x14ac:dyDescent="0.15">
      <c r="B907" s="6" t="s">
        <v>3</v>
      </c>
      <c r="C907" s="7"/>
      <c r="D907" s="5">
        <f t="shared" si="92"/>
        <v>0</v>
      </c>
      <c r="K907" s="6" t="s">
        <v>3</v>
      </c>
      <c r="L907" s="7"/>
      <c r="M907" s="5">
        <f t="shared" si="93"/>
        <v>0</v>
      </c>
      <c r="N907" s="74"/>
    </row>
    <row r="908" spans="1:14" x14ac:dyDescent="0.15">
      <c r="B908" s="6" t="s">
        <v>3</v>
      </c>
      <c r="C908" s="7"/>
      <c r="D908" s="5">
        <f t="shared" si="92"/>
        <v>0</v>
      </c>
      <c r="K908" s="6" t="s">
        <v>3</v>
      </c>
      <c r="L908" s="7"/>
      <c r="M908" s="5">
        <f t="shared" si="93"/>
        <v>0</v>
      </c>
      <c r="N908" s="74"/>
    </row>
    <row r="909" spans="1:14" x14ac:dyDescent="0.15">
      <c r="B909" s="6" t="s">
        <v>3</v>
      </c>
      <c r="C909" s="7"/>
      <c r="D909" s="5">
        <f t="shared" si="92"/>
        <v>0</v>
      </c>
      <c r="K909" s="6" t="s">
        <v>3</v>
      </c>
      <c r="L909" s="7"/>
      <c r="M909" s="5">
        <f t="shared" si="93"/>
        <v>0</v>
      </c>
    </row>
    <row r="910" spans="1:14" x14ac:dyDescent="0.15">
      <c r="B910" s="6" t="s">
        <v>3</v>
      </c>
      <c r="C910" s="7"/>
      <c r="D910" s="5">
        <f t="shared" si="92"/>
        <v>0</v>
      </c>
      <c r="K910" s="6" t="s">
        <v>3</v>
      </c>
      <c r="L910" s="7"/>
      <c r="M910" s="5">
        <f t="shared" si="93"/>
        <v>0</v>
      </c>
    </row>
    <row r="911" spans="1:14" x14ac:dyDescent="0.15">
      <c r="B911" s="6" t="s">
        <v>3</v>
      </c>
      <c r="C911" s="7"/>
      <c r="D911" s="5">
        <f t="shared" si="92"/>
        <v>0</v>
      </c>
      <c r="K911" s="6" t="s">
        <v>3</v>
      </c>
      <c r="L911" s="7"/>
      <c r="M911" s="5">
        <f t="shared" si="93"/>
        <v>0</v>
      </c>
    </row>
    <row r="912" spans="1:14" x14ac:dyDescent="0.15">
      <c r="B912" s="6" t="s">
        <v>3</v>
      </c>
      <c r="C912" s="54"/>
      <c r="D912" s="5">
        <f t="shared" si="92"/>
        <v>0</v>
      </c>
      <c r="K912" s="6" t="s">
        <v>3</v>
      </c>
      <c r="L912" s="7"/>
      <c r="M912" s="5">
        <f t="shared" si="93"/>
        <v>0</v>
      </c>
    </row>
    <row r="913" spans="2:14" x14ac:dyDescent="0.15">
      <c r="B913" s="6" t="s">
        <v>3</v>
      </c>
      <c r="C913" s="54"/>
      <c r="D913" s="5">
        <f t="shared" si="92"/>
        <v>0</v>
      </c>
      <c r="K913" s="6" t="s">
        <v>3</v>
      </c>
      <c r="L913" s="7"/>
      <c r="M913" s="5">
        <f t="shared" si="93"/>
        <v>0</v>
      </c>
      <c r="N913" s="74"/>
    </row>
    <row r="914" spans="2:14" x14ac:dyDescent="0.15">
      <c r="B914" s="6" t="s">
        <v>3</v>
      </c>
      <c r="C914" s="54"/>
      <c r="D914" s="5">
        <f t="shared" si="92"/>
        <v>0</v>
      </c>
      <c r="K914" s="6" t="s">
        <v>3</v>
      </c>
      <c r="L914" s="7"/>
      <c r="M914" s="5">
        <f t="shared" si="93"/>
        <v>0</v>
      </c>
    </row>
    <row r="915" spans="2:14" ht="14.25" thickBot="1" x14ac:dyDescent="0.2">
      <c r="B915" s="9" t="s">
        <v>3</v>
      </c>
      <c r="C915" s="101"/>
      <c r="D915" s="5">
        <f t="shared" si="92"/>
        <v>0</v>
      </c>
      <c r="K915" s="9" t="s">
        <v>3</v>
      </c>
      <c r="L915" s="10"/>
      <c r="M915" s="5">
        <f t="shared" si="93"/>
        <v>0</v>
      </c>
    </row>
    <row r="916" spans="2:14" ht="14.25" thickBot="1" x14ac:dyDescent="0.2">
      <c r="B916" s="11" t="s">
        <v>4</v>
      </c>
      <c r="C916" s="12">
        <f>SUM(C905:C915)</f>
        <v>519</v>
      </c>
      <c r="D916" s="13">
        <f>SUM(D905:D915)</f>
        <v>519</v>
      </c>
      <c r="K916" s="11" t="s">
        <v>4</v>
      </c>
      <c r="L916" s="12">
        <f>SUM(L905:L915)</f>
        <v>2000</v>
      </c>
      <c r="M916" s="13">
        <f>SUM(M905:M915)</f>
        <v>2000</v>
      </c>
    </row>
    <row r="917" spans="2:14" x14ac:dyDescent="0.15">
      <c r="B917" s="4" t="s">
        <v>213</v>
      </c>
      <c r="C917" s="15">
        <v>30</v>
      </c>
      <c r="D917" s="14">
        <f t="shared" ref="D917:D922" si="94">SUM(C917)</f>
        <v>30</v>
      </c>
      <c r="E917" s="74">
        <v>42100</v>
      </c>
      <c r="F917" s="74"/>
      <c r="G917" s="74"/>
      <c r="H917" s="74"/>
      <c r="I917" s="74"/>
      <c r="K917" s="4" t="s">
        <v>9</v>
      </c>
      <c r="L917" s="44">
        <v>200</v>
      </c>
      <c r="M917" s="14">
        <f t="shared" ref="M917:M927" si="95">SUM(L917:L917)</f>
        <v>200</v>
      </c>
      <c r="N917" s="74">
        <v>42102</v>
      </c>
    </row>
    <row r="918" spans="2:14" x14ac:dyDescent="0.15">
      <c r="B918" s="71" t="s">
        <v>162</v>
      </c>
      <c r="C918" s="15">
        <v>3</v>
      </c>
      <c r="D918" s="14">
        <f t="shared" si="94"/>
        <v>3</v>
      </c>
      <c r="E918" s="48">
        <v>42088</v>
      </c>
      <c r="F918" s="48"/>
      <c r="G918" s="48"/>
      <c r="H918" s="48"/>
      <c r="I918" s="48"/>
      <c r="J918" s="51"/>
      <c r="K918" s="4" t="s">
        <v>9</v>
      </c>
      <c r="L918" s="15">
        <v>200</v>
      </c>
      <c r="M918" s="14">
        <f t="shared" si="95"/>
        <v>200</v>
      </c>
      <c r="N918" s="74">
        <v>42110</v>
      </c>
    </row>
    <row r="919" spans="2:14" x14ac:dyDescent="0.15">
      <c r="B919" s="71" t="s">
        <v>162</v>
      </c>
      <c r="C919" s="15">
        <v>6</v>
      </c>
      <c r="D919" s="14">
        <f t="shared" si="94"/>
        <v>6</v>
      </c>
      <c r="E919" s="48">
        <v>42089</v>
      </c>
      <c r="F919" s="48"/>
      <c r="G919" s="48"/>
      <c r="H919" s="48"/>
      <c r="I919" s="48"/>
      <c r="J919" s="51"/>
      <c r="K919" s="4" t="s">
        <v>216</v>
      </c>
      <c r="L919" s="15">
        <v>300</v>
      </c>
      <c r="M919" s="14">
        <f t="shared" si="95"/>
        <v>300</v>
      </c>
      <c r="N919" s="74">
        <v>42115</v>
      </c>
    </row>
    <row r="920" spans="2:14" x14ac:dyDescent="0.15">
      <c r="B920" s="4" t="s">
        <v>206</v>
      </c>
      <c r="C920" s="15">
        <v>50</v>
      </c>
      <c r="D920" s="14">
        <f t="shared" si="94"/>
        <v>50</v>
      </c>
      <c r="E920" s="74">
        <v>42097</v>
      </c>
      <c r="F920" s="74"/>
      <c r="G920" s="74"/>
      <c r="H920" s="74"/>
      <c r="I920" s="74"/>
      <c r="J920" s="51"/>
      <c r="K920" s="4" t="s">
        <v>217</v>
      </c>
      <c r="L920" s="15">
        <v>237</v>
      </c>
      <c r="M920" s="14">
        <f t="shared" si="95"/>
        <v>237</v>
      </c>
      <c r="N920" s="74">
        <v>42116</v>
      </c>
    </row>
    <row r="921" spans="2:14" x14ac:dyDescent="0.15">
      <c r="B921" s="71" t="s">
        <v>162</v>
      </c>
      <c r="C921" s="15">
        <v>1</v>
      </c>
      <c r="D921" s="14">
        <f t="shared" si="94"/>
        <v>1</v>
      </c>
      <c r="E921" s="48">
        <v>42090</v>
      </c>
      <c r="F921" s="48"/>
      <c r="G921" s="48"/>
      <c r="H921" s="48"/>
      <c r="I921" s="48"/>
      <c r="J921" s="51"/>
      <c r="K921" s="4" t="s">
        <v>9</v>
      </c>
      <c r="L921" s="15">
        <v>200</v>
      </c>
      <c r="M921" s="14">
        <f t="shared" si="95"/>
        <v>200</v>
      </c>
      <c r="N921" s="74">
        <v>42119</v>
      </c>
    </row>
    <row r="922" spans="2:14" x14ac:dyDescent="0.15">
      <c r="B922" s="71" t="s">
        <v>162</v>
      </c>
      <c r="C922" s="15">
        <v>13</v>
      </c>
      <c r="D922" s="14">
        <f t="shared" si="94"/>
        <v>13</v>
      </c>
      <c r="E922" s="48">
        <v>42091</v>
      </c>
      <c r="F922" s="48"/>
      <c r="G922" s="48"/>
      <c r="H922" s="48"/>
      <c r="I922" s="48"/>
      <c r="J922" s="51"/>
      <c r="K922" s="4" t="s">
        <v>209</v>
      </c>
      <c r="L922" s="15">
        <v>100</v>
      </c>
      <c r="M922" s="14">
        <f t="shared" si="95"/>
        <v>100</v>
      </c>
      <c r="N922" s="74">
        <v>42121</v>
      </c>
    </row>
    <row r="923" spans="2:14" x14ac:dyDescent="0.15">
      <c r="B923" s="71" t="s">
        <v>208</v>
      </c>
      <c r="C923" s="15">
        <v>22</v>
      </c>
      <c r="D923" s="14">
        <f t="shared" ref="D923:D938" si="96">SUM(C923)</f>
        <v>22</v>
      </c>
      <c r="E923" s="48">
        <v>42093</v>
      </c>
      <c r="F923" s="48"/>
      <c r="G923" s="48"/>
      <c r="H923" s="48"/>
      <c r="I923" s="48"/>
      <c r="J923" s="51"/>
      <c r="K923" s="4" t="s">
        <v>9</v>
      </c>
      <c r="L923" s="15">
        <v>200</v>
      </c>
      <c r="M923" s="14">
        <f t="shared" si="95"/>
        <v>200</v>
      </c>
      <c r="N923" s="74">
        <v>42126</v>
      </c>
    </row>
    <row r="924" spans="2:14" x14ac:dyDescent="0.15">
      <c r="B924" s="71" t="s">
        <v>207</v>
      </c>
      <c r="C924" s="15">
        <v>20</v>
      </c>
      <c r="D924" s="14">
        <f t="shared" si="96"/>
        <v>20</v>
      </c>
      <c r="E924" s="74">
        <v>42104</v>
      </c>
      <c r="F924" s="74"/>
      <c r="G924" s="74"/>
      <c r="H924" s="74"/>
      <c r="I924" s="74"/>
      <c r="J924" s="51"/>
      <c r="K924" s="4"/>
      <c r="L924" s="15"/>
      <c r="M924" s="14">
        <f t="shared" si="95"/>
        <v>0</v>
      </c>
      <c r="N924" s="74"/>
    </row>
    <row r="925" spans="2:14" x14ac:dyDescent="0.15">
      <c r="B925" s="71" t="s">
        <v>208</v>
      </c>
      <c r="C925" s="15">
        <v>6</v>
      </c>
      <c r="D925" s="14">
        <f t="shared" si="96"/>
        <v>6</v>
      </c>
      <c r="E925" s="48">
        <v>42095</v>
      </c>
      <c r="F925" s="48"/>
      <c r="G925" s="48"/>
      <c r="H925" s="48"/>
      <c r="I925" s="48"/>
      <c r="J925" s="51"/>
      <c r="K925" s="4"/>
      <c r="L925" s="15"/>
      <c r="M925" s="14">
        <f t="shared" si="95"/>
        <v>0</v>
      </c>
    </row>
    <row r="926" spans="2:14" x14ac:dyDescent="0.15">
      <c r="B926" s="71" t="s">
        <v>162</v>
      </c>
      <c r="C926" s="15">
        <v>4</v>
      </c>
      <c r="D926" s="14">
        <f t="shared" si="96"/>
        <v>4</v>
      </c>
      <c r="E926" s="48">
        <v>42094</v>
      </c>
      <c r="F926" s="48"/>
      <c r="G926" s="48"/>
      <c r="H926" s="48"/>
      <c r="I926" s="48"/>
      <c r="J926" s="51"/>
      <c r="K926" s="4"/>
      <c r="L926" s="15"/>
      <c r="M926" s="14">
        <f t="shared" si="95"/>
        <v>0</v>
      </c>
    </row>
    <row r="927" spans="2:14" x14ac:dyDescent="0.15">
      <c r="B927" s="71" t="s">
        <v>162</v>
      </c>
      <c r="C927" s="15">
        <v>11</v>
      </c>
      <c r="D927" s="14">
        <f t="shared" si="96"/>
        <v>11</v>
      </c>
      <c r="E927" s="48">
        <v>42096</v>
      </c>
      <c r="F927" s="48"/>
      <c r="G927" s="48"/>
      <c r="H927" s="48"/>
      <c r="I927" s="48"/>
      <c r="J927" s="51"/>
      <c r="K927" s="4"/>
      <c r="L927" s="15"/>
      <c r="M927" s="14">
        <f t="shared" si="95"/>
        <v>0</v>
      </c>
    </row>
    <row r="928" spans="2:14" x14ac:dyDescent="0.15">
      <c r="B928" s="71" t="s">
        <v>162</v>
      </c>
      <c r="C928" s="15">
        <v>13</v>
      </c>
      <c r="D928" s="14">
        <f t="shared" si="96"/>
        <v>13</v>
      </c>
      <c r="E928" s="48">
        <v>42097</v>
      </c>
      <c r="F928" s="48"/>
      <c r="G928" s="48"/>
      <c r="H928" s="48"/>
      <c r="I928" s="48"/>
      <c r="J928" s="51"/>
      <c r="K928" s="4"/>
      <c r="L928" s="15"/>
      <c r="M928" s="14">
        <f>SUM(L928:L928)</f>
        <v>0</v>
      </c>
    </row>
    <row r="929" spans="1:14" x14ac:dyDescent="0.15">
      <c r="B929" s="71" t="s">
        <v>211</v>
      </c>
      <c r="C929" s="15">
        <v>7</v>
      </c>
      <c r="D929" s="14">
        <f t="shared" si="96"/>
        <v>7</v>
      </c>
      <c r="E929" s="48">
        <v>42098</v>
      </c>
      <c r="F929" s="48"/>
      <c r="G929" s="48"/>
      <c r="H929" s="48"/>
      <c r="I929" s="48"/>
      <c r="J929" s="51"/>
      <c r="K929" s="6"/>
      <c r="L929" s="15"/>
      <c r="M929" s="14">
        <f>SUM(L929)</f>
        <v>0</v>
      </c>
      <c r="N929" s="75"/>
    </row>
    <row r="930" spans="1:14" x14ac:dyDescent="0.15">
      <c r="B930" s="4" t="s">
        <v>210</v>
      </c>
      <c r="C930" s="15">
        <v>85</v>
      </c>
      <c r="D930" s="14">
        <f t="shared" si="96"/>
        <v>85</v>
      </c>
      <c r="E930" s="74">
        <v>42101</v>
      </c>
      <c r="F930" s="74"/>
      <c r="G930" s="74"/>
      <c r="H930" s="74"/>
      <c r="I930" s="74"/>
      <c r="J930" s="51"/>
      <c r="K930" s="6"/>
      <c r="L930" s="15"/>
      <c r="M930" s="14">
        <f>SUM(L930)</f>
        <v>0</v>
      </c>
      <c r="N930" s="75"/>
    </row>
    <row r="931" spans="1:14" x14ac:dyDescent="0.15">
      <c r="B931" s="4" t="s">
        <v>162</v>
      </c>
      <c r="C931" s="15">
        <v>11</v>
      </c>
      <c r="D931" s="14">
        <f t="shared" si="96"/>
        <v>11</v>
      </c>
      <c r="E931" s="48">
        <v>42100</v>
      </c>
      <c r="F931" s="48"/>
      <c r="G931" s="48"/>
      <c r="H931" s="48"/>
      <c r="I931" s="48"/>
      <c r="J931" s="51"/>
      <c r="K931" s="4"/>
      <c r="L931" s="15"/>
      <c r="M931" s="14">
        <f>SUM(L931:L931)</f>
        <v>0</v>
      </c>
      <c r="N931" s="74"/>
    </row>
    <row r="932" spans="1:14" x14ac:dyDescent="0.15">
      <c r="B932" s="4" t="s">
        <v>212</v>
      </c>
      <c r="C932" s="15">
        <v>50</v>
      </c>
      <c r="D932" s="14">
        <f t="shared" si="96"/>
        <v>50</v>
      </c>
      <c r="E932" s="74">
        <v>42109</v>
      </c>
      <c r="F932" s="74"/>
      <c r="G932" s="74"/>
      <c r="H932" s="74"/>
      <c r="I932" s="74"/>
      <c r="J932" s="51"/>
      <c r="K932" s="4"/>
      <c r="L932" s="15"/>
      <c r="M932" s="14">
        <f>SUM(L932:L932)</f>
        <v>0</v>
      </c>
      <c r="N932" s="74"/>
    </row>
    <row r="933" spans="1:14" x14ac:dyDescent="0.15">
      <c r="B933" s="4" t="s">
        <v>162</v>
      </c>
      <c r="C933" s="15">
        <v>5</v>
      </c>
      <c r="D933" s="14">
        <f t="shared" si="96"/>
        <v>5</v>
      </c>
      <c r="E933" s="48">
        <v>42101</v>
      </c>
      <c r="F933" s="48"/>
      <c r="G933" s="48"/>
      <c r="H933" s="48"/>
      <c r="I933" s="48"/>
      <c r="J933" s="51"/>
      <c r="K933" s="138"/>
      <c r="L933" s="15"/>
      <c r="M933" s="14">
        <f>SUM(L933)</f>
        <v>0</v>
      </c>
      <c r="N933" s="75"/>
    </row>
    <row r="934" spans="1:14" x14ac:dyDescent="0.15">
      <c r="B934" s="4" t="s">
        <v>162</v>
      </c>
      <c r="C934" s="15">
        <v>6</v>
      </c>
      <c r="D934" s="14">
        <f t="shared" si="96"/>
        <v>6</v>
      </c>
      <c r="E934" s="48">
        <v>42102</v>
      </c>
      <c r="F934" s="48"/>
      <c r="G934" s="48"/>
      <c r="H934" s="48"/>
      <c r="I934" s="48"/>
      <c r="J934" s="51"/>
      <c r="K934" s="4"/>
      <c r="L934" s="15"/>
      <c r="M934" s="14">
        <f>SUM(L934:L934)</f>
        <v>0</v>
      </c>
      <c r="N934" s="74"/>
    </row>
    <row r="935" spans="1:14" x14ac:dyDescent="0.15">
      <c r="B935" s="4" t="s">
        <v>214</v>
      </c>
      <c r="C935" s="15">
        <v>9</v>
      </c>
      <c r="D935" s="14">
        <f t="shared" si="96"/>
        <v>9</v>
      </c>
      <c r="E935" s="48">
        <v>42103</v>
      </c>
      <c r="F935" s="48"/>
      <c r="G935" s="48"/>
      <c r="H935" s="48"/>
      <c r="I935" s="48"/>
      <c r="J935" s="51"/>
      <c r="K935" s="6"/>
      <c r="L935" s="15"/>
      <c r="M935" s="14">
        <f>SUM(L935)</f>
        <v>0</v>
      </c>
      <c r="N935" s="74"/>
    </row>
    <row r="936" spans="1:14" x14ac:dyDescent="0.15">
      <c r="B936" s="4" t="s">
        <v>114</v>
      </c>
      <c r="C936" s="15">
        <v>60</v>
      </c>
      <c r="D936" s="14">
        <f t="shared" si="96"/>
        <v>60</v>
      </c>
      <c r="E936" s="74">
        <v>42109</v>
      </c>
      <c r="F936" s="74"/>
      <c r="G936" s="74"/>
      <c r="H936" s="74"/>
      <c r="I936" s="74"/>
      <c r="J936" s="51"/>
      <c r="K936" s="4"/>
      <c r="L936" s="15"/>
      <c r="M936" s="14">
        <f>SUM(L936:L936)</f>
        <v>0</v>
      </c>
      <c r="N936" s="75"/>
    </row>
    <row r="937" spans="1:14" x14ac:dyDescent="0.15">
      <c r="B937" s="4" t="s">
        <v>162</v>
      </c>
      <c r="C937" s="15">
        <v>3</v>
      </c>
      <c r="D937" s="14">
        <f t="shared" si="96"/>
        <v>3</v>
      </c>
      <c r="E937" s="48">
        <v>42104</v>
      </c>
      <c r="F937" s="48"/>
      <c r="G937" s="48"/>
      <c r="H937" s="48"/>
      <c r="I937" s="48"/>
      <c r="J937" s="51"/>
      <c r="K937" s="4"/>
      <c r="L937" s="15"/>
      <c r="M937" s="14">
        <f>SUM(L937)</f>
        <v>0</v>
      </c>
      <c r="N937" s="75"/>
    </row>
    <row r="938" spans="1:14" x14ac:dyDescent="0.15">
      <c r="B938" s="4" t="s">
        <v>162</v>
      </c>
      <c r="C938" s="15">
        <v>17</v>
      </c>
      <c r="D938" s="14">
        <f t="shared" si="96"/>
        <v>17</v>
      </c>
      <c r="E938" s="48">
        <v>42107</v>
      </c>
      <c r="F938" s="48"/>
      <c r="G938" s="48"/>
      <c r="H938" s="48"/>
      <c r="I938" s="48"/>
      <c r="J938" s="51"/>
      <c r="K938" s="4"/>
      <c r="L938" s="15"/>
      <c r="M938" s="14">
        <f>SUM(L938:L938)</f>
        <v>0</v>
      </c>
      <c r="N938" s="75"/>
    </row>
    <row r="939" spans="1:14" x14ac:dyDescent="0.15">
      <c r="B939" s="4" t="s">
        <v>162</v>
      </c>
      <c r="C939" s="15">
        <v>4</v>
      </c>
      <c r="D939" s="14">
        <f>SUM(C939)</f>
        <v>4</v>
      </c>
      <c r="E939" s="48">
        <v>42107</v>
      </c>
      <c r="F939" s="48"/>
      <c r="G939" s="48"/>
      <c r="H939" s="48"/>
      <c r="I939" s="48"/>
      <c r="J939" s="51"/>
      <c r="K939" s="6"/>
      <c r="L939" s="15"/>
      <c r="M939" s="14">
        <f>SUM(L939)</f>
        <v>0</v>
      </c>
      <c r="N939" s="74"/>
    </row>
    <row r="940" spans="1:14" ht="14.25" thickBot="1" x14ac:dyDescent="0.2">
      <c r="B940" s="4" t="s">
        <v>215</v>
      </c>
      <c r="C940" s="15">
        <v>-1</v>
      </c>
      <c r="D940" s="14">
        <f>SUM(C940)</f>
        <v>-1</v>
      </c>
      <c r="E940" s="48">
        <v>42107</v>
      </c>
      <c r="F940" s="48"/>
      <c r="G940" s="48"/>
      <c r="H940" s="48"/>
      <c r="I940" s="48"/>
      <c r="J940" s="51"/>
      <c r="K940" s="4"/>
      <c r="L940" s="15"/>
      <c r="M940" s="14">
        <f>SUM(L940:L940)</f>
        <v>0</v>
      </c>
      <c r="N940" s="74"/>
    </row>
    <row r="941" spans="1:14" ht="14.25" thickBot="1" x14ac:dyDescent="0.2">
      <c r="B941" s="3" t="s">
        <v>5</v>
      </c>
      <c r="C941" s="16">
        <f>SUM(C917:C940)</f>
        <v>435</v>
      </c>
      <c r="D941" s="17">
        <f>SUM(D917:D940)</f>
        <v>435</v>
      </c>
      <c r="K941" s="3" t="s">
        <v>5</v>
      </c>
      <c r="L941" s="16">
        <f>SUM(L917:L940)</f>
        <v>1437</v>
      </c>
      <c r="M941" s="17">
        <f>SUM(M917:M940)</f>
        <v>1437</v>
      </c>
    </row>
    <row r="942" spans="1:14" ht="14.25" thickBot="1" x14ac:dyDescent="0.2">
      <c r="B942" s="18" t="s">
        <v>6</v>
      </c>
      <c r="C942" s="19">
        <f>C916-C941</f>
        <v>84</v>
      </c>
      <c r="D942" s="13">
        <f>D916-D941</f>
        <v>84</v>
      </c>
      <c r="K942" s="18" t="s">
        <v>6</v>
      </c>
      <c r="L942" s="19">
        <f>L916-L941</f>
        <v>563</v>
      </c>
      <c r="M942" s="13">
        <f>M916-M941</f>
        <v>563</v>
      </c>
    </row>
    <row r="944" spans="1:14" ht="18" thickBot="1" x14ac:dyDescent="0.25">
      <c r="A944" s="27" t="s">
        <v>8</v>
      </c>
      <c r="B944" s="28"/>
      <c r="C944" s="28"/>
      <c r="D944" s="28"/>
      <c r="J944" s="63" t="s">
        <v>192</v>
      </c>
      <c r="K944" s="64"/>
      <c r="L944" s="64"/>
      <c r="M944" s="64"/>
    </row>
    <row r="945" spans="2:14" ht="14.25" thickBot="1" x14ac:dyDescent="0.2">
      <c r="B945" s="2"/>
      <c r="C945" s="3" t="s">
        <v>0</v>
      </c>
      <c r="D945" s="2" t="s">
        <v>1</v>
      </c>
      <c r="K945" s="2"/>
      <c r="L945" s="3" t="s">
        <v>0</v>
      </c>
      <c r="M945" s="2" t="s">
        <v>1</v>
      </c>
    </row>
    <row r="946" spans="2:14" x14ac:dyDescent="0.15">
      <c r="B946" s="43" t="s">
        <v>26</v>
      </c>
      <c r="C946" s="38">
        <f>C942</f>
        <v>84</v>
      </c>
      <c r="D946" s="39">
        <f t="shared" ref="D946:D956" si="97">SUM(C946:C946)</f>
        <v>84</v>
      </c>
      <c r="K946" s="43" t="s">
        <v>26</v>
      </c>
      <c r="L946" s="38">
        <f>L942</f>
        <v>563</v>
      </c>
      <c r="M946" s="39">
        <f t="shared" ref="M946:M956" si="98">SUM(L946:L946)</f>
        <v>563</v>
      </c>
    </row>
    <row r="947" spans="2:14" x14ac:dyDescent="0.15">
      <c r="B947" s="6" t="s">
        <v>3</v>
      </c>
      <c r="C947" s="7">
        <v>200</v>
      </c>
      <c r="D947" s="5">
        <f t="shared" si="97"/>
        <v>200</v>
      </c>
      <c r="E947" s="74">
        <v>42110</v>
      </c>
      <c r="F947" s="74"/>
      <c r="G947" s="74"/>
      <c r="H947" s="74"/>
      <c r="I947" s="74"/>
      <c r="K947" s="6" t="s">
        <v>3</v>
      </c>
      <c r="L947" s="7"/>
      <c r="M947" s="5">
        <f t="shared" si="98"/>
        <v>0</v>
      </c>
      <c r="N947" s="48"/>
    </row>
    <row r="948" spans="2:14" x14ac:dyDescent="0.15">
      <c r="B948" s="6" t="s">
        <v>3</v>
      </c>
      <c r="C948" s="7">
        <v>200</v>
      </c>
      <c r="D948" s="5">
        <f t="shared" si="97"/>
        <v>200</v>
      </c>
      <c r="E948" s="74">
        <v>42119</v>
      </c>
      <c r="F948" s="74"/>
      <c r="G948" s="74"/>
      <c r="H948" s="74"/>
      <c r="I948" s="74"/>
      <c r="K948" s="6" t="s">
        <v>3</v>
      </c>
      <c r="L948" s="7"/>
      <c r="M948" s="5">
        <f t="shared" si="98"/>
        <v>0</v>
      </c>
      <c r="N948" s="137"/>
    </row>
    <row r="949" spans="2:14" x14ac:dyDescent="0.15">
      <c r="B949" s="6" t="s">
        <v>3</v>
      </c>
      <c r="C949" s="7">
        <v>200</v>
      </c>
      <c r="D949" s="5">
        <f t="shared" si="97"/>
        <v>200</v>
      </c>
      <c r="E949" s="74">
        <v>42126</v>
      </c>
      <c r="F949" s="74"/>
      <c r="G949" s="74"/>
      <c r="H949" s="74"/>
      <c r="I949" s="74"/>
      <c r="K949" s="6" t="s">
        <v>3</v>
      </c>
      <c r="L949" s="7"/>
      <c r="M949" s="5">
        <f t="shared" si="98"/>
        <v>0</v>
      </c>
      <c r="N949" s="74"/>
    </row>
    <row r="950" spans="2:14" x14ac:dyDescent="0.15">
      <c r="B950" s="6" t="s">
        <v>3</v>
      </c>
      <c r="C950" s="7"/>
      <c r="D950" s="5">
        <f t="shared" si="97"/>
        <v>0</v>
      </c>
      <c r="K950" s="6" t="s">
        <v>3</v>
      </c>
      <c r="L950" s="7"/>
      <c r="M950" s="5">
        <f t="shared" si="98"/>
        <v>0</v>
      </c>
    </row>
    <row r="951" spans="2:14" x14ac:dyDescent="0.15">
      <c r="B951" s="6" t="s">
        <v>3</v>
      </c>
      <c r="C951" s="7"/>
      <c r="D951" s="5">
        <f t="shared" si="97"/>
        <v>0</v>
      </c>
      <c r="K951" s="6" t="s">
        <v>3</v>
      </c>
      <c r="L951" s="7"/>
      <c r="M951" s="5">
        <f t="shared" si="98"/>
        <v>0</v>
      </c>
    </row>
    <row r="952" spans="2:14" x14ac:dyDescent="0.15">
      <c r="B952" s="6" t="s">
        <v>3</v>
      </c>
      <c r="C952" s="7"/>
      <c r="D952" s="5">
        <f t="shared" si="97"/>
        <v>0</v>
      </c>
      <c r="K952" s="6" t="s">
        <v>3</v>
      </c>
      <c r="L952" s="7"/>
      <c r="M952" s="5">
        <f t="shared" si="98"/>
        <v>0</v>
      </c>
    </row>
    <row r="953" spans="2:14" x14ac:dyDescent="0.15">
      <c r="B953" s="6" t="s">
        <v>3</v>
      </c>
      <c r="C953" s="54"/>
      <c r="D953" s="5">
        <f t="shared" si="97"/>
        <v>0</v>
      </c>
      <c r="K953" s="6" t="s">
        <v>3</v>
      </c>
      <c r="L953" s="7"/>
      <c r="M953" s="5">
        <f t="shared" si="98"/>
        <v>0</v>
      </c>
    </row>
    <row r="954" spans="2:14" x14ac:dyDescent="0.15">
      <c r="B954" s="6" t="s">
        <v>3</v>
      </c>
      <c r="C954" s="54"/>
      <c r="D954" s="5">
        <f t="shared" si="97"/>
        <v>0</v>
      </c>
      <c r="K954" s="6" t="s">
        <v>3</v>
      </c>
      <c r="L954" s="7"/>
      <c r="M954" s="5">
        <f t="shared" si="98"/>
        <v>0</v>
      </c>
    </row>
    <row r="955" spans="2:14" x14ac:dyDescent="0.15">
      <c r="B955" s="6" t="s">
        <v>3</v>
      </c>
      <c r="C955" s="54"/>
      <c r="D955" s="5">
        <f t="shared" si="97"/>
        <v>0</v>
      </c>
      <c r="K955" s="6" t="s">
        <v>3</v>
      </c>
      <c r="L955" s="7"/>
      <c r="M955" s="5">
        <f t="shared" si="98"/>
        <v>0</v>
      </c>
    </row>
    <row r="956" spans="2:14" ht="14.25" thickBot="1" x14ac:dyDescent="0.2">
      <c r="B956" s="9" t="s">
        <v>3</v>
      </c>
      <c r="C956" s="101"/>
      <c r="D956" s="5">
        <f t="shared" si="97"/>
        <v>0</v>
      </c>
      <c r="K956" s="9" t="s">
        <v>3</v>
      </c>
      <c r="L956" s="10"/>
      <c r="M956" s="5">
        <f t="shared" si="98"/>
        <v>0</v>
      </c>
    </row>
    <row r="957" spans="2:14" ht="14.25" thickBot="1" x14ac:dyDescent="0.2">
      <c r="B957" s="11" t="s">
        <v>4</v>
      </c>
      <c r="C957" s="12">
        <f>SUM(C946:C956)</f>
        <v>684</v>
      </c>
      <c r="D957" s="13">
        <f>SUM(D946:D956)</f>
        <v>684</v>
      </c>
      <c r="K957" s="11" t="s">
        <v>4</v>
      </c>
      <c r="L957" s="12">
        <f>SUM(L946:L956)</f>
        <v>563</v>
      </c>
      <c r="M957" s="13">
        <f>SUM(M946:M956)</f>
        <v>563</v>
      </c>
    </row>
    <row r="958" spans="2:14" x14ac:dyDescent="0.15">
      <c r="B958" s="71" t="s">
        <v>90</v>
      </c>
      <c r="C958" s="15">
        <v>20</v>
      </c>
      <c r="D958" s="14">
        <f>C958</f>
        <v>20</v>
      </c>
      <c r="E958" s="74">
        <v>42114</v>
      </c>
      <c r="F958" s="74"/>
      <c r="G958" s="74"/>
      <c r="H958" s="74"/>
      <c r="I958" s="74"/>
      <c r="K958" s="4"/>
      <c r="L958" s="44"/>
      <c r="M958" s="14">
        <f t="shared" ref="M958:M968" si="99">SUM(L958:L958)</f>
        <v>0</v>
      </c>
    </row>
    <row r="959" spans="2:14" x14ac:dyDescent="0.15">
      <c r="B959" s="71" t="s">
        <v>162</v>
      </c>
      <c r="C959" s="15">
        <v>6</v>
      </c>
      <c r="D959" s="14">
        <f>SUM(C959)</f>
        <v>6</v>
      </c>
      <c r="E959" s="74">
        <v>42108</v>
      </c>
      <c r="F959" s="74"/>
      <c r="G959" s="74"/>
      <c r="H959" s="74"/>
      <c r="I959" s="74"/>
      <c r="J959" s="51"/>
      <c r="K959" s="4"/>
      <c r="L959" s="15"/>
      <c r="M959" s="14">
        <f t="shared" si="99"/>
        <v>0</v>
      </c>
    </row>
    <row r="960" spans="2:14" x14ac:dyDescent="0.15">
      <c r="B960" s="71" t="s">
        <v>162</v>
      </c>
      <c r="C960" s="15">
        <v>7</v>
      </c>
      <c r="D960" s="14">
        <f>SUM(C960)</f>
        <v>7</v>
      </c>
      <c r="E960" s="48">
        <v>42109</v>
      </c>
      <c r="F960" s="48"/>
      <c r="G960" s="48"/>
      <c r="H960" s="48"/>
      <c r="I960" s="48"/>
      <c r="J960" s="51"/>
      <c r="K960" s="4"/>
      <c r="L960" s="15"/>
      <c r="M960" s="14">
        <f t="shared" si="99"/>
        <v>0</v>
      </c>
    </row>
    <row r="961" spans="2:14" x14ac:dyDescent="0.15">
      <c r="B961" s="71" t="s">
        <v>162</v>
      </c>
      <c r="C961" s="15">
        <v>10</v>
      </c>
      <c r="D961" s="14">
        <f>SUM(C961)</f>
        <v>10</v>
      </c>
      <c r="E961" s="48">
        <v>42110</v>
      </c>
      <c r="F961" s="48"/>
      <c r="G961" s="48"/>
      <c r="H961" s="48"/>
      <c r="I961" s="48"/>
      <c r="J961" s="51"/>
      <c r="K961" s="4"/>
      <c r="L961" s="15"/>
      <c r="M961" s="14">
        <f t="shared" si="99"/>
        <v>0</v>
      </c>
    </row>
    <row r="962" spans="2:14" x14ac:dyDescent="0.15">
      <c r="B962" s="71" t="s">
        <v>162</v>
      </c>
      <c r="C962" s="15">
        <v>4</v>
      </c>
      <c r="D962" s="14">
        <f>SUM(C962)</f>
        <v>4</v>
      </c>
      <c r="E962" s="48">
        <v>42111</v>
      </c>
      <c r="F962" s="48"/>
      <c r="G962" s="48"/>
      <c r="H962" s="48"/>
      <c r="I962" s="48"/>
      <c r="J962" s="51"/>
      <c r="K962" s="6"/>
      <c r="L962" s="15"/>
      <c r="M962" s="14">
        <f t="shared" si="99"/>
        <v>0</v>
      </c>
    </row>
    <row r="963" spans="2:14" x14ac:dyDescent="0.15">
      <c r="B963" s="71" t="s">
        <v>162</v>
      </c>
      <c r="C963" s="15">
        <v>8</v>
      </c>
      <c r="D963" s="14">
        <f>SUM(C963)</f>
        <v>8</v>
      </c>
      <c r="E963" s="48">
        <v>42112</v>
      </c>
      <c r="F963" s="48"/>
      <c r="G963" s="48"/>
      <c r="H963" s="48"/>
      <c r="I963" s="48"/>
      <c r="J963" s="51"/>
      <c r="K963" s="4"/>
      <c r="L963" s="15"/>
      <c r="M963" s="14">
        <f t="shared" si="99"/>
        <v>0</v>
      </c>
    </row>
    <row r="964" spans="2:14" x14ac:dyDescent="0.15">
      <c r="B964" s="71" t="s">
        <v>162</v>
      </c>
      <c r="C964" s="15">
        <v>20</v>
      </c>
      <c r="D964" s="14">
        <f t="shared" ref="D964:D979" si="100">SUM(C964)</f>
        <v>20</v>
      </c>
      <c r="E964" s="48">
        <v>42114</v>
      </c>
      <c r="F964" s="48"/>
      <c r="G964" s="48"/>
      <c r="H964" s="48"/>
      <c r="I964" s="48"/>
      <c r="J964" s="51"/>
      <c r="K964" s="6"/>
      <c r="L964" s="15"/>
      <c r="M964" s="14">
        <f t="shared" si="99"/>
        <v>0</v>
      </c>
    </row>
    <row r="965" spans="2:14" x14ac:dyDescent="0.15">
      <c r="B965" s="71" t="s">
        <v>90</v>
      </c>
      <c r="C965" s="15">
        <v>20</v>
      </c>
      <c r="D965" s="14">
        <f t="shared" si="100"/>
        <v>20</v>
      </c>
      <c r="E965" s="74">
        <v>42121</v>
      </c>
      <c r="F965" s="74"/>
      <c r="G965" s="74"/>
      <c r="H965" s="74"/>
      <c r="I965" s="74"/>
      <c r="J965" s="51"/>
      <c r="K965" s="6"/>
      <c r="L965" s="15"/>
      <c r="M965" s="14">
        <f t="shared" si="99"/>
        <v>0</v>
      </c>
    </row>
    <row r="966" spans="2:14" x14ac:dyDescent="0.15">
      <c r="B966" s="71" t="s">
        <v>91</v>
      </c>
      <c r="C966" s="15">
        <v>40</v>
      </c>
      <c r="D966" s="14">
        <f t="shared" si="100"/>
        <v>40</v>
      </c>
      <c r="E966" s="74">
        <v>42121</v>
      </c>
      <c r="F966" s="74"/>
      <c r="G966" s="74"/>
      <c r="H966" s="74"/>
      <c r="I966" s="74"/>
      <c r="J966" s="51"/>
      <c r="K966" s="4"/>
      <c r="L966" s="15"/>
      <c r="M966" s="14">
        <f t="shared" si="99"/>
        <v>0</v>
      </c>
    </row>
    <row r="967" spans="2:14" x14ac:dyDescent="0.15">
      <c r="B967" s="71" t="s">
        <v>114</v>
      </c>
      <c r="C967" s="15">
        <v>70</v>
      </c>
      <c r="D967" s="14">
        <f t="shared" si="100"/>
        <v>70</v>
      </c>
      <c r="E967" s="74">
        <v>42118</v>
      </c>
      <c r="F967" s="74"/>
      <c r="G967" s="74"/>
      <c r="H967" s="74"/>
      <c r="I967" s="74"/>
      <c r="J967" s="51"/>
      <c r="K967" s="4"/>
      <c r="L967" s="15"/>
      <c r="M967" s="14">
        <f t="shared" si="99"/>
        <v>0</v>
      </c>
    </row>
    <row r="968" spans="2:14" x14ac:dyDescent="0.15">
      <c r="B968" s="71" t="s">
        <v>162</v>
      </c>
      <c r="C968" s="15">
        <v>2</v>
      </c>
      <c r="D968" s="14">
        <f t="shared" si="100"/>
        <v>2</v>
      </c>
      <c r="E968" s="48">
        <v>42115</v>
      </c>
      <c r="F968" s="48"/>
      <c r="G968" s="48"/>
      <c r="H968" s="48"/>
      <c r="I968" s="48"/>
      <c r="J968" s="51"/>
      <c r="K968" s="4"/>
      <c r="L968" s="15"/>
      <c r="M968" s="14">
        <f t="shared" si="99"/>
        <v>0</v>
      </c>
    </row>
    <row r="969" spans="2:14" x14ac:dyDescent="0.15">
      <c r="B969" s="71" t="s">
        <v>162</v>
      </c>
      <c r="C969" s="15">
        <v>8</v>
      </c>
      <c r="D969" s="14">
        <f t="shared" si="100"/>
        <v>8</v>
      </c>
      <c r="E969" s="48">
        <v>42116</v>
      </c>
      <c r="F969" s="48"/>
      <c r="G969" s="48"/>
      <c r="H969" s="48"/>
      <c r="I969" s="48"/>
      <c r="J969" s="51"/>
      <c r="K969" s="4"/>
      <c r="L969" s="15"/>
      <c r="M969" s="14">
        <f>SUM(L969:L969)</f>
        <v>0</v>
      </c>
    </row>
    <row r="970" spans="2:14" x14ac:dyDescent="0.15">
      <c r="B970" s="71" t="s">
        <v>162</v>
      </c>
      <c r="C970" s="15">
        <v>6</v>
      </c>
      <c r="D970" s="14">
        <f t="shared" si="100"/>
        <v>6</v>
      </c>
      <c r="E970" s="48">
        <v>42117</v>
      </c>
      <c r="F970" s="48"/>
      <c r="G970" s="48"/>
      <c r="H970" s="48"/>
      <c r="I970" s="48"/>
      <c r="J970" s="51"/>
      <c r="K970" s="6"/>
      <c r="L970" s="15"/>
      <c r="M970" s="14">
        <f>SUM(L970)</f>
        <v>0</v>
      </c>
      <c r="N970" s="75"/>
    </row>
    <row r="971" spans="2:14" x14ac:dyDescent="0.15">
      <c r="B971" s="71" t="s">
        <v>162</v>
      </c>
      <c r="C971" s="15">
        <v>13</v>
      </c>
      <c r="D971" s="14">
        <f t="shared" si="100"/>
        <v>13</v>
      </c>
      <c r="E971" s="48">
        <v>42118</v>
      </c>
      <c r="F971" s="48"/>
      <c r="G971" s="48"/>
      <c r="H971" s="48"/>
      <c r="I971" s="48"/>
      <c r="J971" s="51"/>
      <c r="K971" s="6"/>
      <c r="L971" s="15"/>
      <c r="M971" s="14">
        <f>SUM(L971)</f>
        <v>0</v>
      </c>
      <c r="N971" s="75"/>
    </row>
    <row r="972" spans="2:14" x14ac:dyDescent="0.15">
      <c r="B972" s="71" t="s">
        <v>162</v>
      </c>
      <c r="C972" s="15">
        <v>12</v>
      </c>
      <c r="D972" s="14">
        <f t="shared" si="100"/>
        <v>12</v>
      </c>
      <c r="E972" s="48">
        <v>42119</v>
      </c>
      <c r="F972" s="48"/>
      <c r="G972" s="48"/>
      <c r="H972" s="48"/>
      <c r="I972" s="48"/>
      <c r="J972" s="51"/>
      <c r="K972" s="4"/>
      <c r="L972" s="15"/>
      <c r="M972" s="14">
        <f>SUM(L972:L972)</f>
        <v>0</v>
      </c>
      <c r="N972" s="75"/>
    </row>
    <row r="973" spans="2:14" x14ac:dyDescent="0.15">
      <c r="B973" s="71" t="s">
        <v>162</v>
      </c>
      <c r="C973" s="15">
        <v>29</v>
      </c>
      <c r="D973" s="14">
        <f t="shared" si="100"/>
        <v>29</v>
      </c>
      <c r="E973" s="48">
        <v>42121</v>
      </c>
      <c r="F973" s="48"/>
      <c r="G973" s="48"/>
      <c r="H973" s="48"/>
      <c r="I973" s="48"/>
      <c r="J973" s="51"/>
      <c r="K973" s="6"/>
      <c r="L973" s="15"/>
      <c r="M973" s="14">
        <f>SUM(L973)</f>
        <v>0</v>
      </c>
      <c r="N973" s="75"/>
    </row>
    <row r="974" spans="2:14" x14ac:dyDescent="0.15">
      <c r="B974" s="71" t="s">
        <v>162</v>
      </c>
      <c r="C974" s="15">
        <v>19</v>
      </c>
      <c r="D974" s="14">
        <f t="shared" si="100"/>
        <v>19</v>
      </c>
      <c r="E974" s="48">
        <v>42122</v>
      </c>
      <c r="F974" s="48"/>
      <c r="G974" s="48"/>
      <c r="H974" s="48"/>
      <c r="I974" s="48"/>
      <c r="J974" s="51"/>
      <c r="K974" s="6"/>
      <c r="L974" s="15"/>
      <c r="M974" s="14">
        <f>SUM(L974)</f>
        <v>0</v>
      </c>
      <c r="N974" s="75"/>
    </row>
    <row r="975" spans="2:14" x14ac:dyDescent="0.15">
      <c r="B975" s="71" t="s">
        <v>162</v>
      </c>
      <c r="C975" s="15">
        <v>44</v>
      </c>
      <c r="D975" s="14">
        <f t="shared" si="100"/>
        <v>44</v>
      </c>
      <c r="E975" s="48">
        <v>42124</v>
      </c>
      <c r="F975" s="48"/>
      <c r="G975" s="48"/>
      <c r="H975" s="48"/>
      <c r="I975" s="48"/>
      <c r="J975" s="51"/>
      <c r="K975" s="4"/>
      <c r="L975" s="15"/>
      <c r="M975" s="14">
        <f>SUM(L975:L975)</f>
        <v>0</v>
      </c>
      <c r="N975" s="75"/>
    </row>
    <row r="976" spans="2:14" x14ac:dyDescent="0.15">
      <c r="B976" s="4" t="s">
        <v>219</v>
      </c>
      <c r="C976" s="15">
        <v>37</v>
      </c>
      <c r="D976" s="14">
        <f t="shared" si="100"/>
        <v>37</v>
      </c>
      <c r="E976" s="74">
        <v>42129</v>
      </c>
      <c r="F976" s="74"/>
      <c r="G976" s="74"/>
      <c r="H976" s="74"/>
      <c r="I976" s="74"/>
      <c r="J976" s="51"/>
      <c r="K976" s="4"/>
      <c r="L976" s="15"/>
      <c r="M976" s="14">
        <f>SUM(L976)</f>
        <v>0</v>
      </c>
      <c r="N976" s="75"/>
    </row>
    <row r="977" spans="1:15" x14ac:dyDescent="0.15">
      <c r="B977" s="4" t="s">
        <v>220</v>
      </c>
      <c r="C977" s="15">
        <v>3</v>
      </c>
      <c r="D977" s="14">
        <f t="shared" si="100"/>
        <v>3</v>
      </c>
      <c r="E977" s="74">
        <v>42130</v>
      </c>
      <c r="F977" s="74"/>
      <c r="G977" s="74"/>
      <c r="H977" s="74"/>
      <c r="I977" s="74"/>
      <c r="J977" s="51"/>
      <c r="K977" s="4"/>
      <c r="L977" s="15"/>
      <c r="M977" s="14">
        <f>SUM(L977:L977)</f>
        <v>0</v>
      </c>
      <c r="N977" s="74"/>
    </row>
    <row r="978" spans="1:15" x14ac:dyDescent="0.15">
      <c r="B978" s="4" t="s">
        <v>221</v>
      </c>
      <c r="C978" s="15">
        <v>50</v>
      </c>
      <c r="D978" s="14">
        <f t="shared" si="100"/>
        <v>50</v>
      </c>
      <c r="E978" s="74">
        <v>42128</v>
      </c>
      <c r="F978" s="74"/>
      <c r="G978" s="74"/>
      <c r="H978" s="74"/>
      <c r="I978" s="74"/>
      <c r="J978" s="51"/>
      <c r="K978" s="6"/>
      <c r="L978" s="15"/>
      <c r="M978" s="14">
        <f>SUM(L978:L978)</f>
        <v>0</v>
      </c>
      <c r="N978" s="75"/>
    </row>
    <row r="979" spans="1:15" x14ac:dyDescent="0.15">
      <c r="B979" s="4" t="s">
        <v>162</v>
      </c>
      <c r="C979" s="15">
        <v>47</v>
      </c>
      <c r="D979" s="14">
        <f t="shared" si="100"/>
        <v>47</v>
      </c>
      <c r="E979" s="48">
        <v>42125</v>
      </c>
      <c r="F979" s="48"/>
      <c r="G979" s="48"/>
      <c r="H979" s="48"/>
      <c r="I979" s="48"/>
      <c r="J979" s="51"/>
      <c r="K979" s="4"/>
      <c r="L979" s="15"/>
      <c r="M979" s="14">
        <f>SUM(L979)</f>
        <v>0</v>
      </c>
      <c r="N979" s="75"/>
    </row>
    <row r="980" spans="1:15" x14ac:dyDescent="0.15">
      <c r="B980" s="4" t="s">
        <v>162</v>
      </c>
      <c r="C980" s="15">
        <v>32</v>
      </c>
      <c r="D980" s="14">
        <f>SUM(C980)</f>
        <v>32</v>
      </c>
      <c r="E980" s="48">
        <v>42126</v>
      </c>
      <c r="F980" s="48"/>
      <c r="G980" s="48"/>
      <c r="H980" s="48"/>
      <c r="I980" s="48"/>
      <c r="J980" s="51"/>
      <c r="K980" s="4"/>
      <c r="L980" s="15"/>
      <c r="M980" s="14">
        <f>SUM(L980:L980)</f>
        <v>0</v>
      </c>
      <c r="N980" s="75"/>
    </row>
    <row r="981" spans="1:15" ht="14.25" thickBot="1" x14ac:dyDescent="0.2">
      <c r="B981" s="4" t="s">
        <v>162</v>
      </c>
      <c r="C981" s="15">
        <v>45</v>
      </c>
      <c r="D981" s="14">
        <f>SUM(C981)</f>
        <v>45</v>
      </c>
      <c r="E981" s="48">
        <v>42128</v>
      </c>
      <c r="F981" s="48"/>
      <c r="G981" s="48"/>
      <c r="H981" s="48"/>
      <c r="I981" s="48"/>
      <c r="J981" s="51"/>
      <c r="K981" s="4"/>
      <c r="L981" s="15"/>
      <c r="M981" s="14">
        <f>SUM(L981)</f>
        <v>0</v>
      </c>
      <c r="N981" s="75"/>
    </row>
    <row r="982" spans="1:15" ht="14.25" thickBot="1" x14ac:dyDescent="0.2">
      <c r="B982" s="3" t="s">
        <v>5</v>
      </c>
      <c r="C982" s="16">
        <f>SUM(C958:C981)</f>
        <v>552</v>
      </c>
      <c r="D982" s="17">
        <f>SUM(D958:D981)</f>
        <v>552</v>
      </c>
      <c r="K982" s="3" t="s">
        <v>5</v>
      </c>
      <c r="L982" s="16">
        <f>SUM(L958:L981)</f>
        <v>0</v>
      </c>
      <c r="M982" s="17">
        <f>SUM(M958:M981)</f>
        <v>0</v>
      </c>
    </row>
    <row r="983" spans="1:15" ht="14.25" thickBot="1" x14ac:dyDescent="0.2">
      <c r="B983" s="18" t="s">
        <v>6</v>
      </c>
      <c r="C983" s="19">
        <f>C957-C982</f>
        <v>132</v>
      </c>
      <c r="D983" s="13">
        <f>D957-D982</f>
        <v>132</v>
      </c>
      <c r="K983" s="18" t="s">
        <v>6</v>
      </c>
      <c r="L983" s="19">
        <f>L957-L982</f>
        <v>563</v>
      </c>
      <c r="M983" s="13">
        <f>M957-M982</f>
        <v>563</v>
      </c>
    </row>
    <row r="985" spans="1:15" ht="18" thickBot="1" x14ac:dyDescent="0.25">
      <c r="A985" s="27" t="s">
        <v>8</v>
      </c>
      <c r="B985" s="28"/>
      <c r="C985" s="28"/>
      <c r="D985" s="28"/>
      <c r="J985" s="63" t="s">
        <v>192</v>
      </c>
      <c r="K985" s="64"/>
      <c r="L985" s="64"/>
      <c r="M985" s="64"/>
    </row>
    <row r="986" spans="1:15" ht="14.25" thickBot="1" x14ac:dyDescent="0.2">
      <c r="B986" s="2"/>
      <c r="C986" s="3" t="s">
        <v>0</v>
      </c>
      <c r="D986" s="2" t="s">
        <v>1</v>
      </c>
      <c r="K986" s="141"/>
      <c r="L986" s="142" t="s">
        <v>0</v>
      </c>
      <c r="M986" s="141" t="s">
        <v>1</v>
      </c>
    </row>
    <row r="987" spans="1:15" x14ac:dyDescent="0.15">
      <c r="B987" s="43" t="s">
        <v>26</v>
      </c>
      <c r="C987" s="38">
        <f>C983</f>
        <v>132</v>
      </c>
      <c r="D987" s="39">
        <f t="shared" ref="D987:D997" si="101">SUM(C987:C987)</f>
        <v>132</v>
      </c>
      <c r="K987" s="143" t="s">
        <v>26</v>
      </c>
      <c r="L987" s="144">
        <f>L983</f>
        <v>563</v>
      </c>
      <c r="M987" s="145">
        <f t="shared" ref="M987:M997" si="102">SUM(L987:L987)</f>
        <v>563</v>
      </c>
    </row>
    <row r="988" spans="1:15" x14ac:dyDescent="0.15">
      <c r="B988" s="6" t="s">
        <v>3</v>
      </c>
      <c r="C988" s="7">
        <v>200</v>
      </c>
      <c r="D988" s="5">
        <f t="shared" si="101"/>
        <v>200</v>
      </c>
      <c r="E988" s="74">
        <v>42132</v>
      </c>
      <c r="F988" s="74"/>
      <c r="G988" s="74"/>
      <c r="H988" s="74"/>
      <c r="I988" s="74"/>
      <c r="K988" s="146" t="s">
        <v>3</v>
      </c>
      <c r="L988" s="147"/>
      <c r="M988" s="148">
        <f t="shared" si="102"/>
        <v>0</v>
      </c>
    </row>
    <row r="989" spans="1:15" x14ac:dyDescent="0.15">
      <c r="B989" s="6" t="s">
        <v>3</v>
      </c>
      <c r="C989" s="7">
        <v>200</v>
      </c>
      <c r="D989" s="5">
        <f t="shared" si="101"/>
        <v>200</v>
      </c>
      <c r="E989" s="74">
        <v>42136</v>
      </c>
      <c r="F989" s="74"/>
      <c r="G989" s="74"/>
      <c r="H989" s="74"/>
      <c r="I989" s="74"/>
      <c r="K989" s="146" t="s">
        <v>3</v>
      </c>
      <c r="L989" s="147"/>
      <c r="M989" s="148">
        <f t="shared" si="102"/>
        <v>0</v>
      </c>
      <c r="N989" s="74"/>
      <c r="O989" s="75"/>
    </row>
    <row r="990" spans="1:15" x14ac:dyDescent="0.15">
      <c r="B990" s="6" t="s">
        <v>3</v>
      </c>
      <c r="C990" s="7"/>
      <c r="D990" s="5">
        <f t="shared" si="101"/>
        <v>0</v>
      </c>
      <c r="E990" s="74"/>
      <c r="F990" s="74"/>
      <c r="G990" s="74"/>
      <c r="H990" s="74"/>
      <c r="I990" s="74"/>
      <c r="K990" s="146" t="s">
        <v>3</v>
      </c>
      <c r="L990" s="147"/>
      <c r="M990" s="148">
        <f t="shared" si="102"/>
        <v>0</v>
      </c>
      <c r="N990" s="74"/>
    </row>
    <row r="991" spans="1:15" x14ac:dyDescent="0.15">
      <c r="B991" s="6" t="s">
        <v>3</v>
      </c>
      <c r="C991" s="7"/>
      <c r="D991" s="5">
        <f t="shared" si="101"/>
        <v>0</v>
      </c>
      <c r="K991" s="146" t="s">
        <v>3</v>
      </c>
      <c r="L991" s="147"/>
      <c r="M991" s="148">
        <f t="shared" si="102"/>
        <v>0</v>
      </c>
    </row>
    <row r="992" spans="1:15" x14ac:dyDescent="0.15">
      <c r="B992" s="6" t="s">
        <v>3</v>
      </c>
      <c r="C992" s="7"/>
      <c r="D992" s="5">
        <f t="shared" si="101"/>
        <v>0</v>
      </c>
      <c r="K992" s="146" t="s">
        <v>3</v>
      </c>
      <c r="L992" s="147"/>
      <c r="M992" s="148">
        <f t="shared" si="102"/>
        <v>0</v>
      </c>
    </row>
    <row r="993" spans="2:14" x14ac:dyDescent="0.15">
      <c r="B993" s="6" t="s">
        <v>3</v>
      </c>
      <c r="C993" s="7"/>
      <c r="D993" s="5">
        <f t="shared" si="101"/>
        <v>0</v>
      </c>
      <c r="K993" s="146" t="s">
        <v>3</v>
      </c>
      <c r="L993" s="147"/>
      <c r="M993" s="148">
        <f t="shared" si="102"/>
        <v>0</v>
      </c>
    </row>
    <row r="994" spans="2:14" x14ac:dyDescent="0.15">
      <c r="B994" s="6" t="s">
        <v>3</v>
      </c>
      <c r="C994" s="54"/>
      <c r="D994" s="5">
        <f t="shared" si="101"/>
        <v>0</v>
      </c>
      <c r="K994" s="146" t="s">
        <v>3</v>
      </c>
      <c r="L994" s="147"/>
      <c r="M994" s="148">
        <f t="shared" si="102"/>
        <v>0</v>
      </c>
    </row>
    <row r="995" spans="2:14" x14ac:dyDescent="0.15">
      <c r="B995" s="6" t="s">
        <v>3</v>
      </c>
      <c r="C995" s="54"/>
      <c r="D995" s="5">
        <f t="shared" si="101"/>
        <v>0</v>
      </c>
      <c r="K995" s="146" t="s">
        <v>3</v>
      </c>
      <c r="L995" s="147"/>
      <c r="M995" s="148">
        <f t="shared" si="102"/>
        <v>0</v>
      </c>
    </row>
    <row r="996" spans="2:14" x14ac:dyDescent="0.15">
      <c r="B996" s="6" t="s">
        <v>3</v>
      </c>
      <c r="C996" s="54"/>
      <c r="D996" s="5">
        <f t="shared" si="101"/>
        <v>0</v>
      </c>
      <c r="K996" s="146" t="s">
        <v>3</v>
      </c>
      <c r="L996" s="147"/>
      <c r="M996" s="148">
        <f t="shared" si="102"/>
        <v>0</v>
      </c>
    </row>
    <row r="997" spans="2:14" ht="14.25" thickBot="1" x14ac:dyDescent="0.2">
      <c r="B997" s="9" t="s">
        <v>3</v>
      </c>
      <c r="C997" s="101"/>
      <c r="D997" s="5">
        <f t="shared" si="101"/>
        <v>0</v>
      </c>
      <c r="K997" s="149" t="s">
        <v>3</v>
      </c>
      <c r="L997" s="150"/>
      <c r="M997" s="148">
        <f t="shared" si="102"/>
        <v>0</v>
      </c>
    </row>
    <row r="998" spans="2:14" ht="14.25" thickBot="1" x14ac:dyDescent="0.2">
      <c r="B998" s="11" t="s">
        <v>4</v>
      </c>
      <c r="C998" s="12">
        <f>SUM(C987:C997)</f>
        <v>532</v>
      </c>
      <c r="D998" s="13">
        <f>SUM(D987:D997)</f>
        <v>532</v>
      </c>
      <c r="K998" s="151" t="s">
        <v>4</v>
      </c>
      <c r="L998" s="152">
        <f>SUM(L987:L997)</f>
        <v>563</v>
      </c>
      <c r="M998" s="153">
        <f>SUM(M987:M997)</f>
        <v>563</v>
      </c>
    </row>
    <row r="999" spans="2:14" x14ac:dyDescent="0.15">
      <c r="B999" s="71" t="s">
        <v>162</v>
      </c>
      <c r="C999" s="15">
        <v>15</v>
      </c>
      <c r="D999" s="14">
        <f>C999</f>
        <v>15</v>
      </c>
      <c r="E999" s="48">
        <v>42129</v>
      </c>
      <c r="F999" s="48"/>
      <c r="G999" s="48"/>
      <c r="H999" s="48"/>
      <c r="I999" s="48"/>
      <c r="K999" s="154" t="s">
        <v>9</v>
      </c>
      <c r="L999" s="155">
        <v>200</v>
      </c>
      <c r="M999" s="156">
        <f t="shared" ref="M999:M1009" si="103">SUM(L999:L999)</f>
        <v>200</v>
      </c>
      <c r="N999" s="74">
        <v>42132</v>
      </c>
    </row>
    <row r="1000" spans="2:14" x14ac:dyDescent="0.15">
      <c r="B1000" s="71" t="s">
        <v>222</v>
      </c>
      <c r="C1000" s="15">
        <v>40</v>
      </c>
      <c r="D1000" s="14">
        <f>SUM(C1000)</f>
        <v>40</v>
      </c>
      <c r="E1000" s="74">
        <v>42138</v>
      </c>
      <c r="F1000" s="74"/>
      <c r="G1000" s="74"/>
      <c r="H1000" s="74"/>
      <c r="I1000" s="74"/>
      <c r="J1000" s="51"/>
      <c r="K1000" s="154" t="s">
        <v>9</v>
      </c>
      <c r="L1000" s="157">
        <v>200</v>
      </c>
      <c r="M1000" s="156">
        <f t="shared" si="103"/>
        <v>200</v>
      </c>
      <c r="N1000" s="74">
        <v>42136</v>
      </c>
    </row>
    <row r="1001" spans="2:14" x14ac:dyDescent="0.15">
      <c r="B1001" s="71" t="s">
        <v>223</v>
      </c>
      <c r="C1001" s="15">
        <v>70</v>
      </c>
      <c r="D1001" s="14">
        <f>SUM(C1001)</f>
        <v>70</v>
      </c>
      <c r="E1001" s="74">
        <v>42135</v>
      </c>
      <c r="F1001" s="74"/>
      <c r="G1001" s="74"/>
      <c r="H1001" s="74"/>
      <c r="I1001" s="74"/>
      <c r="J1001" s="51"/>
      <c r="K1001" s="154" t="s">
        <v>9</v>
      </c>
      <c r="L1001" s="157">
        <v>163</v>
      </c>
      <c r="M1001" s="156">
        <f t="shared" si="103"/>
        <v>163</v>
      </c>
      <c r="N1001" s="74">
        <v>42140</v>
      </c>
    </row>
    <row r="1002" spans="2:14" x14ac:dyDescent="0.15">
      <c r="B1002" s="71" t="s">
        <v>162</v>
      </c>
      <c r="C1002" s="15">
        <v>48</v>
      </c>
      <c r="D1002" s="14">
        <f>SUM(C1002)</f>
        <v>48</v>
      </c>
      <c r="E1002" s="74">
        <v>42131</v>
      </c>
      <c r="F1002" s="74"/>
      <c r="G1002" s="74"/>
      <c r="H1002" s="74"/>
      <c r="I1002" s="74"/>
      <c r="J1002" s="51"/>
      <c r="K1002" s="154"/>
      <c r="L1002" s="157"/>
      <c r="M1002" s="156">
        <f t="shared" si="103"/>
        <v>0</v>
      </c>
    </row>
    <row r="1003" spans="2:14" x14ac:dyDescent="0.15">
      <c r="B1003" s="71" t="s">
        <v>162</v>
      </c>
      <c r="C1003" s="15">
        <v>24</v>
      </c>
      <c r="D1003" s="14">
        <f>SUM(C1003)</f>
        <v>24</v>
      </c>
      <c r="E1003" s="48">
        <v>42132</v>
      </c>
      <c r="F1003" s="48"/>
      <c r="G1003" s="48"/>
      <c r="H1003" s="48"/>
      <c r="I1003" s="48"/>
      <c r="J1003" s="51"/>
      <c r="K1003" s="146"/>
      <c r="L1003" s="157"/>
      <c r="M1003" s="156">
        <f t="shared" si="103"/>
        <v>0</v>
      </c>
    </row>
    <row r="1004" spans="2:14" x14ac:dyDescent="0.15">
      <c r="B1004" s="71" t="s">
        <v>162</v>
      </c>
      <c r="C1004" s="15">
        <v>23</v>
      </c>
      <c r="D1004" s="14">
        <f>SUM(C1004)</f>
        <v>23</v>
      </c>
      <c r="E1004" s="48">
        <v>42133</v>
      </c>
      <c r="F1004" s="48"/>
      <c r="G1004" s="48"/>
      <c r="H1004" s="48"/>
      <c r="I1004" s="48"/>
      <c r="J1004" s="51"/>
      <c r="K1004" s="154"/>
      <c r="L1004" s="157"/>
      <c r="M1004" s="156">
        <f t="shared" si="103"/>
        <v>0</v>
      </c>
    </row>
    <row r="1005" spans="2:14" x14ac:dyDescent="0.15">
      <c r="B1005" s="71" t="s">
        <v>162</v>
      </c>
      <c r="C1005" s="15">
        <v>49</v>
      </c>
      <c r="D1005" s="14">
        <f t="shared" ref="D1005:D1020" si="104">SUM(C1005)</f>
        <v>49</v>
      </c>
      <c r="E1005" s="48">
        <v>42135</v>
      </c>
      <c r="F1005" s="48"/>
      <c r="G1005" s="48"/>
      <c r="H1005" s="48"/>
      <c r="I1005" s="48"/>
      <c r="J1005" s="51"/>
      <c r="K1005" s="146"/>
      <c r="L1005" s="157"/>
      <c r="M1005" s="156">
        <f t="shared" si="103"/>
        <v>0</v>
      </c>
    </row>
    <row r="1006" spans="2:14" x14ac:dyDescent="0.15">
      <c r="B1006" s="71" t="s">
        <v>225</v>
      </c>
      <c r="C1006" s="15">
        <v>16</v>
      </c>
      <c r="D1006" s="14">
        <f t="shared" si="104"/>
        <v>16</v>
      </c>
      <c r="E1006" s="48">
        <v>42136</v>
      </c>
      <c r="F1006" s="48"/>
      <c r="G1006" s="48"/>
      <c r="H1006" s="48"/>
      <c r="I1006" s="48"/>
      <c r="J1006" s="51"/>
      <c r="K1006" s="146"/>
      <c r="L1006" s="157"/>
      <c r="M1006" s="156">
        <f t="shared" si="103"/>
        <v>0</v>
      </c>
    </row>
    <row r="1007" spans="2:14" x14ac:dyDescent="0.15">
      <c r="B1007" s="71" t="s">
        <v>224</v>
      </c>
      <c r="C1007" s="15">
        <v>-1</v>
      </c>
      <c r="D1007" s="14">
        <f t="shared" si="104"/>
        <v>-1</v>
      </c>
      <c r="E1007" s="48">
        <v>42137</v>
      </c>
      <c r="F1007" s="48"/>
      <c r="G1007" s="48"/>
      <c r="H1007" s="48"/>
      <c r="I1007" s="48"/>
      <c r="J1007" s="51"/>
      <c r="K1007" s="154"/>
      <c r="L1007" s="157"/>
      <c r="M1007" s="156">
        <f t="shared" si="103"/>
        <v>0</v>
      </c>
    </row>
    <row r="1008" spans="2:14" x14ac:dyDescent="0.15">
      <c r="B1008" s="71" t="s">
        <v>114</v>
      </c>
      <c r="C1008" s="15">
        <v>60</v>
      </c>
      <c r="D1008" s="14">
        <f t="shared" si="104"/>
        <v>60</v>
      </c>
      <c r="E1008" s="74">
        <v>42139</v>
      </c>
      <c r="F1008" s="74"/>
      <c r="G1008" s="74"/>
      <c r="H1008" s="74"/>
      <c r="I1008" s="74"/>
      <c r="J1008" s="51"/>
      <c r="K1008" s="154"/>
      <c r="L1008" s="157"/>
      <c r="M1008" s="156">
        <f t="shared" si="103"/>
        <v>0</v>
      </c>
    </row>
    <row r="1009" spans="2:14" x14ac:dyDescent="0.15">
      <c r="B1009" s="4"/>
      <c r="C1009" s="15"/>
      <c r="D1009" s="14">
        <f t="shared" si="104"/>
        <v>0</v>
      </c>
      <c r="E1009" s="74"/>
      <c r="F1009" s="74"/>
      <c r="G1009" s="74"/>
      <c r="H1009" s="74"/>
      <c r="I1009" s="74"/>
      <c r="J1009" s="51"/>
      <c r="K1009" s="154"/>
      <c r="L1009" s="157"/>
      <c r="M1009" s="156">
        <f t="shared" si="103"/>
        <v>0</v>
      </c>
    </row>
    <row r="1010" spans="2:14" x14ac:dyDescent="0.15">
      <c r="B1010" s="71" t="s">
        <v>162</v>
      </c>
      <c r="C1010" s="15">
        <v>8</v>
      </c>
      <c r="D1010" s="14">
        <f t="shared" si="104"/>
        <v>8</v>
      </c>
      <c r="E1010" s="74">
        <v>42137</v>
      </c>
      <c r="F1010" s="74"/>
      <c r="G1010" s="74"/>
      <c r="H1010" s="74"/>
      <c r="I1010" s="74"/>
      <c r="J1010" s="51"/>
      <c r="K1010" s="154"/>
      <c r="L1010" s="157"/>
      <c r="M1010" s="156">
        <f>SUM(L1010:L1010)</f>
        <v>0</v>
      </c>
    </row>
    <row r="1011" spans="2:14" x14ac:dyDescent="0.15">
      <c r="B1011" s="71" t="s">
        <v>162</v>
      </c>
      <c r="C1011" s="15">
        <v>31</v>
      </c>
      <c r="D1011" s="14">
        <f t="shared" si="104"/>
        <v>31</v>
      </c>
      <c r="E1011" s="74">
        <v>42138</v>
      </c>
      <c r="F1011" s="74"/>
      <c r="G1011" s="74"/>
      <c r="H1011" s="74"/>
      <c r="I1011" s="74"/>
      <c r="J1011" s="51"/>
      <c r="K1011" s="146"/>
      <c r="L1011" s="157"/>
      <c r="M1011" s="156">
        <f>SUM(L1011)</f>
        <v>0</v>
      </c>
      <c r="N1011" s="75"/>
    </row>
    <row r="1012" spans="2:14" x14ac:dyDescent="0.15">
      <c r="B1012" s="4" t="s">
        <v>190</v>
      </c>
      <c r="C1012" s="15">
        <v>3</v>
      </c>
      <c r="D1012" s="14">
        <f t="shared" si="104"/>
        <v>3</v>
      </c>
      <c r="E1012" s="74">
        <v>42140</v>
      </c>
      <c r="F1012" s="74"/>
      <c r="G1012" s="74"/>
      <c r="H1012" s="74"/>
      <c r="I1012" s="74"/>
      <c r="J1012" s="51"/>
      <c r="K1012" s="146"/>
      <c r="L1012" s="157"/>
      <c r="M1012" s="156">
        <f>SUM(L1012)</f>
        <v>0</v>
      </c>
      <c r="N1012" s="75"/>
    </row>
    <row r="1013" spans="2:14" x14ac:dyDescent="0.15">
      <c r="B1013" s="4"/>
      <c r="C1013" s="15"/>
      <c r="D1013" s="14">
        <f t="shared" si="104"/>
        <v>0</v>
      </c>
      <c r="E1013" s="74"/>
      <c r="F1013" s="74"/>
      <c r="G1013" s="74"/>
      <c r="H1013" s="74"/>
      <c r="I1013" s="74"/>
      <c r="J1013" s="51"/>
      <c r="K1013" s="154"/>
      <c r="L1013" s="157"/>
      <c r="M1013" s="156">
        <f>SUM(L1013:L1013)</f>
        <v>0</v>
      </c>
      <c r="N1013" s="75"/>
    </row>
    <row r="1014" spans="2:14" x14ac:dyDescent="0.15">
      <c r="B1014" s="4"/>
      <c r="C1014" s="15"/>
      <c r="D1014" s="14">
        <f t="shared" si="104"/>
        <v>0</v>
      </c>
      <c r="J1014" s="51"/>
      <c r="K1014" s="146"/>
      <c r="L1014" s="157"/>
      <c r="M1014" s="156">
        <f>SUM(L1014)</f>
        <v>0</v>
      </c>
      <c r="N1014" s="75"/>
    </row>
    <row r="1015" spans="2:14" x14ac:dyDescent="0.15">
      <c r="B1015" s="4"/>
      <c r="C1015" s="15"/>
      <c r="D1015" s="14">
        <f t="shared" si="104"/>
        <v>0</v>
      </c>
      <c r="J1015" s="51"/>
      <c r="K1015" s="146"/>
      <c r="L1015" s="157"/>
      <c r="M1015" s="156">
        <f>SUM(L1015)</f>
        <v>0</v>
      </c>
      <c r="N1015" s="75"/>
    </row>
    <row r="1016" spans="2:14" x14ac:dyDescent="0.15">
      <c r="B1016" s="4"/>
      <c r="C1016" s="15"/>
      <c r="D1016" s="14">
        <f t="shared" si="104"/>
        <v>0</v>
      </c>
      <c r="J1016" s="51"/>
      <c r="K1016" s="154"/>
      <c r="L1016" s="157"/>
      <c r="M1016" s="156">
        <f>SUM(L1016:L1016)</f>
        <v>0</v>
      </c>
      <c r="N1016" s="75"/>
    </row>
    <row r="1017" spans="2:14" x14ac:dyDescent="0.15">
      <c r="B1017" s="67"/>
      <c r="C1017" s="15"/>
      <c r="D1017" s="14">
        <f t="shared" si="104"/>
        <v>0</v>
      </c>
      <c r="J1017" s="51"/>
      <c r="K1017" s="154"/>
      <c r="L1017" s="157"/>
      <c r="M1017" s="156">
        <f>SUM(L1017)</f>
        <v>0</v>
      </c>
      <c r="N1017" s="75"/>
    </row>
    <row r="1018" spans="2:14" x14ac:dyDescent="0.15">
      <c r="B1018" s="4"/>
      <c r="C1018" s="15"/>
      <c r="D1018" s="14">
        <f t="shared" si="104"/>
        <v>0</v>
      </c>
      <c r="J1018" s="51"/>
      <c r="K1018" s="146"/>
      <c r="L1018" s="157"/>
      <c r="M1018" s="156">
        <f>SUM(L1018:L1018)</f>
        <v>0</v>
      </c>
      <c r="N1018" s="75"/>
    </row>
    <row r="1019" spans="2:14" x14ac:dyDescent="0.15">
      <c r="B1019" s="4"/>
      <c r="C1019" s="15"/>
      <c r="D1019" s="14">
        <f t="shared" si="104"/>
        <v>0</v>
      </c>
      <c r="J1019" s="51"/>
      <c r="K1019" s="154"/>
      <c r="L1019" s="157"/>
      <c r="M1019" s="156">
        <f>SUM(L1019)</f>
        <v>0</v>
      </c>
      <c r="N1019" s="75"/>
    </row>
    <row r="1020" spans="2:14" x14ac:dyDescent="0.15">
      <c r="B1020" s="4"/>
      <c r="C1020" s="15"/>
      <c r="D1020" s="14">
        <f t="shared" si="104"/>
        <v>0</v>
      </c>
      <c r="J1020" s="51"/>
      <c r="K1020" s="154"/>
      <c r="L1020" s="157"/>
      <c r="M1020" s="156">
        <f>SUM(L1020)</f>
        <v>0</v>
      </c>
      <c r="N1020" s="74"/>
    </row>
    <row r="1021" spans="2:14" x14ac:dyDescent="0.15">
      <c r="B1021" s="4"/>
      <c r="C1021" s="15"/>
      <c r="D1021" s="14">
        <f>SUM(C1021)</f>
        <v>0</v>
      </c>
      <c r="J1021" s="51"/>
      <c r="K1021" s="154"/>
      <c r="L1021" s="157"/>
      <c r="M1021" s="156">
        <f>SUM(L1021:L1021)</f>
        <v>0</v>
      </c>
      <c r="N1021" s="74"/>
    </row>
    <row r="1022" spans="2:14" ht="14.25" thickBot="1" x14ac:dyDescent="0.2">
      <c r="B1022" s="4"/>
      <c r="C1022" s="15"/>
      <c r="D1022" s="14">
        <f>SUM(C1022)</f>
        <v>0</v>
      </c>
      <c r="J1022" s="51"/>
      <c r="K1022" s="154"/>
      <c r="L1022" s="157"/>
      <c r="M1022" s="156">
        <f>SUM(L1022:L1022)</f>
        <v>0</v>
      </c>
      <c r="N1022" s="75"/>
    </row>
    <row r="1023" spans="2:14" ht="14.25" thickBot="1" x14ac:dyDescent="0.2">
      <c r="B1023" s="3" t="s">
        <v>5</v>
      </c>
      <c r="C1023" s="16">
        <f>SUM(C999:C1022)</f>
        <v>386</v>
      </c>
      <c r="D1023" s="17">
        <f>SUM(D999:D1022)</f>
        <v>386</v>
      </c>
      <c r="K1023" s="142" t="s">
        <v>5</v>
      </c>
      <c r="L1023" s="158">
        <f>SUM(L999:L1022)</f>
        <v>563</v>
      </c>
      <c r="M1023" s="159">
        <f>SUM(M999:M1022)</f>
        <v>563</v>
      </c>
    </row>
    <row r="1024" spans="2:14" ht="14.25" thickBot="1" x14ac:dyDescent="0.2">
      <c r="B1024" s="18" t="s">
        <v>6</v>
      </c>
      <c r="C1024" s="19">
        <f>C998-C1023</f>
        <v>146</v>
      </c>
      <c r="D1024" s="13">
        <f>D998-D1023</f>
        <v>146</v>
      </c>
      <c r="K1024" s="160" t="s">
        <v>6</v>
      </c>
      <c r="L1024" s="161">
        <f>L998-L1023</f>
        <v>0</v>
      </c>
      <c r="M1024" s="153">
        <f>M998-M1023</f>
        <v>0</v>
      </c>
    </row>
    <row r="1026" spans="1:14" ht="18" thickBot="1" x14ac:dyDescent="0.25">
      <c r="A1026" s="27" t="s">
        <v>8</v>
      </c>
      <c r="B1026" s="28"/>
      <c r="C1026" s="28"/>
      <c r="D1026" s="28"/>
      <c r="J1026" s="139" t="s">
        <v>218</v>
      </c>
      <c r="K1026" s="140"/>
      <c r="L1026" s="140"/>
      <c r="M1026" s="140"/>
      <c r="N1026" s="140"/>
    </row>
    <row r="1027" spans="1:14" ht="14.25" thickBot="1" x14ac:dyDescent="0.2">
      <c r="B1027" s="2"/>
      <c r="C1027" s="3" t="s">
        <v>0</v>
      </c>
      <c r="D1027" s="2" t="s">
        <v>1</v>
      </c>
      <c r="K1027" s="2"/>
      <c r="L1027" s="3" t="s">
        <v>0</v>
      </c>
      <c r="M1027" s="2" t="s">
        <v>1</v>
      </c>
    </row>
    <row r="1028" spans="1:14" x14ac:dyDescent="0.15">
      <c r="B1028" s="43" t="s">
        <v>26</v>
      </c>
      <c r="C1028" s="38">
        <f>C1024</f>
        <v>146</v>
      </c>
      <c r="D1028" s="39">
        <f t="shared" ref="D1028:D1038" si="105">SUM(C1028:C1028)</f>
        <v>146</v>
      </c>
      <c r="K1028" s="43" t="s">
        <v>26</v>
      </c>
      <c r="L1028" s="38">
        <v>0</v>
      </c>
      <c r="M1028" s="39">
        <f t="shared" ref="M1028:M1038" si="106">SUM(L1028:L1028)</f>
        <v>0</v>
      </c>
    </row>
    <row r="1029" spans="1:14" x14ac:dyDescent="0.15">
      <c r="B1029" s="6" t="s">
        <v>3</v>
      </c>
      <c r="C1029" s="7"/>
      <c r="D1029" s="5">
        <f t="shared" si="105"/>
        <v>0</v>
      </c>
      <c r="K1029" s="6" t="s">
        <v>3</v>
      </c>
      <c r="L1029" s="7">
        <v>4000</v>
      </c>
      <c r="M1029" s="5">
        <f t="shared" si="106"/>
        <v>4000</v>
      </c>
      <c r="N1029" s="48">
        <v>42119</v>
      </c>
    </row>
    <row r="1030" spans="1:14" x14ac:dyDescent="0.15">
      <c r="B1030" s="6" t="s">
        <v>3</v>
      </c>
      <c r="C1030" s="7">
        <v>163</v>
      </c>
      <c r="D1030" s="5">
        <f t="shared" si="105"/>
        <v>163</v>
      </c>
      <c r="E1030" s="74">
        <v>42140</v>
      </c>
      <c r="F1030" s="74"/>
      <c r="G1030" s="74"/>
      <c r="H1030" s="74"/>
      <c r="I1030" s="74"/>
      <c r="K1030" s="6" t="s">
        <v>3</v>
      </c>
      <c r="L1030" s="7"/>
      <c r="M1030" s="5">
        <f t="shared" si="106"/>
        <v>0</v>
      </c>
      <c r="N1030" s="74"/>
    </row>
    <row r="1031" spans="1:14" x14ac:dyDescent="0.15">
      <c r="B1031" s="6" t="s">
        <v>3</v>
      </c>
      <c r="C1031" s="7">
        <v>200</v>
      </c>
      <c r="D1031" s="5">
        <f t="shared" si="105"/>
        <v>200</v>
      </c>
      <c r="E1031" s="74">
        <v>42144</v>
      </c>
      <c r="F1031" s="74"/>
      <c r="G1031" s="74"/>
      <c r="H1031" s="74"/>
      <c r="I1031" s="74"/>
      <c r="K1031" s="6" t="s">
        <v>3</v>
      </c>
      <c r="L1031" s="7"/>
      <c r="M1031" s="5">
        <f t="shared" si="106"/>
        <v>0</v>
      </c>
      <c r="N1031" s="74"/>
    </row>
    <row r="1032" spans="1:14" x14ac:dyDescent="0.15">
      <c r="B1032" s="6" t="s">
        <v>71</v>
      </c>
      <c r="C1032" s="7">
        <v>1</v>
      </c>
      <c r="D1032" s="5">
        <f t="shared" si="105"/>
        <v>1</v>
      </c>
      <c r="E1032" s="48">
        <v>42145</v>
      </c>
      <c r="F1032" s="48"/>
      <c r="G1032" s="48"/>
      <c r="H1032" s="48"/>
      <c r="I1032" s="48"/>
      <c r="K1032" s="6" t="s">
        <v>3</v>
      </c>
      <c r="L1032" s="7"/>
      <c r="M1032" s="5">
        <f t="shared" si="106"/>
        <v>0</v>
      </c>
    </row>
    <row r="1033" spans="1:14" x14ac:dyDescent="0.15">
      <c r="B1033" s="6" t="s">
        <v>3</v>
      </c>
      <c r="C1033" s="7">
        <v>200</v>
      </c>
      <c r="D1033" s="5">
        <f t="shared" si="105"/>
        <v>200</v>
      </c>
      <c r="E1033" s="74">
        <v>42152</v>
      </c>
      <c r="F1033" s="74"/>
      <c r="G1033" s="74"/>
      <c r="H1033" s="74"/>
      <c r="I1033" s="74"/>
      <c r="K1033" s="6" t="s">
        <v>3</v>
      </c>
      <c r="L1033" s="7"/>
      <c r="M1033" s="5">
        <f t="shared" si="106"/>
        <v>0</v>
      </c>
    </row>
    <row r="1034" spans="1:14" x14ac:dyDescent="0.15">
      <c r="B1034" s="6" t="s">
        <v>3</v>
      </c>
      <c r="C1034" s="7">
        <v>200</v>
      </c>
      <c r="D1034" s="5">
        <f t="shared" si="105"/>
        <v>200</v>
      </c>
      <c r="E1034" s="74">
        <v>42154</v>
      </c>
      <c r="F1034" s="74"/>
      <c r="G1034" s="74"/>
      <c r="H1034" s="74"/>
      <c r="I1034" s="74"/>
      <c r="K1034" s="6" t="s">
        <v>3</v>
      </c>
      <c r="L1034" s="7">
        <v>4000</v>
      </c>
      <c r="M1034" s="5">
        <f t="shared" si="106"/>
        <v>4000</v>
      </c>
      <c r="N1034" s="74">
        <v>42138</v>
      </c>
    </row>
    <row r="1035" spans="1:14" x14ac:dyDescent="0.15">
      <c r="B1035" s="6" t="s">
        <v>3</v>
      </c>
      <c r="C1035" s="7"/>
      <c r="D1035" s="5">
        <f t="shared" si="105"/>
        <v>0</v>
      </c>
      <c r="K1035" s="6" t="s">
        <v>3</v>
      </c>
      <c r="L1035" s="7"/>
      <c r="M1035" s="5">
        <f t="shared" si="106"/>
        <v>0</v>
      </c>
    </row>
    <row r="1036" spans="1:14" x14ac:dyDescent="0.15">
      <c r="B1036" s="6" t="s">
        <v>3</v>
      </c>
      <c r="C1036" s="54"/>
      <c r="D1036" s="5">
        <f t="shared" si="105"/>
        <v>0</v>
      </c>
      <c r="K1036" s="6" t="s">
        <v>3</v>
      </c>
      <c r="L1036" s="7"/>
      <c r="M1036" s="5">
        <f t="shared" si="106"/>
        <v>0</v>
      </c>
    </row>
    <row r="1037" spans="1:14" x14ac:dyDescent="0.15">
      <c r="B1037" s="6" t="s">
        <v>3</v>
      </c>
      <c r="C1037" s="54"/>
      <c r="D1037" s="5">
        <f t="shared" si="105"/>
        <v>0</v>
      </c>
      <c r="K1037" s="6" t="s">
        <v>3</v>
      </c>
      <c r="L1037" s="7"/>
      <c r="M1037" s="5">
        <f t="shared" si="106"/>
        <v>0</v>
      </c>
    </row>
    <row r="1038" spans="1:14" ht="14.25" thickBot="1" x14ac:dyDescent="0.2">
      <c r="B1038" s="9" t="s">
        <v>3</v>
      </c>
      <c r="C1038" s="101"/>
      <c r="D1038" s="5">
        <f t="shared" si="105"/>
        <v>0</v>
      </c>
      <c r="K1038" s="9" t="s">
        <v>3</v>
      </c>
      <c r="L1038" s="10"/>
      <c r="M1038" s="5">
        <f t="shared" si="106"/>
        <v>0</v>
      </c>
    </row>
    <row r="1039" spans="1:14" ht="14.25" thickBot="1" x14ac:dyDescent="0.2">
      <c r="B1039" s="11" t="s">
        <v>4</v>
      </c>
      <c r="C1039" s="12">
        <f>SUM(C1028:C1038)</f>
        <v>910</v>
      </c>
      <c r="D1039" s="13">
        <f>SUM(D1028:D1038)</f>
        <v>910</v>
      </c>
      <c r="K1039" s="11" t="s">
        <v>4</v>
      </c>
      <c r="L1039" s="12">
        <f>SUM(L1028:L1038)</f>
        <v>8000</v>
      </c>
      <c r="M1039" s="13">
        <f>SUM(M1028:M1038)</f>
        <v>8000</v>
      </c>
    </row>
    <row r="1040" spans="1:14" x14ac:dyDescent="0.15">
      <c r="B1040" s="4" t="s">
        <v>166</v>
      </c>
      <c r="C1040" s="15">
        <v>40</v>
      </c>
      <c r="D1040" s="14">
        <f t="shared" ref="D1040:D1045" si="107">SUM(C1040)</f>
        <v>40</v>
      </c>
      <c r="E1040" s="74">
        <v>42142</v>
      </c>
      <c r="F1040" s="74"/>
      <c r="G1040" s="74"/>
      <c r="H1040" s="74"/>
      <c r="I1040" s="74"/>
      <c r="K1040" s="4" t="s">
        <v>226</v>
      </c>
      <c r="L1040" s="44">
        <v>100</v>
      </c>
      <c r="M1040" s="14">
        <f t="shared" ref="M1040:M1050" si="108">SUM(L1040:L1040)</f>
        <v>100</v>
      </c>
      <c r="N1040" s="74">
        <v>42146</v>
      </c>
    </row>
    <row r="1041" spans="2:14" x14ac:dyDescent="0.15">
      <c r="B1041" s="4" t="s">
        <v>212</v>
      </c>
      <c r="C1041" s="15">
        <v>40</v>
      </c>
      <c r="D1041" s="14">
        <f t="shared" si="107"/>
        <v>40</v>
      </c>
      <c r="E1041" s="74">
        <v>42145</v>
      </c>
      <c r="F1041" s="74"/>
      <c r="G1041" s="74"/>
      <c r="H1041" s="74"/>
      <c r="I1041" s="74"/>
      <c r="J1041" s="51"/>
      <c r="K1041" s="4" t="s">
        <v>9</v>
      </c>
      <c r="L1041" s="15">
        <v>200</v>
      </c>
      <c r="M1041" s="14">
        <f t="shared" si="108"/>
        <v>200</v>
      </c>
      <c r="N1041" s="74">
        <v>42144</v>
      </c>
    </row>
    <row r="1042" spans="2:14" x14ac:dyDescent="0.15">
      <c r="B1042" s="162" t="s">
        <v>162</v>
      </c>
      <c r="C1042" s="15">
        <v>23</v>
      </c>
      <c r="D1042" s="14">
        <f t="shared" si="107"/>
        <v>23</v>
      </c>
      <c r="E1042" s="48">
        <v>42139</v>
      </c>
      <c r="F1042" s="48"/>
      <c r="G1042" s="48"/>
      <c r="H1042" s="48"/>
      <c r="I1042" s="48"/>
      <c r="J1042" s="51"/>
      <c r="K1042" s="4" t="s">
        <v>9</v>
      </c>
      <c r="L1042" s="15">
        <v>200</v>
      </c>
      <c r="M1042" s="14">
        <f t="shared" si="108"/>
        <v>200</v>
      </c>
      <c r="N1042" s="74">
        <v>42152</v>
      </c>
    </row>
    <row r="1043" spans="2:14" x14ac:dyDescent="0.15">
      <c r="B1043" s="162" t="s">
        <v>162</v>
      </c>
      <c r="C1043" s="15">
        <v>17</v>
      </c>
      <c r="D1043" s="14">
        <f t="shared" si="107"/>
        <v>17</v>
      </c>
      <c r="E1043" s="48">
        <v>42140</v>
      </c>
      <c r="F1043" s="48"/>
      <c r="G1043" s="48"/>
      <c r="H1043" s="48"/>
      <c r="I1043" s="48"/>
      <c r="J1043" s="51"/>
      <c r="K1043" s="4" t="s">
        <v>9</v>
      </c>
      <c r="L1043" s="15">
        <v>200</v>
      </c>
      <c r="M1043" s="14">
        <f t="shared" si="108"/>
        <v>200</v>
      </c>
      <c r="N1043" s="74">
        <v>42154</v>
      </c>
    </row>
    <row r="1044" spans="2:14" x14ac:dyDescent="0.15">
      <c r="B1044" s="71" t="s">
        <v>227</v>
      </c>
      <c r="C1044" s="15">
        <v>1</v>
      </c>
      <c r="D1044" s="14">
        <f t="shared" si="107"/>
        <v>1</v>
      </c>
      <c r="E1044" s="74">
        <v>42146</v>
      </c>
      <c r="F1044" s="74"/>
      <c r="G1044" s="74"/>
      <c r="H1044" s="74"/>
      <c r="I1044" s="74"/>
      <c r="J1044" s="51"/>
      <c r="K1044" s="6"/>
      <c r="L1044" s="15"/>
      <c r="M1044" s="14">
        <f t="shared" si="108"/>
        <v>0</v>
      </c>
    </row>
    <row r="1045" spans="2:14" x14ac:dyDescent="0.15">
      <c r="B1045" s="71" t="s">
        <v>77</v>
      </c>
      <c r="C1045" s="15">
        <v>40</v>
      </c>
      <c r="D1045" s="14">
        <f t="shared" si="107"/>
        <v>40</v>
      </c>
      <c r="E1045" s="74">
        <v>42144</v>
      </c>
      <c r="F1045" s="74"/>
      <c r="G1045" s="74"/>
      <c r="H1045" s="74"/>
      <c r="I1045" s="74"/>
      <c r="J1045" s="51"/>
      <c r="K1045" s="4"/>
      <c r="L1045" s="15"/>
      <c r="M1045" s="14">
        <f t="shared" si="108"/>
        <v>0</v>
      </c>
    </row>
    <row r="1046" spans="2:14" x14ac:dyDescent="0.15">
      <c r="B1046" s="71" t="s">
        <v>162</v>
      </c>
      <c r="C1046" s="15">
        <v>44</v>
      </c>
      <c r="D1046" s="14">
        <f t="shared" ref="D1046:D1061" si="109">SUM(C1046)</f>
        <v>44</v>
      </c>
      <c r="E1046" s="48">
        <v>42142</v>
      </c>
      <c r="F1046" s="48"/>
      <c r="G1046" s="48"/>
      <c r="H1046" s="48"/>
      <c r="I1046" s="48"/>
      <c r="J1046" s="51"/>
      <c r="K1046" s="6"/>
      <c r="L1046" s="15"/>
      <c r="M1046" s="14">
        <f t="shared" si="108"/>
        <v>0</v>
      </c>
    </row>
    <row r="1047" spans="2:14" x14ac:dyDescent="0.15">
      <c r="B1047" s="71" t="s">
        <v>227</v>
      </c>
      <c r="C1047" s="15">
        <v>3</v>
      </c>
      <c r="D1047" s="14">
        <f t="shared" si="109"/>
        <v>3</v>
      </c>
      <c r="E1047" s="74">
        <v>42146</v>
      </c>
      <c r="F1047" s="74"/>
      <c r="G1047" s="74"/>
      <c r="H1047" s="74"/>
      <c r="I1047" s="74"/>
      <c r="J1047" s="51"/>
      <c r="K1047" s="6"/>
      <c r="L1047" s="15"/>
      <c r="M1047" s="14">
        <f t="shared" si="108"/>
        <v>0</v>
      </c>
    </row>
    <row r="1048" spans="2:14" x14ac:dyDescent="0.15">
      <c r="B1048" s="71" t="s">
        <v>229</v>
      </c>
      <c r="C1048" s="15">
        <v>15</v>
      </c>
      <c r="D1048" s="14">
        <f t="shared" si="109"/>
        <v>15</v>
      </c>
      <c r="E1048" s="48">
        <v>42143</v>
      </c>
      <c r="F1048" s="48"/>
      <c r="G1048" s="48"/>
      <c r="H1048" s="48"/>
      <c r="I1048" s="48"/>
      <c r="J1048" s="51"/>
      <c r="K1048" s="4"/>
      <c r="L1048" s="15"/>
      <c r="M1048" s="14">
        <f t="shared" si="108"/>
        <v>0</v>
      </c>
    </row>
    <row r="1049" spans="2:14" x14ac:dyDescent="0.15">
      <c r="B1049" s="71" t="s">
        <v>228</v>
      </c>
      <c r="C1049" s="15">
        <v>20</v>
      </c>
      <c r="D1049" s="14">
        <f t="shared" si="109"/>
        <v>20</v>
      </c>
      <c r="E1049" s="74">
        <v>42149</v>
      </c>
      <c r="F1049" s="74"/>
      <c r="G1049" s="74"/>
      <c r="H1049" s="74"/>
      <c r="I1049" s="74"/>
      <c r="J1049" s="51"/>
      <c r="K1049" s="4"/>
      <c r="L1049" s="15"/>
      <c r="M1049" s="14">
        <f t="shared" si="108"/>
        <v>0</v>
      </c>
    </row>
    <row r="1050" spans="2:14" x14ac:dyDescent="0.15">
      <c r="B1050" s="4" t="s">
        <v>212</v>
      </c>
      <c r="C1050" s="15">
        <v>20</v>
      </c>
      <c r="D1050" s="14">
        <f t="shared" si="109"/>
        <v>20</v>
      </c>
      <c r="E1050" s="74">
        <v>42157</v>
      </c>
      <c r="F1050" s="74"/>
      <c r="G1050" s="74"/>
      <c r="H1050" s="74"/>
      <c r="I1050" s="74"/>
      <c r="J1050" s="51"/>
      <c r="K1050" s="4"/>
      <c r="L1050" s="15"/>
      <c r="M1050" s="14">
        <f t="shared" si="108"/>
        <v>0</v>
      </c>
    </row>
    <row r="1051" spans="2:14" x14ac:dyDescent="0.15">
      <c r="B1051" s="71" t="s">
        <v>230</v>
      </c>
      <c r="C1051" s="15">
        <v>10</v>
      </c>
      <c r="D1051" s="14">
        <f t="shared" si="109"/>
        <v>10</v>
      </c>
      <c r="E1051" s="48">
        <v>42144</v>
      </c>
      <c r="F1051" s="48"/>
      <c r="G1051" s="48"/>
      <c r="H1051" s="48"/>
      <c r="I1051" s="48"/>
      <c r="J1051" s="51"/>
      <c r="K1051" s="4"/>
      <c r="L1051" s="15"/>
      <c r="M1051" s="14">
        <f>SUM(L1051:L1051)</f>
        <v>0</v>
      </c>
    </row>
    <row r="1052" spans="2:14" x14ac:dyDescent="0.15">
      <c r="B1052" s="71" t="s">
        <v>227</v>
      </c>
      <c r="C1052" s="15">
        <v>10</v>
      </c>
      <c r="D1052" s="14">
        <f t="shared" si="109"/>
        <v>10</v>
      </c>
      <c r="E1052" s="74">
        <v>42150</v>
      </c>
      <c r="F1052" s="74"/>
      <c r="G1052" s="74"/>
      <c r="H1052" s="74"/>
      <c r="I1052" s="74"/>
      <c r="J1052" s="51"/>
      <c r="K1052" s="6"/>
      <c r="L1052" s="15"/>
      <c r="M1052" s="14">
        <f>SUM(L1052)</f>
        <v>0</v>
      </c>
      <c r="N1052" s="75"/>
    </row>
    <row r="1053" spans="2:14" x14ac:dyDescent="0.15">
      <c r="B1053" s="4" t="s">
        <v>162</v>
      </c>
      <c r="C1053" s="15">
        <v>9</v>
      </c>
      <c r="D1053" s="14">
        <f t="shared" si="109"/>
        <v>9</v>
      </c>
      <c r="E1053" s="48">
        <v>42145</v>
      </c>
      <c r="F1053" s="48"/>
      <c r="G1053" s="48"/>
      <c r="H1053" s="48"/>
      <c r="I1053" s="48"/>
      <c r="J1053" s="51"/>
      <c r="K1053" s="6"/>
      <c r="L1053" s="15"/>
      <c r="M1053" s="14">
        <f>SUM(L1053)</f>
        <v>0</v>
      </c>
      <c r="N1053" s="75"/>
    </row>
    <row r="1054" spans="2:14" x14ac:dyDescent="0.15">
      <c r="B1054" s="4" t="s">
        <v>162</v>
      </c>
      <c r="C1054" s="15">
        <v>9</v>
      </c>
      <c r="D1054" s="14">
        <f t="shared" si="109"/>
        <v>9</v>
      </c>
      <c r="E1054" s="48">
        <v>42146</v>
      </c>
      <c r="F1054" s="48"/>
      <c r="G1054" s="48"/>
      <c r="H1054" s="48"/>
      <c r="I1054" s="48"/>
      <c r="J1054" s="51"/>
      <c r="K1054" s="4"/>
      <c r="L1054" s="15"/>
      <c r="M1054" s="14">
        <f>SUM(L1054:L1054)</f>
        <v>0</v>
      </c>
      <c r="N1054" s="75"/>
    </row>
    <row r="1055" spans="2:14" x14ac:dyDescent="0.15">
      <c r="B1055" s="4" t="s">
        <v>231</v>
      </c>
      <c r="C1055" s="15">
        <v>11</v>
      </c>
      <c r="D1055" s="14">
        <f t="shared" si="109"/>
        <v>11</v>
      </c>
      <c r="E1055" s="48">
        <v>42147</v>
      </c>
      <c r="F1055" s="48"/>
      <c r="G1055" s="48"/>
      <c r="H1055" s="48"/>
      <c r="I1055" s="48"/>
      <c r="J1055" s="51"/>
      <c r="K1055" s="6"/>
      <c r="L1055" s="15"/>
      <c r="M1055" s="14">
        <f>SUM(L1055)</f>
        <v>0</v>
      </c>
      <c r="N1055" s="75"/>
    </row>
    <row r="1056" spans="2:14" x14ac:dyDescent="0.15">
      <c r="B1056" s="71" t="s">
        <v>227</v>
      </c>
      <c r="C1056" s="15">
        <v>25</v>
      </c>
      <c r="D1056" s="14">
        <f t="shared" si="109"/>
        <v>25</v>
      </c>
      <c r="E1056" s="74">
        <v>42153</v>
      </c>
      <c r="F1056" s="74"/>
      <c r="G1056" s="74"/>
      <c r="H1056" s="74"/>
      <c r="I1056" s="74"/>
      <c r="J1056" s="51"/>
      <c r="K1056" s="6"/>
      <c r="L1056" s="15"/>
      <c r="M1056" s="14">
        <f>SUM(L1056)</f>
        <v>0</v>
      </c>
      <c r="N1056" s="75"/>
    </row>
    <row r="1057" spans="1:14" x14ac:dyDescent="0.15">
      <c r="B1057" s="4" t="s">
        <v>234</v>
      </c>
      <c r="C1057" s="15">
        <v>6</v>
      </c>
      <c r="D1057" s="14">
        <f t="shared" si="109"/>
        <v>6</v>
      </c>
      <c r="E1057" s="48">
        <v>42149</v>
      </c>
      <c r="F1057" s="48"/>
      <c r="G1057" s="48"/>
      <c r="H1057" s="48"/>
      <c r="I1057" s="48"/>
      <c r="J1057" s="51"/>
      <c r="K1057" s="4"/>
      <c r="L1057" s="15"/>
      <c r="M1057" s="14">
        <f>SUM(L1057:L1057)</f>
        <v>0</v>
      </c>
      <c r="N1057" s="75"/>
    </row>
    <row r="1058" spans="1:14" x14ac:dyDescent="0.15">
      <c r="B1058" s="67" t="s">
        <v>114</v>
      </c>
      <c r="C1058" s="15">
        <v>60</v>
      </c>
      <c r="D1058" s="14">
        <f t="shared" si="109"/>
        <v>60</v>
      </c>
      <c r="E1058" s="74">
        <v>42152</v>
      </c>
      <c r="F1058" s="74"/>
      <c r="G1058" s="74"/>
      <c r="H1058" s="74"/>
      <c r="I1058" s="74"/>
      <c r="J1058" s="51"/>
      <c r="K1058" s="4"/>
      <c r="L1058" s="15"/>
      <c r="M1058" s="14">
        <f>SUM(L1058)</f>
        <v>0</v>
      </c>
      <c r="N1058" s="75"/>
    </row>
    <row r="1059" spans="1:14" x14ac:dyDescent="0.15">
      <c r="B1059" s="4" t="s">
        <v>232</v>
      </c>
      <c r="C1059" s="15">
        <v>20</v>
      </c>
      <c r="D1059" s="14">
        <f t="shared" si="109"/>
        <v>20</v>
      </c>
      <c r="E1059" s="74">
        <v>42156</v>
      </c>
      <c r="F1059" s="74"/>
      <c r="G1059" s="74"/>
      <c r="H1059" s="74"/>
      <c r="I1059" s="74"/>
      <c r="J1059" s="51"/>
      <c r="K1059" s="4"/>
      <c r="L1059" s="15"/>
      <c r="M1059" s="14">
        <f>SUM(L1059:L1059)</f>
        <v>0</v>
      </c>
      <c r="N1059" s="74"/>
    </row>
    <row r="1060" spans="1:14" x14ac:dyDescent="0.15">
      <c r="B1060" s="4" t="s">
        <v>162</v>
      </c>
      <c r="C1060" s="15">
        <v>28</v>
      </c>
      <c r="D1060" s="14">
        <f t="shared" si="109"/>
        <v>28</v>
      </c>
      <c r="E1060" s="48">
        <v>42150</v>
      </c>
      <c r="F1060" s="48"/>
      <c r="G1060" s="48"/>
      <c r="H1060" s="48"/>
      <c r="I1060" s="48"/>
      <c r="J1060" s="51"/>
      <c r="K1060" s="6"/>
      <c r="L1060" s="15"/>
      <c r="M1060" s="14">
        <f>SUM(L1060:L1060)</f>
        <v>0</v>
      </c>
      <c r="N1060" s="75"/>
    </row>
    <row r="1061" spans="1:14" x14ac:dyDescent="0.15">
      <c r="B1061" s="4" t="s">
        <v>162</v>
      </c>
      <c r="C1061" s="15">
        <v>45</v>
      </c>
      <c r="D1061" s="14">
        <f t="shared" si="109"/>
        <v>45</v>
      </c>
      <c r="E1061" s="48">
        <v>42151</v>
      </c>
      <c r="F1061" s="48"/>
      <c r="G1061" s="48"/>
      <c r="H1061" s="48"/>
      <c r="I1061" s="48"/>
      <c r="J1061" s="51"/>
      <c r="K1061" s="4"/>
      <c r="L1061" s="15"/>
      <c r="M1061" s="14">
        <f>SUM(L1061)</f>
        <v>0</v>
      </c>
      <c r="N1061" s="75"/>
    </row>
    <row r="1062" spans="1:14" x14ac:dyDescent="0.15">
      <c r="B1062" s="4" t="s">
        <v>162</v>
      </c>
      <c r="C1062" s="15">
        <v>39</v>
      </c>
      <c r="D1062" s="14">
        <f>SUM(C1062)</f>
        <v>39</v>
      </c>
      <c r="E1062" s="48">
        <v>42152</v>
      </c>
      <c r="F1062" s="48"/>
      <c r="G1062" s="48"/>
      <c r="H1062" s="48"/>
      <c r="I1062" s="48"/>
      <c r="J1062" s="51"/>
      <c r="K1062" s="4"/>
      <c r="L1062" s="15"/>
      <c r="M1062" s="14">
        <f>SUM(L1062:L1062)</f>
        <v>0</v>
      </c>
      <c r="N1062" s="75"/>
    </row>
    <row r="1063" spans="1:14" ht="14.25" thickBot="1" x14ac:dyDescent="0.2">
      <c r="B1063" s="4" t="s">
        <v>235</v>
      </c>
      <c r="C1063" s="15">
        <v>23</v>
      </c>
      <c r="D1063" s="14">
        <f>SUM(C1063)</f>
        <v>23</v>
      </c>
      <c r="E1063" s="48">
        <v>42153</v>
      </c>
      <c r="F1063" s="48"/>
      <c r="G1063" s="48"/>
      <c r="H1063" s="48"/>
      <c r="I1063" s="48"/>
      <c r="J1063" s="51"/>
      <c r="K1063" s="4"/>
      <c r="L1063" s="15"/>
      <c r="M1063" s="14">
        <f>SUM(L1063)</f>
        <v>0</v>
      </c>
      <c r="N1063" s="75"/>
    </row>
    <row r="1064" spans="1:14" ht="14.25" thickBot="1" x14ac:dyDescent="0.2">
      <c r="B1064" s="3" t="s">
        <v>5</v>
      </c>
      <c r="C1064" s="16">
        <f>SUM(C1040:C1063)</f>
        <v>558</v>
      </c>
      <c r="D1064" s="17">
        <f>SUM(D1040:D1063)</f>
        <v>558</v>
      </c>
      <c r="K1064" s="3" t="s">
        <v>5</v>
      </c>
      <c r="L1064" s="16">
        <f>SUM(L1040:L1063)</f>
        <v>700</v>
      </c>
      <c r="M1064" s="17">
        <f>SUM(M1040:M1063)</f>
        <v>700</v>
      </c>
    </row>
    <row r="1065" spans="1:14" ht="14.25" thickBot="1" x14ac:dyDescent="0.2">
      <c r="B1065" s="18" t="s">
        <v>6</v>
      </c>
      <c r="C1065" s="19">
        <f>C1039-C1064</f>
        <v>352</v>
      </c>
      <c r="D1065" s="13">
        <f>D1039-D1064</f>
        <v>352</v>
      </c>
      <c r="K1065" s="18" t="s">
        <v>6</v>
      </c>
      <c r="L1065" s="19">
        <f>L1039-L1064</f>
        <v>7300</v>
      </c>
      <c r="M1065" s="13">
        <f>M1039-M1064</f>
        <v>7300</v>
      </c>
    </row>
    <row r="1067" spans="1:14" ht="18" thickBot="1" x14ac:dyDescent="0.25">
      <c r="A1067" s="27" t="s">
        <v>8</v>
      </c>
      <c r="B1067" s="28"/>
      <c r="C1067" s="28"/>
      <c r="D1067" s="28"/>
      <c r="J1067" s="139" t="s">
        <v>218</v>
      </c>
      <c r="K1067" s="140"/>
      <c r="L1067" s="140"/>
      <c r="M1067" s="140"/>
      <c r="N1067" s="140"/>
    </row>
    <row r="1068" spans="1:14" ht="14.25" thickBot="1" x14ac:dyDescent="0.2">
      <c r="B1068" s="2"/>
      <c r="C1068" s="3" t="s">
        <v>0</v>
      </c>
      <c r="D1068" s="2" t="s">
        <v>1</v>
      </c>
      <c r="K1068" s="2"/>
      <c r="L1068" s="3" t="s">
        <v>0</v>
      </c>
      <c r="M1068" s="2" t="s">
        <v>1</v>
      </c>
    </row>
    <row r="1069" spans="1:14" x14ac:dyDescent="0.15">
      <c r="B1069" s="43" t="s">
        <v>26</v>
      </c>
      <c r="C1069" s="38">
        <f>C1065</f>
        <v>352</v>
      </c>
      <c r="D1069" s="39">
        <f t="shared" ref="D1069:D1079" si="110">SUM(C1069:C1069)</f>
        <v>352</v>
      </c>
      <c r="K1069" s="43" t="s">
        <v>26</v>
      </c>
      <c r="L1069" s="38">
        <f>L1065</f>
        <v>7300</v>
      </c>
      <c r="M1069" s="39">
        <f t="shared" ref="M1069:M1079" si="111">SUM(L1069:L1069)</f>
        <v>7300</v>
      </c>
    </row>
    <row r="1070" spans="1:14" x14ac:dyDescent="0.15">
      <c r="B1070" s="6" t="s">
        <v>3</v>
      </c>
      <c r="C1070" s="7">
        <v>200</v>
      </c>
      <c r="D1070" s="5">
        <f t="shared" si="110"/>
        <v>200</v>
      </c>
      <c r="E1070" s="74">
        <v>42159</v>
      </c>
      <c r="F1070" s="74"/>
      <c r="G1070" s="74"/>
      <c r="H1070" s="74"/>
      <c r="I1070" s="74"/>
      <c r="K1070" s="6" t="s">
        <v>3</v>
      </c>
      <c r="L1070" s="7"/>
      <c r="M1070" s="5">
        <f t="shared" si="111"/>
        <v>0</v>
      </c>
    </row>
    <row r="1071" spans="1:14" x14ac:dyDescent="0.15">
      <c r="B1071" s="6" t="s">
        <v>3</v>
      </c>
      <c r="C1071" s="7">
        <v>200</v>
      </c>
      <c r="D1071" s="5">
        <f t="shared" si="110"/>
        <v>200</v>
      </c>
      <c r="E1071" s="74">
        <v>42165</v>
      </c>
      <c r="F1071" s="74"/>
      <c r="G1071" s="74"/>
      <c r="H1071" s="74"/>
      <c r="I1071" s="74"/>
      <c r="K1071" s="6" t="s">
        <v>3</v>
      </c>
      <c r="L1071" s="7"/>
      <c r="M1071" s="5">
        <f t="shared" si="111"/>
        <v>0</v>
      </c>
      <c r="N1071" s="74"/>
    </row>
    <row r="1072" spans="1:14" x14ac:dyDescent="0.15">
      <c r="B1072" s="6" t="s">
        <v>3</v>
      </c>
      <c r="C1072" s="7">
        <v>200</v>
      </c>
      <c r="D1072" s="5">
        <f t="shared" si="110"/>
        <v>200</v>
      </c>
      <c r="E1072" s="74">
        <v>42172</v>
      </c>
      <c r="F1072" s="74"/>
      <c r="G1072" s="74"/>
      <c r="H1072" s="74"/>
      <c r="I1072" s="74"/>
      <c r="K1072" s="6" t="s">
        <v>3</v>
      </c>
      <c r="L1072" s="7"/>
      <c r="M1072" s="5">
        <f t="shared" si="111"/>
        <v>0</v>
      </c>
      <c r="N1072" s="74"/>
    </row>
    <row r="1073" spans="2:14" x14ac:dyDescent="0.15">
      <c r="B1073" s="6" t="s">
        <v>3</v>
      </c>
      <c r="C1073" s="7"/>
      <c r="D1073" s="5">
        <f t="shared" si="110"/>
        <v>0</v>
      </c>
      <c r="K1073" s="6" t="s">
        <v>3</v>
      </c>
      <c r="L1073" s="7"/>
      <c r="M1073" s="5">
        <f t="shared" si="111"/>
        <v>0</v>
      </c>
    </row>
    <row r="1074" spans="2:14" x14ac:dyDescent="0.15">
      <c r="B1074" s="6" t="s">
        <v>3</v>
      </c>
      <c r="C1074" s="7"/>
      <c r="D1074" s="5">
        <f t="shared" si="110"/>
        <v>0</v>
      </c>
      <c r="K1074" s="6" t="s">
        <v>3</v>
      </c>
      <c r="L1074" s="7"/>
      <c r="M1074" s="5">
        <f t="shared" si="111"/>
        <v>0</v>
      </c>
    </row>
    <row r="1075" spans="2:14" x14ac:dyDescent="0.15">
      <c r="B1075" s="6" t="s">
        <v>3</v>
      </c>
      <c r="C1075" s="7"/>
      <c r="D1075" s="5">
        <f t="shared" si="110"/>
        <v>0</v>
      </c>
      <c r="K1075" s="6" t="s">
        <v>3</v>
      </c>
      <c r="L1075" s="7"/>
      <c r="M1075" s="5">
        <f t="shared" si="111"/>
        <v>0</v>
      </c>
    </row>
    <row r="1076" spans="2:14" x14ac:dyDescent="0.15">
      <c r="B1076" s="6" t="s">
        <v>3</v>
      </c>
      <c r="C1076" s="54"/>
      <c r="D1076" s="5">
        <f t="shared" si="110"/>
        <v>0</v>
      </c>
      <c r="K1076" s="6" t="s">
        <v>3</v>
      </c>
      <c r="L1076" s="7"/>
      <c r="M1076" s="5">
        <f t="shared" si="111"/>
        <v>0</v>
      </c>
    </row>
    <row r="1077" spans="2:14" x14ac:dyDescent="0.15">
      <c r="B1077" s="6" t="s">
        <v>3</v>
      </c>
      <c r="C1077" s="54"/>
      <c r="D1077" s="5">
        <f t="shared" si="110"/>
        <v>0</v>
      </c>
      <c r="K1077" s="6" t="s">
        <v>3</v>
      </c>
      <c r="L1077" s="7"/>
      <c r="M1077" s="5">
        <f t="shared" si="111"/>
        <v>0</v>
      </c>
    </row>
    <row r="1078" spans="2:14" x14ac:dyDescent="0.15">
      <c r="B1078" s="6" t="s">
        <v>3</v>
      </c>
      <c r="C1078" s="54"/>
      <c r="D1078" s="5">
        <f t="shared" si="110"/>
        <v>0</v>
      </c>
      <c r="K1078" s="6" t="s">
        <v>3</v>
      </c>
      <c r="L1078" s="7"/>
      <c r="M1078" s="5">
        <f t="shared" si="111"/>
        <v>0</v>
      </c>
    </row>
    <row r="1079" spans="2:14" ht="14.25" thickBot="1" x14ac:dyDescent="0.2">
      <c r="B1079" s="9" t="s">
        <v>3</v>
      </c>
      <c r="C1079" s="101"/>
      <c r="D1079" s="5">
        <f t="shared" si="110"/>
        <v>0</v>
      </c>
      <c r="K1079" s="9" t="s">
        <v>3</v>
      </c>
      <c r="L1079" s="10"/>
      <c r="M1079" s="5">
        <f t="shared" si="111"/>
        <v>0</v>
      </c>
    </row>
    <row r="1080" spans="2:14" ht="14.25" thickBot="1" x14ac:dyDescent="0.2">
      <c r="B1080" s="11" t="s">
        <v>4</v>
      </c>
      <c r="C1080" s="12">
        <f>SUM(C1069:C1079)</f>
        <v>952</v>
      </c>
      <c r="D1080" s="13">
        <f>SUM(D1069:D1079)</f>
        <v>952</v>
      </c>
      <c r="K1080" s="11" t="s">
        <v>4</v>
      </c>
      <c r="L1080" s="12">
        <f>SUM(L1069:L1079)</f>
        <v>7300</v>
      </c>
      <c r="M1080" s="13">
        <f>SUM(M1069:M1079)</f>
        <v>7300</v>
      </c>
    </row>
    <row r="1081" spans="2:14" x14ac:dyDescent="0.15">
      <c r="B1081" s="71" t="s">
        <v>162</v>
      </c>
      <c r="C1081" s="15">
        <v>20</v>
      </c>
      <c r="D1081" s="14">
        <f>C1081</f>
        <v>20</v>
      </c>
      <c r="E1081" s="48">
        <v>42154</v>
      </c>
      <c r="F1081" s="48"/>
      <c r="G1081" s="48"/>
      <c r="H1081" s="48"/>
      <c r="I1081" s="48"/>
      <c r="K1081" s="4" t="s">
        <v>9</v>
      </c>
      <c r="L1081" s="44">
        <v>200</v>
      </c>
      <c r="M1081" s="14">
        <f t="shared" ref="M1081:M1091" si="112">SUM(L1081:L1081)</f>
        <v>200</v>
      </c>
      <c r="N1081" s="74">
        <v>42159</v>
      </c>
    </row>
    <row r="1082" spans="2:14" x14ac:dyDescent="0.15">
      <c r="B1082" s="71" t="s">
        <v>162</v>
      </c>
      <c r="C1082" s="15">
        <v>105</v>
      </c>
      <c r="D1082" s="14">
        <f>SUM(C1082)</f>
        <v>105</v>
      </c>
      <c r="E1082" s="48">
        <v>42156</v>
      </c>
      <c r="F1082" s="48"/>
      <c r="G1082" s="48"/>
      <c r="H1082" s="48"/>
      <c r="I1082" s="48"/>
      <c r="J1082" s="51"/>
      <c r="K1082" s="4" t="s">
        <v>237</v>
      </c>
      <c r="L1082" s="15">
        <v>600</v>
      </c>
      <c r="M1082" s="14">
        <f t="shared" si="112"/>
        <v>600</v>
      </c>
      <c r="N1082" s="74">
        <v>42164</v>
      </c>
    </row>
    <row r="1083" spans="2:14" x14ac:dyDescent="0.15">
      <c r="B1083" s="71" t="s">
        <v>236</v>
      </c>
      <c r="C1083" s="15">
        <v>47</v>
      </c>
      <c r="D1083" s="14">
        <f>SUM(C1083)</f>
        <v>47</v>
      </c>
      <c r="E1083" s="48">
        <v>42157</v>
      </c>
      <c r="F1083" s="48"/>
      <c r="G1083" s="48"/>
      <c r="H1083" s="48"/>
      <c r="I1083" s="48"/>
      <c r="J1083" s="51"/>
      <c r="K1083" s="4" t="s">
        <v>238</v>
      </c>
      <c r="L1083" s="15">
        <v>249</v>
      </c>
      <c r="M1083" s="14">
        <f t="shared" si="112"/>
        <v>249</v>
      </c>
      <c r="N1083" s="74">
        <v>42165</v>
      </c>
    </row>
    <row r="1084" spans="2:14" x14ac:dyDescent="0.15">
      <c r="B1084" s="71" t="s">
        <v>90</v>
      </c>
      <c r="C1084" s="15">
        <v>20</v>
      </c>
      <c r="D1084" s="14">
        <f>SUM(C1084)</f>
        <v>20</v>
      </c>
      <c r="E1084" s="74">
        <v>42163</v>
      </c>
      <c r="F1084" s="74"/>
      <c r="G1084" s="74"/>
      <c r="H1084" s="74"/>
      <c r="I1084" s="74"/>
      <c r="J1084" s="51"/>
      <c r="K1084" s="4" t="s">
        <v>9</v>
      </c>
      <c r="L1084" s="15">
        <v>200</v>
      </c>
      <c r="M1084" s="14">
        <f t="shared" si="112"/>
        <v>200</v>
      </c>
      <c r="N1084" s="74">
        <v>42165</v>
      </c>
    </row>
    <row r="1085" spans="2:14" x14ac:dyDescent="0.15">
      <c r="B1085" s="71" t="s">
        <v>91</v>
      </c>
      <c r="C1085" s="15">
        <v>40</v>
      </c>
      <c r="D1085" s="14">
        <f>SUM(C1085)</f>
        <v>40</v>
      </c>
      <c r="E1085" s="74">
        <v>42163</v>
      </c>
      <c r="F1085" s="74"/>
      <c r="G1085" s="74"/>
      <c r="H1085" s="74"/>
      <c r="I1085" s="74"/>
      <c r="J1085" s="51"/>
      <c r="K1085" s="4" t="s">
        <v>9</v>
      </c>
      <c r="L1085" s="15">
        <v>200</v>
      </c>
      <c r="M1085" s="14">
        <f t="shared" si="112"/>
        <v>200</v>
      </c>
      <c r="N1085" s="74">
        <v>42172</v>
      </c>
    </row>
    <row r="1086" spans="2:14" x14ac:dyDescent="0.15">
      <c r="B1086" s="71" t="s">
        <v>114</v>
      </c>
      <c r="C1086" s="15">
        <v>60</v>
      </c>
      <c r="D1086" s="14">
        <f>SUM(C1086)</f>
        <v>60</v>
      </c>
      <c r="E1086" s="74">
        <v>42160</v>
      </c>
      <c r="F1086" s="74"/>
      <c r="G1086" s="74"/>
      <c r="H1086" s="74"/>
      <c r="I1086" s="74"/>
      <c r="J1086" s="51"/>
      <c r="K1086" s="4" t="s">
        <v>244</v>
      </c>
      <c r="L1086" s="15">
        <v>100</v>
      </c>
      <c r="M1086" s="14">
        <f t="shared" si="112"/>
        <v>100</v>
      </c>
      <c r="N1086" s="74">
        <v>42174</v>
      </c>
    </row>
    <row r="1087" spans="2:14" x14ac:dyDescent="0.15">
      <c r="B1087" s="71" t="s">
        <v>162</v>
      </c>
      <c r="C1087" s="15">
        <v>27</v>
      </c>
      <c r="D1087" s="14">
        <f t="shared" ref="D1087:D1102" si="113">SUM(C1087)</f>
        <v>27</v>
      </c>
      <c r="E1087" s="48">
        <v>42158</v>
      </c>
      <c r="F1087" s="48"/>
      <c r="G1087" s="48"/>
      <c r="H1087" s="48"/>
      <c r="I1087" s="48"/>
      <c r="J1087" s="51"/>
      <c r="K1087" s="6" t="s">
        <v>37</v>
      </c>
      <c r="L1087" s="15">
        <v>200</v>
      </c>
      <c r="M1087" s="14">
        <f t="shared" si="112"/>
        <v>200</v>
      </c>
      <c r="N1087" s="74">
        <v>42175</v>
      </c>
    </row>
    <row r="1088" spans="2:14" x14ac:dyDescent="0.15">
      <c r="B1088" s="71" t="s">
        <v>162</v>
      </c>
      <c r="C1088" s="15">
        <v>34</v>
      </c>
      <c r="D1088" s="14">
        <f t="shared" si="113"/>
        <v>34</v>
      </c>
      <c r="E1088" s="48">
        <v>42159</v>
      </c>
      <c r="F1088" s="48"/>
      <c r="G1088" s="48"/>
      <c r="H1088" s="48"/>
      <c r="I1088" s="48"/>
      <c r="J1088" s="51"/>
      <c r="K1088" s="6" t="s">
        <v>100</v>
      </c>
      <c r="L1088" s="15">
        <v>100</v>
      </c>
      <c r="M1088" s="14">
        <f t="shared" si="112"/>
        <v>100</v>
      </c>
      <c r="N1088" s="74">
        <v>42177</v>
      </c>
    </row>
    <row r="1089" spans="2:15" x14ac:dyDescent="0.15">
      <c r="B1089" s="71" t="s">
        <v>162</v>
      </c>
      <c r="C1089" s="15">
        <v>23</v>
      </c>
      <c r="D1089" s="14">
        <f t="shared" si="113"/>
        <v>23</v>
      </c>
      <c r="E1089" s="48">
        <v>42160</v>
      </c>
      <c r="F1089" s="48"/>
      <c r="G1089" s="48"/>
      <c r="H1089" s="48"/>
      <c r="I1089" s="48"/>
      <c r="J1089" s="51"/>
      <c r="K1089" s="4"/>
      <c r="L1089" s="15"/>
      <c r="M1089" s="14">
        <f t="shared" si="112"/>
        <v>0</v>
      </c>
    </row>
    <row r="1090" spans="2:15" x14ac:dyDescent="0.15">
      <c r="B1090" s="71" t="s">
        <v>162</v>
      </c>
      <c r="C1090" s="15">
        <v>17</v>
      </c>
      <c r="D1090" s="14">
        <f t="shared" si="113"/>
        <v>17</v>
      </c>
      <c r="E1090" s="48">
        <v>42161</v>
      </c>
      <c r="F1090" s="48"/>
      <c r="G1090" s="48"/>
      <c r="H1090" s="48"/>
      <c r="I1090" s="48"/>
      <c r="J1090" s="51"/>
      <c r="K1090" s="4"/>
      <c r="L1090" s="15"/>
      <c r="M1090" s="14">
        <f t="shared" si="112"/>
        <v>0</v>
      </c>
    </row>
    <row r="1091" spans="2:15" x14ac:dyDescent="0.15">
      <c r="B1091" s="71" t="s">
        <v>162</v>
      </c>
      <c r="C1091" s="15">
        <v>51</v>
      </c>
      <c r="D1091" s="14">
        <f t="shared" si="113"/>
        <v>51</v>
      </c>
      <c r="E1091" s="48">
        <v>42163</v>
      </c>
      <c r="F1091" s="48"/>
      <c r="G1091" s="48"/>
      <c r="H1091" s="48"/>
      <c r="I1091" s="48"/>
      <c r="J1091" s="51"/>
      <c r="K1091" s="4"/>
      <c r="L1091" s="15"/>
      <c r="M1091" s="14">
        <f t="shared" si="112"/>
        <v>0</v>
      </c>
    </row>
    <row r="1092" spans="2:15" x14ac:dyDescent="0.15">
      <c r="B1092" s="71" t="s">
        <v>162</v>
      </c>
      <c r="C1092" s="15">
        <v>31</v>
      </c>
      <c r="D1092" s="14">
        <f t="shared" si="113"/>
        <v>31</v>
      </c>
      <c r="E1092" s="48">
        <v>42164</v>
      </c>
      <c r="F1092" s="48"/>
      <c r="G1092" s="48"/>
      <c r="H1092" s="48"/>
      <c r="I1092" s="48"/>
      <c r="J1092" s="51"/>
      <c r="K1092" s="4"/>
      <c r="L1092" s="15"/>
      <c r="M1092" s="14">
        <f>SUM(L1092:L1092)</f>
        <v>0</v>
      </c>
    </row>
    <row r="1093" spans="2:15" x14ac:dyDescent="0.15">
      <c r="B1093" s="71" t="s">
        <v>162</v>
      </c>
      <c r="C1093" s="15">
        <v>20</v>
      </c>
      <c r="D1093" s="14">
        <f t="shared" si="113"/>
        <v>20</v>
      </c>
      <c r="E1093" s="48">
        <v>42165</v>
      </c>
      <c r="F1093" s="48"/>
      <c r="G1093" s="48"/>
      <c r="H1093" s="48"/>
      <c r="I1093" s="48"/>
      <c r="J1093" s="51"/>
      <c r="K1093" s="6"/>
      <c r="L1093" s="15"/>
      <c r="M1093" s="14">
        <f>SUM(L1093)</f>
        <v>0</v>
      </c>
      <c r="N1093" s="75"/>
    </row>
    <row r="1094" spans="2:15" x14ac:dyDescent="0.15">
      <c r="B1094" s="71" t="s">
        <v>162</v>
      </c>
      <c r="C1094" s="15">
        <v>16</v>
      </c>
      <c r="D1094" s="14">
        <f t="shared" si="113"/>
        <v>16</v>
      </c>
      <c r="E1094" s="48">
        <v>42166</v>
      </c>
      <c r="F1094" s="48"/>
      <c r="G1094" s="48"/>
      <c r="H1094" s="48"/>
      <c r="I1094" s="48"/>
      <c r="J1094" s="51"/>
      <c r="K1094" s="6"/>
      <c r="L1094" s="15"/>
      <c r="M1094" s="14">
        <f>SUM(L1094)</f>
        <v>0</v>
      </c>
      <c r="N1094" s="75"/>
    </row>
    <row r="1095" spans="2:15" x14ac:dyDescent="0.15">
      <c r="B1095" s="71" t="s">
        <v>114</v>
      </c>
      <c r="C1095" s="15">
        <v>50</v>
      </c>
      <c r="D1095" s="14">
        <f t="shared" si="113"/>
        <v>50</v>
      </c>
      <c r="E1095" s="74">
        <v>42171</v>
      </c>
      <c r="F1095" s="74"/>
      <c r="G1095" s="74"/>
      <c r="H1095" s="74"/>
      <c r="I1095" s="74"/>
      <c r="J1095" s="51"/>
      <c r="K1095" s="4"/>
      <c r="L1095" s="15"/>
      <c r="M1095" s="14">
        <f>SUM(L1095:L1095)</f>
        <v>0</v>
      </c>
      <c r="N1095" s="75"/>
    </row>
    <row r="1096" spans="2:15" x14ac:dyDescent="0.15">
      <c r="B1096" s="4" t="s">
        <v>227</v>
      </c>
      <c r="C1096" s="15">
        <v>12</v>
      </c>
      <c r="D1096" s="14">
        <f t="shared" si="113"/>
        <v>12</v>
      </c>
      <c r="E1096" s="74">
        <v>42171</v>
      </c>
      <c r="F1096" s="74"/>
      <c r="G1096" s="74"/>
      <c r="H1096" s="74"/>
      <c r="I1096" s="74"/>
      <c r="J1096" s="51"/>
      <c r="K1096" s="4"/>
      <c r="L1096" s="15"/>
      <c r="M1096" s="14">
        <f>SUM(L1096)</f>
        <v>0</v>
      </c>
      <c r="N1096" s="75"/>
    </row>
    <row r="1097" spans="2:15" x14ac:dyDescent="0.15">
      <c r="B1097" s="71" t="s">
        <v>162</v>
      </c>
      <c r="C1097" s="15">
        <v>22</v>
      </c>
      <c r="D1097" s="14">
        <f t="shared" si="113"/>
        <v>22</v>
      </c>
      <c r="E1097" s="48">
        <v>42167</v>
      </c>
      <c r="F1097" s="48"/>
      <c r="G1097" s="48"/>
      <c r="H1097" s="48"/>
      <c r="I1097" s="48"/>
      <c r="J1097" s="51"/>
      <c r="K1097" s="4"/>
      <c r="L1097" s="15"/>
      <c r="M1097" s="14">
        <f>SUM(L1097:L1097)</f>
        <v>0</v>
      </c>
      <c r="N1097" s="74"/>
    </row>
    <row r="1098" spans="2:15" x14ac:dyDescent="0.15">
      <c r="B1098" s="71" t="s">
        <v>240</v>
      </c>
      <c r="C1098" s="15">
        <v>49</v>
      </c>
      <c r="D1098" s="14">
        <f t="shared" si="113"/>
        <v>49</v>
      </c>
      <c r="E1098" s="48">
        <v>42170</v>
      </c>
      <c r="F1098" s="48"/>
      <c r="G1098" s="48"/>
      <c r="H1098" s="48"/>
      <c r="I1098" s="48"/>
      <c r="J1098" s="51"/>
      <c r="K1098" s="4"/>
      <c r="L1098" s="15"/>
      <c r="M1098" s="14">
        <f>SUM(L1098)</f>
        <v>0</v>
      </c>
      <c r="N1098" s="75"/>
    </row>
    <row r="1099" spans="2:15" x14ac:dyDescent="0.15">
      <c r="B1099" s="71" t="s">
        <v>239</v>
      </c>
      <c r="C1099" s="15">
        <v>100</v>
      </c>
      <c r="D1099" s="14">
        <f t="shared" si="113"/>
        <v>100</v>
      </c>
      <c r="E1099" s="74">
        <v>42173</v>
      </c>
      <c r="F1099" s="74"/>
      <c r="G1099" s="74"/>
      <c r="H1099" s="74"/>
      <c r="I1099" s="74"/>
      <c r="J1099" s="51"/>
      <c r="K1099" s="4"/>
      <c r="L1099" s="15"/>
      <c r="M1099" s="14">
        <f>SUM(L1099:L1099)</f>
        <v>0</v>
      </c>
      <c r="N1099" s="74"/>
    </row>
    <row r="1100" spans="2:15" x14ac:dyDescent="0.15">
      <c r="B1100" s="4" t="s">
        <v>242</v>
      </c>
      <c r="C1100" s="15">
        <v>20</v>
      </c>
      <c r="D1100" s="14">
        <f t="shared" si="113"/>
        <v>20</v>
      </c>
      <c r="E1100" s="48">
        <v>42171</v>
      </c>
      <c r="F1100" s="48"/>
      <c r="G1100" s="48"/>
      <c r="H1100" s="48"/>
      <c r="I1100" s="48"/>
      <c r="J1100" s="51"/>
      <c r="K1100" s="4"/>
      <c r="L1100" s="15"/>
      <c r="M1100" s="14">
        <f>SUM(L1100)</f>
        <v>0</v>
      </c>
      <c r="N1100" s="75"/>
    </row>
    <row r="1101" spans="2:15" x14ac:dyDescent="0.15">
      <c r="B1101" s="4" t="s">
        <v>241</v>
      </c>
      <c r="C1101" s="15">
        <v>20</v>
      </c>
      <c r="D1101" s="14">
        <f t="shared" si="113"/>
        <v>20</v>
      </c>
      <c r="E1101" s="74">
        <v>42174</v>
      </c>
      <c r="F1101" s="74"/>
      <c r="G1101" s="74"/>
      <c r="H1101" s="74"/>
      <c r="I1101" s="74"/>
      <c r="J1101" s="51"/>
      <c r="K1101" s="4"/>
      <c r="L1101" s="15"/>
      <c r="M1101" s="14">
        <f>SUM(L1101:L1101)</f>
        <v>0</v>
      </c>
      <c r="N1101" s="75"/>
    </row>
    <row r="1102" spans="2:15" x14ac:dyDescent="0.15">
      <c r="B1102" s="4" t="s">
        <v>227</v>
      </c>
      <c r="C1102" s="15">
        <v>5</v>
      </c>
      <c r="D1102" s="14">
        <f t="shared" si="113"/>
        <v>5</v>
      </c>
      <c r="E1102" s="74">
        <v>42178</v>
      </c>
      <c r="F1102" s="74"/>
      <c r="G1102" s="74"/>
      <c r="H1102" s="74"/>
      <c r="I1102" s="74"/>
      <c r="J1102" s="51"/>
      <c r="K1102" s="6"/>
      <c r="L1102" s="15"/>
      <c r="M1102" s="14">
        <f>SUM(L1102:L1102)</f>
        <v>0</v>
      </c>
      <c r="N1102" s="75"/>
    </row>
    <row r="1103" spans="2:15" x14ac:dyDescent="0.15">
      <c r="B1103" s="4" t="s">
        <v>243</v>
      </c>
      <c r="C1103" s="15">
        <v>31</v>
      </c>
      <c r="D1103" s="14">
        <f>SUM(C1103)</f>
        <v>31</v>
      </c>
      <c r="E1103" s="48">
        <v>42172</v>
      </c>
      <c r="F1103" s="48"/>
      <c r="G1103" s="48"/>
      <c r="H1103" s="48"/>
      <c r="I1103" s="48"/>
      <c r="J1103" s="51"/>
      <c r="K1103" s="4"/>
      <c r="L1103" s="15"/>
      <c r="M1103" s="14">
        <f>SUM(L1103)</f>
        <v>0</v>
      </c>
      <c r="N1103" s="75"/>
      <c r="O1103" s="48"/>
    </row>
    <row r="1104" spans="2:15" ht="14.25" thickBot="1" x14ac:dyDescent="0.2">
      <c r="B1104" s="4" t="s">
        <v>245</v>
      </c>
      <c r="C1104" s="15">
        <v>27</v>
      </c>
      <c r="D1104" s="14">
        <f>SUM(C1104)</f>
        <v>27</v>
      </c>
      <c r="E1104" s="48">
        <v>42173</v>
      </c>
      <c r="F1104" s="48"/>
      <c r="G1104" s="48"/>
      <c r="H1104" s="48"/>
      <c r="I1104" s="48"/>
      <c r="J1104" s="51"/>
      <c r="K1104" s="4"/>
      <c r="L1104" s="15"/>
      <c r="M1104" s="14">
        <f>SUM(L1104:L1104)</f>
        <v>0</v>
      </c>
      <c r="N1104" s="74"/>
    </row>
    <row r="1105" spans="1:14" ht="14.25" thickBot="1" x14ac:dyDescent="0.2">
      <c r="B1105" s="3" t="s">
        <v>5</v>
      </c>
      <c r="C1105" s="16">
        <f>SUM(C1081:C1104)</f>
        <v>847</v>
      </c>
      <c r="D1105" s="17">
        <f>SUM(D1081:D1104)</f>
        <v>847</v>
      </c>
      <c r="K1105" s="3" t="s">
        <v>5</v>
      </c>
      <c r="L1105" s="16">
        <f>SUM(L1081:L1104)</f>
        <v>1849</v>
      </c>
      <c r="M1105" s="17">
        <f>SUM(M1081:M1104)</f>
        <v>1849</v>
      </c>
    </row>
    <row r="1106" spans="1:14" ht="14.25" thickBot="1" x14ac:dyDescent="0.2">
      <c r="B1106" s="18" t="s">
        <v>6</v>
      </c>
      <c r="C1106" s="19">
        <f>C1080-C1105</f>
        <v>105</v>
      </c>
      <c r="D1106" s="13">
        <f>D1080-D1105</f>
        <v>105</v>
      </c>
      <c r="K1106" s="18" t="s">
        <v>6</v>
      </c>
      <c r="L1106" s="19">
        <f>L1080-L1105</f>
        <v>5451</v>
      </c>
      <c r="M1106" s="13">
        <f>M1080-M1105</f>
        <v>5451</v>
      </c>
    </row>
    <row r="1108" spans="1:14" ht="18" thickBot="1" x14ac:dyDescent="0.25">
      <c r="A1108" s="27" t="s">
        <v>8</v>
      </c>
      <c r="B1108" s="28"/>
      <c r="C1108" s="28"/>
      <c r="D1108" s="28"/>
      <c r="J1108" s="139" t="s">
        <v>218</v>
      </c>
      <c r="K1108" s="140"/>
      <c r="L1108" s="140"/>
      <c r="M1108" s="140"/>
      <c r="N1108" s="140"/>
    </row>
    <row r="1109" spans="1:14" ht="14.25" thickBot="1" x14ac:dyDescent="0.2">
      <c r="B1109" s="2"/>
      <c r="C1109" s="3" t="s">
        <v>0</v>
      </c>
      <c r="D1109" s="2" t="s">
        <v>1</v>
      </c>
      <c r="K1109" s="2"/>
      <c r="L1109" s="3" t="s">
        <v>0</v>
      </c>
      <c r="M1109" s="2" t="s">
        <v>1</v>
      </c>
    </row>
    <row r="1110" spans="1:14" x14ac:dyDescent="0.15">
      <c r="B1110" s="43" t="s">
        <v>26</v>
      </c>
      <c r="C1110" s="38">
        <f>C1106</f>
        <v>105</v>
      </c>
      <c r="D1110" s="39">
        <f t="shared" ref="D1110:D1120" si="114">SUM(C1110:C1110)</f>
        <v>105</v>
      </c>
      <c r="K1110" s="43" t="s">
        <v>26</v>
      </c>
      <c r="L1110" s="38">
        <f>L1106</f>
        <v>5451</v>
      </c>
      <c r="M1110" s="39">
        <f t="shared" ref="M1110:M1120" si="115">SUM(L1110:L1110)</f>
        <v>5451</v>
      </c>
    </row>
    <row r="1111" spans="1:14" x14ac:dyDescent="0.15">
      <c r="B1111" s="6" t="s">
        <v>3</v>
      </c>
      <c r="C1111" s="7">
        <v>200</v>
      </c>
      <c r="D1111" s="5">
        <f t="shared" si="114"/>
        <v>200</v>
      </c>
      <c r="E1111" s="74">
        <v>42175</v>
      </c>
      <c r="F1111" s="74"/>
      <c r="G1111" s="74"/>
      <c r="H1111" s="74"/>
      <c r="I1111" s="74"/>
      <c r="K1111" s="6" t="s">
        <v>3</v>
      </c>
      <c r="L1111" s="7"/>
      <c r="M1111" s="5">
        <f t="shared" si="115"/>
        <v>0</v>
      </c>
    </row>
    <row r="1112" spans="1:14" x14ac:dyDescent="0.15">
      <c r="B1112" s="6" t="s">
        <v>3</v>
      </c>
      <c r="C1112" s="7"/>
      <c r="D1112" s="5">
        <f t="shared" si="114"/>
        <v>0</v>
      </c>
      <c r="K1112" s="6" t="s">
        <v>3</v>
      </c>
      <c r="L1112" s="7"/>
      <c r="M1112" s="5">
        <f t="shared" si="115"/>
        <v>0</v>
      </c>
      <c r="N1112" s="74"/>
    </row>
    <row r="1113" spans="1:14" x14ac:dyDescent="0.15">
      <c r="B1113" s="4" t="s">
        <v>249</v>
      </c>
      <c r="C1113" s="163">
        <v>200</v>
      </c>
      <c r="D1113" s="14">
        <f>SUM(C1113:C1113)</f>
        <v>200</v>
      </c>
      <c r="E1113" s="74">
        <v>42179</v>
      </c>
      <c r="F1113" s="74"/>
      <c r="G1113" s="74"/>
      <c r="H1113" s="74"/>
      <c r="I1113" s="74"/>
      <c r="K1113" s="6" t="s">
        <v>3</v>
      </c>
      <c r="L1113" s="7"/>
      <c r="M1113" s="5">
        <f t="shared" si="115"/>
        <v>0</v>
      </c>
      <c r="N1113" s="74"/>
    </row>
    <row r="1114" spans="1:14" x14ac:dyDescent="0.15">
      <c r="B1114" s="6" t="s">
        <v>3</v>
      </c>
      <c r="C1114" s="7">
        <v>200</v>
      </c>
      <c r="D1114" s="5">
        <f t="shared" si="114"/>
        <v>200</v>
      </c>
      <c r="E1114" s="74">
        <v>42182</v>
      </c>
      <c r="F1114" s="74"/>
      <c r="G1114" s="74"/>
      <c r="H1114" s="74"/>
      <c r="I1114" s="74"/>
      <c r="K1114" s="6" t="s">
        <v>3</v>
      </c>
      <c r="L1114" s="7"/>
      <c r="M1114" s="5">
        <f t="shared" si="115"/>
        <v>0</v>
      </c>
    </row>
    <row r="1115" spans="1:14" x14ac:dyDescent="0.15">
      <c r="B1115" s="6" t="s">
        <v>3</v>
      </c>
      <c r="C1115" s="7">
        <v>200</v>
      </c>
      <c r="D1115" s="5">
        <f t="shared" si="114"/>
        <v>200</v>
      </c>
      <c r="E1115" s="74">
        <v>42189</v>
      </c>
      <c r="F1115" s="74"/>
      <c r="G1115" s="74"/>
      <c r="H1115" s="74"/>
      <c r="I1115" s="74"/>
      <c r="K1115" s="6" t="s">
        <v>3</v>
      </c>
      <c r="L1115" s="7"/>
      <c r="M1115" s="5">
        <f t="shared" si="115"/>
        <v>0</v>
      </c>
    </row>
    <row r="1116" spans="1:14" x14ac:dyDescent="0.15">
      <c r="B1116" s="6" t="s">
        <v>3</v>
      </c>
      <c r="C1116" s="7"/>
      <c r="D1116" s="5">
        <f t="shared" si="114"/>
        <v>0</v>
      </c>
      <c r="K1116" s="6" t="s">
        <v>3</v>
      </c>
      <c r="L1116" s="7"/>
      <c r="M1116" s="5">
        <f t="shared" si="115"/>
        <v>0</v>
      </c>
    </row>
    <row r="1117" spans="1:14" x14ac:dyDescent="0.15">
      <c r="B1117" s="6" t="s">
        <v>3</v>
      </c>
      <c r="C1117" s="54"/>
      <c r="D1117" s="5">
        <f t="shared" si="114"/>
        <v>0</v>
      </c>
      <c r="K1117" s="6" t="s">
        <v>3</v>
      </c>
      <c r="L1117" s="7"/>
      <c r="M1117" s="5">
        <f t="shared" si="115"/>
        <v>0</v>
      </c>
    </row>
    <row r="1118" spans="1:14" x14ac:dyDescent="0.15">
      <c r="B1118" s="6" t="s">
        <v>3</v>
      </c>
      <c r="C1118" s="54"/>
      <c r="D1118" s="5">
        <f t="shared" si="114"/>
        <v>0</v>
      </c>
      <c r="K1118" s="6" t="s">
        <v>3</v>
      </c>
      <c r="L1118" s="7"/>
      <c r="M1118" s="5">
        <f t="shared" si="115"/>
        <v>0</v>
      </c>
    </row>
    <row r="1119" spans="1:14" x14ac:dyDescent="0.15">
      <c r="B1119" s="6" t="s">
        <v>3</v>
      </c>
      <c r="C1119" s="54"/>
      <c r="D1119" s="5">
        <f t="shared" si="114"/>
        <v>0</v>
      </c>
      <c r="K1119" s="6" t="s">
        <v>3</v>
      </c>
      <c r="L1119" s="7"/>
      <c r="M1119" s="5">
        <f t="shared" si="115"/>
        <v>0</v>
      </c>
    </row>
    <row r="1120" spans="1:14" ht="14.25" thickBot="1" x14ac:dyDescent="0.2">
      <c r="B1120" s="9" t="s">
        <v>3</v>
      </c>
      <c r="C1120" s="101"/>
      <c r="D1120" s="5">
        <f t="shared" si="114"/>
        <v>0</v>
      </c>
      <c r="K1120" s="9" t="s">
        <v>3</v>
      </c>
      <c r="L1120" s="10"/>
      <c r="M1120" s="5">
        <f t="shared" si="115"/>
        <v>0</v>
      </c>
    </row>
    <row r="1121" spans="2:15" ht="14.25" thickBot="1" x14ac:dyDescent="0.2">
      <c r="B1121" s="11" t="s">
        <v>4</v>
      </c>
      <c r="C1121" s="12">
        <f>SUM(C1110:C1120)</f>
        <v>905</v>
      </c>
      <c r="D1121" s="13">
        <f>SUM(D1110:D1120)</f>
        <v>905</v>
      </c>
      <c r="K1121" s="11" t="s">
        <v>4</v>
      </c>
      <c r="L1121" s="12">
        <f>SUM(L1110:L1120)</f>
        <v>5451</v>
      </c>
      <c r="M1121" s="13">
        <f>SUM(M1110:M1120)</f>
        <v>5451</v>
      </c>
    </row>
    <row r="1122" spans="2:15" x14ac:dyDescent="0.15">
      <c r="B1122" s="71" t="s">
        <v>77</v>
      </c>
      <c r="C1122" s="15">
        <v>50</v>
      </c>
      <c r="D1122" s="14">
        <f>C1122</f>
        <v>50</v>
      </c>
      <c r="E1122" s="74">
        <v>42179</v>
      </c>
      <c r="F1122" s="74"/>
      <c r="G1122" s="74"/>
      <c r="H1122" s="74"/>
      <c r="I1122" s="74"/>
      <c r="K1122" s="4" t="s">
        <v>249</v>
      </c>
      <c r="L1122" s="44">
        <v>200</v>
      </c>
      <c r="M1122" s="14">
        <f t="shared" ref="M1122:M1132" si="116">SUM(L1122:L1122)</f>
        <v>200</v>
      </c>
      <c r="N1122" s="74">
        <v>42179</v>
      </c>
      <c r="O1122" s="75"/>
    </row>
    <row r="1123" spans="2:15" x14ac:dyDescent="0.15">
      <c r="B1123" s="71" t="s">
        <v>246</v>
      </c>
      <c r="C1123" s="15">
        <v>27</v>
      </c>
      <c r="D1123" s="14">
        <f>SUM(C1123)</f>
        <v>27</v>
      </c>
      <c r="E1123" s="48">
        <v>42174</v>
      </c>
      <c r="F1123" s="48"/>
      <c r="G1123" s="48"/>
      <c r="H1123" s="48"/>
      <c r="I1123" s="48"/>
      <c r="J1123" s="51"/>
      <c r="K1123" s="4" t="s">
        <v>250</v>
      </c>
      <c r="L1123" s="15">
        <v>100</v>
      </c>
      <c r="M1123" s="14">
        <f t="shared" si="116"/>
        <v>100</v>
      </c>
      <c r="N1123" s="74">
        <v>42188</v>
      </c>
    </row>
    <row r="1124" spans="2:15" x14ac:dyDescent="0.15">
      <c r="B1124" s="71" t="s">
        <v>247</v>
      </c>
      <c r="C1124" s="15">
        <v>11</v>
      </c>
      <c r="D1124" s="14">
        <f>SUM(C1124)</f>
        <v>11</v>
      </c>
      <c r="E1124" s="48">
        <v>42175</v>
      </c>
      <c r="F1124" s="48"/>
      <c r="G1124" s="48"/>
      <c r="H1124" s="48"/>
      <c r="I1124" s="48"/>
      <c r="J1124" s="51"/>
      <c r="K1124" s="4" t="s">
        <v>9</v>
      </c>
      <c r="L1124" s="15">
        <v>200</v>
      </c>
      <c r="M1124" s="14">
        <f t="shared" si="116"/>
        <v>200</v>
      </c>
      <c r="N1124" s="74">
        <v>42182</v>
      </c>
    </row>
    <row r="1125" spans="2:15" x14ac:dyDescent="0.15">
      <c r="B1125" s="4" t="s">
        <v>212</v>
      </c>
      <c r="C1125" s="15">
        <v>4</v>
      </c>
      <c r="D1125" s="14">
        <f>SUM(C1125)</f>
        <v>4</v>
      </c>
      <c r="E1125" s="74">
        <v>42181</v>
      </c>
      <c r="F1125" s="74"/>
      <c r="G1125" s="74"/>
      <c r="H1125" s="74"/>
      <c r="I1125" s="74"/>
      <c r="J1125" s="51"/>
      <c r="K1125" s="4" t="s">
        <v>103</v>
      </c>
      <c r="L1125" s="15">
        <v>100</v>
      </c>
      <c r="M1125" s="14">
        <f t="shared" si="116"/>
        <v>100</v>
      </c>
      <c r="N1125" s="74">
        <v>42186</v>
      </c>
    </row>
    <row r="1126" spans="2:15" x14ac:dyDescent="0.15">
      <c r="B1126" s="71" t="s">
        <v>162</v>
      </c>
      <c r="C1126" s="15">
        <v>43</v>
      </c>
      <c r="D1126" s="14">
        <f>SUM(C1126)</f>
        <v>43</v>
      </c>
      <c r="E1126" s="48">
        <v>42177</v>
      </c>
      <c r="F1126" s="48"/>
      <c r="G1126" s="48"/>
      <c r="H1126" s="48"/>
      <c r="I1126" s="48"/>
      <c r="J1126" s="51"/>
      <c r="K1126" s="4" t="s">
        <v>9</v>
      </c>
      <c r="L1126" s="15">
        <v>200</v>
      </c>
      <c r="M1126" s="14">
        <f t="shared" si="116"/>
        <v>200</v>
      </c>
      <c r="N1126" s="74">
        <v>42189</v>
      </c>
    </row>
    <row r="1127" spans="2:15" x14ac:dyDescent="0.15">
      <c r="B1127" s="71" t="s">
        <v>248</v>
      </c>
      <c r="C1127" s="15">
        <v>85</v>
      </c>
      <c r="D1127" s="14">
        <f>SUM(C1127)</f>
        <v>85</v>
      </c>
      <c r="E1127" s="74">
        <v>42179</v>
      </c>
      <c r="F1127" s="74"/>
      <c r="G1127" s="74"/>
      <c r="H1127" s="74"/>
      <c r="I1127" s="74"/>
      <c r="J1127" s="51"/>
      <c r="K1127" s="4"/>
      <c r="L1127" s="15"/>
      <c r="M1127" s="14">
        <f t="shared" si="116"/>
        <v>0</v>
      </c>
    </row>
    <row r="1128" spans="2:15" x14ac:dyDescent="0.15">
      <c r="B1128" s="71" t="s">
        <v>251</v>
      </c>
      <c r="C1128" s="15">
        <v>42</v>
      </c>
      <c r="D1128" s="14">
        <f t="shared" ref="D1128:D1143" si="117">SUM(C1128)</f>
        <v>42</v>
      </c>
      <c r="E1128" s="48">
        <v>42178</v>
      </c>
      <c r="F1128" s="48"/>
      <c r="G1128" s="48"/>
      <c r="H1128" s="48"/>
      <c r="I1128" s="48"/>
      <c r="J1128" s="51"/>
      <c r="K1128" s="6"/>
      <c r="L1128" s="15"/>
      <c r="M1128" s="14">
        <f t="shared" si="116"/>
        <v>0</v>
      </c>
    </row>
    <row r="1129" spans="2:15" x14ac:dyDescent="0.15">
      <c r="B1129" s="71" t="s">
        <v>114</v>
      </c>
      <c r="C1129" s="15">
        <v>20</v>
      </c>
      <c r="D1129" s="14">
        <f t="shared" si="117"/>
        <v>20</v>
      </c>
      <c r="E1129" s="74">
        <v>42181</v>
      </c>
      <c r="F1129" s="74"/>
      <c r="G1129" s="74"/>
      <c r="H1129" s="74"/>
      <c r="I1129" s="74"/>
      <c r="J1129" s="51"/>
      <c r="K1129" s="6"/>
      <c r="L1129" s="15"/>
      <c r="M1129" s="14">
        <f t="shared" si="116"/>
        <v>0</v>
      </c>
    </row>
    <row r="1130" spans="2:15" x14ac:dyDescent="0.15">
      <c r="B1130" s="4" t="s">
        <v>212</v>
      </c>
      <c r="C1130" s="15">
        <v>16</v>
      </c>
      <c r="D1130" s="14">
        <f t="shared" si="117"/>
        <v>16</v>
      </c>
      <c r="E1130" s="74">
        <v>42200</v>
      </c>
      <c r="F1130" s="74"/>
      <c r="G1130" s="74"/>
      <c r="H1130" s="74"/>
      <c r="I1130" s="74"/>
      <c r="J1130" s="51"/>
      <c r="K1130" s="4"/>
      <c r="L1130" s="15"/>
      <c r="M1130" s="14">
        <f t="shared" si="116"/>
        <v>0</v>
      </c>
    </row>
    <row r="1131" spans="2:15" x14ac:dyDescent="0.15">
      <c r="B1131" s="71" t="s">
        <v>162</v>
      </c>
      <c r="C1131" s="15">
        <v>33</v>
      </c>
      <c r="D1131" s="14">
        <f t="shared" si="117"/>
        <v>33</v>
      </c>
      <c r="E1131" s="48">
        <v>42179</v>
      </c>
      <c r="F1131" s="48"/>
      <c r="G1131" s="48"/>
      <c r="H1131" s="48"/>
      <c r="I1131" s="48"/>
      <c r="J1131" s="51"/>
      <c r="K1131" s="4"/>
      <c r="L1131" s="15"/>
      <c r="M1131" s="14">
        <f t="shared" si="116"/>
        <v>0</v>
      </c>
    </row>
    <row r="1132" spans="2:15" x14ac:dyDescent="0.15">
      <c r="B1132" s="71" t="s">
        <v>252</v>
      </c>
      <c r="C1132" s="15">
        <v>23</v>
      </c>
      <c r="D1132" s="14">
        <f t="shared" si="117"/>
        <v>23</v>
      </c>
      <c r="E1132" s="48">
        <v>42180</v>
      </c>
      <c r="F1132" s="48"/>
      <c r="G1132" s="48"/>
      <c r="H1132" s="48"/>
      <c r="I1132" s="48"/>
      <c r="J1132" s="51"/>
      <c r="K1132" s="4"/>
      <c r="L1132" s="15"/>
      <c r="M1132" s="14">
        <f t="shared" si="116"/>
        <v>0</v>
      </c>
    </row>
    <row r="1133" spans="2:15" x14ac:dyDescent="0.15">
      <c r="B1133" s="71" t="s">
        <v>77</v>
      </c>
      <c r="C1133" s="15">
        <v>5</v>
      </c>
      <c r="D1133" s="14">
        <f t="shared" si="117"/>
        <v>5</v>
      </c>
      <c r="E1133" s="74">
        <v>42187</v>
      </c>
      <c r="F1133" s="74"/>
      <c r="G1133" s="74"/>
      <c r="H1133" s="74"/>
      <c r="I1133" s="74"/>
      <c r="J1133" s="51"/>
      <c r="K1133" s="4"/>
      <c r="L1133" s="15"/>
      <c r="M1133" s="14">
        <f>SUM(L1133:L1133)</f>
        <v>0</v>
      </c>
    </row>
    <row r="1134" spans="2:15" x14ac:dyDescent="0.15">
      <c r="B1134" s="71" t="s">
        <v>162</v>
      </c>
      <c r="C1134" s="15">
        <v>15</v>
      </c>
      <c r="D1134" s="14">
        <f t="shared" si="117"/>
        <v>15</v>
      </c>
      <c r="E1134" s="48">
        <v>42181</v>
      </c>
      <c r="F1134" s="48"/>
      <c r="G1134" s="48"/>
      <c r="H1134" s="48"/>
      <c r="I1134" s="48"/>
      <c r="J1134" s="51"/>
      <c r="K1134" s="6"/>
      <c r="L1134" s="15"/>
      <c r="M1134" s="14">
        <f>SUM(L1134)</f>
        <v>0</v>
      </c>
      <c r="N1134" s="75"/>
    </row>
    <row r="1135" spans="2:15" x14ac:dyDescent="0.15">
      <c r="B1135" s="71" t="s">
        <v>162</v>
      </c>
      <c r="C1135" s="15">
        <v>24</v>
      </c>
      <c r="D1135" s="14">
        <f t="shared" si="117"/>
        <v>24</v>
      </c>
      <c r="E1135" s="48">
        <v>42182</v>
      </c>
      <c r="F1135" s="48"/>
      <c r="G1135" s="48"/>
      <c r="H1135" s="48"/>
      <c r="I1135" s="48"/>
      <c r="J1135" s="51"/>
      <c r="K1135" s="6"/>
      <c r="L1135" s="15"/>
      <c r="M1135" s="14">
        <f>SUM(L1135)</f>
        <v>0</v>
      </c>
      <c r="N1135" s="75"/>
    </row>
    <row r="1136" spans="2:15" x14ac:dyDescent="0.15">
      <c r="B1136" s="71" t="s">
        <v>162</v>
      </c>
      <c r="C1136" s="15">
        <v>41</v>
      </c>
      <c r="D1136" s="14">
        <f t="shared" si="117"/>
        <v>41</v>
      </c>
      <c r="E1136" s="48">
        <v>42184</v>
      </c>
      <c r="F1136" s="48"/>
      <c r="G1136" s="48"/>
      <c r="H1136" s="48"/>
      <c r="I1136" s="48"/>
      <c r="J1136" s="51"/>
      <c r="K1136" s="4"/>
      <c r="L1136" s="15"/>
      <c r="M1136" s="14">
        <f>SUM(L1136:L1136)</f>
        <v>0</v>
      </c>
      <c r="N1136" s="75"/>
    </row>
    <row r="1137" spans="1:14" x14ac:dyDescent="0.15">
      <c r="B1137" s="4" t="s">
        <v>253</v>
      </c>
      <c r="C1137" s="15">
        <v>1</v>
      </c>
      <c r="D1137" s="14">
        <f t="shared" si="117"/>
        <v>1</v>
      </c>
      <c r="E1137" s="48">
        <v>42185</v>
      </c>
      <c r="F1137" s="48"/>
      <c r="G1137" s="48"/>
      <c r="H1137" s="48"/>
      <c r="I1137" s="48"/>
      <c r="J1137" s="51"/>
      <c r="K1137" s="4"/>
      <c r="L1137" s="15"/>
      <c r="M1137" s="14">
        <f>SUM(L1137)</f>
        <v>0</v>
      </c>
      <c r="N1137" s="75"/>
    </row>
    <row r="1138" spans="1:14" x14ac:dyDescent="0.15">
      <c r="B1138" s="4" t="s">
        <v>162</v>
      </c>
      <c r="C1138" s="15">
        <v>13</v>
      </c>
      <c r="D1138" s="14">
        <f t="shared" si="117"/>
        <v>13</v>
      </c>
      <c r="E1138" s="48">
        <v>42185</v>
      </c>
      <c r="F1138" s="48"/>
      <c r="G1138" s="48"/>
      <c r="H1138" s="48"/>
      <c r="I1138" s="48"/>
      <c r="J1138" s="51"/>
      <c r="K1138" s="4"/>
      <c r="L1138" s="15"/>
      <c r="M1138" s="14">
        <f>SUM(L1138:L1138)</f>
        <v>0</v>
      </c>
      <c r="N1138" s="74"/>
    </row>
    <row r="1139" spans="1:14" x14ac:dyDescent="0.15">
      <c r="B1139" s="4" t="s">
        <v>162</v>
      </c>
      <c r="C1139" s="15">
        <v>20</v>
      </c>
      <c r="D1139" s="14">
        <f t="shared" si="117"/>
        <v>20</v>
      </c>
      <c r="E1139" s="48">
        <v>42186</v>
      </c>
      <c r="F1139" s="48"/>
      <c r="G1139" s="48"/>
      <c r="H1139" s="48"/>
      <c r="I1139" s="48"/>
      <c r="J1139" s="51"/>
      <c r="K1139" s="4"/>
      <c r="L1139" s="15"/>
      <c r="M1139" s="14">
        <f>SUM(L1139)</f>
        <v>0</v>
      </c>
      <c r="N1139" s="75"/>
    </row>
    <row r="1140" spans="1:14" x14ac:dyDescent="0.15">
      <c r="B1140" s="4" t="s">
        <v>162</v>
      </c>
      <c r="C1140" s="15">
        <v>51</v>
      </c>
      <c r="D1140" s="14">
        <f t="shared" si="117"/>
        <v>51</v>
      </c>
      <c r="E1140" s="48">
        <v>42187</v>
      </c>
      <c r="F1140" s="48"/>
      <c r="G1140" s="48"/>
      <c r="H1140" s="48"/>
      <c r="I1140" s="48"/>
      <c r="J1140" s="51"/>
      <c r="K1140" s="4"/>
      <c r="L1140" s="15"/>
      <c r="M1140" s="14">
        <f>SUM(L1140)</f>
        <v>0</v>
      </c>
      <c r="N1140" s="75"/>
    </row>
    <row r="1141" spans="1:14" x14ac:dyDescent="0.15">
      <c r="B1141" s="71" t="s">
        <v>114</v>
      </c>
      <c r="C1141" s="15">
        <v>50</v>
      </c>
      <c r="D1141" s="14">
        <f t="shared" si="117"/>
        <v>50</v>
      </c>
      <c r="E1141" s="74">
        <v>42192</v>
      </c>
      <c r="F1141" s="74"/>
      <c r="G1141" s="74"/>
      <c r="H1141" s="74"/>
      <c r="I1141" s="74"/>
      <c r="J1141" s="51"/>
      <c r="K1141" s="4"/>
      <c r="L1141" s="15"/>
      <c r="M1141" s="14">
        <f>SUM(L1141:L1141)</f>
        <v>0</v>
      </c>
      <c r="N1141" s="74"/>
    </row>
    <row r="1142" spans="1:14" x14ac:dyDescent="0.15">
      <c r="B1142" s="4" t="s">
        <v>227</v>
      </c>
      <c r="C1142" s="15">
        <v>1</v>
      </c>
      <c r="D1142" s="14">
        <f t="shared" si="117"/>
        <v>1</v>
      </c>
      <c r="E1142" s="74">
        <v>42192</v>
      </c>
      <c r="F1142" s="74"/>
      <c r="G1142" s="74"/>
      <c r="H1142" s="74"/>
      <c r="I1142" s="74"/>
      <c r="J1142" s="51"/>
      <c r="K1142" s="4"/>
      <c r="L1142" s="15"/>
      <c r="M1142" s="14">
        <f>SUM(L1142)</f>
        <v>0</v>
      </c>
      <c r="N1142" s="75"/>
    </row>
    <row r="1143" spans="1:14" x14ac:dyDescent="0.15">
      <c r="B1143" s="4" t="s">
        <v>162</v>
      </c>
      <c r="C1143" s="15">
        <v>26</v>
      </c>
      <c r="D1143" s="14">
        <f t="shared" si="117"/>
        <v>26</v>
      </c>
      <c r="E1143" s="48">
        <v>42188</v>
      </c>
      <c r="F1143" s="48"/>
      <c r="G1143" s="48"/>
      <c r="H1143" s="48"/>
      <c r="I1143" s="48"/>
      <c r="J1143" s="51"/>
      <c r="K1143" s="4"/>
      <c r="L1143" s="15"/>
      <c r="M1143" s="14">
        <f>SUM(L1143:L1143)</f>
        <v>0</v>
      </c>
      <c r="N1143" s="75"/>
    </row>
    <row r="1144" spans="1:14" x14ac:dyDescent="0.15">
      <c r="B1144" s="4" t="s">
        <v>162</v>
      </c>
      <c r="C1144" s="15">
        <v>9</v>
      </c>
      <c r="D1144" s="14">
        <f>SUM(C1144)</f>
        <v>9</v>
      </c>
      <c r="E1144" s="48">
        <v>42189</v>
      </c>
      <c r="F1144" s="48"/>
      <c r="G1144" s="48"/>
      <c r="H1144" s="48"/>
      <c r="I1144" s="48"/>
      <c r="J1144" s="51"/>
      <c r="K1144" s="4"/>
      <c r="L1144" s="15"/>
      <c r="M1144" s="14">
        <f>SUM(L1144:L1144)</f>
        <v>0</v>
      </c>
      <c r="N1144" s="74"/>
    </row>
    <row r="1145" spans="1:14" ht="14.25" thickBot="1" x14ac:dyDescent="0.2">
      <c r="B1145" s="4" t="s">
        <v>227</v>
      </c>
      <c r="C1145" s="15">
        <v>4</v>
      </c>
      <c r="D1145" s="14">
        <f>SUM(C1145)</f>
        <v>4</v>
      </c>
      <c r="E1145" s="74">
        <v>42195</v>
      </c>
      <c r="F1145" s="74"/>
      <c r="G1145" s="74"/>
      <c r="H1145" s="74"/>
      <c r="I1145" s="74"/>
      <c r="J1145" s="51"/>
      <c r="K1145" s="4"/>
      <c r="L1145" s="15"/>
      <c r="M1145" s="14">
        <f>SUM(L1145:L1145)</f>
        <v>0</v>
      </c>
      <c r="N1145" s="75"/>
    </row>
    <row r="1146" spans="1:14" ht="14.25" thickBot="1" x14ac:dyDescent="0.2">
      <c r="B1146" s="3" t="s">
        <v>5</v>
      </c>
      <c r="C1146" s="16">
        <f>SUM(C1122:C1145)</f>
        <v>614</v>
      </c>
      <c r="D1146" s="17">
        <f>SUM(D1122:D1145)</f>
        <v>614</v>
      </c>
      <c r="K1146" s="3" t="s">
        <v>5</v>
      </c>
      <c r="L1146" s="16">
        <f>SUM(L1122:L1145)</f>
        <v>800</v>
      </c>
      <c r="M1146" s="17">
        <f>SUM(M1122:M1145)</f>
        <v>800</v>
      </c>
    </row>
    <row r="1147" spans="1:14" ht="14.25" thickBot="1" x14ac:dyDescent="0.2">
      <c r="B1147" s="18" t="s">
        <v>6</v>
      </c>
      <c r="C1147" s="19">
        <f>C1121-C1146</f>
        <v>291</v>
      </c>
      <c r="D1147" s="13">
        <f>D1121-D1146</f>
        <v>291</v>
      </c>
      <c r="K1147" s="18" t="s">
        <v>6</v>
      </c>
      <c r="L1147" s="19">
        <f>L1121-L1146</f>
        <v>4651</v>
      </c>
      <c r="M1147" s="13">
        <f>M1121-M1146</f>
        <v>4651</v>
      </c>
    </row>
    <row r="1149" spans="1:14" ht="18" thickBot="1" x14ac:dyDescent="0.25">
      <c r="A1149" s="27" t="s">
        <v>8</v>
      </c>
      <c r="B1149" s="28"/>
      <c r="C1149" s="28"/>
      <c r="D1149" s="28"/>
      <c r="J1149" s="139" t="s">
        <v>218</v>
      </c>
      <c r="K1149" s="140"/>
      <c r="L1149" s="140"/>
      <c r="M1149" s="140"/>
      <c r="N1149" s="140"/>
    </row>
    <row r="1150" spans="1:14" ht="14.25" thickBot="1" x14ac:dyDescent="0.2">
      <c r="B1150" s="2"/>
      <c r="C1150" s="3" t="s">
        <v>0</v>
      </c>
      <c r="D1150" s="2" t="s">
        <v>1</v>
      </c>
      <c r="K1150" s="2"/>
      <c r="L1150" s="3" t="s">
        <v>0</v>
      </c>
      <c r="M1150" s="2" t="s">
        <v>1</v>
      </c>
    </row>
    <row r="1151" spans="1:14" x14ac:dyDescent="0.15">
      <c r="B1151" s="43" t="s">
        <v>26</v>
      </c>
      <c r="C1151" s="38">
        <f>C1147</f>
        <v>291</v>
      </c>
      <c r="D1151" s="39">
        <f t="shared" ref="D1151:D1161" si="118">SUM(C1151:C1151)</f>
        <v>291</v>
      </c>
      <c r="K1151" s="43" t="s">
        <v>26</v>
      </c>
      <c r="L1151" s="38">
        <f>L1147</f>
        <v>4651</v>
      </c>
      <c r="M1151" s="39">
        <f t="shared" ref="M1151:M1161" si="119">SUM(L1151:L1151)</f>
        <v>4651</v>
      </c>
    </row>
    <row r="1152" spans="1:14" x14ac:dyDescent="0.15">
      <c r="B1152" s="6" t="s">
        <v>3</v>
      </c>
      <c r="C1152" s="7">
        <v>200</v>
      </c>
      <c r="D1152" s="5">
        <f t="shared" si="118"/>
        <v>200</v>
      </c>
      <c r="E1152" s="74">
        <v>42199</v>
      </c>
      <c r="F1152" s="74"/>
      <c r="G1152" s="74"/>
      <c r="H1152" s="74"/>
      <c r="I1152" s="74"/>
      <c r="K1152" s="6" t="s">
        <v>3</v>
      </c>
      <c r="L1152" s="7"/>
      <c r="M1152" s="5">
        <f t="shared" si="119"/>
        <v>0</v>
      </c>
    </row>
    <row r="1153" spans="2:15" x14ac:dyDescent="0.15">
      <c r="B1153" s="6" t="s">
        <v>3</v>
      </c>
      <c r="C1153" s="7"/>
      <c r="D1153" s="5">
        <f t="shared" si="118"/>
        <v>0</v>
      </c>
      <c r="K1153" s="6" t="s">
        <v>3</v>
      </c>
      <c r="L1153" s="7"/>
      <c r="M1153" s="5">
        <f t="shared" si="119"/>
        <v>0</v>
      </c>
      <c r="N1153" s="74"/>
    </row>
    <row r="1154" spans="2:15" x14ac:dyDescent="0.15">
      <c r="B1154" s="6" t="s">
        <v>3</v>
      </c>
      <c r="C1154" s="7">
        <v>200</v>
      </c>
      <c r="D1154" s="5">
        <f t="shared" si="118"/>
        <v>200</v>
      </c>
      <c r="E1154" s="74">
        <v>42201</v>
      </c>
      <c r="F1154" s="74"/>
      <c r="G1154" s="74"/>
      <c r="H1154" s="74"/>
      <c r="I1154" s="74"/>
      <c r="K1154" s="6" t="s">
        <v>3</v>
      </c>
      <c r="L1154" s="7"/>
      <c r="M1154" s="5">
        <f t="shared" si="119"/>
        <v>0</v>
      </c>
      <c r="N1154" s="74"/>
    </row>
    <row r="1155" spans="2:15" x14ac:dyDescent="0.15">
      <c r="B1155" s="6" t="s">
        <v>3</v>
      </c>
      <c r="C1155" s="7"/>
      <c r="D1155" s="5">
        <f t="shared" si="118"/>
        <v>0</v>
      </c>
      <c r="K1155" s="6" t="s">
        <v>3</v>
      </c>
      <c r="L1155" s="7"/>
      <c r="M1155" s="5">
        <f t="shared" si="119"/>
        <v>0</v>
      </c>
    </row>
    <row r="1156" spans="2:15" x14ac:dyDescent="0.15">
      <c r="B1156" s="4" t="s">
        <v>9</v>
      </c>
      <c r="C1156" s="163">
        <v>400</v>
      </c>
      <c r="D1156" s="14">
        <f>SUM(C1156:C1156)</f>
        <v>400</v>
      </c>
      <c r="E1156" s="74">
        <v>42206</v>
      </c>
      <c r="F1156" s="74"/>
      <c r="G1156" s="74"/>
      <c r="H1156" s="74"/>
      <c r="I1156" s="74"/>
      <c r="K1156" s="6" t="s">
        <v>3</v>
      </c>
      <c r="L1156" s="7"/>
      <c r="M1156" s="5">
        <f t="shared" si="119"/>
        <v>0</v>
      </c>
    </row>
    <row r="1157" spans="2:15" x14ac:dyDescent="0.15">
      <c r="B1157" s="6" t="s">
        <v>3</v>
      </c>
      <c r="C1157" s="7"/>
      <c r="D1157" s="5">
        <f t="shared" si="118"/>
        <v>0</v>
      </c>
      <c r="K1157" s="6" t="s">
        <v>3</v>
      </c>
      <c r="L1157" s="7"/>
      <c r="M1157" s="5">
        <f t="shared" si="119"/>
        <v>0</v>
      </c>
    </row>
    <row r="1158" spans="2:15" x14ac:dyDescent="0.15">
      <c r="B1158" s="6" t="s">
        <v>3</v>
      </c>
      <c r="C1158" s="54"/>
      <c r="D1158" s="5">
        <f t="shared" si="118"/>
        <v>0</v>
      </c>
      <c r="K1158" s="6" t="s">
        <v>3</v>
      </c>
      <c r="L1158" s="7"/>
      <c r="M1158" s="5">
        <f t="shared" si="119"/>
        <v>0</v>
      </c>
    </row>
    <row r="1159" spans="2:15" x14ac:dyDescent="0.15">
      <c r="B1159" s="6" t="s">
        <v>3</v>
      </c>
      <c r="C1159" s="54"/>
      <c r="D1159" s="5">
        <f t="shared" si="118"/>
        <v>0</v>
      </c>
      <c r="K1159" s="6" t="s">
        <v>3</v>
      </c>
      <c r="L1159" s="7"/>
      <c r="M1159" s="5">
        <f t="shared" si="119"/>
        <v>0</v>
      </c>
    </row>
    <row r="1160" spans="2:15" x14ac:dyDescent="0.15">
      <c r="B1160" s="6" t="s">
        <v>3</v>
      </c>
      <c r="C1160" s="54"/>
      <c r="D1160" s="5">
        <f t="shared" si="118"/>
        <v>0</v>
      </c>
      <c r="K1160" s="6" t="s">
        <v>3</v>
      </c>
      <c r="L1160" s="7"/>
      <c r="M1160" s="5">
        <f t="shared" si="119"/>
        <v>0</v>
      </c>
    </row>
    <row r="1161" spans="2:15" ht="14.25" thickBot="1" x14ac:dyDescent="0.2">
      <c r="B1161" s="9" t="s">
        <v>3</v>
      </c>
      <c r="C1161" s="101"/>
      <c r="D1161" s="5">
        <f t="shared" si="118"/>
        <v>0</v>
      </c>
      <c r="K1161" s="9" t="s">
        <v>3</v>
      </c>
      <c r="L1161" s="10"/>
      <c r="M1161" s="5">
        <f t="shared" si="119"/>
        <v>0</v>
      </c>
    </row>
    <row r="1162" spans="2:15" ht="14.25" thickBot="1" x14ac:dyDescent="0.2">
      <c r="B1162" s="11" t="s">
        <v>4</v>
      </c>
      <c r="C1162" s="12">
        <f>SUM(C1151:C1161)</f>
        <v>1091</v>
      </c>
      <c r="D1162" s="13">
        <f>SUM(D1151:D1161)</f>
        <v>1091</v>
      </c>
      <c r="K1162" s="11" t="s">
        <v>4</v>
      </c>
      <c r="L1162" s="12">
        <f>SUM(L1151:L1161)</f>
        <v>4651</v>
      </c>
      <c r="M1162" s="13">
        <f>SUM(M1151:M1161)</f>
        <v>4651</v>
      </c>
    </row>
    <row r="1163" spans="2:15" x14ac:dyDescent="0.15">
      <c r="B1163" s="71" t="s">
        <v>162</v>
      </c>
      <c r="C1163" s="15">
        <v>47</v>
      </c>
      <c r="D1163" s="14">
        <f>C1163</f>
        <v>47</v>
      </c>
      <c r="E1163" s="48">
        <v>42191</v>
      </c>
      <c r="F1163" s="48"/>
      <c r="G1163" s="48"/>
      <c r="H1163" s="48"/>
      <c r="I1163" s="48"/>
      <c r="K1163" s="4" t="s">
        <v>9</v>
      </c>
      <c r="L1163" s="44">
        <v>200</v>
      </c>
      <c r="M1163" s="14">
        <f t="shared" ref="M1163:M1173" si="120">SUM(L1163:L1163)</f>
        <v>200</v>
      </c>
      <c r="N1163" s="74">
        <v>42199</v>
      </c>
      <c r="O1163" s="75"/>
    </row>
    <row r="1164" spans="2:15" x14ac:dyDescent="0.15">
      <c r="B1164" s="71" t="s">
        <v>162</v>
      </c>
      <c r="C1164" s="15">
        <v>8</v>
      </c>
      <c r="D1164" s="14">
        <f>SUM(C1164)</f>
        <v>8</v>
      </c>
      <c r="E1164" s="48">
        <v>42192</v>
      </c>
      <c r="F1164" s="48"/>
      <c r="G1164" s="48"/>
      <c r="H1164" s="48"/>
      <c r="I1164" s="48"/>
      <c r="J1164" s="51"/>
      <c r="K1164" s="4" t="s">
        <v>9</v>
      </c>
      <c r="L1164" s="44">
        <v>200</v>
      </c>
      <c r="M1164" s="14">
        <f t="shared" si="120"/>
        <v>200</v>
      </c>
      <c r="N1164" s="74">
        <v>42201</v>
      </c>
    </row>
    <row r="1165" spans="2:15" x14ac:dyDescent="0.15">
      <c r="B1165" s="71" t="s">
        <v>162</v>
      </c>
      <c r="C1165" s="15">
        <v>13</v>
      </c>
      <c r="D1165" s="14">
        <f>SUM(C1165)</f>
        <v>13</v>
      </c>
      <c r="E1165" s="48">
        <v>42193</v>
      </c>
      <c r="F1165" s="48"/>
      <c r="G1165" s="48"/>
      <c r="H1165" s="48"/>
      <c r="I1165" s="48"/>
      <c r="J1165" s="51"/>
      <c r="K1165" s="4" t="s">
        <v>9</v>
      </c>
      <c r="L1165" s="44">
        <v>400</v>
      </c>
      <c r="M1165" s="14">
        <f t="shared" si="120"/>
        <v>400</v>
      </c>
      <c r="N1165" s="74">
        <v>42206</v>
      </c>
    </row>
    <row r="1166" spans="2:15" x14ac:dyDescent="0.15">
      <c r="B1166" s="71" t="s">
        <v>114</v>
      </c>
      <c r="C1166" s="15">
        <v>30</v>
      </c>
      <c r="D1166" s="14">
        <f>SUM(C1166)</f>
        <v>30</v>
      </c>
      <c r="E1166" s="74">
        <v>42198</v>
      </c>
      <c r="F1166" s="74"/>
      <c r="G1166" s="74"/>
      <c r="H1166" s="74"/>
      <c r="I1166" s="74"/>
      <c r="J1166" s="51"/>
      <c r="K1166" s="4" t="s">
        <v>258</v>
      </c>
      <c r="L1166" s="15">
        <v>1300</v>
      </c>
      <c r="M1166" s="14">
        <f t="shared" si="120"/>
        <v>1300</v>
      </c>
      <c r="N1166" s="74">
        <v>42206</v>
      </c>
    </row>
    <row r="1167" spans="2:15" x14ac:dyDescent="0.15">
      <c r="B1167" s="4" t="s">
        <v>233</v>
      </c>
      <c r="C1167" s="15">
        <v>20</v>
      </c>
      <c r="D1167" s="14">
        <f>SUM(C1167)</f>
        <v>20</v>
      </c>
      <c r="E1167" s="74">
        <v>42198</v>
      </c>
      <c r="F1167" s="74"/>
      <c r="G1167" s="74"/>
      <c r="H1167" s="74"/>
      <c r="I1167" s="74"/>
      <c r="J1167" s="51"/>
      <c r="K1167" s="4" t="s">
        <v>260</v>
      </c>
      <c r="L1167" s="15">
        <v>672</v>
      </c>
      <c r="M1167" s="14">
        <f t="shared" si="120"/>
        <v>672</v>
      </c>
      <c r="N1167" s="74">
        <v>42208</v>
      </c>
    </row>
    <row r="1168" spans="2:15" x14ac:dyDescent="0.15">
      <c r="B1168" s="71" t="s">
        <v>162</v>
      </c>
      <c r="C1168" s="15">
        <v>26</v>
      </c>
      <c r="D1168" s="14">
        <f>SUM(C1168)</f>
        <v>26</v>
      </c>
      <c r="E1168" s="48">
        <v>42194</v>
      </c>
      <c r="F1168" s="48"/>
      <c r="G1168" s="48"/>
      <c r="H1168" s="48"/>
      <c r="I1168" s="48"/>
      <c r="J1168" s="51"/>
      <c r="K1168" s="4" t="s">
        <v>262</v>
      </c>
      <c r="L1168" s="15">
        <v>100</v>
      </c>
      <c r="M1168" s="14">
        <f t="shared" si="120"/>
        <v>100</v>
      </c>
      <c r="N1168" s="74">
        <v>42209</v>
      </c>
    </row>
    <row r="1169" spans="2:14" x14ac:dyDescent="0.15">
      <c r="B1169" s="71" t="s">
        <v>254</v>
      </c>
      <c r="C1169" s="15">
        <v>15</v>
      </c>
      <c r="D1169" s="14">
        <f t="shared" ref="D1169:D1184" si="121">SUM(C1169)</f>
        <v>15</v>
      </c>
      <c r="E1169" s="48">
        <v>42195</v>
      </c>
      <c r="F1169" s="48"/>
      <c r="G1169" s="48"/>
      <c r="H1169" s="48"/>
      <c r="I1169" s="48"/>
      <c r="J1169" s="51"/>
      <c r="K1169" s="4" t="s">
        <v>9</v>
      </c>
      <c r="L1169" s="15">
        <v>200</v>
      </c>
      <c r="M1169" s="14">
        <f t="shared" si="120"/>
        <v>200</v>
      </c>
      <c r="N1169" s="74">
        <v>42213</v>
      </c>
    </row>
    <row r="1170" spans="2:14" x14ac:dyDescent="0.15">
      <c r="B1170" s="71" t="s">
        <v>77</v>
      </c>
      <c r="C1170" s="15">
        <v>10</v>
      </c>
      <c r="D1170" s="14">
        <f t="shared" si="121"/>
        <v>10</v>
      </c>
      <c r="E1170" s="74">
        <v>42200</v>
      </c>
      <c r="F1170" s="74"/>
      <c r="G1170" s="74"/>
      <c r="H1170" s="74"/>
      <c r="I1170" s="74"/>
      <c r="J1170" s="51"/>
      <c r="K1170" s="4" t="s">
        <v>9</v>
      </c>
      <c r="L1170" s="15">
        <v>200</v>
      </c>
      <c r="M1170" s="14">
        <f t="shared" si="120"/>
        <v>200</v>
      </c>
      <c r="N1170" s="74">
        <v>42215</v>
      </c>
    </row>
    <row r="1171" spans="2:14" x14ac:dyDescent="0.15">
      <c r="B1171" s="71" t="s">
        <v>256</v>
      </c>
      <c r="C1171" s="15">
        <v>115</v>
      </c>
      <c r="D1171" s="14">
        <f t="shared" si="121"/>
        <v>115</v>
      </c>
      <c r="E1171" s="48">
        <v>42198</v>
      </c>
      <c r="F1171" s="48"/>
      <c r="G1171" s="48"/>
      <c r="H1171" s="48"/>
      <c r="I1171" s="48"/>
      <c r="J1171" s="51"/>
      <c r="K1171" s="4" t="s">
        <v>9</v>
      </c>
      <c r="L1171" s="15">
        <v>200</v>
      </c>
      <c r="M1171" s="14">
        <f t="shared" si="120"/>
        <v>200</v>
      </c>
      <c r="N1171" s="74">
        <v>42217</v>
      </c>
    </row>
    <row r="1172" spans="2:14" x14ac:dyDescent="0.15">
      <c r="B1172" s="71" t="s">
        <v>255</v>
      </c>
      <c r="C1172" s="15">
        <v>19</v>
      </c>
      <c r="D1172" s="14">
        <f t="shared" si="121"/>
        <v>19</v>
      </c>
      <c r="E1172" s="48">
        <v>42198</v>
      </c>
      <c r="F1172" s="48"/>
      <c r="G1172" s="48"/>
      <c r="H1172" s="48"/>
      <c r="I1172" s="48"/>
      <c r="J1172" s="51"/>
      <c r="K1172" s="4"/>
      <c r="L1172" s="15"/>
      <c r="M1172" s="14">
        <f t="shared" si="120"/>
        <v>0</v>
      </c>
    </row>
    <row r="1173" spans="2:14" x14ac:dyDescent="0.15">
      <c r="B1173" s="71" t="s">
        <v>162</v>
      </c>
      <c r="C1173" s="15">
        <v>72</v>
      </c>
      <c r="D1173" s="14">
        <f t="shared" si="121"/>
        <v>72</v>
      </c>
      <c r="E1173" s="48">
        <v>42199</v>
      </c>
      <c r="F1173" s="48"/>
      <c r="G1173" s="48"/>
      <c r="H1173" s="48"/>
      <c r="I1173" s="48"/>
      <c r="J1173" s="51"/>
      <c r="K1173" s="4"/>
      <c r="L1173" s="15"/>
      <c r="M1173" s="14">
        <f t="shared" si="120"/>
        <v>0</v>
      </c>
    </row>
    <row r="1174" spans="2:14" x14ac:dyDescent="0.15">
      <c r="B1174" s="71" t="s">
        <v>257</v>
      </c>
      <c r="C1174" s="15">
        <v>65</v>
      </c>
      <c r="D1174" s="14">
        <f t="shared" si="121"/>
        <v>65</v>
      </c>
      <c r="E1174" s="48">
        <v>42200</v>
      </c>
      <c r="F1174" s="48"/>
      <c r="G1174" s="48"/>
      <c r="H1174" s="48"/>
      <c r="I1174" s="48"/>
      <c r="J1174" s="51"/>
      <c r="K1174" s="4"/>
      <c r="L1174" s="15"/>
      <c r="M1174" s="14">
        <f>SUM(L1174:L1174)</f>
        <v>0</v>
      </c>
    </row>
    <row r="1175" spans="2:14" x14ac:dyDescent="0.15">
      <c r="B1175" s="71" t="s">
        <v>114</v>
      </c>
      <c r="C1175" s="15">
        <v>40</v>
      </c>
      <c r="D1175" s="14">
        <f t="shared" si="121"/>
        <v>40</v>
      </c>
      <c r="E1175" s="74">
        <v>42206</v>
      </c>
      <c r="F1175" s="74"/>
      <c r="G1175" s="74"/>
      <c r="H1175" s="74"/>
      <c r="I1175" s="74"/>
      <c r="J1175" s="51"/>
      <c r="K1175" s="6"/>
      <c r="L1175" s="15"/>
      <c r="M1175" s="14">
        <f>SUM(L1175)</f>
        <v>0</v>
      </c>
      <c r="N1175" s="75"/>
    </row>
    <row r="1176" spans="2:14" x14ac:dyDescent="0.15">
      <c r="B1176" s="4" t="s">
        <v>162</v>
      </c>
      <c r="C1176" s="15">
        <v>59</v>
      </c>
      <c r="D1176" s="14">
        <f t="shared" si="121"/>
        <v>59</v>
      </c>
      <c r="E1176" s="48">
        <v>42201</v>
      </c>
      <c r="F1176" s="48"/>
      <c r="G1176" s="48"/>
      <c r="H1176" s="48"/>
      <c r="I1176" s="48"/>
      <c r="J1176" s="51"/>
      <c r="K1176" s="6"/>
      <c r="L1176" s="15"/>
      <c r="M1176" s="14">
        <f>SUM(L1176)</f>
        <v>0</v>
      </c>
      <c r="N1176" s="75"/>
    </row>
    <row r="1177" spans="2:14" x14ac:dyDescent="0.15">
      <c r="B1177" s="4" t="s">
        <v>162</v>
      </c>
      <c r="C1177" s="15">
        <v>32</v>
      </c>
      <c r="D1177" s="14">
        <f t="shared" si="121"/>
        <v>32</v>
      </c>
      <c r="E1177" s="48">
        <v>42202</v>
      </c>
      <c r="F1177" s="48"/>
      <c r="G1177" s="48"/>
      <c r="H1177" s="48"/>
      <c r="I1177" s="48"/>
      <c r="J1177" s="51"/>
      <c r="K1177" s="4"/>
      <c r="L1177" s="15"/>
      <c r="M1177" s="14">
        <f>SUM(L1177:L1177)</f>
        <v>0</v>
      </c>
      <c r="N1177" s="75"/>
    </row>
    <row r="1178" spans="2:14" x14ac:dyDescent="0.15">
      <c r="B1178" s="4" t="s">
        <v>261</v>
      </c>
      <c r="C1178" s="15">
        <v>22</v>
      </c>
      <c r="D1178" s="14">
        <f t="shared" si="121"/>
        <v>22</v>
      </c>
      <c r="E1178" s="48">
        <v>42203</v>
      </c>
      <c r="F1178" s="48"/>
      <c r="G1178" s="48"/>
      <c r="H1178" s="48"/>
      <c r="I1178" s="48"/>
      <c r="J1178" s="51"/>
      <c r="K1178" s="4"/>
      <c r="L1178" s="15"/>
      <c r="M1178" s="14">
        <f>SUM(L1178)</f>
        <v>0</v>
      </c>
      <c r="N1178" s="75"/>
    </row>
    <row r="1179" spans="2:14" x14ac:dyDescent="0.15">
      <c r="B1179" s="4" t="s">
        <v>227</v>
      </c>
      <c r="C1179" s="15">
        <v>2</v>
      </c>
      <c r="D1179" s="14">
        <f t="shared" si="121"/>
        <v>2</v>
      </c>
      <c r="E1179" s="74">
        <v>42208</v>
      </c>
      <c r="F1179" s="74"/>
      <c r="G1179" s="74"/>
      <c r="H1179" s="74"/>
      <c r="I1179" s="74"/>
      <c r="J1179" s="51"/>
      <c r="K1179" s="4"/>
      <c r="L1179" s="15"/>
      <c r="M1179" s="14">
        <f>SUM(L1179:L1179)</f>
        <v>0</v>
      </c>
      <c r="N1179" s="75"/>
    </row>
    <row r="1180" spans="2:14" x14ac:dyDescent="0.15">
      <c r="B1180" s="4" t="s">
        <v>162</v>
      </c>
      <c r="C1180" s="15">
        <v>142</v>
      </c>
      <c r="D1180" s="14">
        <f t="shared" si="121"/>
        <v>142</v>
      </c>
      <c r="E1180" s="48">
        <v>42206</v>
      </c>
      <c r="F1180" s="48"/>
      <c r="G1180" s="48"/>
      <c r="H1180" s="48"/>
      <c r="I1180" s="48"/>
      <c r="J1180" s="51"/>
      <c r="K1180" s="4"/>
      <c r="L1180" s="15"/>
      <c r="M1180" s="14">
        <f>SUM(L1180)</f>
        <v>0</v>
      </c>
      <c r="N1180" s="75"/>
    </row>
    <row r="1181" spans="2:14" x14ac:dyDescent="0.15">
      <c r="B1181" s="4" t="s">
        <v>162</v>
      </c>
      <c r="C1181" s="15">
        <v>67</v>
      </c>
      <c r="D1181" s="14">
        <f t="shared" si="121"/>
        <v>67</v>
      </c>
      <c r="E1181" s="48">
        <v>42207</v>
      </c>
      <c r="F1181" s="48"/>
      <c r="G1181" s="48"/>
      <c r="H1181" s="48"/>
      <c r="I1181" s="48"/>
      <c r="J1181" s="51"/>
      <c r="K1181" s="4"/>
      <c r="L1181" s="15"/>
      <c r="M1181" s="14">
        <f>SUM(L1181)</f>
        <v>0</v>
      </c>
      <c r="N1181" s="75"/>
    </row>
    <row r="1182" spans="2:14" x14ac:dyDescent="0.15">
      <c r="B1182" s="4" t="s">
        <v>263</v>
      </c>
      <c r="C1182" s="15">
        <v>32</v>
      </c>
      <c r="D1182" s="14">
        <f t="shared" si="121"/>
        <v>32</v>
      </c>
      <c r="E1182" s="48">
        <v>42208</v>
      </c>
      <c r="F1182" s="48"/>
      <c r="G1182" s="48"/>
      <c r="H1182" s="48"/>
      <c r="I1182" s="48"/>
      <c r="J1182" s="51"/>
      <c r="K1182" s="4"/>
      <c r="L1182" s="15"/>
      <c r="M1182" s="14">
        <f>SUM(L1182)</f>
        <v>0</v>
      </c>
      <c r="N1182" s="75"/>
    </row>
    <row r="1183" spans="2:14" x14ac:dyDescent="0.15">
      <c r="B1183" s="4" t="s">
        <v>133</v>
      </c>
      <c r="C1183" s="15">
        <v>25</v>
      </c>
      <c r="D1183" s="14">
        <f t="shared" si="121"/>
        <v>25</v>
      </c>
      <c r="E1183" s="74">
        <v>42212</v>
      </c>
      <c r="F1183" s="74"/>
      <c r="G1183" s="74"/>
      <c r="H1183" s="74"/>
      <c r="I1183" s="74"/>
      <c r="J1183" s="51"/>
      <c r="K1183" s="4"/>
      <c r="L1183" s="15"/>
      <c r="M1183" s="14">
        <f>SUM(L1183:L1183)</f>
        <v>0</v>
      </c>
      <c r="N1183" s="75"/>
    </row>
    <row r="1184" spans="2:14" x14ac:dyDescent="0.15">
      <c r="B1184" s="4" t="s">
        <v>227</v>
      </c>
      <c r="C1184" s="15">
        <v>2</v>
      </c>
      <c r="D1184" s="14">
        <f t="shared" si="121"/>
        <v>2</v>
      </c>
      <c r="E1184" s="74">
        <v>42213</v>
      </c>
      <c r="F1184" s="74"/>
      <c r="G1184" s="74"/>
      <c r="H1184" s="74"/>
      <c r="I1184" s="74"/>
      <c r="J1184" s="51"/>
      <c r="K1184" s="4"/>
      <c r="L1184" s="15"/>
      <c r="M1184" s="14">
        <f>SUM(L1184:L1184)</f>
        <v>0</v>
      </c>
      <c r="N1184" s="74"/>
    </row>
    <row r="1185" spans="1:14" x14ac:dyDescent="0.15">
      <c r="B1185" s="4" t="s">
        <v>162</v>
      </c>
      <c r="C1185" s="15">
        <v>58</v>
      </c>
      <c r="D1185" s="14">
        <f>SUM(C1185)</f>
        <v>58</v>
      </c>
      <c r="E1185" s="48">
        <v>42209</v>
      </c>
      <c r="F1185" s="48"/>
      <c r="G1185" s="48"/>
      <c r="H1185" s="48"/>
      <c r="I1185" s="48"/>
      <c r="J1185" s="51"/>
      <c r="K1185" s="4"/>
      <c r="L1185" s="15"/>
      <c r="M1185" s="14">
        <f>SUM(L1185:L1185)</f>
        <v>0</v>
      </c>
      <c r="N1185" s="75"/>
    </row>
    <row r="1186" spans="1:14" ht="14.25" thickBot="1" x14ac:dyDescent="0.2">
      <c r="B1186" s="4" t="s">
        <v>162</v>
      </c>
      <c r="C1186" s="15">
        <v>33</v>
      </c>
      <c r="D1186" s="14">
        <f>SUM(C1186)</f>
        <v>33</v>
      </c>
      <c r="E1186" s="48">
        <v>42210</v>
      </c>
      <c r="F1186" s="48"/>
      <c r="G1186" s="48"/>
      <c r="H1186" s="48"/>
      <c r="I1186" s="48"/>
      <c r="J1186" s="51"/>
      <c r="K1186" s="4"/>
      <c r="L1186" s="15"/>
      <c r="M1186" s="14">
        <f>SUM(L1186)</f>
        <v>0</v>
      </c>
      <c r="N1186" s="75"/>
    </row>
    <row r="1187" spans="1:14" ht="14.25" thickBot="1" x14ac:dyDescent="0.2">
      <c r="B1187" s="3" t="s">
        <v>5</v>
      </c>
      <c r="C1187" s="16">
        <f>SUM(C1163:C1186)</f>
        <v>954</v>
      </c>
      <c r="D1187" s="17">
        <f>SUM(D1163:D1186)</f>
        <v>954</v>
      </c>
      <c r="K1187" s="3" t="s">
        <v>5</v>
      </c>
      <c r="L1187" s="16">
        <f>SUM(L1163:L1186)</f>
        <v>3472</v>
      </c>
      <c r="M1187" s="17">
        <f>SUM(M1163:M1186)</f>
        <v>3472</v>
      </c>
    </row>
    <row r="1188" spans="1:14" ht="14.25" thickBot="1" x14ac:dyDescent="0.2">
      <c r="B1188" s="18" t="s">
        <v>6</v>
      </c>
      <c r="C1188" s="19">
        <f>C1162-C1187</f>
        <v>137</v>
      </c>
      <c r="D1188" s="13">
        <f>D1162-D1187</f>
        <v>137</v>
      </c>
      <c r="K1188" s="18" t="s">
        <v>6</v>
      </c>
      <c r="L1188" s="19">
        <f>L1162-L1187</f>
        <v>1179</v>
      </c>
      <c r="M1188" s="13">
        <f>M1162-M1187</f>
        <v>1179</v>
      </c>
    </row>
    <row r="1190" spans="1:14" ht="18" thickBot="1" x14ac:dyDescent="0.25">
      <c r="A1190" s="27" t="s">
        <v>8</v>
      </c>
      <c r="B1190" s="28"/>
      <c r="C1190" s="28"/>
      <c r="D1190" s="28"/>
      <c r="J1190" s="139" t="s">
        <v>218</v>
      </c>
      <c r="K1190" s="140"/>
      <c r="L1190" s="140"/>
      <c r="M1190" s="140"/>
      <c r="N1190" s="140"/>
    </row>
    <row r="1191" spans="1:14" ht="14.25" thickBot="1" x14ac:dyDescent="0.2">
      <c r="B1191" s="2"/>
      <c r="C1191" s="3" t="s">
        <v>0</v>
      </c>
      <c r="D1191" s="2" t="s">
        <v>1</v>
      </c>
      <c r="K1191" s="2"/>
      <c r="L1191" s="3" t="s">
        <v>0</v>
      </c>
      <c r="M1191" s="2" t="s">
        <v>1</v>
      </c>
    </row>
    <row r="1192" spans="1:14" x14ac:dyDescent="0.15">
      <c r="B1192" s="43" t="s">
        <v>26</v>
      </c>
      <c r="C1192" s="38">
        <f>C1188</f>
        <v>137</v>
      </c>
      <c r="D1192" s="39">
        <f t="shared" ref="D1192:D1202" si="122">SUM(C1192:C1192)</f>
        <v>137</v>
      </c>
      <c r="K1192" s="43" t="s">
        <v>26</v>
      </c>
      <c r="L1192" s="38">
        <f>L1188</f>
        <v>1179</v>
      </c>
      <c r="M1192" s="39">
        <f t="shared" ref="M1192:M1202" si="123">SUM(L1192:L1192)</f>
        <v>1179</v>
      </c>
    </row>
    <row r="1193" spans="1:14" x14ac:dyDescent="0.15">
      <c r="B1193" s="6" t="s">
        <v>3</v>
      </c>
      <c r="C1193" s="7">
        <v>200</v>
      </c>
      <c r="D1193" s="5">
        <f t="shared" si="122"/>
        <v>200</v>
      </c>
      <c r="E1193" s="74">
        <v>42213</v>
      </c>
      <c r="F1193" s="74"/>
      <c r="G1193" s="74"/>
      <c r="H1193" s="74"/>
      <c r="I1193" s="74"/>
      <c r="K1193" s="6" t="s">
        <v>3</v>
      </c>
      <c r="L1193" s="7"/>
      <c r="M1193" s="5">
        <f t="shared" si="123"/>
        <v>0</v>
      </c>
    </row>
    <row r="1194" spans="1:14" x14ac:dyDescent="0.15">
      <c r="B1194" s="6" t="s">
        <v>3</v>
      </c>
      <c r="C1194" s="7">
        <v>200</v>
      </c>
      <c r="D1194" s="5">
        <f t="shared" si="122"/>
        <v>200</v>
      </c>
      <c r="E1194" s="74">
        <v>42215</v>
      </c>
      <c r="F1194" s="74"/>
      <c r="G1194" s="74"/>
      <c r="H1194" s="74"/>
      <c r="I1194" s="74"/>
      <c r="K1194" s="6" t="s">
        <v>3</v>
      </c>
      <c r="L1194" s="7"/>
      <c r="M1194" s="5">
        <f t="shared" si="123"/>
        <v>0</v>
      </c>
      <c r="N1194" s="74"/>
    </row>
    <row r="1195" spans="1:14" x14ac:dyDescent="0.15">
      <c r="B1195" s="6" t="s">
        <v>3</v>
      </c>
      <c r="C1195" s="7">
        <v>200</v>
      </c>
      <c r="D1195" s="5">
        <f t="shared" si="122"/>
        <v>200</v>
      </c>
      <c r="E1195" s="74">
        <v>42217</v>
      </c>
      <c r="F1195" s="74"/>
      <c r="G1195" s="74"/>
      <c r="H1195" s="74"/>
      <c r="I1195" s="74"/>
      <c r="K1195" s="6" t="s">
        <v>3</v>
      </c>
      <c r="L1195" s="7"/>
      <c r="M1195" s="5">
        <f t="shared" si="123"/>
        <v>0</v>
      </c>
      <c r="N1195" s="74"/>
    </row>
    <row r="1196" spans="1:14" x14ac:dyDescent="0.15">
      <c r="B1196" s="4" t="s">
        <v>268</v>
      </c>
      <c r="C1196" s="163">
        <v>400</v>
      </c>
      <c r="D1196" s="14">
        <f>SUM(C1196:C1196)</f>
        <v>400</v>
      </c>
      <c r="E1196" s="74">
        <v>42220</v>
      </c>
      <c r="F1196" s="74"/>
      <c r="G1196" s="74"/>
      <c r="H1196" s="74"/>
      <c r="I1196" s="74"/>
      <c r="K1196" s="6" t="s">
        <v>3</v>
      </c>
      <c r="L1196" s="7"/>
      <c r="M1196" s="5">
        <f t="shared" si="123"/>
        <v>0</v>
      </c>
    </row>
    <row r="1197" spans="1:14" x14ac:dyDescent="0.15">
      <c r="B1197" s="6" t="s">
        <v>64</v>
      </c>
      <c r="C1197" s="7">
        <v>1</v>
      </c>
      <c r="D1197" s="5">
        <f t="shared" si="122"/>
        <v>1</v>
      </c>
      <c r="E1197" s="48">
        <v>42220</v>
      </c>
      <c r="F1197" s="48"/>
      <c r="G1197" s="48"/>
      <c r="H1197" s="48"/>
      <c r="I1197" s="48"/>
      <c r="K1197" s="6" t="s">
        <v>3</v>
      </c>
      <c r="L1197" s="7"/>
      <c r="M1197" s="5">
        <f t="shared" si="123"/>
        <v>0</v>
      </c>
    </row>
    <row r="1198" spans="1:14" x14ac:dyDescent="0.15">
      <c r="B1198" s="6" t="s">
        <v>3</v>
      </c>
      <c r="C1198" s="7"/>
      <c r="D1198" s="5">
        <f t="shared" si="122"/>
        <v>0</v>
      </c>
      <c r="E1198" s="75"/>
      <c r="F1198" s="75"/>
      <c r="G1198" s="75"/>
      <c r="H1198" s="75"/>
      <c r="I1198" s="75"/>
      <c r="K1198" s="6" t="s">
        <v>3</v>
      </c>
      <c r="L1198" s="7"/>
      <c r="M1198" s="5">
        <f t="shared" si="123"/>
        <v>0</v>
      </c>
    </row>
    <row r="1199" spans="1:14" x14ac:dyDescent="0.15">
      <c r="B1199" s="6" t="s">
        <v>3</v>
      </c>
      <c r="C1199" s="54">
        <v>400</v>
      </c>
      <c r="D1199" s="5">
        <f t="shared" si="122"/>
        <v>400</v>
      </c>
      <c r="E1199" s="74">
        <v>42224</v>
      </c>
      <c r="F1199" s="74"/>
      <c r="G1199" s="74"/>
      <c r="H1199" s="74"/>
      <c r="I1199" s="74"/>
      <c r="K1199" s="6" t="s">
        <v>3</v>
      </c>
      <c r="L1199" s="7"/>
      <c r="M1199" s="5">
        <f t="shared" si="123"/>
        <v>0</v>
      </c>
    </row>
    <row r="1200" spans="1:14" x14ac:dyDescent="0.15">
      <c r="B1200" s="6" t="s">
        <v>3</v>
      </c>
      <c r="C1200" s="54">
        <v>79</v>
      </c>
      <c r="D1200" s="5">
        <f t="shared" si="122"/>
        <v>79</v>
      </c>
      <c r="E1200" s="74">
        <v>42227</v>
      </c>
      <c r="F1200" s="74"/>
      <c r="G1200" s="74"/>
      <c r="H1200" s="74"/>
      <c r="I1200" s="74"/>
      <c r="K1200" s="6" t="s">
        <v>3</v>
      </c>
      <c r="L1200" s="7"/>
      <c r="M1200" s="5">
        <f t="shared" si="123"/>
        <v>0</v>
      </c>
    </row>
    <row r="1201" spans="2:15" x14ac:dyDescent="0.15">
      <c r="B1201" s="6" t="s">
        <v>3</v>
      </c>
      <c r="C1201" s="54"/>
      <c r="D1201" s="5">
        <f t="shared" si="122"/>
        <v>0</v>
      </c>
      <c r="K1201" s="6" t="s">
        <v>3</v>
      </c>
      <c r="L1201" s="7"/>
      <c r="M1201" s="5">
        <f t="shared" si="123"/>
        <v>0</v>
      </c>
    </row>
    <row r="1202" spans="2:15" ht="14.25" thickBot="1" x14ac:dyDescent="0.2">
      <c r="B1202" s="9" t="s">
        <v>3</v>
      </c>
      <c r="C1202" s="101"/>
      <c r="D1202" s="5">
        <f t="shared" si="122"/>
        <v>0</v>
      </c>
      <c r="K1202" s="9" t="s">
        <v>3</v>
      </c>
      <c r="L1202" s="10"/>
      <c r="M1202" s="5">
        <f t="shared" si="123"/>
        <v>0</v>
      </c>
    </row>
    <row r="1203" spans="2:15" ht="14.25" thickBot="1" x14ac:dyDescent="0.2">
      <c r="B1203" s="11" t="s">
        <v>4</v>
      </c>
      <c r="C1203" s="12">
        <f>SUM(C1192:C1202)</f>
        <v>1617</v>
      </c>
      <c r="D1203" s="13">
        <f>SUM(D1192:D1202)</f>
        <v>1617</v>
      </c>
      <c r="K1203" s="11" t="s">
        <v>4</v>
      </c>
      <c r="L1203" s="12">
        <f>SUM(L1192:L1202)</f>
        <v>1179</v>
      </c>
      <c r="M1203" s="13">
        <f>SUM(M1192:M1202)</f>
        <v>1179</v>
      </c>
    </row>
    <row r="1204" spans="2:15" x14ac:dyDescent="0.15">
      <c r="B1204" s="71" t="s">
        <v>114</v>
      </c>
      <c r="C1204" s="15">
        <v>50</v>
      </c>
      <c r="D1204" s="14">
        <f>C1204</f>
        <v>50</v>
      </c>
      <c r="E1204" s="74">
        <v>42214</v>
      </c>
      <c r="F1204" s="74"/>
      <c r="G1204" s="74"/>
      <c r="H1204" s="74"/>
      <c r="I1204" s="74"/>
      <c r="K1204" s="4" t="s">
        <v>9</v>
      </c>
      <c r="L1204" s="44">
        <v>400</v>
      </c>
      <c r="M1204" s="14">
        <f t="shared" ref="M1204:M1214" si="124">SUM(L1204:L1204)</f>
        <v>400</v>
      </c>
      <c r="N1204" s="74">
        <v>42220</v>
      </c>
    </row>
    <row r="1205" spans="2:15" x14ac:dyDescent="0.15">
      <c r="B1205" s="4" t="s">
        <v>227</v>
      </c>
      <c r="C1205" s="15">
        <v>10</v>
      </c>
      <c r="D1205" s="14">
        <f>SUM(C1205)</f>
        <v>10</v>
      </c>
      <c r="E1205" s="74">
        <v>42216</v>
      </c>
      <c r="F1205" s="74"/>
      <c r="G1205" s="74"/>
      <c r="H1205" s="74"/>
      <c r="I1205" s="74"/>
      <c r="J1205" s="51"/>
      <c r="K1205" s="4" t="s">
        <v>95</v>
      </c>
      <c r="L1205" s="15">
        <v>100</v>
      </c>
      <c r="M1205" s="14">
        <f t="shared" si="124"/>
        <v>100</v>
      </c>
      <c r="N1205" s="74">
        <v>42221</v>
      </c>
    </row>
    <row r="1206" spans="2:15" x14ac:dyDescent="0.15">
      <c r="B1206" s="71" t="s">
        <v>264</v>
      </c>
      <c r="C1206" s="15">
        <v>130</v>
      </c>
      <c r="D1206" s="14">
        <f>SUM(C1206)</f>
        <v>130</v>
      </c>
      <c r="E1206" s="48">
        <v>42212</v>
      </c>
      <c r="F1206" s="48"/>
      <c r="G1206" s="48"/>
      <c r="H1206" s="48"/>
      <c r="I1206" s="48"/>
      <c r="J1206" s="51"/>
      <c r="K1206" s="4" t="s">
        <v>95</v>
      </c>
      <c r="L1206" s="15">
        <v>100</v>
      </c>
      <c r="M1206" s="14">
        <f t="shared" si="124"/>
        <v>100</v>
      </c>
      <c r="N1206" s="74">
        <v>42222</v>
      </c>
    </row>
    <row r="1207" spans="2:15" x14ac:dyDescent="0.15">
      <c r="B1207" s="4" t="s">
        <v>212</v>
      </c>
      <c r="C1207" s="15">
        <v>4</v>
      </c>
      <c r="D1207" s="14">
        <f>SUM(C1207)</f>
        <v>4</v>
      </c>
      <c r="E1207" s="74">
        <v>42220</v>
      </c>
      <c r="F1207" s="74"/>
      <c r="G1207" s="74"/>
      <c r="H1207" s="74"/>
      <c r="I1207" s="74"/>
      <c r="J1207" s="51"/>
      <c r="K1207" s="4" t="s">
        <v>9</v>
      </c>
      <c r="L1207" s="44">
        <v>400</v>
      </c>
      <c r="M1207" s="14">
        <f t="shared" si="124"/>
        <v>400</v>
      </c>
      <c r="N1207" s="74">
        <v>42224</v>
      </c>
    </row>
    <row r="1208" spans="2:15" x14ac:dyDescent="0.15">
      <c r="B1208" s="4" t="s">
        <v>227</v>
      </c>
      <c r="C1208" s="15">
        <v>20</v>
      </c>
      <c r="D1208" s="14">
        <f>SUM(C1208)</f>
        <v>20</v>
      </c>
      <c r="E1208" s="74">
        <v>42216</v>
      </c>
      <c r="F1208" s="74"/>
      <c r="G1208" s="74"/>
      <c r="H1208" s="74"/>
      <c r="I1208" s="74"/>
      <c r="J1208" s="51"/>
      <c r="K1208" s="4" t="s">
        <v>95</v>
      </c>
      <c r="L1208" s="15">
        <v>100</v>
      </c>
      <c r="M1208" s="14">
        <f t="shared" si="124"/>
        <v>100</v>
      </c>
      <c r="N1208" s="74">
        <v>42226</v>
      </c>
      <c r="O1208" s="75"/>
    </row>
    <row r="1209" spans="2:15" x14ac:dyDescent="0.15">
      <c r="B1209" s="71" t="s">
        <v>266</v>
      </c>
      <c r="C1209" s="15">
        <v>70</v>
      </c>
      <c r="D1209" s="14">
        <f>SUM(C1209)</f>
        <v>70</v>
      </c>
      <c r="E1209" s="48">
        <v>42213</v>
      </c>
      <c r="F1209" s="48"/>
      <c r="G1209" s="48"/>
      <c r="H1209" s="48"/>
      <c r="I1209" s="48"/>
      <c r="J1209" s="51"/>
      <c r="K1209" s="4" t="s">
        <v>9</v>
      </c>
      <c r="L1209" s="15">
        <v>79</v>
      </c>
      <c r="M1209" s="14">
        <f t="shared" si="124"/>
        <v>79</v>
      </c>
      <c r="N1209" s="74">
        <v>42227</v>
      </c>
    </row>
    <row r="1210" spans="2:15" x14ac:dyDescent="0.15">
      <c r="B1210" s="71" t="s">
        <v>265</v>
      </c>
      <c r="C1210" s="15">
        <v>2</v>
      </c>
      <c r="D1210" s="14">
        <f t="shared" ref="D1210:D1225" si="125">SUM(C1210)</f>
        <v>2</v>
      </c>
      <c r="E1210" s="48">
        <v>42215</v>
      </c>
      <c r="F1210" s="48"/>
      <c r="G1210" s="48"/>
      <c r="H1210" s="48"/>
      <c r="I1210" s="48"/>
      <c r="J1210" s="51"/>
      <c r="K1210" s="6"/>
      <c r="L1210" s="15"/>
      <c r="M1210" s="14">
        <f t="shared" si="124"/>
        <v>0</v>
      </c>
      <c r="N1210" s="75"/>
    </row>
    <row r="1211" spans="2:15" x14ac:dyDescent="0.15">
      <c r="B1211" s="71" t="s">
        <v>162</v>
      </c>
      <c r="C1211" s="15">
        <v>58</v>
      </c>
      <c r="D1211" s="14">
        <f t="shared" si="125"/>
        <v>58</v>
      </c>
      <c r="E1211" s="48">
        <v>42214</v>
      </c>
      <c r="F1211" s="48"/>
      <c r="G1211" s="48"/>
      <c r="H1211" s="48"/>
      <c r="I1211" s="48"/>
      <c r="J1211" s="51"/>
      <c r="K1211" s="6"/>
      <c r="L1211" s="15"/>
      <c r="M1211" s="14">
        <f t="shared" si="124"/>
        <v>0</v>
      </c>
    </row>
    <row r="1212" spans="2:15" x14ac:dyDescent="0.15">
      <c r="B1212" s="71" t="s">
        <v>267</v>
      </c>
      <c r="C1212" s="15">
        <v>70</v>
      </c>
      <c r="D1212" s="14">
        <f t="shared" si="125"/>
        <v>70</v>
      </c>
      <c r="E1212" s="48">
        <v>42215</v>
      </c>
      <c r="F1212" s="48"/>
      <c r="G1212" s="48"/>
      <c r="H1212" s="48"/>
      <c r="I1212" s="48"/>
      <c r="J1212" s="51"/>
      <c r="K1212" s="4"/>
      <c r="L1212" s="15"/>
      <c r="M1212" s="14">
        <f t="shared" si="124"/>
        <v>0</v>
      </c>
    </row>
    <row r="1213" spans="2:15" x14ac:dyDescent="0.15">
      <c r="B1213" s="71" t="s">
        <v>269</v>
      </c>
      <c r="C1213" s="15">
        <v>3</v>
      </c>
      <c r="D1213" s="14">
        <f t="shared" si="125"/>
        <v>3</v>
      </c>
      <c r="E1213" s="74">
        <v>42221</v>
      </c>
      <c r="F1213" s="74"/>
      <c r="G1213" s="74"/>
      <c r="H1213" s="74"/>
      <c r="I1213" s="74"/>
      <c r="J1213" s="51"/>
      <c r="K1213" s="4"/>
      <c r="L1213" s="15"/>
      <c r="M1213" s="14">
        <f t="shared" si="124"/>
        <v>0</v>
      </c>
    </row>
    <row r="1214" spans="2:15" x14ac:dyDescent="0.15">
      <c r="B1214" s="71" t="s">
        <v>114</v>
      </c>
      <c r="C1214" s="15">
        <v>40</v>
      </c>
      <c r="D1214" s="14">
        <f t="shared" si="125"/>
        <v>40</v>
      </c>
      <c r="E1214" s="74">
        <v>42220</v>
      </c>
      <c r="F1214" s="74"/>
      <c r="G1214" s="74"/>
      <c r="H1214" s="74"/>
      <c r="I1214" s="74"/>
      <c r="J1214" s="51"/>
      <c r="K1214" s="4"/>
      <c r="L1214" s="15"/>
      <c r="M1214" s="14">
        <f t="shared" si="124"/>
        <v>0</v>
      </c>
    </row>
    <row r="1215" spans="2:15" x14ac:dyDescent="0.15">
      <c r="B1215" s="71" t="s">
        <v>162</v>
      </c>
      <c r="C1215" s="15">
        <v>53</v>
      </c>
      <c r="D1215" s="14">
        <f t="shared" si="125"/>
        <v>53</v>
      </c>
      <c r="E1215" s="48">
        <v>42216</v>
      </c>
      <c r="F1215" s="48"/>
      <c r="G1215" s="48"/>
      <c r="H1215" s="48"/>
      <c r="I1215" s="48"/>
      <c r="J1215" s="51"/>
      <c r="K1215" s="4"/>
      <c r="L1215" s="15"/>
      <c r="M1215" s="14">
        <f>SUM(L1215:L1215)</f>
        <v>0</v>
      </c>
    </row>
    <row r="1216" spans="2:15" x14ac:dyDescent="0.15">
      <c r="B1216" s="71" t="s">
        <v>270</v>
      </c>
      <c r="C1216" s="15">
        <v>66</v>
      </c>
      <c r="D1216" s="14">
        <f t="shared" si="125"/>
        <v>66</v>
      </c>
      <c r="E1216" s="48">
        <v>42217</v>
      </c>
      <c r="F1216" s="48"/>
      <c r="G1216" s="48"/>
      <c r="H1216" s="48"/>
      <c r="I1216" s="48"/>
      <c r="J1216" s="51"/>
      <c r="K1216" s="6"/>
      <c r="L1216" s="15"/>
      <c r="M1216" s="14">
        <f>SUM(L1216)</f>
        <v>0</v>
      </c>
      <c r="N1216" s="75"/>
    </row>
    <row r="1217" spans="1:14" x14ac:dyDescent="0.15">
      <c r="B1217" s="4" t="s">
        <v>227</v>
      </c>
      <c r="C1217" s="15">
        <v>15</v>
      </c>
      <c r="D1217" s="14">
        <f t="shared" si="125"/>
        <v>15</v>
      </c>
      <c r="E1217" s="74">
        <v>42221</v>
      </c>
      <c r="F1217" s="74"/>
      <c r="G1217" s="74"/>
      <c r="H1217" s="74"/>
      <c r="I1217" s="74"/>
      <c r="J1217" s="51"/>
      <c r="K1217" s="6"/>
      <c r="L1217" s="15"/>
      <c r="M1217" s="14">
        <f>SUM(L1217)</f>
        <v>0</v>
      </c>
      <c r="N1217" s="75"/>
    </row>
    <row r="1218" spans="1:14" x14ac:dyDescent="0.15">
      <c r="B1218" s="4" t="s">
        <v>271</v>
      </c>
      <c r="C1218" s="15">
        <v>135</v>
      </c>
      <c r="D1218" s="14">
        <f t="shared" si="125"/>
        <v>135</v>
      </c>
      <c r="E1218" s="48">
        <v>42219</v>
      </c>
      <c r="F1218" s="48"/>
      <c r="G1218" s="48"/>
      <c r="H1218" s="48"/>
      <c r="I1218" s="48"/>
      <c r="J1218" s="51"/>
      <c r="K1218" s="4"/>
      <c r="L1218" s="15"/>
      <c r="M1218" s="14">
        <f>SUM(L1218:L1218)</f>
        <v>0</v>
      </c>
      <c r="N1218" s="75"/>
    </row>
    <row r="1219" spans="1:14" x14ac:dyDescent="0.15">
      <c r="B1219" s="4" t="s">
        <v>212</v>
      </c>
      <c r="C1219" s="15">
        <v>4</v>
      </c>
      <c r="D1219" s="14">
        <f t="shared" si="125"/>
        <v>4</v>
      </c>
      <c r="E1219" s="74">
        <v>42223</v>
      </c>
      <c r="F1219" s="74"/>
      <c r="G1219" s="74"/>
      <c r="H1219" s="74"/>
      <c r="I1219" s="74"/>
      <c r="J1219" s="51"/>
      <c r="K1219" s="4"/>
      <c r="L1219" s="15"/>
      <c r="M1219" s="14">
        <f>SUM(L1219)</f>
        <v>0</v>
      </c>
      <c r="N1219" s="75"/>
    </row>
    <row r="1220" spans="1:14" x14ac:dyDescent="0.15">
      <c r="B1220" s="4" t="s">
        <v>272</v>
      </c>
      <c r="C1220" s="15">
        <v>58</v>
      </c>
      <c r="D1220" s="14">
        <f t="shared" si="125"/>
        <v>58</v>
      </c>
      <c r="E1220" s="48">
        <v>42220</v>
      </c>
      <c r="F1220" s="48"/>
      <c r="G1220" s="48"/>
      <c r="H1220" s="48"/>
      <c r="I1220" s="48"/>
      <c r="J1220" s="51"/>
      <c r="K1220" s="4"/>
      <c r="L1220" s="15"/>
      <c r="M1220" s="14">
        <f>SUM(L1220:L1220)</f>
        <v>0</v>
      </c>
      <c r="N1220" s="75"/>
    </row>
    <row r="1221" spans="1:14" x14ac:dyDescent="0.15">
      <c r="B1221" s="4" t="s">
        <v>227</v>
      </c>
      <c r="C1221" s="15">
        <v>15</v>
      </c>
      <c r="D1221" s="14">
        <f t="shared" si="125"/>
        <v>15</v>
      </c>
      <c r="E1221" s="74">
        <v>42227</v>
      </c>
      <c r="F1221" s="74"/>
      <c r="G1221" s="74"/>
      <c r="H1221" s="74"/>
      <c r="I1221" s="74"/>
      <c r="J1221" s="51"/>
      <c r="K1221" s="4"/>
      <c r="L1221" s="15"/>
      <c r="M1221" s="14">
        <f>SUM(L1221)</f>
        <v>0</v>
      </c>
      <c r="N1221" s="75"/>
    </row>
    <row r="1222" spans="1:14" x14ac:dyDescent="0.15">
      <c r="B1222" s="67" t="s">
        <v>162</v>
      </c>
      <c r="C1222" s="15">
        <v>82</v>
      </c>
      <c r="D1222" s="14">
        <f t="shared" si="125"/>
        <v>82</v>
      </c>
      <c r="E1222" s="48">
        <v>42221</v>
      </c>
      <c r="F1222" s="48"/>
      <c r="G1222" s="48"/>
      <c r="H1222" s="48"/>
      <c r="I1222" s="48"/>
      <c r="J1222" s="51"/>
      <c r="K1222" s="4"/>
      <c r="L1222" s="15"/>
      <c r="M1222" s="14">
        <f>SUM(L1222)</f>
        <v>0</v>
      </c>
      <c r="N1222" s="75"/>
    </row>
    <row r="1223" spans="1:14" x14ac:dyDescent="0.15">
      <c r="B1223" s="67" t="s">
        <v>274</v>
      </c>
      <c r="C1223" s="15">
        <v>89</v>
      </c>
      <c r="D1223" s="14">
        <f t="shared" si="125"/>
        <v>89</v>
      </c>
      <c r="E1223" s="48">
        <v>42222</v>
      </c>
      <c r="F1223" s="48"/>
      <c r="G1223" s="48"/>
      <c r="H1223" s="48"/>
      <c r="I1223" s="48"/>
      <c r="J1223" s="51"/>
      <c r="K1223" s="4"/>
      <c r="L1223" s="15"/>
      <c r="M1223" s="14">
        <f>SUM(L1223:L1223)</f>
        <v>0</v>
      </c>
      <c r="N1223" s="75"/>
    </row>
    <row r="1224" spans="1:14" x14ac:dyDescent="0.15">
      <c r="B1224" s="4" t="s">
        <v>273</v>
      </c>
      <c r="C1224" s="15">
        <v>1</v>
      </c>
      <c r="D1224" s="14">
        <f t="shared" si="125"/>
        <v>1</v>
      </c>
      <c r="E1224" s="74">
        <v>42228</v>
      </c>
      <c r="F1224" s="74"/>
      <c r="G1224" s="74"/>
      <c r="H1224" s="74"/>
      <c r="I1224" s="74"/>
      <c r="J1224" s="51"/>
      <c r="K1224" s="4"/>
      <c r="L1224" s="15"/>
      <c r="M1224" s="14">
        <f>SUM(L1224)</f>
        <v>0</v>
      </c>
      <c r="N1224" s="75"/>
    </row>
    <row r="1225" spans="1:14" x14ac:dyDescent="0.15">
      <c r="B1225" s="4" t="s">
        <v>162</v>
      </c>
      <c r="C1225" s="15">
        <v>59</v>
      </c>
      <c r="D1225" s="14">
        <f t="shared" si="125"/>
        <v>59</v>
      </c>
      <c r="E1225" s="48">
        <v>42223</v>
      </c>
      <c r="F1225" s="48"/>
      <c r="G1225" s="48"/>
      <c r="H1225" s="48"/>
      <c r="I1225" s="48"/>
      <c r="J1225" s="51"/>
      <c r="K1225" s="4"/>
      <c r="L1225" s="15"/>
      <c r="M1225" s="14">
        <f>SUM(L1225:L1225)</f>
        <v>0</v>
      </c>
      <c r="N1225" s="75"/>
    </row>
    <row r="1226" spans="1:14" x14ac:dyDescent="0.15">
      <c r="B1226" s="4" t="s">
        <v>162</v>
      </c>
      <c r="C1226" s="15">
        <v>47</v>
      </c>
      <c r="D1226" s="14">
        <f>SUM(C1226)</f>
        <v>47</v>
      </c>
      <c r="E1226" s="48">
        <v>42224</v>
      </c>
      <c r="F1226" s="48"/>
      <c r="G1226" s="48"/>
      <c r="H1226" s="48"/>
      <c r="I1226" s="48"/>
      <c r="J1226" s="51"/>
      <c r="K1226" s="4"/>
      <c r="L1226" s="15"/>
      <c r="M1226" s="14">
        <f>SUM(L1226:L1226)</f>
        <v>0</v>
      </c>
      <c r="N1226" s="75"/>
    </row>
    <row r="1227" spans="1:14" ht="14.25" thickBot="1" x14ac:dyDescent="0.2">
      <c r="B1227" s="4" t="s">
        <v>275</v>
      </c>
      <c r="C1227" s="15">
        <v>71</v>
      </c>
      <c r="D1227" s="14">
        <f>SUM(C1227)</f>
        <v>71</v>
      </c>
      <c r="E1227" s="48">
        <v>42226</v>
      </c>
      <c r="F1227" s="48"/>
      <c r="G1227" s="48"/>
      <c r="H1227" s="48"/>
      <c r="I1227" s="48"/>
      <c r="J1227" s="51"/>
      <c r="K1227" s="4"/>
      <c r="L1227" s="15"/>
      <c r="M1227" s="14">
        <f>SUM(L1227)</f>
        <v>0</v>
      </c>
      <c r="N1227" s="75"/>
    </row>
    <row r="1228" spans="1:14" ht="14.25" thickBot="1" x14ac:dyDescent="0.2">
      <c r="B1228" s="3" t="s">
        <v>5</v>
      </c>
      <c r="C1228" s="16">
        <f>SUM(C1204:C1227)</f>
        <v>1152</v>
      </c>
      <c r="D1228" s="17">
        <f>SUM(D1204:D1227)</f>
        <v>1152</v>
      </c>
      <c r="K1228" s="3" t="s">
        <v>5</v>
      </c>
      <c r="L1228" s="16">
        <f>SUM(L1204:L1227)</f>
        <v>1179</v>
      </c>
      <c r="M1228" s="17">
        <f>SUM(M1204:M1227)</f>
        <v>1179</v>
      </c>
    </row>
    <row r="1229" spans="1:14" ht="14.25" thickBot="1" x14ac:dyDescent="0.2">
      <c r="B1229" s="18" t="s">
        <v>6</v>
      </c>
      <c r="C1229" s="19">
        <f>C1203-C1228</f>
        <v>465</v>
      </c>
      <c r="D1229" s="13">
        <f>D1203-D1228</f>
        <v>465</v>
      </c>
      <c r="K1229" s="18" t="s">
        <v>6</v>
      </c>
      <c r="L1229" s="19">
        <f>L1203-L1228</f>
        <v>0</v>
      </c>
      <c r="M1229" s="13">
        <f>M1203-M1228</f>
        <v>0</v>
      </c>
    </row>
    <row r="1231" spans="1:14" ht="18" thickBot="1" x14ac:dyDescent="0.25">
      <c r="A1231" s="27" t="s">
        <v>8</v>
      </c>
      <c r="B1231" s="28"/>
      <c r="C1231" s="28"/>
      <c r="D1231" s="28"/>
      <c r="J1231" s="139" t="s">
        <v>218</v>
      </c>
      <c r="K1231" s="140"/>
      <c r="L1231" s="140"/>
      <c r="M1231" s="140"/>
      <c r="N1231" s="140"/>
    </row>
    <row r="1232" spans="1:14" ht="14.25" thickBot="1" x14ac:dyDescent="0.2">
      <c r="B1232" s="2"/>
      <c r="C1232" s="3" t="s">
        <v>0</v>
      </c>
      <c r="D1232" s="2" t="s">
        <v>1</v>
      </c>
      <c r="K1232" s="2"/>
      <c r="L1232" s="3" t="s">
        <v>0</v>
      </c>
      <c r="M1232" s="2" t="s">
        <v>1</v>
      </c>
    </row>
    <row r="1233" spans="2:14" x14ac:dyDescent="0.15">
      <c r="B1233" s="43" t="s">
        <v>26</v>
      </c>
      <c r="C1233" s="38">
        <f>C1229</f>
        <v>465</v>
      </c>
      <c r="D1233" s="39">
        <f t="shared" ref="D1233:D1243" si="126">SUM(C1233:C1233)</f>
        <v>465</v>
      </c>
      <c r="K1233" s="43" t="s">
        <v>26</v>
      </c>
      <c r="L1233" s="38">
        <f>L1229</f>
        <v>0</v>
      </c>
      <c r="M1233" s="39">
        <f t="shared" ref="M1233:M1243" si="127">SUM(L1233:L1233)</f>
        <v>0</v>
      </c>
    </row>
    <row r="1234" spans="2:14" x14ac:dyDescent="0.15">
      <c r="B1234" s="6" t="s">
        <v>277</v>
      </c>
      <c r="C1234" s="7">
        <v>2</v>
      </c>
      <c r="D1234" s="5">
        <f t="shared" si="126"/>
        <v>2</v>
      </c>
      <c r="E1234" s="48">
        <v>42235</v>
      </c>
      <c r="F1234" s="48"/>
      <c r="G1234" s="48"/>
      <c r="H1234" s="48"/>
      <c r="I1234" s="48"/>
      <c r="K1234" s="6" t="s">
        <v>3</v>
      </c>
      <c r="L1234" s="7"/>
      <c r="M1234" s="5">
        <f t="shared" si="127"/>
        <v>0</v>
      </c>
    </row>
    <row r="1235" spans="2:14" x14ac:dyDescent="0.15">
      <c r="B1235" s="6" t="s">
        <v>184</v>
      </c>
      <c r="C1235" s="7">
        <v>20</v>
      </c>
      <c r="D1235" s="5">
        <f t="shared" si="126"/>
        <v>20</v>
      </c>
      <c r="E1235" s="74">
        <v>42238</v>
      </c>
      <c r="F1235" s="74"/>
      <c r="G1235" s="74"/>
      <c r="H1235" s="74"/>
      <c r="I1235" s="74"/>
      <c r="K1235" s="6" t="s">
        <v>3</v>
      </c>
      <c r="L1235" s="7"/>
      <c r="M1235" s="5">
        <f t="shared" si="127"/>
        <v>0</v>
      </c>
      <c r="N1235" s="74"/>
    </row>
    <row r="1236" spans="2:14" x14ac:dyDescent="0.15">
      <c r="B1236" s="71" t="s">
        <v>280</v>
      </c>
      <c r="C1236" s="7">
        <v>1</v>
      </c>
      <c r="D1236" s="5">
        <f t="shared" si="126"/>
        <v>1</v>
      </c>
      <c r="E1236" s="74">
        <v>42245</v>
      </c>
      <c r="F1236" s="74"/>
      <c r="G1236" s="74"/>
      <c r="H1236" s="74"/>
      <c r="I1236" s="74"/>
      <c r="K1236" s="6" t="s">
        <v>3</v>
      </c>
      <c r="L1236" s="7">
        <v>1000</v>
      </c>
      <c r="M1236" s="5">
        <f t="shared" si="127"/>
        <v>1000</v>
      </c>
      <c r="N1236" s="74">
        <v>42236</v>
      </c>
    </row>
    <row r="1237" spans="2:14" x14ac:dyDescent="0.15">
      <c r="B1237" s="6" t="s">
        <v>3</v>
      </c>
      <c r="C1237" s="7"/>
      <c r="D1237" s="5">
        <f t="shared" si="126"/>
        <v>0</v>
      </c>
      <c r="K1237" s="6" t="s">
        <v>3</v>
      </c>
      <c r="L1237" s="7"/>
      <c r="M1237" s="5">
        <f t="shared" si="127"/>
        <v>0</v>
      </c>
    </row>
    <row r="1238" spans="2:14" x14ac:dyDescent="0.15">
      <c r="B1238" s="6" t="s">
        <v>3</v>
      </c>
      <c r="C1238" s="7"/>
      <c r="D1238" s="5">
        <f t="shared" si="126"/>
        <v>0</v>
      </c>
      <c r="K1238" s="6" t="s">
        <v>3</v>
      </c>
      <c r="L1238" s="7"/>
      <c r="M1238" s="5">
        <f t="shared" si="127"/>
        <v>0</v>
      </c>
    </row>
    <row r="1239" spans="2:14" x14ac:dyDescent="0.15">
      <c r="B1239" s="6" t="s">
        <v>3</v>
      </c>
      <c r="C1239" s="7"/>
      <c r="D1239" s="5">
        <f t="shared" si="126"/>
        <v>0</v>
      </c>
      <c r="K1239" s="6" t="s">
        <v>3</v>
      </c>
      <c r="L1239" s="7"/>
      <c r="M1239" s="5">
        <f t="shared" si="127"/>
        <v>0</v>
      </c>
    </row>
    <row r="1240" spans="2:14" x14ac:dyDescent="0.15">
      <c r="B1240" s="6" t="s">
        <v>3</v>
      </c>
      <c r="C1240" s="54"/>
      <c r="D1240" s="5">
        <f t="shared" si="126"/>
        <v>0</v>
      </c>
      <c r="K1240" s="6" t="s">
        <v>3</v>
      </c>
      <c r="L1240" s="7"/>
      <c r="M1240" s="5">
        <f t="shared" si="127"/>
        <v>0</v>
      </c>
    </row>
    <row r="1241" spans="2:14" x14ac:dyDescent="0.15">
      <c r="B1241" s="6" t="s">
        <v>3</v>
      </c>
      <c r="C1241" s="54"/>
      <c r="D1241" s="5">
        <f t="shared" si="126"/>
        <v>0</v>
      </c>
      <c r="K1241" s="6" t="s">
        <v>3</v>
      </c>
      <c r="L1241" s="7"/>
      <c r="M1241" s="5">
        <f t="shared" si="127"/>
        <v>0</v>
      </c>
    </row>
    <row r="1242" spans="2:14" x14ac:dyDescent="0.15">
      <c r="B1242" s="6" t="s">
        <v>3</v>
      </c>
      <c r="C1242" s="54"/>
      <c r="D1242" s="5">
        <f t="shared" si="126"/>
        <v>0</v>
      </c>
      <c r="K1242" s="6" t="s">
        <v>3</v>
      </c>
      <c r="L1242" s="7"/>
      <c r="M1242" s="5">
        <f t="shared" si="127"/>
        <v>0</v>
      </c>
    </row>
    <row r="1243" spans="2:14" ht="14.25" thickBot="1" x14ac:dyDescent="0.2">
      <c r="B1243" s="9" t="s">
        <v>3</v>
      </c>
      <c r="C1243" s="101"/>
      <c r="D1243" s="5">
        <f t="shared" si="126"/>
        <v>0</v>
      </c>
      <c r="K1243" s="9" t="s">
        <v>3</v>
      </c>
      <c r="L1243" s="10"/>
      <c r="M1243" s="5">
        <f t="shared" si="127"/>
        <v>0</v>
      </c>
    </row>
    <row r="1244" spans="2:14" ht="14.25" thickBot="1" x14ac:dyDescent="0.2">
      <c r="B1244" s="11" t="s">
        <v>4</v>
      </c>
      <c r="C1244" s="12">
        <f>SUM(C1233:C1243)</f>
        <v>488</v>
      </c>
      <c r="D1244" s="13">
        <f>SUM(D1233:D1243)</f>
        <v>488</v>
      </c>
      <c r="K1244" s="11" t="s">
        <v>4</v>
      </c>
      <c r="L1244" s="12">
        <f>SUM(L1233:L1243)</f>
        <v>1000</v>
      </c>
      <c r="M1244" s="13">
        <f>SUM(M1233:M1243)</f>
        <v>1000</v>
      </c>
    </row>
    <row r="1245" spans="2:14" x14ac:dyDescent="0.15">
      <c r="B1245" s="71" t="s">
        <v>162</v>
      </c>
      <c r="C1245" s="15">
        <v>18</v>
      </c>
      <c r="D1245" s="14">
        <f>C1245</f>
        <v>18</v>
      </c>
      <c r="E1245" s="48">
        <v>42227</v>
      </c>
      <c r="F1245" s="48"/>
      <c r="G1245" s="48"/>
      <c r="H1245" s="48"/>
      <c r="I1245" s="48"/>
      <c r="K1245" s="4"/>
      <c r="L1245" s="44"/>
      <c r="M1245" s="14">
        <f t="shared" ref="M1245:M1255" si="128">SUM(L1245:L1245)</f>
        <v>0</v>
      </c>
    </row>
    <row r="1246" spans="2:14" x14ac:dyDescent="0.15">
      <c r="B1246" s="4" t="s">
        <v>276</v>
      </c>
      <c r="C1246" s="15">
        <v>58</v>
      </c>
      <c r="D1246" s="14">
        <f>SUM(C1246)</f>
        <v>58</v>
      </c>
      <c r="E1246" s="48">
        <v>42230</v>
      </c>
      <c r="F1246" s="48"/>
      <c r="G1246" s="48"/>
      <c r="H1246" s="48"/>
      <c r="I1246" s="48"/>
      <c r="J1246" s="51"/>
      <c r="K1246" s="4"/>
      <c r="L1246" s="15"/>
      <c r="M1246" s="14">
        <f t="shared" si="128"/>
        <v>0</v>
      </c>
    </row>
    <row r="1247" spans="2:14" x14ac:dyDescent="0.15">
      <c r="B1247" s="4" t="s">
        <v>227</v>
      </c>
      <c r="C1247" s="15">
        <v>40</v>
      </c>
      <c r="D1247" s="14">
        <f>SUM(C1247)</f>
        <v>40</v>
      </c>
      <c r="E1247" s="74">
        <v>42234</v>
      </c>
      <c r="F1247" s="74"/>
      <c r="G1247" s="74"/>
      <c r="H1247" s="74"/>
      <c r="I1247" s="74"/>
      <c r="J1247" s="51"/>
      <c r="K1247" s="4"/>
      <c r="L1247" s="15"/>
      <c r="M1247" s="14">
        <f t="shared" si="128"/>
        <v>0</v>
      </c>
    </row>
    <row r="1248" spans="2:14" x14ac:dyDescent="0.15">
      <c r="B1248" s="4" t="s">
        <v>162</v>
      </c>
      <c r="C1248" s="15">
        <v>60</v>
      </c>
      <c r="D1248" s="14">
        <f>SUM(C1248)</f>
        <v>60</v>
      </c>
      <c r="E1248" s="48">
        <v>42233</v>
      </c>
      <c r="F1248" s="48"/>
      <c r="G1248" s="48"/>
      <c r="H1248" s="48"/>
      <c r="I1248" s="48"/>
      <c r="J1248" s="51"/>
      <c r="K1248" s="4"/>
      <c r="L1248" s="15"/>
      <c r="M1248" s="14">
        <f t="shared" si="128"/>
        <v>0</v>
      </c>
    </row>
    <row r="1249" spans="2:15" x14ac:dyDescent="0.15">
      <c r="B1249" s="4" t="s">
        <v>162</v>
      </c>
      <c r="C1249" s="15">
        <v>18</v>
      </c>
      <c r="D1249" s="14">
        <f>SUM(C1249)</f>
        <v>18</v>
      </c>
      <c r="E1249" s="48">
        <v>42234</v>
      </c>
      <c r="F1249" s="48"/>
      <c r="G1249" s="48"/>
      <c r="H1249" s="48"/>
      <c r="I1249" s="48"/>
      <c r="J1249" s="51"/>
      <c r="K1249" s="6"/>
      <c r="L1249" s="15"/>
      <c r="M1249" s="14">
        <f t="shared" si="128"/>
        <v>0</v>
      </c>
    </row>
    <row r="1250" spans="2:15" x14ac:dyDescent="0.15">
      <c r="B1250" s="4" t="s">
        <v>162</v>
      </c>
      <c r="C1250" s="15">
        <v>22</v>
      </c>
      <c r="D1250" s="14">
        <f>SUM(C1250)</f>
        <v>22</v>
      </c>
      <c r="E1250" s="48">
        <v>42235</v>
      </c>
      <c r="F1250" s="48"/>
      <c r="G1250" s="48"/>
      <c r="H1250" s="48"/>
      <c r="I1250" s="48"/>
      <c r="J1250" s="51"/>
      <c r="K1250" s="4"/>
      <c r="L1250" s="15"/>
      <c r="M1250" s="14">
        <f t="shared" si="128"/>
        <v>0</v>
      </c>
    </row>
    <row r="1251" spans="2:15" x14ac:dyDescent="0.15">
      <c r="B1251" s="4" t="s">
        <v>162</v>
      </c>
      <c r="C1251" s="15">
        <v>11</v>
      </c>
      <c r="D1251" s="14">
        <f t="shared" ref="D1251:D1266" si="129">SUM(C1251)</f>
        <v>11</v>
      </c>
      <c r="E1251" s="48">
        <v>42236</v>
      </c>
      <c r="F1251" s="48"/>
      <c r="G1251" s="48"/>
      <c r="H1251" s="48"/>
      <c r="I1251" s="48"/>
      <c r="J1251" s="51"/>
      <c r="K1251" s="6"/>
      <c r="L1251" s="15"/>
      <c r="M1251" s="14">
        <f t="shared" si="128"/>
        <v>0</v>
      </c>
    </row>
    <row r="1252" spans="2:15" x14ac:dyDescent="0.15">
      <c r="B1252" s="4" t="s">
        <v>162</v>
      </c>
      <c r="C1252" s="15">
        <v>12</v>
      </c>
      <c r="D1252" s="14">
        <f t="shared" si="129"/>
        <v>12</v>
      </c>
      <c r="E1252" s="48">
        <v>42237</v>
      </c>
      <c r="F1252" s="48"/>
      <c r="G1252" s="48"/>
      <c r="H1252" s="48"/>
      <c r="I1252" s="48"/>
      <c r="J1252" s="51"/>
      <c r="K1252" s="6"/>
      <c r="L1252" s="15"/>
      <c r="M1252" s="14">
        <f t="shared" si="128"/>
        <v>0</v>
      </c>
    </row>
    <row r="1253" spans="2:15" x14ac:dyDescent="0.15">
      <c r="B1253" s="4" t="s">
        <v>278</v>
      </c>
      <c r="C1253" s="15">
        <v>15</v>
      </c>
      <c r="D1253" s="14">
        <f t="shared" si="129"/>
        <v>15</v>
      </c>
      <c r="E1253" s="48">
        <v>42238</v>
      </c>
      <c r="F1253" s="48"/>
      <c r="G1253" s="48"/>
      <c r="H1253" s="48"/>
      <c r="I1253" s="48"/>
      <c r="J1253" s="51"/>
      <c r="K1253" s="4"/>
      <c r="L1253" s="15"/>
      <c r="M1253" s="14">
        <f t="shared" si="128"/>
        <v>0</v>
      </c>
    </row>
    <row r="1254" spans="2:15" x14ac:dyDescent="0.15">
      <c r="B1254" s="71" t="s">
        <v>279</v>
      </c>
      <c r="C1254" s="15">
        <v>1</v>
      </c>
      <c r="D1254" s="14">
        <f t="shared" si="129"/>
        <v>1</v>
      </c>
      <c r="E1254" s="48">
        <v>42240</v>
      </c>
      <c r="F1254" s="48"/>
      <c r="G1254" s="48"/>
      <c r="H1254" s="48"/>
      <c r="I1254" s="48"/>
      <c r="J1254" s="51"/>
      <c r="K1254" s="4"/>
      <c r="L1254" s="15"/>
      <c r="M1254" s="14">
        <f t="shared" si="128"/>
        <v>0</v>
      </c>
    </row>
    <row r="1255" spans="2:15" x14ac:dyDescent="0.15">
      <c r="B1255" s="71" t="s">
        <v>162</v>
      </c>
      <c r="C1255" s="15">
        <v>35</v>
      </c>
      <c r="D1255" s="14">
        <f t="shared" si="129"/>
        <v>35</v>
      </c>
      <c r="E1255" s="48">
        <v>42240</v>
      </c>
      <c r="F1255" s="48"/>
      <c r="G1255" s="48"/>
      <c r="H1255" s="48"/>
      <c r="I1255" s="48"/>
      <c r="J1255" s="51"/>
      <c r="K1255" s="4"/>
      <c r="L1255" s="15"/>
      <c r="M1255" s="14">
        <f t="shared" si="128"/>
        <v>0</v>
      </c>
    </row>
    <row r="1256" spans="2:15" x14ac:dyDescent="0.15">
      <c r="B1256" s="71" t="s">
        <v>162</v>
      </c>
      <c r="C1256" s="15">
        <v>15</v>
      </c>
      <c r="D1256" s="14">
        <f t="shared" si="129"/>
        <v>15</v>
      </c>
      <c r="E1256" s="48">
        <v>42241</v>
      </c>
      <c r="F1256" s="48"/>
      <c r="G1256" s="48"/>
      <c r="H1256" s="48"/>
      <c r="I1256" s="48"/>
      <c r="J1256" s="51"/>
      <c r="K1256" s="4"/>
      <c r="L1256" s="15"/>
      <c r="M1256" s="14">
        <f>SUM(L1256:L1256)</f>
        <v>0</v>
      </c>
    </row>
    <row r="1257" spans="2:15" x14ac:dyDescent="0.15">
      <c r="B1257" s="71" t="s">
        <v>162</v>
      </c>
      <c r="C1257" s="15">
        <v>15</v>
      </c>
      <c r="D1257" s="14">
        <f t="shared" si="129"/>
        <v>15</v>
      </c>
      <c r="E1257" s="48">
        <v>42242</v>
      </c>
      <c r="F1257" s="48"/>
      <c r="G1257" s="48"/>
      <c r="H1257" s="48"/>
      <c r="I1257" s="48"/>
      <c r="J1257" s="51"/>
      <c r="K1257" s="6"/>
      <c r="L1257" s="15"/>
      <c r="M1257" s="14">
        <f>SUM(L1257)</f>
        <v>0</v>
      </c>
      <c r="N1257" s="75"/>
    </row>
    <row r="1258" spans="2:15" x14ac:dyDescent="0.15">
      <c r="B1258" s="71" t="s">
        <v>162</v>
      </c>
      <c r="C1258" s="15">
        <v>10</v>
      </c>
      <c r="D1258" s="14">
        <f t="shared" si="129"/>
        <v>10</v>
      </c>
      <c r="E1258" s="48">
        <v>42243</v>
      </c>
      <c r="F1258" s="48"/>
      <c r="G1258" s="48"/>
      <c r="H1258" s="48"/>
      <c r="I1258" s="48"/>
      <c r="J1258" s="51"/>
      <c r="K1258" s="6"/>
      <c r="L1258" s="15"/>
      <c r="M1258" s="14">
        <f>SUM(L1258)</f>
        <v>0</v>
      </c>
      <c r="N1258" s="75"/>
    </row>
    <row r="1259" spans="2:15" x14ac:dyDescent="0.15">
      <c r="B1259" s="71" t="s">
        <v>162</v>
      </c>
      <c r="C1259" s="15">
        <v>7</v>
      </c>
      <c r="D1259" s="14">
        <f t="shared" si="129"/>
        <v>7</v>
      </c>
      <c r="E1259" s="48">
        <v>42244</v>
      </c>
      <c r="F1259" s="48"/>
      <c r="G1259" s="48"/>
      <c r="H1259" s="48"/>
      <c r="I1259" s="48"/>
      <c r="J1259" s="51"/>
      <c r="K1259" s="4"/>
      <c r="L1259" s="15"/>
      <c r="M1259" s="14">
        <f>SUM(L1259:L1259)</f>
        <v>0</v>
      </c>
      <c r="N1259" s="75"/>
    </row>
    <row r="1260" spans="2:15" x14ac:dyDescent="0.15">
      <c r="B1260" s="71" t="s">
        <v>162</v>
      </c>
      <c r="C1260" s="15">
        <v>10</v>
      </c>
      <c r="D1260" s="14">
        <f t="shared" si="129"/>
        <v>10</v>
      </c>
      <c r="E1260" s="48">
        <v>42245</v>
      </c>
      <c r="F1260" s="48"/>
      <c r="G1260" s="48"/>
      <c r="H1260" s="48"/>
      <c r="I1260" s="48"/>
      <c r="J1260" s="51"/>
      <c r="K1260" s="4"/>
      <c r="L1260" s="15"/>
      <c r="M1260" s="14">
        <f>SUM(L1260)</f>
        <v>0</v>
      </c>
      <c r="N1260" s="75"/>
    </row>
    <row r="1261" spans="2:15" x14ac:dyDescent="0.15">
      <c r="B1261" s="4" t="s">
        <v>162</v>
      </c>
      <c r="C1261" s="15">
        <v>8</v>
      </c>
      <c r="D1261" s="14">
        <f t="shared" si="129"/>
        <v>8</v>
      </c>
      <c r="E1261" s="48">
        <v>42247</v>
      </c>
      <c r="F1261" s="48"/>
      <c r="G1261" s="48"/>
      <c r="H1261" s="48"/>
      <c r="I1261" s="48"/>
      <c r="J1261" s="51"/>
      <c r="K1261" s="4"/>
      <c r="L1261" s="15"/>
      <c r="M1261" s="14">
        <f>SUM(L1261:L1261)</f>
        <v>0</v>
      </c>
      <c r="N1261" s="75"/>
    </row>
    <row r="1262" spans="2:15" x14ac:dyDescent="0.15">
      <c r="B1262" s="4" t="s">
        <v>281</v>
      </c>
      <c r="C1262" s="15">
        <v>6</v>
      </c>
      <c r="D1262" s="14">
        <f t="shared" si="129"/>
        <v>6</v>
      </c>
      <c r="E1262" s="48">
        <v>42248</v>
      </c>
      <c r="F1262" s="48"/>
      <c r="G1262" s="48"/>
      <c r="H1262" s="48"/>
      <c r="I1262" s="48"/>
      <c r="J1262" s="51"/>
      <c r="K1262" s="4"/>
      <c r="L1262" s="15"/>
      <c r="M1262" s="14">
        <f>SUM(L1262)</f>
        <v>0</v>
      </c>
      <c r="N1262" s="75"/>
      <c r="O1262" s="75"/>
    </row>
    <row r="1263" spans="2:15" x14ac:dyDescent="0.15">
      <c r="B1263" s="67" t="s">
        <v>114</v>
      </c>
      <c r="C1263" s="15">
        <v>50</v>
      </c>
      <c r="D1263" s="14">
        <f t="shared" si="129"/>
        <v>50</v>
      </c>
      <c r="E1263" s="74">
        <v>42251</v>
      </c>
      <c r="F1263" s="74"/>
      <c r="G1263" s="74"/>
      <c r="H1263" s="74"/>
      <c r="I1263" s="74"/>
      <c r="J1263" s="51"/>
      <c r="K1263" s="4"/>
      <c r="L1263" s="15"/>
      <c r="M1263" s="14">
        <f>SUM(L1263)</f>
        <v>0</v>
      </c>
      <c r="N1263" s="75"/>
      <c r="O1263" s="75"/>
    </row>
    <row r="1264" spans="2:15" x14ac:dyDescent="0.15">
      <c r="B1264" s="4" t="s">
        <v>162</v>
      </c>
      <c r="C1264" s="15">
        <v>3</v>
      </c>
      <c r="D1264" s="14">
        <f t="shared" si="129"/>
        <v>3</v>
      </c>
      <c r="E1264" s="48">
        <v>42249</v>
      </c>
      <c r="F1264" s="48"/>
      <c r="G1264" s="48"/>
      <c r="H1264" s="48"/>
      <c r="I1264" s="48"/>
      <c r="J1264" s="51"/>
      <c r="K1264" s="4"/>
      <c r="L1264" s="15"/>
      <c r="M1264" s="14">
        <f>SUM(L1264:L1264)</f>
        <v>0</v>
      </c>
      <c r="N1264" s="75"/>
      <c r="O1264" s="75"/>
    </row>
    <row r="1265" spans="1:15" x14ac:dyDescent="0.15">
      <c r="B1265" s="4" t="s">
        <v>162</v>
      </c>
      <c r="C1265" s="15">
        <v>1</v>
      </c>
      <c r="D1265" s="14">
        <f t="shared" si="129"/>
        <v>1</v>
      </c>
      <c r="E1265" s="48">
        <v>42250</v>
      </c>
      <c r="F1265" s="48"/>
      <c r="G1265" s="48"/>
      <c r="H1265" s="48"/>
      <c r="I1265" s="48"/>
      <c r="J1265" s="51"/>
      <c r="K1265" s="4"/>
      <c r="L1265" s="15"/>
      <c r="M1265" s="14">
        <f>SUM(L1265)</f>
        <v>0</v>
      </c>
      <c r="N1265" s="75"/>
      <c r="O1265" s="75"/>
    </row>
    <row r="1266" spans="1:15" x14ac:dyDescent="0.15">
      <c r="B1266" s="4" t="s">
        <v>162</v>
      </c>
      <c r="C1266" s="15">
        <v>3</v>
      </c>
      <c r="D1266" s="14">
        <f t="shared" si="129"/>
        <v>3</v>
      </c>
      <c r="E1266" s="48">
        <v>42252</v>
      </c>
      <c r="F1266" s="48"/>
      <c r="G1266" s="48"/>
      <c r="H1266" s="48"/>
      <c r="I1266" s="48"/>
      <c r="J1266" s="51"/>
      <c r="K1266" s="4"/>
      <c r="L1266" s="15"/>
      <c r="M1266" s="14">
        <f>SUM(L1266:L1266)</f>
        <v>0</v>
      </c>
      <c r="N1266" s="75"/>
      <c r="O1266" s="75"/>
    </row>
    <row r="1267" spans="1:15" x14ac:dyDescent="0.15">
      <c r="B1267" s="4" t="s">
        <v>162</v>
      </c>
      <c r="C1267" s="15">
        <v>1</v>
      </c>
      <c r="D1267" s="14">
        <f>SUM(C1267)</f>
        <v>1</v>
      </c>
      <c r="E1267" s="48">
        <v>42254</v>
      </c>
      <c r="F1267" s="48"/>
      <c r="G1267" s="48"/>
      <c r="H1267" s="48"/>
      <c r="I1267" s="48"/>
      <c r="J1267" s="51"/>
      <c r="K1267" s="4"/>
      <c r="L1267" s="15"/>
      <c r="M1267" s="14">
        <f>SUM(L1267)</f>
        <v>0</v>
      </c>
      <c r="N1267" s="75"/>
      <c r="O1267" s="75"/>
    </row>
    <row r="1268" spans="1:15" ht="14.25" thickBot="1" x14ac:dyDescent="0.2">
      <c r="B1268" s="4" t="s">
        <v>162</v>
      </c>
      <c r="C1268" s="15">
        <v>2</v>
      </c>
      <c r="D1268" s="14">
        <f>SUM(C1268)</f>
        <v>2</v>
      </c>
      <c r="E1268" s="48">
        <v>42256</v>
      </c>
      <c r="F1268" s="48"/>
      <c r="G1268" s="48"/>
      <c r="H1268" s="48"/>
      <c r="I1268" s="48"/>
      <c r="J1268" s="51"/>
      <c r="K1268" s="4"/>
      <c r="L1268" s="15"/>
      <c r="M1268" s="14">
        <f>SUM(L1268:L1268)</f>
        <v>0</v>
      </c>
      <c r="N1268" s="75"/>
      <c r="O1268" s="75"/>
    </row>
    <row r="1269" spans="1:15" ht="14.25" thickBot="1" x14ac:dyDescent="0.2">
      <c r="B1269" s="3" t="s">
        <v>5</v>
      </c>
      <c r="C1269" s="16">
        <f>SUM(C1245:C1268)</f>
        <v>421</v>
      </c>
      <c r="D1269" s="17">
        <f>SUM(D1245:D1268)</f>
        <v>421</v>
      </c>
      <c r="K1269" s="3" t="s">
        <v>5</v>
      </c>
      <c r="L1269" s="16">
        <f>SUM(L1245:L1268)</f>
        <v>0</v>
      </c>
      <c r="M1269" s="17">
        <f>SUM(M1245:M1268)</f>
        <v>0</v>
      </c>
    </row>
    <row r="1270" spans="1:15" ht="14.25" thickBot="1" x14ac:dyDescent="0.2">
      <c r="B1270" s="18" t="s">
        <v>6</v>
      </c>
      <c r="C1270" s="19">
        <f>C1244-C1269</f>
        <v>67</v>
      </c>
      <c r="D1270" s="13">
        <f>D1244-D1269</f>
        <v>67</v>
      </c>
      <c r="K1270" s="18" t="s">
        <v>6</v>
      </c>
      <c r="L1270" s="19">
        <f>L1244-L1269</f>
        <v>1000</v>
      </c>
      <c r="M1270" s="13">
        <f>M1244-M1269</f>
        <v>1000</v>
      </c>
    </row>
    <row r="1272" spans="1:15" ht="18" thickBot="1" x14ac:dyDescent="0.25">
      <c r="A1272" s="27" t="s">
        <v>8</v>
      </c>
      <c r="B1272" s="28"/>
      <c r="C1272" s="28"/>
      <c r="D1272" s="28"/>
      <c r="J1272" s="139" t="s">
        <v>218</v>
      </c>
      <c r="K1272" s="140"/>
      <c r="L1272" s="140"/>
      <c r="M1272" s="140"/>
    </row>
    <row r="1273" spans="1:15" ht="14.25" thickBot="1" x14ac:dyDescent="0.2">
      <c r="B1273" s="2"/>
      <c r="C1273" s="3" t="s">
        <v>0</v>
      </c>
      <c r="D1273" s="2" t="s">
        <v>1</v>
      </c>
      <c r="K1273" s="2"/>
      <c r="L1273" s="3" t="s">
        <v>0</v>
      </c>
      <c r="M1273" s="2" t="s">
        <v>1</v>
      </c>
    </row>
    <row r="1274" spans="1:15" x14ac:dyDescent="0.15">
      <c r="B1274" s="43" t="s">
        <v>26</v>
      </c>
      <c r="C1274" s="38">
        <f>C1270</f>
        <v>67</v>
      </c>
      <c r="D1274" s="39">
        <f t="shared" ref="D1274:D1284" si="130">SUM(C1274:C1274)</f>
        <v>67</v>
      </c>
      <c r="K1274" s="43" t="s">
        <v>26</v>
      </c>
      <c r="L1274" s="38">
        <f>L1270</f>
        <v>1000</v>
      </c>
      <c r="M1274" s="39">
        <f t="shared" ref="M1274:M1284" si="131">SUM(L1274:L1274)</f>
        <v>1000</v>
      </c>
    </row>
    <row r="1275" spans="1:15" x14ac:dyDescent="0.15">
      <c r="B1275" s="6" t="s">
        <v>3</v>
      </c>
      <c r="C1275" s="7">
        <v>100</v>
      </c>
      <c r="D1275" s="5">
        <f t="shared" si="130"/>
        <v>100</v>
      </c>
      <c r="E1275" s="74">
        <v>42273</v>
      </c>
      <c r="F1275" s="74"/>
      <c r="G1275" s="74"/>
      <c r="H1275" s="74"/>
      <c r="I1275" s="74"/>
      <c r="K1275" s="6" t="s">
        <v>3</v>
      </c>
      <c r="L1275" s="7"/>
      <c r="M1275" s="5">
        <f t="shared" si="131"/>
        <v>0</v>
      </c>
    </row>
    <row r="1276" spans="1:15" x14ac:dyDescent="0.15">
      <c r="B1276" s="6" t="s">
        <v>184</v>
      </c>
      <c r="C1276" s="7">
        <v>11</v>
      </c>
      <c r="D1276" s="5">
        <f t="shared" si="130"/>
        <v>11</v>
      </c>
      <c r="E1276" s="74">
        <v>42275</v>
      </c>
      <c r="F1276" s="74"/>
      <c r="G1276" s="74"/>
      <c r="H1276" s="74"/>
      <c r="I1276" s="74"/>
      <c r="K1276" s="6" t="s">
        <v>3</v>
      </c>
      <c r="L1276" s="7"/>
      <c r="M1276" s="5">
        <f t="shared" si="131"/>
        <v>0</v>
      </c>
    </row>
    <row r="1277" spans="1:15" x14ac:dyDescent="0.15">
      <c r="B1277" s="6" t="s">
        <v>64</v>
      </c>
      <c r="C1277" s="7">
        <v>1</v>
      </c>
      <c r="D1277" s="5">
        <f t="shared" si="130"/>
        <v>1</v>
      </c>
      <c r="E1277" s="74">
        <v>42283</v>
      </c>
      <c r="F1277" s="74"/>
      <c r="G1277" s="74"/>
      <c r="H1277" s="74"/>
      <c r="I1277" s="74"/>
      <c r="K1277" s="6" t="s">
        <v>3</v>
      </c>
      <c r="L1277" s="7"/>
      <c r="M1277" s="5">
        <f t="shared" si="131"/>
        <v>0</v>
      </c>
    </row>
    <row r="1278" spans="1:15" x14ac:dyDescent="0.15">
      <c r="B1278" s="6" t="s">
        <v>282</v>
      </c>
      <c r="C1278" s="7">
        <v>1</v>
      </c>
      <c r="D1278" s="5">
        <f t="shared" si="130"/>
        <v>1</v>
      </c>
      <c r="E1278" s="48">
        <v>42282</v>
      </c>
      <c r="F1278" s="48"/>
      <c r="G1278" s="48"/>
      <c r="H1278" s="48"/>
      <c r="I1278" s="48"/>
      <c r="K1278" s="6" t="s">
        <v>3</v>
      </c>
      <c r="L1278" s="7"/>
      <c r="M1278" s="5">
        <f t="shared" si="131"/>
        <v>0</v>
      </c>
    </row>
    <row r="1279" spans="1:15" x14ac:dyDescent="0.15">
      <c r="B1279" s="6" t="s">
        <v>283</v>
      </c>
      <c r="C1279" s="7">
        <v>5</v>
      </c>
      <c r="D1279" s="5">
        <f t="shared" si="130"/>
        <v>5</v>
      </c>
      <c r="E1279" s="48">
        <v>42284</v>
      </c>
      <c r="F1279" s="48"/>
      <c r="G1279" s="48"/>
      <c r="H1279" s="48"/>
      <c r="I1279" s="48"/>
      <c r="K1279" s="6" t="s">
        <v>3</v>
      </c>
      <c r="L1279" s="7"/>
      <c r="M1279" s="5">
        <f t="shared" si="131"/>
        <v>0</v>
      </c>
    </row>
    <row r="1280" spans="1:15" x14ac:dyDescent="0.15">
      <c r="B1280" s="6" t="s">
        <v>3</v>
      </c>
      <c r="C1280" s="7"/>
      <c r="D1280" s="5">
        <f t="shared" si="130"/>
        <v>0</v>
      </c>
      <c r="K1280" s="6" t="s">
        <v>3</v>
      </c>
      <c r="L1280" s="7"/>
      <c r="M1280" s="5">
        <f t="shared" si="131"/>
        <v>0</v>
      </c>
    </row>
    <row r="1281" spans="2:14" x14ac:dyDescent="0.15">
      <c r="B1281" s="6" t="s">
        <v>3</v>
      </c>
      <c r="C1281" s="54"/>
      <c r="D1281" s="5">
        <f t="shared" si="130"/>
        <v>0</v>
      </c>
      <c r="K1281" s="6" t="s">
        <v>3</v>
      </c>
      <c r="L1281" s="7"/>
      <c r="M1281" s="5">
        <f t="shared" si="131"/>
        <v>0</v>
      </c>
    </row>
    <row r="1282" spans="2:14" x14ac:dyDescent="0.15">
      <c r="B1282" s="6" t="s">
        <v>3</v>
      </c>
      <c r="C1282" s="54"/>
      <c r="D1282" s="5">
        <f t="shared" si="130"/>
        <v>0</v>
      </c>
      <c r="K1282" s="6" t="s">
        <v>3</v>
      </c>
      <c r="L1282" s="7"/>
      <c r="M1282" s="5">
        <f t="shared" si="131"/>
        <v>0</v>
      </c>
    </row>
    <row r="1283" spans="2:14" x14ac:dyDescent="0.15">
      <c r="B1283" s="6" t="s">
        <v>3</v>
      </c>
      <c r="C1283" s="54"/>
      <c r="D1283" s="5">
        <f t="shared" si="130"/>
        <v>0</v>
      </c>
      <c r="K1283" s="6" t="s">
        <v>3</v>
      </c>
      <c r="L1283" s="7"/>
      <c r="M1283" s="5">
        <f t="shared" si="131"/>
        <v>0</v>
      </c>
    </row>
    <row r="1284" spans="2:14" ht="14.25" thickBot="1" x14ac:dyDescent="0.2">
      <c r="B1284" s="9" t="s">
        <v>3</v>
      </c>
      <c r="C1284" s="101"/>
      <c r="D1284" s="5">
        <f t="shared" si="130"/>
        <v>0</v>
      </c>
      <c r="K1284" s="9" t="s">
        <v>3</v>
      </c>
      <c r="L1284" s="10"/>
      <c r="M1284" s="5">
        <f t="shared" si="131"/>
        <v>0</v>
      </c>
    </row>
    <row r="1285" spans="2:14" ht="14.25" thickBot="1" x14ac:dyDescent="0.2">
      <c r="B1285" s="11" t="s">
        <v>4</v>
      </c>
      <c r="C1285" s="12">
        <f>SUM(C1274:C1284)</f>
        <v>185</v>
      </c>
      <c r="D1285" s="13">
        <f>SUM(D1274:D1284)</f>
        <v>185</v>
      </c>
      <c r="K1285" s="11" t="s">
        <v>4</v>
      </c>
      <c r="L1285" s="12">
        <f>SUM(L1274:L1284)</f>
        <v>1000</v>
      </c>
      <c r="M1285" s="13">
        <f>SUM(M1274:M1284)</f>
        <v>1000</v>
      </c>
    </row>
    <row r="1286" spans="2:14" x14ac:dyDescent="0.15">
      <c r="B1286" s="71" t="s">
        <v>162</v>
      </c>
      <c r="C1286" s="15">
        <v>1</v>
      </c>
      <c r="D1286" s="14">
        <f>C1286</f>
        <v>1</v>
      </c>
      <c r="E1286" s="48">
        <v>42258</v>
      </c>
      <c r="F1286" s="48"/>
      <c r="G1286" s="48"/>
      <c r="H1286" s="48"/>
      <c r="I1286" s="48"/>
      <c r="K1286" s="4" t="s">
        <v>9</v>
      </c>
      <c r="L1286" s="44">
        <v>100</v>
      </c>
      <c r="M1286" s="14">
        <f t="shared" ref="M1286:M1296" si="132">SUM(L1286:L1286)</f>
        <v>100</v>
      </c>
      <c r="N1286" s="74">
        <v>42273</v>
      </c>
    </row>
    <row r="1287" spans="2:14" x14ac:dyDescent="0.15">
      <c r="B1287" s="71" t="s">
        <v>162</v>
      </c>
      <c r="C1287" s="15">
        <v>2</v>
      </c>
      <c r="D1287" s="14">
        <f>SUM(C1287)</f>
        <v>2</v>
      </c>
      <c r="E1287" s="48">
        <v>42259</v>
      </c>
      <c r="F1287" s="48"/>
      <c r="G1287" s="48"/>
      <c r="H1287" s="48"/>
      <c r="I1287" s="48"/>
      <c r="J1287" s="51"/>
      <c r="K1287" s="4"/>
      <c r="L1287" s="15"/>
      <c r="M1287" s="14">
        <f t="shared" si="132"/>
        <v>0</v>
      </c>
    </row>
    <row r="1288" spans="2:14" x14ac:dyDescent="0.15">
      <c r="B1288" s="71" t="s">
        <v>162</v>
      </c>
      <c r="C1288" s="15">
        <v>4</v>
      </c>
      <c r="D1288" s="14">
        <f>SUM(C1288)</f>
        <v>4</v>
      </c>
      <c r="E1288" s="74">
        <v>42261</v>
      </c>
      <c r="F1288" s="74"/>
      <c r="G1288" s="74"/>
      <c r="H1288" s="74"/>
      <c r="I1288" s="74"/>
      <c r="J1288" s="51"/>
      <c r="K1288" s="4"/>
      <c r="L1288" s="15"/>
      <c r="M1288" s="14">
        <f t="shared" si="132"/>
        <v>0</v>
      </c>
    </row>
    <row r="1289" spans="2:14" x14ac:dyDescent="0.15">
      <c r="B1289" s="71" t="s">
        <v>162</v>
      </c>
      <c r="C1289" s="15">
        <v>1</v>
      </c>
      <c r="D1289" s="14">
        <f>SUM(C1289)</f>
        <v>1</v>
      </c>
      <c r="E1289" s="48">
        <v>42263</v>
      </c>
      <c r="F1289" s="48"/>
      <c r="G1289" s="48"/>
      <c r="H1289" s="48"/>
      <c r="I1289" s="48"/>
      <c r="J1289" s="51"/>
      <c r="K1289" s="4"/>
      <c r="L1289" s="15"/>
      <c r="M1289" s="14">
        <f t="shared" si="132"/>
        <v>0</v>
      </c>
    </row>
    <row r="1290" spans="2:14" x14ac:dyDescent="0.15">
      <c r="B1290" s="71" t="s">
        <v>162</v>
      </c>
      <c r="C1290" s="15">
        <v>1</v>
      </c>
      <c r="D1290" s="14">
        <f>SUM(C1290)</f>
        <v>1</v>
      </c>
      <c r="E1290" s="48">
        <v>42264</v>
      </c>
      <c r="F1290" s="48"/>
      <c r="G1290" s="48"/>
      <c r="H1290" s="48"/>
      <c r="I1290" s="48"/>
      <c r="J1290" s="51"/>
      <c r="K1290" s="6"/>
      <c r="L1290" s="15"/>
      <c r="M1290" s="14">
        <f t="shared" si="132"/>
        <v>0</v>
      </c>
    </row>
    <row r="1291" spans="2:14" x14ac:dyDescent="0.15">
      <c r="B1291" s="71" t="s">
        <v>162</v>
      </c>
      <c r="C1291" s="15">
        <v>6</v>
      </c>
      <c r="D1291" s="14">
        <f>SUM(C1291)</f>
        <v>6</v>
      </c>
      <c r="E1291" s="48">
        <v>42265</v>
      </c>
      <c r="F1291" s="48"/>
      <c r="G1291" s="48"/>
      <c r="H1291" s="48"/>
      <c r="I1291" s="48"/>
      <c r="J1291" s="51"/>
      <c r="K1291" s="4"/>
      <c r="L1291" s="15"/>
      <c r="M1291" s="14">
        <f t="shared" si="132"/>
        <v>0</v>
      </c>
    </row>
    <row r="1292" spans="2:14" x14ac:dyDescent="0.15">
      <c r="B1292" s="71" t="s">
        <v>162</v>
      </c>
      <c r="C1292" s="15">
        <v>14</v>
      </c>
      <c r="D1292" s="14">
        <f t="shared" ref="D1292:D1307" si="133">SUM(C1292)</f>
        <v>14</v>
      </c>
      <c r="E1292" s="48">
        <v>42269</v>
      </c>
      <c r="F1292" s="48"/>
      <c r="G1292" s="48"/>
      <c r="H1292" s="48"/>
      <c r="I1292" s="48"/>
      <c r="J1292" s="51"/>
      <c r="K1292" s="6"/>
      <c r="L1292" s="15"/>
      <c r="M1292" s="14">
        <f t="shared" si="132"/>
        <v>0</v>
      </c>
    </row>
    <row r="1293" spans="2:14" x14ac:dyDescent="0.15">
      <c r="B1293" s="71" t="s">
        <v>162</v>
      </c>
      <c r="C1293" s="15">
        <v>8</v>
      </c>
      <c r="D1293" s="14">
        <f t="shared" si="133"/>
        <v>8</v>
      </c>
      <c r="E1293" s="48">
        <v>42271</v>
      </c>
      <c r="F1293" s="48"/>
      <c r="G1293" s="48"/>
      <c r="H1293" s="48"/>
      <c r="I1293" s="48"/>
      <c r="J1293" s="51"/>
      <c r="K1293" s="6"/>
      <c r="L1293" s="15"/>
      <c r="M1293" s="14">
        <f t="shared" si="132"/>
        <v>0</v>
      </c>
    </row>
    <row r="1294" spans="2:14" x14ac:dyDescent="0.15">
      <c r="B1294" s="4" t="s">
        <v>162</v>
      </c>
      <c r="C1294" s="15">
        <v>1</v>
      </c>
      <c r="D1294" s="14">
        <f t="shared" si="133"/>
        <v>1</v>
      </c>
      <c r="E1294" s="48">
        <v>42272</v>
      </c>
      <c r="F1294" s="48"/>
      <c r="G1294" s="48"/>
      <c r="H1294" s="48"/>
      <c r="I1294" s="48"/>
      <c r="J1294" s="51"/>
      <c r="K1294" s="4"/>
      <c r="L1294" s="15"/>
      <c r="M1294" s="14">
        <f t="shared" si="132"/>
        <v>0</v>
      </c>
    </row>
    <row r="1295" spans="2:14" x14ac:dyDescent="0.15">
      <c r="B1295" s="4" t="s">
        <v>162</v>
      </c>
      <c r="C1295" s="15">
        <v>8</v>
      </c>
      <c r="D1295" s="14">
        <f t="shared" si="133"/>
        <v>8</v>
      </c>
      <c r="E1295" s="48">
        <v>42273</v>
      </c>
      <c r="F1295" s="48"/>
      <c r="G1295" s="48"/>
      <c r="H1295" s="48"/>
      <c r="I1295" s="48"/>
      <c r="J1295" s="51"/>
      <c r="K1295" s="4"/>
      <c r="L1295" s="15"/>
      <c r="M1295" s="14">
        <f t="shared" si="132"/>
        <v>0</v>
      </c>
    </row>
    <row r="1296" spans="2:14" x14ac:dyDescent="0.15">
      <c r="B1296" s="4" t="s">
        <v>162</v>
      </c>
      <c r="C1296" s="15">
        <v>9</v>
      </c>
      <c r="D1296" s="14">
        <f t="shared" si="133"/>
        <v>9</v>
      </c>
      <c r="E1296" s="48">
        <v>42275</v>
      </c>
      <c r="F1296" s="48"/>
      <c r="G1296" s="48"/>
      <c r="H1296" s="48"/>
      <c r="I1296" s="48"/>
      <c r="J1296" s="51"/>
      <c r="K1296" s="4"/>
      <c r="L1296" s="15"/>
      <c r="M1296" s="14">
        <f t="shared" si="132"/>
        <v>0</v>
      </c>
    </row>
    <row r="1297" spans="2:13" x14ac:dyDescent="0.15">
      <c r="B1297" s="4" t="s">
        <v>162</v>
      </c>
      <c r="C1297" s="15">
        <v>6</v>
      </c>
      <c r="D1297" s="14">
        <f t="shared" si="133"/>
        <v>6</v>
      </c>
      <c r="E1297" s="48">
        <v>42276</v>
      </c>
      <c r="F1297" s="48"/>
      <c r="G1297" s="48"/>
      <c r="H1297" s="48"/>
      <c r="I1297" s="48"/>
      <c r="J1297" s="51"/>
      <c r="K1297" s="4"/>
      <c r="L1297" s="15"/>
      <c r="M1297" s="14">
        <f>SUM(L1297:L1297)</f>
        <v>0</v>
      </c>
    </row>
    <row r="1298" spans="2:13" x14ac:dyDescent="0.15">
      <c r="B1298" s="4" t="s">
        <v>162</v>
      </c>
      <c r="C1298" s="15">
        <v>6</v>
      </c>
      <c r="D1298" s="14">
        <f t="shared" si="133"/>
        <v>6</v>
      </c>
      <c r="E1298" s="48">
        <v>42277</v>
      </c>
      <c r="F1298" s="48"/>
      <c r="G1298" s="48"/>
      <c r="H1298" s="48"/>
      <c r="I1298" s="48"/>
      <c r="J1298" s="51"/>
      <c r="K1298" s="6"/>
      <c r="L1298" s="15"/>
      <c r="M1298" s="14">
        <f>SUM(L1298)</f>
        <v>0</v>
      </c>
    </row>
    <row r="1299" spans="2:13" x14ac:dyDescent="0.15">
      <c r="B1299" s="4" t="s">
        <v>162</v>
      </c>
      <c r="C1299" s="15">
        <v>4</v>
      </c>
      <c r="D1299" s="14">
        <f t="shared" si="133"/>
        <v>4</v>
      </c>
      <c r="E1299" s="48">
        <v>42278</v>
      </c>
      <c r="F1299" s="48"/>
      <c r="G1299" s="48"/>
      <c r="H1299" s="48"/>
      <c r="I1299" s="48"/>
      <c r="J1299" s="51"/>
      <c r="K1299" s="6"/>
      <c r="L1299" s="15"/>
      <c r="M1299" s="14">
        <f>SUM(L1299)</f>
        <v>0</v>
      </c>
    </row>
    <row r="1300" spans="2:13" x14ac:dyDescent="0.15">
      <c r="B1300" s="4" t="s">
        <v>162</v>
      </c>
      <c r="C1300" s="15">
        <v>3</v>
      </c>
      <c r="D1300" s="14">
        <f t="shared" si="133"/>
        <v>3</v>
      </c>
      <c r="E1300" s="48">
        <v>42279</v>
      </c>
      <c r="F1300" s="48"/>
      <c r="G1300" s="48"/>
      <c r="H1300" s="48"/>
      <c r="I1300" s="48"/>
      <c r="J1300" s="51"/>
      <c r="K1300" s="4"/>
      <c r="L1300" s="15"/>
      <c r="M1300" s="14">
        <f>SUM(L1300:L1300)</f>
        <v>0</v>
      </c>
    </row>
    <row r="1301" spans="2:13" x14ac:dyDescent="0.15">
      <c r="B1301" s="4" t="s">
        <v>162</v>
      </c>
      <c r="C1301" s="15">
        <v>1</v>
      </c>
      <c r="D1301" s="14">
        <f t="shared" si="133"/>
        <v>1</v>
      </c>
      <c r="E1301" s="48">
        <v>42280</v>
      </c>
      <c r="F1301" s="48"/>
      <c r="G1301" s="48"/>
      <c r="H1301" s="48"/>
      <c r="I1301" s="48"/>
      <c r="J1301" s="51"/>
      <c r="K1301" s="4"/>
      <c r="L1301" s="15"/>
      <c r="M1301" s="14">
        <f>SUM(L1301)</f>
        <v>0</v>
      </c>
    </row>
    <row r="1302" spans="2:13" x14ac:dyDescent="0.15">
      <c r="B1302" s="4" t="s">
        <v>162</v>
      </c>
      <c r="C1302" s="15">
        <v>7</v>
      </c>
      <c r="D1302" s="14">
        <f t="shared" si="133"/>
        <v>7</v>
      </c>
      <c r="E1302" s="48">
        <v>42282</v>
      </c>
      <c r="F1302" s="48"/>
      <c r="G1302" s="48"/>
      <c r="H1302" s="48"/>
      <c r="I1302" s="48"/>
      <c r="J1302" s="51"/>
      <c r="K1302" s="4"/>
      <c r="L1302" s="15"/>
      <c r="M1302" s="14">
        <f>SUM(L1302:L1302)</f>
        <v>0</v>
      </c>
    </row>
    <row r="1303" spans="2:13" x14ac:dyDescent="0.15">
      <c r="B1303" s="4" t="s">
        <v>162</v>
      </c>
      <c r="C1303" s="15">
        <v>2</v>
      </c>
      <c r="D1303" s="14">
        <f t="shared" si="133"/>
        <v>2</v>
      </c>
      <c r="E1303" s="48">
        <v>42284</v>
      </c>
      <c r="F1303" s="48"/>
      <c r="G1303" s="48"/>
      <c r="H1303" s="48"/>
      <c r="I1303" s="48"/>
      <c r="J1303" s="51"/>
      <c r="K1303" s="4"/>
      <c r="L1303" s="15"/>
      <c r="M1303" s="14">
        <f>SUM(L1303)</f>
        <v>0</v>
      </c>
    </row>
    <row r="1304" spans="2:13" x14ac:dyDescent="0.15">
      <c r="B1304" s="4" t="s">
        <v>162</v>
      </c>
      <c r="C1304" s="15">
        <v>5</v>
      </c>
      <c r="D1304" s="14">
        <f t="shared" si="133"/>
        <v>5</v>
      </c>
      <c r="E1304" s="74">
        <v>42285</v>
      </c>
      <c r="F1304" s="74"/>
      <c r="G1304" s="74"/>
      <c r="H1304" s="74"/>
      <c r="I1304" s="74"/>
      <c r="J1304" s="51"/>
      <c r="K1304" s="4"/>
      <c r="L1304" s="15"/>
      <c r="M1304" s="14">
        <f>SUM(L1304)</f>
        <v>0</v>
      </c>
    </row>
    <row r="1305" spans="2:13" x14ac:dyDescent="0.15">
      <c r="B1305" s="4" t="s">
        <v>162</v>
      </c>
      <c r="C1305" s="15">
        <v>1</v>
      </c>
      <c r="D1305" s="14">
        <f t="shared" si="133"/>
        <v>1</v>
      </c>
      <c r="E1305" s="48">
        <v>42286</v>
      </c>
      <c r="F1305" s="48"/>
      <c r="G1305" s="48"/>
      <c r="H1305" s="48"/>
      <c r="I1305" s="48"/>
      <c r="J1305" s="51"/>
      <c r="K1305" s="4"/>
      <c r="L1305" s="15"/>
      <c r="M1305" s="14">
        <f>SUM(L1305:L1305)</f>
        <v>0</v>
      </c>
    </row>
    <row r="1306" spans="2:13" x14ac:dyDescent="0.15">
      <c r="B1306" s="4" t="s">
        <v>162</v>
      </c>
      <c r="C1306" s="15">
        <v>1</v>
      </c>
      <c r="D1306" s="14">
        <f t="shared" si="133"/>
        <v>1</v>
      </c>
      <c r="E1306" s="48">
        <v>42290</v>
      </c>
      <c r="F1306" s="48"/>
      <c r="G1306" s="48"/>
      <c r="H1306" s="48"/>
      <c r="I1306" s="48"/>
      <c r="J1306" s="51"/>
      <c r="K1306" s="4"/>
      <c r="L1306" s="15"/>
      <c r="M1306" s="14">
        <f>SUM(L1306)</f>
        <v>0</v>
      </c>
    </row>
    <row r="1307" spans="2:13" x14ac:dyDescent="0.15">
      <c r="B1307" s="4" t="s">
        <v>162</v>
      </c>
      <c r="C1307" s="15">
        <v>15</v>
      </c>
      <c r="D1307" s="14">
        <f t="shared" si="133"/>
        <v>15</v>
      </c>
      <c r="E1307" s="48">
        <v>42290</v>
      </c>
      <c r="F1307" s="48"/>
      <c r="G1307" s="48"/>
      <c r="H1307" s="48"/>
      <c r="I1307" s="48"/>
      <c r="J1307" s="51"/>
      <c r="K1307" s="4"/>
      <c r="L1307" s="15"/>
      <c r="M1307" s="14">
        <f>SUM(L1307:L1307)</f>
        <v>0</v>
      </c>
    </row>
    <row r="1308" spans="2:13" x14ac:dyDescent="0.15">
      <c r="B1308" s="4" t="s">
        <v>162</v>
      </c>
      <c r="C1308" s="15">
        <v>3</v>
      </c>
      <c r="D1308" s="14">
        <f>SUM(C1308)</f>
        <v>3</v>
      </c>
      <c r="E1308" s="48">
        <v>42292</v>
      </c>
      <c r="F1308" s="48"/>
      <c r="G1308" s="48"/>
      <c r="H1308" s="48"/>
      <c r="I1308" s="48"/>
      <c r="J1308" s="51"/>
      <c r="K1308" s="4"/>
      <c r="L1308" s="15"/>
      <c r="M1308" s="14">
        <f>SUM(L1308)</f>
        <v>0</v>
      </c>
    </row>
    <row r="1309" spans="2:13" ht="14.25" thickBot="1" x14ac:dyDescent="0.2">
      <c r="B1309" s="4" t="s">
        <v>162</v>
      </c>
      <c r="C1309" s="15">
        <v>3</v>
      </c>
      <c r="D1309" s="14">
        <f>SUM(C1309)</f>
        <v>3</v>
      </c>
      <c r="E1309" s="48">
        <v>42293</v>
      </c>
      <c r="F1309" s="48"/>
      <c r="G1309" s="48"/>
      <c r="H1309" s="48"/>
      <c r="I1309" s="48"/>
      <c r="J1309" s="51"/>
      <c r="K1309" s="4"/>
      <c r="L1309" s="15"/>
      <c r="M1309" s="14">
        <f>SUM(L1309:L1309)</f>
        <v>0</v>
      </c>
    </row>
    <row r="1310" spans="2:13" ht="14.25" thickBot="1" x14ac:dyDescent="0.2">
      <c r="B1310" s="3" t="s">
        <v>5</v>
      </c>
      <c r="C1310" s="16">
        <f>SUM(C1286:C1309)</f>
        <v>112</v>
      </c>
      <c r="D1310" s="17">
        <f>SUM(D1286:D1309)</f>
        <v>112</v>
      </c>
      <c r="K1310" s="3" t="s">
        <v>5</v>
      </c>
      <c r="L1310" s="16">
        <f>SUM(L1286:L1309)</f>
        <v>100</v>
      </c>
      <c r="M1310" s="17">
        <f>SUM(M1286:M1309)</f>
        <v>100</v>
      </c>
    </row>
    <row r="1311" spans="2:13" ht="14.25" thickBot="1" x14ac:dyDescent="0.2">
      <c r="B1311" s="18" t="s">
        <v>6</v>
      </c>
      <c r="C1311" s="19">
        <f>C1285-C1310</f>
        <v>73</v>
      </c>
      <c r="D1311" s="13">
        <f>D1285-D1310</f>
        <v>73</v>
      </c>
      <c r="K1311" s="18" t="s">
        <v>6</v>
      </c>
      <c r="L1311" s="19">
        <f>L1285-L1310</f>
        <v>900</v>
      </c>
      <c r="M1311" s="13">
        <f>M1285-M1310</f>
        <v>900</v>
      </c>
    </row>
    <row r="1313" spans="1:14" ht="18" thickBot="1" x14ac:dyDescent="0.25">
      <c r="A1313" s="27" t="s">
        <v>8</v>
      </c>
      <c r="B1313" s="28"/>
      <c r="C1313" s="28"/>
      <c r="D1313" s="28"/>
      <c r="J1313" s="139" t="s">
        <v>218</v>
      </c>
      <c r="K1313" s="140"/>
      <c r="L1313" s="140"/>
      <c r="M1313" s="140"/>
    </row>
    <row r="1314" spans="1:14" ht="14.25" thickBot="1" x14ac:dyDescent="0.2">
      <c r="B1314" s="2"/>
      <c r="C1314" s="3" t="s">
        <v>0</v>
      </c>
      <c r="D1314" s="2" t="s">
        <v>1</v>
      </c>
      <c r="K1314" s="2"/>
      <c r="L1314" s="3" t="s">
        <v>0</v>
      </c>
      <c r="M1314" s="2" t="s">
        <v>1</v>
      </c>
    </row>
    <row r="1315" spans="1:14" x14ac:dyDescent="0.15">
      <c r="B1315" s="43" t="s">
        <v>26</v>
      </c>
      <c r="C1315" s="38">
        <f>C1311</f>
        <v>73</v>
      </c>
      <c r="D1315" s="39">
        <f t="shared" ref="D1315:D1325" si="134">SUM(C1315:C1315)</f>
        <v>73</v>
      </c>
      <c r="K1315" s="43" t="s">
        <v>26</v>
      </c>
      <c r="L1315" s="38">
        <f>L1311</f>
        <v>900</v>
      </c>
      <c r="M1315" s="39">
        <f t="shared" ref="M1315:M1325" si="135">SUM(L1315:L1315)</f>
        <v>900</v>
      </c>
    </row>
    <row r="1316" spans="1:14" x14ac:dyDescent="0.15">
      <c r="B1316" s="6" t="s">
        <v>3</v>
      </c>
      <c r="C1316" s="7">
        <v>100</v>
      </c>
      <c r="D1316" s="5">
        <f t="shared" si="134"/>
        <v>100</v>
      </c>
      <c r="E1316" s="74">
        <v>42312</v>
      </c>
      <c r="F1316" s="74"/>
      <c r="G1316" s="74"/>
      <c r="H1316" s="74"/>
      <c r="I1316" s="74"/>
      <c r="K1316" s="6" t="s">
        <v>3</v>
      </c>
      <c r="L1316" s="7"/>
      <c r="M1316" s="5">
        <f t="shared" si="135"/>
        <v>0</v>
      </c>
    </row>
    <row r="1317" spans="1:14" x14ac:dyDescent="0.15">
      <c r="B1317" s="6" t="s">
        <v>3</v>
      </c>
      <c r="C1317" s="7"/>
      <c r="D1317" s="5">
        <f t="shared" si="134"/>
        <v>0</v>
      </c>
      <c r="E1317" s="74"/>
      <c r="F1317" s="74"/>
      <c r="G1317" s="74"/>
      <c r="H1317" s="74"/>
      <c r="I1317" s="74"/>
      <c r="K1317" s="6" t="s">
        <v>3</v>
      </c>
      <c r="L1317" s="7"/>
      <c r="M1317" s="5">
        <f t="shared" si="135"/>
        <v>0</v>
      </c>
    </row>
    <row r="1318" spans="1:14" x14ac:dyDescent="0.15">
      <c r="B1318" s="6" t="s">
        <v>3</v>
      </c>
      <c r="C1318" s="7"/>
      <c r="D1318" s="5">
        <f t="shared" si="134"/>
        <v>0</v>
      </c>
      <c r="E1318" s="74"/>
      <c r="F1318" s="74"/>
      <c r="G1318" s="74"/>
      <c r="H1318" s="74"/>
      <c r="I1318" s="74"/>
      <c r="K1318" s="6" t="s">
        <v>3</v>
      </c>
      <c r="L1318" s="7"/>
      <c r="M1318" s="5">
        <f t="shared" si="135"/>
        <v>0</v>
      </c>
    </row>
    <row r="1319" spans="1:14" x14ac:dyDescent="0.15">
      <c r="B1319" s="6" t="s">
        <v>3</v>
      </c>
      <c r="C1319" s="7"/>
      <c r="D1319" s="5">
        <f t="shared" si="134"/>
        <v>0</v>
      </c>
      <c r="E1319" s="48"/>
      <c r="F1319" s="48"/>
      <c r="G1319" s="48"/>
      <c r="H1319" s="48"/>
      <c r="I1319" s="48"/>
      <c r="K1319" s="6" t="s">
        <v>3</v>
      </c>
      <c r="L1319" s="7"/>
      <c r="M1319" s="5">
        <f t="shared" si="135"/>
        <v>0</v>
      </c>
    </row>
    <row r="1320" spans="1:14" x14ac:dyDescent="0.15">
      <c r="B1320" s="6" t="s">
        <v>3</v>
      </c>
      <c r="C1320" s="7"/>
      <c r="D1320" s="5">
        <f t="shared" si="134"/>
        <v>0</v>
      </c>
      <c r="E1320" s="48"/>
      <c r="F1320" s="48"/>
      <c r="G1320" s="48"/>
      <c r="H1320" s="48"/>
      <c r="I1320" s="48"/>
      <c r="K1320" s="6" t="s">
        <v>3</v>
      </c>
      <c r="L1320" s="7"/>
      <c r="M1320" s="5">
        <f t="shared" si="135"/>
        <v>0</v>
      </c>
    </row>
    <row r="1321" spans="1:14" x14ac:dyDescent="0.15">
      <c r="B1321" s="6" t="s">
        <v>3</v>
      </c>
      <c r="C1321" s="7"/>
      <c r="D1321" s="5">
        <f t="shared" si="134"/>
        <v>0</v>
      </c>
      <c r="K1321" s="6" t="s">
        <v>3</v>
      </c>
      <c r="L1321" s="7"/>
      <c r="M1321" s="5">
        <f t="shared" si="135"/>
        <v>0</v>
      </c>
    </row>
    <row r="1322" spans="1:14" x14ac:dyDescent="0.15">
      <c r="B1322" s="6" t="s">
        <v>3</v>
      </c>
      <c r="C1322" s="54"/>
      <c r="D1322" s="5">
        <f t="shared" si="134"/>
        <v>0</v>
      </c>
      <c r="K1322" s="6" t="s">
        <v>3</v>
      </c>
      <c r="L1322" s="7"/>
      <c r="M1322" s="5">
        <f t="shared" si="135"/>
        <v>0</v>
      </c>
    </row>
    <row r="1323" spans="1:14" x14ac:dyDescent="0.15">
      <c r="B1323" s="6" t="s">
        <v>3</v>
      </c>
      <c r="C1323" s="54"/>
      <c r="D1323" s="5">
        <f t="shared" si="134"/>
        <v>0</v>
      </c>
      <c r="K1323" s="6" t="s">
        <v>3</v>
      </c>
      <c r="L1323" s="7"/>
      <c r="M1323" s="5">
        <f t="shared" si="135"/>
        <v>0</v>
      </c>
    </row>
    <row r="1324" spans="1:14" x14ac:dyDescent="0.15">
      <c r="B1324" s="6" t="s">
        <v>3</v>
      </c>
      <c r="C1324" s="54"/>
      <c r="D1324" s="5">
        <f t="shared" si="134"/>
        <v>0</v>
      </c>
      <c r="K1324" s="6" t="s">
        <v>3</v>
      </c>
      <c r="L1324" s="7"/>
      <c r="M1324" s="5">
        <f t="shared" si="135"/>
        <v>0</v>
      </c>
    </row>
    <row r="1325" spans="1:14" ht="14.25" thickBot="1" x14ac:dyDescent="0.2">
      <c r="B1325" s="9" t="s">
        <v>3</v>
      </c>
      <c r="C1325" s="101"/>
      <c r="D1325" s="5">
        <f t="shared" si="134"/>
        <v>0</v>
      </c>
      <c r="K1325" s="9" t="s">
        <v>3</v>
      </c>
      <c r="L1325" s="10"/>
      <c r="M1325" s="5">
        <f t="shared" si="135"/>
        <v>0</v>
      </c>
    </row>
    <row r="1326" spans="1:14" ht="14.25" thickBot="1" x14ac:dyDescent="0.2">
      <c r="B1326" s="11" t="s">
        <v>4</v>
      </c>
      <c r="C1326" s="12">
        <f>SUM(C1315:C1325)</f>
        <v>173</v>
      </c>
      <c r="D1326" s="13">
        <f>SUM(D1315:D1325)</f>
        <v>173</v>
      </c>
      <c r="K1326" s="11" t="s">
        <v>4</v>
      </c>
      <c r="L1326" s="12">
        <f>SUM(L1315:L1325)</f>
        <v>900</v>
      </c>
      <c r="M1326" s="13">
        <f>SUM(M1315:M1325)</f>
        <v>900</v>
      </c>
    </row>
    <row r="1327" spans="1:14" x14ac:dyDescent="0.15">
      <c r="B1327" s="71" t="s">
        <v>162</v>
      </c>
      <c r="C1327" s="15">
        <v>2</v>
      </c>
      <c r="D1327" s="14">
        <f>C1327</f>
        <v>2</v>
      </c>
      <c r="E1327" s="48">
        <v>42294</v>
      </c>
      <c r="F1327" s="48"/>
      <c r="G1327" s="48"/>
      <c r="H1327" s="48"/>
      <c r="I1327" s="48"/>
      <c r="K1327" s="4" t="s">
        <v>9</v>
      </c>
      <c r="L1327" s="44">
        <v>100</v>
      </c>
      <c r="M1327" s="14">
        <f t="shared" ref="M1327:M1337" si="136">SUM(L1327:L1327)</f>
        <v>100</v>
      </c>
      <c r="N1327" s="74">
        <v>42312</v>
      </c>
    </row>
    <row r="1328" spans="1:14" x14ac:dyDescent="0.15">
      <c r="B1328" s="71" t="s">
        <v>162</v>
      </c>
      <c r="C1328" s="15">
        <v>9</v>
      </c>
      <c r="D1328" s="14">
        <f>SUM(C1328)</f>
        <v>9</v>
      </c>
      <c r="E1328" s="48">
        <v>42296</v>
      </c>
      <c r="F1328" s="48"/>
      <c r="G1328" s="48"/>
      <c r="H1328" s="48"/>
      <c r="I1328" s="48"/>
      <c r="J1328" s="51"/>
      <c r="K1328" s="4"/>
      <c r="L1328" s="15"/>
      <c r="M1328" s="14">
        <f t="shared" si="136"/>
        <v>0</v>
      </c>
      <c r="N1328" s="75"/>
    </row>
    <row r="1329" spans="2:13" x14ac:dyDescent="0.15">
      <c r="B1329" s="71" t="s">
        <v>162</v>
      </c>
      <c r="C1329" s="15">
        <v>5</v>
      </c>
      <c r="D1329" s="14">
        <f>SUM(C1329)</f>
        <v>5</v>
      </c>
      <c r="E1329" s="74">
        <v>42297</v>
      </c>
      <c r="F1329" s="74"/>
      <c r="G1329" s="74"/>
      <c r="H1329" s="74"/>
      <c r="I1329" s="74"/>
      <c r="J1329" s="51"/>
      <c r="K1329" s="4"/>
      <c r="L1329" s="15"/>
      <c r="M1329" s="14">
        <f t="shared" si="136"/>
        <v>0</v>
      </c>
    </row>
    <row r="1330" spans="2:13" x14ac:dyDescent="0.15">
      <c r="B1330" s="71" t="s">
        <v>162</v>
      </c>
      <c r="C1330" s="15">
        <v>1</v>
      </c>
      <c r="D1330" s="14">
        <f>SUM(C1330)</f>
        <v>1</v>
      </c>
      <c r="E1330" s="48">
        <v>42299</v>
      </c>
      <c r="F1330" s="48"/>
      <c r="G1330" s="48"/>
      <c r="H1330" s="48"/>
      <c r="I1330" s="48"/>
      <c r="J1330" s="51"/>
      <c r="K1330" s="4"/>
      <c r="L1330" s="15"/>
      <c r="M1330" s="14">
        <f t="shared" si="136"/>
        <v>0</v>
      </c>
    </row>
    <row r="1331" spans="2:13" x14ac:dyDescent="0.15">
      <c r="B1331" s="71" t="s">
        <v>162</v>
      </c>
      <c r="C1331" s="15">
        <v>2</v>
      </c>
      <c r="D1331" s="14">
        <f>SUM(C1331)</f>
        <v>2</v>
      </c>
      <c r="E1331" s="48">
        <v>42298</v>
      </c>
      <c r="F1331" s="48"/>
      <c r="G1331" s="48"/>
      <c r="H1331" s="48"/>
      <c r="I1331" s="48"/>
      <c r="J1331" s="51"/>
      <c r="K1331" s="6"/>
      <c r="L1331" s="15"/>
      <c r="M1331" s="14">
        <f t="shared" si="136"/>
        <v>0</v>
      </c>
    </row>
    <row r="1332" spans="2:13" x14ac:dyDescent="0.15">
      <c r="B1332" s="71" t="s">
        <v>162</v>
      </c>
      <c r="C1332" s="15">
        <v>1</v>
      </c>
      <c r="D1332" s="14">
        <f>SUM(C1332)</f>
        <v>1</v>
      </c>
      <c r="E1332" s="48">
        <v>42300</v>
      </c>
      <c r="F1332" s="48"/>
      <c r="G1332" s="48"/>
      <c r="H1332" s="48"/>
      <c r="I1332" s="48"/>
      <c r="J1332" s="51"/>
      <c r="K1332" s="4"/>
      <c r="L1332" s="15"/>
      <c r="M1332" s="14">
        <f t="shared" si="136"/>
        <v>0</v>
      </c>
    </row>
    <row r="1333" spans="2:13" x14ac:dyDescent="0.15">
      <c r="B1333" s="71" t="s">
        <v>162</v>
      </c>
      <c r="C1333" s="15">
        <v>1</v>
      </c>
      <c r="D1333" s="14">
        <f t="shared" ref="D1333:D1348" si="137">SUM(C1333)</f>
        <v>1</v>
      </c>
      <c r="E1333" s="48">
        <v>42301</v>
      </c>
      <c r="F1333" s="48"/>
      <c r="G1333" s="48"/>
      <c r="H1333" s="48"/>
      <c r="I1333" s="48"/>
      <c r="J1333" s="51"/>
      <c r="K1333" s="6"/>
      <c r="L1333" s="15"/>
      <c r="M1333" s="14">
        <f t="shared" si="136"/>
        <v>0</v>
      </c>
    </row>
    <row r="1334" spans="2:13" x14ac:dyDescent="0.15">
      <c r="B1334" s="71" t="s">
        <v>162</v>
      </c>
      <c r="C1334" s="15">
        <v>7</v>
      </c>
      <c r="D1334" s="14">
        <f t="shared" si="137"/>
        <v>7</v>
      </c>
      <c r="E1334" s="48">
        <v>42303</v>
      </c>
      <c r="F1334" s="48"/>
      <c r="G1334" s="48"/>
      <c r="H1334" s="48"/>
      <c r="I1334" s="48"/>
      <c r="J1334" s="51"/>
      <c r="K1334" s="6"/>
      <c r="L1334" s="15"/>
      <c r="M1334" s="14">
        <f t="shared" si="136"/>
        <v>0</v>
      </c>
    </row>
    <row r="1335" spans="2:13" x14ac:dyDescent="0.15">
      <c r="B1335" s="71" t="s">
        <v>162</v>
      </c>
      <c r="C1335" s="15">
        <v>3</v>
      </c>
      <c r="D1335" s="14">
        <f t="shared" si="137"/>
        <v>3</v>
      </c>
      <c r="E1335" s="48">
        <v>42304</v>
      </c>
      <c r="F1335" s="48"/>
      <c r="G1335" s="48"/>
      <c r="H1335" s="48"/>
      <c r="I1335" s="48"/>
      <c r="J1335" s="51"/>
      <c r="K1335" s="4"/>
      <c r="L1335" s="15"/>
      <c r="M1335" s="14">
        <f t="shared" si="136"/>
        <v>0</v>
      </c>
    </row>
    <row r="1336" spans="2:13" x14ac:dyDescent="0.15">
      <c r="B1336" s="71" t="s">
        <v>162</v>
      </c>
      <c r="C1336" s="15">
        <v>3</v>
      </c>
      <c r="D1336" s="14">
        <f t="shared" si="137"/>
        <v>3</v>
      </c>
      <c r="E1336" s="48">
        <v>42305</v>
      </c>
      <c r="F1336" s="48"/>
      <c r="G1336" s="48"/>
      <c r="H1336" s="48"/>
      <c r="I1336" s="48"/>
      <c r="J1336" s="51"/>
      <c r="K1336" s="4"/>
      <c r="L1336" s="15"/>
      <c r="M1336" s="14">
        <f t="shared" si="136"/>
        <v>0</v>
      </c>
    </row>
    <row r="1337" spans="2:13" x14ac:dyDescent="0.15">
      <c r="B1337" s="71" t="s">
        <v>162</v>
      </c>
      <c r="C1337" s="15">
        <v>2</v>
      </c>
      <c r="D1337" s="14">
        <f t="shared" si="137"/>
        <v>2</v>
      </c>
      <c r="E1337" s="48">
        <v>42306</v>
      </c>
      <c r="F1337" s="48"/>
      <c r="G1337" s="48"/>
      <c r="H1337" s="48"/>
      <c r="I1337" s="48"/>
      <c r="J1337" s="51"/>
      <c r="K1337" s="4"/>
      <c r="L1337" s="15"/>
      <c r="M1337" s="14">
        <f t="shared" si="136"/>
        <v>0</v>
      </c>
    </row>
    <row r="1338" spans="2:13" x14ac:dyDescent="0.15">
      <c r="B1338" s="71" t="s">
        <v>162</v>
      </c>
      <c r="C1338" s="15">
        <v>2</v>
      </c>
      <c r="D1338" s="14">
        <f t="shared" si="137"/>
        <v>2</v>
      </c>
      <c r="E1338" s="48">
        <v>42307</v>
      </c>
      <c r="F1338" s="48"/>
      <c r="G1338" s="48"/>
      <c r="H1338" s="48"/>
      <c r="I1338" s="48"/>
      <c r="J1338" s="51"/>
      <c r="K1338" s="4"/>
      <c r="L1338" s="15"/>
      <c r="M1338" s="14">
        <f>SUM(L1338:L1338)</f>
        <v>0</v>
      </c>
    </row>
    <row r="1339" spans="2:13" x14ac:dyDescent="0.15">
      <c r="B1339" s="71" t="s">
        <v>162</v>
      </c>
      <c r="C1339" s="15">
        <v>5</v>
      </c>
      <c r="D1339" s="14">
        <f t="shared" si="137"/>
        <v>5</v>
      </c>
      <c r="E1339" s="48">
        <v>42308</v>
      </c>
      <c r="F1339" s="48"/>
      <c r="G1339" s="48"/>
      <c r="H1339" s="48"/>
      <c r="I1339" s="48"/>
      <c r="J1339" s="51"/>
      <c r="K1339" s="6"/>
      <c r="L1339" s="15"/>
      <c r="M1339" s="14">
        <f>SUM(L1339)</f>
        <v>0</v>
      </c>
    </row>
    <row r="1340" spans="2:13" x14ac:dyDescent="0.15">
      <c r="B1340" s="71" t="s">
        <v>162</v>
      </c>
      <c r="C1340" s="15">
        <v>7</v>
      </c>
      <c r="D1340" s="14">
        <f t="shared" si="137"/>
        <v>7</v>
      </c>
      <c r="E1340" s="48">
        <v>42312</v>
      </c>
      <c r="F1340" s="48"/>
      <c r="G1340" s="48"/>
      <c r="H1340" s="48"/>
      <c r="I1340" s="48"/>
      <c r="J1340" s="51"/>
      <c r="K1340" s="6"/>
      <c r="L1340" s="15"/>
      <c r="M1340" s="14">
        <f>SUM(L1340)</f>
        <v>0</v>
      </c>
    </row>
    <row r="1341" spans="2:13" x14ac:dyDescent="0.15">
      <c r="B1341" s="71" t="s">
        <v>162</v>
      </c>
      <c r="C1341" s="15">
        <v>2</v>
      </c>
      <c r="D1341" s="14">
        <f t="shared" si="137"/>
        <v>2</v>
      </c>
      <c r="E1341" s="48">
        <v>42313</v>
      </c>
      <c r="F1341" s="48"/>
      <c r="G1341" s="48"/>
      <c r="H1341" s="48"/>
      <c r="I1341" s="48"/>
      <c r="J1341" s="51"/>
      <c r="K1341" s="4"/>
      <c r="L1341" s="15"/>
      <c r="M1341" s="14">
        <f>SUM(L1341:L1341)</f>
        <v>0</v>
      </c>
    </row>
    <row r="1342" spans="2:13" x14ac:dyDescent="0.15">
      <c r="B1342" s="71" t="s">
        <v>162</v>
      </c>
      <c r="C1342" s="15">
        <v>2</v>
      </c>
      <c r="D1342" s="14">
        <f t="shared" si="137"/>
        <v>2</v>
      </c>
      <c r="E1342" s="48">
        <v>42314</v>
      </c>
      <c r="F1342" s="48"/>
      <c r="G1342" s="48"/>
      <c r="H1342" s="48"/>
      <c r="I1342" s="48"/>
      <c r="J1342" s="51"/>
      <c r="K1342" s="4"/>
      <c r="L1342" s="15"/>
      <c r="M1342" s="14">
        <f>SUM(L1342)</f>
        <v>0</v>
      </c>
    </row>
    <row r="1343" spans="2:13" x14ac:dyDescent="0.15">
      <c r="B1343" s="71" t="s">
        <v>162</v>
      </c>
      <c r="C1343" s="15">
        <v>1</v>
      </c>
      <c r="D1343" s="14">
        <f t="shared" si="137"/>
        <v>1</v>
      </c>
      <c r="E1343" s="48">
        <v>42315</v>
      </c>
      <c r="F1343" s="48"/>
      <c r="G1343" s="48"/>
      <c r="H1343" s="48"/>
      <c r="I1343" s="48"/>
      <c r="J1343" s="51"/>
      <c r="K1343" s="4"/>
      <c r="L1343" s="15"/>
      <c r="M1343" s="14">
        <f>SUM(L1343:L1343)</f>
        <v>0</v>
      </c>
    </row>
    <row r="1344" spans="2:13" x14ac:dyDescent="0.15">
      <c r="B1344" s="71" t="s">
        <v>162</v>
      </c>
      <c r="C1344" s="15">
        <v>1</v>
      </c>
      <c r="D1344" s="14">
        <f t="shared" si="137"/>
        <v>1</v>
      </c>
      <c r="E1344" s="48">
        <v>42317</v>
      </c>
      <c r="F1344" s="48"/>
      <c r="G1344" s="48"/>
      <c r="H1344" s="48"/>
      <c r="I1344" s="48"/>
      <c r="J1344" s="51"/>
      <c r="K1344" s="4"/>
      <c r="L1344" s="15"/>
      <c r="M1344" s="14">
        <f>SUM(L1344)</f>
        <v>0</v>
      </c>
    </row>
    <row r="1345" spans="1:14" x14ac:dyDescent="0.15">
      <c r="B1345" s="71" t="s">
        <v>162</v>
      </c>
      <c r="C1345" s="15">
        <v>1</v>
      </c>
      <c r="D1345" s="14">
        <f t="shared" si="137"/>
        <v>1</v>
      </c>
      <c r="E1345" s="74">
        <v>42318</v>
      </c>
      <c r="F1345" s="74"/>
      <c r="G1345" s="74"/>
      <c r="H1345" s="74"/>
      <c r="I1345" s="74"/>
      <c r="J1345" s="51"/>
      <c r="K1345" s="4"/>
      <c r="L1345" s="15"/>
      <c r="M1345" s="14">
        <f>SUM(L1345)</f>
        <v>0</v>
      </c>
    </row>
    <row r="1346" spans="1:14" x14ac:dyDescent="0.15">
      <c r="B1346" s="71" t="s">
        <v>162</v>
      </c>
      <c r="C1346" s="15">
        <v>2</v>
      </c>
      <c r="D1346" s="14">
        <f t="shared" si="137"/>
        <v>2</v>
      </c>
      <c r="E1346" s="48">
        <v>42319</v>
      </c>
      <c r="F1346" s="48"/>
      <c r="G1346" s="48"/>
      <c r="H1346" s="48"/>
      <c r="I1346" s="48"/>
      <c r="J1346" s="51"/>
      <c r="K1346" s="4"/>
      <c r="L1346" s="15"/>
      <c r="M1346" s="14">
        <f>SUM(L1346:L1346)</f>
        <v>0</v>
      </c>
    </row>
    <row r="1347" spans="1:14" x14ac:dyDescent="0.15">
      <c r="B1347" s="71" t="s">
        <v>162</v>
      </c>
      <c r="C1347" s="15">
        <v>1</v>
      </c>
      <c r="D1347" s="14">
        <f t="shared" si="137"/>
        <v>1</v>
      </c>
      <c r="E1347" s="48">
        <v>42321</v>
      </c>
      <c r="F1347" s="48"/>
      <c r="G1347" s="48"/>
      <c r="H1347" s="48"/>
      <c r="I1347" s="48"/>
      <c r="J1347" s="51"/>
      <c r="K1347" s="4"/>
      <c r="L1347" s="15"/>
      <c r="M1347" s="14">
        <f>SUM(L1347)</f>
        <v>0</v>
      </c>
    </row>
    <row r="1348" spans="1:14" x14ac:dyDescent="0.15">
      <c r="B1348" s="71" t="s">
        <v>162</v>
      </c>
      <c r="C1348" s="15">
        <v>10</v>
      </c>
      <c r="D1348" s="14">
        <f t="shared" si="137"/>
        <v>10</v>
      </c>
      <c r="E1348" s="48">
        <v>42322</v>
      </c>
      <c r="F1348" s="48"/>
      <c r="G1348" s="48"/>
      <c r="H1348" s="48"/>
      <c r="I1348" s="48"/>
      <c r="J1348" s="51"/>
      <c r="K1348" s="4"/>
      <c r="L1348" s="15"/>
      <c r="M1348" s="14">
        <f>SUM(L1348:L1348)</f>
        <v>0</v>
      </c>
    </row>
    <row r="1349" spans="1:14" x14ac:dyDescent="0.15">
      <c r="B1349" s="71" t="s">
        <v>162</v>
      </c>
      <c r="C1349" s="15">
        <v>3</v>
      </c>
      <c r="D1349" s="14">
        <f>SUM(C1349)</f>
        <v>3</v>
      </c>
      <c r="E1349" s="48">
        <v>42324</v>
      </c>
      <c r="F1349" s="48"/>
      <c r="G1349" s="48"/>
      <c r="H1349" s="48"/>
      <c r="I1349" s="48"/>
      <c r="J1349" s="51"/>
      <c r="K1349" s="4"/>
      <c r="L1349" s="15"/>
      <c r="M1349" s="14">
        <f>SUM(L1349)</f>
        <v>0</v>
      </c>
    </row>
    <row r="1350" spans="1:14" ht="14.25" thickBot="1" x14ac:dyDescent="0.2">
      <c r="B1350" s="71" t="s">
        <v>284</v>
      </c>
      <c r="C1350" s="15">
        <v>2</v>
      </c>
      <c r="D1350" s="14">
        <f>SUM(C1350)</f>
        <v>2</v>
      </c>
      <c r="E1350" s="48">
        <v>42332</v>
      </c>
      <c r="F1350" s="48"/>
      <c r="G1350" s="48"/>
      <c r="H1350" s="48"/>
      <c r="I1350" s="48"/>
      <c r="J1350" s="51"/>
      <c r="K1350" s="4"/>
      <c r="L1350" s="15"/>
      <c r="M1350" s="14">
        <f>SUM(L1350:L1350)</f>
        <v>0</v>
      </c>
    </row>
    <row r="1351" spans="1:14" ht="14.25" thickBot="1" x14ac:dyDescent="0.2">
      <c r="B1351" s="3" t="s">
        <v>5</v>
      </c>
      <c r="C1351" s="16">
        <f>SUM(C1327:C1350)</f>
        <v>75</v>
      </c>
      <c r="D1351" s="17">
        <f>SUM(D1327:D1350)</f>
        <v>75</v>
      </c>
      <c r="K1351" s="3" t="s">
        <v>5</v>
      </c>
      <c r="L1351" s="16">
        <f>SUM(L1327:L1350)</f>
        <v>100</v>
      </c>
      <c r="M1351" s="17">
        <f>SUM(M1327:M1350)</f>
        <v>100</v>
      </c>
    </row>
    <row r="1352" spans="1:14" ht="14.25" thickBot="1" x14ac:dyDescent="0.2">
      <c r="B1352" s="18" t="s">
        <v>6</v>
      </c>
      <c r="C1352" s="19">
        <f>C1326-C1351</f>
        <v>98</v>
      </c>
      <c r="D1352" s="13">
        <f>D1326-D1351</f>
        <v>98</v>
      </c>
      <c r="K1352" s="18" t="s">
        <v>6</v>
      </c>
      <c r="L1352" s="19">
        <f>L1326-L1351</f>
        <v>800</v>
      </c>
      <c r="M1352" s="13">
        <f>M1326-M1351</f>
        <v>800</v>
      </c>
    </row>
    <row r="1354" spans="1:14" ht="18" thickBot="1" x14ac:dyDescent="0.25">
      <c r="A1354" s="27" t="s">
        <v>8</v>
      </c>
      <c r="B1354" s="28"/>
      <c r="C1354" s="28"/>
      <c r="D1354" s="28"/>
      <c r="J1354" s="139" t="s">
        <v>218</v>
      </c>
      <c r="K1354" s="140"/>
      <c r="L1354" s="140"/>
      <c r="M1354" s="140"/>
    </row>
    <row r="1355" spans="1:14" ht="14.25" thickBot="1" x14ac:dyDescent="0.2">
      <c r="B1355" s="2"/>
      <c r="C1355" s="3" t="s">
        <v>0</v>
      </c>
      <c r="D1355" s="2" t="s">
        <v>1</v>
      </c>
      <c r="K1355" s="2"/>
      <c r="L1355" s="3" t="s">
        <v>0</v>
      </c>
      <c r="M1355" s="2" t="s">
        <v>1</v>
      </c>
    </row>
    <row r="1356" spans="1:14" x14ac:dyDescent="0.15">
      <c r="B1356" s="43" t="s">
        <v>26</v>
      </c>
      <c r="C1356" s="38">
        <f>C1352</f>
        <v>98</v>
      </c>
      <c r="D1356" s="39">
        <f t="shared" ref="D1356:D1366" si="138">SUM(C1356:C1356)</f>
        <v>98</v>
      </c>
      <c r="K1356" s="43" t="s">
        <v>26</v>
      </c>
      <c r="L1356" s="38">
        <f>L1352</f>
        <v>800</v>
      </c>
      <c r="M1356" s="39">
        <f t="shared" ref="M1356:M1366" si="139">SUM(L1356:L1356)</f>
        <v>800</v>
      </c>
    </row>
    <row r="1357" spans="1:14" x14ac:dyDescent="0.15">
      <c r="B1357" s="6" t="s">
        <v>3</v>
      </c>
      <c r="C1357" s="7"/>
      <c r="D1357" s="5">
        <f t="shared" si="138"/>
        <v>0</v>
      </c>
      <c r="E1357" s="74"/>
      <c r="F1357" s="74"/>
      <c r="G1357" s="74"/>
      <c r="H1357" s="74"/>
      <c r="I1357" s="74"/>
      <c r="K1357" s="6" t="s">
        <v>3</v>
      </c>
      <c r="L1357" s="7"/>
      <c r="M1357" s="5">
        <f t="shared" si="139"/>
        <v>0</v>
      </c>
    </row>
    <row r="1358" spans="1:14" x14ac:dyDescent="0.15">
      <c r="B1358" s="6" t="s">
        <v>3</v>
      </c>
      <c r="C1358" s="7"/>
      <c r="D1358" s="5">
        <f t="shared" si="138"/>
        <v>0</v>
      </c>
      <c r="E1358" s="74"/>
      <c r="F1358" s="74"/>
      <c r="G1358" s="74"/>
      <c r="H1358" s="74"/>
      <c r="I1358" s="74"/>
      <c r="K1358" s="6" t="s">
        <v>3</v>
      </c>
      <c r="L1358" s="7"/>
      <c r="M1358" s="5">
        <f t="shared" si="139"/>
        <v>0</v>
      </c>
      <c r="N1358" s="74"/>
    </row>
    <row r="1359" spans="1:14" x14ac:dyDescent="0.15">
      <c r="B1359" s="6" t="s">
        <v>3</v>
      </c>
      <c r="C1359" s="7"/>
      <c r="D1359" s="5">
        <f t="shared" si="138"/>
        <v>0</v>
      </c>
      <c r="E1359" s="74"/>
      <c r="F1359" s="74"/>
      <c r="G1359" s="74"/>
      <c r="H1359" s="74"/>
      <c r="I1359" s="74"/>
      <c r="K1359" s="6" t="s">
        <v>3</v>
      </c>
      <c r="L1359" s="7"/>
      <c r="M1359" s="5">
        <f t="shared" si="139"/>
        <v>0</v>
      </c>
    </row>
    <row r="1360" spans="1:14" x14ac:dyDescent="0.15">
      <c r="B1360" s="6" t="s">
        <v>3</v>
      </c>
      <c r="C1360" s="7"/>
      <c r="D1360" s="5">
        <f t="shared" si="138"/>
        <v>0</v>
      </c>
      <c r="E1360" s="48"/>
      <c r="F1360" s="48"/>
      <c r="G1360" s="48"/>
      <c r="H1360" s="48"/>
      <c r="I1360" s="48"/>
      <c r="K1360" s="6" t="s">
        <v>3</v>
      </c>
      <c r="L1360" s="7"/>
      <c r="M1360" s="5">
        <f t="shared" si="139"/>
        <v>0</v>
      </c>
      <c r="N1360" s="74"/>
    </row>
    <row r="1361" spans="2:14" x14ac:dyDescent="0.15">
      <c r="B1361" s="6" t="s">
        <v>3</v>
      </c>
      <c r="C1361" s="7"/>
      <c r="D1361" s="5">
        <f t="shared" si="138"/>
        <v>0</v>
      </c>
      <c r="E1361" s="48"/>
      <c r="F1361" s="48"/>
      <c r="G1361" s="48"/>
      <c r="H1361" s="48"/>
      <c r="I1361" s="48"/>
      <c r="K1361" s="6" t="s">
        <v>3</v>
      </c>
      <c r="L1361" s="7"/>
      <c r="M1361" s="5">
        <f t="shared" si="139"/>
        <v>0</v>
      </c>
      <c r="N1361" s="75"/>
    </row>
    <row r="1362" spans="2:14" x14ac:dyDescent="0.15">
      <c r="B1362" s="6" t="s">
        <v>3</v>
      </c>
      <c r="C1362" s="7"/>
      <c r="D1362" s="5">
        <f t="shared" si="138"/>
        <v>0</v>
      </c>
      <c r="K1362" s="6" t="s">
        <v>3</v>
      </c>
      <c r="L1362" s="7"/>
      <c r="M1362" s="5">
        <f t="shared" si="139"/>
        <v>0</v>
      </c>
    </row>
    <row r="1363" spans="2:14" x14ac:dyDescent="0.15">
      <c r="B1363" s="6" t="s">
        <v>3</v>
      </c>
      <c r="C1363" s="54"/>
      <c r="D1363" s="5">
        <f t="shared" si="138"/>
        <v>0</v>
      </c>
      <c r="K1363" s="6" t="s">
        <v>3</v>
      </c>
      <c r="L1363" s="7"/>
      <c r="M1363" s="5">
        <f t="shared" si="139"/>
        <v>0</v>
      </c>
    </row>
    <row r="1364" spans="2:14" x14ac:dyDescent="0.15">
      <c r="B1364" s="6" t="s">
        <v>3</v>
      </c>
      <c r="C1364" s="54"/>
      <c r="D1364" s="5">
        <f t="shared" si="138"/>
        <v>0</v>
      </c>
      <c r="K1364" s="6" t="s">
        <v>3</v>
      </c>
      <c r="L1364" s="7"/>
      <c r="M1364" s="5">
        <f t="shared" si="139"/>
        <v>0</v>
      </c>
    </row>
    <row r="1365" spans="2:14" x14ac:dyDescent="0.15">
      <c r="B1365" s="6" t="s">
        <v>3</v>
      </c>
      <c r="C1365" s="54"/>
      <c r="D1365" s="5">
        <f t="shared" si="138"/>
        <v>0</v>
      </c>
      <c r="K1365" s="6" t="s">
        <v>3</v>
      </c>
      <c r="L1365" s="7"/>
      <c r="M1365" s="5">
        <f t="shared" si="139"/>
        <v>0</v>
      </c>
    </row>
    <row r="1366" spans="2:14" ht="14.25" thickBot="1" x14ac:dyDescent="0.2">
      <c r="B1366" s="9" t="s">
        <v>3</v>
      </c>
      <c r="C1366" s="101"/>
      <c r="D1366" s="5">
        <f t="shared" si="138"/>
        <v>0</v>
      </c>
      <c r="K1366" s="9" t="s">
        <v>3</v>
      </c>
      <c r="L1366" s="10"/>
      <c r="M1366" s="5">
        <f t="shared" si="139"/>
        <v>0</v>
      </c>
    </row>
    <row r="1367" spans="2:14" ht="14.25" thickBot="1" x14ac:dyDescent="0.2">
      <c r="B1367" s="11" t="s">
        <v>4</v>
      </c>
      <c r="C1367" s="12">
        <f>SUM(C1356:C1366)</f>
        <v>98</v>
      </c>
      <c r="D1367" s="13">
        <f>SUM(D1356:D1366)</f>
        <v>98</v>
      </c>
      <c r="K1367" s="11" t="s">
        <v>4</v>
      </c>
      <c r="L1367" s="12">
        <f>SUM(L1356:L1366)</f>
        <v>800</v>
      </c>
      <c r="M1367" s="13">
        <f>SUM(M1356:M1366)</f>
        <v>800</v>
      </c>
    </row>
    <row r="1368" spans="2:14" x14ac:dyDescent="0.15">
      <c r="B1368" s="71" t="s">
        <v>162</v>
      </c>
      <c r="C1368" s="15">
        <v>5</v>
      </c>
      <c r="D1368" s="14">
        <f>C1368</f>
        <v>5</v>
      </c>
      <c r="E1368" s="48">
        <v>42334</v>
      </c>
      <c r="F1368" s="48"/>
      <c r="G1368" s="48"/>
      <c r="H1368" s="48"/>
      <c r="I1368" s="48"/>
      <c r="K1368" s="4"/>
      <c r="L1368" s="44"/>
      <c r="M1368" s="14">
        <f t="shared" ref="M1368:M1378" si="140">SUM(L1368:L1368)</f>
        <v>0</v>
      </c>
      <c r="N1368" s="74"/>
    </row>
    <row r="1369" spans="2:14" x14ac:dyDescent="0.15">
      <c r="B1369" s="71" t="s">
        <v>162</v>
      </c>
      <c r="C1369" s="15">
        <v>4</v>
      </c>
      <c r="D1369" s="14">
        <f>SUM(C1369)</f>
        <v>4</v>
      </c>
      <c r="E1369" s="48">
        <v>42335</v>
      </c>
      <c r="F1369" s="48"/>
      <c r="G1369" s="48"/>
      <c r="H1369" s="48"/>
      <c r="I1369" s="48"/>
      <c r="J1369" s="51"/>
      <c r="K1369" s="4"/>
      <c r="L1369" s="15"/>
      <c r="M1369" s="14">
        <f t="shared" si="140"/>
        <v>0</v>
      </c>
      <c r="N1369" s="75"/>
    </row>
    <row r="1370" spans="2:14" x14ac:dyDescent="0.15">
      <c r="B1370" s="71" t="s">
        <v>162</v>
      </c>
      <c r="C1370" s="15">
        <v>1</v>
      </c>
      <c r="D1370" s="14">
        <f>SUM(C1370)</f>
        <v>1</v>
      </c>
      <c r="E1370" s="74">
        <v>42338</v>
      </c>
      <c r="F1370" s="74"/>
      <c r="G1370" s="74"/>
      <c r="H1370" s="74"/>
      <c r="I1370" s="74"/>
      <c r="J1370" s="51"/>
      <c r="K1370" s="4"/>
      <c r="L1370" s="15"/>
      <c r="M1370" s="14">
        <f t="shared" si="140"/>
        <v>0</v>
      </c>
    </row>
    <row r="1371" spans="2:14" x14ac:dyDescent="0.15">
      <c r="B1371" s="71" t="s">
        <v>162</v>
      </c>
      <c r="C1371" s="15">
        <v>7</v>
      </c>
      <c r="D1371" s="14">
        <f>SUM(C1371)</f>
        <v>7</v>
      </c>
      <c r="E1371" s="48">
        <v>42338</v>
      </c>
      <c r="F1371" s="48"/>
      <c r="G1371" s="48"/>
      <c r="H1371" s="48"/>
      <c r="I1371" s="48"/>
      <c r="J1371" s="51"/>
      <c r="K1371" s="4"/>
      <c r="L1371" s="15"/>
      <c r="M1371" s="14">
        <f t="shared" si="140"/>
        <v>0</v>
      </c>
    </row>
    <row r="1372" spans="2:14" x14ac:dyDescent="0.15">
      <c r="B1372" s="71" t="s">
        <v>162</v>
      </c>
      <c r="C1372" s="15">
        <v>2</v>
      </c>
      <c r="D1372" s="14">
        <f>SUM(C1372)</f>
        <v>2</v>
      </c>
      <c r="E1372" s="48">
        <v>42340</v>
      </c>
      <c r="F1372" s="48"/>
      <c r="G1372" s="48"/>
      <c r="H1372" s="48"/>
      <c r="I1372" s="48"/>
      <c r="J1372" s="51"/>
      <c r="K1372" s="6"/>
      <c r="L1372" s="15"/>
      <c r="M1372" s="14">
        <f t="shared" si="140"/>
        <v>0</v>
      </c>
    </row>
    <row r="1373" spans="2:14" x14ac:dyDescent="0.15">
      <c r="B1373" s="71" t="s">
        <v>162</v>
      </c>
      <c r="C1373" s="15">
        <v>2</v>
      </c>
      <c r="D1373" s="14">
        <f>SUM(C1373)</f>
        <v>2</v>
      </c>
      <c r="E1373" s="48">
        <v>42341</v>
      </c>
      <c r="F1373" s="48"/>
      <c r="G1373" s="48"/>
      <c r="H1373" s="48"/>
      <c r="I1373" s="48"/>
      <c r="J1373" s="51"/>
      <c r="K1373" s="4"/>
      <c r="L1373" s="15"/>
      <c r="M1373" s="14">
        <f t="shared" si="140"/>
        <v>0</v>
      </c>
    </row>
    <row r="1374" spans="2:14" x14ac:dyDescent="0.15">
      <c r="B1374" s="71" t="s">
        <v>162</v>
      </c>
      <c r="C1374" s="15">
        <v>1</v>
      </c>
      <c r="D1374" s="14">
        <f t="shared" ref="D1374:D1389" si="141">SUM(C1374)</f>
        <v>1</v>
      </c>
      <c r="E1374" s="48">
        <v>42342</v>
      </c>
      <c r="F1374" s="48"/>
      <c r="G1374" s="48"/>
      <c r="H1374" s="48"/>
      <c r="I1374" s="48"/>
      <c r="J1374" s="51"/>
      <c r="K1374" s="6"/>
      <c r="L1374" s="15"/>
      <c r="M1374" s="14">
        <f t="shared" si="140"/>
        <v>0</v>
      </c>
    </row>
    <row r="1375" spans="2:14" x14ac:dyDescent="0.15">
      <c r="B1375" s="71" t="s">
        <v>162</v>
      </c>
      <c r="C1375" s="15">
        <v>2</v>
      </c>
      <c r="D1375" s="14">
        <f t="shared" si="141"/>
        <v>2</v>
      </c>
      <c r="E1375" s="48">
        <v>42343</v>
      </c>
      <c r="F1375" s="48"/>
      <c r="G1375" s="48"/>
      <c r="H1375" s="48"/>
      <c r="I1375" s="48"/>
      <c r="J1375" s="51"/>
      <c r="K1375" s="6"/>
      <c r="L1375" s="15"/>
      <c r="M1375" s="14">
        <f t="shared" si="140"/>
        <v>0</v>
      </c>
    </row>
    <row r="1376" spans="2:14" x14ac:dyDescent="0.15">
      <c r="B1376" s="71" t="s">
        <v>162</v>
      </c>
      <c r="C1376" s="15">
        <v>1</v>
      </c>
      <c r="D1376" s="14">
        <f t="shared" si="141"/>
        <v>1</v>
      </c>
      <c r="E1376" s="48">
        <v>42345</v>
      </c>
      <c r="F1376" s="48"/>
      <c r="G1376" s="48"/>
      <c r="H1376" s="48"/>
      <c r="I1376" s="48"/>
      <c r="J1376" s="51"/>
      <c r="K1376" s="4"/>
      <c r="L1376" s="15"/>
      <c r="M1376" s="14">
        <f t="shared" si="140"/>
        <v>0</v>
      </c>
    </row>
    <row r="1377" spans="2:14" x14ac:dyDescent="0.15">
      <c r="B1377" s="71" t="s">
        <v>162</v>
      </c>
      <c r="C1377" s="15">
        <v>4</v>
      </c>
      <c r="D1377" s="14">
        <f t="shared" si="141"/>
        <v>4</v>
      </c>
      <c r="E1377" s="48">
        <v>42346</v>
      </c>
      <c r="F1377" s="48"/>
      <c r="G1377" s="48"/>
      <c r="H1377" s="48"/>
      <c r="I1377" s="48"/>
      <c r="J1377" s="51"/>
      <c r="K1377" s="4"/>
      <c r="L1377" s="15"/>
      <c r="M1377" s="14">
        <f t="shared" si="140"/>
        <v>0</v>
      </c>
    </row>
    <row r="1378" spans="2:14" x14ac:dyDescent="0.15">
      <c r="B1378" s="71" t="s">
        <v>162</v>
      </c>
      <c r="C1378" s="15">
        <v>1</v>
      </c>
      <c r="D1378" s="14">
        <f t="shared" si="141"/>
        <v>1</v>
      </c>
      <c r="E1378" s="48">
        <v>42347</v>
      </c>
      <c r="F1378" s="48"/>
      <c r="G1378" s="48"/>
      <c r="H1378" s="48"/>
      <c r="I1378" s="48"/>
      <c r="J1378" s="51"/>
      <c r="K1378" s="4"/>
      <c r="L1378" s="15"/>
      <c r="M1378" s="14">
        <f t="shared" si="140"/>
        <v>0</v>
      </c>
    </row>
    <row r="1379" spans="2:14" x14ac:dyDescent="0.15">
      <c r="B1379" s="71" t="s">
        <v>162</v>
      </c>
      <c r="C1379" s="15">
        <v>4</v>
      </c>
      <c r="D1379" s="14">
        <f t="shared" si="141"/>
        <v>4</v>
      </c>
      <c r="E1379" s="48">
        <v>42348</v>
      </c>
      <c r="F1379" s="48"/>
      <c r="G1379" s="48"/>
      <c r="H1379" s="48"/>
      <c r="I1379" s="48"/>
      <c r="J1379" s="51"/>
      <c r="K1379" s="4"/>
      <c r="L1379" s="15"/>
      <c r="M1379" s="14">
        <f>SUM(L1379:L1379)</f>
        <v>0</v>
      </c>
    </row>
    <row r="1380" spans="2:14" x14ac:dyDescent="0.15">
      <c r="B1380" s="71" t="s">
        <v>162</v>
      </c>
      <c r="C1380" s="15">
        <v>1</v>
      </c>
      <c r="D1380" s="14">
        <f t="shared" si="141"/>
        <v>1</v>
      </c>
      <c r="E1380" s="48">
        <v>42349</v>
      </c>
      <c r="F1380" s="48"/>
      <c r="G1380" s="48"/>
      <c r="H1380" s="48"/>
      <c r="I1380" s="48"/>
      <c r="J1380" s="51"/>
      <c r="K1380" s="6"/>
      <c r="L1380" s="15"/>
      <c r="M1380" s="14">
        <f>SUM(L1380)</f>
        <v>0</v>
      </c>
    </row>
    <row r="1381" spans="2:14" x14ac:dyDescent="0.15">
      <c r="B1381" s="71" t="s">
        <v>162</v>
      </c>
      <c r="C1381" s="15">
        <v>1</v>
      </c>
      <c r="D1381" s="14">
        <f t="shared" si="141"/>
        <v>1</v>
      </c>
      <c r="E1381" s="48">
        <v>42352</v>
      </c>
      <c r="F1381" s="48"/>
      <c r="G1381" s="48"/>
      <c r="H1381" s="48"/>
      <c r="I1381" s="48"/>
      <c r="J1381" s="51"/>
      <c r="K1381" s="6"/>
      <c r="L1381" s="15"/>
      <c r="M1381" s="14">
        <f>SUM(L1381)</f>
        <v>0</v>
      </c>
    </row>
    <row r="1382" spans="2:14" x14ac:dyDescent="0.15">
      <c r="B1382" s="71" t="s">
        <v>162</v>
      </c>
      <c r="C1382" s="15">
        <v>1</v>
      </c>
      <c r="D1382" s="14">
        <f t="shared" si="141"/>
        <v>1</v>
      </c>
      <c r="E1382" s="48">
        <v>42356</v>
      </c>
      <c r="F1382" s="48"/>
      <c r="G1382" s="48"/>
      <c r="H1382" s="48"/>
      <c r="I1382" s="48"/>
      <c r="J1382" s="51"/>
      <c r="K1382" s="4"/>
      <c r="L1382" s="15"/>
      <c r="M1382" s="14">
        <f>SUM(L1382:L1382)</f>
        <v>0</v>
      </c>
    </row>
    <row r="1383" spans="2:14" x14ac:dyDescent="0.15">
      <c r="B1383" s="71" t="s">
        <v>162</v>
      </c>
      <c r="C1383" s="15">
        <v>1</v>
      </c>
      <c r="D1383" s="14">
        <f t="shared" si="141"/>
        <v>1</v>
      </c>
      <c r="E1383" s="48">
        <v>42359</v>
      </c>
      <c r="F1383" s="48"/>
      <c r="G1383" s="48"/>
      <c r="H1383" s="48"/>
      <c r="I1383" s="48"/>
      <c r="J1383" s="51"/>
      <c r="K1383" s="4"/>
      <c r="L1383" s="15"/>
      <c r="M1383" s="14">
        <f>SUM(L1383)</f>
        <v>0</v>
      </c>
    </row>
    <row r="1384" spans="2:14" x14ac:dyDescent="0.15">
      <c r="B1384" s="71" t="s">
        <v>162</v>
      </c>
      <c r="C1384" s="15">
        <v>1</v>
      </c>
      <c r="D1384" s="14">
        <f t="shared" si="141"/>
        <v>1</v>
      </c>
      <c r="E1384" s="48">
        <v>42360</v>
      </c>
      <c r="F1384" s="48"/>
      <c r="G1384" s="48"/>
      <c r="H1384" s="48"/>
      <c r="I1384" s="48"/>
      <c r="J1384" s="51"/>
      <c r="K1384" s="4"/>
      <c r="L1384" s="15"/>
      <c r="M1384" s="14">
        <f>SUM(L1384:L1384)</f>
        <v>0</v>
      </c>
    </row>
    <row r="1385" spans="2:14" x14ac:dyDescent="0.15">
      <c r="B1385" s="71" t="s">
        <v>162</v>
      </c>
      <c r="C1385" s="15">
        <v>2</v>
      </c>
      <c r="D1385" s="14">
        <f t="shared" si="141"/>
        <v>2</v>
      </c>
      <c r="E1385" s="48">
        <v>42362</v>
      </c>
      <c r="F1385" s="48"/>
      <c r="G1385" s="48"/>
      <c r="H1385" s="48"/>
      <c r="I1385" s="48"/>
      <c r="J1385" s="51"/>
      <c r="K1385" s="4"/>
      <c r="L1385" s="15"/>
      <c r="M1385" s="14">
        <f>SUM(L1385)</f>
        <v>0</v>
      </c>
    </row>
    <row r="1386" spans="2:14" x14ac:dyDescent="0.15">
      <c r="B1386" s="71" t="s">
        <v>162</v>
      </c>
      <c r="C1386" s="15">
        <v>2</v>
      </c>
      <c r="D1386" s="14">
        <f t="shared" si="141"/>
        <v>2</v>
      </c>
      <c r="E1386" s="74">
        <v>42363</v>
      </c>
      <c r="F1386" s="74"/>
      <c r="G1386" s="74"/>
      <c r="H1386" s="74"/>
      <c r="I1386" s="74"/>
      <c r="J1386" s="51"/>
      <c r="K1386" s="4"/>
      <c r="L1386" s="15"/>
      <c r="M1386" s="14">
        <f>SUM(L1386)</f>
        <v>0</v>
      </c>
    </row>
    <row r="1387" spans="2:14" x14ac:dyDescent="0.15">
      <c r="B1387" s="71" t="s">
        <v>162</v>
      </c>
      <c r="C1387" s="15">
        <v>6</v>
      </c>
      <c r="D1387" s="14">
        <f t="shared" si="141"/>
        <v>6</v>
      </c>
      <c r="E1387" s="48">
        <v>42369</v>
      </c>
      <c r="F1387" s="48"/>
      <c r="G1387" s="48"/>
      <c r="H1387" s="48"/>
      <c r="I1387" s="48"/>
      <c r="J1387" s="51"/>
      <c r="K1387" s="4"/>
      <c r="L1387" s="15"/>
      <c r="M1387" s="14">
        <f>SUM(L1387:L1387)</f>
        <v>0</v>
      </c>
    </row>
    <row r="1388" spans="2:14" x14ac:dyDescent="0.15">
      <c r="B1388" s="71" t="s">
        <v>162</v>
      </c>
      <c r="C1388" s="15">
        <v>4</v>
      </c>
      <c r="D1388" s="14">
        <f t="shared" si="141"/>
        <v>4</v>
      </c>
      <c r="E1388" s="48">
        <v>42374</v>
      </c>
      <c r="F1388" s="48"/>
      <c r="G1388" s="48"/>
      <c r="H1388" s="48"/>
      <c r="I1388" s="48"/>
      <c r="J1388" s="51"/>
      <c r="K1388" s="4"/>
      <c r="L1388" s="15"/>
      <c r="M1388" s="14">
        <f>SUM(L1388)</f>
        <v>0</v>
      </c>
    </row>
    <row r="1389" spans="2:14" x14ac:dyDescent="0.15">
      <c r="B1389" s="71" t="s">
        <v>162</v>
      </c>
      <c r="C1389" s="15">
        <v>2</v>
      </c>
      <c r="D1389" s="14">
        <f t="shared" si="141"/>
        <v>2</v>
      </c>
      <c r="E1389" s="48">
        <v>42375</v>
      </c>
      <c r="F1389" s="48"/>
      <c r="G1389" s="48"/>
      <c r="H1389" s="48"/>
      <c r="I1389" s="48"/>
      <c r="J1389" s="51"/>
      <c r="K1389" s="4"/>
      <c r="L1389" s="15"/>
      <c r="M1389" s="14">
        <f>SUM(L1389:L1389)</f>
        <v>0</v>
      </c>
    </row>
    <row r="1390" spans="2:14" x14ac:dyDescent="0.15">
      <c r="B1390" s="71" t="s">
        <v>162</v>
      </c>
      <c r="C1390" s="15">
        <v>1</v>
      </c>
      <c r="D1390" s="14">
        <f>SUM(C1390)</f>
        <v>1</v>
      </c>
      <c r="E1390" s="48">
        <v>42377</v>
      </c>
      <c r="F1390" s="48"/>
      <c r="G1390" s="48"/>
      <c r="H1390" s="48"/>
      <c r="I1390" s="48"/>
      <c r="J1390" s="51"/>
      <c r="K1390" s="4"/>
      <c r="L1390" s="15"/>
      <c r="M1390" s="14">
        <f>SUM(L1390)</f>
        <v>0</v>
      </c>
    </row>
    <row r="1391" spans="2:14" ht="14.25" thickBot="1" x14ac:dyDescent="0.2">
      <c r="B1391" s="71" t="s">
        <v>285</v>
      </c>
      <c r="C1391" s="15">
        <v>2</v>
      </c>
      <c r="D1391" s="14">
        <f>SUM(C1391)</f>
        <v>2</v>
      </c>
      <c r="E1391" s="48">
        <v>42378</v>
      </c>
      <c r="F1391" s="48"/>
      <c r="G1391" s="48"/>
      <c r="H1391" s="48"/>
      <c r="I1391" s="48"/>
      <c r="J1391" s="51"/>
      <c r="K1391" s="4"/>
      <c r="L1391" s="15"/>
      <c r="M1391" s="14">
        <f>SUM(L1391:L1391)</f>
        <v>0</v>
      </c>
      <c r="N1391" s="75"/>
    </row>
    <row r="1392" spans="2:14" ht="14.25" thickBot="1" x14ac:dyDescent="0.2">
      <c r="B1392" s="3" t="s">
        <v>5</v>
      </c>
      <c r="C1392" s="16">
        <f>SUM(C1368:C1391)</f>
        <v>58</v>
      </c>
      <c r="D1392" s="17">
        <f>SUM(D1368:D1391)</f>
        <v>58</v>
      </c>
      <c r="K1392" s="3" t="s">
        <v>5</v>
      </c>
      <c r="L1392" s="16">
        <f>SUM(L1368:L1391)</f>
        <v>0</v>
      </c>
      <c r="M1392" s="17">
        <f>SUM(M1368:M1391)</f>
        <v>0</v>
      </c>
    </row>
    <row r="1393" spans="1:14" ht="14.25" thickBot="1" x14ac:dyDescent="0.2">
      <c r="B1393" s="18" t="s">
        <v>6</v>
      </c>
      <c r="C1393" s="19">
        <f>C1367-C1392</f>
        <v>40</v>
      </c>
      <c r="D1393" s="13">
        <f>D1367-D1392</f>
        <v>40</v>
      </c>
      <c r="K1393" s="18" t="s">
        <v>6</v>
      </c>
      <c r="L1393" s="19">
        <f>L1367-L1392</f>
        <v>800</v>
      </c>
      <c r="M1393" s="13">
        <f>M1367-M1392</f>
        <v>800</v>
      </c>
    </row>
    <row r="1395" spans="1:14" ht="18" thickBot="1" x14ac:dyDescent="0.25">
      <c r="A1395" s="27" t="s">
        <v>8</v>
      </c>
      <c r="B1395" s="28"/>
      <c r="C1395" s="28"/>
      <c r="D1395" s="28"/>
      <c r="J1395" s="139" t="s">
        <v>218</v>
      </c>
      <c r="K1395" s="140"/>
      <c r="L1395" s="140"/>
      <c r="M1395" s="140"/>
    </row>
    <row r="1396" spans="1:14" ht="14.25" thickBot="1" x14ac:dyDescent="0.2">
      <c r="B1396" s="2"/>
      <c r="C1396" s="3" t="s">
        <v>0</v>
      </c>
      <c r="D1396" s="2" t="s">
        <v>1</v>
      </c>
      <c r="K1396" s="2"/>
      <c r="L1396" s="3" t="s">
        <v>0</v>
      </c>
      <c r="M1396" s="2" t="s">
        <v>1</v>
      </c>
    </row>
    <row r="1397" spans="1:14" x14ac:dyDescent="0.15">
      <c r="B1397" s="43" t="s">
        <v>26</v>
      </c>
      <c r="C1397" s="38">
        <f>C1393</f>
        <v>40</v>
      </c>
      <c r="D1397" s="39">
        <f t="shared" ref="D1397:D1407" si="142">SUM(C1397:C1397)</f>
        <v>40</v>
      </c>
      <c r="K1397" s="43" t="s">
        <v>26</v>
      </c>
      <c r="L1397" s="38">
        <f>L1393</f>
        <v>800</v>
      </c>
      <c r="M1397" s="39">
        <f t="shared" ref="M1397:M1407" si="143">SUM(L1397:L1397)</f>
        <v>800</v>
      </c>
    </row>
    <row r="1398" spans="1:14" x14ac:dyDescent="0.15">
      <c r="B1398" s="6" t="s">
        <v>3</v>
      </c>
      <c r="C1398" s="7">
        <v>100</v>
      </c>
      <c r="D1398" s="5">
        <f t="shared" si="142"/>
        <v>100</v>
      </c>
      <c r="E1398" s="74">
        <v>42382</v>
      </c>
      <c r="F1398" s="74"/>
      <c r="G1398" s="74"/>
      <c r="H1398" s="74"/>
      <c r="I1398" s="74"/>
      <c r="K1398" s="6" t="s">
        <v>3</v>
      </c>
      <c r="L1398" s="7"/>
      <c r="M1398" s="5">
        <f t="shared" si="143"/>
        <v>0</v>
      </c>
    </row>
    <row r="1399" spans="1:14" x14ac:dyDescent="0.15">
      <c r="B1399" s="6" t="s">
        <v>3</v>
      </c>
      <c r="C1399" s="7">
        <v>100</v>
      </c>
      <c r="D1399" s="5">
        <f t="shared" si="142"/>
        <v>100</v>
      </c>
      <c r="E1399" s="74">
        <v>42415</v>
      </c>
      <c r="F1399" s="74"/>
      <c r="G1399" s="74"/>
      <c r="H1399" s="74"/>
      <c r="I1399" s="74"/>
      <c r="K1399" s="6" t="s">
        <v>3</v>
      </c>
      <c r="L1399" s="7"/>
      <c r="M1399" s="5">
        <f t="shared" si="143"/>
        <v>0</v>
      </c>
      <c r="N1399" s="74"/>
    </row>
    <row r="1400" spans="1:14" x14ac:dyDescent="0.15">
      <c r="B1400" s="6" t="s">
        <v>3</v>
      </c>
      <c r="C1400" s="7"/>
      <c r="D1400" s="5">
        <f t="shared" si="142"/>
        <v>0</v>
      </c>
      <c r="E1400" s="74"/>
      <c r="F1400" s="74"/>
      <c r="G1400" s="74"/>
      <c r="H1400" s="74"/>
      <c r="I1400" s="74"/>
      <c r="K1400" s="6" t="s">
        <v>3</v>
      </c>
      <c r="L1400" s="7"/>
      <c r="M1400" s="5">
        <f t="shared" si="143"/>
        <v>0</v>
      </c>
    </row>
    <row r="1401" spans="1:14" x14ac:dyDescent="0.15">
      <c r="B1401" s="6" t="s">
        <v>3</v>
      </c>
      <c r="C1401" s="7"/>
      <c r="D1401" s="5">
        <f t="shared" si="142"/>
        <v>0</v>
      </c>
      <c r="E1401" s="48"/>
      <c r="F1401" s="48"/>
      <c r="G1401" s="48"/>
      <c r="H1401" s="48"/>
      <c r="I1401" s="48"/>
      <c r="K1401" s="6" t="s">
        <v>3</v>
      </c>
      <c r="L1401" s="7"/>
      <c r="M1401" s="5">
        <f t="shared" si="143"/>
        <v>0</v>
      </c>
      <c r="N1401" s="74"/>
    </row>
    <row r="1402" spans="1:14" x14ac:dyDescent="0.15">
      <c r="B1402" s="6" t="s">
        <v>3</v>
      </c>
      <c r="C1402" s="7"/>
      <c r="D1402" s="5">
        <f t="shared" si="142"/>
        <v>0</v>
      </c>
      <c r="E1402" s="48"/>
      <c r="F1402" s="48"/>
      <c r="G1402" s="48"/>
      <c r="H1402" s="48"/>
      <c r="I1402" s="48"/>
      <c r="K1402" s="6" t="s">
        <v>3</v>
      </c>
      <c r="L1402" s="7"/>
      <c r="M1402" s="5">
        <f t="shared" si="143"/>
        <v>0</v>
      </c>
      <c r="N1402" s="75"/>
    </row>
    <row r="1403" spans="1:14" x14ac:dyDescent="0.15">
      <c r="B1403" s="6" t="s">
        <v>3</v>
      </c>
      <c r="C1403" s="7"/>
      <c r="D1403" s="5">
        <f t="shared" si="142"/>
        <v>0</v>
      </c>
      <c r="K1403" s="6" t="s">
        <v>3</v>
      </c>
      <c r="L1403" s="7"/>
      <c r="M1403" s="5">
        <f t="shared" si="143"/>
        <v>0</v>
      </c>
    </row>
    <row r="1404" spans="1:14" x14ac:dyDescent="0.15">
      <c r="B1404" s="6" t="s">
        <v>3</v>
      </c>
      <c r="C1404" s="54"/>
      <c r="D1404" s="5">
        <f t="shared" si="142"/>
        <v>0</v>
      </c>
      <c r="K1404" s="6" t="s">
        <v>3</v>
      </c>
      <c r="L1404" s="7"/>
      <c r="M1404" s="5">
        <f t="shared" si="143"/>
        <v>0</v>
      </c>
    </row>
    <row r="1405" spans="1:14" x14ac:dyDescent="0.15">
      <c r="B1405" s="6" t="s">
        <v>3</v>
      </c>
      <c r="C1405" s="54"/>
      <c r="D1405" s="5">
        <f t="shared" si="142"/>
        <v>0</v>
      </c>
      <c r="K1405" s="6" t="s">
        <v>3</v>
      </c>
      <c r="L1405" s="7"/>
      <c r="M1405" s="5">
        <f t="shared" si="143"/>
        <v>0</v>
      </c>
    </row>
    <row r="1406" spans="1:14" x14ac:dyDescent="0.15">
      <c r="B1406" s="6" t="s">
        <v>3</v>
      </c>
      <c r="C1406" s="54"/>
      <c r="D1406" s="5">
        <f t="shared" si="142"/>
        <v>0</v>
      </c>
      <c r="K1406" s="6" t="s">
        <v>3</v>
      </c>
      <c r="L1406" s="7"/>
      <c r="M1406" s="5">
        <f t="shared" si="143"/>
        <v>0</v>
      </c>
    </row>
    <row r="1407" spans="1:14" ht="14.25" thickBot="1" x14ac:dyDescent="0.2">
      <c r="B1407" s="9" t="s">
        <v>3</v>
      </c>
      <c r="C1407" s="101"/>
      <c r="D1407" s="5">
        <f t="shared" si="142"/>
        <v>0</v>
      </c>
      <c r="K1407" s="9" t="s">
        <v>3</v>
      </c>
      <c r="L1407" s="10"/>
      <c r="M1407" s="5">
        <f t="shared" si="143"/>
        <v>0</v>
      </c>
    </row>
    <row r="1408" spans="1:14" ht="14.25" thickBot="1" x14ac:dyDescent="0.2">
      <c r="B1408" s="11" t="s">
        <v>4</v>
      </c>
      <c r="C1408" s="12">
        <f>SUM(C1397:C1407)</f>
        <v>240</v>
      </c>
      <c r="D1408" s="13">
        <f>SUM(D1397:D1407)</f>
        <v>240</v>
      </c>
      <c r="K1408" s="11" t="s">
        <v>4</v>
      </c>
      <c r="L1408" s="12">
        <f>SUM(L1397:L1407)</f>
        <v>800</v>
      </c>
      <c r="M1408" s="13">
        <f>SUM(M1397:M1407)</f>
        <v>800</v>
      </c>
    </row>
    <row r="1409" spans="2:14" x14ac:dyDescent="0.15">
      <c r="B1409" s="71" t="s">
        <v>162</v>
      </c>
      <c r="C1409" s="15">
        <v>6</v>
      </c>
      <c r="D1409" s="14">
        <f>C1409</f>
        <v>6</v>
      </c>
      <c r="E1409" s="48">
        <v>42381</v>
      </c>
      <c r="F1409" s="48"/>
      <c r="G1409" s="48"/>
      <c r="H1409" s="48"/>
      <c r="I1409" s="48"/>
      <c r="K1409" s="4" t="s">
        <v>9</v>
      </c>
      <c r="L1409" s="44">
        <v>100</v>
      </c>
      <c r="M1409" s="14">
        <f t="shared" ref="M1409:M1419" si="144">SUM(L1409:L1409)</f>
        <v>100</v>
      </c>
      <c r="N1409" s="74">
        <v>42382</v>
      </c>
    </row>
    <row r="1410" spans="2:14" x14ac:dyDescent="0.15">
      <c r="B1410" s="71" t="s">
        <v>162</v>
      </c>
      <c r="C1410" s="15">
        <v>4</v>
      </c>
      <c r="D1410" s="14">
        <f>SUM(C1410)</f>
        <v>4</v>
      </c>
      <c r="E1410" s="48">
        <v>42382</v>
      </c>
      <c r="F1410" s="48"/>
      <c r="G1410" s="48"/>
      <c r="H1410" s="48"/>
      <c r="I1410" s="48"/>
      <c r="J1410" s="51"/>
      <c r="K1410" s="4" t="s">
        <v>9</v>
      </c>
      <c r="L1410" s="15">
        <v>100</v>
      </c>
      <c r="M1410" s="14">
        <f t="shared" si="144"/>
        <v>100</v>
      </c>
      <c r="N1410" s="74">
        <v>42415</v>
      </c>
    </row>
    <row r="1411" spans="2:14" x14ac:dyDescent="0.15">
      <c r="B1411" s="71" t="s">
        <v>162</v>
      </c>
      <c r="C1411" s="15">
        <v>1</v>
      </c>
      <c r="D1411" s="14">
        <f>SUM(C1411)</f>
        <v>1</v>
      </c>
      <c r="E1411" s="74">
        <v>42383</v>
      </c>
      <c r="F1411" s="74"/>
      <c r="G1411" s="74"/>
      <c r="H1411" s="74"/>
      <c r="I1411" s="74"/>
      <c r="J1411" s="51"/>
      <c r="K1411" s="4"/>
      <c r="L1411" s="15"/>
      <c r="M1411" s="14">
        <f t="shared" si="144"/>
        <v>0</v>
      </c>
    </row>
    <row r="1412" spans="2:14" x14ac:dyDescent="0.15">
      <c r="B1412" s="71" t="s">
        <v>162</v>
      </c>
      <c r="C1412" s="15">
        <v>1</v>
      </c>
      <c r="D1412" s="14">
        <f>SUM(C1412)</f>
        <v>1</v>
      </c>
      <c r="E1412" s="48">
        <v>42384</v>
      </c>
      <c r="F1412" s="48"/>
      <c r="G1412" s="48"/>
      <c r="H1412" s="48"/>
      <c r="I1412" s="48"/>
      <c r="J1412" s="51"/>
      <c r="K1412" s="4"/>
      <c r="L1412" s="15"/>
      <c r="M1412" s="14">
        <f t="shared" si="144"/>
        <v>0</v>
      </c>
    </row>
    <row r="1413" spans="2:14" x14ac:dyDescent="0.15">
      <c r="B1413" s="71" t="s">
        <v>162</v>
      </c>
      <c r="C1413" s="15">
        <v>1</v>
      </c>
      <c r="D1413" s="14">
        <f>SUM(C1413)</f>
        <v>1</v>
      </c>
      <c r="E1413" s="48">
        <v>42390</v>
      </c>
      <c r="F1413" s="48"/>
      <c r="G1413" s="48"/>
      <c r="H1413" s="48"/>
      <c r="I1413" s="48"/>
      <c r="J1413" s="51"/>
      <c r="K1413" s="6"/>
      <c r="L1413" s="15"/>
      <c r="M1413" s="14">
        <f t="shared" si="144"/>
        <v>0</v>
      </c>
    </row>
    <row r="1414" spans="2:14" x14ac:dyDescent="0.15">
      <c r="B1414" s="71" t="s">
        <v>162</v>
      </c>
      <c r="C1414" s="15">
        <v>1</v>
      </c>
      <c r="D1414" s="14">
        <f>SUM(C1414)</f>
        <v>1</v>
      </c>
      <c r="E1414" s="48">
        <v>42392</v>
      </c>
      <c r="F1414" s="48"/>
      <c r="G1414" s="48"/>
      <c r="H1414" s="48"/>
      <c r="I1414" s="48"/>
      <c r="J1414" s="51"/>
      <c r="K1414" s="4"/>
      <c r="L1414" s="15"/>
      <c r="M1414" s="14">
        <f t="shared" si="144"/>
        <v>0</v>
      </c>
    </row>
    <row r="1415" spans="2:14" x14ac:dyDescent="0.15">
      <c r="B1415" s="71" t="s">
        <v>162</v>
      </c>
      <c r="C1415" s="15">
        <v>5</v>
      </c>
      <c r="D1415" s="14">
        <f t="shared" ref="D1415:D1430" si="145">SUM(C1415)</f>
        <v>5</v>
      </c>
      <c r="E1415" s="74">
        <v>42394</v>
      </c>
      <c r="F1415" s="74"/>
      <c r="G1415" s="74"/>
      <c r="H1415" s="74"/>
      <c r="I1415" s="74"/>
      <c r="J1415" s="51"/>
      <c r="K1415" s="6"/>
      <c r="L1415" s="15"/>
      <c r="M1415" s="14">
        <f t="shared" si="144"/>
        <v>0</v>
      </c>
    </row>
    <row r="1416" spans="2:14" x14ac:dyDescent="0.15">
      <c r="B1416" s="71" t="s">
        <v>162</v>
      </c>
      <c r="C1416" s="15">
        <v>3</v>
      </c>
      <c r="D1416" s="14">
        <f t="shared" si="145"/>
        <v>3</v>
      </c>
      <c r="E1416" s="48">
        <v>42395</v>
      </c>
      <c r="F1416" s="48"/>
      <c r="G1416" s="48"/>
      <c r="H1416" s="48"/>
      <c r="I1416" s="48"/>
      <c r="J1416" s="51"/>
      <c r="K1416" s="6"/>
      <c r="L1416" s="15"/>
      <c r="M1416" s="14">
        <f t="shared" si="144"/>
        <v>0</v>
      </c>
    </row>
    <row r="1417" spans="2:14" x14ac:dyDescent="0.15">
      <c r="B1417" s="71" t="s">
        <v>162</v>
      </c>
      <c r="C1417" s="15">
        <v>1</v>
      </c>
      <c r="D1417" s="14">
        <f t="shared" si="145"/>
        <v>1</v>
      </c>
      <c r="E1417" s="48">
        <v>42396</v>
      </c>
      <c r="F1417" s="48"/>
      <c r="G1417" s="48"/>
      <c r="H1417" s="48"/>
      <c r="I1417" s="48"/>
      <c r="J1417" s="51"/>
      <c r="K1417" s="4"/>
      <c r="L1417" s="15"/>
      <c r="M1417" s="14">
        <f t="shared" si="144"/>
        <v>0</v>
      </c>
    </row>
    <row r="1418" spans="2:14" x14ac:dyDescent="0.15">
      <c r="B1418" s="71" t="s">
        <v>288</v>
      </c>
      <c r="C1418" s="15">
        <v>2</v>
      </c>
      <c r="D1418" s="14">
        <f t="shared" si="145"/>
        <v>2</v>
      </c>
      <c r="E1418" s="48">
        <v>42397</v>
      </c>
      <c r="F1418" s="48"/>
      <c r="G1418" s="48"/>
      <c r="H1418" s="48"/>
      <c r="I1418" s="48"/>
      <c r="J1418" s="51"/>
      <c r="K1418" s="4"/>
      <c r="L1418" s="15"/>
      <c r="M1418" s="14">
        <f t="shared" si="144"/>
        <v>0</v>
      </c>
    </row>
    <row r="1419" spans="2:14" x14ac:dyDescent="0.15">
      <c r="B1419" s="71" t="s">
        <v>286</v>
      </c>
      <c r="C1419" s="15">
        <v>20</v>
      </c>
      <c r="D1419" s="14">
        <f t="shared" si="145"/>
        <v>20</v>
      </c>
      <c r="E1419" s="74">
        <v>42408</v>
      </c>
      <c r="F1419" s="74"/>
      <c r="G1419" s="74"/>
      <c r="H1419" s="74"/>
      <c r="I1419" s="74"/>
      <c r="J1419" s="51"/>
      <c r="K1419" s="4"/>
      <c r="L1419" s="15"/>
      <c r="M1419" s="14">
        <f t="shared" si="144"/>
        <v>0</v>
      </c>
    </row>
    <row r="1420" spans="2:14" x14ac:dyDescent="0.15">
      <c r="B1420" s="71" t="s">
        <v>287</v>
      </c>
      <c r="C1420" s="15">
        <v>20</v>
      </c>
      <c r="D1420" s="14">
        <f t="shared" si="145"/>
        <v>20</v>
      </c>
      <c r="E1420" s="74">
        <v>42408</v>
      </c>
      <c r="F1420" s="74"/>
      <c r="G1420" s="74"/>
      <c r="H1420" s="74"/>
      <c r="I1420" s="74"/>
      <c r="J1420" s="51"/>
      <c r="K1420" s="4"/>
      <c r="L1420" s="15"/>
      <c r="M1420" s="14">
        <f>SUM(L1420:L1420)</f>
        <v>0</v>
      </c>
    </row>
    <row r="1421" spans="2:14" x14ac:dyDescent="0.15">
      <c r="B1421" s="71" t="s">
        <v>162</v>
      </c>
      <c r="C1421" s="15">
        <v>1</v>
      </c>
      <c r="D1421" s="14">
        <f t="shared" si="145"/>
        <v>1</v>
      </c>
      <c r="E1421" s="48">
        <v>42398</v>
      </c>
      <c r="F1421" s="48"/>
      <c r="G1421" s="48"/>
      <c r="H1421" s="48"/>
      <c r="I1421" s="48"/>
      <c r="J1421" s="51"/>
      <c r="K1421" s="6"/>
      <c r="L1421" s="15"/>
      <c r="M1421" s="14">
        <f>SUM(L1421)</f>
        <v>0</v>
      </c>
    </row>
    <row r="1422" spans="2:14" x14ac:dyDescent="0.15">
      <c r="B1422" s="71" t="s">
        <v>162</v>
      </c>
      <c r="C1422" s="15">
        <v>1</v>
      </c>
      <c r="D1422" s="14">
        <f t="shared" si="145"/>
        <v>1</v>
      </c>
      <c r="E1422" s="48">
        <v>42399</v>
      </c>
      <c r="F1422" s="48"/>
      <c r="G1422" s="48"/>
      <c r="H1422" s="48"/>
      <c r="I1422" s="48"/>
      <c r="J1422" s="51"/>
      <c r="K1422" s="6"/>
      <c r="L1422" s="15"/>
      <c r="M1422" s="14">
        <f>SUM(L1422)</f>
        <v>0</v>
      </c>
    </row>
    <row r="1423" spans="2:14" x14ac:dyDescent="0.15">
      <c r="B1423" s="71" t="s">
        <v>162</v>
      </c>
      <c r="C1423" s="15">
        <v>4</v>
      </c>
      <c r="D1423" s="14">
        <f t="shared" si="145"/>
        <v>4</v>
      </c>
      <c r="E1423" s="48">
        <v>42401</v>
      </c>
      <c r="F1423" s="48"/>
      <c r="G1423" s="48"/>
      <c r="H1423" s="48"/>
      <c r="I1423" s="48"/>
      <c r="J1423" s="51"/>
      <c r="K1423" s="4"/>
      <c r="L1423" s="15"/>
      <c r="M1423" s="14">
        <f>SUM(L1423:L1423)</f>
        <v>0</v>
      </c>
    </row>
    <row r="1424" spans="2:14" x14ac:dyDescent="0.15">
      <c r="B1424" s="71" t="s">
        <v>162</v>
      </c>
      <c r="C1424" s="15">
        <v>3</v>
      </c>
      <c r="D1424" s="14">
        <f t="shared" si="145"/>
        <v>3</v>
      </c>
      <c r="E1424" s="48">
        <v>42402</v>
      </c>
      <c r="F1424" s="48"/>
      <c r="G1424" s="48"/>
      <c r="H1424" s="48"/>
      <c r="I1424" s="48"/>
      <c r="J1424" s="51"/>
      <c r="K1424" s="4"/>
      <c r="L1424" s="15"/>
      <c r="M1424" s="14">
        <f>SUM(L1424)</f>
        <v>0</v>
      </c>
    </row>
    <row r="1425" spans="1:14" x14ac:dyDescent="0.15">
      <c r="B1425" s="71" t="s">
        <v>162</v>
      </c>
      <c r="C1425" s="15">
        <v>1</v>
      </c>
      <c r="D1425" s="14">
        <f t="shared" si="145"/>
        <v>1</v>
      </c>
      <c r="E1425" s="48">
        <v>42403</v>
      </c>
      <c r="F1425" s="48"/>
      <c r="G1425" s="48"/>
      <c r="H1425" s="48"/>
      <c r="I1425" s="48"/>
      <c r="J1425" s="51"/>
      <c r="K1425" s="4"/>
      <c r="L1425" s="15"/>
      <c r="M1425" s="14">
        <f>SUM(L1425:L1425)</f>
        <v>0</v>
      </c>
    </row>
    <row r="1426" spans="1:14" x14ac:dyDescent="0.15">
      <c r="B1426" s="71" t="s">
        <v>162</v>
      </c>
      <c r="C1426" s="15">
        <v>1</v>
      </c>
      <c r="D1426" s="14">
        <f t="shared" si="145"/>
        <v>1</v>
      </c>
      <c r="E1426" s="48">
        <v>42404</v>
      </c>
      <c r="F1426" s="48"/>
      <c r="G1426" s="48"/>
      <c r="H1426" s="48"/>
      <c r="I1426" s="48"/>
      <c r="J1426" s="51"/>
      <c r="K1426" s="4"/>
      <c r="L1426" s="15"/>
      <c r="M1426" s="14">
        <f>SUM(L1426)</f>
        <v>0</v>
      </c>
    </row>
    <row r="1427" spans="1:14" x14ac:dyDescent="0.15">
      <c r="B1427" s="71" t="s">
        <v>162</v>
      </c>
      <c r="C1427" s="15">
        <v>1</v>
      </c>
      <c r="D1427" s="14">
        <f t="shared" si="145"/>
        <v>1</v>
      </c>
      <c r="E1427" s="74">
        <v>42405</v>
      </c>
      <c r="F1427" s="74"/>
      <c r="G1427" s="74"/>
      <c r="H1427" s="74"/>
      <c r="I1427" s="74"/>
      <c r="J1427" s="51"/>
      <c r="K1427" s="4"/>
      <c r="L1427" s="15"/>
      <c r="M1427" s="14">
        <f>SUM(L1427)</f>
        <v>0</v>
      </c>
    </row>
    <row r="1428" spans="1:14" x14ac:dyDescent="0.15">
      <c r="B1428" s="71" t="s">
        <v>162</v>
      </c>
      <c r="C1428" s="15">
        <v>4</v>
      </c>
      <c r="D1428" s="14">
        <f t="shared" si="145"/>
        <v>4</v>
      </c>
      <c r="E1428" s="48">
        <v>42406</v>
      </c>
      <c r="F1428" s="48"/>
      <c r="G1428" s="48"/>
      <c r="H1428" s="48"/>
      <c r="I1428" s="48"/>
      <c r="J1428" s="51"/>
      <c r="K1428" s="4"/>
      <c r="L1428" s="15"/>
      <c r="M1428" s="14">
        <f>SUM(L1428:L1428)</f>
        <v>0</v>
      </c>
    </row>
    <row r="1429" spans="1:14" x14ac:dyDescent="0.15">
      <c r="B1429" s="71" t="s">
        <v>162</v>
      </c>
      <c r="C1429" s="15">
        <v>3</v>
      </c>
      <c r="D1429" s="14">
        <f t="shared" si="145"/>
        <v>3</v>
      </c>
      <c r="E1429" s="48">
        <v>42408</v>
      </c>
      <c r="F1429" s="48"/>
      <c r="G1429" s="48"/>
      <c r="H1429" s="48"/>
      <c r="I1429" s="48"/>
      <c r="J1429" s="51"/>
      <c r="K1429" s="4"/>
      <c r="L1429" s="15"/>
      <c r="M1429" s="14">
        <f>SUM(L1429)</f>
        <v>0</v>
      </c>
      <c r="N1429" s="75"/>
    </row>
    <row r="1430" spans="1:14" x14ac:dyDescent="0.15">
      <c r="B1430" s="71" t="s">
        <v>162</v>
      </c>
      <c r="C1430" s="15">
        <v>2</v>
      </c>
      <c r="D1430" s="14">
        <f t="shared" si="145"/>
        <v>2</v>
      </c>
      <c r="E1430" s="48">
        <v>42409</v>
      </c>
      <c r="F1430" s="48"/>
      <c r="G1430" s="48"/>
      <c r="H1430" s="48"/>
      <c r="I1430" s="48"/>
      <c r="J1430" s="51"/>
      <c r="K1430" s="4"/>
      <c r="L1430" s="15"/>
      <c r="M1430" s="14">
        <f>SUM(L1430:L1430)</f>
        <v>0</v>
      </c>
      <c r="N1430" s="75"/>
    </row>
    <row r="1431" spans="1:14" x14ac:dyDescent="0.15">
      <c r="B1431" s="71" t="s">
        <v>162</v>
      </c>
      <c r="C1431" s="15">
        <v>1</v>
      </c>
      <c r="D1431" s="14">
        <f>SUM(C1431)</f>
        <v>1</v>
      </c>
      <c r="E1431" s="48">
        <v>42410</v>
      </c>
      <c r="F1431" s="48"/>
      <c r="G1431" s="48"/>
      <c r="H1431" s="48"/>
      <c r="I1431" s="48"/>
      <c r="J1431" s="51"/>
      <c r="K1431" s="4"/>
      <c r="L1431" s="15"/>
      <c r="M1431" s="14">
        <f>SUM(L1431)</f>
        <v>0</v>
      </c>
      <c r="N1431" s="75"/>
    </row>
    <row r="1432" spans="1:14" ht="14.25" thickBot="1" x14ac:dyDescent="0.2">
      <c r="B1432" s="71" t="s">
        <v>289</v>
      </c>
      <c r="C1432" s="15">
        <v>52</v>
      </c>
      <c r="D1432" s="14">
        <f>SUM(C1432)</f>
        <v>52</v>
      </c>
      <c r="E1432" s="48">
        <v>42412</v>
      </c>
      <c r="F1432" s="48"/>
      <c r="G1432" s="48"/>
      <c r="H1432" s="48"/>
      <c r="I1432" s="48"/>
      <c r="J1432" s="51"/>
      <c r="K1432" s="164"/>
      <c r="L1432" s="15"/>
      <c r="M1432" s="14">
        <f>SUM(L1432)</f>
        <v>0</v>
      </c>
      <c r="N1432" s="100"/>
    </row>
    <row r="1433" spans="1:14" ht="14.25" thickBot="1" x14ac:dyDescent="0.2">
      <c r="B1433" s="3" t="s">
        <v>5</v>
      </c>
      <c r="C1433" s="16">
        <f>SUM(C1409:C1432)</f>
        <v>139</v>
      </c>
      <c r="D1433" s="17">
        <f>SUM(D1409:D1432)</f>
        <v>139</v>
      </c>
      <c r="K1433" s="3" t="s">
        <v>5</v>
      </c>
      <c r="L1433" s="16">
        <f>SUM(L1409:L1432)</f>
        <v>200</v>
      </c>
      <c r="M1433" s="17">
        <f>SUM(M1409:M1432)</f>
        <v>200</v>
      </c>
    </row>
    <row r="1434" spans="1:14" ht="14.25" thickBot="1" x14ac:dyDescent="0.2">
      <c r="B1434" s="18" t="s">
        <v>6</v>
      </c>
      <c r="C1434" s="19">
        <f>C1408-C1433</f>
        <v>101</v>
      </c>
      <c r="D1434" s="13">
        <f>D1408-D1433</f>
        <v>101</v>
      </c>
      <c r="K1434" s="18" t="s">
        <v>6</v>
      </c>
      <c r="L1434" s="19">
        <f>L1408-L1433</f>
        <v>600</v>
      </c>
      <c r="M1434" s="13">
        <f>M1408-M1433</f>
        <v>600</v>
      </c>
    </row>
    <row r="1436" spans="1:14" ht="18" thickBot="1" x14ac:dyDescent="0.25">
      <c r="A1436" s="27" t="s">
        <v>8</v>
      </c>
      <c r="B1436" s="28"/>
      <c r="C1436" s="28"/>
      <c r="D1436" s="28"/>
      <c r="J1436" s="139" t="s">
        <v>218</v>
      </c>
      <c r="K1436" s="140"/>
      <c r="L1436" s="140"/>
      <c r="M1436" s="140"/>
    </row>
    <row r="1437" spans="1:14" ht="14.25" thickBot="1" x14ac:dyDescent="0.2">
      <c r="B1437" s="2"/>
      <c r="C1437" s="3" t="s">
        <v>0</v>
      </c>
      <c r="D1437" s="2" t="s">
        <v>1</v>
      </c>
      <c r="K1437" s="2"/>
      <c r="L1437" s="3" t="s">
        <v>0</v>
      </c>
      <c r="M1437" s="2" t="s">
        <v>1</v>
      </c>
    </row>
    <row r="1438" spans="1:14" x14ac:dyDescent="0.15">
      <c r="B1438" s="43" t="s">
        <v>26</v>
      </c>
      <c r="C1438" s="38">
        <f>C1434</f>
        <v>101</v>
      </c>
      <c r="D1438" s="39">
        <f t="shared" ref="D1438:D1448" si="146">SUM(C1438:C1438)</f>
        <v>101</v>
      </c>
      <c r="K1438" s="43" t="s">
        <v>26</v>
      </c>
      <c r="L1438" s="38">
        <f>L1434</f>
        <v>600</v>
      </c>
      <c r="M1438" s="39">
        <f t="shared" ref="M1438:M1448" si="147">SUM(L1438:L1438)</f>
        <v>600</v>
      </c>
    </row>
    <row r="1439" spans="1:14" x14ac:dyDescent="0.15">
      <c r="B1439" s="6" t="s">
        <v>3</v>
      </c>
      <c r="C1439" s="7">
        <v>100</v>
      </c>
      <c r="D1439" s="5">
        <f t="shared" si="146"/>
        <v>100</v>
      </c>
      <c r="E1439" s="74">
        <v>42434</v>
      </c>
      <c r="F1439" s="74"/>
      <c r="G1439" s="74"/>
      <c r="H1439" s="74"/>
      <c r="I1439" s="74"/>
      <c r="K1439" s="6" t="s">
        <v>3</v>
      </c>
      <c r="L1439" s="7"/>
      <c r="M1439" s="5">
        <f t="shared" si="147"/>
        <v>0</v>
      </c>
    </row>
    <row r="1440" spans="1:14" x14ac:dyDescent="0.15">
      <c r="B1440" s="6" t="s">
        <v>3</v>
      </c>
      <c r="C1440" s="7"/>
      <c r="D1440" s="5">
        <f t="shared" si="146"/>
        <v>0</v>
      </c>
      <c r="E1440" s="74"/>
      <c r="F1440" s="74"/>
      <c r="G1440" s="74"/>
      <c r="H1440" s="74"/>
      <c r="I1440" s="74"/>
      <c r="K1440" s="6" t="s">
        <v>3</v>
      </c>
      <c r="L1440" s="7"/>
      <c r="M1440" s="5">
        <f t="shared" si="147"/>
        <v>0</v>
      </c>
      <c r="N1440" s="74"/>
    </row>
    <row r="1441" spans="2:14" x14ac:dyDescent="0.15">
      <c r="B1441" s="71" t="s">
        <v>298</v>
      </c>
      <c r="C1441" s="7">
        <v>1</v>
      </c>
      <c r="D1441" s="5">
        <f t="shared" si="146"/>
        <v>1</v>
      </c>
      <c r="E1441" s="74">
        <v>42447</v>
      </c>
      <c r="F1441" s="74"/>
      <c r="G1441" s="74"/>
      <c r="H1441" s="74"/>
      <c r="I1441" s="74"/>
      <c r="K1441" s="6" t="s">
        <v>3</v>
      </c>
      <c r="L1441" s="7"/>
      <c r="M1441" s="5">
        <f t="shared" si="147"/>
        <v>0</v>
      </c>
    </row>
    <row r="1442" spans="2:14" x14ac:dyDescent="0.15">
      <c r="B1442" s="6" t="s">
        <v>3</v>
      </c>
      <c r="C1442" s="7"/>
      <c r="D1442" s="5">
        <f t="shared" si="146"/>
        <v>0</v>
      </c>
      <c r="E1442" s="48"/>
      <c r="F1442" s="48"/>
      <c r="G1442" s="48"/>
      <c r="H1442" s="48"/>
      <c r="I1442" s="48"/>
      <c r="K1442" s="6" t="s">
        <v>3</v>
      </c>
      <c r="L1442" s="7"/>
      <c r="M1442" s="5">
        <f t="shared" si="147"/>
        <v>0</v>
      </c>
      <c r="N1442" s="74"/>
    </row>
    <row r="1443" spans="2:14" x14ac:dyDescent="0.15">
      <c r="B1443" s="6" t="s">
        <v>3</v>
      </c>
      <c r="C1443" s="7"/>
      <c r="D1443" s="5">
        <f t="shared" si="146"/>
        <v>0</v>
      </c>
      <c r="E1443" s="48"/>
      <c r="F1443" s="48"/>
      <c r="G1443" s="48"/>
      <c r="H1443" s="48"/>
      <c r="I1443" s="48"/>
      <c r="K1443" s="6" t="s">
        <v>3</v>
      </c>
      <c r="L1443" s="7"/>
      <c r="M1443" s="5">
        <f t="shared" si="147"/>
        <v>0</v>
      </c>
      <c r="N1443" s="75"/>
    </row>
    <row r="1444" spans="2:14" x14ac:dyDescent="0.15">
      <c r="B1444" s="6" t="s">
        <v>3</v>
      </c>
      <c r="C1444" s="7"/>
      <c r="D1444" s="5">
        <f t="shared" si="146"/>
        <v>0</v>
      </c>
      <c r="K1444" s="6" t="s">
        <v>3</v>
      </c>
      <c r="L1444" s="7"/>
      <c r="M1444" s="5">
        <f t="shared" si="147"/>
        <v>0</v>
      </c>
    </row>
    <row r="1445" spans="2:14" x14ac:dyDescent="0.15">
      <c r="B1445" s="6" t="s">
        <v>3</v>
      </c>
      <c r="C1445" s="54"/>
      <c r="D1445" s="5">
        <f t="shared" si="146"/>
        <v>0</v>
      </c>
      <c r="K1445" s="6" t="s">
        <v>3</v>
      </c>
      <c r="L1445" s="7"/>
      <c r="M1445" s="5">
        <f t="shared" si="147"/>
        <v>0</v>
      </c>
    </row>
    <row r="1446" spans="2:14" x14ac:dyDescent="0.15">
      <c r="B1446" s="6" t="s">
        <v>3</v>
      </c>
      <c r="C1446" s="54"/>
      <c r="D1446" s="5">
        <f t="shared" si="146"/>
        <v>0</v>
      </c>
      <c r="K1446" s="6" t="s">
        <v>3</v>
      </c>
      <c r="L1446" s="7"/>
      <c r="M1446" s="5">
        <f t="shared" si="147"/>
        <v>0</v>
      </c>
    </row>
    <row r="1447" spans="2:14" x14ac:dyDescent="0.15">
      <c r="B1447" s="6" t="s">
        <v>3</v>
      </c>
      <c r="C1447" s="54"/>
      <c r="D1447" s="5">
        <f t="shared" si="146"/>
        <v>0</v>
      </c>
      <c r="K1447" s="6" t="s">
        <v>3</v>
      </c>
      <c r="L1447" s="7"/>
      <c r="M1447" s="5">
        <f t="shared" si="147"/>
        <v>0</v>
      </c>
    </row>
    <row r="1448" spans="2:14" ht="14.25" thickBot="1" x14ac:dyDescent="0.2">
      <c r="B1448" s="9" t="s">
        <v>3</v>
      </c>
      <c r="C1448" s="101"/>
      <c r="D1448" s="5">
        <f t="shared" si="146"/>
        <v>0</v>
      </c>
      <c r="K1448" s="9" t="s">
        <v>3</v>
      </c>
      <c r="L1448" s="10"/>
      <c r="M1448" s="5">
        <f t="shared" si="147"/>
        <v>0</v>
      </c>
    </row>
    <row r="1449" spans="2:14" ht="14.25" thickBot="1" x14ac:dyDescent="0.2">
      <c r="B1449" s="11" t="s">
        <v>4</v>
      </c>
      <c r="C1449" s="12">
        <f>SUM(C1438:C1448)</f>
        <v>202</v>
      </c>
      <c r="D1449" s="13">
        <f>SUM(D1438:D1448)</f>
        <v>202</v>
      </c>
      <c r="K1449" s="11" t="s">
        <v>4</v>
      </c>
      <c r="L1449" s="12">
        <f>SUM(L1438:L1448)</f>
        <v>600</v>
      </c>
      <c r="M1449" s="13">
        <f>SUM(M1438:M1448)</f>
        <v>600</v>
      </c>
    </row>
    <row r="1450" spans="2:14" x14ac:dyDescent="0.15">
      <c r="B1450" s="71" t="s">
        <v>162</v>
      </c>
      <c r="C1450" s="15">
        <v>19</v>
      </c>
      <c r="D1450" s="14">
        <f>C1450</f>
        <v>19</v>
      </c>
      <c r="E1450" s="48">
        <v>42415</v>
      </c>
      <c r="F1450" s="48"/>
      <c r="G1450" s="48"/>
      <c r="H1450" s="48"/>
      <c r="I1450" s="48"/>
      <c r="K1450" s="4" t="s">
        <v>9</v>
      </c>
      <c r="L1450" s="44">
        <v>100</v>
      </c>
      <c r="M1450" s="14">
        <f t="shared" ref="M1450:M1460" si="148">SUM(L1450:L1450)</f>
        <v>100</v>
      </c>
      <c r="N1450" s="74">
        <v>42434</v>
      </c>
    </row>
    <row r="1451" spans="2:14" x14ac:dyDescent="0.15">
      <c r="B1451" s="71" t="s">
        <v>162</v>
      </c>
      <c r="C1451" s="15">
        <v>4</v>
      </c>
      <c r="D1451" s="14">
        <f>SUM(C1451)</f>
        <v>4</v>
      </c>
      <c r="E1451" s="48">
        <v>42416</v>
      </c>
      <c r="F1451" s="48"/>
      <c r="G1451" s="48"/>
      <c r="H1451" s="48"/>
      <c r="I1451" s="48"/>
      <c r="J1451" s="51"/>
      <c r="K1451" s="4"/>
      <c r="L1451" s="15"/>
      <c r="M1451" s="14">
        <f t="shared" si="148"/>
        <v>0</v>
      </c>
      <c r="N1451" s="75"/>
    </row>
    <row r="1452" spans="2:14" x14ac:dyDescent="0.15">
      <c r="B1452" s="71" t="s">
        <v>162</v>
      </c>
      <c r="C1452" s="15">
        <v>1</v>
      </c>
      <c r="D1452" s="14">
        <f>SUM(C1452)</f>
        <v>1</v>
      </c>
      <c r="E1452" s="74">
        <v>42417</v>
      </c>
      <c r="F1452" s="74"/>
      <c r="G1452" s="74"/>
      <c r="H1452" s="74"/>
      <c r="I1452" s="74"/>
      <c r="J1452" s="51"/>
      <c r="K1452" s="4"/>
      <c r="L1452" s="15"/>
      <c r="M1452" s="14">
        <f t="shared" si="148"/>
        <v>0</v>
      </c>
    </row>
    <row r="1453" spans="2:14" x14ac:dyDescent="0.15">
      <c r="B1453" s="71" t="s">
        <v>162</v>
      </c>
      <c r="C1453" s="15">
        <v>3</v>
      </c>
      <c r="D1453" s="14">
        <f>SUM(C1453)</f>
        <v>3</v>
      </c>
      <c r="E1453" s="48">
        <v>42418</v>
      </c>
      <c r="F1453" s="48"/>
      <c r="G1453" s="48"/>
      <c r="H1453" s="48"/>
      <c r="I1453" s="48"/>
      <c r="J1453" s="51"/>
      <c r="K1453" s="4"/>
      <c r="L1453" s="15"/>
      <c r="M1453" s="14">
        <f t="shared" si="148"/>
        <v>0</v>
      </c>
    </row>
    <row r="1454" spans="2:14" x14ac:dyDescent="0.15">
      <c r="B1454" s="71" t="s">
        <v>162</v>
      </c>
      <c r="C1454" s="15">
        <v>5</v>
      </c>
      <c r="D1454" s="14">
        <f>SUM(C1454)</f>
        <v>5</v>
      </c>
      <c r="E1454" s="48">
        <v>42419</v>
      </c>
      <c r="F1454" s="48"/>
      <c r="G1454" s="48"/>
      <c r="H1454" s="48"/>
      <c r="I1454" s="48"/>
      <c r="J1454" s="51"/>
      <c r="K1454" s="6"/>
      <c r="L1454" s="15"/>
      <c r="M1454" s="14">
        <f t="shared" si="148"/>
        <v>0</v>
      </c>
    </row>
    <row r="1455" spans="2:14" x14ac:dyDescent="0.15">
      <c r="B1455" s="71" t="s">
        <v>291</v>
      </c>
      <c r="C1455" s="15">
        <v>3</v>
      </c>
      <c r="D1455" s="14">
        <f>SUM(C1455)</f>
        <v>3</v>
      </c>
      <c r="E1455" s="48">
        <v>42422</v>
      </c>
      <c r="F1455" s="48"/>
      <c r="G1455" s="48"/>
      <c r="H1455" s="48"/>
      <c r="I1455" s="48"/>
      <c r="J1455" s="51"/>
      <c r="K1455" s="4"/>
      <c r="L1455" s="15"/>
      <c r="M1455" s="14">
        <f t="shared" si="148"/>
        <v>0</v>
      </c>
    </row>
    <row r="1456" spans="2:14" x14ac:dyDescent="0.15">
      <c r="B1456" s="71" t="s">
        <v>290</v>
      </c>
      <c r="C1456" s="15">
        <v>10</v>
      </c>
      <c r="D1456" s="14">
        <f t="shared" ref="D1456:D1471" si="149">SUM(C1456)</f>
        <v>10</v>
      </c>
      <c r="E1456" s="74">
        <v>42425</v>
      </c>
      <c r="F1456" s="74"/>
      <c r="G1456" s="74"/>
      <c r="H1456" s="74"/>
      <c r="I1456" s="74"/>
      <c r="J1456" s="51"/>
      <c r="K1456" s="6"/>
      <c r="L1456" s="15"/>
      <c r="M1456" s="14">
        <f t="shared" si="148"/>
        <v>0</v>
      </c>
    </row>
    <row r="1457" spans="2:15" x14ac:dyDescent="0.15">
      <c r="B1457" s="71" t="s">
        <v>162</v>
      </c>
      <c r="C1457" s="15">
        <v>1</v>
      </c>
      <c r="D1457" s="14">
        <f t="shared" si="149"/>
        <v>1</v>
      </c>
      <c r="E1457" s="48">
        <v>42425</v>
      </c>
      <c r="F1457" s="48"/>
      <c r="G1457" s="48"/>
      <c r="H1457" s="48"/>
      <c r="I1457" s="48"/>
      <c r="J1457" s="51"/>
      <c r="K1457" s="6"/>
      <c r="L1457" s="15"/>
      <c r="M1457" s="14">
        <f t="shared" si="148"/>
        <v>0</v>
      </c>
    </row>
    <row r="1458" spans="2:15" x14ac:dyDescent="0.15">
      <c r="B1458" s="71" t="s">
        <v>162</v>
      </c>
      <c r="C1458" s="15">
        <v>1</v>
      </c>
      <c r="D1458" s="14">
        <f t="shared" si="149"/>
        <v>1</v>
      </c>
      <c r="E1458" s="48">
        <v>42425</v>
      </c>
      <c r="F1458" s="48"/>
      <c r="G1458" s="48"/>
      <c r="H1458" s="48"/>
      <c r="I1458" s="48"/>
      <c r="J1458" s="51"/>
      <c r="K1458" s="4"/>
      <c r="L1458" s="15"/>
      <c r="M1458" s="14">
        <f t="shared" si="148"/>
        <v>0</v>
      </c>
    </row>
    <row r="1459" spans="2:15" x14ac:dyDescent="0.15">
      <c r="B1459" s="71" t="s">
        <v>162</v>
      </c>
      <c r="C1459" s="15">
        <v>1</v>
      </c>
      <c r="D1459" s="14">
        <f t="shared" si="149"/>
        <v>1</v>
      </c>
      <c r="E1459" s="48">
        <v>42425</v>
      </c>
      <c r="F1459" s="48"/>
      <c r="G1459" s="48"/>
      <c r="H1459" s="48"/>
      <c r="I1459" s="48"/>
      <c r="J1459" s="51"/>
      <c r="K1459" s="4"/>
      <c r="L1459" s="15"/>
      <c r="M1459" s="14">
        <f t="shared" si="148"/>
        <v>0</v>
      </c>
    </row>
    <row r="1460" spans="2:15" x14ac:dyDescent="0.15">
      <c r="B1460" s="71" t="s">
        <v>162</v>
      </c>
      <c r="C1460" s="15">
        <v>2</v>
      </c>
      <c r="D1460" s="14">
        <f t="shared" si="149"/>
        <v>2</v>
      </c>
      <c r="E1460" s="48">
        <v>42426</v>
      </c>
      <c r="F1460" s="48"/>
      <c r="G1460" s="48"/>
      <c r="H1460" s="48"/>
      <c r="I1460" s="48"/>
      <c r="J1460" s="51"/>
      <c r="K1460" s="4"/>
      <c r="L1460" s="15"/>
      <c r="M1460" s="14">
        <f t="shared" si="148"/>
        <v>0</v>
      </c>
    </row>
    <row r="1461" spans="2:15" x14ac:dyDescent="0.15">
      <c r="B1461" s="71" t="s">
        <v>162</v>
      </c>
      <c r="C1461" s="15">
        <v>2</v>
      </c>
      <c r="D1461" s="14">
        <f t="shared" si="149"/>
        <v>2</v>
      </c>
      <c r="E1461" s="48">
        <v>42427</v>
      </c>
      <c r="F1461" s="48"/>
      <c r="G1461" s="48"/>
      <c r="H1461" s="48"/>
      <c r="I1461" s="48"/>
      <c r="J1461" s="51"/>
      <c r="K1461" s="4"/>
      <c r="L1461" s="15"/>
      <c r="M1461" s="14">
        <f>SUM(L1461:L1461)</f>
        <v>0</v>
      </c>
    </row>
    <row r="1462" spans="2:15" x14ac:dyDescent="0.15">
      <c r="B1462" s="71" t="s">
        <v>162</v>
      </c>
      <c r="C1462" s="15">
        <v>6</v>
      </c>
      <c r="D1462" s="14">
        <f t="shared" si="149"/>
        <v>6</v>
      </c>
      <c r="E1462" s="48">
        <v>42429</v>
      </c>
      <c r="F1462" s="48"/>
      <c r="G1462" s="48"/>
      <c r="H1462" s="48"/>
      <c r="I1462" s="48"/>
      <c r="J1462" s="51"/>
      <c r="K1462" s="6"/>
      <c r="L1462" s="15"/>
      <c r="M1462" s="14">
        <f>SUM(L1462)</f>
        <v>0</v>
      </c>
    </row>
    <row r="1463" spans="2:15" x14ac:dyDescent="0.15">
      <c r="B1463" s="71" t="s">
        <v>293</v>
      </c>
      <c r="C1463" s="15">
        <v>5</v>
      </c>
      <c r="D1463" s="14">
        <f t="shared" si="149"/>
        <v>5</v>
      </c>
      <c r="E1463" s="48">
        <v>42430</v>
      </c>
      <c r="F1463" s="48"/>
      <c r="G1463" s="48"/>
      <c r="H1463" s="48"/>
      <c r="I1463" s="48"/>
      <c r="J1463" s="51"/>
      <c r="K1463" s="6"/>
      <c r="L1463" s="15"/>
      <c r="M1463" s="14">
        <f>SUM(L1463)</f>
        <v>0</v>
      </c>
    </row>
    <row r="1464" spans="2:15" x14ac:dyDescent="0.15">
      <c r="B1464" s="71" t="s">
        <v>114</v>
      </c>
      <c r="C1464" s="15">
        <v>30</v>
      </c>
      <c r="D1464" s="14">
        <f t="shared" si="149"/>
        <v>30</v>
      </c>
      <c r="E1464" s="74">
        <v>42437</v>
      </c>
      <c r="F1464" s="74"/>
      <c r="G1464" s="74"/>
      <c r="H1464" s="74"/>
      <c r="I1464" s="74"/>
      <c r="J1464" s="51"/>
      <c r="K1464" s="4"/>
      <c r="L1464" s="15"/>
      <c r="M1464" s="14">
        <f>SUM(L1464:L1464)</f>
        <v>0</v>
      </c>
    </row>
    <row r="1465" spans="2:15" x14ac:dyDescent="0.15">
      <c r="B1465" s="71" t="s">
        <v>162</v>
      </c>
      <c r="C1465" s="15">
        <v>7</v>
      </c>
      <c r="D1465" s="14">
        <f t="shared" si="149"/>
        <v>7</v>
      </c>
      <c r="E1465" s="48">
        <v>42432</v>
      </c>
      <c r="F1465" s="48"/>
      <c r="G1465" s="48"/>
      <c r="H1465" s="48"/>
      <c r="I1465" s="48"/>
      <c r="J1465" s="51"/>
      <c r="K1465" s="4"/>
      <c r="L1465" s="15"/>
      <c r="M1465" s="14">
        <f>SUM(L1465)</f>
        <v>0</v>
      </c>
    </row>
    <row r="1466" spans="2:15" x14ac:dyDescent="0.15">
      <c r="B1466" s="71" t="s">
        <v>162</v>
      </c>
      <c r="C1466" s="15">
        <v>4</v>
      </c>
      <c r="D1466" s="14">
        <f t="shared" si="149"/>
        <v>4</v>
      </c>
      <c r="E1466" s="48">
        <v>42433</v>
      </c>
      <c r="F1466" s="48"/>
      <c r="G1466" s="48"/>
      <c r="H1466" s="48"/>
      <c r="I1466" s="48"/>
      <c r="J1466" s="51"/>
      <c r="K1466" s="4"/>
      <c r="L1466" s="15"/>
      <c r="M1466" s="14">
        <f>SUM(L1466:L1466)</f>
        <v>0</v>
      </c>
    </row>
    <row r="1467" spans="2:15" x14ac:dyDescent="0.15">
      <c r="B1467" s="71" t="s">
        <v>162</v>
      </c>
      <c r="C1467" s="15">
        <v>7</v>
      </c>
      <c r="D1467" s="14">
        <f t="shared" si="149"/>
        <v>7</v>
      </c>
      <c r="E1467" s="48">
        <v>42436</v>
      </c>
      <c r="F1467" s="48"/>
      <c r="G1467" s="48"/>
      <c r="H1467" s="48"/>
      <c r="I1467" s="48"/>
      <c r="J1467" s="51"/>
      <c r="K1467" s="4"/>
      <c r="L1467" s="15"/>
      <c r="M1467" s="14">
        <f>SUM(L1467)</f>
        <v>0</v>
      </c>
    </row>
    <row r="1468" spans="2:15" x14ac:dyDescent="0.15">
      <c r="B1468" s="71" t="s">
        <v>295</v>
      </c>
      <c r="C1468" s="15">
        <v>1</v>
      </c>
      <c r="D1468" s="14">
        <f t="shared" si="149"/>
        <v>1</v>
      </c>
      <c r="E1468" s="74">
        <v>42434</v>
      </c>
      <c r="F1468" s="74"/>
      <c r="G1468" s="74"/>
      <c r="H1468" s="74"/>
      <c r="I1468" s="74"/>
      <c r="J1468" s="51"/>
      <c r="K1468" s="4"/>
      <c r="L1468" s="15"/>
      <c r="M1468" s="14">
        <f>SUM(L1468)</f>
        <v>0</v>
      </c>
    </row>
    <row r="1469" spans="2:15" x14ac:dyDescent="0.15">
      <c r="B1469" s="71" t="s">
        <v>294</v>
      </c>
      <c r="C1469" s="15">
        <v>1</v>
      </c>
      <c r="D1469" s="14">
        <f t="shared" si="149"/>
        <v>1</v>
      </c>
      <c r="E1469" s="48">
        <v>42437</v>
      </c>
      <c r="F1469" s="48"/>
      <c r="G1469" s="48"/>
      <c r="H1469" s="48"/>
      <c r="I1469" s="48"/>
      <c r="J1469" s="51"/>
      <c r="K1469" s="4"/>
      <c r="L1469" s="15"/>
      <c r="M1469" s="14">
        <f>SUM(L1469:L1469)</f>
        <v>0</v>
      </c>
      <c r="N1469" s="75"/>
      <c r="O1469" s="75"/>
    </row>
    <row r="1470" spans="2:15" x14ac:dyDescent="0.15">
      <c r="B1470" s="71" t="s">
        <v>162</v>
      </c>
      <c r="C1470" s="15">
        <v>4</v>
      </c>
      <c r="D1470" s="14">
        <f t="shared" si="149"/>
        <v>4</v>
      </c>
      <c r="E1470" s="48">
        <v>42437</v>
      </c>
      <c r="F1470" s="48"/>
      <c r="G1470" s="48"/>
      <c r="H1470" s="48"/>
      <c r="I1470" s="48"/>
      <c r="J1470" s="51"/>
      <c r="K1470" s="4"/>
      <c r="L1470" s="15"/>
      <c r="M1470" s="14">
        <f>SUM(L1470)</f>
        <v>0</v>
      </c>
      <c r="N1470" s="74"/>
      <c r="O1470" s="75"/>
    </row>
    <row r="1471" spans="2:15" x14ac:dyDescent="0.15">
      <c r="B1471" s="71" t="s">
        <v>162</v>
      </c>
      <c r="C1471" s="15">
        <v>6</v>
      </c>
      <c r="D1471" s="14">
        <f t="shared" si="149"/>
        <v>6</v>
      </c>
      <c r="E1471" s="48">
        <v>42438</v>
      </c>
      <c r="F1471" s="48"/>
      <c r="G1471" s="48"/>
      <c r="H1471" s="48"/>
      <c r="I1471" s="48"/>
      <c r="J1471" s="51"/>
      <c r="K1471" s="4"/>
      <c r="L1471" s="15"/>
      <c r="M1471" s="14">
        <f>SUM(L1471)</f>
        <v>0</v>
      </c>
      <c r="N1471" s="75"/>
      <c r="O1471" s="75"/>
    </row>
    <row r="1472" spans="2:15" x14ac:dyDescent="0.15">
      <c r="B1472" s="71" t="s">
        <v>162</v>
      </c>
      <c r="C1472" s="15">
        <v>3</v>
      </c>
      <c r="D1472" s="14">
        <f>SUM(C1472)</f>
        <v>3</v>
      </c>
      <c r="E1472" s="48">
        <v>42439</v>
      </c>
      <c r="F1472" s="48"/>
      <c r="G1472" s="48"/>
      <c r="H1472" s="48"/>
      <c r="I1472" s="48"/>
      <c r="J1472" s="51"/>
      <c r="K1472" s="4"/>
      <c r="L1472" s="15"/>
      <c r="M1472" s="14">
        <f>SUM(L1472)</f>
        <v>0</v>
      </c>
      <c r="N1472" s="75"/>
      <c r="O1472" s="75"/>
    </row>
    <row r="1473" spans="1:15" ht="14.25" thickBot="1" x14ac:dyDescent="0.2">
      <c r="B1473" s="71" t="s">
        <v>296</v>
      </c>
      <c r="C1473" s="15">
        <v>4</v>
      </c>
      <c r="D1473" s="14">
        <f>SUM(C1473)</f>
        <v>4</v>
      </c>
      <c r="E1473" s="48">
        <v>42440</v>
      </c>
      <c r="F1473" s="48"/>
      <c r="G1473" s="48"/>
      <c r="H1473" s="48"/>
      <c r="I1473" s="48"/>
      <c r="J1473" s="51"/>
      <c r="K1473" s="4"/>
      <c r="L1473" s="15"/>
      <c r="M1473" s="14">
        <f>SUM(L1473:L1473)</f>
        <v>0</v>
      </c>
      <c r="N1473" s="75"/>
      <c r="O1473" s="75"/>
    </row>
    <row r="1474" spans="1:15" ht="14.25" thickBot="1" x14ac:dyDescent="0.2">
      <c r="B1474" s="3" t="s">
        <v>5</v>
      </c>
      <c r="C1474" s="16">
        <f>SUM(C1450:C1473)</f>
        <v>130</v>
      </c>
      <c r="D1474" s="17">
        <f>SUM(D1450:D1473)</f>
        <v>130</v>
      </c>
      <c r="K1474" s="3" t="s">
        <v>5</v>
      </c>
      <c r="L1474" s="16">
        <f>SUM(L1450:L1473)</f>
        <v>100</v>
      </c>
      <c r="M1474" s="17">
        <f>SUM(M1450:M1473)</f>
        <v>100</v>
      </c>
    </row>
    <row r="1475" spans="1:15" ht="14.25" thickBot="1" x14ac:dyDescent="0.2">
      <c r="B1475" s="18" t="s">
        <v>6</v>
      </c>
      <c r="C1475" s="19">
        <f>C1449-C1474</f>
        <v>72</v>
      </c>
      <c r="D1475" s="13">
        <f>D1449-D1474</f>
        <v>72</v>
      </c>
      <c r="K1475" s="18" t="s">
        <v>6</v>
      </c>
      <c r="L1475" s="19">
        <f>L1449-L1474</f>
        <v>500</v>
      </c>
      <c r="M1475" s="13">
        <f>M1449-M1474</f>
        <v>500</v>
      </c>
    </row>
    <row r="1477" spans="1:15" ht="18" thickBot="1" x14ac:dyDescent="0.25">
      <c r="A1477" s="27" t="s">
        <v>8</v>
      </c>
      <c r="B1477" s="28"/>
      <c r="C1477" s="28"/>
      <c r="D1477" s="28"/>
      <c r="J1477" s="139" t="s">
        <v>218</v>
      </c>
      <c r="K1477" s="140"/>
      <c r="L1477" s="140"/>
      <c r="M1477" s="140"/>
    </row>
    <row r="1478" spans="1:15" ht="14.25" thickBot="1" x14ac:dyDescent="0.2">
      <c r="B1478" s="2"/>
      <c r="C1478" s="3" t="s">
        <v>0</v>
      </c>
      <c r="D1478" s="2" t="s">
        <v>1</v>
      </c>
      <c r="K1478" s="2"/>
      <c r="L1478" s="3" t="s">
        <v>0</v>
      </c>
      <c r="M1478" s="2" t="s">
        <v>1</v>
      </c>
    </row>
    <row r="1479" spans="1:15" x14ac:dyDescent="0.15">
      <c r="B1479" s="43" t="s">
        <v>26</v>
      </c>
      <c r="C1479" s="38">
        <f>C1475</f>
        <v>72</v>
      </c>
      <c r="D1479" s="39">
        <f t="shared" ref="D1479:D1489" si="150">SUM(C1479:C1479)</f>
        <v>72</v>
      </c>
      <c r="K1479" s="43" t="s">
        <v>26</v>
      </c>
      <c r="L1479" s="38">
        <f>L1475</f>
        <v>500</v>
      </c>
      <c r="M1479" s="39">
        <f t="shared" ref="M1479:M1489" si="151">SUM(L1479:L1479)</f>
        <v>500</v>
      </c>
    </row>
    <row r="1480" spans="1:15" x14ac:dyDescent="0.15">
      <c r="B1480" s="6" t="s">
        <v>3</v>
      </c>
      <c r="C1480" s="7">
        <v>100</v>
      </c>
      <c r="D1480" s="5">
        <f t="shared" si="150"/>
        <v>100</v>
      </c>
      <c r="E1480" s="74">
        <v>42452</v>
      </c>
      <c r="F1480" s="74"/>
      <c r="G1480" s="74"/>
      <c r="H1480" s="74"/>
      <c r="I1480" s="74"/>
      <c r="K1480" s="6" t="s">
        <v>3</v>
      </c>
      <c r="L1480" s="7"/>
      <c r="M1480" s="5">
        <f t="shared" si="151"/>
        <v>0</v>
      </c>
    </row>
    <row r="1481" spans="1:15" x14ac:dyDescent="0.15">
      <c r="B1481" s="6" t="s">
        <v>3</v>
      </c>
      <c r="C1481" s="7">
        <v>100</v>
      </c>
      <c r="D1481" s="5">
        <f t="shared" si="150"/>
        <v>100</v>
      </c>
      <c r="E1481" s="74">
        <v>42460</v>
      </c>
      <c r="F1481" s="74"/>
      <c r="G1481" s="74"/>
      <c r="H1481" s="74"/>
      <c r="I1481" s="74"/>
      <c r="K1481" s="6" t="s">
        <v>3</v>
      </c>
      <c r="L1481" s="7"/>
      <c r="M1481" s="5">
        <f t="shared" si="151"/>
        <v>0</v>
      </c>
      <c r="N1481" s="74"/>
    </row>
    <row r="1482" spans="1:15" x14ac:dyDescent="0.15">
      <c r="B1482" s="6" t="s">
        <v>3</v>
      </c>
      <c r="C1482" s="7"/>
      <c r="D1482" s="5">
        <f t="shared" si="150"/>
        <v>0</v>
      </c>
      <c r="K1482" s="6" t="s">
        <v>3</v>
      </c>
      <c r="L1482" s="7"/>
      <c r="M1482" s="5">
        <f t="shared" si="151"/>
        <v>0</v>
      </c>
    </row>
    <row r="1483" spans="1:15" x14ac:dyDescent="0.15">
      <c r="B1483" s="6" t="s">
        <v>3</v>
      </c>
      <c r="C1483" s="7">
        <v>100</v>
      </c>
      <c r="D1483" s="5">
        <f t="shared" si="150"/>
        <v>100</v>
      </c>
      <c r="E1483" s="74">
        <v>42465</v>
      </c>
      <c r="F1483" s="74"/>
      <c r="G1483" s="74"/>
      <c r="H1483" s="74"/>
      <c r="I1483" s="74"/>
      <c r="K1483" s="6" t="s">
        <v>3</v>
      </c>
      <c r="L1483" s="7"/>
      <c r="M1483" s="5">
        <f t="shared" si="151"/>
        <v>0</v>
      </c>
      <c r="N1483" s="74"/>
    </row>
    <row r="1484" spans="1:15" x14ac:dyDescent="0.15">
      <c r="B1484" s="6" t="s">
        <v>3</v>
      </c>
      <c r="C1484" s="7"/>
      <c r="D1484" s="5">
        <f t="shared" si="150"/>
        <v>0</v>
      </c>
      <c r="K1484" s="6" t="s">
        <v>3</v>
      </c>
      <c r="L1484" s="7"/>
      <c r="M1484" s="5">
        <f t="shared" si="151"/>
        <v>0</v>
      </c>
      <c r="N1484" s="75"/>
    </row>
    <row r="1485" spans="1:15" x14ac:dyDescent="0.15">
      <c r="B1485" s="6" t="s">
        <v>3</v>
      </c>
      <c r="C1485" s="7"/>
      <c r="D1485" s="5">
        <f t="shared" si="150"/>
        <v>0</v>
      </c>
      <c r="K1485" s="6" t="s">
        <v>3</v>
      </c>
      <c r="L1485" s="7"/>
      <c r="M1485" s="5">
        <f t="shared" si="151"/>
        <v>0</v>
      </c>
    </row>
    <row r="1486" spans="1:15" x14ac:dyDescent="0.15">
      <c r="B1486" s="6" t="s">
        <v>3</v>
      </c>
      <c r="C1486" s="54"/>
      <c r="D1486" s="5">
        <f t="shared" si="150"/>
        <v>0</v>
      </c>
      <c r="K1486" s="6" t="s">
        <v>3</v>
      </c>
      <c r="L1486" s="7"/>
      <c r="M1486" s="5">
        <f t="shared" si="151"/>
        <v>0</v>
      </c>
    </row>
    <row r="1487" spans="1:15" x14ac:dyDescent="0.15">
      <c r="B1487" s="6" t="s">
        <v>3</v>
      </c>
      <c r="C1487" s="54"/>
      <c r="D1487" s="5">
        <f t="shared" si="150"/>
        <v>0</v>
      </c>
      <c r="K1487" s="6" t="s">
        <v>3</v>
      </c>
      <c r="L1487" s="7"/>
      <c r="M1487" s="5">
        <f t="shared" si="151"/>
        <v>0</v>
      </c>
    </row>
    <row r="1488" spans="1:15" x14ac:dyDescent="0.15">
      <c r="B1488" s="6" t="s">
        <v>3</v>
      </c>
      <c r="C1488" s="54"/>
      <c r="D1488" s="5">
        <f t="shared" si="150"/>
        <v>0</v>
      </c>
      <c r="K1488" s="6" t="s">
        <v>3</v>
      </c>
      <c r="L1488" s="7"/>
      <c r="M1488" s="5">
        <f t="shared" si="151"/>
        <v>0</v>
      </c>
    </row>
    <row r="1489" spans="2:14" ht="14.25" thickBot="1" x14ac:dyDescent="0.2">
      <c r="B1489" s="9" t="s">
        <v>3</v>
      </c>
      <c r="C1489" s="101"/>
      <c r="D1489" s="5">
        <f t="shared" si="150"/>
        <v>0</v>
      </c>
      <c r="K1489" s="9" t="s">
        <v>3</v>
      </c>
      <c r="L1489" s="10"/>
      <c r="M1489" s="5">
        <f t="shared" si="151"/>
        <v>0</v>
      </c>
    </row>
    <row r="1490" spans="2:14" ht="14.25" thickBot="1" x14ac:dyDescent="0.2">
      <c r="B1490" s="11" t="s">
        <v>4</v>
      </c>
      <c r="C1490" s="12">
        <f>SUM(C1479:C1489)</f>
        <v>372</v>
      </c>
      <c r="D1490" s="13">
        <f>SUM(D1479:D1489)</f>
        <v>372</v>
      </c>
      <c r="K1490" s="11" t="s">
        <v>4</v>
      </c>
      <c r="L1490" s="12">
        <f>SUM(L1479:L1489)</f>
        <v>500</v>
      </c>
      <c r="M1490" s="13">
        <f>SUM(M1479:M1489)</f>
        <v>500</v>
      </c>
    </row>
    <row r="1491" spans="2:14" x14ac:dyDescent="0.15">
      <c r="B1491" s="71" t="s">
        <v>162</v>
      </c>
      <c r="C1491" s="15">
        <v>8</v>
      </c>
      <c r="D1491" s="14">
        <f>C1491</f>
        <v>8</v>
      </c>
      <c r="E1491" s="48">
        <v>42444</v>
      </c>
      <c r="F1491" s="48"/>
      <c r="G1491" s="48"/>
      <c r="H1491" s="48"/>
      <c r="I1491" s="48"/>
      <c r="K1491" s="4" t="s">
        <v>9</v>
      </c>
      <c r="L1491" s="44">
        <v>100</v>
      </c>
      <c r="M1491" s="14">
        <f t="shared" ref="M1491:M1501" si="152">SUM(L1491:L1491)</f>
        <v>100</v>
      </c>
      <c r="N1491" s="74">
        <v>42452</v>
      </c>
    </row>
    <row r="1492" spans="2:14" x14ac:dyDescent="0.15">
      <c r="B1492" s="71" t="s">
        <v>162</v>
      </c>
      <c r="C1492" s="15">
        <v>13</v>
      </c>
      <c r="D1492" s="14">
        <f>SUM(C1492)</f>
        <v>13</v>
      </c>
      <c r="E1492" s="48">
        <v>42443</v>
      </c>
      <c r="F1492" s="48"/>
      <c r="G1492" s="48"/>
      <c r="H1492" s="48"/>
      <c r="I1492" s="48"/>
      <c r="J1492" s="51"/>
      <c r="K1492" s="4" t="s">
        <v>9</v>
      </c>
      <c r="L1492" s="44">
        <v>100</v>
      </c>
      <c r="M1492" s="14">
        <f t="shared" si="152"/>
        <v>100</v>
      </c>
      <c r="N1492" s="74">
        <v>42460</v>
      </c>
    </row>
    <row r="1493" spans="2:14" x14ac:dyDescent="0.15">
      <c r="B1493" s="71" t="s">
        <v>162</v>
      </c>
      <c r="C1493" s="15">
        <v>8</v>
      </c>
      <c r="D1493" s="14">
        <f>SUM(C1493)</f>
        <v>8</v>
      </c>
      <c r="E1493" s="48">
        <v>42445</v>
      </c>
      <c r="F1493" s="48"/>
      <c r="G1493" s="48"/>
      <c r="H1493" s="48"/>
      <c r="I1493" s="48"/>
      <c r="J1493" s="51"/>
      <c r="K1493" s="4" t="s">
        <v>9</v>
      </c>
      <c r="L1493" s="44">
        <v>100</v>
      </c>
      <c r="M1493" s="14">
        <f t="shared" si="152"/>
        <v>100</v>
      </c>
      <c r="N1493" s="74">
        <v>42462</v>
      </c>
    </row>
    <row r="1494" spans="2:14" x14ac:dyDescent="0.15">
      <c r="B1494" s="71" t="s">
        <v>162</v>
      </c>
      <c r="C1494" s="15">
        <v>5</v>
      </c>
      <c r="D1494" s="14">
        <f>SUM(C1494)</f>
        <v>5</v>
      </c>
      <c r="E1494" s="48">
        <v>42446</v>
      </c>
      <c r="F1494" s="48"/>
      <c r="G1494" s="48"/>
      <c r="H1494" s="48"/>
      <c r="I1494" s="48"/>
      <c r="J1494" s="51"/>
      <c r="K1494" s="4" t="s">
        <v>292</v>
      </c>
      <c r="L1494" s="15">
        <v>100</v>
      </c>
      <c r="M1494" s="14">
        <f t="shared" si="152"/>
        <v>100</v>
      </c>
      <c r="N1494" s="74">
        <v>42465</v>
      </c>
    </row>
    <row r="1495" spans="2:14" x14ac:dyDescent="0.15">
      <c r="B1495" s="71" t="s">
        <v>162</v>
      </c>
      <c r="C1495" s="15">
        <v>7</v>
      </c>
      <c r="D1495" s="14">
        <f>SUM(C1495)</f>
        <v>7</v>
      </c>
      <c r="E1495" s="48">
        <v>42447</v>
      </c>
      <c r="F1495" s="48"/>
      <c r="G1495" s="48"/>
      <c r="H1495" s="48"/>
      <c r="I1495" s="48"/>
      <c r="J1495" s="51"/>
      <c r="K1495" s="6" t="s">
        <v>299</v>
      </c>
      <c r="L1495" s="15">
        <v>10</v>
      </c>
      <c r="M1495" s="14">
        <f t="shared" si="152"/>
        <v>10</v>
      </c>
      <c r="N1495" s="48">
        <v>42464</v>
      </c>
    </row>
    <row r="1496" spans="2:14" x14ac:dyDescent="0.15">
      <c r="B1496" s="71" t="s">
        <v>162</v>
      </c>
      <c r="C1496" s="15">
        <v>9</v>
      </c>
      <c r="D1496" s="14">
        <f>SUM(C1496)</f>
        <v>9</v>
      </c>
      <c r="E1496" s="48">
        <v>42448</v>
      </c>
      <c r="F1496" s="48"/>
      <c r="G1496" s="48"/>
      <c r="H1496" s="48"/>
      <c r="I1496" s="48"/>
      <c r="J1496" s="51"/>
      <c r="K1496" s="4"/>
      <c r="L1496" s="15"/>
      <c r="M1496" s="14">
        <f t="shared" si="152"/>
        <v>0</v>
      </c>
      <c r="N1496" s="74"/>
    </row>
    <row r="1497" spans="2:14" x14ac:dyDescent="0.15">
      <c r="B1497" s="71" t="s">
        <v>162</v>
      </c>
      <c r="C1497" s="15">
        <v>23</v>
      </c>
      <c r="D1497" s="14">
        <f t="shared" ref="D1497:D1512" si="153">SUM(C1497)</f>
        <v>23</v>
      </c>
      <c r="E1497" s="48">
        <v>42451</v>
      </c>
      <c r="F1497" s="48"/>
      <c r="G1497" s="48"/>
      <c r="H1497" s="48"/>
      <c r="I1497" s="48"/>
      <c r="J1497" s="51"/>
      <c r="K1497" s="6"/>
      <c r="L1497" s="15"/>
      <c r="M1497" s="14">
        <f t="shared" si="152"/>
        <v>0</v>
      </c>
    </row>
    <row r="1498" spans="2:14" x14ac:dyDescent="0.15">
      <c r="B1498" s="71" t="s">
        <v>162</v>
      </c>
      <c r="C1498" s="15">
        <v>3</v>
      </c>
      <c r="D1498" s="14">
        <f t="shared" si="153"/>
        <v>3</v>
      </c>
      <c r="E1498" s="48">
        <v>42454</v>
      </c>
      <c r="F1498" s="48"/>
      <c r="G1498" s="48"/>
      <c r="H1498" s="48"/>
      <c r="I1498" s="48"/>
      <c r="J1498" s="51"/>
      <c r="K1498" s="6"/>
      <c r="L1498" s="15"/>
      <c r="M1498" s="14">
        <f t="shared" si="152"/>
        <v>0</v>
      </c>
    </row>
    <row r="1499" spans="2:14" x14ac:dyDescent="0.15">
      <c r="B1499" s="71" t="s">
        <v>162</v>
      </c>
      <c r="C1499" s="15">
        <v>6</v>
      </c>
      <c r="D1499" s="14">
        <f t="shared" si="153"/>
        <v>6</v>
      </c>
      <c r="E1499" s="48">
        <v>42452</v>
      </c>
      <c r="F1499" s="48"/>
      <c r="G1499" s="48"/>
      <c r="H1499" s="48"/>
      <c r="I1499" s="48"/>
      <c r="J1499" s="51"/>
      <c r="K1499" s="4"/>
      <c r="L1499" s="15"/>
      <c r="M1499" s="14">
        <f t="shared" si="152"/>
        <v>0</v>
      </c>
    </row>
    <row r="1500" spans="2:14" x14ac:dyDescent="0.15">
      <c r="B1500" s="71" t="s">
        <v>162</v>
      </c>
      <c r="C1500" s="15">
        <v>5</v>
      </c>
      <c r="D1500" s="14">
        <f t="shared" si="153"/>
        <v>5</v>
      </c>
      <c r="E1500" s="48">
        <v>42453</v>
      </c>
      <c r="F1500" s="48"/>
      <c r="G1500" s="48"/>
      <c r="H1500" s="48"/>
      <c r="I1500" s="48"/>
      <c r="J1500" s="51"/>
      <c r="K1500" s="4"/>
      <c r="L1500" s="15"/>
      <c r="M1500" s="14">
        <f t="shared" si="152"/>
        <v>0</v>
      </c>
    </row>
    <row r="1501" spans="2:14" x14ac:dyDescent="0.15">
      <c r="B1501" s="71" t="s">
        <v>162</v>
      </c>
      <c r="C1501" s="15">
        <v>7</v>
      </c>
      <c r="D1501" s="14">
        <f t="shared" si="153"/>
        <v>7</v>
      </c>
      <c r="E1501" s="48">
        <v>42455</v>
      </c>
      <c r="F1501" s="48"/>
      <c r="G1501" s="48"/>
      <c r="H1501" s="48"/>
      <c r="I1501" s="48"/>
      <c r="J1501" s="51"/>
      <c r="K1501" s="4"/>
      <c r="L1501" s="15"/>
      <c r="M1501" s="14">
        <f t="shared" si="152"/>
        <v>0</v>
      </c>
    </row>
    <row r="1502" spans="2:14" x14ac:dyDescent="0.15">
      <c r="B1502" s="71" t="s">
        <v>162</v>
      </c>
      <c r="C1502" s="15">
        <v>22</v>
      </c>
      <c r="D1502" s="14">
        <f t="shared" si="153"/>
        <v>22</v>
      </c>
      <c r="E1502" s="48">
        <v>42457</v>
      </c>
      <c r="F1502" s="48"/>
      <c r="G1502" s="48"/>
      <c r="H1502" s="48"/>
      <c r="I1502" s="48"/>
      <c r="J1502" s="51"/>
      <c r="K1502" s="4"/>
      <c r="L1502" s="15"/>
      <c r="M1502" s="14">
        <f>SUM(L1502:L1502)</f>
        <v>0</v>
      </c>
    </row>
    <row r="1503" spans="2:14" x14ac:dyDescent="0.15">
      <c r="B1503" s="71" t="s">
        <v>162</v>
      </c>
      <c r="C1503" s="15">
        <v>12</v>
      </c>
      <c r="D1503" s="14">
        <f t="shared" si="153"/>
        <v>12</v>
      </c>
      <c r="E1503" s="48">
        <v>42458</v>
      </c>
      <c r="F1503" s="48"/>
      <c r="G1503" s="48"/>
      <c r="H1503" s="48"/>
      <c r="I1503" s="48"/>
      <c r="J1503" s="51"/>
      <c r="K1503" s="6"/>
      <c r="L1503" s="15"/>
      <c r="M1503" s="14">
        <f>SUM(L1503)</f>
        <v>0</v>
      </c>
    </row>
    <row r="1504" spans="2:14" x14ac:dyDescent="0.15">
      <c r="B1504" s="71" t="s">
        <v>162</v>
      </c>
      <c r="C1504" s="15">
        <v>12</v>
      </c>
      <c r="D1504" s="14">
        <f t="shared" si="153"/>
        <v>12</v>
      </c>
      <c r="E1504" s="48">
        <v>42459</v>
      </c>
      <c r="F1504" s="48"/>
      <c r="G1504" s="48"/>
      <c r="H1504" s="48"/>
      <c r="I1504" s="48"/>
      <c r="J1504" s="51"/>
      <c r="K1504" s="6"/>
      <c r="L1504" s="15"/>
      <c r="M1504" s="14">
        <f>SUM(L1504)</f>
        <v>0</v>
      </c>
    </row>
    <row r="1505" spans="1:14" x14ac:dyDescent="0.15">
      <c r="B1505" s="71" t="s">
        <v>162</v>
      </c>
      <c r="C1505" s="15">
        <v>5</v>
      </c>
      <c r="D1505" s="14">
        <f t="shared" si="153"/>
        <v>5</v>
      </c>
      <c r="E1505" s="74">
        <v>42460</v>
      </c>
      <c r="F1505" s="74"/>
      <c r="G1505" s="74"/>
      <c r="H1505" s="74"/>
      <c r="I1505" s="74"/>
      <c r="J1505" s="51"/>
      <c r="K1505" s="4"/>
      <c r="L1505" s="15"/>
      <c r="M1505" s="14">
        <f>SUM(L1505:L1505)</f>
        <v>0</v>
      </c>
    </row>
    <row r="1506" spans="1:14" x14ac:dyDescent="0.15">
      <c r="B1506" s="71" t="s">
        <v>162</v>
      </c>
      <c r="C1506" s="15">
        <v>10</v>
      </c>
      <c r="D1506" s="14">
        <f t="shared" si="153"/>
        <v>10</v>
      </c>
      <c r="E1506" s="48">
        <v>42461</v>
      </c>
      <c r="F1506" s="48"/>
      <c r="G1506" s="48"/>
      <c r="H1506" s="48"/>
      <c r="I1506" s="48"/>
      <c r="J1506" s="51"/>
      <c r="K1506" s="4"/>
      <c r="L1506" s="15"/>
      <c r="M1506" s="14">
        <f>SUM(L1506)</f>
        <v>0</v>
      </c>
    </row>
    <row r="1507" spans="1:14" x14ac:dyDescent="0.15">
      <c r="B1507" s="71" t="s">
        <v>162</v>
      </c>
      <c r="C1507" s="15">
        <v>8</v>
      </c>
      <c r="D1507" s="14">
        <f t="shared" si="153"/>
        <v>8</v>
      </c>
      <c r="E1507" s="48">
        <v>42462</v>
      </c>
      <c r="F1507" s="48"/>
      <c r="G1507" s="48"/>
      <c r="H1507" s="48"/>
      <c r="I1507" s="48"/>
      <c r="J1507" s="51"/>
      <c r="K1507" s="4"/>
      <c r="L1507" s="15"/>
      <c r="M1507" s="14">
        <f>SUM(L1507:L1507)</f>
        <v>0</v>
      </c>
    </row>
    <row r="1508" spans="1:14" x14ac:dyDescent="0.15">
      <c r="B1508" s="71" t="s">
        <v>301</v>
      </c>
      <c r="C1508" s="15">
        <v>21</v>
      </c>
      <c r="D1508" s="14">
        <f t="shared" si="153"/>
        <v>21</v>
      </c>
      <c r="E1508" s="48">
        <v>42464</v>
      </c>
      <c r="F1508" s="48"/>
      <c r="G1508" s="48"/>
      <c r="H1508" s="48"/>
      <c r="I1508" s="48"/>
      <c r="J1508" s="36"/>
      <c r="K1508" s="4"/>
      <c r="L1508" s="15"/>
      <c r="M1508" s="14">
        <f>SUM(L1508)</f>
        <v>0</v>
      </c>
      <c r="N1508" s="75"/>
    </row>
    <row r="1509" spans="1:14" x14ac:dyDescent="0.15">
      <c r="B1509" s="71" t="s">
        <v>300</v>
      </c>
      <c r="C1509" s="15">
        <v>4</v>
      </c>
      <c r="D1509" s="14">
        <f t="shared" si="153"/>
        <v>4</v>
      </c>
      <c r="E1509" s="74">
        <v>42468</v>
      </c>
      <c r="F1509" s="74"/>
      <c r="G1509" s="74"/>
      <c r="H1509" s="74"/>
      <c r="I1509" s="74"/>
      <c r="J1509" s="36"/>
      <c r="K1509" s="4"/>
      <c r="L1509" s="15"/>
      <c r="M1509" s="14">
        <f>SUM(L1509)</f>
        <v>0</v>
      </c>
      <c r="N1509" s="75"/>
    </row>
    <row r="1510" spans="1:14" x14ac:dyDescent="0.15">
      <c r="B1510" s="71" t="s">
        <v>136</v>
      </c>
      <c r="C1510" s="15">
        <v>20</v>
      </c>
      <c r="D1510" s="14">
        <f t="shared" si="153"/>
        <v>20</v>
      </c>
      <c r="E1510" s="74">
        <v>42471</v>
      </c>
      <c r="F1510" s="74"/>
      <c r="G1510" s="74"/>
      <c r="H1510" s="74"/>
      <c r="I1510" s="74"/>
      <c r="J1510" s="36"/>
      <c r="K1510" s="4"/>
      <c r="L1510" s="15"/>
      <c r="M1510" s="14">
        <f>SUM(L1510)</f>
        <v>0</v>
      </c>
      <c r="N1510" s="74"/>
    </row>
    <row r="1511" spans="1:14" x14ac:dyDescent="0.15">
      <c r="B1511" s="71" t="s">
        <v>162</v>
      </c>
      <c r="C1511" s="15">
        <v>12</v>
      </c>
      <c r="D1511" s="14">
        <f t="shared" si="153"/>
        <v>12</v>
      </c>
      <c r="E1511" s="48">
        <v>42465</v>
      </c>
      <c r="F1511" s="48"/>
      <c r="G1511" s="48"/>
      <c r="H1511" s="48"/>
      <c r="I1511" s="48"/>
      <c r="J1511" s="36"/>
      <c r="K1511" s="4"/>
      <c r="L1511" s="15"/>
      <c r="M1511" s="14">
        <f>SUM(L1511:L1511)</f>
        <v>0</v>
      </c>
      <c r="N1511" s="74"/>
    </row>
    <row r="1512" spans="1:14" x14ac:dyDescent="0.15">
      <c r="B1512" s="71" t="s">
        <v>162</v>
      </c>
      <c r="C1512" s="15">
        <v>16</v>
      </c>
      <c r="D1512" s="14">
        <f t="shared" si="153"/>
        <v>16</v>
      </c>
      <c r="E1512" s="48">
        <v>42466</v>
      </c>
      <c r="F1512" s="48"/>
      <c r="G1512" s="48"/>
      <c r="H1512" s="48"/>
      <c r="I1512" s="48"/>
      <c r="J1512" s="36"/>
      <c r="K1512" s="4"/>
      <c r="L1512" s="15"/>
      <c r="M1512" s="14">
        <f>SUM(L1512)</f>
        <v>0</v>
      </c>
      <c r="N1512" s="74"/>
    </row>
    <row r="1513" spans="1:14" x14ac:dyDescent="0.15">
      <c r="B1513" s="71" t="s">
        <v>304</v>
      </c>
      <c r="C1513" s="15">
        <v>8</v>
      </c>
      <c r="D1513" s="14">
        <f>SUM(C1513)</f>
        <v>8</v>
      </c>
      <c r="E1513" s="48">
        <v>42467</v>
      </c>
      <c r="F1513" s="48"/>
      <c r="G1513" s="48"/>
      <c r="H1513" s="48"/>
      <c r="I1513" s="48"/>
      <c r="J1513" s="36"/>
      <c r="K1513" s="4"/>
      <c r="L1513" s="15"/>
      <c r="M1513" s="14">
        <f>SUM(L1513)</f>
        <v>0</v>
      </c>
      <c r="N1513" s="75"/>
    </row>
    <row r="1514" spans="1:14" ht="14.25" thickBot="1" x14ac:dyDescent="0.2">
      <c r="B1514" s="71" t="s">
        <v>303</v>
      </c>
      <c r="C1514" s="15">
        <v>40</v>
      </c>
      <c r="D1514" s="14">
        <f>SUM(C1514)</f>
        <v>40</v>
      </c>
      <c r="E1514" s="74">
        <v>42472</v>
      </c>
      <c r="F1514" s="74"/>
      <c r="G1514" s="74"/>
      <c r="H1514" s="74"/>
      <c r="I1514" s="74"/>
      <c r="J1514" s="36"/>
      <c r="K1514" s="4"/>
      <c r="L1514" s="15"/>
      <c r="M1514" s="14">
        <f>SUM(L1514:L1514)</f>
        <v>0</v>
      </c>
      <c r="N1514" s="75"/>
    </row>
    <row r="1515" spans="1:14" ht="14.25" thickBot="1" x14ac:dyDescent="0.2">
      <c r="B1515" s="3" t="s">
        <v>5</v>
      </c>
      <c r="C1515" s="16">
        <f>SUM(C1491:C1514)</f>
        <v>284</v>
      </c>
      <c r="D1515" s="17">
        <f>SUM(D1491:D1514)</f>
        <v>284</v>
      </c>
      <c r="K1515" s="3" t="s">
        <v>5</v>
      </c>
      <c r="L1515" s="16">
        <f>SUM(L1491:L1514)</f>
        <v>410</v>
      </c>
      <c r="M1515" s="17">
        <f>SUM(M1491:M1514)</f>
        <v>410</v>
      </c>
    </row>
    <row r="1516" spans="1:14" ht="14.25" thickBot="1" x14ac:dyDescent="0.2">
      <c r="B1516" s="18" t="s">
        <v>6</v>
      </c>
      <c r="C1516" s="19">
        <f>C1490-C1515</f>
        <v>88</v>
      </c>
      <c r="D1516" s="13">
        <f>D1490-D1515</f>
        <v>88</v>
      </c>
      <c r="K1516" s="18" t="s">
        <v>6</v>
      </c>
      <c r="L1516" s="19">
        <f>L1490-L1515</f>
        <v>90</v>
      </c>
      <c r="M1516" s="13">
        <f>M1490-M1515</f>
        <v>90</v>
      </c>
    </row>
    <row r="1518" spans="1:14" ht="18" thickBot="1" x14ac:dyDescent="0.25">
      <c r="A1518" s="27" t="s">
        <v>8</v>
      </c>
      <c r="B1518" s="28"/>
      <c r="C1518" s="28"/>
      <c r="D1518" s="28"/>
      <c r="J1518" s="139" t="s">
        <v>218</v>
      </c>
      <c r="K1518" s="140"/>
      <c r="L1518" s="140"/>
      <c r="M1518" s="140"/>
    </row>
    <row r="1519" spans="1:14" ht="14.25" thickBot="1" x14ac:dyDescent="0.2">
      <c r="B1519" s="2"/>
      <c r="C1519" s="3" t="s">
        <v>0</v>
      </c>
      <c r="D1519" s="2" t="s">
        <v>1</v>
      </c>
      <c r="K1519" s="2"/>
      <c r="L1519" s="3" t="s">
        <v>0</v>
      </c>
      <c r="M1519" s="2" t="s">
        <v>1</v>
      </c>
    </row>
    <row r="1520" spans="1:14" x14ac:dyDescent="0.15">
      <c r="B1520" s="43" t="s">
        <v>26</v>
      </c>
      <c r="C1520" s="38">
        <f>C1516</f>
        <v>88</v>
      </c>
      <c r="D1520" s="39">
        <f t="shared" ref="D1520:D1530" si="154">SUM(C1520:C1520)</f>
        <v>88</v>
      </c>
      <c r="K1520" s="43" t="s">
        <v>26</v>
      </c>
      <c r="L1520" s="38">
        <f>L1516</f>
        <v>90</v>
      </c>
      <c r="M1520" s="39">
        <f t="shared" ref="M1520:M1530" si="155">SUM(L1520:L1520)</f>
        <v>90</v>
      </c>
    </row>
    <row r="1521" spans="2:14" x14ac:dyDescent="0.15">
      <c r="B1521" s="6" t="s">
        <v>3</v>
      </c>
      <c r="C1521" s="7">
        <v>100</v>
      </c>
      <c r="D1521" s="5">
        <f t="shared" si="154"/>
        <v>100</v>
      </c>
      <c r="E1521" s="74">
        <v>42474</v>
      </c>
      <c r="F1521" s="74"/>
      <c r="G1521" s="74"/>
      <c r="H1521" s="74"/>
      <c r="I1521" s="74"/>
      <c r="K1521" s="6" t="s">
        <v>3</v>
      </c>
      <c r="L1521" s="7"/>
      <c r="M1521" s="5">
        <f t="shared" si="155"/>
        <v>0</v>
      </c>
    </row>
    <row r="1522" spans="2:14" x14ac:dyDescent="0.15">
      <c r="B1522" s="6" t="s">
        <v>3</v>
      </c>
      <c r="C1522" s="7">
        <v>100</v>
      </c>
      <c r="D1522" s="5">
        <f t="shared" si="154"/>
        <v>100</v>
      </c>
      <c r="E1522" s="74">
        <v>42479</v>
      </c>
      <c r="F1522" s="74"/>
      <c r="G1522" s="74"/>
      <c r="H1522" s="74"/>
      <c r="I1522" s="74"/>
      <c r="K1522" s="6" t="s">
        <v>3</v>
      </c>
      <c r="L1522" s="7">
        <v>6000</v>
      </c>
      <c r="M1522" s="5">
        <f t="shared" si="155"/>
        <v>6000</v>
      </c>
      <c r="N1522" s="74">
        <v>42472</v>
      </c>
    </row>
    <row r="1523" spans="2:14" x14ac:dyDescent="0.15">
      <c r="B1523" s="6" t="s">
        <v>3</v>
      </c>
      <c r="C1523" s="7">
        <v>200</v>
      </c>
      <c r="D1523" s="5">
        <f t="shared" si="154"/>
        <v>200</v>
      </c>
      <c r="E1523" s="74">
        <v>42481</v>
      </c>
      <c r="F1523" s="74"/>
      <c r="G1523" s="74"/>
      <c r="H1523" s="74"/>
      <c r="I1523" s="74"/>
      <c r="K1523" s="6" t="s">
        <v>3</v>
      </c>
      <c r="L1523" s="7"/>
      <c r="M1523" s="5">
        <f t="shared" si="155"/>
        <v>0</v>
      </c>
      <c r="N1523" s="74"/>
    </row>
    <row r="1524" spans="2:14" x14ac:dyDescent="0.15">
      <c r="B1524" s="6" t="s">
        <v>3</v>
      </c>
      <c r="C1524" s="7">
        <v>200</v>
      </c>
      <c r="D1524" s="5">
        <f t="shared" si="154"/>
        <v>200</v>
      </c>
      <c r="E1524" s="74">
        <v>42490</v>
      </c>
      <c r="F1524" s="74"/>
      <c r="G1524" s="74"/>
      <c r="H1524" s="74"/>
      <c r="I1524" s="74"/>
      <c r="K1524" s="6" t="s">
        <v>3</v>
      </c>
      <c r="L1524" s="7"/>
      <c r="M1524" s="5">
        <f t="shared" si="155"/>
        <v>0</v>
      </c>
      <c r="N1524" s="74"/>
    </row>
    <row r="1525" spans="2:14" x14ac:dyDescent="0.15">
      <c r="B1525" s="6" t="s">
        <v>3</v>
      </c>
      <c r="C1525" s="7"/>
      <c r="D1525" s="5">
        <f t="shared" si="154"/>
        <v>0</v>
      </c>
      <c r="K1525" s="6" t="s">
        <v>3</v>
      </c>
      <c r="L1525" s="7"/>
      <c r="M1525" s="5">
        <f t="shared" si="155"/>
        <v>0</v>
      </c>
      <c r="N1525" s="75"/>
    </row>
    <row r="1526" spans="2:14" x14ac:dyDescent="0.15">
      <c r="B1526" s="6" t="s">
        <v>3</v>
      </c>
      <c r="C1526" s="7"/>
      <c r="D1526" s="5">
        <f t="shared" si="154"/>
        <v>0</v>
      </c>
      <c r="K1526" s="6" t="s">
        <v>3</v>
      </c>
      <c r="L1526" s="7"/>
      <c r="M1526" s="5">
        <f t="shared" si="155"/>
        <v>0</v>
      </c>
    </row>
    <row r="1527" spans="2:14" x14ac:dyDescent="0.15">
      <c r="B1527" s="6" t="s">
        <v>3</v>
      </c>
      <c r="C1527" s="54">
        <v>200</v>
      </c>
      <c r="D1527" s="5">
        <f t="shared" si="154"/>
        <v>200</v>
      </c>
      <c r="E1527" s="74">
        <v>42499</v>
      </c>
      <c r="F1527" s="74"/>
      <c r="G1527" s="74"/>
      <c r="H1527" s="74"/>
      <c r="I1527" s="74"/>
      <c r="K1527" s="6" t="s">
        <v>3</v>
      </c>
      <c r="L1527" s="7"/>
      <c r="M1527" s="5">
        <f t="shared" si="155"/>
        <v>0</v>
      </c>
    </row>
    <row r="1528" spans="2:14" x14ac:dyDescent="0.15">
      <c r="B1528" s="6" t="s">
        <v>3</v>
      </c>
      <c r="C1528" s="54"/>
      <c r="D1528" s="5">
        <f t="shared" si="154"/>
        <v>0</v>
      </c>
      <c r="K1528" s="6" t="s">
        <v>3</v>
      </c>
      <c r="L1528" s="7"/>
      <c r="M1528" s="5">
        <f t="shared" si="155"/>
        <v>0</v>
      </c>
    </row>
    <row r="1529" spans="2:14" x14ac:dyDescent="0.15">
      <c r="B1529" s="6" t="s">
        <v>3</v>
      </c>
      <c r="C1529" s="54"/>
      <c r="D1529" s="5">
        <f t="shared" si="154"/>
        <v>0</v>
      </c>
      <c r="K1529" s="6" t="s">
        <v>3</v>
      </c>
      <c r="L1529" s="7"/>
      <c r="M1529" s="5">
        <f t="shared" si="155"/>
        <v>0</v>
      </c>
    </row>
    <row r="1530" spans="2:14" ht="14.25" thickBot="1" x14ac:dyDescent="0.2">
      <c r="B1530" s="9" t="s">
        <v>3</v>
      </c>
      <c r="C1530" s="101"/>
      <c r="D1530" s="5">
        <f t="shared" si="154"/>
        <v>0</v>
      </c>
      <c r="K1530" s="9" t="s">
        <v>3</v>
      </c>
      <c r="L1530" s="10"/>
      <c r="M1530" s="5">
        <f t="shared" si="155"/>
        <v>0</v>
      </c>
    </row>
    <row r="1531" spans="2:14" ht="14.25" thickBot="1" x14ac:dyDescent="0.2">
      <c r="B1531" s="11" t="s">
        <v>4</v>
      </c>
      <c r="C1531" s="12">
        <f>SUM(C1520:C1530)</f>
        <v>888</v>
      </c>
      <c r="D1531" s="13">
        <f>SUM(D1520:D1530)</f>
        <v>888</v>
      </c>
      <c r="K1531" s="11" t="s">
        <v>4</v>
      </c>
      <c r="L1531" s="12">
        <f>SUM(L1520:L1530)</f>
        <v>6090</v>
      </c>
      <c r="M1531" s="13">
        <f>SUM(M1520:M1530)</f>
        <v>6090</v>
      </c>
    </row>
    <row r="1532" spans="2:14" x14ac:dyDescent="0.15">
      <c r="B1532" s="71" t="s">
        <v>162</v>
      </c>
      <c r="C1532" s="15">
        <v>8</v>
      </c>
      <c r="D1532" s="14">
        <f>C1532</f>
        <v>8</v>
      </c>
      <c r="E1532" s="48">
        <v>42468</v>
      </c>
      <c r="F1532" s="48"/>
      <c r="G1532" s="48"/>
      <c r="H1532" s="48"/>
      <c r="I1532" s="48"/>
      <c r="K1532" s="4" t="s">
        <v>9</v>
      </c>
      <c r="L1532" s="15">
        <v>100</v>
      </c>
      <c r="M1532" s="14">
        <f>SUM(L1532:L1532)</f>
        <v>100</v>
      </c>
      <c r="N1532" s="74">
        <v>42474</v>
      </c>
    </row>
    <row r="1533" spans="2:14" x14ac:dyDescent="0.15">
      <c r="B1533" s="71" t="s">
        <v>162</v>
      </c>
      <c r="C1533" s="15">
        <v>28</v>
      </c>
      <c r="D1533" s="14">
        <f>SUM(C1533)</f>
        <v>28</v>
      </c>
      <c r="E1533" s="48">
        <v>42471</v>
      </c>
      <c r="F1533" s="48"/>
      <c r="G1533" s="48"/>
      <c r="H1533" s="48"/>
      <c r="I1533" s="48"/>
      <c r="J1533" s="51"/>
      <c r="K1533" s="4" t="s">
        <v>9</v>
      </c>
      <c r="L1533" s="15">
        <v>100</v>
      </c>
      <c r="M1533" s="14">
        <f t="shared" ref="M1533:M1542" si="156">SUM(L1533:L1533)</f>
        <v>100</v>
      </c>
      <c r="N1533" s="74">
        <v>42479</v>
      </c>
    </row>
    <row r="1534" spans="2:14" x14ac:dyDescent="0.15">
      <c r="B1534" s="71" t="s">
        <v>305</v>
      </c>
      <c r="C1534" s="15">
        <v>10</v>
      </c>
      <c r="D1534" s="14">
        <f>SUM(C1534)</f>
        <v>10</v>
      </c>
      <c r="E1534" s="48">
        <v>42472</v>
      </c>
      <c r="F1534" s="48"/>
      <c r="G1534" s="48"/>
      <c r="H1534" s="48"/>
      <c r="I1534" s="48"/>
      <c r="J1534" s="51"/>
      <c r="K1534" s="4" t="s">
        <v>9</v>
      </c>
      <c r="L1534" s="15">
        <v>200</v>
      </c>
      <c r="M1534" s="14">
        <f t="shared" si="156"/>
        <v>200</v>
      </c>
      <c r="N1534" s="74">
        <v>42481</v>
      </c>
    </row>
    <row r="1535" spans="2:14" x14ac:dyDescent="0.15">
      <c r="B1535" s="71" t="s">
        <v>90</v>
      </c>
      <c r="C1535" s="15">
        <v>40</v>
      </c>
      <c r="D1535" s="14">
        <f>SUM(C1535)</f>
        <v>40</v>
      </c>
      <c r="E1535" s="74">
        <v>42478</v>
      </c>
      <c r="F1535" s="74"/>
      <c r="G1535" s="74"/>
      <c r="H1535" s="74"/>
      <c r="I1535" s="74"/>
      <c r="J1535" s="51"/>
      <c r="K1535" s="4" t="s">
        <v>297</v>
      </c>
      <c r="L1535" s="15">
        <v>100</v>
      </c>
      <c r="M1535" s="14">
        <f t="shared" si="156"/>
        <v>100</v>
      </c>
      <c r="N1535" s="74">
        <v>42482</v>
      </c>
    </row>
    <row r="1536" spans="2:14" x14ac:dyDescent="0.15">
      <c r="B1536" s="71" t="s">
        <v>162</v>
      </c>
      <c r="C1536" s="15">
        <v>12</v>
      </c>
      <c r="D1536" s="14">
        <f>SUM(C1536)</f>
        <v>12</v>
      </c>
      <c r="E1536" s="48">
        <v>42473</v>
      </c>
      <c r="F1536" s="48"/>
      <c r="G1536" s="48"/>
      <c r="H1536" s="48"/>
      <c r="I1536" s="48"/>
      <c r="J1536" s="51"/>
      <c r="K1536" s="4" t="s">
        <v>309</v>
      </c>
      <c r="L1536" s="15">
        <v>100</v>
      </c>
      <c r="M1536" s="14">
        <f t="shared" si="156"/>
        <v>100</v>
      </c>
      <c r="N1536" s="74">
        <v>42488</v>
      </c>
    </row>
    <row r="1537" spans="2:15" x14ac:dyDescent="0.15">
      <c r="B1537" s="71" t="s">
        <v>162</v>
      </c>
      <c r="C1537" s="15">
        <v>6</v>
      </c>
      <c r="D1537" s="14">
        <f>SUM(C1537)</f>
        <v>6</v>
      </c>
      <c r="E1537" s="48">
        <v>42474</v>
      </c>
      <c r="F1537" s="48"/>
      <c r="G1537" s="48"/>
      <c r="H1537" s="48"/>
      <c r="I1537" s="48"/>
      <c r="J1537" s="51"/>
      <c r="K1537" s="4" t="s">
        <v>9</v>
      </c>
      <c r="L1537" s="15">
        <v>200</v>
      </c>
      <c r="M1537" s="14">
        <f t="shared" si="156"/>
        <v>200</v>
      </c>
      <c r="N1537" s="74">
        <v>42490</v>
      </c>
    </row>
    <row r="1538" spans="2:15" x14ac:dyDescent="0.15">
      <c r="B1538" s="71" t="s">
        <v>162</v>
      </c>
      <c r="C1538" s="15">
        <v>10</v>
      </c>
      <c r="D1538" s="14">
        <f t="shared" ref="D1538:D1553" si="157">SUM(C1538)</f>
        <v>10</v>
      </c>
      <c r="E1538" s="48">
        <v>42475</v>
      </c>
      <c r="F1538" s="48"/>
      <c r="G1538" s="48"/>
      <c r="H1538" s="48"/>
      <c r="I1538" s="48"/>
      <c r="J1538" s="51"/>
      <c r="K1538" s="4" t="s">
        <v>9</v>
      </c>
      <c r="L1538" s="15">
        <v>200</v>
      </c>
      <c r="M1538" s="14">
        <f t="shared" si="156"/>
        <v>200</v>
      </c>
      <c r="N1538" s="74">
        <v>42499</v>
      </c>
      <c r="O1538" s="100"/>
    </row>
    <row r="1539" spans="2:15" x14ac:dyDescent="0.15">
      <c r="B1539" s="71" t="s">
        <v>162</v>
      </c>
      <c r="C1539" s="15">
        <v>6</v>
      </c>
      <c r="D1539" s="14">
        <f t="shared" si="157"/>
        <v>6</v>
      </c>
      <c r="E1539" s="48">
        <v>42476</v>
      </c>
      <c r="F1539" s="48"/>
      <c r="G1539" s="48"/>
      <c r="H1539" s="48"/>
      <c r="I1539" s="48"/>
      <c r="J1539" s="51"/>
      <c r="K1539" s="6"/>
      <c r="L1539" s="15"/>
      <c r="M1539" s="14">
        <f t="shared" si="156"/>
        <v>0</v>
      </c>
    </row>
    <row r="1540" spans="2:15" x14ac:dyDescent="0.15">
      <c r="B1540" s="71" t="s">
        <v>162</v>
      </c>
      <c r="C1540" s="15">
        <v>30</v>
      </c>
      <c r="D1540" s="14">
        <f t="shared" si="157"/>
        <v>30</v>
      </c>
      <c r="E1540" s="48">
        <v>42478</v>
      </c>
      <c r="F1540" s="48"/>
      <c r="G1540" s="48"/>
      <c r="H1540" s="48"/>
      <c r="I1540" s="48"/>
      <c r="J1540" s="51"/>
      <c r="K1540" s="4"/>
      <c r="L1540" s="15"/>
      <c r="M1540" s="14">
        <f t="shared" si="156"/>
        <v>0</v>
      </c>
    </row>
    <row r="1541" spans="2:15" x14ac:dyDescent="0.15">
      <c r="B1541" s="71" t="s">
        <v>162</v>
      </c>
      <c r="C1541" s="15">
        <v>4</v>
      </c>
      <c r="D1541" s="14">
        <f t="shared" si="157"/>
        <v>4</v>
      </c>
      <c r="E1541" s="48">
        <v>42478</v>
      </c>
      <c r="F1541" s="48"/>
      <c r="G1541" s="48"/>
      <c r="H1541" s="48"/>
      <c r="I1541" s="48"/>
      <c r="J1541" s="51"/>
      <c r="K1541" s="4"/>
      <c r="L1541" s="15"/>
      <c r="M1541" s="14">
        <f t="shared" si="156"/>
        <v>0</v>
      </c>
    </row>
    <row r="1542" spans="2:15" x14ac:dyDescent="0.15">
      <c r="B1542" s="71" t="s">
        <v>307</v>
      </c>
      <c r="C1542" s="15">
        <v>10</v>
      </c>
      <c r="D1542" s="14">
        <f t="shared" si="157"/>
        <v>10</v>
      </c>
      <c r="E1542" s="74">
        <v>42479</v>
      </c>
      <c r="F1542" s="74"/>
      <c r="G1542" s="74"/>
      <c r="H1542" s="74"/>
      <c r="I1542" s="74"/>
      <c r="J1542" s="51"/>
      <c r="K1542" s="4"/>
      <c r="L1542" s="15"/>
      <c r="M1542" s="14">
        <f t="shared" si="156"/>
        <v>0</v>
      </c>
    </row>
    <row r="1543" spans="2:15" x14ac:dyDescent="0.15">
      <c r="B1543" s="71" t="s">
        <v>306</v>
      </c>
      <c r="C1543" s="15">
        <v>120</v>
      </c>
      <c r="D1543" s="14">
        <f t="shared" si="157"/>
        <v>120</v>
      </c>
      <c r="E1543" s="74">
        <v>42485</v>
      </c>
      <c r="F1543" s="74"/>
      <c r="G1543" s="74"/>
      <c r="H1543" s="74"/>
      <c r="I1543" s="74"/>
      <c r="J1543" s="51"/>
      <c r="K1543" s="4"/>
      <c r="L1543" s="15"/>
      <c r="M1543" s="14">
        <f>SUM(L1543:L1543)</f>
        <v>0</v>
      </c>
    </row>
    <row r="1544" spans="2:15" x14ac:dyDescent="0.15">
      <c r="B1544" s="71" t="s">
        <v>162</v>
      </c>
      <c r="C1544" s="15">
        <v>14</v>
      </c>
      <c r="D1544" s="14">
        <f t="shared" si="157"/>
        <v>14</v>
      </c>
      <c r="E1544" s="48">
        <v>42480</v>
      </c>
      <c r="F1544" s="48"/>
      <c r="G1544" s="48"/>
      <c r="H1544" s="48"/>
      <c r="I1544" s="48"/>
      <c r="J1544" s="51"/>
      <c r="K1544" s="6"/>
      <c r="L1544" s="15"/>
      <c r="M1544" s="14">
        <f>SUM(L1544)</f>
        <v>0</v>
      </c>
    </row>
    <row r="1545" spans="2:15" x14ac:dyDescent="0.15">
      <c r="B1545" s="71" t="s">
        <v>162</v>
      </c>
      <c r="C1545" s="15">
        <v>14</v>
      </c>
      <c r="D1545" s="14">
        <f t="shared" si="157"/>
        <v>14</v>
      </c>
      <c r="E1545" s="48">
        <v>42481</v>
      </c>
      <c r="F1545" s="48"/>
      <c r="G1545" s="48"/>
      <c r="H1545" s="48"/>
      <c r="I1545" s="48"/>
      <c r="J1545" s="51"/>
      <c r="K1545" s="6"/>
      <c r="L1545" s="15"/>
      <c r="M1545" s="14">
        <f>SUM(L1545)</f>
        <v>0</v>
      </c>
    </row>
    <row r="1546" spans="2:15" x14ac:dyDescent="0.15">
      <c r="B1546" s="71" t="s">
        <v>162</v>
      </c>
      <c r="C1546" s="15">
        <v>16</v>
      </c>
      <c r="D1546" s="14">
        <f t="shared" si="157"/>
        <v>16</v>
      </c>
      <c r="E1546" s="48">
        <v>42482</v>
      </c>
      <c r="F1546" s="48"/>
      <c r="G1546" s="48"/>
      <c r="H1546" s="48"/>
      <c r="I1546" s="48"/>
      <c r="J1546" s="51"/>
      <c r="K1546" s="4"/>
      <c r="L1546" s="15"/>
      <c r="M1546" s="14">
        <f>SUM(L1546:L1546)</f>
        <v>0</v>
      </c>
    </row>
    <row r="1547" spans="2:15" x14ac:dyDescent="0.15">
      <c r="B1547" s="71" t="s">
        <v>162</v>
      </c>
      <c r="C1547" s="15">
        <v>12</v>
      </c>
      <c r="D1547" s="14">
        <f t="shared" si="157"/>
        <v>12</v>
      </c>
      <c r="E1547" s="48">
        <v>42483</v>
      </c>
      <c r="F1547" s="48"/>
      <c r="G1547" s="48"/>
      <c r="H1547" s="48"/>
      <c r="I1547" s="48"/>
      <c r="J1547" s="51"/>
      <c r="K1547" s="4"/>
      <c r="L1547" s="15"/>
      <c r="M1547" s="14">
        <f>SUM(L1547)</f>
        <v>0</v>
      </c>
    </row>
    <row r="1548" spans="2:15" x14ac:dyDescent="0.15">
      <c r="B1548" s="71" t="s">
        <v>308</v>
      </c>
      <c r="C1548" s="15">
        <v>36</v>
      </c>
      <c r="D1548" s="14">
        <f t="shared" si="157"/>
        <v>36</v>
      </c>
      <c r="E1548" s="48">
        <v>42485</v>
      </c>
      <c r="F1548" s="48"/>
      <c r="G1548" s="48"/>
      <c r="H1548" s="48"/>
      <c r="I1548" s="48"/>
      <c r="J1548" s="51"/>
      <c r="K1548" s="4"/>
      <c r="L1548" s="15"/>
      <c r="M1548" s="14">
        <f>SUM(L1548:L1548)</f>
        <v>0</v>
      </c>
    </row>
    <row r="1549" spans="2:15" x14ac:dyDescent="0.15">
      <c r="B1549" s="71" t="s">
        <v>90</v>
      </c>
      <c r="C1549" s="15">
        <v>20</v>
      </c>
      <c r="D1549" s="14">
        <f t="shared" si="157"/>
        <v>20</v>
      </c>
      <c r="E1549" s="74">
        <v>42500</v>
      </c>
      <c r="F1549" s="74"/>
      <c r="G1549" s="74"/>
      <c r="H1549" s="74"/>
      <c r="I1549" s="74"/>
      <c r="J1549" s="51"/>
      <c r="K1549" s="4"/>
      <c r="L1549" s="15"/>
      <c r="M1549" s="14">
        <f t="shared" ref="M1549:M1554" si="158">SUM(L1549)</f>
        <v>0</v>
      </c>
      <c r="N1549" s="75"/>
    </row>
    <row r="1550" spans="2:15" x14ac:dyDescent="0.15">
      <c r="B1550" s="71" t="s">
        <v>162</v>
      </c>
      <c r="C1550" s="15">
        <v>22</v>
      </c>
      <c r="D1550" s="14">
        <f t="shared" si="157"/>
        <v>22</v>
      </c>
      <c r="E1550" s="48">
        <v>42486</v>
      </c>
      <c r="F1550" s="48"/>
      <c r="G1550" s="48"/>
      <c r="H1550" s="48"/>
      <c r="I1550" s="48"/>
      <c r="J1550" s="51"/>
      <c r="K1550" s="4"/>
      <c r="L1550" s="15"/>
      <c r="M1550" s="14">
        <f t="shared" si="158"/>
        <v>0</v>
      </c>
      <c r="N1550" s="75"/>
    </row>
    <row r="1551" spans="2:15" x14ac:dyDescent="0.15">
      <c r="B1551" s="71" t="s">
        <v>162</v>
      </c>
      <c r="C1551" s="15">
        <v>26</v>
      </c>
      <c r="D1551" s="14">
        <f t="shared" si="157"/>
        <v>26</v>
      </c>
      <c r="E1551" s="48">
        <v>42487</v>
      </c>
      <c r="F1551" s="48"/>
      <c r="G1551" s="48"/>
      <c r="H1551" s="48"/>
      <c r="I1551" s="48"/>
      <c r="J1551" s="51"/>
      <c r="K1551" s="4"/>
      <c r="L1551" s="15"/>
      <c r="M1551" s="14">
        <f t="shared" si="158"/>
        <v>0</v>
      </c>
      <c r="N1551" s="75"/>
    </row>
    <row r="1552" spans="2:15" x14ac:dyDescent="0.15">
      <c r="B1552" s="71" t="s">
        <v>162</v>
      </c>
      <c r="C1552" s="15">
        <v>15</v>
      </c>
      <c r="D1552" s="14">
        <f t="shared" si="157"/>
        <v>15</v>
      </c>
      <c r="E1552" s="48">
        <v>42488</v>
      </c>
      <c r="F1552" s="48"/>
      <c r="G1552" s="48"/>
      <c r="H1552" s="48"/>
      <c r="I1552" s="48"/>
      <c r="J1552" s="51"/>
      <c r="K1552" s="4"/>
      <c r="L1552" s="15"/>
      <c r="M1552" s="14">
        <f t="shared" si="158"/>
        <v>0</v>
      </c>
      <c r="N1552" s="75"/>
    </row>
    <row r="1553" spans="1:14" x14ac:dyDescent="0.15">
      <c r="B1553" s="71" t="s">
        <v>162</v>
      </c>
      <c r="C1553" s="15">
        <v>29</v>
      </c>
      <c r="D1553" s="14">
        <f t="shared" si="157"/>
        <v>29</v>
      </c>
      <c r="E1553" s="48">
        <v>42490</v>
      </c>
      <c r="F1553" s="48"/>
      <c r="G1553" s="48"/>
      <c r="H1553" s="48"/>
      <c r="I1553" s="48"/>
      <c r="J1553" s="51"/>
      <c r="K1553" s="4"/>
      <c r="L1553" s="15"/>
      <c r="M1553" s="14">
        <f t="shared" si="158"/>
        <v>0</v>
      </c>
      <c r="N1553" s="75"/>
    </row>
    <row r="1554" spans="1:14" x14ac:dyDescent="0.15">
      <c r="B1554" s="71" t="s">
        <v>162</v>
      </c>
      <c r="C1554" s="15">
        <v>34</v>
      </c>
      <c r="D1554" s="14">
        <f>SUM(C1554)</f>
        <v>34</v>
      </c>
      <c r="E1554" s="48">
        <v>42492</v>
      </c>
      <c r="F1554" s="48"/>
      <c r="G1554" s="48"/>
      <c r="H1554" s="48"/>
      <c r="I1554" s="48"/>
      <c r="J1554" s="51"/>
      <c r="K1554" s="4"/>
      <c r="L1554" s="15"/>
      <c r="M1554" s="14">
        <f t="shared" si="158"/>
        <v>0</v>
      </c>
      <c r="N1554" s="74"/>
    </row>
    <row r="1555" spans="1:14" ht="14.25" thickBot="1" x14ac:dyDescent="0.2">
      <c r="B1555" s="71" t="s">
        <v>312</v>
      </c>
      <c r="C1555" s="15">
        <v>36</v>
      </c>
      <c r="D1555" s="14">
        <f>SUM(C1555)</f>
        <v>36</v>
      </c>
      <c r="E1555" s="48">
        <v>42494</v>
      </c>
      <c r="F1555" s="48"/>
      <c r="G1555" s="48"/>
      <c r="H1555" s="48"/>
      <c r="I1555" s="48"/>
      <c r="J1555" s="51"/>
      <c r="K1555" s="4"/>
      <c r="L1555" s="15"/>
      <c r="M1555" s="14">
        <f>SUM(L1555:L1555)</f>
        <v>0</v>
      </c>
      <c r="N1555" s="75"/>
    </row>
    <row r="1556" spans="1:14" ht="14.25" thickBot="1" x14ac:dyDescent="0.2">
      <c r="B1556" s="3" t="s">
        <v>5</v>
      </c>
      <c r="C1556" s="16">
        <f>SUM(C1532:C1555)</f>
        <v>558</v>
      </c>
      <c r="D1556" s="17">
        <f>SUM(D1532:D1555)</f>
        <v>558</v>
      </c>
      <c r="K1556" s="3" t="s">
        <v>5</v>
      </c>
      <c r="L1556" s="16">
        <f>SUM(L1532:L1555)</f>
        <v>1000</v>
      </c>
      <c r="M1556" s="17">
        <f>SUM(M1532:M1555)</f>
        <v>1000</v>
      </c>
    </row>
    <row r="1557" spans="1:14" ht="14.25" thickBot="1" x14ac:dyDescent="0.2">
      <c r="B1557" s="18" t="s">
        <v>6</v>
      </c>
      <c r="C1557" s="19">
        <f>C1531-C1556</f>
        <v>330</v>
      </c>
      <c r="D1557" s="13">
        <f>D1531-D1556</f>
        <v>330</v>
      </c>
      <c r="K1557" s="18" t="s">
        <v>6</v>
      </c>
      <c r="L1557" s="19">
        <f>L1531-L1556</f>
        <v>5090</v>
      </c>
      <c r="M1557" s="13">
        <f>M1531-M1556</f>
        <v>5090</v>
      </c>
    </row>
    <row r="1559" spans="1:14" ht="18" thickBot="1" x14ac:dyDescent="0.25">
      <c r="A1559" s="27" t="s">
        <v>8</v>
      </c>
      <c r="B1559" s="28"/>
      <c r="C1559" s="28"/>
      <c r="D1559" s="28"/>
      <c r="J1559" s="139" t="s">
        <v>218</v>
      </c>
      <c r="K1559" s="140"/>
      <c r="L1559" s="140"/>
      <c r="M1559" s="140"/>
    </row>
    <row r="1560" spans="1:14" ht="14.25" thickBot="1" x14ac:dyDescent="0.2">
      <c r="B1560" s="2"/>
      <c r="C1560" s="3" t="s">
        <v>0</v>
      </c>
      <c r="D1560" s="2" t="s">
        <v>1</v>
      </c>
      <c r="K1560" s="2"/>
      <c r="L1560" s="3" t="s">
        <v>0</v>
      </c>
      <c r="M1560" s="2" t="s">
        <v>1</v>
      </c>
    </row>
    <row r="1561" spans="1:14" x14ac:dyDescent="0.15">
      <c r="B1561" s="43" t="s">
        <v>26</v>
      </c>
      <c r="C1561" s="38">
        <f>C1557</f>
        <v>330</v>
      </c>
      <c r="D1561" s="39">
        <f t="shared" ref="D1561:D1571" si="159">SUM(C1561:C1561)</f>
        <v>330</v>
      </c>
      <c r="K1561" s="43" t="s">
        <v>26</v>
      </c>
      <c r="L1561" s="38">
        <f>L1557</f>
        <v>5090</v>
      </c>
      <c r="M1561" s="39">
        <f t="shared" ref="M1561:M1571" si="160">SUM(L1561:L1561)</f>
        <v>5090</v>
      </c>
    </row>
    <row r="1562" spans="1:14" x14ac:dyDescent="0.15">
      <c r="B1562" s="6" t="s">
        <v>3</v>
      </c>
      <c r="C1562" s="7"/>
      <c r="D1562" s="5">
        <f t="shared" si="159"/>
        <v>0</v>
      </c>
      <c r="E1562" s="75"/>
      <c r="F1562" s="75"/>
      <c r="G1562" s="75"/>
      <c r="H1562" s="75"/>
      <c r="I1562" s="75"/>
      <c r="K1562" s="6" t="s">
        <v>3</v>
      </c>
      <c r="L1562" s="7"/>
      <c r="M1562" s="5">
        <f t="shared" si="160"/>
        <v>0</v>
      </c>
    </row>
    <row r="1563" spans="1:14" x14ac:dyDescent="0.15">
      <c r="B1563" s="4" t="s">
        <v>9</v>
      </c>
      <c r="C1563" s="163">
        <v>200</v>
      </c>
      <c r="D1563" s="14">
        <f>SUM(C1563:C1563)</f>
        <v>200</v>
      </c>
      <c r="E1563" s="74">
        <v>42500</v>
      </c>
      <c r="F1563" s="74"/>
      <c r="G1563" s="74"/>
      <c r="H1563" s="74"/>
      <c r="I1563" s="74"/>
      <c r="K1563" s="6" t="s">
        <v>3</v>
      </c>
      <c r="L1563" s="7"/>
      <c r="M1563" s="5">
        <f t="shared" si="160"/>
        <v>0</v>
      </c>
      <c r="N1563" s="74"/>
    </row>
    <row r="1564" spans="1:14" x14ac:dyDescent="0.15">
      <c r="B1564" s="6" t="s">
        <v>3</v>
      </c>
      <c r="C1564" s="7"/>
      <c r="D1564" s="5">
        <f t="shared" si="159"/>
        <v>0</v>
      </c>
      <c r="K1564" s="6" t="s">
        <v>3</v>
      </c>
      <c r="L1564" s="7"/>
      <c r="M1564" s="5">
        <f t="shared" si="160"/>
        <v>0</v>
      </c>
      <c r="N1564" s="74"/>
    </row>
    <row r="1565" spans="1:14" x14ac:dyDescent="0.15">
      <c r="B1565" s="6" t="s">
        <v>3</v>
      </c>
      <c r="C1565" s="7">
        <v>200</v>
      </c>
      <c r="D1565" s="5">
        <f t="shared" si="159"/>
        <v>200</v>
      </c>
      <c r="E1565" s="74">
        <v>42507</v>
      </c>
      <c r="F1565" s="74"/>
      <c r="G1565" s="74"/>
      <c r="H1565" s="74"/>
      <c r="I1565" s="74"/>
      <c r="K1565" s="6" t="s">
        <v>3</v>
      </c>
      <c r="L1565" s="7"/>
      <c r="M1565" s="5">
        <f t="shared" si="160"/>
        <v>0</v>
      </c>
      <c r="N1565" s="74"/>
    </row>
    <row r="1566" spans="1:14" x14ac:dyDescent="0.15">
      <c r="B1566" s="6" t="s">
        <v>71</v>
      </c>
      <c r="C1566" s="7">
        <v>1</v>
      </c>
      <c r="D1566" s="5">
        <f t="shared" si="159"/>
        <v>1</v>
      </c>
      <c r="E1566" s="48">
        <v>42511</v>
      </c>
      <c r="F1566" s="48"/>
      <c r="G1566" s="48"/>
      <c r="H1566" s="48"/>
      <c r="I1566" s="48"/>
      <c r="K1566" s="6" t="s">
        <v>3</v>
      </c>
      <c r="L1566" s="7"/>
      <c r="M1566" s="5">
        <f t="shared" si="160"/>
        <v>0</v>
      </c>
      <c r="N1566" s="75"/>
    </row>
    <row r="1567" spans="1:14" x14ac:dyDescent="0.15">
      <c r="B1567" s="6" t="s">
        <v>3</v>
      </c>
      <c r="C1567" s="7">
        <v>200</v>
      </c>
      <c r="D1567" s="5">
        <f t="shared" si="159"/>
        <v>200</v>
      </c>
      <c r="E1567" s="74">
        <v>42513</v>
      </c>
      <c r="F1567" s="74"/>
      <c r="G1567" s="74"/>
      <c r="H1567" s="74"/>
      <c r="I1567" s="74"/>
      <c r="J1567" s="75"/>
      <c r="K1567" s="6" t="s">
        <v>3</v>
      </c>
      <c r="L1567" s="7"/>
      <c r="M1567" s="5">
        <f t="shared" si="160"/>
        <v>0</v>
      </c>
    </row>
    <row r="1568" spans="1:14" x14ac:dyDescent="0.15">
      <c r="B1568" s="6" t="s">
        <v>3</v>
      </c>
      <c r="C1568" s="54">
        <v>200</v>
      </c>
      <c r="D1568" s="5">
        <f t="shared" si="159"/>
        <v>200</v>
      </c>
      <c r="E1568" s="74">
        <v>42515</v>
      </c>
      <c r="F1568" s="74"/>
      <c r="G1568" s="74"/>
      <c r="H1568" s="74"/>
      <c r="I1568" s="74"/>
      <c r="K1568" s="6" t="s">
        <v>3</v>
      </c>
      <c r="L1568" s="7"/>
      <c r="M1568" s="5">
        <f t="shared" si="160"/>
        <v>0</v>
      </c>
    </row>
    <row r="1569" spans="2:15" x14ac:dyDescent="0.15">
      <c r="B1569" s="6" t="s">
        <v>3</v>
      </c>
      <c r="C1569" s="54">
        <v>200</v>
      </c>
      <c r="D1569" s="5">
        <f t="shared" si="159"/>
        <v>200</v>
      </c>
      <c r="E1569" s="74">
        <v>42516</v>
      </c>
      <c r="F1569" s="74"/>
      <c r="G1569" s="74"/>
      <c r="H1569" s="74"/>
      <c r="I1569" s="74"/>
      <c r="K1569" s="6" t="s">
        <v>3</v>
      </c>
      <c r="L1569" s="7"/>
      <c r="M1569" s="5">
        <f t="shared" si="160"/>
        <v>0</v>
      </c>
    </row>
    <row r="1570" spans="2:15" x14ac:dyDescent="0.15">
      <c r="B1570" s="6" t="s">
        <v>3</v>
      </c>
      <c r="C1570" s="54"/>
      <c r="D1570" s="5">
        <f t="shared" si="159"/>
        <v>0</v>
      </c>
      <c r="K1570" s="6" t="s">
        <v>3</v>
      </c>
      <c r="L1570" s="7"/>
      <c r="M1570" s="5">
        <f t="shared" si="160"/>
        <v>0</v>
      </c>
    </row>
    <row r="1571" spans="2:15" ht="14.25" thickBot="1" x14ac:dyDescent="0.2">
      <c r="B1571" s="9" t="s">
        <v>3</v>
      </c>
      <c r="C1571" s="101"/>
      <c r="D1571" s="5">
        <f t="shared" si="159"/>
        <v>0</v>
      </c>
      <c r="K1571" s="9" t="s">
        <v>3</v>
      </c>
      <c r="L1571" s="10"/>
      <c r="M1571" s="5">
        <f t="shared" si="160"/>
        <v>0</v>
      </c>
    </row>
    <row r="1572" spans="2:15" ht="14.25" thickBot="1" x14ac:dyDescent="0.2">
      <c r="B1572" s="11" t="s">
        <v>4</v>
      </c>
      <c r="C1572" s="12">
        <f>SUM(C1561:C1571)</f>
        <v>1331</v>
      </c>
      <c r="D1572" s="13">
        <f>SUM(D1561:D1571)</f>
        <v>1331</v>
      </c>
      <c r="K1572" s="11" t="s">
        <v>4</v>
      </c>
      <c r="L1572" s="12">
        <f>SUM(L1561:L1571)</f>
        <v>5090</v>
      </c>
      <c r="M1572" s="13">
        <f>SUM(M1561:M1571)</f>
        <v>5090</v>
      </c>
    </row>
    <row r="1573" spans="2:15" x14ac:dyDescent="0.15">
      <c r="B1573" s="71" t="s">
        <v>311</v>
      </c>
      <c r="C1573" s="15">
        <v>1</v>
      </c>
      <c r="D1573" s="14">
        <f>C1573</f>
        <v>1</v>
      </c>
      <c r="E1573" s="74">
        <v>42499</v>
      </c>
      <c r="F1573" s="74"/>
      <c r="G1573" s="74"/>
      <c r="H1573" s="74"/>
      <c r="I1573" s="74"/>
      <c r="K1573" s="4" t="s">
        <v>9</v>
      </c>
      <c r="L1573" s="44">
        <v>200</v>
      </c>
      <c r="M1573" s="14">
        <f t="shared" ref="M1573:M1583" si="161">SUM(L1573:L1573)</f>
        <v>200</v>
      </c>
      <c r="N1573" s="74">
        <v>42500</v>
      </c>
      <c r="O1573" s="75"/>
    </row>
    <row r="1574" spans="2:15" x14ac:dyDescent="0.15">
      <c r="B1574" s="71" t="s">
        <v>162</v>
      </c>
      <c r="C1574" s="15">
        <v>55</v>
      </c>
      <c r="D1574" s="14">
        <f>SUM(C1574)</f>
        <v>55</v>
      </c>
      <c r="E1574" s="48">
        <v>42496</v>
      </c>
      <c r="F1574" s="48"/>
      <c r="G1574" s="48"/>
      <c r="H1574" s="48"/>
      <c r="I1574" s="48"/>
      <c r="J1574" s="51"/>
      <c r="K1574" s="4" t="s">
        <v>9</v>
      </c>
      <c r="L1574" s="44">
        <v>200</v>
      </c>
      <c r="M1574" s="14">
        <f t="shared" si="161"/>
        <v>200</v>
      </c>
      <c r="N1574" s="74">
        <v>42507</v>
      </c>
      <c r="O1574" s="75"/>
    </row>
    <row r="1575" spans="2:15" x14ac:dyDescent="0.15">
      <c r="B1575" s="71" t="s">
        <v>162</v>
      </c>
      <c r="C1575" s="15">
        <v>3</v>
      </c>
      <c r="D1575" s="14">
        <f>SUM(C1575)</f>
        <v>3</v>
      </c>
      <c r="E1575" s="48">
        <v>42497</v>
      </c>
      <c r="F1575" s="48"/>
      <c r="G1575" s="48"/>
      <c r="H1575" s="48"/>
      <c r="I1575" s="48"/>
      <c r="J1575" s="51"/>
      <c r="K1575" s="4" t="s">
        <v>9</v>
      </c>
      <c r="L1575" s="15">
        <v>200</v>
      </c>
      <c r="M1575" s="14">
        <f t="shared" si="161"/>
        <v>200</v>
      </c>
      <c r="N1575" s="74">
        <v>42513</v>
      </c>
    </row>
    <row r="1576" spans="2:15" x14ac:dyDescent="0.15">
      <c r="B1576" s="71" t="s">
        <v>313</v>
      </c>
      <c r="C1576" s="15">
        <v>20</v>
      </c>
      <c r="D1576" s="14">
        <f>SUM(C1576)</f>
        <v>20</v>
      </c>
      <c r="E1576" s="74">
        <v>42497</v>
      </c>
      <c r="F1576" s="74"/>
      <c r="G1576" s="74"/>
      <c r="H1576" s="74"/>
      <c r="I1576" s="74"/>
      <c r="J1576" s="51"/>
      <c r="K1576" s="4" t="s">
        <v>9</v>
      </c>
      <c r="L1576" s="15">
        <v>200</v>
      </c>
      <c r="M1576" s="14">
        <f t="shared" si="161"/>
        <v>200</v>
      </c>
      <c r="N1576" s="74">
        <v>42515</v>
      </c>
    </row>
    <row r="1577" spans="2:15" x14ac:dyDescent="0.15">
      <c r="B1577" s="71" t="s">
        <v>302</v>
      </c>
      <c r="C1577" s="15">
        <v>85</v>
      </c>
      <c r="D1577" s="14">
        <f>SUM(C1577)</f>
        <v>85</v>
      </c>
      <c r="E1577" s="74">
        <v>42500</v>
      </c>
      <c r="F1577" s="74"/>
      <c r="G1577" s="74"/>
      <c r="H1577" s="74"/>
      <c r="I1577" s="74"/>
      <c r="J1577" s="51"/>
      <c r="K1577" s="4" t="s">
        <v>9</v>
      </c>
      <c r="L1577" s="15">
        <v>200</v>
      </c>
      <c r="M1577" s="14">
        <f t="shared" si="161"/>
        <v>200</v>
      </c>
      <c r="N1577" s="74">
        <v>42516</v>
      </c>
    </row>
    <row r="1578" spans="2:15" x14ac:dyDescent="0.15">
      <c r="B1578" s="71" t="s">
        <v>314</v>
      </c>
      <c r="C1578" s="15">
        <v>71</v>
      </c>
      <c r="D1578" s="14">
        <f>SUM(C1578)</f>
        <v>71</v>
      </c>
      <c r="E1578" s="48">
        <v>42499</v>
      </c>
      <c r="F1578" s="48"/>
      <c r="G1578" s="48"/>
      <c r="H1578" s="48"/>
      <c r="I1578" s="48"/>
      <c r="J1578" s="51"/>
      <c r="K1578" s="4" t="s">
        <v>9</v>
      </c>
      <c r="L1578" s="15">
        <v>200</v>
      </c>
      <c r="M1578" s="14">
        <f t="shared" si="161"/>
        <v>200</v>
      </c>
      <c r="N1578" s="74">
        <v>42521</v>
      </c>
    </row>
    <row r="1579" spans="2:15" x14ac:dyDescent="0.15">
      <c r="B1579" s="71" t="s">
        <v>90</v>
      </c>
      <c r="C1579" s="15">
        <v>20</v>
      </c>
      <c r="D1579" s="14">
        <f t="shared" ref="D1579:D1594" si="162">SUM(C1579)</f>
        <v>20</v>
      </c>
      <c r="E1579" s="74">
        <v>42503</v>
      </c>
      <c r="F1579" s="74"/>
      <c r="G1579" s="74"/>
      <c r="H1579" s="74"/>
      <c r="I1579" s="74"/>
      <c r="J1579" s="51"/>
      <c r="K1579" s="6"/>
      <c r="L1579" s="15"/>
      <c r="M1579" s="14">
        <f t="shared" si="161"/>
        <v>0</v>
      </c>
    </row>
    <row r="1580" spans="2:15" x14ac:dyDescent="0.15">
      <c r="B1580" s="71" t="s">
        <v>162</v>
      </c>
      <c r="C1580" s="15">
        <v>18</v>
      </c>
      <c r="D1580" s="14">
        <f t="shared" si="162"/>
        <v>18</v>
      </c>
      <c r="E1580" s="48">
        <v>42500</v>
      </c>
      <c r="F1580" s="48"/>
      <c r="G1580" s="48"/>
      <c r="H1580" s="48"/>
      <c r="I1580" s="48"/>
      <c r="J1580" s="51"/>
      <c r="K1580" s="6"/>
      <c r="L1580" s="15"/>
      <c r="M1580" s="14">
        <f t="shared" si="161"/>
        <v>0</v>
      </c>
    </row>
    <row r="1581" spans="2:15" x14ac:dyDescent="0.15">
      <c r="B1581" s="71" t="s">
        <v>162</v>
      </c>
      <c r="C1581" s="15">
        <v>12</v>
      </c>
      <c r="D1581" s="14">
        <f t="shared" si="162"/>
        <v>12</v>
      </c>
      <c r="E1581" s="48">
        <v>42501</v>
      </c>
      <c r="F1581" s="48"/>
      <c r="G1581" s="48"/>
      <c r="H1581" s="48"/>
      <c r="I1581" s="48"/>
      <c r="J1581" s="51"/>
      <c r="K1581" s="4"/>
      <c r="L1581" s="15"/>
      <c r="M1581" s="14">
        <f t="shared" si="161"/>
        <v>0</v>
      </c>
    </row>
    <row r="1582" spans="2:15" x14ac:dyDescent="0.15">
      <c r="B1582" s="71" t="s">
        <v>162</v>
      </c>
      <c r="C1582" s="15">
        <v>32</v>
      </c>
      <c r="D1582" s="14">
        <f t="shared" si="162"/>
        <v>32</v>
      </c>
      <c r="E1582" s="48">
        <v>42502</v>
      </c>
      <c r="F1582" s="48"/>
      <c r="G1582" s="48"/>
      <c r="H1582" s="48"/>
      <c r="I1582" s="48"/>
      <c r="J1582" s="51"/>
      <c r="K1582" s="4"/>
      <c r="L1582" s="15"/>
      <c r="M1582" s="14">
        <f t="shared" si="161"/>
        <v>0</v>
      </c>
    </row>
    <row r="1583" spans="2:15" x14ac:dyDescent="0.15">
      <c r="B1583" s="71" t="s">
        <v>162</v>
      </c>
      <c r="C1583" s="15">
        <v>30</v>
      </c>
      <c r="D1583" s="14">
        <f t="shared" si="162"/>
        <v>30</v>
      </c>
      <c r="E1583" s="48">
        <v>42503</v>
      </c>
      <c r="F1583" s="48"/>
      <c r="G1583" s="48"/>
      <c r="H1583" s="48"/>
      <c r="I1583" s="48"/>
      <c r="J1583" s="51"/>
      <c r="K1583" s="4"/>
      <c r="L1583" s="15"/>
      <c r="M1583" s="14">
        <f t="shared" si="161"/>
        <v>0</v>
      </c>
    </row>
    <row r="1584" spans="2:15" x14ac:dyDescent="0.15">
      <c r="B1584" s="71" t="s">
        <v>162</v>
      </c>
      <c r="C1584" s="15">
        <v>34</v>
      </c>
      <c r="D1584" s="14">
        <f t="shared" si="162"/>
        <v>34</v>
      </c>
      <c r="E1584" s="48">
        <v>42504</v>
      </c>
      <c r="F1584" s="48"/>
      <c r="G1584" s="48"/>
      <c r="H1584" s="48"/>
      <c r="I1584" s="48"/>
      <c r="J1584" s="51"/>
      <c r="K1584" s="4"/>
      <c r="L1584" s="15"/>
      <c r="M1584" s="14">
        <f>SUM(L1584:L1584)</f>
        <v>0</v>
      </c>
    </row>
    <row r="1585" spans="1:14" x14ac:dyDescent="0.15">
      <c r="B1585" s="71" t="s">
        <v>162</v>
      </c>
      <c r="C1585" s="15">
        <v>73</v>
      </c>
      <c r="D1585" s="14">
        <f t="shared" si="162"/>
        <v>73</v>
      </c>
      <c r="E1585" s="48">
        <v>42506</v>
      </c>
      <c r="F1585" s="48"/>
      <c r="G1585" s="48"/>
      <c r="H1585" s="48"/>
      <c r="I1585" s="48"/>
      <c r="J1585" s="51"/>
      <c r="K1585" s="6"/>
      <c r="L1585" s="15"/>
      <c r="M1585" s="14">
        <f>SUM(L1585)</f>
        <v>0</v>
      </c>
    </row>
    <row r="1586" spans="1:14" x14ac:dyDescent="0.15">
      <c r="B1586" s="71" t="s">
        <v>90</v>
      </c>
      <c r="C1586" s="15">
        <v>20</v>
      </c>
      <c r="D1586" s="14">
        <f t="shared" si="162"/>
        <v>20</v>
      </c>
      <c r="E1586" s="74">
        <v>42513</v>
      </c>
      <c r="F1586" s="74"/>
      <c r="G1586" s="74"/>
      <c r="H1586" s="74"/>
      <c r="I1586" s="74"/>
      <c r="J1586" s="36"/>
      <c r="K1586" s="6"/>
      <c r="L1586" s="15"/>
      <c r="M1586" s="14">
        <f>SUM(L1586)</f>
        <v>0</v>
      </c>
    </row>
    <row r="1587" spans="1:14" x14ac:dyDescent="0.15">
      <c r="B1587" s="71" t="s">
        <v>136</v>
      </c>
      <c r="C1587" s="15">
        <v>20</v>
      </c>
      <c r="D1587" s="14">
        <f t="shared" si="162"/>
        <v>20</v>
      </c>
      <c r="E1587" s="74">
        <v>42513</v>
      </c>
      <c r="F1587" s="74"/>
      <c r="G1587" s="74"/>
      <c r="H1587" s="74"/>
      <c r="I1587" s="74"/>
      <c r="J1587" s="36"/>
      <c r="K1587" s="4"/>
      <c r="L1587" s="15"/>
      <c r="M1587" s="14">
        <f>SUM(L1587:L1587)</f>
        <v>0</v>
      </c>
    </row>
    <row r="1588" spans="1:14" x14ac:dyDescent="0.15">
      <c r="B1588" s="71" t="s">
        <v>315</v>
      </c>
      <c r="C1588" s="15">
        <v>5</v>
      </c>
      <c r="D1588" s="14">
        <f t="shared" si="162"/>
        <v>5</v>
      </c>
      <c r="E1588" s="74">
        <v>42509</v>
      </c>
      <c r="F1588" s="74"/>
      <c r="G1588" s="74"/>
      <c r="H1588" s="74"/>
      <c r="I1588" s="74"/>
      <c r="J1588" s="51"/>
      <c r="K1588" s="4"/>
      <c r="L1588" s="15"/>
      <c r="M1588" s="14">
        <f>SUM(L1588)</f>
        <v>0</v>
      </c>
    </row>
    <row r="1589" spans="1:14" x14ac:dyDescent="0.15">
      <c r="B1589" s="71" t="s">
        <v>316</v>
      </c>
      <c r="C1589" s="15">
        <v>29</v>
      </c>
      <c r="D1589" s="14">
        <f t="shared" si="162"/>
        <v>29</v>
      </c>
      <c r="E1589" s="48">
        <v>42507</v>
      </c>
      <c r="F1589" s="48"/>
      <c r="G1589" s="48"/>
      <c r="H1589" s="48"/>
      <c r="I1589" s="48"/>
      <c r="J1589" s="51"/>
      <c r="K1589" s="4"/>
      <c r="L1589" s="15"/>
      <c r="M1589" s="14">
        <f>SUM(L1589:L1589)</f>
        <v>0</v>
      </c>
    </row>
    <row r="1590" spans="1:14" x14ac:dyDescent="0.15">
      <c r="B1590" s="71" t="s">
        <v>162</v>
      </c>
      <c r="C1590" s="15">
        <v>31</v>
      </c>
      <c r="D1590" s="14">
        <f t="shared" si="162"/>
        <v>31</v>
      </c>
      <c r="E1590" s="48">
        <v>42508</v>
      </c>
      <c r="F1590" s="48"/>
      <c r="G1590" s="48"/>
      <c r="H1590" s="48"/>
      <c r="I1590" s="48"/>
      <c r="J1590" s="51"/>
      <c r="K1590" s="4"/>
      <c r="L1590" s="15"/>
      <c r="M1590" s="14">
        <f>SUM(L1590)</f>
        <v>0</v>
      </c>
      <c r="N1590" s="75"/>
    </row>
    <row r="1591" spans="1:14" x14ac:dyDescent="0.15">
      <c r="B1591" s="71" t="s">
        <v>162</v>
      </c>
      <c r="C1591" s="15">
        <v>39</v>
      </c>
      <c r="D1591" s="14">
        <f t="shared" si="162"/>
        <v>39</v>
      </c>
      <c r="E1591" s="48">
        <v>42509</v>
      </c>
      <c r="F1591" s="48"/>
      <c r="G1591" s="48"/>
      <c r="H1591" s="48"/>
      <c r="I1591" s="48"/>
      <c r="J1591" s="51"/>
      <c r="K1591" s="4"/>
      <c r="L1591" s="15"/>
      <c r="M1591" s="14">
        <f>SUM(L1591)</f>
        <v>0</v>
      </c>
      <c r="N1591" s="74"/>
    </row>
    <row r="1592" spans="1:14" x14ac:dyDescent="0.15">
      <c r="B1592" s="71" t="s">
        <v>162</v>
      </c>
      <c r="C1592" s="15">
        <v>50</v>
      </c>
      <c r="D1592" s="14">
        <f t="shared" si="162"/>
        <v>50</v>
      </c>
      <c r="E1592" s="48">
        <v>42510</v>
      </c>
      <c r="F1592" s="48"/>
      <c r="G1592" s="48"/>
      <c r="H1592" s="48"/>
      <c r="I1592" s="48"/>
      <c r="J1592" s="51"/>
      <c r="K1592" s="4"/>
      <c r="L1592" s="15"/>
      <c r="M1592" s="14">
        <f>SUM(L1592:L1592)</f>
        <v>0</v>
      </c>
      <c r="N1592" s="74"/>
    </row>
    <row r="1593" spans="1:14" x14ac:dyDescent="0.15">
      <c r="B1593" s="71" t="s">
        <v>317</v>
      </c>
      <c r="C1593" s="15">
        <v>36</v>
      </c>
      <c r="D1593" s="14">
        <f t="shared" si="162"/>
        <v>36</v>
      </c>
      <c r="E1593" s="48">
        <v>42511</v>
      </c>
      <c r="F1593" s="48"/>
      <c r="G1593" s="48"/>
      <c r="H1593" s="48"/>
      <c r="I1593" s="48"/>
      <c r="J1593" s="51"/>
      <c r="K1593" s="4"/>
      <c r="L1593" s="15"/>
      <c r="M1593" s="14">
        <f>SUM(L1593)</f>
        <v>0</v>
      </c>
      <c r="N1593" s="75"/>
    </row>
    <row r="1594" spans="1:14" x14ac:dyDescent="0.15">
      <c r="B1594" s="71" t="s">
        <v>114</v>
      </c>
      <c r="C1594" s="15">
        <v>50</v>
      </c>
      <c r="D1594" s="14">
        <f t="shared" si="162"/>
        <v>50</v>
      </c>
      <c r="E1594" s="74">
        <v>42516</v>
      </c>
      <c r="F1594" s="74"/>
      <c r="G1594" s="74"/>
      <c r="H1594" s="74"/>
      <c r="I1594" s="74"/>
      <c r="J1594" s="51"/>
      <c r="K1594" s="4"/>
      <c r="L1594" s="15"/>
      <c r="M1594" s="14">
        <f>SUM(L1594)</f>
        <v>0</v>
      </c>
      <c r="N1594" s="75"/>
    </row>
    <row r="1595" spans="1:14" x14ac:dyDescent="0.15">
      <c r="B1595" s="71" t="s">
        <v>162</v>
      </c>
      <c r="C1595" s="15">
        <v>90</v>
      </c>
      <c r="D1595" s="14">
        <f>SUM(C1595)</f>
        <v>90</v>
      </c>
      <c r="E1595" s="48">
        <v>42513</v>
      </c>
      <c r="F1595" s="48"/>
      <c r="G1595" s="48"/>
      <c r="H1595" s="48"/>
      <c r="I1595" s="48"/>
      <c r="J1595" s="51"/>
      <c r="K1595" s="4"/>
      <c r="L1595" s="15"/>
      <c r="M1595" s="14">
        <f>SUM(L1595)</f>
        <v>0</v>
      </c>
      <c r="N1595" s="74"/>
    </row>
    <row r="1596" spans="1:14" ht="14.25" thickBot="1" x14ac:dyDescent="0.2">
      <c r="B1596" s="71" t="s">
        <v>318</v>
      </c>
      <c r="C1596" s="15">
        <v>124</v>
      </c>
      <c r="D1596" s="14">
        <f>SUM(C1596)</f>
        <v>124</v>
      </c>
      <c r="E1596" s="74">
        <v>42515</v>
      </c>
      <c r="F1596" s="74"/>
      <c r="G1596" s="74"/>
      <c r="H1596" s="74"/>
      <c r="I1596" s="74"/>
      <c r="J1596" s="36"/>
      <c r="K1596" s="4"/>
      <c r="L1596" s="15"/>
      <c r="M1596" s="14">
        <f>SUM(L1596:L1596)</f>
        <v>0</v>
      </c>
      <c r="N1596" s="165"/>
    </row>
    <row r="1597" spans="1:14" ht="14.25" thickBot="1" x14ac:dyDescent="0.2">
      <c r="B1597" s="3" t="s">
        <v>5</v>
      </c>
      <c r="C1597" s="16">
        <f>SUM(C1573:C1596)</f>
        <v>948</v>
      </c>
      <c r="D1597" s="17">
        <f>SUM(D1573:D1596)</f>
        <v>948</v>
      </c>
      <c r="K1597" s="3" t="s">
        <v>5</v>
      </c>
      <c r="L1597" s="16">
        <f>SUM(L1573:L1596)</f>
        <v>1200</v>
      </c>
      <c r="M1597" s="17">
        <f>SUM(M1573:M1596)</f>
        <v>1200</v>
      </c>
    </row>
    <row r="1598" spans="1:14" ht="14.25" thickBot="1" x14ac:dyDescent="0.2">
      <c r="B1598" s="18" t="s">
        <v>6</v>
      </c>
      <c r="C1598" s="19">
        <f>C1572-C1597</f>
        <v>383</v>
      </c>
      <c r="D1598" s="13">
        <f>D1572-D1597</f>
        <v>383</v>
      </c>
      <c r="K1598" s="18" t="s">
        <v>6</v>
      </c>
      <c r="L1598" s="19">
        <f>L1572-L1597</f>
        <v>3890</v>
      </c>
      <c r="M1598" s="13">
        <f>M1572-M1597</f>
        <v>3890</v>
      </c>
    </row>
    <row r="1600" spans="1:14" ht="18" thickBot="1" x14ac:dyDescent="0.25">
      <c r="A1600" s="27" t="s">
        <v>8</v>
      </c>
      <c r="B1600" s="28"/>
      <c r="C1600" s="28"/>
      <c r="D1600" s="28"/>
      <c r="J1600" s="139" t="s">
        <v>218</v>
      </c>
      <c r="K1600" s="140"/>
      <c r="L1600" s="140"/>
      <c r="M1600" s="140"/>
    </row>
    <row r="1601" spans="2:14" ht="14.25" thickBot="1" x14ac:dyDescent="0.2">
      <c r="B1601" s="2"/>
      <c r="C1601" s="3" t="s">
        <v>0</v>
      </c>
      <c r="D1601" s="2" t="s">
        <v>1</v>
      </c>
      <c r="K1601" s="2"/>
      <c r="L1601" s="3" t="s">
        <v>0</v>
      </c>
      <c r="M1601" s="2" t="s">
        <v>1</v>
      </c>
    </row>
    <row r="1602" spans="2:14" x14ac:dyDescent="0.15">
      <c r="B1602" s="43" t="s">
        <v>26</v>
      </c>
      <c r="C1602" s="38">
        <f>C1598</f>
        <v>383</v>
      </c>
      <c r="D1602" s="39">
        <f t="shared" ref="D1602:D1612" si="163">SUM(C1602:C1602)</f>
        <v>383</v>
      </c>
      <c r="K1602" s="43" t="s">
        <v>26</v>
      </c>
      <c r="L1602" s="38">
        <f>L1598</f>
        <v>3890</v>
      </c>
      <c r="M1602" s="39">
        <f t="shared" ref="M1602:M1612" si="164">SUM(L1602:L1602)</f>
        <v>3890</v>
      </c>
    </row>
    <row r="1603" spans="2:14" x14ac:dyDescent="0.15">
      <c r="B1603" s="6" t="s">
        <v>3</v>
      </c>
      <c r="C1603" s="7">
        <v>200</v>
      </c>
      <c r="D1603" s="5">
        <f t="shared" si="163"/>
        <v>200</v>
      </c>
      <c r="E1603" s="74">
        <v>42521</v>
      </c>
      <c r="F1603" s="74"/>
      <c r="G1603" s="74"/>
      <c r="H1603" s="74"/>
      <c r="I1603" s="74"/>
      <c r="J1603" s="75"/>
      <c r="K1603" s="6" t="s">
        <v>3</v>
      </c>
      <c r="L1603" s="7"/>
      <c r="M1603" s="5">
        <f t="shared" si="164"/>
        <v>0</v>
      </c>
    </row>
    <row r="1604" spans="2:14" x14ac:dyDescent="0.15">
      <c r="B1604" s="6" t="s">
        <v>3</v>
      </c>
      <c r="C1604" s="7">
        <v>400</v>
      </c>
      <c r="D1604" s="5">
        <f t="shared" si="163"/>
        <v>400</v>
      </c>
      <c r="E1604" s="74">
        <v>42524</v>
      </c>
      <c r="F1604" s="74"/>
      <c r="G1604" s="74"/>
      <c r="H1604" s="74"/>
      <c r="I1604" s="74"/>
      <c r="K1604" s="6" t="s">
        <v>3</v>
      </c>
      <c r="L1604" s="7"/>
      <c r="M1604" s="5">
        <f t="shared" si="164"/>
        <v>0</v>
      </c>
      <c r="N1604" s="74"/>
    </row>
    <row r="1605" spans="2:14" x14ac:dyDescent="0.15">
      <c r="B1605" s="6" t="s">
        <v>3</v>
      </c>
      <c r="C1605" s="7">
        <v>200</v>
      </c>
      <c r="D1605" s="5">
        <f t="shared" si="163"/>
        <v>200</v>
      </c>
      <c r="E1605" s="74">
        <v>42528</v>
      </c>
      <c r="F1605" s="74"/>
      <c r="G1605" s="74"/>
      <c r="H1605" s="74"/>
      <c r="I1605" s="74"/>
      <c r="K1605" s="6" t="s">
        <v>3</v>
      </c>
      <c r="L1605" s="7"/>
      <c r="M1605" s="5">
        <f t="shared" si="164"/>
        <v>0</v>
      </c>
      <c r="N1605" s="74"/>
    </row>
    <row r="1606" spans="2:14" x14ac:dyDescent="0.15">
      <c r="B1606" s="6" t="s">
        <v>3</v>
      </c>
      <c r="C1606" s="7"/>
      <c r="D1606" s="5">
        <f t="shared" si="163"/>
        <v>0</v>
      </c>
      <c r="E1606" s="74"/>
      <c r="F1606" s="74"/>
      <c r="G1606" s="74"/>
      <c r="H1606" s="74"/>
      <c r="I1606" s="74"/>
      <c r="K1606" s="6" t="s">
        <v>3</v>
      </c>
      <c r="L1606" s="7"/>
      <c r="M1606" s="5">
        <f t="shared" si="164"/>
        <v>0</v>
      </c>
      <c r="N1606" s="74"/>
    </row>
    <row r="1607" spans="2:14" x14ac:dyDescent="0.15">
      <c r="B1607" s="6" t="s">
        <v>3</v>
      </c>
      <c r="C1607" s="7"/>
      <c r="D1607" s="5">
        <f t="shared" si="163"/>
        <v>0</v>
      </c>
      <c r="K1607" s="6" t="s">
        <v>3</v>
      </c>
      <c r="L1607" s="7"/>
      <c r="M1607" s="5">
        <f t="shared" si="164"/>
        <v>0</v>
      </c>
      <c r="N1607" s="75"/>
    </row>
    <row r="1608" spans="2:14" x14ac:dyDescent="0.15">
      <c r="B1608" s="6" t="s">
        <v>3</v>
      </c>
      <c r="C1608" s="7"/>
      <c r="D1608" s="5">
        <f t="shared" si="163"/>
        <v>0</v>
      </c>
      <c r="K1608" s="6" t="s">
        <v>3</v>
      </c>
      <c r="L1608" s="7"/>
      <c r="M1608" s="5">
        <f t="shared" si="164"/>
        <v>0</v>
      </c>
    </row>
    <row r="1609" spans="2:14" x14ac:dyDescent="0.15">
      <c r="B1609" s="6" t="s">
        <v>3</v>
      </c>
      <c r="C1609" s="54"/>
      <c r="D1609" s="5">
        <f t="shared" si="163"/>
        <v>0</v>
      </c>
      <c r="K1609" s="6" t="s">
        <v>3</v>
      </c>
      <c r="L1609" s="7"/>
      <c r="M1609" s="5">
        <f t="shared" si="164"/>
        <v>0</v>
      </c>
    </row>
    <row r="1610" spans="2:14" x14ac:dyDescent="0.15">
      <c r="B1610" s="6" t="s">
        <v>3</v>
      </c>
      <c r="C1610" s="54"/>
      <c r="D1610" s="5">
        <f t="shared" si="163"/>
        <v>0</v>
      </c>
      <c r="K1610" s="6" t="s">
        <v>3</v>
      </c>
      <c r="L1610" s="7"/>
      <c r="M1610" s="5">
        <f t="shared" si="164"/>
        <v>0</v>
      </c>
    </row>
    <row r="1611" spans="2:14" x14ac:dyDescent="0.15">
      <c r="B1611" s="6" t="s">
        <v>3</v>
      </c>
      <c r="C1611" s="54"/>
      <c r="D1611" s="5">
        <f t="shared" si="163"/>
        <v>0</v>
      </c>
      <c r="K1611" s="6" t="s">
        <v>3</v>
      </c>
      <c r="L1611" s="7"/>
      <c r="M1611" s="5">
        <f t="shared" si="164"/>
        <v>0</v>
      </c>
    </row>
    <row r="1612" spans="2:14" ht="14.25" thickBot="1" x14ac:dyDescent="0.2">
      <c r="B1612" s="9" t="s">
        <v>3</v>
      </c>
      <c r="C1612" s="101"/>
      <c r="D1612" s="5">
        <f t="shared" si="163"/>
        <v>0</v>
      </c>
      <c r="K1612" s="9" t="s">
        <v>3</v>
      </c>
      <c r="L1612" s="10"/>
      <c r="M1612" s="5">
        <f t="shared" si="164"/>
        <v>0</v>
      </c>
    </row>
    <row r="1613" spans="2:14" ht="14.25" thickBot="1" x14ac:dyDescent="0.2">
      <c r="B1613" s="11" t="s">
        <v>4</v>
      </c>
      <c r="C1613" s="12">
        <f>SUM(C1602:C1612)</f>
        <v>1183</v>
      </c>
      <c r="D1613" s="13">
        <f>SUM(D1602:D1612)</f>
        <v>1183</v>
      </c>
      <c r="K1613" s="11" t="s">
        <v>4</v>
      </c>
      <c r="L1613" s="12">
        <f>SUM(L1602:L1612)</f>
        <v>3890</v>
      </c>
      <c r="M1613" s="13">
        <f>SUM(M1602:M1612)</f>
        <v>3890</v>
      </c>
    </row>
    <row r="1614" spans="2:14" x14ac:dyDescent="0.15">
      <c r="B1614" s="71" t="s">
        <v>162</v>
      </c>
      <c r="C1614" s="15">
        <v>54</v>
      </c>
      <c r="D1614" s="14">
        <f>C1614</f>
        <v>54</v>
      </c>
      <c r="E1614" s="48">
        <v>42514</v>
      </c>
      <c r="F1614" s="48"/>
      <c r="G1614" s="48"/>
      <c r="H1614" s="48"/>
      <c r="I1614" s="48"/>
      <c r="K1614" s="4" t="s">
        <v>9</v>
      </c>
      <c r="L1614" s="44">
        <v>400</v>
      </c>
      <c r="M1614" s="14">
        <f t="shared" ref="M1614:M1624" si="165">SUM(L1614:L1614)</f>
        <v>400</v>
      </c>
      <c r="N1614" s="74">
        <v>42524</v>
      </c>
    </row>
    <row r="1615" spans="2:14" x14ac:dyDescent="0.15">
      <c r="B1615" s="71" t="s">
        <v>162</v>
      </c>
      <c r="C1615" s="15">
        <v>51</v>
      </c>
      <c r="D1615" s="14">
        <f>SUM(C1615)</f>
        <v>51</v>
      </c>
      <c r="E1615" s="48">
        <v>42516</v>
      </c>
      <c r="F1615" s="48"/>
      <c r="G1615" s="48"/>
      <c r="H1615" s="48"/>
      <c r="I1615" s="48"/>
      <c r="J1615" s="51"/>
      <c r="K1615" s="4" t="s">
        <v>324</v>
      </c>
      <c r="L1615" s="15">
        <v>100</v>
      </c>
      <c r="M1615" s="14">
        <f>SUM(L1615)</f>
        <v>100</v>
      </c>
      <c r="N1615" s="74">
        <v>42527</v>
      </c>
    </row>
    <row r="1616" spans="2:14" x14ac:dyDescent="0.15">
      <c r="B1616" s="71" t="s">
        <v>320</v>
      </c>
      <c r="C1616" s="15">
        <v>25</v>
      </c>
      <c r="D1616" s="14">
        <f>SUM(C1616)</f>
        <v>25</v>
      </c>
      <c r="E1616" s="48">
        <v>42516</v>
      </c>
      <c r="F1616" s="48"/>
      <c r="G1616" s="48"/>
      <c r="H1616" s="48"/>
      <c r="I1616" s="48"/>
      <c r="J1616" s="51"/>
      <c r="K1616" s="4" t="s">
        <v>9</v>
      </c>
      <c r="L1616" s="15">
        <v>200</v>
      </c>
      <c r="M1616" s="14">
        <f t="shared" si="165"/>
        <v>200</v>
      </c>
      <c r="N1616" s="74">
        <v>42528</v>
      </c>
    </row>
    <row r="1617" spans="2:15" x14ac:dyDescent="0.15">
      <c r="B1617" s="71" t="s">
        <v>319</v>
      </c>
      <c r="C1617" s="15">
        <v>100</v>
      </c>
      <c r="D1617" s="14">
        <f>SUM(C1617)</f>
        <v>100</v>
      </c>
      <c r="E1617" s="74">
        <v>42523</v>
      </c>
      <c r="F1617" s="74"/>
      <c r="G1617" s="74"/>
      <c r="H1617" s="74"/>
      <c r="I1617" s="74"/>
      <c r="J1617" s="51"/>
      <c r="K1617" s="4" t="s">
        <v>9</v>
      </c>
      <c r="L1617" s="15">
        <v>200</v>
      </c>
      <c r="M1617" s="14">
        <f t="shared" si="165"/>
        <v>200</v>
      </c>
      <c r="N1617" s="74">
        <v>42531</v>
      </c>
      <c r="O1617" s="75"/>
    </row>
    <row r="1618" spans="2:15" x14ac:dyDescent="0.15">
      <c r="B1618" s="71" t="s">
        <v>162</v>
      </c>
      <c r="C1618" s="15">
        <v>38</v>
      </c>
      <c r="D1618" s="14">
        <f>SUM(C1618)</f>
        <v>38</v>
      </c>
      <c r="E1618" s="74">
        <v>42517</v>
      </c>
      <c r="F1618" s="74"/>
      <c r="G1618" s="74"/>
      <c r="H1618" s="74"/>
      <c r="I1618" s="74"/>
      <c r="J1618" s="51"/>
      <c r="K1618" s="4" t="s">
        <v>9</v>
      </c>
      <c r="L1618" s="15">
        <v>200</v>
      </c>
      <c r="M1618" s="14">
        <f t="shared" si="165"/>
        <v>200</v>
      </c>
      <c r="N1618" s="74">
        <v>42536</v>
      </c>
    </row>
    <row r="1619" spans="2:15" x14ac:dyDescent="0.15">
      <c r="B1619" s="71" t="s">
        <v>321</v>
      </c>
      <c r="C1619" s="15">
        <v>23</v>
      </c>
      <c r="D1619" s="14">
        <f>SUM(C1619)</f>
        <v>23</v>
      </c>
      <c r="E1619" s="48">
        <v>42518</v>
      </c>
      <c r="F1619" s="48"/>
      <c r="G1619" s="48"/>
      <c r="H1619" s="48"/>
      <c r="I1619" s="48"/>
      <c r="J1619" s="51"/>
      <c r="K1619" s="4" t="s">
        <v>336</v>
      </c>
      <c r="L1619" s="15">
        <v>400</v>
      </c>
      <c r="M1619" s="14">
        <f t="shared" si="165"/>
        <v>400</v>
      </c>
      <c r="N1619" s="74">
        <v>42541</v>
      </c>
    </row>
    <row r="1620" spans="2:15" x14ac:dyDescent="0.15">
      <c r="B1620" s="71" t="s">
        <v>318</v>
      </c>
      <c r="C1620" s="15">
        <v>40</v>
      </c>
      <c r="D1620" s="14">
        <f t="shared" ref="D1620:D1635" si="166">SUM(C1620)</f>
        <v>40</v>
      </c>
      <c r="E1620" s="74">
        <v>42521</v>
      </c>
      <c r="F1620" s="74"/>
      <c r="G1620" s="74"/>
      <c r="H1620" s="74"/>
      <c r="I1620" s="74"/>
      <c r="J1620" s="51"/>
      <c r="K1620" s="6"/>
      <c r="L1620" s="15"/>
      <c r="M1620" s="14">
        <f t="shared" si="165"/>
        <v>0</v>
      </c>
    </row>
    <row r="1621" spans="2:15" x14ac:dyDescent="0.15">
      <c r="B1621" s="71" t="s">
        <v>323</v>
      </c>
      <c r="C1621" s="15">
        <v>51</v>
      </c>
      <c r="D1621" s="14">
        <f t="shared" si="166"/>
        <v>51</v>
      </c>
      <c r="E1621" s="48">
        <v>42520</v>
      </c>
      <c r="F1621" s="48"/>
      <c r="G1621" s="48"/>
      <c r="H1621" s="48"/>
      <c r="I1621" s="48"/>
      <c r="J1621" s="51"/>
      <c r="K1621" s="6"/>
      <c r="L1621" s="15"/>
      <c r="M1621" s="14">
        <f t="shared" si="165"/>
        <v>0</v>
      </c>
    </row>
    <row r="1622" spans="2:15" x14ac:dyDescent="0.15">
      <c r="B1622" s="71" t="s">
        <v>90</v>
      </c>
      <c r="C1622" s="15">
        <v>100</v>
      </c>
      <c r="D1622" s="14">
        <f t="shared" si="166"/>
        <v>100</v>
      </c>
      <c r="E1622" s="74">
        <v>42527</v>
      </c>
      <c r="F1622" s="74"/>
      <c r="G1622" s="74"/>
      <c r="H1622" s="74"/>
      <c r="I1622" s="74"/>
      <c r="J1622" s="51"/>
      <c r="K1622" s="4"/>
      <c r="L1622" s="15"/>
      <c r="M1622" s="14">
        <f t="shared" si="165"/>
        <v>0</v>
      </c>
    </row>
    <row r="1623" spans="2:15" x14ac:dyDescent="0.15">
      <c r="B1623" s="71" t="s">
        <v>341</v>
      </c>
      <c r="C1623" s="15">
        <v>60</v>
      </c>
      <c r="D1623" s="14">
        <f t="shared" si="166"/>
        <v>60</v>
      </c>
      <c r="E1623" s="74">
        <v>42527</v>
      </c>
      <c r="F1623" s="74"/>
      <c r="G1623" s="74"/>
      <c r="H1623" s="74"/>
      <c r="I1623" s="74"/>
      <c r="J1623" s="51"/>
      <c r="K1623" s="4"/>
      <c r="L1623" s="15"/>
      <c r="M1623" s="14">
        <f t="shared" si="165"/>
        <v>0</v>
      </c>
    </row>
    <row r="1624" spans="2:15" x14ac:dyDescent="0.15">
      <c r="B1624" s="71" t="s">
        <v>114</v>
      </c>
      <c r="C1624" s="15">
        <v>140</v>
      </c>
      <c r="D1624" s="14">
        <f t="shared" si="166"/>
        <v>140</v>
      </c>
      <c r="E1624" s="74">
        <v>42527</v>
      </c>
      <c r="F1624" s="74"/>
      <c r="G1624" s="74"/>
      <c r="H1624" s="74"/>
      <c r="I1624" s="74"/>
      <c r="J1624" s="51"/>
      <c r="K1624" s="4"/>
      <c r="L1624" s="15"/>
      <c r="M1624" s="14">
        <f t="shared" si="165"/>
        <v>0</v>
      </c>
    </row>
    <row r="1625" spans="2:15" x14ac:dyDescent="0.15">
      <c r="B1625" s="71" t="s">
        <v>322</v>
      </c>
      <c r="C1625" s="15">
        <v>2</v>
      </c>
      <c r="D1625" s="14">
        <f t="shared" si="166"/>
        <v>2</v>
      </c>
      <c r="E1625" s="74">
        <v>42522</v>
      </c>
      <c r="F1625" s="74"/>
      <c r="G1625" s="74"/>
      <c r="H1625" s="74"/>
      <c r="I1625" s="74"/>
      <c r="J1625" s="51"/>
      <c r="K1625" s="4"/>
      <c r="L1625" s="15"/>
      <c r="M1625" s="14">
        <f>SUM(L1625:L1625)</f>
        <v>0</v>
      </c>
    </row>
    <row r="1626" spans="2:15" x14ac:dyDescent="0.15">
      <c r="B1626" s="71" t="s">
        <v>162</v>
      </c>
      <c r="C1626" s="15">
        <v>21</v>
      </c>
      <c r="D1626" s="14">
        <f t="shared" si="166"/>
        <v>21</v>
      </c>
      <c r="E1626" s="48">
        <v>42521</v>
      </c>
      <c r="F1626" s="48"/>
      <c r="G1626" s="48"/>
      <c r="H1626" s="48"/>
      <c r="I1626" s="48"/>
      <c r="J1626" s="51"/>
      <c r="K1626" s="6"/>
      <c r="L1626" s="15"/>
      <c r="M1626" s="14">
        <f>SUM(L1626)</f>
        <v>0</v>
      </c>
    </row>
    <row r="1627" spans="2:15" x14ac:dyDescent="0.15">
      <c r="B1627" s="71" t="s">
        <v>326</v>
      </c>
      <c r="C1627" s="15">
        <v>28</v>
      </c>
      <c r="D1627" s="14">
        <f t="shared" si="166"/>
        <v>28</v>
      </c>
      <c r="E1627" s="48">
        <v>42522</v>
      </c>
      <c r="F1627" s="48"/>
      <c r="G1627" s="48"/>
      <c r="H1627" s="48"/>
      <c r="I1627" s="48"/>
      <c r="J1627" s="51"/>
      <c r="K1627" s="4"/>
      <c r="L1627" s="15"/>
      <c r="M1627" s="14">
        <f>SUM(L1627:L1627)</f>
        <v>0</v>
      </c>
      <c r="N1627" s="165"/>
    </row>
    <row r="1628" spans="2:15" x14ac:dyDescent="0.15">
      <c r="B1628" s="4" t="s">
        <v>325</v>
      </c>
      <c r="C1628" s="15">
        <v>5</v>
      </c>
      <c r="D1628" s="14">
        <f t="shared" si="166"/>
        <v>5</v>
      </c>
      <c r="E1628" s="74">
        <v>42525</v>
      </c>
      <c r="F1628" s="74"/>
      <c r="G1628" s="74"/>
      <c r="H1628" s="74"/>
      <c r="I1628" s="74"/>
      <c r="J1628" s="51"/>
      <c r="K1628" s="4"/>
      <c r="L1628" s="15"/>
      <c r="M1628" s="14">
        <f>SUM(L1628:L1628)</f>
        <v>0</v>
      </c>
      <c r="N1628" s="75"/>
    </row>
    <row r="1629" spans="2:15" x14ac:dyDescent="0.15">
      <c r="B1629" s="71" t="s">
        <v>162</v>
      </c>
      <c r="C1629" s="15">
        <v>26</v>
      </c>
      <c r="D1629" s="14">
        <f t="shared" si="166"/>
        <v>26</v>
      </c>
      <c r="E1629" s="48">
        <v>42523</v>
      </c>
      <c r="F1629" s="48"/>
      <c r="G1629" s="48"/>
      <c r="H1629" s="48"/>
      <c r="I1629" s="48"/>
      <c r="J1629" s="51"/>
      <c r="K1629" s="4"/>
      <c r="L1629" s="15"/>
      <c r="M1629" s="14">
        <f>SUM(L1629)</f>
        <v>0</v>
      </c>
      <c r="N1629" s="75"/>
    </row>
    <row r="1630" spans="2:15" x14ac:dyDescent="0.15">
      <c r="B1630" s="71" t="s">
        <v>162</v>
      </c>
      <c r="C1630" s="15">
        <v>19</v>
      </c>
      <c r="D1630" s="14">
        <f t="shared" si="166"/>
        <v>19</v>
      </c>
      <c r="E1630" s="48">
        <v>42524</v>
      </c>
      <c r="F1630" s="48"/>
      <c r="G1630" s="48"/>
      <c r="H1630" s="48"/>
      <c r="I1630" s="48"/>
      <c r="J1630" s="51"/>
      <c r="K1630" s="4"/>
      <c r="L1630" s="15"/>
      <c r="M1630" s="14">
        <f>SUM(L1630:L1630)</f>
        <v>0</v>
      </c>
      <c r="N1630" s="75"/>
    </row>
    <row r="1631" spans="2:15" x14ac:dyDescent="0.15">
      <c r="B1631" s="71" t="s">
        <v>162</v>
      </c>
      <c r="C1631" s="15">
        <v>28</v>
      </c>
      <c r="D1631" s="14">
        <f t="shared" si="166"/>
        <v>28</v>
      </c>
      <c r="E1631" s="48">
        <v>42525</v>
      </c>
      <c r="F1631" s="48"/>
      <c r="G1631" s="48"/>
      <c r="H1631" s="48"/>
      <c r="I1631" s="48"/>
      <c r="J1631" s="51"/>
      <c r="K1631" s="4"/>
      <c r="L1631" s="15"/>
      <c r="M1631" s="14">
        <f>SUM(L1631)</f>
        <v>0</v>
      </c>
      <c r="N1631" s="74"/>
    </row>
    <row r="1632" spans="2:15" x14ac:dyDescent="0.15">
      <c r="B1632" s="4" t="s">
        <v>310</v>
      </c>
      <c r="C1632" s="15">
        <v>70</v>
      </c>
      <c r="D1632" s="14">
        <f t="shared" si="166"/>
        <v>70</v>
      </c>
      <c r="E1632" s="74">
        <v>42528</v>
      </c>
      <c r="F1632" s="74"/>
      <c r="G1632" s="74"/>
      <c r="H1632" s="74"/>
      <c r="I1632" s="74"/>
      <c r="J1632" s="51"/>
      <c r="K1632" s="4"/>
      <c r="L1632" s="15"/>
      <c r="M1632" s="14">
        <f>SUM(L1632)</f>
        <v>0</v>
      </c>
      <c r="N1632" s="74"/>
    </row>
    <row r="1633" spans="1:14" x14ac:dyDescent="0.15">
      <c r="B1633" s="71" t="s">
        <v>322</v>
      </c>
      <c r="C1633" s="15">
        <v>10</v>
      </c>
      <c r="D1633" s="14">
        <f t="shared" si="166"/>
        <v>10</v>
      </c>
      <c r="E1633" s="74">
        <v>42528</v>
      </c>
      <c r="F1633" s="74"/>
      <c r="G1633" s="74"/>
      <c r="H1633" s="74"/>
      <c r="I1633" s="74"/>
      <c r="J1633" s="51"/>
      <c r="K1633" s="4"/>
      <c r="L1633" s="15"/>
      <c r="M1633" s="14">
        <f>SUM(L1633:L1633)</f>
        <v>0</v>
      </c>
      <c r="N1633" s="165"/>
    </row>
    <row r="1634" spans="1:14" x14ac:dyDescent="0.15">
      <c r="B1634" s="71" t="s">
        <v>327</v>
      </c>
      <c r="C1634" s="15">
        <v>56</v>
      </c>
      <c r="D1634" s="14">
        <f t="shared" si="166"/>
        <v>56</v>
      </c>
      <c r="E1634" s="74">
        <v>42527</v>
      </c>
      <c r="F1634" s="74"/>
      <c r="G1634" s="74"/>
      <c r="H1634" s="74"/>
      <c r="I1634" s="74"/>
      <c r="J1634" s="51"/>
      <c r="K1634" s="4"/>
      <c r="L1634" s="15"/>
      <c r="M1634" s="14">
        <f>SUM(L1634)</f>
        <v>0</v>
      </c>
      <c r="N1634" s="75"/>
    </row>
    <row r="1635" spans="1:14" x14ac:dyDescent="0.15">
      <c r="B1635" s="71" t="s">
        <v>136</v>
      </c>
      <c r="C1635" s="15">
        <v>20</v>
      </c>
      <c r="D1635" s="14">
        <f t="shared" si="166"/>
        <v>20</v>
      </c>
      <c r="E1635" s="74">
        <v>42534</v>
      </c>
      <c r="F1635" s="74"/>
      <c r="G1635" s="74"/>
      <c r="H1635" s="74"/>
      <c r="I1635" s="74"/>
      <c r="J1635" s="51"/>
      <c r="K1635" s="4"/>
      <c r="L1635" s="15"/>
      <c r="M1635" s="14">
        <f>SUM(L1635)</f>
        <v>0</v>
      </c>
      <c r="N1635" s="74"/>
    </row>
    <row r="1636" spans="1:14" x14ac:dyDescent="0.15">
      <c r="B1636" s="71" t="s">
        <v>162</v>
      </c>
      <c r="C1636" s="15">
        <v>21</v>
      </c>
      <c r="D1636" s="14">
        <f>SUM(C1636)</f>
        <v>21</v>
      </c>
      <c r="E1636" s="48">
        <v>42528</v>
      </c>
      <c r="F1636" s="48"/>
      <c r="G1636" s="48"/>
      <c r="H1636" s="48"/>
      <c r="I1636" s="48"/>
      <c r="J1636" s="51"/>
      <c r="K1636" s="4"/>
      <c r="L1636" s="15"/>
      <c r="M1636" s="14">
        <f>SUM(L1636)</f>
        <v>0</v>
      </c>
      <c r="N1636" s="74"/>
    </row>
    <row r="1637" spans="1:14" ht="14.25" thickBot="1" x14ac:dyDescent="0.2">
      <c r="B1637" s="71" t="s">
        <v>328</v>
      </c>
      <c r="C1637" s="15">
        <v>3</v>
      </c>
      <c r="D1637" s="14">
        <f>SUM(C1637)</f>
        <v>3</v>
      </c>
      <c r="E1637" s="74">
        <v>42531</v>
      </c>
      <c r="F1637" s="74"/>
      <c r="G1637" s="74"/>
      <c r="H1637" s="74"/>
      <c r="I1637" s="74"/>
      <c r="J1637" s="51"/>
      <c r="K1637" s="4"/>
      <c r="L1637" s="15"/>
      <c r="M1637" s="14">
        <f>SUM(L1637:L1637)</f>
        <v>0</v>
      </c>
      <c r="N1637" s="165"/>
    </row>
    <row r="1638" spans="1:14" ht="14.25" thickBot="1" x14ac:dyDescent="0.2">
      <c r="B1638" s="3" t="s">
        <v>5</v>
      </c>
      <c r="C1638" s="16">
        <f>SUM(C1614:C1637)</f>
        <v>991</v>
      </c>
      <c r="D1638" s="17">
        <f>SUM(D1614:D1637)</f>
        <v>991</v>
      </c>
      <c r="K1638" s="3" t="s">
        <v>5</v>
      </c>
      <c r="L1638" s="16">
        <f>SUM(L1614:L1637)</f>
        <v>1500</v>
      </c>
      <c r="M1638" s="17">
        <f>SUM(M1614:M1637)</f>
        <v>1500</v>
      </c>
    </row>
    <row r="1639" spans="1:14" ht="14.25" thickBot="1" x14ac:dyDescent="0.2">
      <c r="B1639" s="18" t="s">
        <v>6</v>
      </c>
      <c r="C1639" s="19">
        <f>C1613-C1638</f>
        <v>192</v>
      </c>
      <c r="D1639" s="13">
        <f>D1613-D1638</f>
        <v>192</v>
      </c>
      <c r="K1639" s="18" t="s">
        <v>6</v>
      </c>
      <c r="L1639" s="19">
        <f>L1613-L1638</f>
        <v>2390</v>
      </c>
      <c r="M1639" s="13">
        <f>M1613-M1638</f>
        <v>2390</v>
      </c>
    </row>
    <row r="1641" spans="1:14" ht="18" thickBot="1" x14ac:dyDescent="0.25">
      <c r="A1641" s="27" t="s">
        <v>8</v>
      </c>
      <c r="B1641" s="28"/>
      <c r="C1641" s="28"/>
      <c r="D1641" s="28"/>
      <c r="J1641" s="139" t="s">
        <v>218</v>
      </c>
      <c r="K1641" s="140"/>
      <c r="L1641" s="140"/>
      <c r="M1641" s="140"/>
    </row>
    <row r="1642" spans="1:14" ht="14.25" thickBot="1" x14ac:dyDescent="0.2">
      <c r="B1642" s="2"/>
      <c r="C1642" s="3" t="s">
        <v>0</v>
      </c>
      <c r="D1642" s="2" t="s">
        <v>1</v>
      </c>
      <c r="K1642" s="2"/>
      <c r="L1642" s="3" t="s">
        <v>0</v>
      </c>
      <c r="M1642" s="2" t="s">
        <v>1</v>
      </c>
    </row>
    <row r="1643" spans="1:14" x14ac:dyDescent="0.15">
      <c r="B1643" s="43" t="s">
        <v>26</v>
      </c>
      <c r="C1643" s="38">
        <f>C1639</f>
        <v>192</v>
      </c>
      <c r="D1643" s="39">
        <f t="shared" ref="D1643:D1653" si="167">SUM(C1643:C1643)</f>
        <v>192</v>
      </c>
      <c r="K1643" s="43" t="s">
        <v>26</v>
      </c>
      <c r="L1643" s="38">
        <f>L1639</f>
        <v>2390</v>
      </c>
      <c r="M1643" s="39">
        <f t="shared" ref="M1643:M1653" si="168">SUM(L1643:L1643)</f>
        <v>2390</v>
      </c>
    </row>
    <row r="1644" spans="1:14" x14ac:dyDescent="0.15">
      <c r="B1644" s="6" t="s">
        <v>3</v>
      </c>
      <c r="C1644" s="7"/>
      <c r="D1644" s="5">
        <f t="shared" si="167"/>
        <v>0</v>
      </c>
      <c r="J1644" s="75"/>
      <c r="K1644" s="6" t="s">
        <v>3</v>
      </c>
      <c r="L1644" s="7"/>
      <c r="M1644" s="5">
        <f t="shared" si="168"/>
        <v>0</v>
      </c>
    </row>
    <row r="1645" spans="1:14" x14ac:dyDescent="0.15">
      <c r="B1645" s="6" t="s">
        <v>3</v>
      </c>
      <c r="C1645" s="7">
        <v>200</v>
      </c>
      <c r="D1645" s="5">
        <f t="shared" si="167"/>
        <v>200</v>
      </c>
      <c r="E1645" s="74">
        <v>42531</v>
      </c>
      <c r="F1645" s="74"/>
      <c r="G1645" s="74"/>
      <c r="H1645" s="74"/>
      <c r="I1645" s="74"/>
      <c r="K1645" s="6" t="s">
        <v>3</v>
      </c>
      <c r="L1645" s="7"/>
      <c r="M1645" s="5">
        <f t="shared" si="168"/>
        <v>0</v>
      </c>
      <c r="N1645" s="74"/>
    </row>
    <row r="1646" spans="1:14" x14ac:dyDescent="0.15">
      <c r="B1646" s="6" t="s">
        <v>71</v>
      </c>
      <c r="C1646" s="7">
        <v>1</v>
      </c>
      <c r="D1646" s="5">
        <f t="shared" si="167"/>
        <v>1</v>
      </c>
      <c r="E1646" s="48">
        <v>42534</v>
      </c>
      <c r="F1646" s="48"/>
      <c r="G1646" s="48"/>
      <c r="H1646" s="48"/>
      <c r="I1646" s="48"/>
      <c r="K1646" s="6" t="s">
        <v>3</v>
      </c>
      <c r="L1646" s="7"/>
      <c r="M1646" s="5">
        <f t="shared" si="168"/>
        <v>0</v>
      </c>
      <c r="N1646" s="74"/>
    </row>
    <row r="1647" spans="1:14" x14ac:dyDescent="0.15">
      <c r="B1647" s="6" t="s">
        <v>3</v>
      </c>
      <c r="C1647" s="7">
        <v>200</v>
      </c>
      <c r="D1647" s="5">
        <f t="shared" si="167"/>
        <v>200</v>
      </c>
      <c r="E1647" s="74">
        <v>42536</v>
      </c>
      <c r="F1647" s="74"/>
      <c r="G1647" s="74"/>
      <c r="H1647" s="74"/>
      <c r="I1647" s="74"/>
      <c r="K1647" s="6" t="s">
        <v>3</v>
      </c>
      <c r="L1647" s="7"/>
      <c r="M1647" s="5">
        <f t="shared" si="168"/>
        <v>0</v>
      </c>
      <c r="N1647" s="74"/>
    </row>
    <row r="1648" spans="1:14" x14ac:dyDescent="0.15">
      <c r="B1648" s="6" t="s">
        <v>3</v>
      </c>
      <c r="C1648" s="7">
        <v>200</v>
      </c>
      <c r="D1648" s="5">
        <f t="shared" si="167"/>
        <v>200</v>
      </c>
      <c r="E1648" s="74">
        <v>42539</v>
      </c>
      <c r="F1648" s="74"/>
      <c r="G1648" s="74"/>
      <c r="H1648" s="74"/>
      <c r="I1648" s="74"/>
      <c r="K1648" s="6" t="s">
        <v>3</v>
      </c>
      <c r="L1648" s="7"/>
      <c r="M1648" s="5">
        <f t="shared" si="168"/>
        <v>0</v>
      </c>
      <c r="N1648" s="75"/>
    </row>
    <row r="1649" spans="2:14" x14ac:dyDescent="0.15">
      <c r="B1649" s="6" t="s">
        <v>3</v>
      </c>
      <c r="C1649" s="7">
        <v>200</v>
      </c>
      <c r="D1649" s="5">
        <f t="shared" si="167"/>
        <v>200</v>
      </c>
      <c r="E1649" s="74">
        <v>42543</v>
      </c>
      <c r="F1649" s="74"/>
      <c r="G1649" s="74"/>
      <c r="H1649" s="74"/>
      <c r="I1649" s="74"/>
      <c r="K1649" s="6" t="s">
        <v>3</v>
      </c>
      <c r="L1649" s="7"/>
      <c r="M1649" s="5">
        <f t="shared" si="168"/>
        <v>0</v>
      </c>
    </row>
    <row r="1650" spans="2:14" x14ac:dyDescent="0.15">
      <c r="B1650" s="6" t="s">
        <v>3</v>
      </c>
      <c r="C1650" s="54">
        <v>200</v>
      </c>
      <c r="D1650" s="5">
        <f t="shared" si="167"/>
        <v>200</v>
      </c>
      <c r="E1650" s="74">
        <v>42548</v>
      </c>
      <c r="F1650" s="74"/>
      <c r="G1650" s="74"/>
      <c r="H1650" s="74"/>
      <c r="I1650" s="74"/>
      <c r="K1650" s="6" t="s">
        <v>3</v>
      </c>
      <c r="L1650" s="7"/>
      <c r="M1650" s="5">
        <f t="shared" si="168"/>
        <v>0</v>
      </c>
    </row>
    <row r="1651" spans="2:14" x14ac:dyDescent="0.15">
      <c r="B1651" s="6" t="s">
        <v>3</v>
      </c>
      <c r="C1651" s="54"/>
      <c r="D1651" s="5">
        <f t="shared" si="167"/>
        <v>0</v>
      </c>
      <c r="E1651" s="75"/>
      <c r="F1651" s="75"/>
      <c r="G1651" s="75"/>
      <c r="H1651" s="75"/>
      <c r="I1651" s="75"/>
      <c r="K1651" s="6" t="s">
        <v>3</v>
      </c>
      <c r="L1651" s="7"/>
      <c r="M1651" s="5">
        <f t="shared" si="168"/>
        <v>0</v>
      </c>
    </row>
    <row r="1652" spans="2:14" x14ac:dyDescent="0.15">
      <c r="B1652" s="6" t="s">
        <v>3</v>
      </c>
      <c r="C1652" s="54"/>
      <c r="D1652" s="5">
        <f t="shared" si="167"/>
        <v>0</v>
      </c>
      <c r="K1652" s="6" t="s">
        <v>3</v>
      </c>
      <c r="L1652" s="7"/>
      <c r="M1652" s="5">
        <f t="shared" si="168"/>
        <v>0</v>
      </c>
    </row>
    <row r="1653" spans="2:14" ht="14.25" thickBot="1" x14ac:dyDescent="0.2">
      <c r="B1653" s="9" t="s">
        <v>3</v>
      </c>
      <c r="C1653" s="101"/>
      <c r="D1653" s="5">
        <f t="shared" si="167"/>
        <v>0</v>
      </c>
      <c r="K1653" s="9" t="s">
        <v>3</v>
      </c>
      <c r="L1653" s="10"/>
      <c r="M1653" s="5">
        <f t="shared" si="168"/>
        <v>0</v>
      </c>
    </row>
    <row r="1654" spans="2:14" ht="14.25" thickBot="1" x14ac:dyDescent="0.2">
      <c r="B1654" s="11" t="s">
        <v>4</v>
      </c>
      <c r="C1654" s="12">
        <f>SUM(C1643:C1653)</f>
        <v>1193</v>
      </c>
      <c r="D1654" s="13">
        <f>SUM(D1643:D1653)</f>
        <v>1193</v>
      </c>
      <c r="K1654" s="11" t="s">
        <v>4</v>
      </c>
      <c r="L1654" s="12">
        <f>SUM(L1643:L1653)</f>
        <v>2390</v>
      </c>
      <c r="M1654" s="13">
        <f>SUM(M1643:M1653)</f>
        <v>2390</v>
      </c>
    </row>
    <row r="1655" spans="2:14" x14ac:dyDescent="0.15">
      <c r="B1655" s="71" t="s">
        <v>329</v>
      </c>
      <c r="C1655" s="15">
        <v>40</v>
      </c>
      <c r="D1655" s="14">
        <f>C1655</f>
        <v>40</v>
      </c>
      <c r="E1655" s="74">
        <v>42531</v>
      </c>
      <c r="F1655" s="74"/>
      <c r="G1655" s="74"/>
      <c r="H1655" s="74"/>
      <c r="I1655" s="74"/>
      <c r="K1655" s="4" t="s">
        <v>9</v>
      </c>
      <c r="L1655" s="44">
        <v>200</v>
      </c>
      <c r="M1655" s="14">
        <f t="shared" ref="M1655:M1665" si="169">SUM(L1655:L1655)</f>
        <v>200</v>
      </c>
      <c r="N1655" s="74">
        <v>42539</v>
      </c>
    </row>
    <row r="1656" spans="2:14" x14ac:dyDescent="0.15">
      <c r="B1656" s="71" t="s">
        <v>330</v>
      </c>
      <c r="C1656" s="15">
        <v>16</v>
      </c>
      <c r="D1656" s="14">
        <f>SUM(C1656)</f>
        <v>16</v>
      </c>
      <c r="E1656" s="74">
        <v>42529</v>
      </c>
      <c r="F1656" s="74"/>
      <c r="G1656" s="74"/>
      <c r="H1656" s="74"/>
      <c r="I1656" s="74"/>
      <c r="J1656" s="51"/>
      <c r="K1656" s="4" t="s">
        <v>9</v>
      </c>
      <c r="L1656" s="15">
        <v>200</v>
      </c>
      <c r="M1656" s="14">
        <f t="shared" si="169"/>
        <v>200</v>
      </c>
      <c r="N1656" s="74">
        <v>42543</v>
      </c>
    </row>
    <row r="1657" spans="2:14" x14ac:dyDescent="0.15">
      <c r="B1657" s="71" t="s">
        <v>331</v>
      </c>
      <c r="C1657" s="15">
        <v>50</v>
      </c>
      <c r="D1657" s="14">
        <f>SUM(C1657)</f>
        <v>50</v>
      </c>
      <c r="E1657" s="74">
        <v>42531</v>
      </c>
      <c r="F1657" s="74"/>
      <c r="G1657" s="74"/>
      <c r="H1657" s="74"/>
      <c r="I1657" s="74"/>
      <c r="J1657" s="51"/>
      <c r="K1657" s="4" t="s">
        <v>337</v>
      </c>
      <c r="L1657" s="15">
        <v>535</v>
      </c>
      <c r="M1657" s="14">
        <f t="shared" si="169"/>
        <v>535</v>
      </c>
      <c r="N1657" s="74">
        <v>42543</v>
      </c>
    </row>
    <row r="1658" spans="2:14" x14ac:dyDescent="0.15">
      <c r="B1658" s="71" t="s">
        <v>332</v>
      </c>
      <c r="C1658" s="15">
        <v>31</v>
      </c>
      <c r="D1658" s="14">
        <f>SUM(C1658)</f>
        <v>31</v>
      </c>
      <c r="E1658" s="74">
        <v>42530</v>
      </c>
      <c r="F1658" s="74"/>
      <c r="G1658" s="74"/>
      <c r="H1658" s="74"/>
      <c r="I1658" s="74"/>
      <c r="J1658" s="51"/>
      <c r="K1658" s="4" t="s">
        <v>9</v>
      </c>
      <c r="L1658" s="15">
        <v>200</v>
      </c>
      <c r="M1658" s="14">
        <f t="shared" si="169"/>
        <v>200</v>
      </c>
      <c r="N1658" s="74">
        <v>42548</v>
      </c>
    </row>
    <row r="1659" spans="2:14" x14ac:dyDescent="0.15">
      <c r="B1659" s="71" t="s">
        <v>328</v>
      </c>
      <c r="C1659" s="15">
        <v>3</v>
      </c>
      <c r="D1659" s="14">
        <f>SUM(C1659)</f>
        <v>3</v>
      </c>
      <c r="E1659" s="74">
        <v>42535</v>
      </c>
      <c r="F1659" s="74"/>
      <c r="G1659" s="74"/>
      <c r="H1659" s="74"/>
      <c r="I1659" s="74"/>
      <c r="J1659" s="51"/>
      <c r="K1659" s="6"/>
      <c r="L1659" s="15"/>
      <c r="M1659" s="14">
        <f t="shared" si="169"/>
        <v>0</v>
      </c>
      <c r="N1659" s="75"/>
    </row>
    <row r="1660" spans="2:14" x14ac:dyDescent="0.15">
      <c r="B1660" s="71" t="s">
        <v>162</v>
      </c>
      <c r="C1660" s="15">
        <v>29</v>
      </c>
      <c r="D1660" s="14">
        <f>SUM(C1660)</f>
        <v>29</v>
      </c>
      <c r="E1660" s="74">
        <v>42531</v>
      </c>
      <c r="F1660" s="74"/>
      <c r="G1660" s="74"/>
      <c r="H1660" s="74"/>
      <c r="I1660" s="74"/>
      <c r="J1660" s="51"/>
      <c r="K1660" s="4"/>
      <c r="L1660" s="15"/>
      <c r="M1660" s="14">
        <f t="shared" si="169"/>
        <v>0</v>
      </c>
    </row>
    <row r="1661" spans="2:14" x14ac:dyDescent="0.15">
      <c r="B1661" s="71" t="s">
        <v>333</v>
      </c>
      <c r="C1661" s="15">
        <v>132</v>
      </c>
      <c r="D1661" s="14">
        <f t="shared" ref="D1661:D1676" si="170">SUM(C1661)</f>
        <v>132</v>
      </c>
      <c r="E1661" s="74">
        <v>42534</v>
      </c>
      <c r="F1661" s="74"/>
      <c r="G1661" s="74"/>
      <c r="H1661" s="74"/>
      <c r="I1661" s="74"/>
      <c r="J1661" s="51"/>
      <c r="K1661" s="6"/>
      <c r="L1661" s="15"/>
      <c r="M1661" s="14">
        <f t="shared" si="169"/>
        <v>0</v>
      </c>
    </row>
    <row r="1662" spans="2:14" x14ac:dyDescent="0.15">
      <c r="B1662" s="71" t="s">
        <v>328</v>
      </c>
      <c r="C1662" s="15">
        <v>24</v>
      </c>
      <c r="D1662" s="14">
        <f t="shared" si="170"/>
        <v>24</v>
      </c>
      <c r="E1662" s="74">
        <v>42537</v>
      </c>
      <c r="F1662" s="74"/>
      <c r="G1662" s="74"/>
      <c r="H1662" s="74"/>
      <c r="I1662" s="74"/>
      <c r="J1662" s="51"/>
      <c r="K1662" s="6"/>
      <c r="L1662" s="15"/>
      <c r="M1662" s="14">
        <f t="shared" si="169"/>
        <v>0</v>
      </c>
    </row>
    <row r="1663" spans="2:14" x14ac:dyDescent="0.15">
      <c r="B1663" s="71" t="s">
        <v>335</v>
      </c>
      <c r="C1663" s="15">
        <v>24</v>
      </c>
      <c r="D1663" s="14">
        <f t="shared" si="170"/>
        <v>24</v>
      </c>
      <c r="E1663" s="48">
        <v>42535</v>
      </c>
      <c r="F1663" s="48"/>
      <c r="G1663" s="48"/>
      <c r="H1663" s="48"/>
      <c r="I1663" s="48"/>
      <c r="J1663" s="51"/>
      <c r="K1663" s="4"/>
      <c r="L1663" s="15"/>
      <c r="M1663" s="14">
        <f t="shared" si="169"/>
        <v>0</v>
      </c>
    </row>
    <row r="1664" spans="2:14" x14ac:dyDescent="0.15">
      <c r="B1664" s="71" t="s">
        <v>334</v>
      </c>
      <c r="C1664" s="15">
        <v>100</v>
      </c>
      <c r="D1664" s="14">
        <f t="shared" si="170"/>
        <v>100</v>
      </c>
      <c r="E1664" s="74">
        <v>42537</v>
      </c>
      <c r="F1664" s="74"/>
      <c r="G1664" s="74"/>
      <c r="H1664" s="74"/>
      <c r="I1664" s="74"/>
      <c r="J1664" s="51"/>
      <c r="K1664" s="4"/>
      <c r="L1664" s="15"/>
      <c r="M1664" s="14">
        <f t="shared" si="169"/>
        <v>0</v>
      </c>
    </row>
    <row r="1665" spans="2:14" x14ac:dyDescent="0.15">
      <c r="B1665" s="71" t="s">
        <v>162</v>
      </c>
      <c r="C1665" s="15">
        <v>38</v>
      </c>
      <c r="D1665" s="14">
        <f t="shared" si="170"/>
        <v>38</v>
      </c>
      <c r="E1665" s="48">
        <v>42536</v>
      </c>
      <c r="F1665" s="48"/>
      <c r="G1665" s="48"/>
      <c r="H1665" s="48"/>
      <c r="I1665" s="48"/>
      <c r="J1665" s="51"/>
      <c r="K1665" s="4"/>
      <c r="L1665" s="15"/>
      <c r="M1665" s="14">
        <f t="shared" si="169"/>
        <v>0</v>
      </c>
    </row>
    <row r="1666" spans="2:14" x14ac:dyDescent="0.15">
      <c r="B1666" s="71" t="s">
        <v>162</v>
      </c>
      <c r="C1666" s="15">
        <v>27</v>
      </c>
      <c r="D1666" s="14">
        <f t="shared" si="170"/>
        <v>27</v>
      </c>
      <c r="E1666" s="48">
        <v>42537</v>
      </c>
      <c r="F1666" s="48"/>
      <c r="G1666" s="48"/>
      <c r="H1666" s="48"/>
      <c r="I1666" s="48"/>
      <c r="J1666" s="51"/>
      <c r="K1666" s="4"/>
      <c r="L1666" s="15"/>
      <c r="M1666" s="14">
        <f>SUM(L1666:L1666)</f>
        <v>0</v>
      </c>
    </row>
    <row r="1667" spans="2:14" x14ac:dyDescent="0.15">
      <c r="B1667" s="71" t="s">
        <v>95</v>
      </c>
      <c r="C1667" s="15">
        <v>50</v>
      </c>
      <c r="D1667" s="14">
        <f t="shared" si="170"/>
        <v>50</v>
      </c>
      <c r="E1667" s="74">
        <v>42541</v>
      </c>
      <c r="F1667" s="74"/>
      <c r="G1667" s="74"/>
      <c r="H1667" s="74"/>
      <c r="I1667" s="74"/>
      <c r="J1667" s="51"/>
      <c r="K1667" s="6"/>
      <c r="L1667" s="15"/>
      <c r="M1667" s="14">
        <f>SUM(L1667)</f>
        <v>0</v>
      </c>
    </row>
    <row r="1668" spans="2:14" x14ac:dyDescent="0.15">
      <c r="B1668" s="71" t="s">
        <v>162</v>
      </c>
      <c r="C1668" s="15">
        <v>28</v>
      </c>
      <c r="D1668" s="14">
        <f t="shared" si="170"/>
        <v>28</v>
      </c>
      <c r="E1668" s="48">
        <v>42538</v>
      </c>
      <c r="F1668" s="48"/>
      <c r="G1668" s="48"/>
      <c r="H1668" s="48"/>
      <c r="I1668" s="48"/>
      <c r="J1668" s="51"/>
      <c r="K1668" s="4"/>
      <c r="L1668" s="15"/>
      <c r="M1668" s="14">
        <f>SUM(L1668:L1668)</f>
        <v>0</v>
      </c>
      <c r="N1668" s="165"/>
    </row>
    <row r="1669" spans="2:14" x14ac:dyDescent="0.15">
      <c r="B1669" s="71" t="s">
        <v>162</v>
      </c>
      <c r="C1669" s="15">
        <v>21</v>
      </c>
      <c r="D1669" s="14">
        <f t="shared" si="170"/>
        <v>21</v>
      </c>
      <c r="E1669" s="48">
        <v>42539</v>
      </c>
      <c r="F1669" s="48"/>
      <c r="G1669" s="48"/>
      <c r="H1669" s="48"/>
      <c r="I1669" s="48"/>
      <c r="J1669" s="51"/>
      <c r="K1669" s="4"/>
      <c r="L1669" s="15"/>
      <c r="M1669" s="14">
        <f>SUM(L1669:L1669)</f>
        <v>0</v>
      </c>
      <c r="N1669" s="75"/>
    </row>
    <row r="1670" spans="2:14" x14ac:dyDescent="0.15">
      <c r="B1670" s="71" t="s">
        <v>162</v>
      </c>
      <c r="C1670" s="15">
        <v>72</v>
      </c>
      <c r="D1670" s="14">
        <f t="shared" si="170"/>
        <v>72</v>
      </c>
      <c r="E1670" s="48">
        <v>42541</v>
      </c>
      <c r="F1670" s="48"/>
      <c r="G1670" s="48"/>
      <c r="H1670" s="48"/>
      <c r="I1670" s="48"/>
      <c r="J1670" s="51"/>
      <c r="K1670" s="4"/>
      <c r="L1670" s="15"/>
      <c r="M1670" s="14">
        <f>SUM(L1670)</f>
        <v>0</v>
      </c>
      <c r="N1670" s="75"/>
    </row>
    <row r="1671" spans="2:14" x14ac:dyDescent="0.15">
      <c r="B1671" s="71" t="s">
        <v>162</v>
      </c>
      <c r="C1671" s="15">
        <v>34</v>
      </c>
      <c r="D1671" s="14">
        <f t="shared" si="170"/>
        <v>34</v>
      </c>
      <c r="E1671" s="48">
        <v>42542</v>
      </c>
      <c r="F1671" s="48"/>
      <c r="G1671" s="48"/>
      <c r="H1671" s="48"/>
      <c r="I1671" s="48"/>
      <c r="J1671" s="51"/>
      <c r="K1671" s="4"/>
      <c r="L1671" s="15"/>
      <c r="M1671" s="14">
        <f>SUM(L1671:L1671)</f>
        <v>0</v>
      </c>
      <c r="N1671" s="75"/>
    </row>
    <row r="1672" spans="2:14" x14ac:dyDescent="0.15">
      <c r="B1672" s="71" t="s">
        <v>162</v>
      </c>
      <c r="C1672" s="15">
        <v>26</v>
      </c>
      <c r="D1672" s="14">
        <f t="shared" si="170"/>
        <v>26</v>
      </c>
      <c r="E1672" s="48">
        <v>42543</v>
      </c>
      <c r="F1672" s="48"/>
      <c r="G1672" s="48"/>
      <c r="H1672" s="48"/>
      <c r="I1672" s="48"/>
      <c r="J1672" s="51"/>
      <c r="K1672" s="4"/>
      <c r="L1672" s="15"/>
      <c r="M1672" s="14">
        <f>SUM(L1672:L1672)</f>
        <v>0</v>
      </c>
      <c r="N1672" s="165"/>
    </row>
    <row r="1673" spans="2:14" x14ac:dyDescent="0.15">
      <c r="B1673" s="71" t="s">
        <v>338</v>
      </c>
      <c r="C1673" s="15">
        <v>35</v>
      </c>
      <c r="D1673" s="14">
        <f t="shared" si="170"/>
        <v>35</v>
      </c>
      <c r="E1673" s="48">
        <v>42544</v>
      </c>
      <c r="F1673" s="48"/>
      <c r="G1673" s="48"/>
      <c r="H1673" s="48"/>
      <c r="I1673" s="48"/>
      <c r="J1673" s="51"/>
      <c r="K1673" s="4"/>
      <c r="L1673" s="15"/>
      <c r="M1673" s="14">
        <f>SUM(L1673)</f>
        <v>0</v>
      </c>
      <c r="N1673" s="74"/>
    </row>
    <row r="1674" spans="2:14" x14ac:dyDescent="0.15">
      <c r="B1674" s="71" t="s">
        <v>140</v>
      </c>
      <c r="C1674" s="15">
        <v>50</v>
      </c>
      <c r="D1674" s="14">
        <f t="shared" si="170"/>
        <v>50</v>
      </c>
      <c r="E1674" s="74">
        <v>42546</v>
      </c>
      <c r="F1674" s="74"/>
      <c r="G1674" s="74"/>
      <c r="H1674" s="74"/>
      <c r="I1674" s="74"/>
      <c r="J1674" s="51"/>
      <c r="K1674" s="4"/>
      <c r="L1674" s="15"/>
      <c r="M1674" s="14">
        <f>SUM(L1674:L1674)</f>
        <v>0</v>
      </c>
      <c r="N1674" s="75"/>
    </row>
    <row r="1675" spans="2:14" x14ac:dyDescent="0.15">
      <c r="B1675" s="71" t="s">
        <v>340</v>
      </c>
      <c r="C1675" s="15">
        <v>28</v>
      </c>
      <c r="D1675" s="14">
        <f t="shared" si="170"/>
        <v>28</v>
      </c>
      <c r="E1675" s="48">
        <v>42545</v>
      </c>
      <c r="F1675" s="48"/>
      <c r="G1675" s="48"/>
      <c r="H1675" s="48"/>
      <c r="I1675" s="48"/>
      <c r="J1675" s="51"/>
      <c r="K1675" s="4"/>
      <c r="L1675" s="15"/>
      <c r="M1675" s="14">
        <f>SUM(L1675)</f>
        <v>0</v>
      </c>
      <c r="N1675" s="75"/>
    </row>
    <row r="1676" spans="2:14" x14ac:dyDescent="0.15">
      <c r="B1676" s="71" t="s">
        <v>339</v>
      </c>
      <c r="C1676" s="15">
        <v>50</v>
      </c>
      <c r="D1676" s="14">
        <f t="shared" si="170"/>
        <v>50</v>
      </c>
      <c r="E1676" s="74">
        <v>42556</v>
      </c>
      <c r="F1676" s="74"/>
      <c r="G1676" s="74"/>
      <c r="H1676" s="74"/>
      <c r="I1676" s="74"/>
      <c r="J1676" s="51"/>
      <c r="K1676" s="4"/>
      <c r="L1676" s="15"/>
      <c r="M1676" s="14">
        <f>SUM(L1676)</f>
        <v>0</v>
      </c>
      <c r="N1676" s="75"/>
    </row>
    <row r="1677" spans="2:14" x14ac:dyDescent="0.15">
      <c r="B1677" s="71" t="s">
        <v>162</v>
      </c>
      <c r="C1677" s="15">
        <v>19</v>
      </c>
      <c r="D1677" s="14">
        <f>SUM(C1677)</f>
        <v>19</v>
      </c>
      <c r="E1677" s="74">
        <v>42546</v>
      </c>
      <c r="F1677" s="74"/>
      <c r="G1677" s="74"/>
      <c r="H1677" s="74"/>
      <c r="I1677" s="74"/>
      <c r="J1677" s="51"/>
      <c r="K1677" s="4"/>
      <c r="L1677" s="15"/>
      <c r="M1677" s="14">
        <f>SUM(L1677)</f>
        <v>0</v>
      </c>
      <c r="N1677" s="75"/>
    </row>
    <row r="1678" spans="2:14" ht="14.25" thickBot="1" x14ac:dyDescent="0.2">
      <c r="B1678" s="71" t="s">
        <v>342</v>
      </c>
      <c r="C1678" s="15">
        <v>62</v>
      </c>
      <c r="D1678" s="14">
        <f>SUM(C1678)</f>
        <v>62</v>
      </c>
      <c r="E1678" s="48">
        <v>42548</v>
      </c>
      <c r="F1678" s="48"/>
      <c r="G1678" s="48"/>
      <c r="H1678" s="48"/>
      <c r="I1678" s="48"/>
      <c r="J1678" s="51"/>
      <c r="K1678" s="4"/>
      <c r="L1678" s="15"/>
      <c r="M1678" s="14">
        <f>SUM(L1678:L1678)</f>
        <v>0</v>
      </c>
      <c r="N1678" s="165"/>
    </row>
    <row r="1679" spans="2:14" ht="14.25" thickBot="1" x14ac:dyDescent="0.2">
      <c r="B1679" s="3" t="s">
        <v>5</v>
      </c>
      <c r="C1679" s="16">
        <f>SUM(C1655:C1678)</f>
        <v>989</v>
      </c>
      <c r="D1679" s="17">
        <f>SUM(D1655:D1678)</f>
        <v>989</v>
      </c>
      <c r="K1679" s="3" t="s">
        <v>5</v>
      </c>
      <c r="L1679" s="16">
        <f>SUM(L1655:L1678)</f>
        <v>1135</v>
      </c>
      <c r="M1679" s="17">
        <f>SUM(M1655:M1678)</f>
        <v>1135</v>
      </c>
    </row>
    <row r="1680" spans="2:14" ht="14.25" thickBot="1" x14ac:dyDescent="0.2">
      <c r="B1680" s="18" t="s">
        <v>6</v>
      </c>
      <c r="C1680" s="19">
        <f>C1654-C1679</f>
        <v>204</v>
      </c>
      <c r="D1680" s="13">
        <f>D1654-D1679</f>
        <v>204</v>
      </c>
      <c r="K1680" s="18" t="s">
        <v>6</v>
      </c>
      <c r="L1680" s="19">
        <f>L1654-L1679</f>
        <v>1255</v>
      </c>
      <c r="M1680" s="13">
        <f>M1654-M1679</f>
        <v>1255</v>
      </c>
    </row>
    <row r="1682" spans="1:14" ht="18" thickBot="1" x14ac:dyDescent="0.25">
      <c r="A1682" s="27" t="s">
        <v>8</v>
      </c>
      <c r="B1682" s="28"/>
      <c r="C1682" s="28"/>
      <c r="D1682" s="28"/>
      <c r="J1682" s="139" t="s">
        <v>218</v>
      </c>
      <c r="K1682" s="140"/>
      <c r="L1682" s="140"/>
      <c r="M1682" s="140"/>
    </row>
    <row r="1683" spans="1:14" ht="14.25" thickBot="1" x14ac:dyDescent="0.2">
      <c r="B1683" s="2"/>
      <c r="C1683" s="3" t="s">
        <v>0</v>
      </c>
      <c r="D1683" s="2" t="s">
        <v>1</v>
      </c>
      <c r="K1683" s="2"/>
      <c r="L1683" s="3" t="s">
        <v>0</v>
      </c>
      <c r="M1683" s="2" t="s">
        <v>1</v>
      </c>
    </row>
    <row r="1684" spans="1:14" x14ac:dyDescent="0.15">
      <c r="B1684" s="43" t="s">
        <v>26</v>
      </c>
      <c r="C1684" s="38">
        <f>C1680</f>
        <v>204</v>
      </c>
      <c r="D1684" s="39">
        <f t="shared" ref="D1684:D1694" si="171">SUM(C1684:C1684)</f>
        <v>204</v>
      </c>
      <c r="K1684" s="43" t="s">
        <v>26</v>
      </c>
      <c r="L1684" s="38">
        <f>L1680</f>
        <v>1255</v>
      </c>
      <c r="M1684" s="39">
        <f t="shared" ref="M1684:M1694" si="172">SUM(L1684:L1684)</f>
        <v>1255</v>
      </c>
    </row>
    <row r="1685" spans="1:14" x14ac:dyDescent="0.15">
      <c r="B1685" s="6" t="s">
        <v>3</v>
      </c>
      <c r="C1685" s="7">
        <v>200</v>
      </c>
      <c r="D1685" s="5">
        <f t="shared" si="171"/>
        <v>200</v>
      </c>
      <c r="E1685" s="74">
        <v>42553</v>
      </c>
      <c r="F1685" s="74"/>
      <c r="G1685" s="74"/>
      <c r="H1685" s="74"/>
      <c r="I1685" s="74"/>
      <c r="J1685" s="75"/>
      <c r="K1685" s="6" t="s">
        <v>3</v>
      </c>
      <c r="L1685" s="7"/>
      <c r="M1685" s="5">
        <f t="shared" si="172"/>
        <v>0</v>
      </c>
    </row>
    <row r="1686" spans="1:14" x14ac:dyDescent="0.15">
      <c r="B1686" s="6" t="s">
        <v>71</v>
      </c>
      <c r="C1686" s="7">
        <v>3</v>
      </c>
      <c r="D1686" s="5">
        <f t="shared" si="171"/>
        <v>3</v>
      </c>
      <c r="E1686" s="48">
        <v>42555</v>
      </c>
      <c r="F1686" s="48"/>
      <c r="G1686" s="48"/>
      <c r="H1686" s="48"/>
      <c r="I1686" s="48"/>
      <c r="K1686" s="6" t="s">
        <v>3</v>
      </c>
      <c r="L1686" s="7"/>
      <c r="M1686" s="5">
        <f t="shared" si="172"/>
        <v>0</v>
      </c>
      <c r="N1686" s="74"/>
    </row>
    <row r="1687" spans="1:14" x14ac:dyDescent="0.15">
      <c r="B1687" s="6" t="s">
        <v>3</v>
      </c>
      <c r="C1687" s="7">
        <v>200</v>
      </c>
      <c r="D1687" s="5">
        <f t="shared" si="171"/>
        <v>200</v>
      </c>
      <c r="E1687" s="74">
        <v>42558</v>
      </c>
      <c r="F1687" s="74"/>
      <c r="G1687" s="74"/>
      <c r="H1687" s="74"/>
      <c r="I1687" s="74"/>
      <c r="K1687" s="6" t="s">
        <v>3</v>
      </c>
      <c r="L1687" s="7">
        <v>3000</v>
      </c>
      <c r="M1687" s="5">
        <f t="shared" si="172"/>
        <v>3000</v>
      </c>
      <c r="N1687" s="74">
        <v>42558</v>
      </c>
    </row>
    <row r="1688" spans="1:14" x14ac:dyDescent="0.15">
      <c r="B1688" s="6" t="s">
        <v>3</v>
      </c>
      <c r="C1688" s="7">
        <v>200</v>
      </c>
      <c r="D1688" s="5">
        <f t="shared" si="171"/>
        <v>200</v>
      </c>
      <c r="E1688" s="74">
        <v>42562</v>
      </c>
      <c r="F1688" s="74"/>
      <c r="G1688" s="74"/>
      <c r="H1688" s="74"/>
      <c r="I1688" s="74"/>
      <c r="K1688" s="6" t="s">
        <v>3</v>
      </c>
      <c r="L1688" s="7">
        <v>2000</v>
      </c>
      <c r="M1688" s="5">
        <f t="shared" si="172"/>
        <v>2000</v>
      </c>
      <c r="N1688" s="74">
        <v>42558</v>
      </c>
    </row>
    <row r="1689" spans="1:14" x14ac:dyDescent="0.15">
      <c r="B1689" s="6" t="s">
        <v>3</v>
      </c>
      <c r="C1689" s="7">
        <v>200</v>
      </c>
      <c r="D1689" s="5">
        <f t="shared" si="171"/>
        <v>200</v>
      </c>
      <c r="E1689" s="74">
        <v>42566</v>
      </c>
      <c r="F1689" s="74"/>
      <c r="G1689" s="74"/>
      <c r="H1689" s="74"/>
      <c r="I1689" s="74"/>
      <c r="K1689" s="6" t="s">
        <v>3</v>
      </c>
      <c r="L1689" s="7"/>
      <c r="M1689" s="5">
        <f t="shared" si="172"/>
        <v>0</v>
      </c>
      <c r="N1689" s="75"/>
    </row>
    <row r="1690" spans="1:14" x14ac:dyDescent="0.15">
      <c r="B1690" s="6" t="s">
        <v>3</v>
      </c>
      <c r="C1690" s="7"/>
      <c r="D1690" s="5">
        <f t="shared" si="171"/>
        <v>0</v>
      </c>
      <c r="E1690" s="74"/>
      <c r="F1690" s="74"/>
      <c r="G1690" s="74"/>
      <c r="H1690" s="74"/>
      <c r="I1690" s="74"/>
      <c r="K1690" s="6" t="s">
        <v>3</v>
      </c>
      <c r="L1690" s="7"/>
      <c r="M1690" s="5">
        <f t="shared" si="172"/>
        <v>0</v>
      </c>
    </row>
    <row r="1691" spans="1:14" x14ac:dyDescent="0.15">
      <c r="B1691" s="6" t="s">
        <v>3</v>
      </c>
      <c r="C1691" s="54"/>
      <c r="D1691" s="5">
        <f t="shared" si="171"/>
        <v>0</v>
      </c>
      <c r="K1691" s="6" t="s">
        <v>3</v>
      </c>
      <c r="L1691" s="7"/>
      <c r="M1691" s="5">
        <f t="shared" si="172"/>
        <v>0</v>
      </c>
    </row>
    <row r="1692" spans="1:14" x14ac:dyDescent="0.15">
      <c r="B1692" s="6" t="s">
        <v>3</v>
      </c>
      <c r="C1692" s="54"/>
      <c r="D1692" s="5">
        <f t="shared" si="171"/>
        <v>0</v>
      </c>
      <c r="K1692" s="6" t="s">
        <v>3</v>
      </c>
      <c r="L1692" s="7"/>
      <c r="M1692" s="5">
        <f t="shared" si="172"/>
        <v>0</v>
      </c>
    </row>
    <row r="1693" spans="1:14" x14ac:dyDescent="0.15">
      <c r="B1693" s="6" t="s">
        <v>3</v>
      </c>
      <c r="C1693" s="54"/>
      <c r="D1693" s="5">
        <f t="shared" si="171"/>
        <v>0</v>
      </c>
      <c r="K1693" s="6" t="s">
        <v>3</v>
      </c>
      <c r="L1693" s="7"/>
      <c r="M1693" s="5">
        <f t="shared" si="172"/>
        <v>0</v>
      </c>
    </row>
    <row r="1694" spans="1:14" ht="14.25" thickBot="1" x14ac:dyDescent="0.2">
      <c r="B1694" s="9" t="s">
        <v>3</v>
      </c>
      <c r="C1694" s="101"/>
      <c r="D1694" s="5">
        <f t="shared" si="171"/>
        <v>0</v>
      </c>
      <c r="K1694" s="9" t="s">
        <v>3</v>
      </c>
      <c r="L1694" s="10"/>
      <c r="M1694" s="5">
        <f t="shared" si="172"/>
        <v>0</v>
      </c>
    </row>
    <row r="1695" spans="1:14" ht="14.25" thickBot="1" x14ac:dyDescent="0.2">
      <c r="B1695" s="11" t="s">
        <v>4</v>
      </c>
      <c r="C1695" s="12">
        <f>SUM(C1684:C1694)</f>
        <v>1007</v>
      </c>
      <c r="D1695" s="13">
        <f>SUM(D1684:D1694)</f>
        <v>1007</v>
      </c>
      <c r="K1695" s="11" t="s">
        <v>4</v>
      </c>
      <c r="L1695" s="12">
        <f>SUM(L1684:L1694)</f>
        <v>6255</v>
      </c>
      <c r="M1695" s="13">
        <f>SUM(M1684:M1694)</f>
        <v>6255</v>
      </c>
    </row>
    <row r="1696" spans="1:14" x14ac:dyDescent="0.15">
      <c r="B1696" s="71" t="s">
        <v>90</v>
      </c>
      <c r="C1696" s="15">
        <v>20</v>
      </c>
      <c r="D1696" s="14">
        <f>C1696</f>
        <v>20</v>
      </c>
      <c r="E1696" s="74">
        <v>42555</v>
      </c>
      <c r="F1696" s="74"/>
      <c r="G1696" s="74"/>
      <c r="H1696" s="74"/>
      <c r="I1696" s="74"/>
      <c r="K1696" s="4" t="s">
        <v>9</v>
      </c>
      <c r="L1696" s="44">
        <v>200</v>
      </c>
      <c r="M1696" s="14">
        <f t="shared" ref="M1696:M1706" si="173">SUM(L1696:L1696)</f>
        <v>200</v>
      </c>
      <c r="N1696" s="74">
        <v>42553</v>
      </c>
    </row>
    <row r="1697" spans="2:14" x14ac:dyDescent="0.15">
      <c r="B1697" s="71" t="s">
        <v>355</v>
      </c>
      <c r="C1697" s="15">
        <v>20</v>
      </c>
      <c r="D1697" s="14">
        <f>SUM(C1697)</f>
        <v>20</v>
      </c>
      <c r="E1697" s="74">
        <v>42555</v>
      </c>
      <c r="F1697" s="74"/>
      <c r="G1697" s="74"/>
      <c r="H1697" s="74"/>
      <c r="I1697" s="74"/>
      <c r="J1697" s="51"/>
      <c r="K1697" s="4" t="s">
        <v>343</v>
      </c>
      <c r="L1697" s="15">
        <v>200</v>
      </c>
      <c r="M1697" s="14">
        <f t="shared" si="173"/>
        <v>200</v>
      </c>
      <c r="N1697" s="74">
        <v>42559</v>
      </c>
    </row>
    <row r="1698" spans="2:14" x14ac:dyDescent="0.15">
      <c r="B1698" s="71" t="s">
        <v>162</v>
      </c>
      <c r="C1698" s="15">
        <v>22</v>
      </c>
      <c r="D1698" s="14">
        <f>SUM(C1698)</f>
        <v>22</v>
      </c>
      <c r="E1698" s="48">
        <v>42549</v>
      </c>
      <c r="F1698" s="48"/>
      <c r="G1698" s="48"/>
      <c r="H1698" s="48"/>
      <c r="I1698" s="48"/>
      <c r="J1698" s="51"/>
      <c r="K1698" s="4" t="s">
        <v>9</v>
      </c>
      <c r="L1698" s="15">
        <v>200</v>
      </c>
      <c r="M1698" s="14">
        <f t="shared" si="173"/>
        <v>200</v>
      </c>
      <c r="N1698" s="74">
        <v>42558</v>
      </c>
    </row>
    <row r="1699" spans="2:14" x14ac:dyDescent="0.15">
      <c r="B1699" s="71" t="s">
        <v>162</v>
      </c>
      <c r="C1699" s="15">
        <v>11</v>
      </c>
      <c r="D1699" s="14">
        <f>SUM(C1699)</f>
        <v>11</v>
      </c>
      <c r="E1699" s="48">
        <v>42550</v>
      </c>
      <c r="F1699" s="48"/>
      <c r="G1699" s="48"/>
      <c r="H1699" s="48"/>
      <c r="I1699" s="48"/>
      <c r="J1699" s="51"/>
      <c r="K1699" s="4" t="s">
        <v>346</v>
      </c>
      <c r="L1699" s="15">
        <v>150</v>
      </c>
      <c r="M1699" s="14">
        <f t="shared" si="173"/>
        <v>150</v>
      </c>
      <c r="N1699" s="74">
        <v>42560</v>
      </c>
    </row>
    <row r="1700" spans="2:14" x14ac:dyDescent="0.15">
      <c r="B1700" s="71" t="s">
        <v>162</v>
      </c>
      <c r="C1700" s="15">
        <v>14</v>
      </c>
      <c r="D1700" s="14">
        <f>SUM(C1700)</f>
        <v>14</v>
      </c>
      <c r="E1700" s="48">
        <v>42551</v>
      </c>
      <c r="F1700" s="48"/>
      <c r="G1700" s="48"/>
      <c r="H1700" s="48"/>
      <c r="I1700" s="48"/>
      <c r="J1700" s="51"/>
      <c r="K1700" s="4" t="s">
        <v>9</v>
      </c>
      <c r="L1700" s="15">
        <v>200</v>
      </c>
      <c r="M1700" s="14">
        <f t="shared" si="173"/>
        <v>200</v>
      </c>
      <c r="N1700" s="74">
        <v>42562</v>
      </c>
    </row>
    <row r="1701" spans="2:14" x14ac:dyDescent="0.15">
      <c r="B1701" s="71" t="s">
        <v>162</v>
      </c>
      <c r="C1701" s="15">
        <v>21</v>
      </c>
      <c r="D1701" s="14">
        <f>SUM(C1701)</f>
        <v>21</v>
      </c>
      <c r="E1701" s="48">
        <v>42552</v>
      </c>
      <c r="F1701" s="48"/>
      <c r="G1701" s="48"/>
      <c r="H1701" s="48"/>
      <c r="I1701" s="48"/>
      <c r="J1701" s="51"/>
      <c r="K1701" s="4" t="s">
        <v>349</v>
      </c>
      <c r="L1701" s="15">
        <v>100</v>
      </c>
      <c r="M1701" s="14">
        <f t="shared" si="173"/>
        <v>100</v>
      </c>
      <c r="N1701" s="74">
        <v>42565</v>
      </c>
    </row>
    <row r="1702" spans="2:14" x14ac:dyDescent="0.15">
      <c r="B1702" s="71" t="s">
        <v>162</v>
      </c>
      <c r="C1702" s="15">
        <v>24</v>
      </c>
      <c r="D1702" s="14">
        <f t="shared" ref="D1702:D1717" si="174">SUM(C1702)</f>
        <v>24</v>
      </c>
      <c r="E1702" s="48">
        <v>42553</v>
      </c>
      <c r="F1702" s="48"/>
      <c r="G1702" s="48"/>
      <c r="H1702" s="48"/>
      <c r="I1702" s="48"/>
      <c r="J1702" s="51"/>
      <c r="K1702" s="4" t="s">
        <v>9</v>
      </c>
      <c r="L1702" s="15">
        <v>200</v>
      </c>
      <c r="M1702" s="14">
        <f t="shared" si="173"/>
        <v>200</v>
      </c>
      <c r="N1702" s="74">
        <v>42566</v>
      </c>
    </row>
    <row r="1703" spans="2:14" x14ac:dyDescent="0.15">
      <c r="B1703" s="71" t="s">
        <v>162</v>
      </c>
      <c r="C1703" s="15">
        <v>77</v>
      </c>
      <c r="D1703" s="14">
        <f t="shared" si="174"/>
        <v>77</v>
      </c>
      <c r="E1703" s="48">
        <v>42555</v>
      </c>
      <c r="F1703" s="48"/>
      <c r="G1703" s="48"/>
      <c r="H1703" s="48"/>
      <c r="I1703" s="48"/>
      <c r="J1703" s="51"/>
      <c r="K1703" s="4"/>
      <c r="L1703" s="15"/>
      <c r="M1703" s="14">
        <f t="shared" si="173"/>
        <v>0</v>
      </c>
      <c r="N1703" s="74"/>
    </row>
    <row r="1704" spans="2:14" x14ac:dyDescent="0.15">
      <c r="B1704" s="71" t="s">
        <v>345</v>
      </c>
      <c r="C1704" s="15">
        <v>63</v>
      </c>
      <c r="D1704" s="14">
        <f t="shared" si="174"/>
        <v>63</v>
      </c>
      <c r="E1704" s="48">
        <v>42556</v>
      </c>
      <c r="F1704" s="48"/>
      <c r="G1704" s="48"/>
      <c r="H1704" s="48"/>
      <c r="I1704" s="48"/>
      <c r="J1704" s="51"/>
      <c r="K1704" s="4"/>
      <c r="L1704" s="15"/>
      <c r="M1704" s="14">
        <f t="shared" si="173"/>
        <v>0</v>
      </c>
    </row>
    <row r="1705" spans="2:14" x14ac:dyDescent="0.15">
      <c r="B1705" s="4" t="s">
        <v>344</v>
      </c>
      <c r="C1705" s="15">
        <v>104</v>
      </c>
      <c r="D1705" s="14">
        <f t="shared" si="174"/>
        <v>104</v>
      </c>
      <c r="E1705" s="74">
        <v>42559</v>
      </c>
      <c r="F1705" s="74"/>
      <c r="G1705" s="74"/>
      <c r="H1705" s="74"/>
      <c r="I1705" s="74"/>
      <c r="J1705" s="51"/>
      <c r="K1705" s="4"/>
      <c r="L1705" s="15"/>
      <c r="M1705" s="14">
        <f t="shared" si="173"/>
        <v>0</v>
      </c>
    </row>
    <row r="1706" spans="2:14" x14ac:dyDescent="0.15">
      <c r="B1706" s="71" t="s">
        <v>162</v>
      </c>
      <c r="C1706" s="15">
        <v>26</v>
      </c>
      <c r="D1706" s="14">
        <f t="shared" si="174"/>
        <v>26</v>
      </c>
      <c r="E1706" s="48">
        <v>42557</v>
      </c>
      <c r="F1706" s="48"/>
      <c r="G1706" s="48"/>
      <c r="H1706" s="48"/>
      <c r="I1706" s="48"/>
      <c r="J1706" s="51"/>
      <c r="K1706" s="4"/>
      <c r="L1706" s="15"/>
      <c r="M1706" s="14">
        <f t="shared" si="173"/>
        <v>0</v>
      </c>
    </row>
    <row r="1707" spans="2:14" x14ac:dyDescent="0.15">
      <c r="B1707" s="71" t="s">
        <v>162</v>
      </c>
      <c r="C1707" s="15">
        <v>47</v>
      </c>
      <c r="D1707" s="14">
        <f t="shared" si="174"/>
        <v>47</v>
      </c>
      <c r="E1707" s="48">
        <v>42558</v>
      </c>
      <c r="F1707" s="48"/>
      <c r="G1707" s="48"/>
      <c r="H1707" s="48"/>
      <c r="I1707" s="48"/>
      <c r="J1707" s="51"/>
      <c r="K1707" s="4"/>
      <c r="L1707" s="15"/>
      <c r="M1707" s="14">
        <f>SUM(L1707:L1707)</f>
        <v>0</v>
      </c>
    </row>
    <row r="1708" spans="2:14" x14ac:dyDescent="0.15">
      <c r="B1708" s="71" t="s">
        <v>348</v>
      </c>
      <c r="C1708" s="15">
        <v>36</v>
      </c>
      <c r="D1708" s="14">
        <f t="shared" si="174"/>
        <v>36</v>
      </c>
      <c r="E1708" s="48">
        <v>42559</v>
      </c>
      <c r="F1708" s="48"/>
      <c r="G1708" s="48"/>
      <c r="H1708" s="48"/>
      <c r="I1708" s="48"/>
      <c r="J1708" s="51"/>
      <c r="K1708" s="6"/>
      <c r="L1708" s="15"/>
      <c r="M1708" s="14">
        <f>SUM(L1708)</f>
        <v>0</v>
      </c>
    </row>
    <row r="1709" spans="2:14" x14ac:dyDescent="0.15">
      <c r="B1709" s="4" t="s">
        <v>347</v>
      </c>
      <c r="C1709" s="15">
        <v>32</v>
      </c>
      <c r="D1709" s="14">
        <f t="shared" si="174"/>
        <v>32</v>
      </c>
      <c r="E1709" s="74">
        <v>42564</v>
      </c>
      <c r="F1709" s="74"/>
      <c r="G1709" s="74"/>
      <c r="H1709" s="74"/>
      <c r="I1709" s="74"/>
      <c r="J1709" s="51"/>
      <c r="K1709" s="4"/>
      <c r="L1709" s="15"/>
      <c r="M1709" s="14">
        <f>SUM(L1709:L1709)</f>
        <v>0</v>
      </c>
      <c r="N1709" s="165"/>
    </row>
    <row r="1710" spans="2:14" x14ac:dyDescent="0.15">
      <c r="B1710" s="71" t="s">
        <v>162</v>
      </c>
      <c r="C1710" s="15">
        <v>121</v>
      </c>
      <c r="D1710" s="14">
        <f t="shared" si="174"/>
        <v>121</v>
      </c>
      <c r="E1710" s="48">
        <v>42562</v>
      </c>
      <c r="F1710" s="48"/>
      <c r="G1710" s="48"/>
      <c r="H1710" s="48"/>
      <c r="I1710" s="48"/>
      <c r="J1710" s="51"/>
      <c r="K1710" s="4"/>
      <c r="L1710" s="15"/>
      <c r="M1710" s="14">
        <f>SUM(L1710:L1710)</f>
        <v>0</v>
      </c>
      <c r="N1710" s="75"/>
    </row>
    <row r="1711" spans="2:14" x14ac:dyDescent="0.15">
      <c r="B1711" s="71" t="s">
        <v>351</v>
      </c>
      <c r="C1711" s="15">
        <v>50</v>
      </c>
      <c r="D1711" s="14">
        <f t="shared" si="174"/>
        <v>50</v>
      </c>
      <c r="E1711" s="48">
        <v>42563</v>
      </c>
      <c r="F1711" s="48"/>
      <c r="G1711" s="48"/>
      <c r="H1711" s="48"/>
      <c r="I1711" s="48"/>
      <c r="J1711" s="51"/>
      <c r="K1711" s="4"/>
      <c r="L1711" s="15"/>
      <c r="M1711" s="14">
        <f>SUM(L1711)</f>
        <v>0</v>
      </c>
      <c r="N1711" s="75"/>
    </row>
    <row r="1712" spans="2:14" x14ac:dyDescent="0.15">
      <c r="B1712" s="71" t="s">
        <v>350</v>
      </c>
      <c r="C1712" s="15">
        <v>2</v>
      </c>
      <c r="D1712" s="14">
        <f t="shared" si="174"/>
        <v>2</v>
      </c>
      <c r="E1712" s="74">
        <v>42565</v>
      </c>
      <c r="F1712" s="74"/>
      <c r="G1712" s="74"/>
      <c r="H1712" s="74"/>
      <c r="I1712" s="74"/>
      <c r="J1712" s="51"/>
      <c r="K1712" s="4"/>
      <c r="L1712" s="15"/>
      <c r="M1712" s="14">
        <f>SUM(L1712:L1712)</f>
        <v>0</v>
      </c>
      <c r="N1712" s="75"/>
    </row>
    <row r="1713" spans="1:14" x14ac:dyDescent="0.15">
      <c r="B1713" s="71" t="s">
        <v>162</v>
      </c>
      <c r="C1713" s="15">
        <v>52</v>
      </c>
      <c r="D1713" s="14">
        <f t="shared" si="174"/>
        <v>52</v>
      </c>
      <c r="E1713" s="48">
        <v>42564</v>
      </c>
      <c r="F1713" s="48"/>
      <c r="G1713" s="48"/>
      <c r="H1713" s="48"/>
      <c r="I1713" s="48"/>
      <c r="J1713" s="51"/>
      <c r="K1713" s="4"/>
      <c r="L1713" s="15"/>
      <c r="M1713" s="14">
        <f>SUM(L1713:L1713)</f>
        <v>0</v>
      </c>
      <c r="N1713" s="165"/>
    </row>
    <row r="1714" spans="1:14" x14ac:dyDescent="0.15">
      <c r="B1714" s="71" t="s">
        <v>162</v>
      </c>
      <c r="C1714" s="15">
        <v>35</v>
      </c>
      <c r="D1714" s="14">
        <f t="shared" si="174"/>
        <v>35</v>
      </c>
      <c r="E1714" s="48">
        <v>42565</v>
      </c>
      <c r="F1714" s="48"/>
      <c r="G1714" s="48"/>
      <c r="H1714" s="48"/>
      <c r="I1714" s="48"/>
      <c r="J1714" s="51"/>
      <c r="K1714" s="4"/>
      <c r="L1714" s="15"/>
      <c r="M1714" s="14">
        <f>SUM(L1714)</f>
        <v>0</v>
      </c>
      <c r="N1714" s="74"/>
    </row>
    <row r="1715" spans="1:14" x14ac:dyDescent="0.15">
      <c r="B1715" s="71" t="s">
        <v>352</v>
      </c>
      <c r="C1715" s="15">
        <v>4</v>
      </c>
      <c r="D1715" s="14">
        <f t="shared" si="174"/>
        <v>4</v>
      </c>
      <c r="E1715" s="74">
        <v>42569</v>
      </c>
      <c r="F1715" s="74"/>
      <c r="G1715" s="74"/>
      <c r="H1715" s="74"/>
      <c r="I1715" s="74"/>
      <c r="J1715" s="51"/>
      <c r="K1715" s="4"/>
      <c r="L1715" s="15"/>
      <c r="M1715" s="14">
        <f>SUM(L1715:L1715)</f>
        <v>0</v>
      </c>
      <c r="N1715" s="75"/>
    </row>
    <row r="1716" spans="1:14" x14ac:dyDescent="0.15">
      <c r="B1716" s="71" t="s">
        <v>353</v>
      </c>
      <c r="C1716" s="15">
        <v>35</v>
      </c>
      <c r="D1716" s="14">
        <f t="shared" si="174"/>
        <v>35</v>
      </c>
      <c r="E1716" s="74">
        <v>42566</v>
      </c>
      <c r="F1716" s="74"/>
      <c r="G1716" s="74"/>
      <c r="H1716" s="74"/>
      <c r="I1716" s="74"/>
      <c r="J1716" s="51"/>
      <c r="K1716" s="4"/>
      <c r="L1716" s="15"/>
      <c r="M1716" s="14">
        <f>SUM(L1716)</f>
        <v>0</v>
      </c>
      <c r="N1716" s="75"/>
    </row>
    <row r="1717" spans="1:14" x14ac:dyDescent="0.15">
      <c r="B1717" s="71" t="s">
        <v>162</v>
      </c>
      <c r="C1717" s="15">
        <v>23</v>
      </c>
      <c r="D1717" s="14">
        <f t="shared" si="174"/>
        <v>23</v>
      </c>
      <c r="E1717" s="48">
        <v>42566</v>
      </c>
      <c r="F1717" s="48"/>
      <c r="G1717" s="48"/>
      <c r="H1717" s="48"/>
      <c r="I1717" s="48"/>
      <c r="J1717" s="51"/>
      <c r="K1717" s="4"/>
      <c r="L1717" s="15"/>
      <c r="M1717" s="14">
        <f>SUM(L1717)</f>
        <v>0</v>
      </c>
      <c r="N1717" s="75"/>
    </row>
    <row r="1718" spans="1:14" x14ac:dyDescent="0.15">
      <c r="B1718" s="71" t="s">
        <v>162</v>
      </c>
      <c r="C1718" s="15">
        <v>27</v>
      </c>
      <c r="D1718" s="14">
        <f>SUM(C1718)</f>
        <v>27</v>
      </c>
      <c r="E1718" s="48">
        <v>42567</v>
      </c>
      <c r="F1718" s="48"/>
      <c r="G1718" s="48"/>
      <c r="H1718" s="48"/>
      <c r="I1718" s="48"/>
      <c r="J1718" s="51"/>
      <c r="K1718" s="4"/>
      <c r="L1718" s="15"/>
      <c r="M1718" s="14">
        <f>SUM(L1718)</f>
        <v>0</v>
      </c>
      <c r="N1718" s="74"/>
    </row>
    <row r="1719" spans="1:14" ht="14.25" thickBot="1" x14ac:dyDescent="0.2">
      <c r="B1719" s="71" t="s">
        <v>318</v>
      </c>
      <c r="C1719" s="15">
        <v>8</v>
      </c>
      <c r="D1719" s="14">
        <f>SUM(C1719)</f>
        <v>8</v>
      </c>
      <c r="E1719" s="74">
        <v>42572</v>
      </c>
      <c r="F1719" s="74"/>
      <c r="G1719" s="74"/>
      <c r="H1719" s="74"/>
      <c r="I1719" s="74"/>
      <c r="J1719" s="51"/>
      <c r="K1719" s="4"/>
      <c r="L1719" s="15"/>
      <c r="M1719" s="14">
        <f>SUM(L1719:L1719)</f>
        <v>0</v>
      </c>
      <c r="N1719" s="74"/>
    </row>
    <row r="1720" spans="1:14" ht="14.25" thickBot="1" x14ac:dyDescent="0.2">
      <c r="B1720" s="3" t="s">
        <v>5</v>
      </c>
      <c r="C1720" s="16">
        <f>SUM(C1696:C1719)</f>
        <v>874</v>
      </c>
      <c r="D1720" s="17">
        <f>SUM(D1696:D1719)</f>
        <v>874</v>
      </c>
      <c r="K1720" s="3" t="s">
        <v>5</v>
      </c>
      <c r="L1720" s="16">
        <f>SUM(L1696:L1719)</f>
        <v>1250</v>
      </c>
      <c r="M1720" s="17">
        <f>SUM(M1696:M1719)</f>
        <v>1250</v>
      </c>
    </row>
    <row r="1721" spans="1:14" ht="14.25" thickBot="1" x14ac:dyDescent="0.2">
      <c r="B1721" s="18" t="s">
        <v>6</v>
      </c>
      <c r="C1721" s="19">
        <f>C1695-C1720</f>
        <v>133</v>
      </c>
      <c r="D1721" s="13">
        <f>D1695-D1720</f>
        <v>133</v>
      </c>
      <c r="K1721" s="18" t="s">
        <v>6</v>
      </c>
      <c r="L1721" s="19">
        <f>L1695-L1720</f>
        <v>5005</v>
      </c>
      <c r="M1721" s="13">
        <f>M1695-M1720</f>
        <v>5005</v>
      </c>
    </row>
    <row r="1723" spans="1:14" ht="18" thickBot="1" x14ac:dyDescent="0.25">
      <c r="A1723" s="27" t="s">
        <v>8</v>
      </c>
      <c r="B1723" s="28"/>
      <c r="C1723" s="28"/>
      <c r="D1723" s="28"/>
      <c r="J1723" s="139" t="s">
        <v>218</v>
      </c>
      <c r="K1723" s="140"/>
      <c r="L1723" s="140"/>
      <c r="M1723" s="140"/>
    </row>
    <row r="1724" spans="1:14" ht="14.25" thickBot="1" x14ac:dyDescent="0.2">
      <c r="B1724" s="2"/>
      <c r="C1724" s="3" t="s">
        <v>0</v>
      </c>
      <c r="D1724" s="2" t="s">
        <v>1</v>
      </c>
      <c r="K1724" s="2"/>
      <c r="L1724" s="3" t="s">
        <v>0</v>
      </c>
      <c r="M1724" s="2" t="s">
        <v>1</v>
      </c>
    </row>
    <row r="1725" spans="1:14" x14ac:dyDescent="0.15">
      <c r="B1725" s="43" t="s">
        <v>26</v>
      </c>
      <c r="C1725" s="38">
        <f>C1721</f>
        <v>133</v>
      </c>
      <c r="D1725" s="39">
        <f t="shared" ref="D1725:D1735" si="175">SUM(C1725:C1725)</f>
        <v>133</v>
      </c>
      <c r="K1725" s="43" t="s">
        <v>26</v>
      </c>
      <c r="L1725" s="38">
        <f>L1721</f>
        <v>5005</v>
      </c>
      <c r="M1725" s="39">
        <f t="shared" ref="M1725:M1735" si="176">SUM(L1725:L1725)</f>
        <v>5005</v>
      </c>
    </row>
    <row r="1726" spans="1:14" x14ac:dyDescent="0.15">
      <c r="B1726" s="6" t="s">
        <v>3</v>
      </c>
      <c r="C1726" s="7"/>
      <c r="D1726" s="5">
        <f t="shared" si="175"/>
        <v>0</v>
      </c>
      <c r="E1726" s="74"/>
      <c r="F1726" s="74"/>
      <c r="G1726" s="74"/>
      <c r="H1726" s="74"/>
      <c r="I1726" s="74"/>
      <c r="J1726" s="75"/>
      <c r="K1726" s="6" t="s">
        <v>3</v>
      </c>
      <c r="L1726" s="7"/>
      <c r="M1726" s="5">
        <f t="shared" si="176"/>
        <v>0</v>
      </c>
    </row>
    <row r="1727" spans="1:14" x14ac:dyDescent="0.15">
      <c r="B1727" s="6" t="s">
        <v>3</v>
      </c>
      <c r="C1727" s="7">
        <v>200</v>
      </c>
      <c r="D1727" s="5">
        <f t="shared" si="175"/>
        <v>200</v>
      </c>
      <c r="E1727" s="74">
        <v>42571</v>
      </c>
      <c r="F1727" s="74"/>
      <c r="G1727" s="74"/>
      <c r="H1727" s="74"/>
      <c r="I1727" s="74"/>
      <c r="K1727" s="6" t="s">
        <v>3</v>
      </c>
      <c r="L1727" s="7"/>
      <c r="M1727" s="5">
        <f t="shared" si="176"/>
        <v>0</v>
      </c>
      <c r="N1727" s="74"/>
    </row>
    <row r="1728" spans="1:14" x14ac:dyDescent="0.15">
      <c r="B1728" s="6" t="s">
        <v>3</v>
      </c>
      <c r="C1728" s="7">
        <v>200</v>
      </c>
      <c r="D1728" s="5">
        <f t="shared" si="175"/>
        <v>200</v>
      </c>
      <c r="E1728" s="74">
        <v>42574</v>
      </c>
      <c r="F1728" s="74"/>
      <c r="G1728" s="74"/>
      <c r="H1728" s="74"/>
      <c r="I1728" s="74"/>
      <c r="K1728" s="6" t="s">
        <v>3</v>
      </c>
      <c r="L1728" s="7"/>
      <c r="M1728" s="5">
        <f t="shared" si="176"/>
        <v>0</v>
      </c>
      <c r="N1728" s="74"/>
    </row>
    <row r="1729" spans="2:14" x14ac:dyDescent="0.15">
      <c r="B1729" s="6" t="s">
        <v>3</v>
      </c>
      <c r="C1729" s="7">
        <v>200</v>
      </c>
      <c r="D1729" s="5">
        <f t="shared" si="175"/>
        <v>200</v>
      </c>
      <c r="E1729" s="74">
        <v>42584</v>
      </c>
      <c r="F1729" s="74"/>
      <c r="G1729" s="74"/>
      <c r="H1729" s="74"/>
      <c r="I1729" s="74"/>
      <c r="K1729" s="6" t="s">
        <v>3</v>
      </c>
      <c r="L1729" s="7"/>
      <c r="M1729" s="5">
        <f t="shared" si="176"/>
        <v>0</v>
      </c>
      <c r="N1729" s="74"/>
    </row>
    <row r="1730" spans="2:14" x14ac:dyDescent="0.15">
      <c r="B1730" s="6" t="s">
        <v>3</v>
      </c>
      <c r="C1730" s="7">
        <v>200</v>
      </c>
      <c r="D1730" s="5">
        <f t="shared" si="175"/>
        <v>200</v>
      </c>
      <c r="E1730" s="74">
        <v>42587</v>
      </c>
      <c r="F1730" s="74"/>
      <c r="G1730" s="74"/>
      <c r="H1730" s="74"/>
      <c r="I1730" s="74"/>
      <c r="J1730" s="100"/>
      <c r="K1730" s="6" t="s">
        <v>3</v>
      </c>
      <c r="L1730" s="7"/>
      <c r="M1730" s="5">
        <f t="shared" si="176"/>
        <v>0</v>
      </c>
      <c r="N1730" s="75"/>
    </row>
    <row r="1731" spans="2:14" x14ac:dyDescent="0.15">
      <c r="B1731" s="6" t="s">
        <v>3</v>
      </c>
      <c r="C1731" s="7"/>
      <c r="D1731" s="5">
        <f t="shared" si="175"/>
        <v>0</v>
      </c>
      <c r="K1731" s="6" t="s">
        <v>3</v>
      </c>
      <c r="L1731" s="7"/>
      <c r="M1731" s="5">
        <f t="shared" si="176"/>
        <v>0</v>
      </c>
    </row>
    <row r="1732" spans="2:14" x14ac:dyDescent="0.15">
      <c r="B1732" s="6" t="s">
        <v>3</v>
      </c>
      <c r="C1732" s="54"/>
      <c r="D1732" s="5">
        <f t="shared" si="175"/>
        <v>0</v>
      </c>
      <c r="K1732" s="6" t="s">
        <v>3</v>
      </c>
      <c r="L1732" s="7"/>
      <c r="M1732" s="5">
        <f t="shared" si="176"/>
        <v>0</v>
      </c>
    </row>
    <row r="1733" spans="2:14" x14ac:dyDescent="0.15">
      <c r="B1733" s="6" t="s">
        <v>3</v>
      </c>
      <c r="C1733" s="54"/>
      <c r="D1733" s="5">
        <f t="shared" si="175"/>
        <v>0</v>
      </c>
      <c r="K1733" s="6" t="s">
        <v>3</v>
      </c>
      <c r="L1733" s="7"/>
      <c r="M1733" s="5">
        <f t="shared" si="176"/>
        <v>0</v>
      </c>
    </row>
    <row r="1734" spans="2:14" x14ac:dyDescent="0.15">
      <c r="B1734" s="6" t="s">
        <v>3</v>
      </c>
      <c r="C1734" s="54"/>
      <c r="D1734" s="5">
        <f t="shared" si="175"/>
        <v>0</v>
      </c>
      <c r="K1734" s="6" t="s">
        <v>3</v>
      </c>
      <c r="L1734" s="7"/>
      <c r="M1734" s="5">
        <f t="shared" si="176"/>
        <v>0</v>
      </c>
    </row>
    <row r="1735" spans="2:14" ht="14.25" thickBot="1" x14ac:dyDescent="0.2">
      <c r="B1735" s="9" t="s">
        <v>3</v>
      </c>
      <c r="C1735" s="101"/>
      <c r="D1735" s="5">
        <f t="shared" si="175"/>
        <v>0</v>
      </c>
      <c r="K1735" s="9" t="s">
        <v>3</v>
      </c>
      <c r="L1735" s="10"/>
      <c r="M1735" s="5">
        <f t="shared" si="176"/>
        <v>0</v>
      </c>
    </row>
    <row r="1736" spans="2:14" ht="14.25" thickBot="1" x14ac:dyDescent="0.2">
      <c r="B1736" s="11" t="s">
        <v>4</v>
      </c>
      <c r="C1736" s="12">
        <f>SUM(C1725:C1735)</f>
        <v>933</v>
      </c>
      <c r="D1736" s="13">
        <f>SUM(D1725:D1735)</f>
        <v>933</v>
      </c>
      <c r="K1736" s="11" t="s">
        <v>4</v>
      </c>
      <c r="L1736" s="12">
        <f>SUM(L1725:L1735)</f>
        <v>5005</v>
      </c>
      <c r="M1736" s="13">
        <f>SUM(M1725:M1735)</f>
        <v>5005</v>
      </c>
    </row>
    <row r="1737" spans="2:14" x14ac:dyDescent="0.15">
      <c r="B1737" s="71" t="s">
        <v>354</v>
      </c>
      <c r="C1737" s="15">
        <v>5</v>
      </c>
      <c r="D1737" s="14">
        <f>C1737</f>
        <v>5</v>
      </c>
      <c r="E1737" s="74">
        <v>42571</v>
      </c>
      <c r="F1737" s="74"/>
      <c r="G1737" s="74"/>
      <c r="H1737" s="74"/>
      <c r="I1737" s="74"/>
      <c r="K1737" s="4" t="s">
        <v>9</v>
      </c>
      <c r="L1737" s="15">
        <v>200</v>
      </c>
      <c r="M1737" s="14">
        <f>SUM(L1737:L1737)</f>
        <v>200</v>
      </c>
      <c r="N1737" s="74">
        <v>42571</v>
      </c>
    </row>
    <row r="1738" spans="2:14" x14ac:dyDescent="0.15">
      <c r="B1738" s="71" t="s">
        <v>162</v>
      </c>
      <c r="C1738" s="15">
        <v>106</v>
      </c>
      <c r="D1738" s="14">
        <f>SUM(C1738)</f>
        <v>106</v>
      </c>
      <c r="E1738" s="74">
        <v>42570</v>
      </c>
      <c r="F1738" s="74"/>
      <c r="G1738" s="74"/>
      <c r="H1738" s="74"/>
      <c r="I1738" s="74"/>
      <c r="J1738" s="51"/>
      <c r="K1738" s="4" t="s">
        <v>9</v>
      </c>
      <c r="L1738" s="15">
        <v>200</v>
      </c>
      <c r="M1738" s="14">
        <f t="shared" ref="M1738:M1747" si="177">SUM(L1738:L1738)</f>
        <v>200</v>
      </c>
      <c r="N1738" s="74">
        <v>42574</v>
      </c>
    </row>
    <row r="1739" spans="2:14" x14ac:dyDescent="0.15">
      <c r="B1739" s="71" t="s">
        <v>355</v>
      </c>
      <c r="C1739" s="15">
        <v>20</v>
      </c>
      <c r="D1739" s="14">
        <f>SUM(C1739)</f>
        <v>20</v>
      </c>
      <c r="E1739" s="74">
        <v>42576</v>
      </c>
      <c r="F1739" s="74"/>
      <c r="G1739" s="74"/>
      <c r="H1739" s="74"/>
      <c r="I1739" s="74"/>
      <c r="J1739" s="51"/>
      <c r="K1739" s="4" t="s">
        <v>9</v>
      </c>
      <c r="L1739" s="15">
        <v>200</v>
      </c>
      <c r="M1739" s="14">
        <f t="shared" si="177"/>
        <v>200</v>
      </c>
      <c r="N1739" s="74">
        <v>42584</v>
      </c>
    </row>
    <row r="1740" spans="2:14" x14ac:dyDescent="0.15">
      <c r="B1740" s="71" t="s">
        <v>356</v>
      </c>
      <c r="C1740" s="15">
        <v>32</v>
      </c>
      <c r="D1740" s="14">
        <f>SUM(C1740)</f>
        <v>32</v>
      </c>
      <c r="E1740" s="74">
        <v>42571</v>
      </c>
      <c r="F1740" s="74"/>
      <c r="G1740" s="74"/>
      <c r="H1740" s="74"/>
      <c r="I1740" s="74"/>
      <c r="J1740" s="51"/>
      <c r="K1740" s="4" t="s">
        <v>362</v>
      </c>
      <c r="L1740" s="15">
        <v>100</v>
      </c>
      <c r="M1740" s="14">
        <f t="shared" si="177"/>
        <v>100</v>
      </c>
      <c r="N1740" s="74">
        <v>42586</v>
      </c>
    </row>
    <row r="1741" spans="2:14" x14ac:dyDescent="0.15">
      <c r="B1741" s="71" t="s">
        <v>357</v>
      </c>
      <c r="C1741" s="15">
        <v>33</v>
      </c>
      <c r="D1741" s="14">
        <f>SUM(C1741)</f>
        <v>33</v>
      </c>
      <c r="E1741" s="48">
        <v>42572</v>
      </c>
      <c r="F1741" s="48"/>
      <c r="G1741" s="48"/>
      <c r="H1741" s="48"/>
      <c r="I1741" s="48"/>
      <c r="J1741" s="51"/>
      <c r="K1741" s="4" t="s">
        <v>9</v>
      </c>
      <c r="L1741" s="15">
        <v>200</v>
      </c>
      <c r="M1741" s="14">
        <f t="shared" si="177"/>
        <v>200</v>
      </c>
      <c r="N1741" s="74">
        <v>42587</v>
      </c>
    </row>
    <row r="1742" spans="2:14" x14ac:dyDescent="0.15">
      <c r="B1742" s="71" t="s">
        <v>350</v>
      </c>
      <c r="C1742" s="15">
        <v>6</v>
      </c>
      <c r="D1742" s="14">
        <f>SUM(C1742)</f>
        <v>6</v>
      </c>
      <c r="E1742" s="74">
        <v>42574</v>
      </c>
      <c r="F1742" s="74"/>
      <c r="G1742" s="74"/>
      <c r="H1742" s="74"/>
      <c r="I1742" s="74"/>
      <c r="J1742" s="51"/>
      <c r="K1742" s="4"/>
      <c r="L1742" s="15"/>
      <c r="M1742" s="14">
        <f t="shared" si="177"/>
        <v>0</v>
      </c>
      <c r="N1742" s="74"/>
    </row>
    <row r="1743" spans="2:14" x14ac:dyDescent="0.15">
      <c r="B1743" s="71" t="s">
        <v>162</v>
      </c>
      <c r="C1743" s="15">
        <v>39</v>
      </c>
      <c r="D1743" s="14">
        <f t="shared" ref="D1743:D1758" si="178">SUM(C1743)</f>
        <v>39</v>
      </c>
      <c r="E1743" s="48">
        <v>42573</v>
      </c>
      <c r="F1743" s="48"/>
      <c r="G1743" s="48"/>
      <c r="H1743" s="48"/>
      <c r="I1743" s="48"/>
      <c r="J1743" s="51"/>
      <c r="K1743" s="4"/>
      <c r="L1743" s="15"/>
      <c r="M1743" s="14">
        <f t="shared" si="177"/>
        <v>0</v>
      </c>
      <c r="N1743" s="137"/>
    </row>
    <row r="1744" spans="2:14" x14ac:dyDescent="0.15">
      <c r="B1744" s="71" t="s">
        <v>162</v>
      </c>
      <c r="C1744" s="15">
        <v>18</v>
      </c>
      <c r="D1744" s="14">
        <f t="shared" si="178"/>
        <v>18</v>
      </c>
      <c r="E1744" s="48">
        <v>42574</v>
      </c>
      <c r="F1744" s="48"/>
      <c r="G1744" s="48"/>
      <c r="H1744" s="48"/>
      <c r="I1744" s="48"/>
      <c r="J1744" s="51"/>
      <c r="K1744" s="6"/>
      <c r="L1744" s="15"/>
      <c r="M1744" s="14">
        <f t="shared" si="177"/>
        <v>0</v>
      </c>
    </row>
    <row r="1745" spans="2:14" x14ac:dyDescent="0.15">
      <c r="B1745" s="71" t="s">
        <v>350</v>
      </c>
      <c r="C1745" s="15">
        <v>3</v>
      </c>
      <c r="D1745" s="14">
        <f t="shared" si="178"/>
        <v>3</v>
      </c>
      <c r="E1745" s="74">
        <v>42577</v>
      </c>
      <c r="F1745" s="74"/>
      <c r="G1745" s="74"/>
      <c r="H1745" s="74"/>
      <c r="I1745" s="74"/>
      <c r="J1745" s="51"/>
      <c r="K1745" s="4"/>
      <c r="L1745" s="15"/>
      <c r="M1745" s="14">
        <f t="shared" si="177"/>
        <v>0</v>
      </c>
    </row>
    <row r="1746" spans="2:14" x14ac:dyDescent="0.15">
      <c r="B1746" s="4" t="s">
        <v>358</v>
      </c>
      <c r="C1746" s="15">
        <v>44</v>
      </c>
      <c r="D1746" s="14">
        <f t="shared" si="178"/>
        <v>44</v>
      </c>
      <c r="E1746" s="74">
        <v>42576</v>
      </c>
      <c r="F1746" s="74"/>
      <c r="G1746" s="74"/>
      <c r="H1746" s="74"/>
      <c r="I1746" s="74"/>
      <c r="J1746" s="51"/>
      <c r="K1746" s="4"/>
      <c r="L1746" s="15"/>
      <c r="M1746" s="14">
        <f t="shared" si="177"/>
        <v>0</v>
      </c>
    </row>
    <row r="1747" spans="2:14" x14ac:dyDescent="0.15">
      <c r="B1747" s="71" t="s">
        <v>90</v>
      </c>
      <c r="C1747" s="15">
        <v>20</v>
      </c>
      <c r="D1747" s="14">
        <f t="shared" si="178"/>
        <v>20</v>
      </c>
      <c r="E1747" s="74">
        <v>42583</v>
      </c>
      <c r="F1747" s="74"/>
      <c r="G1747" s="74"/>
      <c r="H1747" s="74"/>
      <c r="I1747" s="74"/>
      <c r="J1747" s="51"/>
      <c r="K1747" s="4"/>
      <c r="L1747" s="15"/>
      <c r="M1747" s="14">
        <f t="shared" si="177"/>
        <v>0</v>
      </c>
    </row>
    <row r="1748" spans="2:14" x14ac:dyDescent="0.15">
      <c r="B1748" s="71" t="s">
        <v>162</v>
      </c>
      <c r="C1748" s="15">
        <v>20</v>
      </c>
      <c r="D1748" s="14">
        <f t="shared" si="178"/>
        <v>20</v>
      </c>
      <c r="E1748" s="48">
        <v>42577</v>
      </c>
      <c r="F1748" s="48"/>
      <c r="G1748" s="48"/>
      <c r="H1748" s="48"/>
      <c r="I1748" s="48"/>
      <c r="J1748" s="51"/>
      <c r="K1748" s="4"/>
      <c r="L1748" s="15"/>
      <c r="M1748" s="14">
        <f>SUM(L1748:L1748)</f>
        <v>0</v>
      </c>
    </row>
    <row r="1749" spans="2:14" x14ac:dyDescent="0.15">
      <c r="B1749" s="71" t="s">
        <v>359</v>
      </c>
      <c r="C1749" s="15">
        <v>23</v>
      </c>
      <c r="D1749" s="14">
        <f t="shared" si="178"/>
        <v>23</v>
      </c>
      <c r="E1749" s="48">
        <v>42578</v>
      </c>
      <c r="F1749" s="48"/>
      <c r="G1749" s="48"/>
      <c r="H1749" s="48"/>
      <c r="I1749" s="48"/>
      <c r="J1749" s="51"/>
      <c r="K1749" s="6"/>
      <c r="L1749" s="15"/>
      <c r="M1749" s="14">
        <f>SUM(L1749)</f>
        <v>0</v>
      </c>
    </row>
    <row r="1750" spans="2:14" x14ac:dyDescent="0.15">
      <c r="B1750" s="71" t="s">
        <v>350</v>
      </c>
      <c r="C1750" s="15">
        <v>7</v>
      </c>
      <c r="D1750" s="14">
        <f t="shared" si="178"/>
        <v>7</v>
      </c>
      <c r="E1750" s="74">
        <v>42580</v>
      </c>
      <c r="F1750" s="74"/>
      <c r="G1750" s="74"/>
      <c r="H1750" s="74"/>
      <c r="I1750" s="74"/>
      <c r="J1750" s="51"/>
      <c r="K1750" s="4"/>
      <c r="L1750" s="15"/>
      <c r="M1750" s="14">
        <f>SUM(L1750:L1750)</f>
        <v>0</v>
      </c>
      <c r="N1750" s="165"/>
    </row>
    <row r="1751" spans="2:14" x14ac:dyDescent="0.15">
      <c r="B1751" s="71" t="s">
        <v>162</v>
      </c>
      <c r="C1751" s="15">
        <v>23</v>
      </c>
      <c r="D1751" s="14">
        <f t="shared" si="178"/>
        <v>23</v>
      </c>
      <c r="E1751" s="48">
        <v>42579</v>
      </c>
      <c r="F1751" s="48"/>
      <c r="G1751" s="48"/>
      <c r="H1751" s="48"/>
      <c r="I1751" s="48"/>
      <c r="J1751" s="51"/>
      <c r="K1751" s="4"/>
      <c r="L1751" s="15"/>
      <c r="M1751" s="14">
        <f>SUM(L1751:L1751)</f>
        <v>0</v>
      </c>
      <c r="N1751" s="75"/>
    </row>
    <row r="1752" spans="2:14" x14ac:dyDescent="0.15">
      <c r="B1752" s="71" t="s">
        <v>162</v>
      </c>
      <c r="C1752" s="15">
        <v>25</v>
      </c>
      <c r="D1752" s="14">
        <f t="shared" si="178"/>
        <v>25</v>
      </c>
      <c r="E1752" s="48">
        <v>42580</v>
      </c>
      <c r="F1752" s="48"/>
      <c r="G1752" s="48"/>
      <c r="H1752" s="48"/>
      <c r="I1752" s="48"/>
      <c r="J1752" s="51"/>
      <c r="K1752" s="4"/>
      <c r="L1752" s="15"/>
      <c r="M1752" s="14">
        <f>SUM(L1752)</f>
        <v>0</v>
      </c>
      <c r="N1752" s="75"/>
    </row>
    <row r="1753" spans="2:14" x14ac:dyDescent="0.15">
      <c r="B1753" s="71" t="s">
        <v>361</v>
      </c>
      <c r="C1753" s="15">
        <v>38</v>
      </c>
      <c r="D1753" s="14">
        <f t="shared" si="178"/>
        <v>38</v>
      </c>
      <c r="E1753" s="74">
        <v>42581</v>
      </c>
      <c r="F1753" s="74"/>
      <c r="G1753" s="74"/>
      <c r="H1753" s="74"/>
      <c r="I1753" s="74"/>
      <c r="J1753" s="51"/>
      <c r="K1753" s="4"/>
      <c r="L1753" s="15"/>
      <c r="M1753" s="14">
        <f>SUM(L1753:L1753)</f>
        <v>0</v>
      </c>
      <c r="N1753" s="75"/>
    </row>
    <row r="1754" spans="2:14" x14ac:dyDescent="0.15">
      <c r="B1754" s="71" t="s">
        <v>360</v>
      </c>
      <c r="C1754" s="15">
        <v>30</v>
      </c>
      <c r="D1754" s="14">
        <f t="shared" si="178"/>
        <v>30</v>
      </c>
      <c r="E1754" s="74">
        <v>42585</v>
      </c>
      <c r="F1754" s="74"/>
      <c r="G1754" s="74"/>
      <c r="H1754" s="74"/>
      <c r="I1754" s="74"/>
      <c r="J1754" s="51"/>
      <c r="K1754" s="4"/>
      <c r="L1754" s="15"/>
      <c r="M1754" s="14">
        <f>SUM(L1754:L1754)</f>
        <v>0</v>
      </c>
      <c r="N1754" s="165"/>
    </row>
    <row r="1755" spans="2:14" x14ac:dyDescent="0.15">
      <c r="B1755" s="71" t="s">
        <v>350</v>
      </c>
      <c r="C1755" s="15">
        <v>5</v>
      </c>
      <c r="D1755" s="14">
        <f t="shared" si="178"/>
        <v>5</v>
      </c>
      <c r="E1755" s="74">
        <v>42584</v>
      </c>
      <c r="F1755" s="74"/>
      <c r="G1755" s="74"/>
      <c r="H1755" s="74"/>
      <c r="I1755" s="74"/>
      <c r="J1755" s="51"/>
      <c r="K1755" s="4"/>
      <c r="L1755" s="15"/>
      <c r="M1755" s="14">
        <f>SUM(L1755)</f>
        <v>0</v>
      </c>
      <c r="N1755" s="74"/>
    </row>
    <row r="1756" spans="2:14" x14ac:dyDescent="0.15">
      <c r="B1756" s="71" t="s">
        <v>363</v>
      </c>
      <c r="C1756" s="15">
        <v>62</v>
      </c>
      <c r="D1756" s="14">
        <f t="shared" si="178"/>
        <v>62</v>
      </c>
      <c r="E1756" s="74">
        <v>42583</v>
      </c>
      <c r="F1756" s="74"/>
      <c r="G1756" s="74"/>
      <c r="H1756" s="74"/>
      <c r="I1756" s="74"/>
      <c r="J1756" s="51"/>
      <c r="K1756" s="4"/>
      <c r="L1756" s="15"/>
      <c r="M1756" s="14">
        <f>SUM(L1756:L1756)</f>
        <v>0</v>
      </c>
      <c r="N1756" s="75"/>
    </row>
    <row r="1757" spans="2:14" x14ac:dyDescent="0.15">
      <c r="B1757" s="71"/>
      <c r="C1757" s="15"/>
      <c r="D1757" s="14">
        <f t="shared" si="178"/>
        <v>0</v>
      </c>
      <c r="E1757" s="74"/>
      <c r="F1757" s="74"/>
      <c r="G1757" s="74"/>
      <c r="H1757" s="74"/>
      <c r="I1757" s="74"/>
      <c r="J1757" s="51"/>
      <c r="K1757" s="4"/>
      <c r="L1757" s="15"/>
      <c r="M1757" s="14">
        <f>SUM(L1757)</f>
        <v>0</v>
      </c>
      <c r="N1757" s="75"/>
    </row>
    <row r="1758" spans="2:14" x14ac:dyDescent="0.15">
      <c r="B1758" s="71" t="s">
        <v>350</v>
      </c>
      <c r="C1758" s="15">
        <v>3</v>
      </c>
      <c r="D1758" s="14">
        <f t="shared" si="178"/>
        <v>3</v>
      </c>
      <c r="E1758" s="74">
        <v>42585</v>
      </c>
      <c r="F1758" s="74"/>
      <c r="G1758" s="74"/>
      <c r="H1758" s="74"/>
      <c r="I1758" s="74"/>
      <c r="J1758" s="51"/>
      <c r="K1758" s="4"/>
      <c r="L1758" s="15"/>
      <c r="M1758" s="14">
        <f>SUM(L1758)</f>
        <v>0</v>
      </c>
      <c r="N1758" s="75"/>
    </row>
    <row r="1759" spans="2:14" x14ac:dyDescent="0.15">
      <c r="B1759" s="71" t="s">
        <v>162</v>
      </c>
      <c r="C1759" s="15">
        <v>31</v>
      </c>
      <c r="D1759" s="14">
        <f>SUM(C1759)</f>
        <v>31</v>
      </c>
      <c r="E1759" s="48">
        <v>42584</v>
      </c>
      <c r="F1759" s="48"/>
      <c r="G1759" s="48"/>
      <c r="H1759" s="48"/>
      <c r="I1759" s="48"/>
      <c r="J1759" s="51"/>
      <c r="K1759" s="4"/>
      <c r="L1759" s="15"/>
      <c r="M1759" s="14">
        <f>SUM(L1759)</f>
        <v>0</v>
      </c>
      <c r="N1759" s="74"/>
    </row>
    <row r="1760" spans="2:14" ht="14.25" thickBot="1" x14ac:dyDescent="0.2">
      <c r="B1760" s="71" t="s">
        <v>365</v>
      </c>
      <c r="C1760" s="15">
        <v>42</v>
      </c>
      <c r="D1760" s="14">
        <f>SUM(C1760)</f>
        <v>42</v>
      </c>
      <c r="E1760" s="48">
        <v>42585</v>
      </c>
      <c r="F1760" s="48"/>
      <c r="G1760" s="48"/>
      <c r="H1760" s="48"/>
      <c r="I1760" s="48"/>
      <c r="J1760" s="51"/>
      <c r="K1760" s="4"/>
      <c r="L1760" s="15"/>
      <c r="M1760" s="14">
        <f>SUM(L1760:L1760)</f>
        <v>0</v>
      </c>
      <c r="N1760" s="74"/>
    </row>
    <row r="1761" spans="1:14" ht="14.25" thickBot="1" x14ac:dyDescent="0.2">
      <c r="B1761" s="3" t="s">
        <v>5</v>
      </c>
      <c r="C1761" s="16">
        <f>SUM(C1737:C1760)</f>
        <v>635</v>
      </c>
      <c r="D1761" s="17">
        <f>SUM(D1737:D1760)</f>
        <v>635</v>
      </c>
      <c r="K1761" s="3" t="s">
        <v>5</v>
      </c>
      <c r="L1761" s="16">
        <f>SUM(L1737:L1760)</f>
        <v>900</v>
      </c>
      <c r="M1761" s="17">
        <f>SUM(M1737:M1760)</f>
        <v>900</v>
      </c>
    </row>
    <row r="1762" spans="1:14" ht="14.25" thickBot="1" x14ac:dyDescent="0.2">
      <c r="B1762" s="18" t="s">
        <v>6</v>
      </c>
      <c r="C1762" s="19">
        <f>C1736-C1761</f>
        <v>298</v>
      </c>
      <c r="D1762" s="13">
        <f>D1736-D1761</f>
        <v>298</v>
      </c>
      <c r="K1762" s="18" t="s">
        <v>6</v>
      </c>
      <c r="L1762" s="19">
        <f>L1736-L1761</f>
        <v>4105</v>
      </c>
      <c r="M1762" s="13">
        <f>M1736-M1761</f>
        <v>4105</v>
      </c>
    </row>
    <row r="1764" spans="1:14" ht="18" thickBot="1" x14ac:dyDescent="0.25">
      <c r="A1764" s="27" t="s">
        <v>8</v>
      </c>
      <c r="B1764" s="28"/>
      <c r="C1764" s="28"/>
      <c r="D1764" s="28"/>
      <c r="J1764" s="139" t="s">
        <v>218</v>
      </c>
      <c r="K1764" s="140"/>
      <c r="L1764" s="140"/>
      <c r="M1764" s="140"/>
    </row>
    <row r="1765" spans="1:14" ht="14.25" thickBot="1" x14ac:dyDescent="0.2">
      <c r="B1765" s="2"/>
      <c r="C1765" s="3" t="s">
        <v>0</v>
      </c>
      <c r="D1765" s="2" t="s">
        <v>1</v>
      </c>
      <c r="K1765" s="2"/>
      <c r="L1765" s="3" t="s">
        <v>0</v>
      </c>
      <c r="M1765" s="2" t="s">
        <v>1</v>
      </c>
    </row>
    <row r="1766" spans="1:14" x14ac:dyDescent="0.15">
      <c r="B1766" s="43" t="s">
        <v>26</v>
      </c>
      <c r="C1766" s="38">
        <f>C1762</f>
        <v>298</v>
      </c>
      <c r="D1766" s="39">
        <f t="shared" ref="D1766:D1776" si="179">SUM(C1766:C1766)</f>
        <v>298</v>
      </c>
      <c r="K1766" s="43" t="s">
        <v>26</v>
      </c>
      <c r="L1766" s="38">
        <f>L1762</f>
        <v>4105</v>
      </c>
      <c r="M1766" s="39">
        <f t="shared" ref="M1766:M1776" si="180">SUM(L1766:L1766)</f>
        <v>4105</v>
      </c>
    </row>
    <row r="1767" spans="1:14" x14ac:dyDescent="0.15">
      <c r="B1767" s="6" t="s">
        <v>3</v>
      </c>
      <c r="C1767" s="7">
        <v>200</v>
      </c>
      <c r="D1767" s="5">
        <f t="shared" si="179"/>
        <v>200</v>
      </c>
      <c r="E1767" s="74">
        <v>42591</v>
      </c>
      <c r="F1767" s="74"/>
      <c r="G1767" s="74"/>
      <c r="H1767" s="74"/>
      <c r="I1767" s="74"/>
      <c r="J1767" s="75"/>
      <c r="K1767" s="6" t="s">
        <v>3</v>
      </c>
      <c r="L1767" s="7"/>
      <c r="M1767" s="5">
        <f t="shared" si="180"/>
        <v>0</v>
      </c>
    </row>
    <row r="1768" spans="1:14" x14ac:dyDescent="0.15">
      <c r="B1768" s="6" t="s">
        <v>3</v>
      </c>
      <c r="C1768" s="7">
        <v>200</v>
      </c>
      <c r="D1768" s="5">
        <f t="shared" si="179"/>
        <v>200</v>
      </c>
      <c r="E1768" s="74">
        <v>42592</v>
      </c>
      <c r="F1768" s="74"/>
      <c r="G1768" s="74"/>
      <c r="H1768" s="74"/>
      <c r="I1768" s="74"/>
      <c r="K1768" s="6" t="s">
        <v>3</v>
      </c>
      <c r="L1768" s="7"/>
      <c r="M1768" s="5">
        <f t="shared" si="180"/>
        <v>0</v>
      </c>
      <c r="N1768" s="74"/>
    </row>
    <row r="1769" spans="1:14" x14ac:dyDescent="0.15">
      <c r="B1769" s="6" t="s">
        <v>3</v>
      </c>
      <c r="C1769" s="7">
        <v>200</v>
      </c>
      <c r="D1769" s="5">
        <f t="shared" si="179"/>
        <v>200</v>
      </c>
      <c r="E1769" s="74">
        <v>42602</v>
      </c>
      <c r="F1769" s="74"/>
      <c r="G1769" s="74"/>
      <c r="H1769" s="74"/>
      <c r="I1769" s="74"/>
      <c r="K1769" s="6" t="s">
        <v>3</v>
      </c>
      <c r="L1769" s="7"/>
      <c r="M1769" s="5">
        <f t="shared" si="180"/>
        <v>0</v>
      </c>
      <c r="N1769" s="74"/>
    </row>
    <row r="1770" spans="1:14" x14ac:dyDescent="0.15">
      <c r="B1770" s="6" t="s">
        <v>3</v>
      </c>
      <c r="C1770" s="7"/>
      <c r="D1770" s="5">
        <f t="shared" si="179"/>
        <v>0</v>
      </c>
      <c r="E1770" s="74"/>
      <c r="F1770" s="74"/>
      <c r="G1770" s="74"/>
      <c r="H1770" s="74"/>
      <c r="I1770" s="74"/>
      <c r="K1770" s="6" t="s">
        <v>3</v>
      </c>
      <c r="L1770" s="7"/>
      <c r="M1770" s="5">
        <f t="shared" si="180"/>
        <v>0</v>
      </c>
      <c r="N1770" s="74"/>
    </row>
    <row r="1771" spans="1:14" x14ac:dyDescent="0.15">
      <c r="B1771" s="6" t="s">
        <v>3</v>
      </c>
      <c r="C1771" s="7"/>
      <c r="D1771" s="5">
        <f t="shared" si="179"/>
        <v>0</v>
      </c>
      <c r="E1771" s="137"/>
      <c r="F1771" s="137"/>
      <c r="G1771" s="137"/>
      <c r="H1771" s="137"/>
      <c r="I1771" s="137"/>
      <c r="K1771" s="6" t="s">
        <v>3</v>
      </c>
      <c r="L1771" s="7"/>
      <c r="M1771" s="5">
        <f t="shared" si="180"/>
        <v>0</v>
      </c>
      <c r="N1771" s="75"/>
    </row>
    <row r="1772" spans="1:14" x14ac:dyDescent="0.15">
      <c r="B1772" s="6" t="s">
        <v>3</v>
      </c>
      <c r="C1772" s="7"/>
      <c r="D1772" s="5">
        <f t="shared" si="179"/>
        <v>0</v>
      </c>
      <c r="K1772" s="6" t="s">
        <v>3</v>
      </c>
      <c r="L1772" s="7"/>
      <c r="M1772" s="5">
        <f t="shared" si="180"/>
        <v>0</v>
      </c>
    </row>
    <row r="1773" spans="1:14" x14ac:dyDescent="0.15">
      <c r="B1773" s="6" t="s">
        <v>3</v>
      </c>
      <c r="C1773" s="54"/>
      <c r="D1773" s="5">
        <f t="shared" si="179"/>
        <v>0</v>
      </c>
      <c r="K1773" s="6" t="s">
        <v>3</v>
      </c>
      <c r="L1773" s="7"/>
      <c r="M1773" s="5">
        <f t="shared" si="180"/>
        <v>0</v>
      </c>
    </row>
    <row r="1774" spans="1:14" x14ac:dyDescent="0.15">
      <c r="B1774" s="6" t="s">
        <v>3</v>
      </c>
      <c r="C1774" s="54"/>
      <c r="D1774" s="5">
        <f t="shared" si="179"/>
        <v>0</v>
      </c>
      <c r="K1774" s="6" t="s">
        <v>3</v>
      </c>
      <c r="L1774" s="7"/>
      <c r="M1774" s="5">
        <f t="shared" si="180"/>
        <v>0</v>
      </c>
    </row>
    <row r="1775" spans="1:14" x14ac:dyDescent="0.15">
      <c r="B1775" s="6" t="s">
        <v>3</v>
      </c>
      <c r="C1775" s="54"/>
      <c r="D1775" s="5">
        <f t="shared" si="179"/>
        <v>0</v>
      </c>
      <c r="K1775" s="6" t="s">
        <v>3</v>
      </c>
      <c r="L1775" s="7"/>
      <c r="M1775" s="5">
        <f t="shared" si="180"/>
        <v>0</v>
      </c>
    </row>
    <row r="1776" spans="1:14" ht="14.25" thickBot="1" x14ac:dyDescent="0.2">
      <c r="B1776" s="9" t="s">
        <v>3</v>
      </c>
      <c r="C1776" s="101"/>
      <c r="D1776" s="5">
        <f t="shared" si="179"/>
        <v>0</v>
      </c>
      <c r="K1776" s="9" t="s">
        <v>3</v>
      </c>
      <c r="L1776" s="10"/>
      <c r="M1776" s="5">
        <f t="shared" si="180"/>
        <v>0</v>
      </c>
    </row>
    <row r="1777" spans="2:14" ht="14.25" thickBot="1" x14ac:dyDescent="0.2">
      <c r="B1777" s="11" t="s">
        <v>4</v>
      </c>
      <c r="C1777" s="12">
        <f>SUM(C1766:C1776)</f>
        <v>898</v>
      </c>
      <c r="D1777" s="13">
        <f>SUM(D1766:D1776)</f>
        <v>898</v>
      </c>
      <c r="K1777" s="11" t="s">
        <v>4</v>
      </c>
      <c r="L1777" s="12">
        <f>SUM(L1766:L1776)</f>
        <v>4105</v>
      </c>
      <c r="M1777" s="13">
        <f>SUM(M1766:M1776)</f>
        <v>4105</v>
      </c>
    </row>
    <row r="1778" spans="2:14" x14ac:dyDescent="0.15">
      <c r="B1778" s="71" t="s">
        <v>10</v>
      </c>
      <c r="C1778" s="15">
        <v>20</v>
      </c>
      <c r="D1778" s="14">
        <f t="shared" ref="D1778:D1783" si="181">SUM(C1778)</f>
        <v>20</v>
      </c>
      <c r="E1778" s="74">
        <v>42590</v>
      </c>
      <c r="F1778" s="74"/>
      <c r="G1778" s="74"/>
      <c r="H1778" s="74"/>
      <c r="I1778" s="74"/>
      <c r="K1778" s="4" t="s">
        <v>364</v>
      </c>
      <c r="L1778" s="15">
        <v>80</v>
      </c>
      <c r="M1778" s="14">
        <f>SUM(L1778:L1778)</f>
        <v>80</v>
      </c>
      <c r="N1778" s="74">
        <v>42587</v>
      </c>
    </row>
    <row r="1779" spans="2:14" x14ac:dyDescent="0.15">
      <c r="B1779" s="71" t="s">
        <v>190</v>
      </c>
      <c r="C1779" s="15">
        <v>2</v>
      </c>
      <c r="D1779" s="14">
        <f t="shared" si="181"/>
        <v>2</v>
      </c>
      <c r="E1779" s="74">
        <v>42588</v>
      </c>
      <c r="F1779" s="74"/>
      <c r="G1779" s="74"/>
      <c r="H1779" s="74"/>
      <c r="I1779" s="74"/>
      <c r="J1779" s="51"/>
      <c r="K1779" s="4" t="s">
        <v>9</v>
      </c>
      <c r="L1779" s="15">
        <v>200</v>
      </c>
      <c r="M1779" s="14">
        <f t="shared" ref="M1779:M1788" si="182">SUM(L1779:L1779)</f>
        <v>200</v>
      </c>
      <c r="N1779" s="74">
        <v>42591</v>
      </c>
    </row>
    <row r="1780" spans="2:14" x14ac:dyDescent="0.15">
      <c r="B1780" s="71" t="s">
        <v>162</v>
      </c>
      <c r="C1780" s="15">
        <v>24</v>
      </c>
      <c r="D1780" s="14">
        <f t="shared" si="181"/>
        <v>24</v>
      </c>
      <c r="E1780" s="74">
        <v>42586</v>
      </c>
      <c r="F1780" s="74"/>
      <c r="G1780" s="74"/>
      <c r="H1780" s="74"/>
      <c r="I1780" s="74"/>
      <c r="J1780" s="51"/>
      <c r="K1780" s="4" t="s">
        <v>9</v>
      </c>
      <c r="L1780" s="15">
        <v>200</v>
      </c>
      <c r="M1780" s="14">
        <f t="shared" si="182"/>
        <v>200</v>
      </c>
      <c r="N1780" s="74">
        <v>42592</v>
      </c>
    </row>
    <row r="1781" spans="2:14" x14ac:dyDescent="0.15">
      <c r="B1781" s="71" t="s">
        <v>162</v>
      </c>
      <c r="C1781" s="15">
        <v>47</v>
      </c>
      <c r="D1781" s="14">
        <f t="shared" si="181"/>
        <v>47</v>
      </c>
      <c r="E1781" s="74">
        <v>42587</v>
      </c>
      <c r="F1781" s="74"/>
      <c r="G1781" s="74"/>
      <c r="H1781" s="74"/>
      <c r="I1781" s="74"/>
      <c r="J1781" s="51"/>
      <c r="K1781" s="4" t="s">
        <v>370</v>
      </c>
      <c r="L1781" s="15">
        <v>300</v>
      </c>
      <c r="M1781" s="14">
        <f t="shared" si="182"/>
        <v>300</v>
      </c>
      <c r="N1781" s="74">
        <v>42604</v>
      </c>
    </row>
    <row r="1782" spans="2:14" x14ac:dyDescent="0.15">
      <c r="B1782" s="71" t="s">
        <v>367</v>
      </c>
      <c r="C1782" s="15">
        <v>29</v>
      </c>
      <c r="D1782" s="14">
        <f t="shared" si="181"/>
        <v>29</v>
      </c>
      <c r="E1782" s="48">
        <v>42588</v>
      </c>
      <c r="F1782" s="48"/>
      <c r="G1782" s="48"/>
      <c r="H1782" s="48"/>
      <c r="I1782" s="48"/>
      <c r="J1782" s="51"/>
      <c r="K1782" s="4" t="s">
        <v>9</v>
      </c>
      <c r="L1782" s="15">
        <v>200</v>
      </c>
      <c r="M1782" s="14">
        <f t="shared" si="182"/>
        <v>200</v>
      </c>
      <c r="N1782" s="74">
        <v>42602</v>
      </c>
    </row>
    <row r="1783" spans="2:14" x14ac:dyDescent="0.15">
      <c r="B1783" s="71" t="s">
        <v>366</v>
      </c>
      <c r="C1783" s="15">
        <v>1</v>
      </c>
      <c r="D1783" s="14">
        <f t="shared" si="181"/>
        <v>1</v>
      </c>
      <c r="E1783" s="74">
        <v>42591</v>
      </c>
      <c r="F1783" s="74"/>
      <c r="G1783" s="74"/>
      <c r="H1783" s="74"/>
      <c r="I1783" s="74"/>
      <c r="J1783" s="51"/>
      <c r="K1783" s="4" t="s">
        <v>374</v>
      </c>
      <c r="L1783" s="15">
        <v>540</v>
      </c>
      <c r="M1783" s="14">
        <f t="shared" si="182"/>
        <v>540</v>
      </c>
      <c r="N1783" s="74">
        <v>42606</v>
      </c>
    </row>
    <row r="1784" spans="2:14" x14ac:dyDescent="0.15">
      <c r="B1784" s="71" t="s">
        <v>41</v>
      </c>
      <c r="C1784" s="15">
        <v>4</v>
      </c>
      <c r="D1784" s="14">
        <f t="shared" ref="D1784:D1799" si="183">SUM(C1784)</f>
        <v>4</v>
      </c>
      <c r="E1784" s="74">
        <v>42591</v>
      </c>
      <c r="F1784" s="74"/>
      <c r="G1784" s="74"/>
      <c r="H1784" s="74"/>
      <c r="I1784" s="74"/>
      <c r="J1784" s="51"/>
      <c r="K1784" s="4"/>
      <c r="L1784" s="15"/>
      <c r="M1784" s="14">
        <f t="shared" si="182"/>
        <v>0</v>
      </c>
      <c r="N1784" s="137"/>
    </row>
    <row r="1785" spans="2:14" x14ac:dyDescent="0.15">
      <c r="B1785" s="71" t="s">
        <v>162</v>
      </c>
      <c r="C1785" s="15">
        <v>83</v>
      </c>
      <c r="D1785" s="14">
        <f t="shared" si="183"/>
        <v>83</v>
      </c>
      <c r="E1785" s="48">
        <v>42590</v>
      </c>
      <c r="F1785" s="48"/>
      <c r="G1785" s="48"/>
      <c r="H1785" s="48"/>
      <c r="I1785" s="48"/>
      <c r="J1785" s="51"/>
      <c r="K1785" s="6"/>
      <c r="L1785" s="15"/>
      <c r="M1785" s="14">
        <f t="shared" si="182"/>
        <v>0</v>
      </c>
    </row>
    <row r="1786" spans="2:14" x14ac:dyDescent="0.15">
      <c r="B1786" s="71" t="s">
        <v>162</v>
      </c>
      <c r="C1786" s="15">
        <v>31</v>
      </c>
      <c r="D1786" s="14">
        <f t="shared" si="183"/>
        <v>31</v>
      </c>
      <c r="E1786" s="74">
        <v>42591</v>
      </c>
      <c r="F1786" s="74"/>
      <c r="G1786" s="74"/>
      <c r="H1786" s="74"/>
      <c r="I1786" s="74"/>
      <c r="J1786" s="51"/>
      <c r="K1786" s="4"/>
      <c r="L1786" s="15"/>
      <c r="M1786" s="14">
        <f t="shared" si="182"/>
        <v>0</v>
      </c>
    </row>
    <row r="1787" spans="2:14" x14ac:dyDescent="0.15">
      <c r="B1787" s="71" t="s">
        <v>162</v>
      </c>
      <c r="C1787" s="15">
        <v>31</v>
      </c>
      <c r="D1787" s="14">
        <f t="shared" si="183"/>
        <v>31</v>
      </c>
      <c r="E1787" s="74">
        <v>42592</v>
      </c>
      <c r="F1787" s="74"/>
      <c r="G1787" s="74"/>
      <c r="H1787" s="74"/>
      <c r="I1787" s="74"/>
      <c r="J1787" s="51"/>
      <c r="K1787" s="4"/>
      <c r="L1787" s="15"/>
      <c r="M1787" s="14">
        <f t="shared" si="182"/>
        <v>0</v>
      </c>
    </row>
    <row r="1788" spans="2:14" x14ac:dyDescent="0.15">
      <c r="B1788" s="71" t="s">
        <v>369</v>
      </c>
      <c r="C1788" s="15">
        <v>83</v>
      </c>
      <c r="D1788" s="14">
        <f t="shared" si="183"/>
        <v>83</v>
      </c>
      <c r="E1788" s="74">
        <v>42595</v>
      </c>
      <c r="F1788" s="74"/>
      <c r="G1788" s="74"/>
      <c r="H1788" s="74"/>
      <c r="I1788" s="74"/>
      <c r="J1788" s="51"/>
      <c r="K1788" s="4"/>
      <c r="L1788" s="15"/>
      <c r="M1788" s="14">
        <f t="shared" si="182"/>
        <v>0</v>
      </c>
    </row>
    <row r="1789" spans="2:14" x14ac:dyDescent="0.15">
      <c r="B1789" s="4" t="s">
        <v>368</v>
      </c>
      <c r="C1789" s="15">
        <v>1</v>
      </c>
      <c r="D1789" s="14">
        <f t="shared" si="183"/>
        <v>1</v>
      </c>
      <c r="E1789" s="74">
        <v>42599</v>
      </c>
      <c r="F1789" s="74"/>
      <c r="G1789" s="74"/>
      <c r="H1789" s="74"/>
      <c r="I1789" s="74"/>
      <c r="J1789" s="51"/>
      <c r="K1789" s="4"/>
      <c r="L1789" s="15"/>
      <c r="M1789" s="14">
        <f>SUM(L1789:L1789)</f>
        <v>0</v>
      </c>
    </row>
    <row r="1790" spans="2:14" x14ac:dyDescent="0.15">
      <c r="B1790" s="71" t="s">
        <v>371</v>
      </c>
      <c r="C1790" s="15">
        <v>74</v>
      </c>
      <c r="D1790" s="14">
        <f t="shared" si="183"/>
        <v>74</v>
      </c>
      <c r="E1790" s="48">
        <v>42598</v>
      </c>
      <c r="F1790" s="48"/>
      <c r="G1790" s="48"/>
      <c r="H1790" s="48"/>
      <c r="I1790" s="48"/>
      <c r="J1790" s="51"/>
      <c r="K1790" s="6"/>
      <c r="L1790" s="15"/>
      <c r="M1790" s="14">
        <f>SUM(L1790)</f>
        <v>0</v>
      </c>
    </row>
    <row r="1791" spans="2:14" x14ac:dyDescent="0.15">
      <c r="B1791" s="71" t="s">
        <v>136</v>
      </c>
      <c r="C1791" s="15">
        <v>40</v>
      </c>
      <c r="D1791" s="14">
        <f t="shared" si="183"/>
        <v>40</v>
      </c>
      <c r="E1791" s="74">
        <v>42604</v>
      </c>
      <c r="F1791" s="74"/>
      <c r="G1791" s="74"/>
      <c r="H1791" s="74"/>
      <c r="I1791" s="74"/>
      <c r="J1791" s="51"/>
      <c r="K1791" s="4"/>
      <c r="L1791" s="15"/>
      <c r="M1791" s="14">
        <f>SUM(L1791:L1791)</f>
        <v>0</v>
      </c>
      <c r="N1791" s="165"/>
    </row>
    <row r="1792" spans="2:14" x14ac:dyDescent="0.15">
      <c r="B1792" s="71" t="s">
        <v>162</v>
      </c>
      <c r="C1792" s="15">
        <v>26</v>
      </c>
      <c r="D1792" s="14">
        <f t="shared" si="183"/>
        <v>26</v>
      </c>
      <c r="E1792" s="48">
        <v>42599</v>
      </c>
      <c r="F1792" s="48"/>
      <c r="G1792" s="48"/>
      <c r="H1792" s="48"/>
      <c r="I1792" s="48"/>
      <c r="J1792" s="51"/>
      <c r="K1792" s="4"/>
      <c r="L1792" s="15"/>
      <c r="M1792" s="14">
        <f>SUM(L1792:L1792)</f>
        <v>0</v>
      </c>
      <c r="N1792" s="75"/>
    </row>
    <row r="1793" spans="1:14" x14ac:dyDescent="0.15">
      <c r="B1793" s="71" t="s">
        <v>162</v>
      </c>
      <c r="C1793" s="15">
        <v>18</v>
      </c>
      <c r="D1793" s="14">
        <f t="shared" si="183"/>
        <v>18</v>
      </c>
      <c r="E1793" s="48">
        <v>42600</v>
      </c>
      <c r="F1793" s="48"/>
      <c r="G1793" s="48"/>
      <c r="H1793" s="48"/>
      <c r="I1793" s="48"/>
      <c r="J1793" s="51"/>
      <c r="K1793" s="4"/>
      <c r="L1793" s="15"/>
      <c r="M1793" s="14">
        <f>SUM(L1793)</f>
        <v>0</v>
      </c>
      <c r="N1793" s="75"/>
    </row>
    <row r="1794" spans="1:14" x14ac:dyDescent="0.15">
      <c r="B1794" s="71" t="s">
        <v>373</v>
      </c>
      <c r="C1794" s="15">
        <v>19</v>
      </c>
      <c r="D1794" s="14">
        <f t="shared" si="183"/>
        <v>19</v>
      </c>
      <c r="E1794" s="74">
        <v>42601</v>
      </c>
      <c r="F1794" s="74"/>
      <c r="G1794" s="74"/>
      <c r="H1794" s="74"/>
      <c r="I1794" s="74"/>
      <c r="J1794" s="51"/>
      <c r="K1794" s="4"/>
      <c r="L1794" s="15"/>
      <c r="M1794" s="14">
        <f>SUM(L1794:L1794)</f>
        <v>0</v>
      </c>
      <c r="N1794" s="75"/>
    </row>
    <row r="1795" spans="1:14" x14ac:dyDescent="0.15">
      <c r="B1795" s="71" t="s">
        <v>372</v>
      </c>
      <c r="C1795" s="15">
        <v>5</v>
      </c>
      <c r="D1795" s="14">
        <f t="shared" si="183"/>
        <v>5</v>
      </c>
      <c r="E1795" s="74">
        <v>42604</v>
      </c>
      <c r="F1795" s="74"/>
      <c r="G1795" s="74"/>
      <c r="H1795" s="74"/>
      <c r="I1795" s="74"/>
      <c r="J1795" s="51"/>
      <c r="K1795" s="4"/>
      <c r="L1795" s="15"/>
      <c r="M1795" s="14">
        <f>SUM(L1795:L1795)</f>
        <v>0</v>
      </c>
      <c r="N1795" s="165"/>
    </row>
    <row r="1796" spans="1:14" x14ac:dyDescent="0.15">
      <c r="B1796" s="71" t="s">
        <v>162</v>
      </c>
      <c r="C1796" s="15">
        <v>6</v>
      </c>
      <c r="D1796" s="14">
        <f t="shared" si="183"/>
        <v>6</v>
      </c>
      <c r="E1796" s="74">
        <v>42602</v>
      </c>
      <c r="F1796" s="74"/>
      <c r="G1796" s="74"/>
      <c r="H1796" s="74"/>
      <c r="I1796" s="74"/>
      <c r="J1796" s="51"/>
      <c r="K1796" s="4"/>
      <c r="L1796" s="15"/>
      <c r="M1796" s="14">
        <f>SUM(L1796)</f>
        <v>0</v>
      </c>
      <c r="N1796" s="74"/>
    </row>
    <row r="1797" spans="1:14" x14ac:dyDescent="0.15">
      <c r="B1797" s="71" t="s">
        <v>162</v>
      </c>
      <c r="C1797" s="15">
        <v>50</v>
      </c>
      <c r="D1797" s="14">
        <f t="shared" si="183"/>
        <v>50</v>
      </c>
      <c r="E1797" s="74">
        <v>42604</v>
      </c>
      <c r="F1797" s="74"/>
      <c r="G1797" s="74"/>
      <c r="H1797" s="74"/>
      <c r="I1797" s="74"/>
      <c r="J1797" s="51"/>
      <c r="K1797" s="4"/>
      <c r="L1797" s="15"/>
      <c r="M1797" s="14">
        <f>SUM(L1797:L1797)</f>
        <v>0</v>
      </c>
      <c r="N1797" s="75"/>
    </row>
    <row r="1798" spans="1:14" x14ac:dyDescent="0.15">
      <c r="B1798" s="71" t="s">
        <v>162</v>
      </c>
      <c r="C1798" s="15">
        <v>60</v>
      </c>
      <c r="D1798" s="14">
        <f t="shared" si="183"/>
        <v>60</v>
      </c>
      <c r="E1798" s="74">
        <v>42605</v>
      </c>
      <c r="F1798" s="74"/>
      <c r="G1798" s="74"/>
      <c r="H1798" s="74"/>
      <c r="I1798" s="74"/>
      <c r="J1798" s="51"/>
      <c r="K1798" s="4"/>
      <c r="L1798" s="15"/>
      <c r="M1798" s="14">
        <f>SUM(L1798)</f>
        <v>0</v>
      </c>
      <c r="N1798" s="75"/>
    </row>
    <row r="1799" spans="1:14" x14ac:dyDescent="0.15">
      <c r="B1799" s="71" t="s">
        <v>162</v>
      </c>
      <c r="C1799" s="15">
        <v>19</v>
      </c>
      <c r="D1799" s="14">
        <f t="shared" si="183"/>
        <v>19</v>
      </c>
      <c r="E1799" s="74">
        <v>42606</v>
      </c>
      <c r="F1799" s="74"/>
      <c r="G1799" s="74"/>
      <c r="H1799" s="74"/>
      <c r="I1799" s="74"/>
      <c r="J1799" s="51"/>
      <c r="K1799" s="4"/>
      <c r="L1799" s="15"/>
      <c r="M1799" s="14">
        <f>SUM(L1799)</f>
        <v>0</v>
      </c>
      <c r="N1799" s="75"/>
    </row>
    <row r="1800" spans="1:14" x14ac:dyDescent="0.15">
      <c r="B1800" s="71" t="s">
        <v>162</v>
      </c>
      <c r="C1800" s="15">
        <v>23</v>
      </c>
      <c r="D1800" s="14">
        <f>SUM(C1800)</f>
        <v>23</v>
      </c>
      <c r="E1800" s="74">
        <v>42607</v>
      </c>
      <c r="F1800" s="74"/>
      <c r="G1800" s="74"/>
      <c r="H1800" s="74"/>
      <c r="I1800" s="74"/>
      <c r="J1800" s="51"/>
      <c r="K1800" s="4"/>
      <c r="L1800" s="15"/>
      <c r="M1800" s="14">
        <f>SUM(L1800)</f>
        <v>0</v>
      </c>
      <c r="N1800" s="75"/>
    </row>
    <row r="1801" spans="1:14" ht="14.25" thickBot="1" x14ac:dyDescent="0.2">
      <c r="B1801" s="71" t="s">
        <v>375</v>
      </c>
      <c r="C1801" s="15">
        <v>21</v>
      </c>
      <c r="D1801" s="14">
        <f>SUM(C1801)</f>
        <v>21</v>
      </c>
      <c r="E1801" s="48">
        <v>42608</v>
      </c>
      <c r="F1801" s="48"/>
      <c r="G1801" s="48"/>
      <c r="H1801" s="48"/>
      <c r="I1801" s="48"/>
      <c r="J1801" s="51"/>
      <c r="K1801" s="4"/>
      <c r="L1801" s="15"/>
      <c r="M1801" s="14">
        <f>SUM(L1801)</f>
        <v>0</v>
      </c>
      <c r="N1801" s="75"/>
    </row>
    <row r="1802" spans="1:14" ht="14.25" thickBot="1" x14ac:dyDescent="0.2">
      <c r="B1802" s="3" t="s">
        <v>5</v>
      </c>
      <c r="C1802" s="16">
        <f>SUM(C1778:C1801)</f>
        <v>717</v>
      </c>
      <c r="D1802" s="17">
        <f>SUM(D1778:D1801)</f>
        <v>717</v>
      </c>
      <c r="K1802" s="3" t="s">
        <v>5</v>
      </c>
      <c r="L1802" s="16">
        <f>SUM(L1778:L1801)</f>
        <v>1520</v>
      </c>
      <c r="M1802" s="17">
        <f>SUM(M1778:M1801)</f>
        <v>1520</v>
      </c>
    </row>
    <row r="1803" spans="1:14" ht="14.25" thickBot="1" x14ac:dyDescent="0.2">
      <c r="B1803" s="18" t="s">
        <v>6</v>
      </c>
      <c r="C1803" s="19">
        <f>C1777-C1802</f>
        <v>181</v>
      </c>
      <c r="D1803" s="13">
        <f>D1777-D1802</f>
        <v>181</v>
      </c>
      <c r="K1803" s="18" t="s">
        <v>6</v>
      </c>
      <c r="L1803" s="19">
        <f>L1777-L1802</f>
        <v>2585</v>
      </c>
      <c r="M1803" s="13">
        <f>M1777-M1802</f>
        <v>2585</v>
      </c>
    </row>
    <row r="1805" spans="1:14" ht="18" thickBot="1" x14ac:dyDescent="0.25">
      <c r="A1805" s="27" t="s">
        <v>8</v>
      </c>
      <c r="B1805" s="28"/>
      <c r="C1805" s="28"/>
      <c r="D1805" s="28"/>
      <c r="J1805" s="139" t="s">
        <v>218</v>
      </c>
      <c r="K1805" s="140"/>
      <c r="L1805" s="140"/>
      <c r="M1805" s="140"/>
    </row>
    <row r="1806" spans="1:14" ht="14.25" thickBot="1" x14ac:dyDescent="0.2">
      <c r="B1806" s="2"/>
      <c r="C1806" s="3" t="s">
        <v>0</v>
      </c>
      <c r="D1806" s="2" t="s">
        <v>1</v>
      </c>
      <c r="K1806" s="2"/>
      <c r="L1806" s="3" t="s">
        <v>0</v>
      </c>
      <c r="M1806" s="2" t="s">
        <v>1</v>
      </c>
    </row>
    <row r="1807" spans="1:14" x14ac:dyDescent="0.15">
      <c r="B1807" s="43" t="s">
        <v>26</v>
      </c>
      <c r="C1807" s="38">
        <f>C1803</f>
        <v>181</v>
      </c>
      <c r="D1807" s="39">
        <f t="shared" ref="D1807:D1817" si="184">SUM(C1807:C1807)</f>
        <v>181</v>
      </c>
      <c r="K1807" s="43" t="s">
        <v>26</v>
      </c>
      <c r="L1807" s="38">
        <f>L1803</f>
        <v>2585</v>
      </c>
      <c r="M1807" s="39">
        <f t="shared" ref="M1807:M1817" si="185">SUM(L1807:L1807)</f>
        <v>2585</v>
      </c>
    </row>
    <row r="1808" spans="1:14" x14ac:dyDescent="0.15">
      <c r="B1808" s="6" t="s">
        <v>377</v>
      </c>
      <c r="C1808" s="7">
        <v>4</v>
      </c>
      <c r="D1808" s="5">
        <f t="shared" si="184"/>
        <v>4</v>
      </c>
      <c r="E1808" s="74">
        <v>42613</v>
      </c>
      <c r="F1808" s="74"/>
      <c r="G1808" s="74"/>
      <c r="H1808" s="74"/>
      <c r="I1808" s="74"/>
      <c r="J1808" s="75"/>
      <c r="K1808" s="6" t="s">
        <v>3</v>
      </c>
      <c r="L1808" s="7"/>
      <c r="M1808" s="5">
        <f t="shared" si="185"/>
        <v>0</v>
      </c>
    </row>
    <row r="1809" spans="2:14" x14ac:dyDescent="0.15">
      <c r="B1809" s="6" t="s">
        <v>3</v>
      </c>
      <c r="C1809" s="7">
        <v>200</v>
      </c>
      <c r="D1809" s="5">
        <f t="shared" si="184"/>
        <v>200</v>
      </c>
      <c r="E1809" s="74">
        <v>42619</v>
      </c>
      <c r="F1809" s="74"/>
      <c r="G1809" s="74"/>
      <c r="H1809" s="74"/>
      <c r="I1809" s="74"/>
      <c r="K1809" s="6" t="s">
        <v>3</v>
      </c>
      <c r="L1809" s="7"/>
      <c r="M1809" s="5">
        <f t="shared" si="185"/>
        <v>0</v>
      </c>
      <c r="N1809" s="74"/>
    </row>
    <row r="1810" spans="2:14" x14ac:dyDescent="0.15">
      <c r="B1810" s="6" t="s">
        <v>3</v>
      </c>
      <c r="C1810" s="7">
        <v>200</v>
      </c>
      <c r="D1810" s="5">
        <f t="shared" si="184"/>
        <v>200</v>
      </c>
      <c r="E1810" s="74">
        <v>42628</v>
      </c>
      <c r="F1810" s="74"/>
      <c r="G1810" s="74"/>
      <c r="H1810" s="74"/>
      <c r="I1810" s="74"/>
      <c r="K1810" s="6" t="s">
        <v>3</v>
      </c>
      <c r="L1810" s="7"/>
      <c r="M1810" s="5">
        <f t="shared" si="185"/>
        <v>0</v>
      </c>
      <c r="N1810" s="74"/>
    </row>
    <row r="1811" spans="2:14" x14ac:dyDescent="0.15">
      <c r="B1811" s="6" t="s">
        <v>71</v>
      </c>
      <c r="C1811" s="7">
        <v>1</v>
      </c>
      <c r="D1811" s="5">
        <f t="shared" si="184"/>
        <v>1</v>
      </c>
      <c r="E1811" s="74">
        <v>42637</v>
      </c>
      <c r="F1811" s="74"/>
      <c r="G1811" s="74"/>
      <c r="H1811" s="74"/>
      <c r="I1811" s="74"/>
      <c r="K1811" s="6" t="s">
        <v>3</v>
      </c>
      <c r="L1811" s="7"/>
      <c r="M1811" s="5">
        <f t="shared" si="185"/>
        <v>0</v>
      </c>
      <c r="N1811" s="74"/>
    </row>
    <row r="1812" spans="2:14" x14ac:dyDescent="0.15">
      <c r="B1812" s="6" t="s">
        <v>3</v>
      </c>
      <c r="C1812" s="7"/>
      <c r="D1812" s="5">
        <f t="shared" si="184"/>
        <v>0</v>
      </c>
      <c r="E1812" s="137"/>
      <c r="F1812" s="137"/>
      <c r="G1812" s="137"/>
      <c r="H1812" s="137"/>
      <c r="I1812" s="137"/>
      <c r="K1812" s="6" t="s">
        <v>3</v>
      </c>
      <c r="L1812" s="7"/>
      <c r="M1812" s="5">
        <f t="shared" si="185"/>
        <v>0</v>
      </c>
      <c r="N1812" s="75"/>
    </row>
    <row r="1813" spans="2:14" x14ac:dyDescent="0.15">
      <c r="B1813" s="6" t="s">
        <v>3</v>
      </c>
      <c r="C1813" s="7"/>
      <c r="D1813" s="5">
        <f t="shared" si="184"/>
        <v>0</v>
      </c>
      <c r="K1813" s="6" t="s">
        <v>3</v>
      </c>
      <c r="L1813" s="7"/>
      <c r="M1813" s="5">
        <f t="shared" si="185"/>
        <v>0</v>
      </c>
    </row>
    <row r="1814" spans="2:14" x14ac:dyDescent="0.15">
      <c r="B1814" s="6" t="s">
        <v>3</v>
      </c>
      <c r="C1814" s="54"/>
      <c r="D1814" s="5">
        <f t="shared" si="184"/>
        <v>0</v>
      </c>
      <c r="K1814" s="6" t="s">
        <v>3</v>
      </c>
      <c r="L1814" s="7"/>
      <c r="M1814" s="5">
        <f t="shared" si="185"/>
        <v>0</v>
      </c>
    </row>
    <row r="1815" spans="2:14" x14ac:dyDescent="0.15">
      <c r="B1815" s="6" t="s">
        <v>3</v>
      </c>
      <c r="C1815" s="54"/>
      <c r="D1815" s="5">
        <f t="shared" si="184"/>
        <v>0</v>
      </c>
      <c r="K1815" s="6" t="s">
        <v>3</v>
      </c>
      <c r="L1815" s="7"/>
      <c r="M1815" s="5">
        <f t="shared" si="185"/>
        <v>0</v>
      </c>
    </row>
    <row r="1816" spans="2:14" x14ac:dyDescent="0.15">
      <c r="B1816" s="6" t="s">
        <v>3</v>
      </c>
      <c r="C1816" s="54"/>
      <c r="D1816" s="5">
        <f t="shared" si="184"/>
        <v>0</v>
      </c>
      <c r="K1816" s="6" t="s">
        <v>3</v>
      </c>
      <c r="L1816" s="7"/>
      <c r="M1816" s="5">
        <f t="shared" si="185"/>
        <v>0</v>
      </c>
    </row>
    <row r="1817" spans="2:14" ht="14.25" thickBot="1" x14ac:dyDescent="0.2">
      <c r="B1817" s="9" t="s">
        <v>3</v>
      </c>
      <c r="C1817" s="101"/>
      <c r="D1817" s="5">
        <f t="shared" si="184"/>
        <v>0</v>
      </c>
      <c r="K1817" s="9" t="s">
        <v>3</v>
      </c>
      <c r="L1817" s="10"/>
      <c r="M1817" s="5">
        <f t="shared" si="185"/>
        <v>0</v>
      </c>
    </row>
    <row r="1818" spans="2:14" ht="14.25" thickBot="1" x14ac:dyDescent="0.2">
      <c r="B1818" s="11" t="s">
        <v>4</v>
      </c>
      <c r="C1818" s="12">
        <f>SUM(C1807:C1817)</f>
        <v>586</v>
      </c>
      <c r="D1818" s="13">
        <f>SUM(D1807:D1817)</f>
        <v>586</v>
      </c>
      <c r="K1818" s="11" t="s">
        <v>4</v>
      </c>
      <c r="L1818" s="12">
        <f>SUM(L1807:L1817)</f>
        <v>2585</v>
      </c>
      <c r="M1818" s="13">
        <f>SUM(M1807:M1817)</f>
        <v>2585</v>
      </c>
    </row>
    <row r="1819" spans="2:14" x14ac:dyDescent="0.15">
      <c r="B1819" s="71" t="s">
        <v>162</v>
      </c>
      <c r="C1819" s="15">
        <v>8</v>
      </c>
      <c r="D1819" s="14">
        <f t="shared" ref="D1819:D1840" si="186">SUM(C1819)</f>
        <v>8</v>
      </c>
      <c r="E1819" s="74">
        <v>42609</v>
      </c>
      <c r="F1819" s="74"/>
      <c r="G1819" s="74"/>
      <c r="H1819" s="74"/>
      <c r="I1819" s="74"/>
      <c r="K1819" s="4" t="s">
        <v>9</v>
      </c>
      <c r="L1819" s="15">
        <v>200</v>
      </c>
      <c r="M1819" s="14">
        <f>SUM(L1819:L1819)</f>
        <v>200</v>
      </c>
      <c r="N1819" s="74">
        <v>42619</v>
      </c>
    </row>
    <row r="1820" spans="2:14" x14ac:dyDescent="0.15">
      <c r="B1820" s="71" t="s">
        <v>376</v>
      </c>
      <c r="C1820" s="15">
        <v>28</v>
      </c>
      <c r="D1820" s="14">
        <f t="shared" si="186"/>
        <v>28</v>
      </c>
      <c r="E1820" s="74">
        <v>42611</v>
      </c>
      <c r="F1820" s="74"/>
      <c r="G1820" s="74"/>
      <c r="H1820" s="74"/>
      <c r="I1820" s="74"/>
      <c r="J1820" s="51"/>
      <c r="K1820" s="4" t="s">
        <v>9</v>
      </c>
      <c r="L1820" s="15">
        <v>200</v>
      </c>
      <c r="M1820" s="14">
        <f t="shared" ref="M1820:M1829" si="187">SUM(L1820:L1820)</f>
        <v>200</v>
      </c>
      <c r="N1820" s="74">
        <v>42628</v>
      </c>
    </row>
    <row r="1821" spans="2:14" x14ac:dyDescent="0.15">
      <c r="B1821" s="71" t="s">
        <v>378</v>
      </c>
      <c r="C1821" s="15">
        <v>20</v>
      </c>
      <c r="D1821" s="14">
        <f t="shared" si="186"/>
        <v>20</v>
      </c>
      <c r="E1821" s="74">
        <v>42618</v>
      </c>
      <c r="F1821" s="74"/>
      <c r="G1821" s="74"/>
      <c r="H1821" s="74"/>
      <c r="I1821" s="74"/>
      <c r="J1821" s="51"/>
      <c r="K1821" s="4"/>
      <c r="L1821" s="15"/>
      <c r="M1821" s="14">
        <f t="shared" si="187"/>
        <v>0</v>
      </c>
      <c r="N1821" s="74"/>
    </row>
    <row r="1822" spans="2:14" x14ac:dyDescent="0.15">
      <c r="B1822" s="71" t="s">
        <v>162</v>
      </c>
      <c r="C1822" s="15">
        <v>26</v>
      </c>
      <c r="D1822" s="14">
        <f t="shared" si="186"/>
        <v>26</v>
      </c>
      <c r="E1822" s="74">
        <v>42612</v>
      </c>
      <c r="F1822" s="74"/>
      <c r="G1822" s="74"/>
      <c r="H1822" s="74"/>
      <c r="I1822" s="74"/>
      <c r="J1822" s="51"/>
      <c r="K1822" s="4"/>
      <c r="L1822" s="15"/>
      <c r="M1822" s="14">
        <f t="shared" si="187"/>
        <v>0</v>
      </c>
      <c r="N1822" s="74"/>
    </row>
    <row r="1823" spans="2:14" x14ac:dyDescent="0.15">
      <c r="B1823" s="71" t="s">
        <v>162</v>
      </c>
      <c r="C1823" s="15">
        <v>11</v>
      </c>
      <c r="D1823" s="14">
        <f t="shared" si="186"/>
        <v>11</v>
      </c>
      <c r="E1823" s="48">
        <v>42613</v>
      </c>
      <c r="F1823" s="48"/>
      <c r="G1823" s="48"/>
      <c r="H1823" s="48"/>
      <c r="I1823" s="48"/>
      <c r="J1823" s="51"/>
      <c r="K1823" s="4"/>
      <c r="L1823" s="15"/>
      <c r="M1823" s="14">
        <f t="shared" si="187"/>
        <v>0</v>
      </c>
      <c r="N1823" s="74"/>
    </row>
    <row r="1824" spans="2:14" x14ac:dyDescent="0.15">
      <c r="B1824" s="71" t="s">
        <v>162</v>
      </c>
      <c r="C1824" s="15">
        <v>8</v>
      </c>
      <c r="D1824" s="14">
        <f t="shared" si="186"/>
        <v>8</v>
      </c>
      <c r="E1824" s="74">
        <v>42614</v>
      </c>
      <c r="F1824" s="74"/>
      <c r="G1824" s="74"/>
      <c r="H1824" s="74"/>
      <c r="I1824" s="74"/>
      <c r="J1824" s="51"/>
      <c r="K1824" s="4"/>
      <c r="L1824" s="15"/>
      <c r="M1824" s="14">
        <f t="shared" si="187"/>
        <v>0</v>
      </c>
      <c r="N1824" s="74"/>
    </row>
    <row r="1825" spans="2:14" x14ac:dyDescent="0.15">
      <c r="B1825" s="71" t="s">
        <v>162</v>
      </c>
      <c r="C1825" s="15">
        <v>6</v>
      </c>
      <c r="D1825" s="14">
        <f t="shared" si="186"/>
        <v>6</v>
      </c>
      <c r="E1825" s="74">
        <v>42615</v>
      </c>
      <c r="F1825" s="74"/>
      <c r="G1825" s="74"/>
      <c r="H1825" s="74"/>
      <c r="I1825" s="74"/>
      <c r="J1825" s="51"/>
      <c r="K1825" s="4"/>
      <c r="L1825" s="15"/>
      <c r="M1825" s="14">
        <f t="shared" si="187"/>
        <v>0</v>
      </c>
      <c r="N1825" s="137"/>
    </row>
    <row r="1826" spans="2:14" x14ac:dyDescent="0.15">
      <c r="B1826" s="71" t="s">
        <v>162</v>
      </c>
      <c r="C1826" s="15">
        <v>3</v>
      </c>
      <c r="D1826" s="14">
        <f t="shared" si="186"/>
        <v>3</v>
      </c>
      <c r="E1826" s="48">
        <v>42616</v>
      </c>
      <c r="F1826" s="48"/>
      <c r="G1826" s="48"/>
      <c r="H1826" s="48"/>
      <c r="I1826" s="48"/>
      <c r="J1826" s="51"/>
      <c r="K1826" s="6"/>
      <c r="L1826" s="15"/>
      <c r="M1826" s="14">
        <f t="shared" si="187"/>
        <v>0</v>
      </c>
    </row>
    <row r="1827" spans="2:14" x14ac:dyDescent="0.15">
      <c r="B1827" s="71" t="s">
        <v>379</v>
      </c>
      <c r="C1827" s="15">
        <v>36</v>
      </c>
      <c r="D1827" s="14">
        <f t="shared" si="186"/>
        <v>36</v>
      </c>
      <c r="E1827" s="74">
        <v>42618</v>
      </c>
      <c r="F1827" s="74"/>
      <c r="G1827" s="74"/>
      <c r="H1827" s="74"/>
      <c r="I1827" s="74"/>
      <c r="J1827" s="51"/>
      <c r="K1827" s="4"/>
      <c r="L1827" s="15"/>
      <c r="M1827" s="14">
        <f t="shared" si="187"/>
        <v>0</v>
      </c>
    </row>
    <row r="1828" spans="2:14" x14ac:dyDescent="0.15">
      <c r="B1828" s="71" t="s">
        <v>378</v>
      </c>
      <c r="C1828" s="15">
        <v>80</v>
      </c>
      <c r="D1828" s="14">
        <f t="shared" si="186"/>
        <v>80</v>
      </c>
      <c r="E1828" s="74">
        <v>42621</v>
      </c>
      <c r="F1828" s="74"/>
      <c r="G1828" s="74"/>
      <c r="H1828" s="74"/>
      <c r="I1828" s="74"/>
      <c r="J1828" s="51"/>
      <c r="K1828" s="4"/>
      <c r="L1828" s="15"/>
      <c r="M1828" s="14">
        <f t="shared" si="187"/>
        <v>0</v>
      </c>
    </row>
    <row r="1829" spans="2:14" x14ac:dyDescent="0.15">
      <c r="B1829" s="71" t="s">
        <v>162</v>
      </c>
      <c r="C1829" s="15">
        <v>18</v>
      </c>
      <c r="D1829" s="14">
        <f t="shared" si="186"/>
        <v>18</v>
      </c>
      <c r="E1829" s="74">
        <v>42619</v>
      </c>
      <c r="F1829" s="74"/>
      <c r="G1829" s="74"/>
      <c r="H1829" s="74"/>
      <c r="I1829" s="74"/>
      <c r="J1829" s="51"/>
      <c r="K1829" s="4"/>
      <c r="L1829" s="15"/>
      <c r="M1829" s="14">
        <f t="shared" si="187"/>
        <v>0</v>
      </c>
    </row>
    <row r="1830" spans="2:14" x14ac:dyDescent="0.15">
      <c r="B1830" s="71" t="s">
        <v>162</v>
      </c>
      <c r="C1830" s="15">
        <v>12</v>
      </c>
      <c r="D1830" s="14">
        <f t="shared" si="186"/>
        <v>12</v>
      </c>
      <c r="E1830" s="74">
        <v>42620</v>
      </c>
      <c r="F1830" s="74"/>
      <c r="G1830" s="74"/>
      <c r="H1830" s="74"/>
      <c r="I1830" s="74"/>
      <c r="J1830" s="51"/>
      <c r="K1830" s="4"/>
      <c r="L1830" s="15"/>
      <c r="M1830" s="14">
        <f>SUM(L1830:L1830)</f>
        <v>0</v>
      </c>
    </row>
    <row r="1831" spans="2:14" x14ac:dyDescent="0.15">
      <c r="B1831" s="71" t="s">
        <v>162</v>
      </c>
      <c r="C1831" s="15">
        <v>9</v>
      </c>
      <c r="D1831" s="14">
        <f t="shared" si="186"/>
        <v>9</v>
      </c>
      <c r="E1831" s="48">
        <v>42621</v>
      </c>
      <c r="F1831" s="48"/>
      <c r="G1831" s="48"/>
      <c r="H1831" s="48"/>
      <c r="I1831" s="48"/>
      <c r="J1831" s="51"/>
      <c r="K1831" s="6"/>
      <c r="L1831" s="15"/>
      <c r="M1831" s="14">
        <f>SUM(L1831)</f>
        <v>0</v>
      </c>
    </row>
    <row r="1832" spans="2:14" x14ac:dyDescent="0.15">
      <c r="B1832" s="71" t="s">
        <v>162</v>
      </c>
      <c r="C1832" s="15">
        <v>9</v>
      </c>
      <c r="D1832" s="14">
        <f t="shared" si="186"/>
        <v>9</v>
      </c>
      <c r="E1832" s="74">
        <v>42622</v>
      </c>
      <c r="F1832" s="74"/>
      <c r="G1832" s="74"/>
      <c r="H1832" s="74"/>
      <c r="I1832" s="74"/>
      <c r="J1832" s="51"/>
      <c r="K1832" s="4"/>
      <c r="L1832" s="15"/>
      <c r="M1832" s="14">
        <f>SUM(L1832:L1832)</f>
        <v>0</v>
      </c>
      <c r="N1832" s="165"/>
    </row>
    <row r="1833" spans="2:14" x14ac:dyDescent="0.15">
      <c r="B1833" s="71" t="s">
        <v>162</v>
      </c>
      <c r="C1833" s="15">
        <v>34</v>
      </c>
      <c r="D1833" s="14">
        <f t="shared" si="186"/>
        <v>34</v>
      </c>
      <c r="E1833" s="48">
        <v>42625</v>
      </c>
      <c r="F1833" s="48"/>
      <c r="G1833" s="48"/>
      <c r="H1833" s="48"/>
      <c r="I1833" s="48"/>
      <c r="J1833" s="51"/>
      <c r="K1833" s="4"/>
      <c r="L1833" s="15"/>
      <c r="M1833" s="14">
        <f>SUM(L1833:L1833)</f>
        <v>0</v>
      </c>
      <c r="N1833" s="75"/>
    </row>
    <row r="1834" spans="2:14" x14ac:dyDescent="0.15">
      <c r="B1834" s="71" t="s">
        <v>162</v>
      </c>
      <c r="C1834" s="15">
        <v>5</v>
      </c>
      <c r="D1834" s="14">
        <f t="shared" si="186"/>
        <v>5</v>
      </c>
      <c r="E1834" s="48">
        <v>42626</v>
      </c>
      <c r="F1834" s="48"/>
      <c r="G1834" s="48"/>
      <c r="H1834" s="48"/>
      <c r="I1834" s="48"/>
      <c r="J1834" s="51"/>
      <c r="K1834" s="4"/>
      <c r="L1834" s="15"/>
      <c r="M1834" s="14">
        <f>SUM(L1834)</f>
        <v>0</v>
      </c>
      <c r="N1834" s="75"/>
    </row>
    <row r="1835" spans="2:14" x14ac:dyDescent="0.15">
      <c r="B1835" s="71" t="s">
        <v>162</v>
      </c>
      <c r="C1835" s="15">
        <v>9</v>
      </c>
      <c r="D1835" s="14">
        <f t="shared" si="186"/>
        <v>9</v>
      </c>
      <c r="E1835" s="74">
        <v>42627</v>
      </c>
      <c r="F1835" s="74"/>
      <c r="G1835" s="74"/>
      <c r="H1835" s="74"/>
      <c r="I1835" s="74"/>
      <c r="J1835" s="51"/>
      <c r="K1835" s="4"/>
      <c r="L1835" s="15"/>
      <c r="M1835" s="14">
        <f>SUM(L1835:L1835)</f>
        <v>0</v>
      </c>
      <c r="N1835" s="75"/>
    </row>
    <row r="1836" spans="2:14" x14ac:dyDescent="0.15">
      <c r="B1836" s="71" t="s">
        <v>162</v>
      </c>
      <c r="C1836" s="15">
        <v>2</v>
      </c>
      <c r="D1836" s="14">
        <f t="shared" si="186"/>
        <v>2</v>
      </c>
      <c r="E1836" s="74">
        <v>42628</v>
      </c>
      <c r="F1836" s="74"/>
      <c r="G1836" s="74"/>
      <c r="H1836" s="74"/>
      <c r="I1836" s="74"/>
      <c r="J1836" s="51"/>
      <c r="K1836" s="4"/>
      <c r="L1836" s="15"/>
      <c r="M1836" s="14">
        <f>SUM(L1836:L1836)</f>
        <v>0</v>
      </c>
      <c r="N1836" s="165"/>
    </row>
    <row r="1837" spans="2:14" x14ac:dyDescent="0.15">
      <c r="B1837" s="71" t="s">
        <v>162</v>
      </c>
      <c r="C1837" s="15">
        <v>6</v>
      </c>
      <c r="D1837" s="14">
        <f t="shared" si="186"/>
        <v>6</v>
      </c>
      <c r="E1837" s="74">
        <v>42629</v>
      </c>
      <c r="F1837" s="74"/>
      <c r="G1837" s="74"/>
      <c r="H1837" s="74"/>
      <c r="I1837" s="74"/>
      <c r="J1837" s="51"/>
      <c r="K1837" s="4"/>
      <c r="L1837" s="15"/>
      <c r="M1837" s="14">
        <f>SUM(L1837)</f>
        <v>0</v>
      </c>
      <c r="N1837" s="74"/>
    </row>
    <row r="1838" spans="2:14" x14ac:dyDescent="0.15">
      <c r="B1838" s="71" t="s">
        <v>162</v>
      </c>
      <c r="C1838" s="15">
        <v>18</v>
      </c>
      <c r="D1838" s="14">
        <f t="shared" si="186"/>
        <v>18</v>
      </c>
      <c r="E1838" s="74">
        <v>42633</v>
      </c>
      <c r="F1838" s="74"/>
      <c r="G1838" s="74"/>
      <c r="H1838" s="74"/>
      <c r="I1838" s="74"/>
      <c r="J1838" s="51"/>
      <c r="K1838" s="4"/>
      <c r="L1838" s="15"/>
      <c r="M1838" s="14">
        <f>SUM(L1838:L1838)</f>
        <v>0</v>
      </c>
      <c r="N1838" s="75"/>
    </row>
    <row r="1839" spans="2:14" x14ac:dyDescent="0.15">
      <c r="B1839" s="71" t="s">
        <v>162</v>
      </c>
      <c r="C1839" s="15">
        <v>7</v>
      </c>
      <c r="D1839" s="14">
        <f t="shared" si="186"/>
        <v>7</v>
      </c>
      <c r="E1839" s="74">
        <v>42634</v>
      </c>
      <c r="F1839" s="74"/>
      <c r="G1839" s="74"/>
      <c r="H1839" s="74"/>
      <c r="I1839" s="74"/>
      <c r="J1839" s="51"/>
      <c r="K1839" s="4"/>
      <c r="L1839" s="15"/>
      <c r="M1839" s="14">
        <f>SUM(L1839)</f>
        <v>0</v>
      </c>
      <c r="N1839" s="75"/>
    </row>
    <row r="1840" spans="2:14" x14ac:dyDescent="0.15">
      <c r="B1840" s="71" t="s">
        <v>162</v>
      </c>
      <c r="C1840" s="15">
        <v>6</v>
      </c>
      <c r="D1840" s="14">
        <f t="shared" si="186"/>
        <v>6</v>
      </c>
      <c r="E1840" s="74">
        <v>42636</v>
      </c>
      <c r="F1840" s="74"/>
      <c r="G1840" s="74"/>
      <c r="H1840" s="74"/>
      <c r="I1840" s="74"/>
      <c r="J1840" s="51"/>
      <c r="K1840" s="4"/>
      <c r="L1840" s="15"/>
      <c r="M1840" s="14">
        <f>SUM(L1840)</f>
        <v>0</v>
      </c>
      <c r="N1840" s="75"/>
    </row>
    <row r="1841" spans="1:14" x14ac:dyDescent="0.15">
      <c r="B1841" s="71" t="s">
        <v>162</v>
      </c>
      <c r="C1841" s="15">
        <v>2</v>
      </c>
      <c r="D1841" s="14">
        <f>SUM(C1841)</f>
        <v>2</v>
      </c>
      <c r="E1841" s="74">
        <v>42637</v>
      </c>
      <c r="F1841" s="74"/>
      <c r="G1841" s="74"/>
      <c r="H1841" s="74"/>
      <c r="I1841" s="74"/>
      <c r="J1841" s="51"/>
      <c r="K1841" s="4"/>
      <c r="L1841" s="15"/>
      <c r="M1841" s="14">
        <f>SUM(L1841)</f>
        <v>0</v>
      </c>
      <c r="N1841" s="75"/>
    </row>
    <row r="1842" spans="1:14" ht="14.25" thickBot="1" x14ac:dyDescent="0.2">
      <c r="B1842" s="71" t="s">
        <v>380</v>
      </c>
      <c r="C1842" s="15">
        <v>9</v>
      </c>
      <c r="D1842" s="14">
        <f>SUM(C1842)</f>
        <v>9</v>
      </c>
      <c r="E1842" s="48">
        <v>42639</v>
      </c>
      <c r="F1842" s="48"/>
      <c r="G1842" s="48"/>
      <c r="H1842" s="48"/>
      <c r="I1842" s="48"/>
      <c r="J1842" s="51"/>
      <c r="K1842" s="4"/>
      <c r="L1842" s="15"/>
      <c r="M1842" s="14">
        <f>SUM(L1842)</f>
        <v>0</v>
      </c>
      <c r="N1842" s="75"/>
    </row>
    <row r="1843" spans="1:14" ht="14.25" thickBot="1" x14ac:dyDescent="0.2">
      <c r="B1843" s="3" t="s">
        <v>5</v>
      </c>
      <c r="C1843" s="16">
        <f>SUM(C1819:C1842)</f>
        <v>372</v>
      </c>
      <c r="D1843" s="17">
        <f>SUM(D1819:D1842)</f>
        <v>372</v>
      </c>
      <c r="K1843" s="3" t="s">
        <v>5</v>
      </c>
      <c r="L1843" s="16">
        <f>SUM(L1819:L1842)</f>
        <v>400</v>
      </c>
      <c r="M1843" s="17">
        <f>SUM(M1819:M1842)</f>
        <v>400</v>
      </c>
    </row>
    <row r="1844" spans="1:14" ht="14.25" thickBot="1" x14ac:dyDescent="0.2">
      <c r="B1844" s="18" t="s">
        <v>6</v>
      </c>
      <c r="C1844" s="19">
        <f>C1818-C1843</f>
        <v>214</v>
      </c>
      <c r="D1844" s="13">
        <f>D1818-D1843</f>
        <v>214</v>
      </c>
      <c r="K1844" s="18" t="s">
        <v>6</v>
      </c>
      <c r="L1844" s="19">
        <f>L1818-L1843</f>
        <v>2185</v>
      </c>
      <c r="M1844" s="13">
        <f>M1818-M1843</f>
        <v>2185</v>
      </c>
    </row>
    <row r="1846" spans="1:14" ht="18" thickBot="1" x14ac:dyDescent="0.25">
      <c r="A1846" s="27" t="s">
        <v>8</v>
      </c>
      <c r="B1846" s="28"/>
      <c r="C1846" s="28"/>
      <c r="D1846" s="28"/>
      <c r="J1846" s="139" t="s">
        <v>218</v>
      </c>
      <c r="K1846" s="140"/>
      <c r="L1846" s="140"/>
      <c r="M1846" s="140"/>
    </row>
    <row r="1847" spans="1:14" ht="14.25" thickBot="1" x14ac:dyDescent="0.2">
      <c r="B1847" s="2"/>
      <c r="C1847" s="3" t="s">
        <v>0</v>
      </c>
      <c r="D1847" s="2" t="s">
        <v>1</v>
      </c>
      <c r="K1847" s="2"/>
      <c r="L1847" s="3" t="s">
        <v>0</v>
      </c>
      <c r="M1847" s="2" t="s">
        <v>1</v>
      </c>
    </row>
    <row r="1848" spans="1:14" x14ac:dyDescent="0.15">
      <c r="B1848" s="43" t="s">
        <v>26</v>
      </c>
      <c r="C1848" s="38">
        <f>C1844</f>
        <v>214</v>
      </c>
      <c r="D1848" s="39">
        <f t="shared" ref="D1848:D1858" si="188">SUM(C1848:C1848)</f>
        <v>214</v>
      </c>
      <c r="K1848" s="43" t="s">
        <v>26</v>
      </c>
      <c r="L1848" s="38">
        <f>L1844</f>
        <v>2185</v>
      </c>
      <c r="M1848" s="39">
        <f t="shared" ref="M1848:M1858" si="189">SUM(L1848:L1848)</f>
        <v>2185</v>
      </c>
    </row>
    <row r="1849" spans="1:14" x14ac:dyDescent="0.15">
      <c r="B1849" s="6" t="s">
        <v>377</v>
      </c>
      <c r="C1849" s="7">
        <v>1</v>
      </c>
      <c r="D1849" s="5">
        <f t="shared" si="188"/>
        <v>1</v>
      </c>
      <c r="E1849" s="74">
        <v>42643</v>
      </c>
      <c r="F1849" s="74"/>
      <c r="G1849" s="74"/>
      <c r="H1849" s="74"/>
      <c r="I1849" s="74"/>
      <c r="J1849" s="75"/>
      <c r="K1849" s="6" t="s">
        <v>3</v>
      </c>
      <c r="L1849" s="7"/>
      <c r="M1849" s="5">
        <f t="shared" si="189"/>
        <v>0</v>
      </c>
    </row>
    <row r="1850" spans="1:14" x14ac:dyDescent="0.15">
      <c r="B1850" s="6" t="s">
        <v>64</v>
      </c>
      <c r="C1850" s="7">
        <v>2</v>
      </c>
      <c r="D1850" s="5">
        <f t="shared" si="188"/>
        <v>2</v>
      </c>
      <c r="E1850" s="74">
        <v>42657</v>
      </c>
      <c r="F1850" s="74"/>
      <c r="G1850" s="74"/>
      <c r="H1850" s="74"/>
      <c r="I1850" s="74"/>
      <c r="K1850" s="6" t="s">
        <v>3</v>
      </c>
      <c r="L1850" s="7"/>
      <c r="M1850" s="5">
        <f t="shared" si="189"/>
        <v>0</v>
      </c>
    </row>
    <row r="1851" spans="1:14" x14ac:dyDescent="0.15">
      <c r="B1851" s="6" t="s">
        <v>3</v>
      </c>
      <c r="C1851" s="7"/>
      <c r="D1851" s="5">
        <f t="shared" si="188"/>
        <v>0</v>
      </c>
      <c r="E1851" s="74"/>
      <c r="F1851" s="74"/>
      <c r="G1851" s="74"/>
      <c r="H1851" s="74"/>
      <c r="I1851" s="74"/>
      <c r="K1851" s="6" t="s">
        <v>3</v>
      </c>
      <c r="L1851" s="7"/>
      <c r="M1851" s="5">
        <f t="shared" si="189"/>
        <v>0</v>
      </c>
    </row>
    <row r="1852" spans="1:14" x14ac:dyDescent="0.15">
      <c r="B1852" s="6" t="s">
        <v>3</v>
      </c>
      <c r="C1852" s="7"/>
      <c r="D1852" s="5">
        <f t="shared" si="188"/>
        <v>0</v>
      </c>
      <c r="E1852" s="74"/>
      <c r="F1852" s="74"/>
      <c r="G1852" s="74"/>
      <c r="H1852" s="74"/>
      <c r="I1852" s="74"/>
      <c r="K1852" s="6" t="s">
        <v>3</v>
      </c>
      <c r="L1852" s="7"/>
      <c r="M1852" s="5">
        <f t="shared" si="189"/>
        <v>0</v>
      </c>
    </row>
    <row r="1853" spans="1:14" x14ac:dyDescent="0.15">
      <c r="B1853" s="6" t="s">
        <v>3</v>
      </c>
      <c r="C1853" s="7"/>
      <c r="D1853" s="5">
        <f t="shared" si="188"/>
        <v>0</v>
      </c>
      <c r="E1853" s="137"/>
      <c r="F1853" s="137"/>
      <c r="G1853" s="137"/>
      <c r="H1853" s="137"/>
      <c r="I1853" s="137"/>
      <c r="K1853" s="6" t="s">
        <v>3</v>
      </c>
      <c r="L1853" s="7"/>
      <c r="M1853" s="5">
        <f t="shared" si="189"/>
        <v>0</v>
      </c>
    </row>
    <row r="1854" spans="1:14" x14ac:dyDescent="0.15">
      <c r="B1854" s="6" t="s">
        <v>3</v>
      </c>
      <c r="C1854" s="7"/>
      <c r="D1854" s="5">
        <f t="shared" si="188"/>
        <v>0</v>
      </c>
      <c r="K1854" s="6" t="s">
        <v>3</v>
      </c>
      <c r="L1854" s="7"/>
      <c r="M1854" s="5">
        <f t="shared" si="189"/>
        <v>0</v>
      </c>
    </row>
    <row r="1855" spans="1:14" x14ac:dyDescent="0.15">
      <c r="B1855" s="6" t="s">
        <v>3</v>
      </c>
      <c r="C1855" s="54"/>
      <c r="D1855" s="5">
        <f t="shared" si="188"/>
        <v>0</v>
      </c>
      <c r="K1855" s="6" t="s">
        <v>3</v>
      </c>
      <c r="L1855" s="7"/>
      <c r="M1855" s="5">
        <f t="shared" si="189"/>
        <v>0</v>
      </c>
    </row>
    <row r="1856" spans="1:14" x14ac:dyDescent="0.15">
      <c r="B1856" s="6" t="s">
        <v>3</v>
      </c>
      <c r="C1856" s="54"/>
      <c r="D1856" s="5">
        <f t="shared" si="188"/>
        <v>0</v>
      </c>
      <c r="K1856" s="6" t="s">
        <v>3</v>
      </c>
      <c r="L1856" s="7"/>
      <c r="M1856" s="5">
        <f t="shared" si="189"/>
        <v>0</v>
      </c>
    </row>
    <row r="1857" spans="2:13" x14ac:dyDescent="0.15">
      <c r="B1857" s="6" t="s">
        <v>3</v>
      </c>
      <c r="C1857" s="54"/>
      <c r="D1857" s="5">
        <f t="shared" si="188"/>
        <v>0</v>
      </c>
      <c r="K1857" s="6" t="s">
        <v>3</v>
      </c>
      <c r="L1857" s="7"/>
      <c r="M1857" s="5">
        <f t="shared" si="189"/>
        <v>0</v>
      </c>
    </row>
    <row r="1858" spans="2:13" ht="14.25" thickBot="1" x14ac:dyDescent="0.2">
      <c r="B1858" s="9" t="s">
        <v>3</v>
      </c>
      <c r="C1858" s="101"/>
      <c r="D1858" s="5">
        <f t="shared" si="188"/>
        <v>0</v>
      </c>
      <c r="K1858" s="9" t="s">
        <v>3</v>
      </c>
      <c r="L1858" s="10"/>
      <c r="M1858" s="5">
        <f t="shared" si="189"/>
        <v>0</v>
      </c>
    </row>
    <row r="1859" spans="2:13" ht="14.25" thickBot="1" x14ac:dyDescent="0.2">
      <c r="B1859" s="11" t="s">
        <v>4</v>
      </c>
      <c r="C1859" s="12">
        <f>SUM(C1848:C1858)</f>
        <v>217</v>
      </c>
      <c r="D1859" s="13">
        <f>SUM(D1848:D1858)</f>
        <v>217</v>
      </c>
      <c r="K1859" s="11" t="s">
        <v>4</v>
      </c>
      <c r="L1859" s="12">
        <f>SUM(L1848:L1858)</f>
        <v>2185</v>
      </c>
      <c r="M1859" s="13">
        <f>SUM(M1848:M1858)</f>
        <v>2185</v>
      </c>
    </row>
    <row r="1860" spans="2:13" x14ac:dyDescent="0.15">
      <c r="B1860" s="71" t="s">
        <v>162</v>
      </c>
      <c r="C1860" s="15">
        <v>4</v>
      </c>
      <c r="D1860" s="14">
        <f t="shared" ref="D1860:D1881" si="190">SUM(C1860)</f>
        <v>4</v>
      </c>
      <c r="E1860" s="74">
        <v>42640</v>
      </c>
      <c r="F1860" s="74"/>
      <c r="G1860" s="74"/>
      <c r="H1860" s="74"/>
      <c r="I1860" s="74"/>
      <c r="K1860" s="4"/>
      <c r="L1860" s="15"/>
      <c r="M1860" s="14">
        <f>SUM(L1860:L1860)</f>
        <v>0</v>
      </c>
    </row>
    <row r="1861" spans="2:13" x14ac:dyDescent="0.15">
      <c r="B1861" s="71" t="s">
        <v>162</v>
      </c>
      <c r="C1861" s="15">
        <v>7</v>
      </c>
      <c r="D1861" s="14">
        <f t="shared" si="190"/>
        <v>7</v>
      </c>
      <c r="E1861" s="74">
        <v>42641</v>
      </c>
      <c r="F1861" s="74"/>
      <c r="G1861" s="74"/>
      <c r="H1861" s="74"/>
      <c r="I1861" s="74"/>
      <c r="J1861" s="51"/>
      <c r="K1861" s="4"/>
      <c r="L1861" s="15"/>
      <c r="M1861" s="14">
        <f t="shared" ref="M1861:M1870" si="191">SUM(L1861:L1861)</f>
        <v>0</v>
      </c>
    </row>
    <row r="1862" spans="2:13" x14ac:dyDescent="0.15">
      <c r="B1862" s="71" t="s">
        <v>162</v>
      </c>
      <c r="C1862" s="15">
        <v>3</v>
      </c>
      <c r="D1862" s="14">
        <f t="shared" si="190"/>
        <v>3</v>
      </c>
      <c r="E1862" s="74">
        <v>42642</v>
      </c>
      <c r="F1862" s="74"/>
      <c r="G1862" s="74"/>
      <c r="H1862" s="74"/>
      <c r="I1862" s="74"/>
      <c r="J1862" s="51"/>
      <c r="K1862" s="4"/>
      <c r="L1862" s="15"/>
      <c r="M1862" s="14">
        <f t="shared" si="191"/>
        <v>0</v>
      </c>
    </row>
    <row r="1863" spans="2:13" x14ac:dyDescent="0.15">
      <c r="B1863" s="71" t="s">
        <v>162</v>
      </c>
      <c r="C1863" s="15">
        <v>10</v>
      </c>
      <c r="D1863" s="14">
        <f t="shared" si="190"/>
        <v>10</v>
      </c>
      <c r="E1863" s="74">
        <v>42643</v>
      </c>
      <c r="F1863" s="74"/>
      <c r="G1863" s="74"/>
      <c r="H1863" s="74"/>
      <c r="I1863" s="74"/>
      <c r="J1863" s="51"/>
      <c r="K1863" s="4"/>
      <c r="L1863" s="15"/>
      <c r="M1863" s="14">
        <f t="shared" si="191"/>
        <v>0</v>
      </c>
    </row>
    <row r="1864" spans="2:13" x14ac:dyDescent="0.15">
      <c r="B1864" s="71" t="s">
        <v>382</v>
      </c>
      <c r="C1864" s="15">
        <v>3</v>
      </c>
      <c r="D1864" s="14">
        <f t="shared" si="190"/>
        <v>3</v>
      </c>
      <c r="E1864" s="48">
        <v>42644</v>
      </c>
      <c r="F1864" s="48"/>
      <c r="G1864" s="48"/>
      <c r="H1864" s="48"/>
      <c r="I1864" s="48"/>
      <c r="J1864" s="51"/>
      <c r="K1864" s="4"/>
      <c r="L1864" s="15"/>
      <c r="M1864" s="14">
        <f t="shared" si="191"/>
        <v>0</v>
      </c>
    </row>
    <row r="1865" spans="2:13" x14ac:dyDescent="0.15">
      <c r="B1865" s="71" t="s">
        <v>381</v>
      </c>
      <c r="C1865" s="15">
        <v>4</v>
      </c>
      <c r="D1865" s="14">
        <f t="shared" si="190"/>
        <v>4</v>
      </c>
      <c r="E1865" s="74">
        <v>42648</v>
      </c>
      <c r="F1865" s="74"/>
      <c r="G1865" s="74"/>
      <c r="H1865" s="74"/>
      <c r="I1865" s="74"/>
      <c r="J1865" s="51"/>
      <c r="K1865" s="4"/>
      <c r="L1865" s="15"/>
      <c r="M1865" s="14">
        <f t="shared" si="191"/>
        <v>0</v>
      </c>
    </row>
    <row r="1866" spans="2:13" x14ac:dyDescent="0.15">
      <c r="B1866" s="71" t="s">
        <v>162</v>
      </c>
      <c r="C1866" s="15">
        <v>9</v>
      </c>
      <c r="D1866" s="14">
        <f t="shared" si="190"/>
        <v>9</v>
      </c>
      <c r="E1866" s="74">
        <v>42646</v>
      </c>
      <c r="F1866" s="74"/>
      <c r="G1866" s="74"/>
      <c r="H1866" s="74"/>
      <c r="I1866" s="74"/>
      <c r="J1866" s="51"/>
      <c r="K1866" s="4"/>
      <c r="L1866" s="15"/>
      <c r="M1866" s="14">
        <f t="shared" si="191"/>
        <v>0</v>
      </c>
    </row>
    <row r="1867" spans="2:13" x14ac:dyDescent="0.15">
      <c r="B1867" s="71" t="s">
        <v>162</v>
      </c>
      <c r="C1867" s="15">
        <v>1</v>
      </c>
      <c r="D1867" s="14">
        <f t="shared" si="190"/>
        <v>1</v>
      </c>
      <c r="E1867" s="48">
        <v>42647</v>
      </c>
      <c r="F1867" s="48"/>
      <c r="G1867" s="48"/>
      <c r="H1867" s="48"/>
      <c r="I1867" s="48"/>
      <c r="J1867" s="51"/>
      <c r="K1867" s="6"/>
      <c r="L1867" s="15"/>
      <c r="M1867" s="14">
        <f t="shared" si="191"/>
        <v>0</v>
      </c>
    </row>
    <row r="1868" spans="2:13" x14ac:dyDescent="0.15">
      <c r="B1868" s="71" t="s">
        <v>162</v>
      </c>
      <c r="C1868" s="15">
        <v>1</v>
      </c>
      <c r="D1868" s="14">
        <f t="shared" si="190"/>
        <v>1</v>
      </c>
      <c r="E1868" s="74">
        <v>42647</v>
      </c>
      <c r="F1868" s="74"/>
      <c r="G1868" s="74"/>
      <c r="H1868" s="74"/>
      <c r="I1868" s="74"/>
      <c r="J1868" s="51"/>
      <c r="K1868" s="4"/>
      <c r="L1868" s="15"/>
      <c r="M1868" s="14">
        <f t="shared" si="191"/>
        <v>0</v>
      </c>
    </row>
    <row r="1869" spans="2:13" x14ac:dyDescent="0.15">
      <c r="B1869" s="71" t="s">
        <v>162</v>
      </c>
      <c r="C1869" s="15">
        <v>3</v>
      </c>
      <c r="D1869" s="14">
        <f t="shared" si="190"/>
        <v>3</v>
      </c>
      <c r="E1869" s="74">
        <v>42648</v>
      </c>
      <c r="F1869" s="74"/>
      <c r="G1869" s="74"/>
      <c r="H1869" s="74"/>
      <c r="I1869" s="74"/>
      <c r="J1869" s="51"/>
      <c r="K1869" s="4"/>
      <c r="L1869" s="15"/>
      <c r="M1869" s="14">
        <f t="shared" si="191"/>
        <v>0</v>
      </c>
    </row>
    <row r="1870" spans="2:13" x14ac:dyDescent="0.15">
      <c r="B1870" s="71" t="s">
        <v>162</v>
      </c>
      <c r="C1870" s="15">
        <v>3</v>
      </c>
      <c r="D1870" s="14">
        <f t="shared" si="190"/>
        <v>3</v>
      </c>
      <c r="E1870" s="74">
        <v>42649</v>
      </c>
      <c r="F1870" s="74"/>
      <c r="G1870" s="74"/>
      <c r="H1870" s="74"/>
      <c r="I1870" s="74"/>
      <c r="J1870" s="51"/>
      <c r="K1870" s="4"/>
      <c r="L1870" s="15"/>
      <c r="M1870" s="14">
        <f t="shared" si="191"/>
        <v>0</v>
      </c>
    </row>
    <row r="1871" spans="2:13" x14ac:dyDescent="0.15">
      <c r="B1871" s="71" t="s">
        <v>162</v>
      </c>
      <c r="C1871" s="15">
        <v>2</v>
      </c>
      <c r="D1871" s="14">
        <f t="shared" si="190"/>
        <v>2</v>
      </c>
      <c r="E1871" s="74">
        <v>42649</v>
      </c>
      <c r="F1871" s="74"/>
      <c r="G1871" s="74"/>
      <c r="H1871" s="74"/>
      <c r="I1871" s="74"/>
      <c r="J1871" s="51"/>
      <c r="K1871" s="4"/>
      <c r="L1871" s="15"/>
      <c r="M1871" s="14">
        <f t="shared" ref="M1871:M1879" si="192">SUM(L1871:L1871)</f>
        <v>0</v>
      </c>
    </row>
    <row r="1872" spans="2:13" x14ac:dyDescent="0.15">
      <c r="B1872" s="71" t="s">
        <v>162</v>
      </c>
      <c r="C1872" s="15">
        <v>6</v>
      </c>
      <c r="D1872" s="14">
        <f t="shared" si="190"/>
        <v>6</v>
      </c>
      <c r="E1872" s="48">
        <v>42650</v>
      </c>
      <c r="F1872" s="48"/>
      <c r="G1872" s="48"/>
      <c r="H1872" s="48"/>
      <c r="I1872" s="48"/>
      <c r="J1872" s="51"/>
      <c r="K1872" s="6"/>
      <c r="L1872" s="15"/>
      <c r="M1872" s="14">
        <f t="shared" si="192"/>
        <v>0</v>
      </c>
    </row>
    <row r="1873" spans="1:13" x14ac:dyDescent="0.15">
      <c r="B1873" s="71" t="s">
        <v>162</v>
      </c>
      <c r="C1873" s="15">
        <v>16</v>
      </c>
      <c r="D1873" s="14">
        <f t="shared" si="190"/>
        <v>16</v>
      </c>
      <c r="E1873" s="74">
        <v>42654</v>
      </c>
      <c r="F1873" s="74"/>
      <c r="G1873" s="74"/>
      <c r="H1873" s="74"/>
      <c r="I1873" s="74"/>
      <c r="J1873" s="51"/>
      <c r="K1873" s="4"/>
      <c r="L1873" s="15"/>
      <c r="M1873" s="14">
        <f t="shared" si="192"/>
        <v>0</v>
      </c>
    </row>
    <row r="1874" spans="1:13" x14ac:dyDescent="0.15">
      <c r="B1874" s="71" t="s">
        <v>162</v>
      </c>
      <c r="C1874" s="15">
        <v>4</v>
      </c>
      <c r="D1874" s="14">
        <f t="shared" si="190"/>
        <v>4</v>
      </c>
      <c r="E1874" s="48">
        <v>42655</v>
      </c>
      <c r="F1874" s="48"/>
      <c r="G1874" s="48"/>
      <c r="H1874" s="48"/>
      <c r="I1874" s="48"/>
      <c r="J1874" s="51"/>
      <c r="K1874" s="4"/>
      <c r="L1874" s="15"/>
      <c r="M1874" s="14">
        <f t="shared" si="192"/>
        <v>0</v>
      </c>
    </row>
    <row r="1875" spans="1:13" x14ac:dyDescent="0.15">
      <c r="B1875" s="71" t="s">
        <v>162</v>
      </c>
      <c r="C1875" s="15">
        <v>1</v>
      </c>
      <c r="D1875" s="14">
        <f t="shared" si="190"/>
        <v>1</v>
      </c>
      <c r="E1875" s="48">
        <v>42656</v>
      </c>
      <c r="F1875" s="48"/>
      <c r="G1875" s="48"/>
      <c r="H1875" s="48"/>
      <c r="I1875" s="48"/>
      <c r="J1875" s="51"/>
      <c r="K1875" s="4"/>
      <c r="L1875" s="15"/>
      <c r="M1875" s="14">
        <f t="shared" si="192"/>
        <v>0</v>
      </c>
    </row>
    <row r="1876" spans="1:13" x14ac:dyDescent="0.15">
      <c r="B1876" s="71" t="s">
        <v>162</v>
      </c>
      <c r="C1876" s="15">
        <v>1</v>
      </c>
      <c r="D1876" s="14">
        <f t="shared" si="190"/>
        <v>1</v>
      </c>
      <c r="E1876" s="74">
        <v>42661</v>
      </c>
      <c r="F1876" s="74"/>
      <c r="G1876" s="74"/>
      <c r="H1876" s="74"/>
      <c r="I1876" s="74"/>
      <c r="J1876" s="51"/>
      <c r="K1876" s="4"/>
      <c r="L1876" s="15"/>
      <c r="M1876" s="14">
        <f t="shared" si="192"/>
        <v>0</v>
      </c>
    </row>
    <row r="1877" spans="1:13" x14ac:dyDescent="0.15">
      <c r="B1877" s="71" t="s">
        <v>384</v>
      </c>
      <c r="C1877" s="15">
        <v>5</v>
      </c>
      <c r="D1877" s="14">
        <f t="shared" si="190"/>
        <v>5</v>
      </c>
      <c r="E1877" s="74">
        <v>42663</v>
      </c>
      <c r="F1877" s="74"/>
      <c r="G1877" s="74"/>
      <c r="H1877" s="74"/>
      <c r="I1877" s="74"/>
      <c r="J1877" s="51"/>
      <c r="K1877" s="4"/>
      <c r="L1877" s="15"/>
      <c r="M1877" s="14">
        <f t="shared" si="192"/>
        <v>0</v>
      </c>
    </row>
    <row r="1878" spans="1:13" x14ac:dyDescent="0.15">
      <c r="B1878" s="71" t="s">
        <v>383</v>
      </c>
      <c r="C1878" s="15">
        <v>1</v>
      </c>
      <c r="D1878" s="14">
        <f t="shared" si="190"/>
        <v>1</v>
      </c>
      <c r="E1878" s="74">
        <v>42667</v>
      </c>
      <c r="F1878" s="74"/>
      <c r="G1878" s="74"/>
      <c r="H1878" s="74"/>
      <c r="I1878" s="74"/>
      <c r="J1878" s="51"/>
      <c r="K1878" s="4"/>
      <c r="L1878" s="15"/>
      <c r="M1878" s="14">
        <f t="shared" si="192"/>
        <v>0</v>
      </c>
    </row>
    <row r="1879" spans="1:13" x14ac:dyDescent="0.15">
      <c r="B1879" s="71" t="s">
        <v>162</v>
      </c>
      <c r="C1879" s="15">
        <v>4</v>
      </c>
      <c r="D1879" s="14">
        <f t="shared" si="190"/>
        <v>4</v>
      </c>
      <c r="E1879" s="74">
        <v>42664</v>
      </c>
      <c r="F1879" s="74"/>
      <c r="G1879" s="74"/>
      <c r="H1879" s="74"/>
      <c r="I1879" s="74"/>
      <c r="J1879" s="51"/>
      <c r="K1879" s="4"/>
      <c r="L1879" s="15"/>
      <c r="M1879" s="14">
        <f t="shared" si="192"/>
        <v>0</v>
      </c>
    </row>
    <row r="1880" spans="1:13" x14ac:dyDescent="0.15">
      <c r="B1880" s="71" t="s">
        <v>162</v>
      </c>
      <c r="C1880" s="15">
        <v>1</v>
      </c>
      <c r="D1880" s="14">
        <f t="shared" si="190"/>
        <v>1</v>
      </c>
      <c r="E1880" s="74">
        <v>42667</v>
      </c>
      <c r="F1880" s="74"/>
      <c r="G1880" s="74"/>
      <c r="H1880" s="74"/>
      <c r="I1880" s="74"/>
      <c r="J1880" s="51"/>
      <c r="K1880" s="4"/>
      <c r="L1880" s="15"/>
      <c r="M1880" s="14">
        <f>SUM(L1880)</f>
        <v>0</v>
      </c>
    </row>
    <row r="1881" spans="1:13" x14ac:dyDescent="0.15">
      <c r="B1881" s="71" t="s">
        <v>162</v>
      </c>
      <c r="C1881" s="15">
        <v>3</v>
      </c>
      <c r="D1881" s="14">
        <f t="shared" si="190"/>
        <v>3</v>
      </c>
      <c r="E1881" s="74">
        <v>42668</v>
      </c>
      <c r="F1881" s="74"/>
      <c r="G1881" s="74"/>
      <c r="H1881" s="74"/>
      <c r="I1881" s="74"/>
      <c r="J1881" s="51"/>
      <c r="K1881" s="4"/>
      <c r="L1881" s="15"/>
      <c r="M1881" s="14">
        <f>SUM(L1881)</f>
        <v>0</v>
      </c>
    </row>
    <row r="1882" spans="1:13" x14ac:dyDescent="0.15">
      <c r="B1882" s="71" t="s">
        <v>162</v>
      </c>
      <c r="C1882" s="15">
        <v>1</v>
      </c>
      <c r="D1882" s="14">
        <f>SUM(C1882)</f>
        <v>1</v>
      </c>
      <c r="E1882" s="74">
        <v>42669</v>
      </c>
      <c r="F1882" s="74"/>
      <c r="G1882" s="74"/>
      <c r="H1882" s="74"/>
      <c r="I1882" s="74"/>
      <c r="J1882" s="51"/>
      <c r="K1882" s="4"/>
      <c r="L1882" s="15"/>
      <c r="M1882" s="14">
        <f>SUM(L1882)</f>
        <v>0</v>
      </c>
    </row>
    <row r="1883" spans="1:13" ht="14.25" thickBot="1" x14ac:dyDescent="0.2">
      <c r="B1883" s="71" t="s">
        <v>385</v>
      </c>
      <c r="C1883" s="15">
        <v>1</v>
      </c>
      <c r="D1883" s="14">
        <f>SUM(C1883)</f>
        <v>1</v>
      </c>
      <c r="E1883" s="48">
        <v>42670</v>
      </c>
      <c r="F1883" s="48"/>
      <c r="G1883" s="48"/>
      <c r="H1883" s="48"/>
      <c r="I1883" s="48"/>
      <c r="J1883" s="51"/>
      <c r="K1883" s="4"/>
      <c r="L1883" s="15"/>
      <c r="M1883" s="14">
        <f>SUM(L1883)</f>
        <v>0</v>
      </c>
    </row>
    <row r="1884" spans="1:13" ht="14.25" thickBot="1" x14ac:dyDescent="0.2">
      <c r="B1884" s="3" t="s">
        <v>5</v>
      </c>
      <c r="C1884" s="16">
        <f>SUM(C1860:C1883)</f>
        <v>94</v>
      </c>
      <c r="D1884" s="17">
        <f>SUM(D1860:D1883)</f>
        <v>94</v>
      </c>
      <c r="K1884" s="3" t="s">
        <v>5</v>
      </c>
      <c r="L1884" s="16">
        <f>SUM(L1860:L1883)</f>
        <v>0</v>
      </c>
      <c r="M1884" s="17">
        <f>SUM(M1860:M1883)</f>
        <v>0</v>
      </c>
    </row>
    <row r="1885" spans="1:13" ht="14.25" thickBot="1" x14ac:dyDescent="0.2">
      <c r="B1885" s="18" t="s">
        <v>6</v>
      </c>
      <c r="C1885" s="19">
        <f>C1859-C1884</f>
        <v>123</v>
      </c>
      <c r="D1885" s="13">
        <f>D1859-D1884</f>
        <v>123</v>
      </c>
      <c r="K1885" s="18" t="s">
        <v>6</v>
      </c>
      <c r="L1885" s="19">
        <f>L1859-L1884</f>
        <v>2185</v>
      </c>
      <c r="M1885" s="13">
        <f>M1859-M1884</f>
        <v>2185</v>
      </c>
    </row>
    <row r="1887" spans="1:13" ht="18" thickBot="1" x14ac:dyDescent="0.25">
      <c r="A1887" s="27" t="s">
        <v>8</v>
      </c>
      <c r="B1887" s="28"/>
      <c r="C1887" s="28"/>
      <c r="D1887" s="28"/>
      <c r="J1887" s="139" t="s">
        <v>218</v>
      </c>
      <c r="K1887" s="140"/>
      <c r="L1887" s="140"/>
      <c r="M1887" s="140"/>
    </row>
    <row r="1888" spans="1:13" ht="14.25" thickBot="1" x14ac:dyDescent="0.2">
      <c r="B1888" s="2"/>
      <c r="C1888" s="3" t="s">
        <v>0</v>
      </c>
      <c r="D1888" s="2" t="s">
        <v>1</v>
      </c>
      <c r="K1888" s="2"/>
      <c r="L1888" s="3" t="s">
        <v>0</v>
      </c>
      <c r="M1888" s="2" t="s">
        <v>1</v>
      </c>
    </row>
    <row r="1889" spans="2:13" x14ac:dyDescent="0.15">
      <c r="B1889" s="43" t="s">
        <v>26</v>
      </c>
      <c r="C1889" s="38">
        <f>C1885</f>
        <v>123</v>
      </c>
      <c r="D1889" s="39">
        <f t="shared" ref="D1889:D1899" si="193">SUM(C1889:C1889)</f>
        <v>123</v>
      </c>
      <c r="K1889" s="43" t="s">
        <v>26</v>
      </c>
      <c r="L1889" s="38">
        <f>L1885</f>
        <v>2185</v>
      </c>
      <c r="M1889" s="39">
        <f t="shared" ref="M1889:M1899" si="194">SUM(L1889:L1889)</f>
        <v>2185</v>
      </c>
    </row>
    <row r="1890" spans="2:13" x14ac:dyDescent="0.15">
      <c r="B1890" s="6" t="s">
        <v>387</v>
      </c>
      <c r="C1890" s="7">
        <v>4</v>
      </c>
      <c r="D1890" s="5">
        <f t="shared" si="193"/>
        <v>4</v>
      </c>
      <c r="E1890" s="74">
        <v>42703</v>
      </c>
      <c r="F1890" s="74"/>
      <c r="G1890" s="74"/>
      <c r="H1890" s="74"/>
      <c r="I1890" s="74"/>
      <c r="J1890" s="75"/>
      <c r="K1890" s="6" t="s">
        <v>3</v>
      </c>
      <c r="L1890" s="7"/>
      <c r="M1890" s="5">
        <f t="shared" si="194"/>
        <v>0</v>
      </c>
    </row>
    <row r="1891" spans="2:13" x14ac:dyDescent="0.15">
      <c r="B1891" s="6" t="s">
        <v>3</v>
      </c>
      <c r="C1891" s="7">
        <v>-1</v>
      </c>
      <c r="D1891" s="5">
        <f t="shared" si="193"/>
        <v>-1</v>
      </c>
      <c r="E1891" s="74">
        <v>42719</v>
      </c>
      <c r="F1891" s="74"/>
      <c r="G1891" s="74"/>
      <c r="H1891" s="74"/>
      <c r="I1891" s="74"/>
      <c r="K1891" s="6" t="s">
        <v>3</v>
      </c>
      <c r="L1891" s="7"/>
      <c r="M1891" s="5">
        <f t="shared" si="194"/>
        <v>0</v>
      </c>
    </row>
    <row r="1892" spans="2:13" x14ac:dyDescent="0.15">
      <c r="B1892" s="6" t="s">
        <v>3</v>
      </c>
      <c r="C1892" s="7"/>
      <c r="D1892" s="5">
        <f t="shared" si="193"/>
        <v>0</v>
      </c>
      <c r="E1892" s="74"/>
      <c r="F1892" s="74"/>
      <c r="G1892" s="74"/>
      <c r="H1892" s="74"/>
      <c r="I1892" s="74"/>
      <c r="K1892" s="6" t="s">
        <v>3</v>
      </c>
      <c r="L1892" s="7"/>
      <c r="M1892" s="5">
        <f t="shared" si="194"/>
        <v>0</v>
      </c>
    </row>
    <row r="1893" spans="2:13" x14ac:dyDescent="0.15">
      <c r="B1893" s="6" t="s">
        <v>3</v>
      </c>
      <c r="C1893" s="7"/>
      <c r="D1893" s="5">
        <f t="shared" si="193"/>
        <v>0</v>
      </c>
      <c r="E1893" s="74"/>
      <c r="F1893" s="74"/>
      <c r="G1893" s="74"/>
      <c r="H1893" s="74"/>
      <c r="I1893" s="74"/>
      <c r="K1893" s="6" t="s">
        <v>3</v>
      </c>
      <c r="L1893" s="7"/>
      <c r="M1893" s="5">
        <f t="shared" si="194"/>
        <v>0</v>
      </c>
    </row>
    <row r="1894" spans="2:13" x14ac:dyDescent="0.15">
      <c r="B1894" s="6" t="s">
        <v>3</v>
      </c>
      <c r="C1894" s="7"/>
      <c r="D1894" s="5">
        <f t="shared" si="193"/>
        <v>0</v>
      </c>
      <c r="E1894" s="137"/>
      <c r="F1894" s="137"/>
      <c r="G1894" s="137"/>
      <c r="H1894" s="137"/>
      <c r="I1894" s="137"/>
      <c r="K1894" s="6" t="s">
        <v>3</v>
      </c>
      <c r="L1894" s="7"/>
      <c r="M1894" s="5">
        <f t="shared" si="194"/>
        <v>0</v>
      </c>
    </row>
    <row r="1895" spans="2:13" x14ac:dyDescent="0.15">
      <c r="B1895" s="6" t="s">
        <v>3</v>
      </c>
      <c r="C1895" s="7"/>
      <c r="D1895" s="5">
        <f t="shared" si="193"/>
        <v>0</v>
      </c>
      <c r="K1895" s="6" t="s">
        <v>3</v>
      </c>
      <c r="L1895" s="7"/>
      <c r="M1895" s="5">
        <f t="shared" si="194"/>
        <v>0</v>
      </c>
    </row>
    <row r="1896" spans="2:13" x14ac:dyDescent="0.15">
      <c r="B1896" s="6" t="s">
        <v>3</v>
      </c>
      <c r="C1896" s="54"/>
      <c r="D1896" s="5">
        <f t="shared" si="193"/>
        <v>0</v>
      </c>
      <c r="K1896" s="6" t="s">
        <v>3</v>
      </c>
      <c r="L1896" s="7"/>
      <c r="M1896" s="5">
        <f t="shared" si="194"/>
        <v>0</v>
      </c>
    </row>
    <row r="1897" spans="2:13" x14ac:dyDescent="0.15">
      <c r="B1897" s="6" t="s">
        <v>3</v>
      </c>
      <c r="C1897" s="54"/>
      <c r="D1897" s="5">
        <f t="shared" si="193"/>
        <v>0</v>
      </c>
      <c r="K1897" s="6" t="s">
        <v>3</v>
      </c>
      <c r="L1897" s="7"/>
      <c r="M1897" s="5">
        <f t="shared" si="194"/>
        <v>0</v>
      </c>
    </row>
    <row r="1898" spans="2:13" x14ac:dyDescent="0.15">
      <c r="B1898" s="6" t="s">
        <v>3</v>
      </c>
      <c r="C1898" s="54"/>
      <c r="D1898" s="5">
        <f t="shared" si="193"/>
        <v>0</v>
      </c>
      <c r="K1898" s="6" t="s">
        <v>3</v>
      </c>
      <c r="L1898" s="7"/>
      <c r="M1898" s="5">
        <f t="shared" si="194"/>
        <v>0</v>
      </c>
    </row>
    <row r="1899" spans="2:13" ht="14.25" thickBot="1" x14ac:dyDescent="0.2">
      <c r="B1899" s="9" t="s">
        <v>3</v>
      </c>
      <c r="C1899" s="101"/>
      <c r="D1899" s="5">
        <f t="shared" si="193"/>
        <v>0</v>
      </c>
      <c r="K1899" s="9" t="s">
        <v>3</v>
      </c>
      <c r="L1899" s="10"/>
      <c r="M1899" s="5">
        <f t="shared" si="194"/>
        <v>0</v>
      </c>
    </row>
    <row r="1900" spans="2:13" ht="14.25" thickBot="1" x14ac:dyDescent="0.2">
      <c r="B1900" s="11" t="s">
        <v>4</v>
      </c>
      <c r="C1900" s="12">
        <f>SUM(C1889:C1899)</f>
        <v>126</v>
      </c>
      <c r="D1900" s="13">
        <f>SUM(D1889:D1899)</f>
        <v>126</v>
      </c>
      <c r="K1900" s="11" t="s">
        <v>4</v>
      </c>
      <c r="L1900" s="12">
        <f>SUM(L1889:L1899)</f>
        <v>2185</v>
      </c>
      <c r="M1900" s="13">
        <f>SUM(M1889:M1899)</f>
        <v>2185</v>
      </c>
    </row>
    <row r="1901" spans="2:13" x14ac:dyDescent="0.15">
      <c r="B1901" s="71" t="s">
        <v>162</v>
      </c>
      <c r="C1901" s="15">
        <v>1</v>
      </c>
      <c r="D1901" s="14">
        <f t="shared" ref="D1901:D1922" si="195">SUM(C1901)</f>
        <v>1</v>
      </c>
      <c r="E1901" s="74">
        <v>42671</v>
      </c>
      <c r="F1901" s="74"/>
      <c r="G1901" s="74"/>
      <c r="H1901" s="74"/>
      <c r="I1901" s="74"/>
      <c r="K1901" s="4"/>
      <c r="L1901" s="15"/>
      <c r="M1901" s="14">
        <f>SUM(L1901:L1901)</f>
        <v>0</v>
      </c>
    </row>
    <row r="1902" spans="2:13" x14ac:dyDescent="0.15">
      <c r="B1902" s="71" t="s">
        <v>162</v>
      </c>
      <c r="C1902" s="15">
        <v>3</v>
      </c>
      <c r="D1902" s="14">
        <f t="shared" si="195"/>
        <v>3</v>
      </c>
      <c r="E1902" s="74">
        <v>42672</v>
      </c>
      <c r="F1902" s="74"/>
      <c r="G1902" s="74"/>
      <c r="H1902" s="74"/>
      <c r="I1902" s="74"/>
      <c r="J1902" s="51"/>
      <c r="K1902" s="4"/>
      <c r="L1902" s="15"/>
      <c r="M1902" s="14">
        <f t="shared" ref="M1902:M1911" si="196">SUM(L1902:L1902)</f>
        <v>0</v>
      </c>
    </row>
    <row r="1903" spans="2:13" x14ac:dyDescent="0.15">
      <c r="B1903" s="71" t="s">
        <v>162</v>
      </c>
      <c r="C1903" s="15">
        <v>1</v>
      </c>
      <c r="D1903" s="14">
        <f t="shared" si="195"/>
        <v>1</v>
      </c>
      <c r="E1903" s="74">
        <v>42674</v>
      </c>
      <c r="F1903" s="74"/>
      <c r="G1903" s="74"/>
      <c r="H1903" s="74"/>
      <c r="I1903" s="74"/>
      <c r="J1903" s="51"/>
      <c r="K1903" s="4"/>
      <c r="L1903" s="15"/>
      <c r="M1903" s="14">
        <f t="shared" si="196"/>
        <v>0</v>
      </c>
    </row>
    <row r="1904" spans="2:13" x14ac:dyDescent="0.15">
      <c r="B1904" s="71" t="s">
        <v>162</v>
      </c>
      <c r="C1904" s="15">
        <v>1</v>
      </c>
      <c r="D1904" s="14">
        <f t="shared" si="195"/>
        <v>1</v>
      </c>
      <c r="E1904" s="74">
        <v>42675</v>
      </c>
      <c r="F1904" s="74"/>
      <c r="G1904" s="74"/>
      <c r="H1904" s="74"/>
      <c r="I1904" s="74"/>
      <c r="J1904" s="51"/>
      <c r="K1904" s="4"/>
      <c r="L1904" s="15"/>
      <c r="M1904" s="14">
        <f t="shared" si="196"/>
        <v>0</v>
      </c>
    </row>
    <row r="1905" spans="2:13" x14ac:dyDescent="0.15">
      <c r="B1905" s="71" t="s">
        <v>162</v>
      </c>
      <c r="C1905" s="15">
        <v>1</v>
      </c>
      <c r="D1905" s="14">
        <f t="shared" si="195"/>
        <v>1</v>
      </c>
      <c r="E1905" s="48">
        <v>42683</v>
      </c>
      <c r="F1905" s="48"/>
      <c r="G1905" s="48"/>
      <c r="H1905" s="48"/>
      <c r="I1905" s="48"/>
      <c r="J1905" s="51"/>
      <c r="K1905" s="4"/>
      <c r="L1905" s="15"/>
      <c r="M1905" s="14">
        <f t="shared" si="196"/>
        <v>0</v>
      </c>
    </row>
    <row r="1906" spans="2:13" x14ac:dyDescent="0.15">
      <c r="B1906" s="71" t="s">
        <v>162</v>
      </c>
      <c r="C1906" s="15">
        <v>1</v>
      </c>
      <c r="D1906" s="14">
        <f t="shared" si="195"/>
        <v>1</v>
      </c>
      <c r="E1906" s="74">
        <v>42684</v>
      </c>
      <c r="F1906" s="74"/>
      <c r="G1906" s="74"/>
      <c r="H1906" s="74"/>
      <c r="I1906" s="74"/>
      <c r="J1906" s="51"/>
      <c r="K1906" s="4"/>
      <c r="L1906" s="15"/>
      <c r="M1906" s="14">
        <f t="shared" si="196"/>
        <v>0</v>
      </c>
    </row>
    <row r="1907" spans="2:13" x14ac:dyDescent="0.15">
      <c r="B1907" s="71" t="s">
        <v>162</v>
      </c>
      <c r="C1907" s="15">
        <v>1</v>
      </c>
      <c r="D1907" s="14">
        <f t="shared" si="195"/>
        <v>1</v>
      </c>
      <c r="E1907" s="74">
        <v>42685</v>
      </c>
      <c r="F1907" s="74"/>
      <c r="G1907" s="74"/>
      <c r="H1907" s="74"/>
      <c r="I1907" s="74"/>
      <c r="J1907" s="51"/>
      <c r="K1907" s="4"/>
      <c r="L1907" s="15"/>
      <c r="M1907" s="14">
        <f t="shared" si="196"/>
        <v>0</v>
      </c>
    </row>
    <row r="1908" spans="2:13" x14ac:dyDescent="0.15">
      <c r="B1908" s="71" t="s">
        <v>162</v>
      </c>
      <c r="C1908" s="15">
        <v>3</v>
      </c>
      <c r="D1908" s="14">
        <f t="shared" si="195"/>
        <v>3</v>
      </c>
      <c r="E1908" s="48">
        <v>42688</v>
      </c>
      <c r="F1908" s="48"/>
      <c r="G1908" s="48"/>
      <c r="H1908" s="48"/>
      <c r="I1908" s="48"/>
      <c r="J1908" s="51"/>
      <c r="K1908" s="6"/>
      <c r="L1908" s="15"/>
      <c r="M1908" s="14">
        <f t="shared" si="196"/>
        <v>0</v>
      </c>
    </row>
    <row r="1909" spans="2:13" x14ac:dyDescent="0.15">
      <c r="B1909" s="71" t="s">
        <v>386</v>
      </c>
      <c r="C1909" s="15">
        <v>5</v>
      </c>
      <c r="D1909" s="14">
        <f t="shared" si="195"/>
        <v>5</v>
      </c>
      <c r="E1909" s="74">
        <v>42691</v>
      </c>
      <c r="F1909" s="74"/>
      <c r="G1909" s="74"/>
      <c r="H1909" s="74"/>
      <c r="I1909" s="74"/>
      <c r="J1909" s="51"/>
      <c r="K1909" s="4"/>
      <c r="L1909" s="15"/>
      <c r="M1909" s="14">
        <f t="shared" si="196"/>
        <v>0</v>
      </c>
    </row>
    <row r="1910" spans="2:13" x14ac:dyDescent="0.15">
      <c r="B1910" s="71" t="s">
        <v>162</v>
      </c>
      <c r="C1910" s="15">
        <v>1</v>
      </c>
      <c r="D1910" s="14">
        <f t="shared" si="195"/>
        <v>1</v>
      </c>
      <c r="E1910" s="74">
        <v>42689</v>
      </c>
      <c r="F1910" s="74"/>
      <c r="G1910" s="74"/>
      <c r="H1910" s="74"/>
      <c r="I1910" s="74"/>
      <c r="J1910" s="51"/>
      <c r="K1910" s="4"/>
      <c r="L1910" s="15"/>
      <c r="M1910" s="14">
        <f t="shared" si="196"/>
        <v>0</v>
      </c>
    </row>
    <row r="1911" spans="2:13" x14ac:dyDescent="0.15">
      <c r="B1911" s="71" t="s">
        <v>162</v>
      </c>
      <c r="C1911" s="15">
        <v>2</v>
      </c>
      <c r="D1911" s="14">
        <f t="shared" si="195"/>
        <v>2</v>
      </c>
      <c r="E1911" s="74">
        <v>42690</v>
      </c>
      <c r="F1911" s="74"/>
      <c r="G1911" s="74"/>
      <c r="H1911" s="74"/>
      <c r="I1911" s="74"/>
      <c r="J1911" s="51"/>
      <c r="K1911" s="4"/>
      <c r="L1911" s="15"/>
      <c r="M1911" s="14">
        <f t="shared" si="196"/>
        <v>0</v>
      </c>
    </row>
    <row r="1912" spans="2:13" x14ac:dyDescent="0.15">
      <c r="B1912" s="71" t="s">
        <v>162</v>
      </c>
      <c r="C1912" s="15">
        <v>1</v>
      </c>
      <c r="D1912" s="14">
        <f t="shared" si="195"/>
        <v>1</v>
      </c>
      <c r="E1912" s="74">
        <v>42700</v>
      </c>
      <c r="F1912" s="74"/>
      <c r="G1912" s="74"/>
      <c r="H1912" s="74"/>
      <c r="I1912" s="74"/>
      <c r="J1912" s="51"/>
      <c r="K1912" s="4"/>
      <c r="L1912" s="15"/>
      <c r="M1912" s="14">
        <f t="shared" ref="M1912:M1920" si="197">SUM(L1912:L1912)</f>
        <v>0</v>
      </c>
    </row>
    <row r="1913" spans="2:13" x14ac:dyDescent="0.15">
      <c r="B1913" s="71" t="s">
        <v>162</v>
      </c>
      <c r="C1913" s="15">
        <v>1</v>
      </c>
      <c r="D1913" s="14">
        <f t="shared" si="195"/>
        <v>1</v>
      </c>
      <c r="E1913" s="48">
        <v>42702</v>
      </c>
      <c r="F1913" s="48"/>
      <c r="G1913" s="48"/>
      <c r="H1913" s="48"/>
      <c r="I1913" s="48"/>
      <c r="J1913" s="51"/>
      <c r="K1913" s="6"/>
      <c r="L1913" s="15"/>
      <c r="M1913" s="14">
        <f t="shared" si="197"/>
        <v>0</v>
      </c>
    </row>
    <row r="1914" spans="2:13" x14ac:dyDescent="0.15">
      <c r="B1914" s="71" t="s">
        <v>162</v>
      </c>
      <c r="C1914" s="15">
        <v>1</v>
      </c>
      <c r="D1914" s="14">
        <f t="shared" si="195"/>
        <v>1</v>
      </c>
      <c r="E1914" s="74">
        <v>42705</v>
      </c>
      <c r="F1914" s="74"/>
      <c r="G1914" s="74"/>
      <c r="H1914" s="74"/>
      <c r="I1914" s="74"/>
      <c r="J1914" s="51"/>
      <c r="K1914" s="4"/>
      <c r="L1914" s="15"/>
      <c r="M1914" s="14">
        <f t="shared" si="197"/>
        <v>0</v>
      </c>
    </row>
    <row r="1915" spans="2:13" x14ac:dyDescent="0.15">
      <c r="B1915" s="71" t="s">
        <v>162</v>
      </c>
      <c r="C1915" s="15">
        <v>1</v>
      </c>
      <c r="D1915" s="14">
        <f t="shared" si="195"/>
        <v>1</v>
      </c>
      <c r="E1915" s="48">
        <v>42709</v>
      </c>
      <c r="F1915" s="48"/>
      <c r="G1915" s="48"/>
      <c r="H1915" s="48"/>
      <c r="I1915" s="48"/>
      <c r="J1915" s="51"/>
      <c r="K1915" s="4"/>
      <c r="L1915" s="15"/>
      <c r="M1915" s="14">
        <f t="shared" si="197"/>
        <v>0</v>
      </c>
    </row>
    <row r="1916" spans="2:13" x14ac:dyDescent="0.15">
      <c r="B1916" s="71" t="s">
        <v>162</v>
      </c>
      <c r="C1916" s="15">
        <v>1</v>
      </c>
      <c r="D1916" s="14">
        <f t="shared" si="195"/>
        <v>1</v>
      </c>
      <c r="E1916" s="48">
        <v>42710</v>
      </c>
      <c r="F1916" s="48"/>
      <c r="G1916" s="48"/>
      <c r="H1916" s="48"/>
      <c r="I1916" s="48"/>
      <c r="J1916" s="51"/>
      <c r="K1916" s="4"/>
      <c r="L1916" s="15"/>
      <c r="M1916" s="14">
        <f t="shared" si="197"/>
        <v>0</v>
      </c>
    </row>
    <row r="1917" spans="2:13" x14ac:dyDescent="0.15">
      <c r="B1917" s="71" t="s">
        <v>162</v>
      </c>
      <c r="C1917" s="15">
        <v>1</v>
      </c>
      <c r="D1917" s="14">
        <f t="shared" si="195"/>
        <v>1</v>
      </c>
      <c r="E1917" s="74">
        <v>42712</v>
      </c>
      <c r="F1917" s="74"/>
      <c r="G1917" s="74"/>
      <c r="H1917" s="74"/>
      <c r="I1917" s="74"/>
      <c r="J1917" s="51"/>
      <c r="K1917" s="4"/>
      <c r="L1917" s="15"/>
      <c r="M1917" s="14">
        <f t="shared" si="197"/>
        <v>0</v>
      </c>
    </row>
    <row r="1918" spans="2:13" x14ac:dyDescent="0.15">
      <c r="B1918" s="71" t="s">
        <v>162</v>
      </c>
      <c r="C1918" s="15">
        <v>2</v>
      </c>
      <c r="D1918" s="14">
        <f t="shared" si="195"/>
        <v>2</v>
      </c>
      <c r="E1918" s="74">
        <v>42713</v>
      </c>
      <c r="F1918" s="74"/>
      <c r="G1918" s="74"/>
      <c r="H1918" s="74"/>
      <c r="I1918" s="74"/>
      <c r="J1918" s="51"/>
      <c r="K1918" s="4"/>
      <c r="L1918" s="15"/>
      <c r="M1918" s="14">
        <f t="shared" si="197"/>
        <v>0</v>
      </c>
    </row>
    <row r="1919" spans="2:13" x14ac:dyDescent="0.15">
      <c r="B1919" s="71" t="s">
        <v>162</v>
      </c>
      <c r="C1919" s="15">
        <v>6</v>
      </c>
      <c r="D1919" s="14">
        <f t="shared" si="195"/>
        <v>6</v>
      </c>
      <c r="E1919" s="74">
        <v>42716</v>
      </c>
      <c r="F1919" s="74"/>
      <c r="G1919" s="74"/>
      <c r="H1919" s="74"/>
      <c r="I1919" s="74"/>
      <c r="J1919" s="51"/>
      <c r="K1919" s="4"/>
      <c r="L1919" s="15"/>
      <c r="M1919" s="14">
        <f t="shared" si="197"/>
        <v>0</v>
      </c>
    </row>
    <row r="1920" spans="2:13" x14ac:dyDescent="0.15">
      <c r="B1920" s="71" t="s">
        <v>162</v>
      </c>
      <c r="C1920" s="15">
        <v>1</v>
      </c>
      <c r="D1920" s="14">
        <f t="shared" si="195"/>
        <v>1</v>
      </c>
      <c r="E1920" s="74">
        <v>42717</v>
      </c>
      <c r="F1920" s="74"/>
      <c r="G1920" s="74"/>
      <c r="H1920" s="74"/>
      <c r="I1920" s="74"/>
      <c r="J1920" s="51"/>
      <c r="K1920" s="4"/>
      <c r="L1920" s="15"/>
      <c r="M1920" s="14">
        <f t="shared" si="197"/>
        <v>0</v>
      </c>
    </row>
    <row r="1921" spans="1:14" x14ac:dyDescent="0.15">
      <c r="B1921" s="71" t="s">
        <v>162</v>
      </c>
      <c r="C1921" s="15">
        <v>1</v>
      </c>
      <c r="D1921" s="14">
        <f t="shared" si="195"/>
        <v>1</v>
      </c>
      <c r="E1921" s="74">
        <v>42719</v>
      </c>
      <c r="F1921" s="74"/>
      <c r="G1921" s="74"/>
      <c r="H1921" s="74"/>
      <c r="I1921" s="74"/>
      <c r="J1921" s="51"/>
      <c r="K1921" s="4"/>
      <c r="L1921" s="15"/>
      <c r="M1921" s="14">
        <f>SUM(L1921)</f>
        <v>0</v>
      </c>
    </row>
    <row r="1922" spans="1:14" x14ac:dyDescent="0.15">
      <c r="B1922" s="71" t="s">
        <v>162</v>
      </c>
      <c r="C1922" s="15">
        <v>3</v>
      </c>
      <c r="D1922" s="14">
        <f t="shared" si="195"/>
        <v>3</v>
      </c>
      <c r="E1922" s="74">
        <v>42721</v>
      </c>
      <c r="F1922" s="74"/>
      <c r="G1922" s="74"/>
      <c r="H1922" s="74"/>
      <c r="I1922" s="74"/>
      <c r="J1922" s="51"/>
      <c r="K1922" s="4"/>
      <c r="L1922" s="15"/>
      <c r="M1922" s="14">
        <f>SUM(L1922)</f>
        <v>0</v>
      </c>
    </row>
    <row r="1923" spans="1:14" x14ac:dyDescent="0.15">
      <c r="B1923" s="71" t="s">
        <v>162</v>
      </c>
      <c r="C1923" s="15">
        <v>1</v>
      </c>
      <c r="D1923" s="14">
        <f>SUM(C1923)</f>
        <v>1</v>
      </c>
      <c r="E1923" s="74">
        <v>42731</v>
      </c>
      <c r="F1923" s="74"/>
      <c r="G1923" s="74"/>
      <c r="H1923" s="74"/>
      <c r="I1923" s="74"/>
      <c r="J1923" s="51"/>
      <c r="K1923" s="4"/>
      <c r="L1923" s="15"/>
      <c r="M1923" s="14">
        <f>SUM(L1923)</f>
        <v>0</v>
      </c>
    </row>
    <row r="1924" spans="1:14" ht="14.25" thickBot="1" x14ac:dyDescent="0.2">
      <c r="B1924" s="71" t="s">
        <v>162</v>
      </c>
      <c r="C1924" s="15">
        <v>1</v>
      </c>
      <c r="D1924" s="14">
        <f>SUM(C1924)</f>
        <v>1</v>
      </c>
      <c r="E1924" s="48">
        <v>42732</v>
      </c>
      <c r="F1924" s="48"/>
      <c r="G1924" s="48"/>
      <c r="H1924" s="48"/>
      <c r="I1924" s="48"/>
      <c r="J1924" s="51"/>
      <c r="K1924" s="4"/>
      <c r="L1924" s="15"/>
      <c r="M1924" s="14">
        <f>SUM(L1924)</f>
        <v>0</v>
      </c>
    </row>
    <row r="1925" spans="1:14" ht="14.25" thickBot="1" x14ac:dyDescent="0.2">
      <c r="B1925" s="3" t="s">
        <v>5</v>
      </c>
      <c r="C1925" s="16">
        <f>SUM(C1901:C1924)</f>
        <v>41</v>
      </c>
      <c r="D1925" s="17">
        <f>SUM(D1901:D1924)</f>
        <v>41</v>
      </c>
      <c r="K1925" s="3" t="s">
        <v>5</v>
      </c>
      <c r="L1925" s="16">
        <f>SUM(L1901:L1924)</f>
        <v>0</v>
      </c>
      <c r="M1925" s="17">
        <f>SUM(M1901:M1924)</f>
        <v>0</v>
      </c>
    </row>
    <row r="1926" spans="1:14" ht="14.25" thickBot="1" x14ac:dyDescent="0.2">
      <c r="B1926" s="18" t="s">
        <v>6</v>
      </c>
      <c r="C1926" s="19">
        <f>C1900-C1925</f>
        <v>85</v>
      </c>
      <c r="D1926" s="13">
        <f>D1900-D1925</f>
        <v>85</v>
      </c>
      <c r="K1926" s="18" t="s">
        <v>6</v>
      </c>
      <c r="L1926" s="19">
        <f>L1900-L1925</f>
        <v>2185</v>
      </c>
      <c r="M1926" s="13">
        <f>M1900-M1925</f>
        <v>2185</v>
      </c>
    </row>
    <row r="1928" spans="1:14" ht="18" thickBot="1" x14ac:dyDescent="0.25">
      <c r="A1928" s="27" t="s">
        <v>8</v>
      </c>
      <c r="B1928" s="28"/>
      <c r="C1928" s="28"/>
      <c r="D1928" s="28"/>
      <c r="J1928" s="139" t="s">
        <v>218</v>
      </c>
      <c r="K1928" s="140"/>
      <c r="L1928" s="140"/>
      <c r="M1928" s="140"/>
    </row>
    <row r="1929" spans="1:14" ht="14.25" thickBot="1" x14ac:dyDescent="0.2">
      <c r="B1929" s="2"/>
      <c r="C1929" s="3" t="s">
        <v>0</v>
      </c>
      <c r="D1929" s="2" t="s">
        <v>1</v>
      </c>
      <c r="K1929" s="2"/>
      <c r="L1929" s="3" t="s">
        <v>0</v>
      </c>
      <c r="M1929" s="2" t="s">
        <v>1</v>
      </c>
    </row>
    <row r="1930" spans="1:14" x14ac:dyDescent="0.15">
      <c r="B1930" s="43" t="s">
        <v>26</v>
      </c>
      <c r="C1930" s="38">
        <f>C1926</f>
        <v>85</v>
      </c>
      <c r="D1930" s="39">
        <f t="shared" ref="D1930:D1940" si="198">SUM(C1930:C1930)</f>
        <v>85</v>
      </c>
      <c r="K1930" s="43" t="s">
        <v>26</v>
      </c>
      <c r="L1930" s="38">
        <f>L1926</f>
        <v>2185</v>
      </c>
      <c r="M1930" s="39">
        <f t="shared" ref="M1930:M1940" si="199">SUM(L1930:L1930)</f>
        <v>2185</v>
      </c>
    </row>
    <row r="1931" spans="1:14" x14ac:dyDescent="0.15">
      <c r="B1931" s="6" t="s">
        <v>64</v>
      </c>
      <c r="C1931" s="7">
        <v>1</v>
      </c>
      <c r="D1931" s="5">
        <f t="shared" si="198"/>
        <v>1</v>
      </c>
      <c r="E1931" s="74">
        <v>42760</v>
      </c>
      <c r="F1931" s="74"/>
      <c r="G1931" s="74"/>
      <c r="H1931" s="74"/>
      <c r="I1931" s="74"/>
      <c r="J1931" s="75"/>
      <c r="K1931" s="6" t="s">
        <v>3</v>
      </c>
      <c r="L1931" s="7"/>
      <c r="M1931" s="5">
        <f t="shared" si="199"/>
        <v>0</v>
      </c>
    </row>
    <row r="1932" spans="1:14" x14ac:dyDescent="0.15">
      <c r="B1932" s="6" t="s">
        <v>3</v>
      </c>
      <c r="C1932" s="7"/>
      <c r="D1932" s="5">
        <f t="shared" si="198"/>
        <v>0</v>
      </c>
      <c r="E1932" s="74"/>
      <c r="F1932" s="74"/>
      <c r="G1932" s="74"/>
      <c r="H1932" s="74"/>
      <c r="I1932" s="74"/>
      <c r="K1932" s="6" t="s">
        <v>3</v>
      </c>
      <c r="L1932" s="7"/>
      <c r="M1932" s="5">
        <f t="shared" si="199"/>
        <v>0</v>
      </c>
      <c r="N1932" s="74"/>
    </row>
    <row r="1933" spans="1:14" x14ac:dyDescent="0.15">
      <c r="B1933" s="6" t="s">
        <v>3</v>
      </c>
      <c r="C1933" s="7"/>
      <c r="D1933" s="5">
        <f t="shared" si="198"/>
        <v>0</v>
      </c>
      <c r="E1933" s="74"/>
      <c r="F1933" s="74"/>
      <c r="G1933" s="74"/>
      <c r="H1933" s="74"/>
      <c r="I1933" s="74"/>
      <c r="K1933" s="6" t="s">
        <v>3</v>
      </c>
      <c r="L1933" s="7"/>
      <c r="M1933" s="5">
        <f t="shared" si="199"/>
        <v>0</v>
      </c>
      <c r="N1933" s="75"/>
    </row>
    <row r="1934" spans="1:14" x14ac:dyDescent="0.15">
      <c r="B1934" s="6" t="s">
        <v>3</v>
      </c>
      <c r="C1934" s="7"/>
      <c r="D1934" s="5">
        <f t="shared" si="198"/>
        <v>0</v>
      </c>
      <c r="E1934" s="74"/>
      <c r="F1934" s="74"/>
      <c r="G1934" s="74"/>
      <c r="H1934" s="74"/>
      <c r="I1934" s="74"/>
      <c r="K1934" s="6" t="s">
        <v>3</v>
      </c>
      <c r="L1934" s="7"/>
      <c r="M1934" s="5">
        <f t="shared" si="199"/>
        <v>0</v>
      </c>
    </row>
    <row r="1935" spans="1:14" x14ac:dyDescent="0.15">
      <c r="B1935" s="6" t="s">
        <v>3</v>
      </c>
      <c r="C1935" s="7"/>
      <c r="D1935" s="5">
        <f t="shared" si="198"/>
        <v>0</v>
      </c>
      <c r="E1935" s="137"/>
      <c r="F1935" s="137"/>
      <c r="G1935" s="137"/>
      <c r="H1935" s="137"/>
      <c r="I1935" s="137"/>
      <c r="K1935" s="6" t="s">
        <v>3</v>
      </c>
      <c r="L1935" s="7"/>
      <c r="M1935" s="5">
        <f t="shared" si="199"/>
        <v>0</v>
      </c>
    </row>
    <row r="1936" spans="1:14" x14ac:dyDescent="0.15">
      <c r="B1936" s="6" t="s">
        <v>3</v>
      </c>
      <c r="C1936" s="7"/>
      <c r="D1936" s="5">
        <f t="shared" si="198"/>
        <v>0</v>
      </c>
      <c r="K1936" s="6" t="s">
        <v>3</v>
      </c>
      <c r="L1936" s="7"/>
      <c r="M1936" s="5">
        <f t="shared" si="199"/>
        <v>0</v>
      </c>
    </row>
    <row r="1937" spans="2:13" x14ac:dyDescent="0.15">
      <c r="B1937" s="6" t="s">
        <v>3</v>
      </c>
      <c r="C1937" s="54"/>
      <c r="D1937" s="5">
        <f t="shared" si="198"/>
        <v>0</v>
      </c>
      <c r="K1937" s="6" t="s">
        <v>3</v>
      </c>
      <c r="L1937" s="7"/>
      <c r="M1937" s="5">
        <f t="shared" si="199"/>
        <v>0</v>
      </c>
    </row>
    <row r="1938" spans="2:13" x14ac:dyDescent="0.15">
      <c r="B1938" s="6" t="s">
        <v>3</v>
      </c>
      <c r="C1938" s="54"/>
      <c r="D1938" s="5">
        <f t="shared" si="198"/>
        <v>0</v>
      </c>
      <c r="K1938" s="6" t="s">
        <v>3</v>
      </c>
      <c r="L1938" s="7"/>
      <c r="M1938" s="5">
        <f t="shared" si="199"/>
        <v>0</v>
      </c>
    </row>
    <row r="1939" spans="2:13" x14ac:dyDescent="0.15">
      <c r="B1939" s="6" t="s">
        <v>3</v>
      </c>
      <c r="C1939" s="54"/>
      <c r="D1939" s="5">
        <f t="shared" si="198"/>
        <v>0</v>
      </c>
      <c r="K1939" s="6" t="s">
        <v>3</v>
      </c>
      <c r="L1939" s="7"/>
      <c r="M1939" s="5">
        <f t="shared" si="199"/>
        <v>0</v>
      </c>
    </row>
    <row r="1940" spans="2:13" ht="14.25" thickBot="1" x14ac:dyDescent="0.2">
      <c r="B1940" s="9" t="s">
        <v>3</v>
      </c>
      <c r="C1940" s="101"/>
      <c r="D1940" s="5">
        <f t="shared" si="198"/>
        <v>0</v>
      </c>
      <c r="K1940" s="9" t="s">
        <v>3</v>
      </c>
      <c r="L1940" s="10"/>
      <c r="M1940" s="5">
        <f t="shared" si="199"/>
        <v>0</v>
      </c>
    </row>
    <row r="1941" spans="2:13" ht="14.25" thickBot="1" x14ac:dyDescent="0.2">
      <c r="B1941" s="11" t="s">
        <v>4</v>
      </c>
      <c r="C1941" s="12">
        <f>SUM(C1930:C1940)</f>
        <v>86</v>
      </c>
      <c r="D1941" s="13">
        <f>SUM(D1930:D1940)</f>
        <v>86</v>
      </c>
      <c r="K1941" s="11" t="s">
        <v>4</v>
      </c>
      <c r="L1941" s="12">
        <f>SUM(L1930:L1940)</f>
        <v>2185</v>
      </c>
      <c r="M1941" s="13">
        <f>SUM(M1930:M1940)</f>
        <v>2185</v>
      </c>
    </row>
    <row r="1942" spans="2:13" x14ac:dyDescent="0.15">
      <c r="B1942" s="71" t="s">
        <v>162</v>
      </c>
      <c r="C1942" s="15">
        <v>1</v>
      </c>
      <c r="D1942" s="14">
        <f t="shared" ref="D1942:D1963" si="200">SUM(C1942)</f>
        <v>1</v>
      </c>
      <c r="E1942" s="74">
        <v>42740</v>
      </c>
      <c r="F1942" s="74"/>
      <c r="G1942" s="74"/>
      <c r="H1942" s="74"/>
      <c r="I1942" s="74"/>
      <c r="K1942" s="4"/>
      <c r="L1942" s="15"/>
      <c r="M1942" s="14">
        <f>SUM(L1942:L1942)</f>
        <v>0</v>
      </c>
    </row>
    <row r="1943" spans="2:13" x14ac:dyDescent="0.15">
      <c r="B1943" s="71" t="s">
        <v>162</v>
      </c>
      <c r="C1943" s="15">
        <v>1</v>
      </c>
      <c r="D1943" s="14">
        <f t="shared" si="200"/>
        <v>1</v>
      </c>
      <c r="E1943" s="74">
        <v>42741</v>
      </c>
      <c r="F1943" s="74"/>
      <c r="G1943" s="74"/>
      <c r="H1943" s="74"/>
      <c r="I1943" s="74"/>
      <c r="J1943" s="51"/>
      <c r="K1943" s="4"/>
      <c r="L1943" s="15"/>
      <c r="M1943" s="14">
        <f t="shared" ref="M1943:M1952" si="201">SUM(L1943:L1943)</f>
        <v>0</v>
      </c>
    </row>
    <row r="1944" spans="2:13" x14ac:dyDescent="0.15">
      <c r="B1944" s="71" t="s">
        <v>162</v>
      </c>
      <c r="C1944" s="15">
        <v>2</v>
      </c>
      <c r="D1944" s="14">
        <f t="shared" si="200"/>
        <v>2</v>
      </c>
      <c r="E1944" s="74">
        <v>42746</v>
      </c>
      <c r="F1944" s="74"/>
      <c r="G1944" s="74"/>
      <c r="H1944" s="74"/>
      <c r="I1944" s="74"/>
      <c r="J1944" s="51"/>
      <c r="K1944" s="4"/>
      <c r="L1944" s="15"/>
      <c r="M1944" s="14">
        <f t="shared" si="201"/>
        <v>0</v>
      </c>
    </row>
    <row r="1945" spans="2:13" x14ac:dyDescent="0.15">
      <c r="B1945" s="71" t="s">
        <v>162</v>
      </c>
      <c r="C1945" s="15">
        <v>1</v>
      </c>
      <c r="D1945" s="14">
        <f t="shared" si="200"/>
        <v>1</v>
      </c>
      <c r="E1945" s="74">
        <v>42748</v>
      </c>
      <c r="F1945" s="74"/>
      <c r="G1945" s="74"/>
      <c r="H1945" s="74"/>
      <c r="I1945" s="74"/>
      <c r="J1945" s="51"/>
      <c r="K1945" s="4"/>
      <c r="L1945" s="15"/>
      <c r="M1945" s="14">
        <f t="shared" si="201"/>
        <v>0</v>
      </c>
    </row>
    <row r="1946" spans="2:13" x14ac:dyDescent="0.15">
      <c r="B1946" s="71" t="s">
        <v>162</v>
      </c>
      <c r="C1946" s="15">
        <v>1</v>
      </c>
      <c r="D1946" s="14">
        <f t="shared" si="200"/>
        <v>1</v>
      </c>
      <c r="E1946" s="48">
        <v>42754</v>
      </c>
      <c r="F1946" s="48"/>
      <c r="G1946" s="48"/>
      <c r="H1946" s="48"/>
      <c r="I1946" s="48"/>
      <c r="J1946" s="51"/>
      <c r="K1946" s="4"/>
      <c r="L1946" s="15"/>
      <c r="M1946" s="14">
        <f t="shared" si="201"/>
        <v>0</v>
      </c>
    </row>
    <row r="1947" spans="2:13" x14ac:dyDescent="0.15">
      <c r="B1947" s="71" t="s">
        <v>162</v>
      </c>
      <c r="C1947" s="15">
        <v>2</v>
      </c>
      <c r="D1947" s="14">
        <f t="shared" si="200"/>
        <v>2</v>
      </c>
      <c r="E1947" s="74">
        <v>42755</v>
      </c>
      <c r="F1947" s="74"/>
      <c r="G1947" s="74"/>
      <c r="H1947" s="74"/>
      <c r="I1947" s="74"/>
      <c r="J1947" s="51"/>
      <c r="K1947" s="4"/>
      <c r="L1947" s="15"/>
      <c r="M1947" s="14">
        <f t="shared" si="201"/>
        <v>0</v>
      </c>
    </row>
    <row r="1948" spans="2:13" x14ac:dyDescent="0.15">
      <c r="B1948" s="71" t="s">
        <v>162</v>
      </c>
      <c r="C1948" s="15">
        <v>1</v>
      </c>
      <c r="D1948" s="14">
        <f t="shared" si="200"/>
        <v>1</v>
      </c>
      <c r="E1948" s="74">
        <v>42756</v>
      </c>
      <c r="F1948" s="74"/>
      <c r="G1948" s="74"/>
      <c r="H1948" s="74"/>
      <c r="I1948" s="74"/>
      <c r="J1948" s="51"/>
      <c r="K1948" s="4"/>
      <c r="L1948" s="15"/>
      <c r="M1948" s="14">
        <f t="shared" si="201"/>
        <v>0</v>
      </c>
    </row>
    <row r="1949" spans="2:13" x14ac:dyDescent="0.15">
      <c r="B1949" s="71" t="s">
        <v>162</v>
      </c>
      <c r="C1949" s="15">
        <v>3</v>
      </c>
      <c r="D1949" s="14">
        <f t="shared" si="200"/>
        <v>3</v>
      </c>
      <c r="E1949" s="48">
        <v>42765</v>
      </c>
      <c r="F1949" s="48"/>
      <c r="G1949" s="48"/>
      <c r="H1949" s="48"/>
      <c r="I1949" s="48"/>
      <c r="J1949" s="51"/>
      <c r="K1949" s="6"/>
      <c r="L1949" s="15"/>
      <c r="M1949" s="14">
        <f t="shared" si="201"/>
        <v>0</v>
      </c>
    </row>
    <row r="1950" spans="2:13" x14ac:dyDescent="0.15">
      <c r="B1950" s="71" t="s">
        <v>162</v>
      </c>
      <c r="C1950" s="15">
        <v>1</v>
      </c>
      <c r="D1950" s="14">
        <f t="shared" si="200"/>
        <v>1</v>
      </c>
      <c r="E1950" s="74">
        <v>42766</v>
      </c>
      <c r="F1950" s="74"/>
      <c r="G1950" s="74"/>
      <c r="H1950" s="74"/>
      <c r="I1950" s="74"/>
      <c r="J1950" s="51"/>
      <c r="K1950" s="4"/>
      <c r="L1950" s="15"/>
      <c r="M1950" s="14">
        <f t="shared" si="201"/>
        <v>0</v>
      </c>
    </row>
    <row r="1951" spans="2:13" x14ac:dyDescent="0.15">
      <c r="B1951" s="71" t="s">
        <v>388</v>
      </c>
      <c r="C1951" s="15">
        <v>1</v>
      </c>
      <c r="D1951" s="14">
        <f t="shared" si="200"/>
        <v>1</v>
      </c>
      <c r="E1951" s="74">
        <v>42767</v>
      </c>
      <c r="F1951" s="74"/>
      <c r="G1951" s="74"/>
      <c r="H1951" s="74"/>
      <c r="I1951" s="74"/>
      <c r="J1951" s="51"/>
      <c r="K1951" s="4"/>
      <c r="L1951" s="15"/>
      <c r="M1951" s="14">
        <f t="shared" si="201"/>
        <v>0</v>
      </c>
    </row>
    <row r="1952" spans="2:13" x14ac:dyDescent="0.15">
      <c r="B1952" s="71" t="s">
        <v>389</v>
      </c>
      <c r="C1952" s="15">
        <v>2</v>
      </c>
      <c r="D1952" s="14">
        <f t="shared" si="200"/>
        <v>2</v>
      </c>
      <c r="E1952" s="74">
        <v>42769</v>
      </c>
      <c r="F1952" s="74"/>
      <c r="G1952" s="74"/>
      <c r="H1952" s="74"/>
      <c r="I1952" s="74"/>
      <c r="J1952" s="51"/>
      <c r="K1952" s="4"/>
      <c r="L1952" s="15"/>
      <c r="M1952" s="14">
        <f t="shared" si="201"/>
        <v>0</v>
      </c>
    </row>
    <row r="1953" spans="2:14" x14ac:dyDescent="0.15">
      <c r="B1953" s="71" t="s">
        <v>162</v>
      </c>
      <c r="C1953" s="15">
        <v>2</v>
      </c>
      <c r="D1953" s="14">
        <f t="shared" si="200"/>
        <v>2</v>
      </c>
      <c r="E1953" s="74">
        <v>42772</v>
      </c>
      <c r="F1953" s="74"/>
      <c r="G1953" s="74"/>
      <c r="H1953" s="74"/>
      <c r="I1953" s="74"/>
      <c r="J1953" s="51"/>
      <c r="K1953" s="4"/>
      <c r="L1953" s="15"/>
      <c r="M1953" s="14">
        <f t="shared" ref="M1953:M1961" si="202">SUM(L1953:L1953)</f>
        <v>0</v>
      </c>
    </row>
    <row r="1954" spans="2:14" x14ac:dyDescent="0.15">
      <c r="B1954" s="71" t="s">
        <v>162</v>
      </c>
      <c r="C1954" s="15">
        <v>3</v>
      </c>
      <c r="D1954" s="14">
        <f t="shared" si="200"/>
        <v>3</v>
      </c>
      <c r="E1954" s="48">
        <v>42770</v>
      </c>
      <c r="F1954" s="48"/>
      <c r="G1954" s="48"/>
      <c r="H1954" s="48"/>
      <c r="I1954" s="48"/>
      <c r="J1954" s="51"/>
      <c r="K1954" s="6"/>
      <c r="L1954" s="15"/>
      <c r="M1954" s="14">
        <f t="shared" si="202"/>
        <v>0</v>
      </c>
    </row>
    <row r="1955" spans="2:14" x14ac:dyDescent="0.15">
      <c r="B1955" s="71" t="s">
        <v>162</v>
      </c>
      <c r="C1955" s="15">
        <v>1</v>
      </c>
      <c r="D1955" s="14">
        <f t="shared" si="200"/>
        <v>1</v>
      </c>
      <c r="E1955" s="74">
        <v>42773</v>
      </c>
      <c r="F1955" s="74"/>
      <c r="G1955" s="74"/>
      <c r="H1955" s="74"/>
      <c r="I1955" s="74"/>
      <c r="J1955" s="51"/>
      <c r="K1955" s="4"/>
      <c r="L1955" s="15"/>
      <c r="M1955" s="14">
        <f t="shared" si="202"/>
        <v>0</v>
      </c>
    </row>
    <row r="1956" spans="2:14" x14ac:dyDescent="0.15">
      <c r="B1956" s="71" t="s">
        <v>162</v>
      </c>
      <c r="C1956" s="15">
        <v>1</v>
      </c>
      <c r="D1956" s="14">
        <f t="shared" si="200"/>
        <v>1</v>
      </c>
      <c r="E1956" s="48">
        <v>42779</v>
      </c>
      <c r="F1956" s="48"/>
      <c r="G1956" s="48"/>
      <c r="H1956" s="48"/>
      <c r="I1956" s="48"/>
      <c r="J1956" s="51"/>
      <c r="K1956" s="4"/>
      <c r="L1956" s="15"/>
      <c r="M1956" s="14">
        <f t="shared" si="202"/>
        <v>0</v>
      </c>
    </row>
    <row r="1957" spans="2:14" x14ac:dyDescent="0.15">
      <c r="B1957" s="71" t="s">
        <v>162</v>
      </c>
      <c r="C1957" s="15">
        <v>1</v>
      </c>
      <c r="D1957" s="14">
        <f t="shared" si="200"/>
        <v>1</v>
      </c>
      <c r="E1957" s="48">
        <v>42780</v>
      </c>
      <c r="F1957" s="48"/>
      <c r="G1957" s="48"/>
      <c r="H1957" s="48"/>
      <c r="I1957" s="48"/>
      <c r="J1957" s="51"/>
      <c r="K1957" s="4"/>
      <c r="L1957" s="15"/>
      <c r="M1957" s="14">
        <f t="shared" si="202"/>
        <v>0</v>
      </c>
    </row>
    <row r="1958" spans="2:14" x14ac:dyDescent="0.15">
      <c r="B1958" s="71" t="s">
        <v>162</v>
      </c>
      <c r="C1958" s="15">
        <v>1</v>
      </c>
      <c r="D1958" s="14">
        <f t="shared" si="200"/>
        <v>1</v>
      </c>
      <c r="E1958" s="74">
        <v>42783</v>
      </c>
      <c r="F1958" s="74"/>
      <c r="G1958" s="74"/>
      <c r="H1958" s="74"/>
      <c r="I1958" s="74"/>
      <c r="J1958" s="51"/>
      <c r="K1958" s="4"/>
      <c r="L1958" s="15"/>
      <c r="M1958" s="14">
        <f t="shared" si="202"/>
        <v>0</v>
      </c>
    </row>
    <row r="1959" spans="2:14" x14ac:dyDescent="0.15">
      <c r="B1959" s="71" t="s">
        <v>162</v>
      </c>
      <c r="C1959" s="15">
        <v>1</v>
      </c>
      <c r="D1959" s="14">
        <f t="shared" si="200"/>
        <v>1</v>
      </c>
      <c r="E1959" s="74">
        <v>42784</v>
      </c>
      <c r="F1959" s="74"/>
      <c r="G1959" s="74"/>
      <c r="H1959" s="74"/>
      <c r="I1959" s="74"/>
      <c r="J1959" s="51"/>
      <c r="K1959" s="4"/>
      <c r="L1959" s="15"/>
      <c r="M1959" s="14">
        <f t="shared" si="202"/>
        <v>0</v>
      </c>
    </row>
    <row r="1960" spans="2:14" x14ac:dyDescent="0.15">
      <c r="B1960" s="71" t="s">
        <v>162</v>
      </c>
      <c r="C1960" s="15">
        <v>2</v>
      </c>
      <c r="D1960" s="14">
        <f t="shared" si="200"/>
        <v>2</v>
      </c>
      <c r="E1960" s="74">
        <v>42786</v>
      </c>
      <c r="F1960" s="74"/>
      <c r="G1960" s="74"/>
      <c r="H1960" s="74"/>
      <c r="I1960" s="74"/>
      <c r="J1960" s="51"/>
      <c r="K1960" s="4"/>
      <c r="L1960" s="15"/>
      <c r="M1960" s="14">
        <f t="shared" si="202"/>
        <v>0</v>
      </c>
    </row>
    <row r="1961" spans="2:14" x14ac:dyDescent="0.15">
      <c r="B1961" s="71" t="s">
        <v>162</v>
      </c>
      <c r="C1961" s="15">
        <v>1</v>
      </c>
      <c r="D1961" s="14">
        <f t="shared" si="200"/>
        <v>1</v>
      </c>
      <c r="E1961" s="74">
        <v>42788</v>
      </c>
      <c r="F1961" s="74"/>
      <c r="G1961" s="74"/>
      <c r="H1961" s="74"/>
      <c r="I1961" s="74"/>
      <c r="J1961" s="51"/>
      <c r="K1961" s="4"/>
      <c r="L1961" s="15"/>
      <c r="M1961" s="14">
        <f t="shared" si="202"/>
        <v>0</v>
      </c>
    </row>
    <row r="1962" spans="2:14" x14ac:dyDescent="0.15">
      <c r="B1962" s="71" t="s">
        <v>162</v>
      </c>
      <c r="C1962" s="15">
        <v>2</v>
      </c>
      <c r="D1962" s="14">
        <f t="shared" si="200"/>
        <v>2</v>
      </c>
      <c r="E1962" s="74">
        <v>42793</v>
      </c>
      <c r="F1962" s="74"/>
      <c r="G1962" s="74"/>
      <c r="H1962" s="74"/>
      <c r="I1962" s="74"/>
      <c r="J1962" s="51"/>
      <c r="K1962" s="4"/>
      <c r="L1962" s="15"/>
      <c r="M1962" s="14">
        <f>SUM(L1962)</f>
        <v>0</v>
      </c>
    </row>
    <row r="1963" spans="2:14" x14ac:dyDescent="0.15">
      <c r="B1963" s="71" t="s">
        <v>162</v>
      </c>
      <c r="C1963" s="15">
        <v>4</v>
      </c>
      <c r="D1963" s="14">
        <f t="shared" si="200"/>
        <v>4</v>
      </c>
      <c r="E1963" s="74">
        <v>42791</v>
      </c>
      <c r="F1963" s="74"/>
      <c r="G1963" s="74"/>
      <c r="H1963" s="74"/>
      <c r="I1963" s="74"/>
      <c r="J1963" s="51"/>
      <c r="K1963" s="4"/>
      <c r="L1963" s="15"/>
      <c r="M1963" s="14">
        <f>SUM(L1963)</f>
        <v>0</v>
      </c>
      <c r="N1963" s="75"/>
    </row>
    <row r="1964" spans="2:14" x14ac:dyDescent="0.15">
      <c r="B1964" s="71" t="s">
        <v>162</v>
      </c>
      <c r="C1964" s="15">
        <v>1</v>
      </c>
      <c r="D1964" s="14">
        <f>SUM(C1964)</f>
        <v>1</v>
      </c>
      <c r="E1964" s="48">
        <v>42794</v>
      </c>
      <c r="F1964" s="48"/>
      <c r="G1964" s="48"/>
      <c r="H1964" s="48"/>
      <c r="I1964" s="48"/>
      <c r="J1964" s="51"/>
      <c r="K1964" s="4"/>
      <c r="L1964" s="15"/>
      <c r="M1964" s="14">
        <f>SUM(L1964)</f>
        <v>0</v>
      </c>
      <c r="N1964" s="75"/>
    </row>
    <row r="1965" spans="2:14" ht="14.25" thickBot="1" x14ac:dyDescent="0.2">
      <c r="B1965" s="71"/>
      <c r="C1965" s="15"/>
      <c r="D1965" s="14">
        <f>SUM(C1965)</f>
        <v>0</v>
      </c>
      <c r="E1965" s="48"/>
      <c r="F1965" s="48"/>
      <c r="G1965" s="48"/>
      <c r="H1965" s="48"/>
      <c r="I1965" s="48"/>
      <c r="J1965" s="51"/>
      <c r="K1965" s="4"/>
      <c r="L1965" s="15"/>
      <c r="M1965" s="14">
        <f>SUM(L1965)</f>
        <v>0</v>
      </c>
      <c r="N1965" s="75"/>
    </row>
    <row r="1966" spans="2:14" ht="14.25" thickBot="1" x14ac:dyDescent="0.2">
      <c r="B1966" s="3" t="s">
        <v>5</v>
      </c>
      <c r="C1966" s="16">
        <f>SUM(C1942:C1965)</f>
        <v>36</v>
      </c>
      <c r="D1966" s="17">
        <f>SUM(D1942:D1965)</f>
        <v>36</v>
      </c>
      <c r="K1966" s="3" t="s">
        <v>5</v>
      </c>
      <c r="L1966" s="16">
        <f>SUM(L1942:L1965)</f>
        <v>0</v>
      </c>
      <c r="M1966" s="17">
        <f>SUM(M1942:M1965)</f>
        <v>0</v>
      </c>
    </row>
    <row r="1967" spans="2:14" ht="14.25" thickBot="1" x14ac:dyDescent="0.2">
      <c r="B1967" s="18" t="s">
        <v>6</v>
      </c>
      <c r="C1967" s="19">
        <f>C1941-C1966</f>
        <v>50</v>
      </c>
      <c r="D1967" s="13">
        <f>D1941-D1966</f>
        <v>50</v>
      </c>
      <c r="K1967" s="18" t="s">
        <v>6</v>
      </c>
      <c r="L1967" s="19">
        <f>L1941-L1966</f>
        <v>2185</v>
      </c>
      <c r="M1967" s="13">
        <f>M1941-M1966</f>
        <v>2185</v>
      </c>
    </row>
    <row r="1969" spans="1:14" ht="18" thickBot="1" x14ac:dyDescent="0.25">
      <c r="A1969" s="27" t="s">
        <v>8</v>
      </c>
      <c r="B1969" s="28"/>
      <c r="C1969" s="28"/>
      <c r="D1969" s="28"/>
      <c r="J1969" s="139" t="s">
        <v>218</v>
      </c>
      <c r="K1969" s="140"/>
      <c r="L1969" s="140"/>
      <c r="M1969" s="140"/>
    </row>
    <row r="1970" spans="1:14" ht="14.25" thickBot="1" x14ac:dyDescent="0.2">
      <c r="B1970" s="2"/>
      <c r="C1970" s="3" t="s">
        <v>0</v>
      </c>
      <c r="D1970" s="2" t="s">
        <v>1</v>
      </c>
      <c r="K1970" s="2"/>
      <c r="L1970" s="3" t="s">
        <v>0</v>
      </c>
      <c r="M1970" s="2" t="s">
        <v>1</v>
      </c>
    </row>
    <row r="1971" spans="1:14" x14ac:dyDescent="0.15">
      <c r="B1971" s="43" t="s">
        <v>26</v>
      </c>
      <c r="C1971" s="38">
        <f>C1967</f>
        <v>50</v>
      </c>
      <c r="D1971" s="39">
        <f t="shared" ref="D1971:D1981" si="203">SUM(C1971:C1971)</f>
        <v>50</v>
      </c>
      <c r="K1971" s="43" t="s">
        <v>26</v>
      </c>
      <c r="L1971" s="38">
        <f>L1967</f>
        <v>2185</v>
      </c>
      <c r="M1971" s="39">
        <f t="shared" ref="M1971:M1981" si="204">SUM(L1971:L1971)</f>
        <v>2185</v>
      </c>
    </row>
    <row r="1972" spans="1:14" x14ac:dyDescent="0.15">
      <c r="B1972" s="6" t="s">
        <v>3</v>
      </c>
      <c r="C1972" s="7">
        <v>100</v>
      </c>
      <c r="D1972" s="5">
        <f t="shared" si="203"/>
        <v>100</v>
      </c>
      <c r="E1972" s="74">
        <v>42807</v>
      </c>
      <c r="F1972" s="74"/>
      <c r="G1972" s="74"/>
      <c r="H1972" s="74"/>
      <c r="I1972" s="74"/>
      <c r="J1972" s="75"/>
      <c r="K1972" s="6" t="s">
        <v>3</v>
      </c>
      <c r="L1972" s="7"/>
      <c r="M1972" s="5">
        <f t="shared" si="204"/>
        <v>0</v>
      </c>
    </row>
    <row r="1973" spans="1:14" x14ac:dyDescent="0.15">
      <c r="B1973" s="6" t="s">
        <v>3</v>
      </c>
      <c r="C1973" s="7">
        <v>300</v>
      </c>
      <c r="D1973" s="5">
        <f t="shared" si="203"/>
        <v>300</v>
      </c>
      <c r="E1973" s="74">
        <v>42825</v>
      </c>
      <c r="F1973" s="74"/>
      <c r="G1973" s="74"/>
      <c r="H1973" s="74"/>
      <c r="I1973" s="74"/>
      <c r="K1973" s="6" t="s">
        <v>3</v>
      </c>
      <c r="L1973" s="7">
        <v>5000</v>
      </c>
      <c r="M1973" s="5">
        <f t="shared" si="204"/>
        <v>5000</v>
      </c>
      <c r="N1973" s="74">
        <v>42817</v>
      </c>
    </row>
    <row r="1974" spans="1:14" x14ac:dyDescent="0.15">
      <c r="B1974" s="6" t="s">
        <v>3</v>
      </c>
      <c r="C1974" s="7">
        <v>100</v>
      </c>
      <c r="D1974" s="5">
        <f t="shared" si="203"/>
        <v>100</v>
      </c>
      <c r="E1974" s="74">
        <v>42823</v>
      </c>
      <c r="F1974" s="74"/>
      <c r="G1974" s="74"/>
      <c r="H1974" s="74"/>
      <c r="I1974" s="74"/>
      <c r="K1974" s="6" t="s">
        <v>3</v>
      </c>
      <c r="L1974" s="7"/>
      <c r="M1974" s="5">
        <f t="shared" si="204"/>
        <v>0</v>
      </c>
    </row>
    <row r="1975" spans="1:14" x14ac:dyDescent="0.15">
      <c r="B1975" s="6" t="s">
        <v>3</v>
      </c>
      <c r="C1975" s="7"/>
      <c r="D1975" s="5">
        <f t="shared" si="203"/>
        <v>0</v>
      </c>
      <c r="K1975" s="6" t="s">
        <v>3</v>
      </c>
      <c r="L1975" s="7"/>
      <c r="M1975" s="5">
        <f t="shared" si="204"/>
        <v>0</v>
      </c>
    </row>
    <row r="1976" spans="1:14" x14ac:dyDescent="0.15">
      <c r="B1976" s="6" t="s">
        <v>3</v>
      </c>
      <c r="C1976" s="7"/>
      <c r="D1976" s="5">
        <f t="shared" si="203"/>
        <v>0</v>
      </c>
      <c r="K1976" s="6" t="s">
        <v>3</v>
      </c>
      <c r="L1976" s="7"/>
      <c r="M1976" s="5">
        <f t="shared" si="204"/>
        <v>0</v>
      </c>
    </row>
    <row r="1977" spans="1:14" x14ac:dyDescent="0.15">
      <c r="B1977" s="6" t="s">
        <v>3</v>
      </c>
      <c r="C1977" s="7"/>
      <c r="D1977" s="5">
        <f t="shared" si="203"/>
        <v>0</v>
      </c>
      <c r="K1977" s="6" t="s">
        <v>3</v>
      </c>
      <c r="L1977" s="7"/>
      <c r="M1977" s="5">
        <f t="shared" si="204"/>
        <v>0</v>
      </c>
    </row>
    <row r="1978" spans="1:14" x14ac:dyDescent="0.15">
      <c r="B1978" s="6" t="s">
        <v>3</v>
      </c>
      <c r="C1978" s="54"/>
      <c r="D1978" s="5">
        <f t="shared" si="203"/>
        <v>0</v>
      </c>
      <c r="K1978" s="6" t="s">
        <v>3</v>
      </c>
      <c r="L1978" s="7"/>
      <c r="M1978" s="5">
        <f t="shared" si="204"/>
        <v>0</v>
      </c>
    </row>
    <row r="1979" spans="1:14" x14ac:dyDescent="0.15">
      <c r="B1979" s="6" t="s">
        <v>3</v>
      </c>
      <c r="C1979" s="54"/>
      <c r="D1979" s="5">
        <f t="shared" si="203"/>
        <v>0</v>
      </c>
      <c r="K1979" s="6" t="s">
        <v>3</v>
      </c>
      <c r="L1979" s="7"/>
      <c r="M1979" s="5">
        <f t="shared" si="204"/>
        <v>0</v>
      </c>
    </row>
    <row r="1980" spans="1:14" x14ac:dyDescent="0.15">
      <c r="B1980" s="6" t="s">
        <v>3</v>
      </c>
      <c r="C1980" s="54"/>
      <c r="D1980" s="5">
        <f t="shared" si="203"/>
        <v>0</v>
      </c>
      <c r="K1980" s="6" t="s">
        <v>3</v>
      </c>
      <c r="L1980" s="7"/>
      <c r="M1980" s="5">
        <f t="shared" si="204"/>
        <v>0</v>
      </c>
    </row>
    <row r="1981" spans="1:14" ht="14.25" thickBot="1" x14ac:dyDescent="0.2">
      <c r="B1981" s="9" t="s">
        <v>3</v>
      </c>
      <c r="C1981" s="101"/>
      <c r="D1981" s="5">
        <f t="shared" si="203"/>
        <v>0</v>
      </c>
      <c r="K1981" s="9" t="s">
        <v>3</v>
      </c>
      <c r="L1981" s="10"/>
      <c r="M1981" s="5">
        <f t="shared" si="204"/>
        <v>0</v>
      </c>
    </row>
    <row r="1982" spans="1:14" ht="14.25" thickBot="1" x14ac:dyDescent="0.2">
      <c r="B1982" s="11" t="s">
        <v>4</v>
      </c>
      <c r="C1982" s="12">
        <f>SUM(C1971:C1981)</f>
        <v>550</v>
      </c>
      <c r="D1982" s="13">
        <f>SUM(D1971:D1981)</f>
        <v>550</v>
      </c>
      <c r="K1982" s="11" t="s">
        <v>4</v>
      </c>
      <c r="L1982" s="12">
        <f>SUM(L1971:L1981)</f>
        <v>7185</v>
      </c>
      <c r="M1982" s="13">
        <f>SUM(M1971:M1981)</f>
        <v>7185</v>
      </c>
    </row>
    <row r="1983" spans="1:14" x14ac:dyDescent="0.15">
      <c r="B1983" s="71" t="s">
        <v>390</v>
      </c>
      <c r="C1983" s="15">
        <v>1</v>
      </c>
      <c r="D1983" s="14">
        <f t="shared" ref="D1983:D2004" si="205">SUM(C1983)</f>
        <v>1</v>
      </c>
      <c r="E1983" s="48">
        <v>42795</v>
      </c>
      <c r="F1983" s="48"/>
      <c r="G1983" s="48"/>
      <c r="H1983" s="48"/>
      <c r="I1983" s="48"/>
      <c r="K1983" s="4" t="s">
        <v>31</v>
      </c>
      <c r="L1983" s="15">
        <v>100</v>
      </c>
      <c r="M1983" s="14">
        <f>SUM(L1983:L1983)</f>
        <v>100</v>
      </c>
      <c r="N1983" s="74">
        <v>42807</v>
      </c>
    </row>
    <row r="1984" spans="1:14" x14ac:dyDescent="0.15">
      <c r="B1984" s="71" t="s">
        <v>414</v>
      </c>
      <c r="C1984" s="15">
        <v>5</v>
      </c>
      <c r="D1984" s="14">
        <f>SUM(C1984)</f>
        <v>5</v>
      </c>
      <c r="E1984" s="74">
        <v>42801</v>
      </c>
      <c r="F1984" s="74"/>
      <c r="G1984" s="74"/>
      <c r="H1984" s="74"/>
      <c r="I1984" s="74"/>
      <c r="J1984" s="51"/>
      <c r="K1984" s="4" t="s">
        <v>31</v>
      </c>
      <c r="L1984" s="15">
        <v>300</v>
      </c>
      <c r="M1984" s="14">
        <f t="shared" ref="M1984:M2001" si="206">SUM(L1984:L1984)</f>
        <v>300</v>
      </c>
      <c r="N1984" s="74">
        <v>42825</v>
      </c>
    </row>
    <row r="1985" spans="2:14" x14ac:dyDescent="0.15">
      <c r="B1985" s="71" t="s">
        <v>162</v>
      </c>
      <c r="C1985" s="15">
        <v>1</v>
      </c>
      <c r="D1985" s="14">
        <f t="shared" si="205"/>
        <v>1</v>
      </c>
      <c r="E1985" s="48">
        <v>42796</v>
      </c>
      <c r="F1985" s="48"/>
      <c r="G1985" s="48"/>
      <c r="H1985" s="48"/>
      <c r="I1985" s="48"/>
      <c r="J1985" s="51"/>
      <c r="K1985" s="4" t="s">
        <v>31</v>
      </c>
      <c r="L1985" s="15">
        <v>100</v>
      </c>
      <c r="M1985" s="14">
        <f t="shared" si="206"/>
        <v>100</v>
      </c>
      <c r="N1985" s="74">
        <v>42823</v>
      </c>
    </row>
    <row r="1986" spans="2:14" x14ac:dyDescent="0.15">
      <c r="B1986" s="71" t="s">
        <v>162</v>
      </c>
      <c r="C1986" s="15">
        <v>1</v>
      </c>
      <c r="D1986" s="14">
        <f t="shared" si="205"/>
        <v>1</v>
      </c>
      <c r="E1986" s="48">
        <v>42797</v>
      </c>
      <c r="F1986" s="48"/>
      <c r="G1986" s="48"/>
      <c r="H1986" s="48"/>
      <c r="I1986" s="48"/>
      <c r="J1986" s="51"/>
      <c r="K1986" s="4" t="s">
        <v>393</v>
      </c>
      <c r="L1986" s="15">
        <v>100</v>
      </c>
      <c r="M1986" s="14">
        <f t="shared" si="206"/>
        <v>100</v>
      </c>
      <c r="N1986" s="74">
        <v>42825</v>
      </c>
    </row>
    <row r="1987" spans="2:14" x14ac:dyDescent="0.15">
      <c r="B1987" s="71" t="s">
        <v>162</v>
      </c>
      <c r="C1987" s="15">
        <v>2</v>
      </c>
      <c r="D1987" s="14">
        <f t="shared" si="205"/>
        <v>2</v>
      </c>
      <c r="E1987" s="48">
        <v>42798</v>
      </c>
      <c r="F1987" s="48"/>
      <c r="G1987" s="48"/>
      <c r="H1987" s="48"/>
      <c r="I1987" s="48"/>
      <c r="J1987" s="51"/>
      <c r="K1987" s="4"/>
      <c r="L1987" s="15"/>
      <c r="M1987" s="14">
        <f t="shared" si="206"/>
        <v>0</v>
      </c>
    </row>
    <row r="1988" spans="2:14" x14ac:dyDescent="0.15">
      <c r="B1988" s="71" t="s">
        <v>162</v>
      </c>
      <c r="C1988" s="15">
        <v>9</v>
      </c>
      <c r="D1988" s="14">
        <f t="shared" si="205"/>
        <v>9</v>
      </c>
      <c r="E1988" s="48">
        <v>42800</v>
      </c>
      <c r="F1988" s="48"/>
      <c r="G1988" s="48"/>
      <c r="H1988" s="48"/>
      <c r="I1988" s="48"/>
      <c r="J1988" s="51"/>
      <c r="K1988" s="4"/>
      <c r="L1988" s="15"/>
      <c r="M1988" s="14">
        <f t="shared" si="206"/>
        <v>0</v>
      </c>
    </row>
    <row r="1989" spans="2:14" x14ac:dyDescent="0.15">
      <c r="B1989" s="71" t="s">
        <v>162</v>
      </c>
      <c r="C1989" s="15">
        <v>1</v>
      </c>
      <c r="D1989" s="14">
        <f t="shared" si="205"/>
        <v>1</v>
      </c>
      <c r="E1989" s="48">
        <v>42801</v>
      </c>
      <c r="F1989" s="48"/>
      <c r="G1989" s="48"/>
      <c r="H1989" s="48"/>
      <c r="I1989" s="48"/>
      <c r="J1989" s="51"/>
      <c r="K1989" s="4"/>
      <c r="L1989" s="15"/>
      <c r="M1989" s="14">
        <f t="shared" si="206"/>
        <v>0</v>
      </c>
    </row>
    <row r="1990" spans="2:14" x14ac:dyDescent="0.15">
      <c r="B1990" s="71" t="s">
        <v>162</v>
      </c>
      <c r="C1990" s="15">
        <v>5</v>
      </c>
      <c r="D1990" s="14">
        <f t="shared" si="205"/>
        <v>5</v>
      </c>
      <c r="E1990" s="48">
        <v>42802</v>
      </c>
      <c r="F1990" s="48"/>
      <c r="G1990" s="48"/>
      <c r="H1990" s="48"/>
      <c r="I1990" s="48"/>
      <c r="J1990" s="51"/>
      <c r="K1990" s="6"/>
      <c r="L1990" s="15"/>
      <c r="M1990" s="14">
        <f t="shared" si="206"/>
        <v>0</v>
      </c>
    </row>
    <row r="1991" spans="2:14" x14ac:dyDescent="0.15">
      <c r="B1991" s="71" t="s">
        <v>162</v>
      </c>
      <c r="C1991" s="15">
        <v>1</v>
      </c>
      <c r="D1991" s="14">
        <f t="shared" si="205"/>
        <v>1</v>
      </c>
      <c r="E1991" s="48">
        <v>42804</v>
      </c>
      <c r="F1991" s="48"/>
      <c r="G1991" s="48"/>
      <c r="H1991" s="48"/>
      <c r="I1991" s="48"/>
      <c r="J1991" s="51"/>
      <c r="K1991" s="4"/>
      <c r="L1991" s="15"/>
      <c r="M1991" s="14">
        <f t="shared" si="206"/>
        <v>0</v>
      </c>
    </row>
    <row r="1992" spans="2:14" x14ac:dyDescent="0.15">
      <c r="B1992" s="71" t="s">
        <v>162</v>
      </c>
      <c r="C1992" s="15">
        <v>10</v>
      </c>
      <c r="D1992" s="14">
        <f t="shared" si="205"/>
        <v>10</v>
      </c>
      <c r="E1992" s="48">
        <v>42807</v>
      </c>
      <c r="F1992" s="48"/>
      <c r="G1992" s="48"/>
      <c r="H1992" s="48"/>
      <c r="I1992" s="48"/>
      <c r="J1992" s="51"/>
      <c r="K1992" s="4"/>
      <c r="L1992" s="15"/>
      <c r="M1992" s="14">
        <f t="shared" si="206"/>
        <v>0</v>
      </c>
    </row>
    <row r="1993" spans="2:14" x14ac:dyDescent="0.15">
      <c r="B1993" s="71" t="s">
        <v>162</v>
      </c>
      <c r="C1993" s="15">
        <v>6</v>
      </c>
      <c r="D1993" s="14">
        <f t="shared" si="205"/>
        <v>6</v>
      </c>
      <c r="E1993" s="48">
        <v>42808</v>
      </c>
      <c r="F1993" s="48"/>
      <c r="G1993" s="48"/>
      <c r="H1993" s="48"/>
      <c r="I1993" s="48"/>
      <c r="J1993" s="51"/>
      <c r="K1993" s="4"/>
      <c r="L1993" s="15"/>
      <c r="M1993" s="14">
        <f t="shared" si="206"/>
        <v>0</v>
      </c>
    </row>
    <row r="1994" spans="2:14" x14ac:dyDescent="0.15">
      <c r="B1994" s="71" t="s">
        <v>162</v>
      </c>
      <c r="C1994" s="15">
        <v>2</v>
      </c>
      <c r="D1994" s="14">
        <f t="shared" si="205"/>
        <v>2</v>
      </c>
      <c r="E1994" s="48">
        <v>42809</v>
      </c>
      <c r="F1994" s="48"/>
      <c r="G1994" s="48"/>
      <c r="H1994" s="48"/>
      <c r="I1994" s="48"/>
      <c r="J1994" s="51"/>
      <c r="K1994" s="4"/>
      <c r="L1994" s="15"/>
      <c r="M1994" s="14">
        <f t="shared" si="206"/>
        <v>0</v>
      </c>
    </row>
    <row r="1995" spans="2:14" x14ac:dyDescent="0.15">
      <c r="B1995" s="71" t="s">
        <v>162</v>
      </c>
      <c r="C1995" s="15">
        <v>3</v>
      </c>
      <c r="D1995" s="14">
        <f t="shared" si="205"/>
        <v>3</v>
      </c>
      <c r="E1995" s="48">
        <v>42810</v>
      </c>
      <c r="F1995" s="48"/>
      <c r="G1995" s="48"/>
      <c r="H1995" s="48"/>
      <c r="I1995" s="48"/>
      <c r="J1995" s="51"/>
      <c r="K1995" s="6"/>
      <c r="L1995" s="15"/>
      <c r="M1995" s="14">
        <f t="shared" si="206"/>
        <v>0</v>
      </c>
    </row>
    <row r="1996" spans="2:14" x14ac:dyDescent="0.15">
      <c r="B1996" s="71" t="s">
        <v>162</v>
      </c>
      <c r="C1996" s="15">
        <v>2</v>
      </c>
      <c r="D1996" s="14">
        <f t="shared" si="205"/>
        <v>2</v>
      </c>
      <c r="E1996" s="48">
        <v>42811</v>
      </c>
      <c r="F1996" s="48"/>
      <c r="G1996" s="48"/>
      <c r="H1996" s="48"/>
      <c r="I1996" s="48"/>
      <c r="J1996" s="51"/>
      <c r="K1996" s="4"/>
      <c r="L1996" s="15"/>
      <c r="M1996" s="14">
        <f t="shared" si="206"/>
        <v>0</v>
      </c>
    </row>
    <row r="1997" spans="2:14" x14ac:dyDescent="0.15">
      <c r="B1997" s="71" t="s">
        <v>415</v>
      </c>
      <c r="C1997" s="15">
        <v>20</v>
      </c>
      <c r="D1997" s="14">
        <f t="shared" si="205"/>
        <v>20</v>
      </c>
      <c r="E1997" s="74">
        <v>42822</v>
      </c>
      <c r="F1997" s="74"/>
      <c r="G1997" s="74"/>
      <c r="H1997" s="74"/>
      <c r="I1997" s="74"/>
      <c r="J1997" s="51"/>
      <c r="K1997" s="4"/>
      <c r="L1997" s="15"/>
      <c r="M1997" s="14">
        <f t="shared" si="206"/>
        <v>0</v>
      </c>
    </row>
    <row r="1998" spans="2:14" x14ac:dyDescent="0.15">
      <c r="B1998" s="71" t="s">
        <v>162</v>
      </c>
      <c r="C1998" s="15">
        <v>1</v>
      </c>
      <c r="D1998" s="14">
        <f t="shared" si="205"/>
        <v>1</v>
      </c>
      <c r="E1998" s="48">
        <v>42812</v>
      </c>
      <c r="F1998" s="48"/>
      <c r="G1998" s="48"/>
      <c r="H1998" s="48"/>
      <c r="I1998" s="48"/>
      <c r="J1998" s="51"/>
      <c r="K1998" s="4"/>
      <c r="L1998" s="15"/>
      <c r="M1998" s="14">
        <f t="shared" si="206"/>
        <v>0</v>
      </c>
    </row>
    <row r="1999" spans="2:14" x14ac:dyDescent="0.15">
      <c r="B1999" s="71" t="s">
        <v>162</v>
      </c>
      <c r="C1999" s="15">
        <v>4</v>
      </c>
      <c r="D1999" s="14">
        <f t="shared" si="205"/>
        <v>4</v>
      </c>
      <c r="E1999" s="48">
        <v>42815</v>
      </c>
      <c r="F1999" s="48"/>
      <c r="G1999" s="48"/>
      <c r="H1999" s="48"/>
      <c r="I1999" s="48"/>
      <c r="J1999" s="51"/>
      <c r="K1999" s="4"/>
      <c r="L1999" s="15"/>
      <c r="M1999" s="14">
        <f t="shared" si="206"/>
        <v>0</v>
      </c>
    </row>
    <row r="2000" spans="2:14" x14ac:dyDescent="0.15">
      <c r="B2000" s="71" t="s">
        <v>392</v>
      </c>
      <c r="C2000" s="15">
        <v>1</v>
      </c>
      <c r="D2000" s="14">
        <f t="shared" si="205"/>
        <v>1</v>
      </c>
      <c r="E2000" s="48">
        <v>42816</v>
      </c>
      <c r="F2000" s="48"/>
      <c r="G2000" s="48"/>
      <c r="H2000" s="48"/>
      <c r="I2000" s="48"/>
      <c r="J2000" s="51"/>
      <c r="K2000" s="4"/>
      <c r="L2000" s="15"/>
      <c r="M2000" s="14">
        <f t="shared" si="206"/>
        <v>0</v>
      </c>
    </row>
    <row r="2001" spans="1:14" x14ac:dyDescent="0.15">
      <c r="B2001" s="71" t="s">
        <v>391</v>
      </c>
      <c r="C2001" s="15">
        <v>300</v>
      </c>
      <c r="D2001" s="14">
        <f t="shared" si="205"/>
        <v>300</v>
      </c>
      <c r="E2001" s="74">
        <v>42829</v>
      </c>
      <c r="F2001" s="74"/>
      <c r="G2001" s="74"/>
      <c r="H2001" s="74"/>
      <c r="I2001" s="74"/>
      <c r="J2001" s="51"/>
      <c r="K2001" s="4"/>
      <c r="L2001" s="15"/>
      <c r="M2001" s="14">
        <f t="shared" si="206"/>
        <v>0</v>
      </c>
    </row>
    <row r="2002" spans="1:14" x14ac:dyDescent="0.15">
      <c r="B2002" s="71" t="s">
        <v>162</v>
      </c>
      <c r="C2002" s="15">
        <v>1</v>
      </c>
      <c r="D2002" s="14">
        <f t="shared" si="205"/>
        <v>1</v>
      </c>
      <c r="E2002" s="48">
        <v>42818</v>
      </c>
      <c r="F2002" s="48"/>
      <c r="G2002" s="48"/>
      <c r="H2002" s="48"/>
      <c r="I2002" s="48"/>
      <c r="J2002" s="51"/>
      <c r="K2002" s="4"/>
      <c r="L2002" s="15"/>
      <c r="M2002" s="14">
        <f>SUM(L2002)</f>
        <v>0</v>
      </c>
      <c r="N2002" s="75"/>
    </row>
    <row r="2003" spans="1:14" x14ac:dyDescent="0.15">
      <c r="B2003" s="71" t="s">
        <v>397</v>
      </c>
      <c r="C2003" s="15">
        <v>20</v>
      </c>
      <c r="D2003" s="14">
        <f t="shared" si="205"/>
        <v>20</v>
      </c>
      <c r="E2003" s="74">
        <v>42828</v>
      </c>
      <c r="F2003" s="74"/>
      <c r="G2003" s="74"/>
      <c r="H2003" s="74"/>
      <c r="I2003" s="74"/>
      <c r="J2003" s="51"/>
      <c r="K2003" s="4"/>
      <c r="L2003" s="15"/>
      <c r="M2003" s="14">
        <f>SUM(L2003)</f>
        <v>0</v>
      </c>
      <c r="N2003" s="75"/>
    </row>
    <row r="2004" spans="1:14" x14ac:dyDescent="0.15">
      <c r="B2004" s="71" t="s">
        <v>398</v>
      </c>
      <c r="C2004" s="15">
        <v>40</v>
      </c>
      <c r="D2004" s="14">
        <f t="shared" si="205"/>
        <v>40</v>
      </c>
      <c r="E2004" s="74">
        <v>42828</v>
      </c>
      <c r="F2004" s="74"/>
      <c r="G2004" s="74"/>
      <c r="H2004" s="74"/>
      <c r="I2004" s="74"/>
      <c r="J2004" s="51"/>
      <c r="K2004" s="4"/>
      <c r="L2004" s="15"/>
      <c r="M2004" s="14">
        <f>SUM(L2004)</f>
        <v>0</v>
      </c>
      <c r="N2004" s="75"/>
    </row>
    <row r="2005" spans="1:14" x14ac:dyDescent="0.15">
      <c r="B2005" s="71" t="s">
        <v>162</v>
      </c>
      <c r="C2005" s="15">
        <v>7</v>
      </c>
      <c r="D2005" s="14">
        <f>SUM(C2005)</f>
        <v>7</v>
      </c>
      <c r="E2005" s="48">
        <v>42821</v>
      </c>
      <c r="F2005" s="48"/>
      <c r="G2005" s="48"/>
      <c r="H2005" s="48"/>
      <c r="I2005" s="48"/>
      <c r="J2005" s="51"/>
      <c r="K2005" s="4"/>
      <c r="L2005" s="15"/>
      <c r="M2005" s="14">
        <f>SUM(L2005)</f>
        <v>0</v>
      </c>
      <c r="N2005" s="75"/>
    </row>
    <row r="2006" spans="1:14" ht="14.25" thickBot="1" x14ac:dyDescent="0.2">
      <c r="B2006" s="71" t="s">
        <v>162</v>
      </c>
      <c r="C2006" s="15">
        <v>3</v>
      </c>
      <c r="D2006" s="14">
        <f>SUM(C2006)</f>
        <v>3</v>
      </c>
      <c r="E2006" s="48">
        <v>42822</v>
      </c>
      <c r="F2006" s="48"/>
      <c r="G2006" s="48"/>
      <c r="H2006" s="48"/>
      <c r="I2006" s="48"/>
      <c r="J2006" s="51"/>
      <c r="K2006" s="4"/>
      <c r="L2006" s="15"/>
      <c r="M2006" s="14">
        <f>SUM(L2006)</f>
        <v>0</v>
      </c>
      <c r="N2006" s="75"/>
    </row>
    <row r="2007" spans="1:14" ht="14.25" thickBot="1" x14ac:dyDescent="0.2">
      <c r="B2007" s="3" t="s">
        <v>5</v>
      </c>
      <c r="C2007" s="16">
        <f>SUM(C1983:C2006)</f>
        <v>446</v>
      </c>
      <c r="D2007" s="17">
        <f>SUM(D1983:D2006)</f>
        <v>446</v>
      </c>
      <c r="K2007" s="3" t="s">
        <v>5</v>
      </c>
      <c r="L2007" s="16">
        <f>SUM(L1983:L2006)</f>
        <v>600</v>
      </c>
      <c r="M2007" s="17">
        <f>SUM(M1983:M2006)</f>
        <v>600</v>
      </c>
    </row>
    <row r="2008" spans="1:14" ht="14.25" thickBot="1" x14ac:dyDescent="0.2">
      <c r="B2008" s="18" t="s">
        <v>6</v>
      </c>
      <c r="C2008" s="19">
        <f>C1982-C2007</f>
        <v>104</v>
      </c>
      <c r="D2008" s="13">
        <f>D1982-D2007</f>
        <v>104</v>
      </c>
      <c r="K2008" s="18" t="s">
        <v>6</v>
      </c>
      <c r="L2008" s="19">
        <f>L1982-L2007</f>
        <v>6585</v>
      </c>
      <c r="M2008" s="13">
        <f>M1982-M2007</f>
        <v>6585</v>
      </c>
    </row>
    <row r="2010" spans="1:14" ht="18" thickBot="1" x14ac:dyDescent="0.25">
      <c r="A2010" s="27" t="s">
        <v>8</v>
      </c>
      <c r="B2010" s="28"/>
      <c r="C2010" s="28"/>
      <c r="D2010" s="28"/>
      <c r="J2010" s="139" t="s">
        <v>218</v>
      </c>
      <c r="K2010" s="140"/>
      <c r="L2010" s="140"/>
      <c r="M2010" s="140"/>
    </row>
    <row r="2011" spans="1:14" ht="14.25" thickBot="1" x14ac:dyDescent="0.2">
      <c r="B2011" s="2"/>
      <c r="C2011" s="3" t="s">
        <v>0</v>
      </c>
      <c r="D2011" s="2" t="s">
        <v>1</v>
      </c>
      <c r="K2011" s="2"/>
      <c r="L2011" s="3" t="s">
        <v>0</v>
      </c>
      <c r="M2011" s="2" t="s">
        <v>1</v>
      </c>
    </row>
    <row r="2012" spans="1:14" x14ac:dyDescent="0.15">
      <c r="B2012" s="43" t="s">
        <v>26</v>
      </c>
      <c r="C2012" s="38">
        <f>C2008</f>
        <v>104</v>
      </c>
      <c r="D2012" s="39">
        <f t="shared" ref="D2012:D2022" si="207">SUM(C2012:C2012)</f>
        <v>104</v>
      </c>
      <c r="K2012" s="43" t="s">
        <v>26</v>
      </c>
      <c r="L2012" s="38">
        <f>L2008</f>
        <v>6585</v>
      </c>
      <c r="M2012" s="39">
        <f t="shared" ref="M2012:M2022" si="208">SUM(L2012:L2012)</f>
        <v>6585</v>
      </c>
    </row>
    <row r="2013" spans="1:14" x14ac:dyDescent="0.15">
      <c r="B2013" s="6" t="s">
        <v>3</v>
      </c>
      <c r="C2013" s="7">
        <v>100</v>
      </c>
      <c r="D2013" s="5">
        <f t="shared" si="207"/>
        <v>100</v>
      </c>
      <c r="E2013" s="74">
        <v>42838</v>
      </c>
      <c r="F2013" s="74"/>
      <c r="G2013" s="74"/>
      <c r="H2013" s="74"/>
      <c r="I2013" s="74"/>
      <c r="J2013" s="75"/>
      <c r="K2013" s="6" t="s">
        <v>3</v>
      </c>
      <c r="L2013" s="7"/>
      <c r="M2013" s="5">
        <f t="shared" si="208"/>
        <v>0</v>
      </c>
    </row>
    <row r="2014" spans="1:14" x14ac:dyDescent="0.15">
      <c r="B2014" s="6" t="s">
        <v>3</v>
      </c>
      <c r="C2014" s="7">
        <v>100</v>
      </c>
      <c r="D2014" s="5">
        <f t="shared" si="207"/>
        <v>100</v>
      </c>
      <c r="E2014" s="74">
        <v>42838</v>
      </c>
      <c r="F2014" s="74"/>
      <c r="G2014" s="74"/>
      <c r="H2014" s="74"/>
      <c r="I2014" s="74"/>
      <c r="J2014" s="100"/>
      <c r="K2014" s="6" t="s">
        <v>3</v>
      </c>
      <c r="L2014" s="7"/>
      <c r="M2014" s="5">
        <f t="shared" si="208"/>
        <v>0</v>
      </c>
      <c r="N2014" s="74"/>
    </row>
    <row r="2015" spans="1:14" x14ac:dyDescent="0.15">
      <c r="B2015" s="6" t="s">
        <v>3</v>
      </c>
      <c r="C2015" s="7">
        <v>100</v>
      </c>
      <c r="D2015" s="5">
        <f t="shared" si="207"/>
        <v>100</v>
      </c>
      <c r="E2015" s="74">
        <v>42845</v>
      </c>
      <c r="F2015" s="74"/>
      <c r="G2015" s="74"/>
      <c r="H2015" s="74"/>
      <c r="I2015" s="74"/>
      <c r="J2015" s="75"/>
      <c r="K2015" s="6" t="s">
        <v>3</v>
      </c>
      <c r="L2015" s="7"/>
      <c r="M2015" s="5">
        <f t="shared" si="208"/>
        <v>0</v>
      </c>
    </row>
    <row r="2016" spans="1:14" x14ac:dyDescent="0.15">
      <c r="B2016" s="6" t="s">
        <v>3</v>
      </c>
      <c r="C2016" s="7">
        <v>200</v>
      </c>
      <c r="D2016" s="5">
        <f t="shared" si="207"/>
        <v>200</v>
      </c>
      <c r="E2016" s="74">
        <v>42846</v>
      </c>
      <c r="F2016" s="74"/>
      <c r="G2016" s="74"/>
      <c r="H2016" s="74"/>
      <c r="I2016" s="74"/>
      <c r="K2016" s="6" t="s">
        <v>3</v>
      </c>
      <c r="L2016" s="7">
        <v>5000</v>
      </c>
      <c r="M2016" s="5">
        <f t="shared" si="208"/>
        <v>5000</v>
      </c>
      <c r="N2016" s="74">
        <v>42839</v>
      </c>
    </row>
    <row r="2017" spans="2:15" x14ac:dyDescent="0.15">
      <c r="B2017" s="6" t="s">
        <v>3</v>
      </c>
      <c r="C2017" s="7"/>
      <c r="D2017" s="5">
        <f t="shared" si="207"/>
        <v>0</v>
      </c>
      <c r="K2017" s="6" t="s">
        <v>3</v>
      </c>
      <c r="L2017" s="7"/>
      <c r="M2017" s="5">
        <f t="shared" si="208"/>
        <v>0</v>
      </c>
    </row>
    <row r="2018" spans="2:15" x14ac:dyDescent="0.15">
      <c r="B2018" s="6" t="s">
        <v>3</v>
      </c>
      <c r="C2018" s="7"/>
      <c r="D2018" s="5">
        <f t="shared" si="207"/>
        <v>0</v>
      </c>
      <c r="K2018" s="6" t="s">
        <v>3</v>
      </c>
      <c r="L2018" s="7"/>
      <c r="M2018" s="5">
        <f t="shared" si="208"/>
        <v>0</v>
      </c>
    </row>
    <row r="2019" spans="2:15" x14ac:dyDescent="0.15">
      <c r="B2019" s="6" t="s">
        <v>3</v>
      </c>
      <c r="C2019" s="54"/>
      <c r="D2019" s="5">
        <f t="shared" si="207"/>
        <v>0</v>
      </c>
      <c r="K2019" s="6" t="s">
        <v>3</v>
      </c>
      <c r="L2019" s="7"/>
      <c r="M2019" s="5">
        <f t="shared" si="208"/>
        <v>0</v>
      </c>
    </row>
    <row r="2020" spans="2:15" x14ac:dyDescent="0.15">
      <c r="B2020" s="6" t="s">
        <v>3</v>
      </c>
      <c r="C2020" s="54"/>
      <c r="D2020" s="5">
        <f t="shared" si="207"/>
        <v>0</v>
      </c>
      <c r="K2020" s="6" t="s">
        <v>3</v>
      </c>
      <c r="L2020" s="7"/>
      <c r="M2020" s="5">
        <f t="shared" si="208"/>
        <v>0</v>
      </c>
    </row>
    <row r="2021" spans="2:15" x14ac:dyDescent="0.15">
      <c r="B2021" s="6" t="s">
        <v>3</v>
      </c>
      <c r="C2021" s="54"/>
      <c r="D2021" s="5">
        <f t="shared" si="207"/>
        <v>0</v>
      </c>
      <c r="K2021" s="6" t="s">
        <v>3</v>
      </c>
      <c r="L2021" s="166"/>
      <c r="M2021" s="5">
        <f t="shared" si="208"/>
        <v>0</v>
      </c>
    </row>
    <row r="2022" spans="2:15" ht="14.25" thickBot="1" x14ac:dyDescent="0.2">
      <c r="B2022" s="9" t="s">
        <v>3</v>
      </c>
      <c r="C2022" s="101"/>
      <c r="D2022" s="5">
        <f t="shared" si="207"/>
        <v>0</v>
      </c>
      <c r="K2022" s="9" t="s">
        <v>3</v>
      </c>
      <c r="L2022" s="10"/>
      <c r="M2022" s="5">
        <f t="shared" si="208"/>
        <v>0</v>
      </c>
    </row>
    <row r="2023" spans="2:15" ht="14.25" thickBot="1" x14ac:dyDescent="0.2">
      <c r="B2023" s="11" t="s">
        <v>4</v>
      </c>
      <c r="C2023" s="12">
        <f>SUM(C2012:C2022)</f>
        <v>604</v>
      </c>
      <c r="D2023" s="13">
        <f>SUM(D2012:D2022)</f>
        <v>604</v>
      </c>
      <c r="K2023" s="11" t="s">
        <v>4</v>
      </c>
      <c r="L2023" s="12">
        <f>SUM(L2012:L2022)</f>
        <v>11585</v>
      </c>
      <c r="M2023" s="13">
        <f>SUM(M2012:M2022)</f>
        <v>11585</v>
      </c>
    </row>
    <row r="2024" spans="2:15" x14ac:dyDescent="0.15">
      <c r="B2024" s="71" t="s">
        <v>162</v>
      </c>
      <c r="C2024" s="15">
        <v>1</v>
      </c>
      <c r="D2024" s="14">
        <f>SUM(C2024)</f>
        <v>1</v>
      </c>
      <c r="E2024" s="48">
        <v>42823</v>
      </c>
      <c r="F2024" s="48"/>
      <c r="G2024" s="48"/>
      <c r="H2024" s="48"/>
      <c r="I2024" s="48"/>
      <c r="K2024" s="4" t="s">
        <v>395</v>
      </c>
      <c r="L2024" s="15">
        <v>200</v>
      </c>
      <c r="M2024" s="14">
        <f>SUM(L2024:L2024)</f>
        <v>200</v>
      </c>
      <c r="N2024" s="74">
        <v>42835</v>
      </c>
    </row>
    <row r="2025" spans="2:15" x14ac:dyDescent="0.15">
      <c r="B2025" s="71" t="s">
        <v>162</v>
      </c>
      <c r="C2025" s="15">
        <v>5</v>
      </c>
      <c r="D2025" s="14">
        <f>SUM(C2025)</f>
        <v>5</v>
      </c>
      <c r="E2025" s="48">
        <v>42824</v>
      </c>
      <c r="F2025" s="48"/>
      <c r="G2025" s="48"/>
      <c r="H2025" s="48"/>
      <c r="I2025" s="48"/>
      <c r="J2025" s="51"/>
      <c r="K2025" s="4" t="s">
        <v>31</v>
      </c>
      <c r="L2025" s="15">
        <v>100</v>
      </c>
      <c r="M2025" s="14">
        <f t="shared" ref="M2025:M2042" si="209">SUM(L2025:L2025)</f>
        <v>100</v>
      </c>
      <c r="N2025" s="74">
        <v>42838</v>
      </c>
    </row>
    <row r="2026" spans="2:15" x14ac:dyDescent="0.15">
      <c r="B2026" s="71" t="s">
        <v>162</v>
      </c>
      <c r="C2026" s="15">
        <v>1</v>
      </c>
      <c r="D2026" s="14">
        <f t="shared" ref="D2026:D2045" si="210">SUM(C2026)</f>
        <v>1</v>
      </c>
      <c r="E2026" s="48">
        <v>42825</v>
      </c>
      <c r="F2026" s="48"/>
      <c r="G2026" s="48"/>
      <c r="H2026" s="48"/>
      <c r="I2026" s="48"/>
      <c r="J2026" s="51"/>
      <c r="K2026" s="4" t="s">
        <v>31</v>
      </c>
      <c r="L2026" s="15">
        <v>100</v>
      </c>
      <c r="M2026" s="14">
        <f t="shared" si="209"/>
        <v>100</v>
      </c>
      <c r="N2026" s="74">
        <v>42838</v>
      </c>
    </row>
    <row r="2027" spans="2:15" x14ac:dyDescent="0.15">
      <c r="B2027" s="71" t="s">
        <v>394</v>
      </c>
      <c r="C2027" s="15">
        <v>2</v>
      </c>
      <c r="D2027" s="14">
        <f t="shared" si="210"/>
        <v>2</v>
      </c>
      <c r="E2027" s="48">
        <v>42826</v>
      </c>
      <c r="F2027" s="48"/>
      <c r="G2027" s="48"/>
      <c r="H2027" s="48"/>
      <c r="I2027" s="48"/>
      <c r="J2027" s="51"/>
      <c r="K2027" s="4" t="s">
        <v>31</v>
      </c>
      <c r="L2027" s="15">
        <v>100</v>
      </c>
      <c r="M2027" s="14">
        <f t="shared" si="209"/>
        <v>100</v>
      </c>
      <c r="N2027" s="74">
        <v>42845</v>
      </c>
    </row>
    <row r="2028" spans="2:15" x14ac:dyDescent="0.15">
      <c r="B2028" s="71" t="s">
        <v>399</v>
      </c>
      <c r="C2028" s="15">
        <v>20</v>
      </c>
      <c r="D2028" s="14">
        <f t="shared" si="210"/>
        <v>20</v>
      </c>
      <c r="E2028" s="74">
        <v>42835</v>
      </c>
      <c r="F2028" s="74"/>
      <c r="G2028" s="74"/>
      <c r="H2028" s="74"/>
      <c r="I2028" s="74"/>
      <c r="J2028" s="51"/>
      <c r="K2028" s="67" t="s">
        <v>402</v>
      </c>
      <c r="L2028" s="15">
        <v>100</v>
      </c>
      <c r="M2028" s="14">
        <f t="shared" si="209"/>
        <v>100</v>
      </c>
      <c r="N2028" s="74">
        <v>42849</v>
      </c>
    </row>
    <row r="2029" spans="2:15" x14ac:dyDescent="0.15">
      <c r="B2029" s="71" t="s">
        <v>162</v>
      </c>
      <c r="C2029" s="15">
        <v>3</v>
      </c>
      <c r="D2029" s="14">
        <f t="shared" si="210"/>
        <v>3</v>
      </c>
      <c r="E2029" s="48">
        <v>42828</v>
      </c>
      <c r="F2029" s="48"/>
      <c r="G2029" s="48"/>
      <c r="H2029" s="48"/>
      <c r="I2029" s="48"/>
      <c r="J2029" s="51"/>
      <c r="K2029" s="4" t="s">
        <v>31</v>
      </c>
      <c r="L2029" s="15">
        <v>200</v>
      </c>
      <c r="M2029" s="14">
        <f t="shared" si="209"/>
        <v>200</v>
      </c>
      <c r="N2029" s="74">
        <v>42846</v>
      </c>
    </row>
    <row r="2030" spans="2:15" x14ac:dyDescent="0.15">
      <c r="B2030" s="71" t="s">
        <v>162</v>
      </c>
      <c r="C2030" s="15">
        <v>5</v>
      </c>
      <c r="D2030" s="14">
        <f t="shared" si="210"/>
        <v>5</v>
      </c>
      <c r="E2030" s="48">
        <v>42829</v>
      </c>
      <c r="F2030" s="48"/>
      <c r="G2030" s="48"/>
      <c r="H2030" s="48"/>
      <c r="I2030" s="48"/>
      <c r="J2030" s="51"/>
      <c r="K2030" s="4" t="s">
        <v>404</v>
      </c>
      <c r="L2030" s="15">
        <v>200</v>
      </c>
      <c r="M2030" s="14">
        <f t="shared" si="209"/>
        <v>200</v>
      </c>
      <c r="N2030" s="74">
        <v>42856</v>
      </c>
      <c r="O2030" s="75"/>
    </row>
    <row r="2031" spans="2:15" x14ac:dyDescent="0.15">
      <c r="B2031" s="71" t="s">
        <v>162</v>
      </c>
      <c r="C2031" s="15">
        <v>3</v>
      </c>
      <c r="D2031" s="14">
        <f t="shared" si="210"/>
        <v>3</v>
      </c>
      <c r="E2031" s="48">
        <v>42830</v>
      </c>
      <c r="F2031" s="48"/>
      <c r="G2031" s="48"/>
      <c r="H2031" s="48"/>
      <c r="I2031" s="48"/>
      <c r="J2031" s="51"/>
      <c r="K2031" s="6"/>
      <c r="L2031" s="15"/>
      <c r="M2031" s="14">
        <f t="shared" si="209"/>
        <v>0</v>
      </c>
    </row>
    <row r="2032" spans="2:15" x14ac:dyDescent="0.15">
      <c r="B2032" s="71" t="s">
        <v>162</v>
      </c>
      <c r="C2032" s="15">
        <v>10</v>
      </c>
      <c r="D2032" s="14">
        <f t="shared" si="210"/>
        <v>10</v>
      </c>
      <c r="E2032" s="48">
        <v>42831</v>
      </c>
      <c r="F2032" s="48"/>
      <c r="G2032" s="48"/>
      <c r="H2032" s="48"/>
      <c r="I2032" s="48"/>
      <c r="J2032" s="51"/>
      <c r="K2032" s="4"/>
      <c r="L2032" s="15"/>
      <c r="M2032" s="14">
        <f t="shared" si="209"/>
        <v>0</v>
      </c>
    </row>
    <row r="2033" spans="2:14" x14ac:dyDescent="0.15">
      <c r="B2033" s="71" t="s">
        <v>162</v>
      </c>
      <c r="C2033" s="15">
        <v>11</v>
      </c>
      <c r="D2033" s="14">
        <f t="shared" si="210"/>
        <v>11</v>
      </c>
      <c r="E2033" s="48">
        <v>42832</v>
      </c>
      <c r="F2033" s="48"/>
      <c r="G2033" s="48"/>
      <c r="H2033" s="48"/>
      <c r="I2033" s="48"/>
      <c r="J2033" s="51"/>
      <c r="K2033" s="4"/>
      <c r="L2033" s="15"/>
      <c r="M2033" s="14">
        <f t="shared" si="209"/>
        <v>0</v>
      </c>
    </row>
    <row r="2034" spans="2:14" x14ac:dyDescent="0.15">
      <c r="B2034" s="71" t="s">
        <v>162</v>
      </c>
      <c r="C2034" s="15">
        <v>23</v>
      </c>
      <c r="D2034" s="14">
        <f t="shared" si="210"/>
        <v>23</v>
      </c>
      <c r="E2034" s="48">
        <v>42835</v>
      </c>
      <c r="F2034" s="48"/>
      <c r="G2034" s="48"/>
      <c r="H2034" s="48"/>
      <c r="I2034" s="48"/>
      <c r="J2034" s="51"/>
      <c r="K2034" s="4"/>
      <c r="L2034" s="15"/>
      <c r="M2034" s="14">
        <f t="shared" si="209"/>
        <v>0</v>
      </c>
    </row>
    <row r="2035" spans="2:14" x14ac:dyDescent="0.15">
      <c r="B2035" s="71" t="s">
        <v>396</v>
      </c>
      <c r="C2035" s="15">
        <v>13</v>
      </c>
      <c r="D2035" s="14">
        <f t="shared" si="210"/>
        <v>13</v>
      </c>
      <c r="E2035" s="74">
        <v>42837</v>
      </c>
      <c r="F2035" s="74"/>
      <c r="G2035" s="74"/>
      <c r="H2035" s="74"/>
      <c r="I2035" s="74"/>
      <c r="J2035" s="51"/>
      <c r="K2035" s="4"/>
      <c r="L2035" s="15"/>
      <c r="M2035" s="14">
        <f t="shared" si="209"/>
        <v>0</v>
      </c>
    </row>
    <row r="2036" spans="2:14" x14ac:dyDescent="0.15">
      <c r="B2036" s="71" t="s">
        <v>162</v>
      </c>
      <c r="C2036" s="15">
        <v>4</v>
      </c>
      <c r="D2036" s="14">
        <f t="shared" si="210"/>
        <v>4</v>
      </c>
      <c r="E2036" s="48">
        <v>42836</v>
      </c>
      <c r="F2036" s="48"/>
      <c r="G2036" s="48"/>
      <c r="H2036" s="48"/>
      <c r="I2036" s="48"/>
      <c r="J2036" s="51"/>
      <c r="K2036" s="6"/>
      <c r="L2036" s="15"/>
      <c r="M2036" s="14">
        <f t="shared" si="209"/>
        <v>0</v>
      </c>
    </row>
    <row r="2037" spans="2:14" x14ac:dyDescent="0.15">
      <c r="B2037" s="71" t="s">
        <v>408</v>
      </c>
      <c r="C2037" s="15">
        <v>40</v>
      </c>
      <c r="D2037" s="14">
        <f t="shared" si="210"/>
        <v>40</v>
      </c>
      <c r="E2037" s="74">
        <v>42842</v>
      </c>
      <c r="F2037" s="74"/>
      <c r="G2037" s="74"/>
      <c r="H2037" s="74"/>
      <c r="I2037" s="74"/>
      <c r="J2037" s="51"/>
      <c r="K2037" s="4"/>
      <c r="L2037" s="15"/>
      <c r="M2037" s="14">
        <f t="shared" si="209"/>
        <v>0</v>
      </c>
    </row>
    <row r="2038" spans="2:14" x14ac:dyDescent="0.15">
      <c r="B2038" s="71" t="s">
        <v>407</v>
      </c>
      <c r="C2038" s="15">
        <v>20</v>
      </c>
      <c r="D2038" s="14">
        <f t="shared" si="210"/>
        <v>20</v>
      </c>
      <c r="E2038" s="74">
        <v>42842</v>
      </c>
      <c r="F2038" s="74"/>
      <c r="G2038" s="74"/>
      <c r="H2038" s="74"/>
      <c r="I2038" s="74"/>
      <c r="J2038" s="51"/>
      <c r="K2038" s="4"/>
      <c r="L2038" s="15"/>
      <c r="M2038" s="14">
        <f t="shared" si="209"/>
        <v>0</v>
      </c>
    </row>
    <row r="2039" spans="2:14" x14ac:dyDescent="0.15">
      <c r="B2039" s="71" t="s">
        <v>162</v>
      </c>
      <c r="C2039" s="15">
        <v>2</v>
      </c>
      <c r="D2039" s="14">
        <f t="shared" si="210"/>
        <v>2</v>
      </c>
      <c r="E2039" s="48">
        <v>42837</v>
      </c>
      <c r="F2039" s="48"/>
      <c r="G2039" s="48"/>
      <c r="H2039" s="48"/>
      <c r="I2039" s="48"/>
      <c r="J2039" s="51"/>
      <c r="K2039" s="4"/>
      <c r="L2039" s="15"/>
      <c r="M2039" s="14">
        <f t="shared" si="209"/>
        <v>0</v>
      </c>
    </row>
    <row r="2040" spans="2:14" x14ac:dyDescent="0.15">
      <c r="B2040" s="71" t="s">
        <v>400</v>
      </c>
      <c r="C2040" s="15">
        <v>6</v>
      </c>
      <c r="D2040" s="14">
        <f t="shared" si="210"/>
        <v>6</v>
      </c>
      <c r="E2040" s="48">
        <v>42838</v>
      </c>
      <c r="F2040" s="48"/>
      <c r="G2040" s="48"/>
      <c r="H2040" s="48"/>
      <c r="I2040" s="48"/>
      <c r="J2040" s="51"/>
      <c r="K2040" s="4"/>
      <c r="L2040" s="15"/>
      <c r="M2040" s="14">
        <f t="shared" si="209"/>
        <v>0</v>
      </c>
    </row>
    <row r="2041" spans="2:14" x14ac:dyDescent="0.15">
      <c r="B2041" s="71" t="s">
        <v>350</v>
      </c>
      <c r="C2041" s="15">
        <v>20</v>
      </c>
      <c r="D2041" s="14">
        <f t="shared" si="210"/>
        <v>20</v>
      </c>
      <c r="E2041" s="74">
        <v>42840</v>
      </c>
      <c r="F2041" s="74"/>
      <c r="G2041" s="74"/>
      <c r="H2041" s="74"/>
      <c r="I2041" s="74"/>
      <c r="J2041" s="51"/>
      <c r="K2041" s="4"/>
      <c r="L2041" s="15"/>
      <c r="M2041" s="14">
        <f t="shared" si="209"/>
        <v>0</v>
      </c>
    </row>
    <row r="2042" spans="2:14" x14ac:dyDescent="0.15">
      <c r="B2042" s="71" t="s">
        <v>401</v>
      </c>
      <c r="C2042" s="15">
        <v>3</v>
      </c>
      <c r="D2042" s="14">
        <f t="shared" si="210"/>
        <v>3</v>
      </c>
      <c r="E2042" s="48">
        <v>42840</v>
      </c>
      <c r="F2042" s="48"/>
      <c r="G2042" s="48"/>
      <c r="H2042" s="48"/>
      <c r="I2042" s="48"/>
      <c r="J2042" s="51"/>
      <c r="K2042" s="4"/>
      <c r="L2042" s="15"/>
      <c r="M2042" s="14">
        <f t="shared" si="209"/>
        <v>0</v>
      </c>
    </row>
    <row r="2043" spans="2:14" x14ac:dyDescent="0.15">
      <c r="B2043" s="71" t="s">
        <v>416</v>
      </c>
      <c r="C2043" s="15">
        <v>30</v>
      </c>
      <c r="D2043" s="14">
        <f t="shared" si="210"/>
        <v>30</v>
      </c>
      <c r="E2043" s="74">
        <v>42849</v>
      </c>
      <c r="F2043" s="74"/>
      <c r="G2043" s="74"/>
      <c r="H2043" s="74"/>
      <c r="I2043" s="74"/>
      <c r="J2043" s="51"/>
      <c r="K2043" s="4"/>
      <c r="L2043" s="15"/>
      <c r="M2043" s="14">
        <f>SUM(L2043)</f>
        <v>0</v>
      </c>
      <c r="N2043" s="75"/>
    </row>
    <row r="2044" spans="2:14" x14ac:dyDescent="0.15">
      <c r="B2044" s="71" t="s">
        <v>162</v>
      </c>
      <c r="C2044" s="15">
        <v>31</v>
      </c>
      <c r="D2044" s="14">
        <f t="shared" si="210"/>
        <v>31</v>
      </c>
      <c r="E2044" s="48">
        <v>42842</v>
      </c>
      <c r="F2044" s="48"/>
      <c r="G2044" s="48"/>
      <c r="H2044" s="48"/>
      <c r="I2044" s="48"/>
      <c r="J2044" s="51"/>
      <c r="K2044" s="4"/>
      <c r="L2044" s="15"/>
      <c r="M2044" s="14">
        <f>SUM(L2044)</f>
        <v>0</v>
      </c>
      <c r="N2044" s="75"/>
    </row>
    <row r="2045" spans="2:14" x14ac:dyDescent="0.15">
      <c r="B2045" s="71" t="s">
        <v>162</v>
      </c>
      <c r="C2045" s="15">
        <v>16</v>
      </c>
      <c r="D2045" s="14">
        <f t="shared" si="210"/>
        <v>16</v>
      </c>
      <c r="E2045" s="48">
        <v>42843</v>
      </c>
      <c r="F2045" s="48"/>
      <c r="G2045" s="48"/>
      <c r="H2045" s="48"/>
      <c r="I2045" s="48"/>
      <c r="J2045" s="51"/>
      <c r="K2045" s="4"/>
      <c r="L2045" s="15"/>
      <c r="M2045" s="14">
        <f>SUM(L2045)</f>
        <v>0</v>
      </c>
      <c r="N2045" s="75"/>
    </row>
    <row r="2046" spans="2:14" x14ac:dyDescent="0.15">
      <c r="B2046" s="71" t="s">
        <v>350</v>
      </c>
      <c r="C2046" s="15">
        <v>20</v>
      </c>
      <c r="D2046" s="14">
        <f>SUM(C2046)</f>
        <v>20</v>
      </c>
      <c r="E2046" s="74">
        <v>42845</v>
      </c>
      <c r="F2046" s="74"/>
      <c r="G2046" s="74"/>
      <c r="H2046" s="74"/>
      <c r="I2046" s="74"/>
      <c r="J2046" s="51"/>
      <c r="K2046" s="4"/>
      <c r="L2046" s="15"/>
      <c r="M2046" s="14">
        <f>SUM(L2046)</f>
        <v>0</v>
      </c>
      <c r="N2046" s="75"/>
    </row>
    <row r="2047" spans="2:14" ht="14.25" thickBot="1" x14ac:dyDescent="0.2">
      <c r="B2047" s="71" t="s">
        <v>403</v>
      </c>
      <c r="C2047" s="15">
        <v>9</v>
      </c>
      <c r="D2047" s="14">
        <f>SUM(C2047)</f>
        <v>9</v>
      </c>
      <c r="E2047" s="48">
        <v>42844</v>
      </c>
      <c r="F2047" s="48"/>
      <c r="G2047" s="48"/>
      <c r="H2047" s="48"/>
      <c r="I2047" s="48"/>
      <c r="J2047" s="51"/>
      <c r="K2047" s="67"/>
      <c r="L2047" s="15"/>
      <c r="M2047" s="14">
        <f>SUM(L2047)</f>
        <v>0</v>
      </c>
      <c r="N2047" s="75"/>
    </row>
    <row r="2048" spans="2:14" ht="14.25" thickBot="1" x14ac:dyDescent="0.2">
      <c r="B2048" s="3" t="s">
        <v>5</v>
      </c>
      <c r="C2048" s="16">
        <f>SUM(C2024:C2047)</f>
        <v>298</v>
      </c>
      <c r="D2048" s="17">
        <f>SUM(D2024:D2047)</f>
        <v>298</v>
      </c>
      <c r="K2048" s="3" t="s">
        <v>5</v>
      </c>
      <c r="L2048" s="16">
        <f>SUM(L2024:L2047)</f>
        <v>1000</v>
      </c>
      <c r="M2048" s="17">
        <f>SUM(M2024:M2047)</f>
        <v>1000</v>
      </c>
    </row>
    <row r="2049" spans="1:14" ht="14.25" thickBot="1" x14ac:dyDescent="0.2">
      <c r="B2049" s="18" t="s">
        <v>6</v>
      </c>
      <c r="C2049" s="19">
        <f>C2023-C2048</f>
        <v>306</v>
      </c>
      <c r="D2049" s="13">
        <f>D2023-D2048</f>
        <v>306</v>
      </c>
      <c r="K2049" s="18" t="s">
        <v>6</v>
      </c>
      <c r="L2049" s="19">
        <f>L2023-L2048</f>
        <v>10585</v>
      </c>
      <c r="M2049" s="13">
        <f>M2023-M2048</f>
        <v>10585</v>
      </c>
    </row>
    <row r="2051" spans="1:14" ht="18" thickBot="1" x14ac:dyDescent="0.25">
      <c r="A2051" s="27" t="s">
        <v>8</v>
      </c>
      <c r="B2051" s="28"/>
      <c r="C2051" s="28"/>
      <c r="D2051" s="28"/>
      <c r="J2051" s="139" t="s">
        <v>218</v>
      </c>
      <c r="K2051" s="140"/>
      <c r="L2051" s="140"/>
      <c r="M2051" s="140"/>
    </row>
    <row r="2052" spans="1:14" ht="14.25" thickBot="1" x14ac:dyDescent="0.2">
      <c r="B2052" s="2"/>
      <c r="C2052" s="3" t="s">
        <v>0</v>
      </c>
      <c r="D2052" s="2" t="s">
        <v>1</v>
      </c>
      <c r="K2052" s="2"/>
      <c r="L2052" s="3" t="s">
        <v>0</v>
      </c>
      <c r="M2052" s="2" t="s">
        <v>1</v>
      </c>
    </row>
    <row r="2053" spans="1:14" x14ac:dyDescent="0.15">
      <c r="B2053" s="43" t="s">
        <v>26</v>
      </c>
      <c r="C2053" s="38">
        <f>C2049</f>
        <v>306</v>
      </c>
      <c r="D2053" s="39">
        <f t="shared" ref="D2053:D2063" si="211">SUM(C2053:C2053)</f>
        <v>306</v>
      </c>
      <c r="K2053" s="43" t="s">
        <v>26</v>
      </c>
      <c r="L2053" s="38">
        <f>L2049</f>
        <v>10585</v>
      </c>
      <c r="M2053" s="39">
        <f t="shared" ref="M2053:M2063" si="212">SUM(L2053:L2053)</f>
        <v>10585</v>
      </c>
    </row>
    <row r="2054" spans="1:14" x14ac:dyDescent="0.15">
      <c r="B2054" s="6" t="s">
        <v>3</v>
      </c>
      <c r="C2054" s="7">
        <v>100</v>
      </c>
      <c r="D2054" s="5">
        <f t="shared" si="211"/>
        <v>100</v>
      </c>
      <c r="E2054" s="74">
        <v>42857</v>
      </c>
      <c r="F2054" s="74"/>
      <c r="G2054" s="74"/>
      <c r="H2054" s="74"/>
      <c r="I2054" s="74"/>
      <c r="J2054" s="75"/>
      <c r="K2054" s="6" t="s">
        <v>3</v>
      </c>
      <c r="L2054" s="7"/>
      <c r="M2054" s="5">
        <f t="shared" si="212"/>
        <v>0</v>
      </c>
    </row>
    <row r="2055" spans="1:14" x14ac:dyDescent="0.15">
      <c r="B2055" s="6" t="s">
        <v>3</v>
      </c>
      <c r="C2055" s="7">
        <v>200</v>
      </c>
      <c r="D2055" s="5">
        <f t="shared" si="211"/>
        <v>200</v>
      </c>
      <c r="E2055" s="74">
        <v>42864</v>
      </c>
      <c r="F2055" s="74"/>
      <c r="G2055" s="74"/>
      <c r="H2055" s="74"/>
      <c r="I2055" s="74"/>
      <c r="K2055" s="6" t="s">
        <v>3</v>
      </c>
      <c r="L2055" s="7"/>
      <c r="M2055" s="5">
        <f t="shared" si="212"/>
        <v>0</v>
      </c>
      <c r="N2055" s="74"/>
    </row>
    <row r="2056" spans="1:14" x14ac:dyDescent="0.15">
      <c r="B2056" s="6" t="s">
        <v>3</v>
      </c>
      <c r="C2056" s="7">
        <v>200</v>
      </c>
      <c r="D2056" s="5">
        <f t="shared" si="211"/>
        <v>200</v>
      </c>
      <c r="E2056" s="74">
        <v>42866</v>
      </c>
      <c r="F2056" s="74"/>
      <c r="G2056" s="74"/>
      <c r="H2056" s="74"/>
      <c r="I2056" s="74"/>
      <c r="K2056" s="6" t="s">
        <v>3</v>
      </c>
      <c r="L2056" s="7"/>
      <c r="M2056" s="5">
        <f t="shared" si="212"/>
        <v>0</v>
      </c>
    </row>
    <row r="2057" spans="1:14" x14ac:dyDescent="0.15">
      <c r="B2057" s="6" t="s">
        <v>3</v>
      </c>
      <c r="C2057" s="7"/>
      <c r="D2057" s="5">
        <f t="shared" si="211"/>
        <v>0</v>
      </c>
      <c r="K2057" s="6" t="s">
        <v>3</v>
      </c>
      <c r="L2057" s="7"/>
      <c r="M2057" s="5">
        <f t="shared" si="212"/>
        <v>0</v>
      </c>
    </row>
    <row r="2058" spans="1:14" x14ac:dyDescent="0.15">
      <c r="B2058" s="6" t="s">
        <v>3</v>
      </c>
      <c r="C2058" s="7"/>
      <c r="D2058" s="5">
        <f t="shared" si="211"/>
        <v>0</v>
      </c>
      <c r="K2058" s="6" t="s">
        <v>3</v>
      </c>
      <c r="L2058" s="7"/>
      <c r="M2058" s="5">
        <f t="shared" si="212"/>
        <v>0</v>
      </c>
    </row>
    <row r="2059" spans="1:14" x14ac:dyDescent="0.15">
      <c r="B2059" s="6" t="s">
        <v>3</v>
      </c>
      <c r="C2059" s="7"/>
      <c r="D2059" s="5">
        <f t="shared" si="211"/>
        <v>0</v>
      </c>
      <c r="K2059" s="6" t="s">
        <v>3</v>
      </c>
      <c r="L2059" s="7"/>
      <c r="M2059" s="5">
        <f t="shared" si="212"/>
        <v>0</v>
      </c>
    </row>
    <row r="2060" spans="1:14" x14ac:dyDescent="0.15">
      <c r="B2060" s="6" t="s">
        <v>3</v>
      </c>
      <c r="C2060" s="54"/>
      <c r="D2060" s="5">
        <f t="shared" si="211"/>
        <v>0</v>
      </c>
      <c r="K2060" s="6" t="s">
        <v>3</v>
      </c>
      <c r="L2060" s="7"/>
      <c r="M2060" s="5">
        <f t="shared" si="212"/>
        <v>0</v>
      </c>
    </row>
    <row r="2061" spans="1:14" x14ac:dyDescent="0.15">
      <c r="B2061" s="6" t="s">
        <v>3</v>
      </c>
      <c r="C2061" s="54"/>
      <c r="D2061" s="5">
        <f t="shared" si="211"/>
        <v>0</v>
      </c>
      <c r="K2061" s="6" t="s">
        <v>3</v>
      </c>
      <c r="L2061" s="7"/>
      <c r="M2061" s="5">
        <f t="shared" si="212"/>
        <v>0</v>
      </c>
    </row>
    <row r="2062" spans="1:14" x14ac:dyDescent="0.15">
      <c r="B2062" s="6" t="s">
        <v>3</v>
      </c>
      <c r="C2062" s="54"/>
      <c r="D2062" s="5">
        <f t="shared" si="211"/>
        <v>0</v>
      </c>
      <c r="K2062" s="6" t="s">
        <v>3</v>
      </c>
      <c r="L2062" s="7"/>
      <c r="M2062" s="5">
        <f t="shared" si="212"/>
        <v>0</v>
      </c>
    </row>
    <row r="2063" spans="1:14" ht="14.25" thickBot="1" x14ac:dyDescent="0.2">
      <c r="B2063" s="9" t="s">
        <v>3</v>
      </c>
      <c r="C2063" s="101"/>
      <c r="D2063" s="5">
        <f t="shared" si="211"/>
        <v>0</v>
      </c>
      <c r="K2063" s="9" t="s">
        <v>3</v>
      </c>
      <c r="L2063" s="10"/>
      <c r="M2063" s="5">
        <f t="shared" si="212"/>
        <v>0</v>
      </c>
    </row>
    <row r="2064" spans="1:14" ht="14.25" thickBot="1" x14ac:dyDescent="0.2">
      <c r="B2064" s="11" t="s">
        <v>4</v>
      </c>
      <c r="C2064" s="12">
        <f>SUM(C2053:C2063)</f>
        <v>806</v>
      </c>
      <c r="D2064" s="13">
        <f>SUM(D2053:D2063)</f>
        <v>806</v>
      </c>
      <c r="K2064" s="11" t="s">
        <v>4</v>
      </c>
      <c r="L2064" s="12">
        <f>SUM(L2053:L2063)</f>
        <v>10585</v>
      </c>
      <c r="M2064" s="13">
        <f>SUM(M2053:M2063)</f>
        <v>10585</v>
      </c>
    </row>
    <row r="2065" spans="2:15" x14ac:dyDescent="0.15">
      <c r="B2065" s="71" t="s">
        <v>162</v>
      </c>
      <c r="C2065" s="15">
        <v>13</v>
      </c>
      <c r="D2065" s="14">
        <f>SUM(C2065)</f>
        <v>13</v>
      </c>
      <c r="E2065" s="48">
        <v>42845</v>
      </c>
      <c r="F2065" s="48"/>
      <c r="G2065" s="48"/>
      <c r="H2065" s="48"/>
      <c r="I2065" s="48"/>
      <c r="K2065" s="4" t="s">
        <v>31</v>
      </c>
      <c r="L2065" s="15">
        <v>100</v>
      </c>
      <c r="M2065" s="14">
        <f>SUM(L2065:L2065)</f>
        <v>100</v>
      </c>
      <c r="N2065" s="74">
        <v>42857</v>
      </c>
      <c r="O2065" s="75"/>
    </row>
    <row r="2066" spans="2:15" x14ac:dyDescent="0.15">
      <c r="B2066" s="71" t="s">
        <v>162</v>
      </c>
      <c r="C2066" s="15">
        <v>6</v>
      </c>
      <c r="D2066" s="14">
        <f>SUM(C2066)</f>
        <v>6</v>
      </c>
      <c r="E2066" s="48">
        <v>42846</v>
      </c>
      <c r="F2066" s="48"/>
      <c r="G2066" s="48"/>
      <c r="H2066" s="48"/>
      <c r="I2066" s="48"/>
      <c r="J2066" s="51"/>
      <c r="K2066" s="67" t="s">
        <v>412</v>
      </c>
      <c r="L2066" s="15">
        <v>200</v>
      </c>
      <c r="M2066" s="14">
        <f t="shared" ref="M2066:M2083" si="213">SUM(L2066:L2066)</f>
        <v>200</v>
      </c>
      <c r="N2066" s="74">
        <v>42864</v>
      </c>
    </row>
    <row r="2067" spans="2:15" x14ac:dyDescent="0.15">
      <c r="B2067" s="71" t="s">
        <v>162</v>
      </c>
      <c r="C2067" s="15">
        <v>10</v>
      </c>
      <c r="D2067" s="14">
        <f t="shared" ref="D2067:D2086" si="214">SUM(C2067)</f>
        <v>10</v>
      </c>
      <c r="E2067" s="48">
        <v>42847</v>
      </c>
      <c r="F2067" s="48"/>
      <c r="G2067" s="48"/>
      <c r="H2067" s="48"/>
      <c r="I2067" s="48"/>
      <c r="J2067" s="51"/>
      <c r="K2067" s="4" t="s">
        <v>31</v>
      </c>
      <c r="L2067" s="15">
        <v>200</v>
      </c>
      <c r="M2067" s="14">
        <f t="shared" si="213"/>
        <v>200</v>
      </c>
      <c r="N2067" s="74">
        <v>42864</v>
      </c>
    </row>
    <row r="2068" spans="2:15" x14ac:dyDescent="0.15">
      <c r="B2068" s="71" t="s">
        <v>162</v>
      </c>
      <c r="C2068" s="15">
        <v>18</v>
      </c>
      <c r="D2068" s="14">
        <f t="shared" si="214"/>
        <v>18</v>
      </c>
      <c r="E2068" s="48">
        <v>42849</v>
      </c>
      <c r="F2068" s="48"/>
      <c r="G2068" s="48"/>
      <c r="H2068" s="48"/>
      <c r="I2068" s="48"/>
      <c r="J2068" s="51"/>
      <c r="K2068" s="67" t="s">
        <v>417</v>
      </c>
      <c r="L2068" s="15">
        <v>200</v>
      </c>
      <c r="M2068" s="14">
        <f t="shared" si="213"/>
        <v>200</v>
      </c>
      <c r="N2068" s="74">
        <v>42867</v>
      </c>
    </row>
    <row r="2069" spans="2:15" x14ac:dyDescent="0.15">
      <c r="B2069" s="71" t="s">
        <v>406</v>
      </c>
      <c r="C2069" s="15">
        <v>18</v>
      </c>
      <c r="D2069" s="14">
        <f t="shared" si="214"/>
        <v>18</v>
      </c>
      <c r="E2069" s="48">
        <v>42850</v>
      </c>
      <c r="F2069" s="48"/>
      <c r="G2069" s="48"/>
      <c r="H2069" s="48"/>
      <c r="I2069" s="48"/>
      <c r="J2069" s="51"/>
      <c r="K2069" s="4" t="s">
        <v>31</v>
      </c>
      <c r="L2069" s="15">
        <v>200</v>
      </c>
      <c r="M2069" s="14">
        <f t="shared" si="213"/>
        <v>200</v>
      </c>
      <c r="N2069" s="74">
        <v>42866</v>
      </c>
    </row>
    <row r="2070" spans="2:15" x14ac:dyDescent="0.15">
      <c r="B2070" s="71" t="s">
        <v>405</v>
      </c>
      <c r="C2070" s="15">
        <v>20</v>
      </c>
      <c r="D2070" s="14">
        <f t="shared" si="214"/>
        <v>20</v>
      </c>
      <c r="E2070" s="74">
        <v>42852</v>
      </c>
      <c r="F2070" s="74"/>
      <c r="G2070" s="74"/>
      <c r="H2070" s="74"/>
      <c r="I2070" s="74"/>
      <c r="J2070" s="51"/>
      <c r="K2070" s="4" t="s">
        <v>418</v>
      </c>
      <c r="L2070" s="15">
        <v>100</v>
      </c>
      <c r="M2070" s="14">
        <f t="shared" si="213"/>
        <v>100</v>
      </c>
      <c r="N2070" s="74">
        <v>42870</v>
      </c>
    </row>
    <row r="2071" spans="2:15" x14ac:dyDescent="0.15">
      <c r="B2071" s="71" t="s">
        <v>162</v>
      </c>
      <c r="C2071" s="15">
        <v>11</v>
      </c>
      <c r="D2071" s="14">
        <f t="shared" si="214"/>
        <v>11</v>
      </c>
      <c r="E2071" s="48">
        <v>42851</v>
      </c>
      <c r="F2071" s="48"/>
      <c r="G2071" s="48"/>
      <c r="H2071" s="48"/>
      <c r="I2071" s="48"/>
      <c r="J2071" s="51"/>
      <c r="K2071" s="67" t="s">
        <v>419</v>
      </c>
      <c r="L2071" s="15">
        <v>200</v>
      </c>
      <c r="M2071" s="14">
        <f t="shared" si="213"/>
        <v>200</v>
      </c>
      <c r="N2071" s="74">
        <v>42868</v>
      </c>
      <c r="O2071" s="75"/>
    </row>
    <row r="2072" spans="2:15" x14ac:dyDescent="0.15">
      <c r="B2072" s="71" t="s">
        <v>409</v>
      </c>
      <c r="C2072" s="15">
        <v>40</v>
      </c>
      <c r="D2072" s="14">
        <f t="shared" si="214"/>
        <v>40</v>
      </c>
      <c r="E2072" s="74">
        <v>42857</v>
      </c>
      <c r="F2072" s="74"/>
      <c r="G2072" s="74"/>
      <c r="H2072" s="74"/>
      <c r="I2072" s="74"/>
      <c r="J2072" s="51"/>
      <c r="K2072" s="6"/>
      <c r="L2072" s="15"/>
      <c r="M2072" s="14">
        <f t="shared" si="213"/>
        <v>0</v>
      </c>
    </row>
    <row r="2073" spans="2:15" x14ac:dyDescent="0.15">
      <c r="B2073" s="71" t="s">
        <v>411</v>
      </c>
      <c r="C2073" s="15">
        <v>11</v>
      </c>
      <c r="D2073" s="14">
        <f t="shared" si="214"/>
        <v>11</v>
      </c>
      <c r="E2073" s="48">
        <v>42852</v>
      </c>
      <c r="F2073" s="48"/>
      <c r="G2073" s="48"/>
      <c r="H2073" s="48"/>
      <c r="I2073" s="48"/>
      <c r="J2073" s="51"/>
      <c r="K2073" s="4"/>
      <c r="L2073" s="15"/>
      <c r="M2073" s="14">
        <f t="shared" si="213"/>
        <v>0</v>
      </c>
    </row>
    <row r="2074" spans="2:15" x14ac:dyDescent="0.15">
      <c r="B2074" s="71" t="s">
        <v>410</v>
      </c>
      <c r="C2074" s="15">
        <v>10</v>
      </c>
      <c r="D2074" s="14">
        <f t="shared" si="214"/>
        <v>10</v>
      </c>
      <c r="E2074" s="74">
        <v>42865</v>
      </c>
      <c r="F2074" s="74"/>
      <c r="G2074" s="74"/>
      <c r="H2074" s="74"/>
      <c r="I2074" s="74"/>
      <c r="J2074" s="51"/>
      <c r="K2074" s="4"/>
      <c r="L2074" s="15"/>
      <c r="M2074" s="14">
        <f t="shared" si="213"/>
        <v>0</v>
      </c>
    </row>
    <row r="2075" spans="2:15" x14ac:dyDescent="0.15">
      <c r="B2075" s="71" t="s">
        <v>162</v>
      </c>
      <c r="C2075" s="15">
        <v>12</v>
      </c>
      <c r="D2075" s="14">
        <f t="shared" si="214"/>
        <v>12</v>
      </c>
      <c r="E2075" s="74">
        <v>42853</v>
      </c>
      <c r="F2075" s="74"/>
      <c r="G2075" s="74"/>
      <c r="H2075" s="74"/>
      <c r="I2075" s="74"/>
      <c r="J2075" s="51"/>
      <c r="K2075" s="4"/>
      <c r="L2075" s="15"/>
      <c r="M2075" s="14">
        <f t="shared" si="213"/>
        <v>0</v>
      </c>
    </row>
    <row r="2076" spans="2:15" x14ac:dyDescent="0.15">
      <c r="B2076" s="71" t="s">
        <v>162</v>
      </c>
      <c r="C2076" s="15">
        <v>46</v>
      </c>
      <c r="D2076" s="14">
        <f t="shared" si="214"/>
        <v>46</v>
      </c>
      <c r="E2076" s="48">
        <v>42856</v>
      </c>
      <c r="F2076" s="48"/>
      <c r="G2076" s="48"/>
      <c r="H2076" s="48"/>
      <c r="I2076" s="48"/>
      <c r="J2076" s="51"/>
      <c r="K2076" s="4"/>
      <c r="L2076" s="15"/>
      <c r="M2076" s="14">
        <f t="shared" si="213"/>
        <v>0</v>
      </c>
    </row>
    <row r="2077" spans="2:15" x14ac:dyDescent="0.15">
      <c r="B2077" s="71" t="s">
        <v>350</v>
      </c>
      <c r="C2077" s="15">
        <v>10</v>
      </c>
      <c r="D2077" s="14">
        <f t="shared" si="214"/>
        <v>10</v>
      </c>
      <c r="E2077" s="74">
        <v>42858</v>
      </c>
      <c r="F2077" s="74"/>
      <c r="G2077" s="74"/>
      <c r="H2077" s="74"/>
      <c r="I2077" s="74"/>
      <c r="J2077" s="51"/>
      <c r="K2077" s="6"/>
      <c r="L2077" s="15"/>
      <c r="M2077" s="14">
        <f t="shared" si="213"/>
        <v>0</v>
      </c>
    </row>
    <row r="2078" spans="2:15" x14ac:dyDescent="0.15">
      <c r="B2078" s="71" t="s">
        <v>162</v>
      </c>
      <c r="C2078" s="15">
        <v>18</v>
      </c>
      <c r="D2078" s="14">
        <f t="shared" si="214"/>
        <v>18</v>
      </c>
      <c r="E2078" s="48">
        <v>42857</v>
      </c>
      <c r="F2078" s="48"/>
      <c r="G2078" s="48"/>
      <c r="H2078" s="48"/>
      <c r="I2078" s="48"/>
      <c r="J2078" s="51"/>
      <c r="K2078" s="67"/>
      <c r="L2078" s="15"/>
      <c r="M2078" s="14">
        <f>SUM(L2078)</f>
        <v>0</v>
      </c>
      <c r="N2078" s="75"/>
    </row>
    <row r="2079" spans="2:15" x14ac:dyDescent="0.15">
      <c r="B2079" s="71" t="s">
        <v>162</v>
      </c>
      <c r="C2079" s="15">
        <v>69</v>
      </c>
      <c r="D2079" s="14">
        <f t="shared" si="214"/>
        <v>69</v>
      </c>
      <c r="E2079" s="48">
        <v>42861</v>
      </c>
      <c r="F2079" s="48"/>
      <c r="G2079" s="48"/>
      <c r="H2079" s="48"/>
      <c r="I2079" s="48"/>
      <c r="J2079" s="51"/>
      <c r="K2079" s="4"/>
      <c r="L2079" s="15"/>
      <c r="M2079" s="14">
        <f t="shared" si="213"/>
        <v>0</v>
      </c>
      <c r="N2079" s="75"/>
    </row>
    <row r="2080" spans="2:15" x14ac:dyDescent="0.15">
      <c r="B2080" s="4" t="s">
        <v>318</v>
      </c>
      <c r="C2080" s="15">
        <v>20</v>
      </c>
      <c r="D2080" s="14">
        <f t="shared" si="214"/>
        <v>20</v>
      </c>
      <c r="E2080" s="74">
        <v>42865</v>
      </c>
      <c r="F2080" s="74"/>
      <c r="G2080" s="74"/>
      <c r="H2080" s="74"/>
      <c r="I2080" s="74"/>
      <c r="J2080" s="51"/>
      <c r="K2080" s="4"/>
      <c r="L2080" s="15"/>
      <c r="M2080" s="14">
        <f t="shared" si="213"/>
        <v>0</v>
      </c>
      <c r="N2080" s="75"/>
    </row>
    <row r="2081" spans="1:14" x14ac:dyDescent="0.15">
      <c r="B2081" s="71" t="s">
        <v>162</v>
      </c>
      <c r="C2081" s="15">
        <v>35</v>
      </c>
      <c r="D2081" s="14">
        <f t="shared" si="214"/>
        <v>35</v>
      </c>
      <c r="E2081" s="74">
        <v>42863</v>
      </c>
      <c r="F2081" s="74"/>
      <c r="G2081" s="74"/>
      <c r="H2081" s="74"/>
      <c r="I2081" s="74"/>
      <c r="J2081" s="51"/>
      <c r="K2081" s="4"/>
      <c r="L2081" s="15"/>
      <c r="M2081" s="14">
        <f t="shared" si="213"/>
        <v>0</v>
      </c>
      <c r="N2081" s="75"/>
    </row>
    <row r="2082" spans="1:14" x14ac:dyDescent="0.15">
      <c r="B2082" s="71" t="s">
        <v>350</v>
      </c>
      <c r="C2082" s="15">
        <v>30</v>
      </c>
      <c r="D2082" s="14">
        <f t="shared" si="214"/>
        <v>30</v>
      </c>
      <c r="E2082" s="74">
        <v>42864</v>
      </c>
      <c r="F2082" s="74"/>
      <c r="G2082" s="74"/>
      <c r="H2082" s="74"/>
      <c r="I2082" s="74"/>
      <c r="J2082" s="51"/>
      <c r="K2082" s="4"/>
      <c r="L2082" s="15"/>
      <c r="M2082" s="14">
        <f t="shared" si="213"/>
        <v>0</v>
      </c>
      <c r="N2082" s="75"/>
    </row>
    <row r="2083" spans="1:14" x14ac:dyDescent="0.15">
      <c r="B2083" s="71" t="s">
        <v>162</v>
      </c>
      <c r="C2083" s="15">
        <v>6</v>
      </c>
      <c r="D2083" s="14">
        <f t="shared" si="214"/>
        <v>6</v>
      </c>
      <c r="E2083" s="74">
        <v>42864</v>
      </c>
      <c r="F2083" s="74"/>
      <c r="G2083" s="74"/>
      <c r="H2083" s="74"/>
      <c r="I2083" s="74"/>
      <c r="J2083" s="51"/>
      <c r="K2083" s="4"/>
      <c r="L2083" s="15"/>
      <c r="M2083" s="14">
        <f t="shared" si="213"/>
        <v>0</v>
      </c>
      <c r="N2083" s="74"/>
    </row>
    <row r="2084" spans="1:14" x14ac:dyDescent="0.15">
      <c r="B2084" s="71" t="s">
        <v>413</v>
      </c>
      <c r="C2084" s="15">
        <v>40</v>
      </c>
      <c r="D2084" s="14">
        <f t="shared" si="214"/>
        <v>40</v>
      </c>
      <c r="E2084" s="74">
        <v>42870</v>
      </c>
      <c r="F2084" s="74"/>
      <c r="G2084" s="74"/>
      <c r="H2084" s="74"/>
      <c r="I2084" s="74"/>
      <c r="J2084" s="51"/>
      <c r="K2084" s="4"/>
      <c r="L2084" s="15"/>
      <c r="M2084" s="14">
        <f>SUM(L2084)</f>
        <v>0</v>
      </c>
      <c r="N2084" s="75"/>
    </row>
    <row r="2085" spans="1:14" x14ac:dyDescent="0.15">
      <c r="B2085" s="71" t="s">
        <v>162</v>
      </c>
      <c r="C2085" s="15">
        <v>27</v>
      </c>
      <c r="D2085" s="14">
        <f t="shared" si="214"/>
        <v>27</v>
      </c>
      <c r="E2085" s="48">
        <v>42864</v>
      </c>
      <c r="F2085" s="48"/>
      <c r="G2085" s="48"/>
      <c r="H2085" s="48"/>
      <c r="I2085" s="48"/>
      <c r="J2085" s="51"/>
      <c r="K2085" s="4"/>
      <c r="L2085" s="15"/>
      <c r="M2085" s="14">
        <f>SUM(L2085)</f>
        <v>0</v>
      </c>
      <c r="N2085" s="74"/>
    </row>
    <row r="2086" spans="1:14" x14ac:dyDescent="0.15">
      <c r="B2086" s="4" t="s">
        <v>318</v>
      </c>
      <c r="C2086" s="15">
        <v>40</v>
      </c>
      <c r="D2086" s="14">
        <f t="shared" si="214"/>
        <v>40</v>
      </c>
      <c r="E2086" s="74">
        <v>42867</v>
      </c>
      <c r="F2086" s="74"/>
      <c r="G2086" s="74"/>
      <c r="H2086" s="74"/>
      <c r="I2086" s="74"/>
      <c r="J2086" s="51"/>
      <c r="K2086" s="4"/>
      <c r="L2086" s="15"/>
      <c r="M2086" s="14">
        <f>SUM(L2086)</f>
        <v>0</v>
      </c>
      <c r="N2086" s="75"/>
    </row>
    <row r="2087" spans="1:14" x14ac:dyDescent="0.15">
      <c r="B2087" s="71" t="s">
        <v>350</v>
      </c>
      <c r="C2087" s="15">
        <v>10</v>
      </c>
      <c r="D2087" s="14">
        <f>SUM(C2087)</f>
        <v>10</v>
      </c>
      <c r="E2087" s="74">
        <v>42866</v>
      </c>
      <c r="F2087" s="74"/>
      <c r="G2087" s="74"/>
      <c r="H2087" s="74"/>
      <c r="I2087" s="74"/>
      <c r="J2087" s="51"/>
      <c r="K2087" s="4"/>
      <c r="L2087" s="15"/>
      <c r="M2087" s="14">
        <f>SUM(L2087)</f>
        <v>0</v>
      </c>
      <c r="N2087" s="75"/>
    </row>
    <row r="2088" spans="1:14" ht="14.25" thickBot="1" x14ac:dyDescent="0.2">
      <c r="B2088" s="71" t="s">
        <v>162</v>
      </c>
      <c r="C2088" s="15">
        <v>23</v>
      </c>
      <c r="D2088" s="14">
        <f>SUM(C2088)</f>
        <v>23</v>
      </c>
      <c r="E2088" s="48">
        <v>42865</v>
      </c>
      <c r="F2088" s="48"/>
      <c r="G2088" s="48"/>
      <c r="H2088" s="48"/>
      <c r="I2088" s="48"/>
      <c r="J2088" s="51"/>
      <c r="K2088" s="4"/>
      <c r="L2088" s="15"/>
      <c r="M2088" s="14">
        <f>SUM(L2088)</f>
        <v>0</v>
      </c>
      <c r="N2088" s="75"/>
    </row>
    <row r="2089" spans="1:14" ht="14.25" thickBot="1" x14ac:dyDescent="0.2">
      <c r="B2089" s="3" t="s">
        <v>5</v>
      </c>
      <c r="C2089" s="16">
        <f>SUM(C2065:C2088)</f>
        <v>543</v>
      </c>
      <c r="D2089" s="17">
        <f>SUM(D2065:D2088)</f>
        <v>543</v>
      </c>
      <c r="K2089" s="3" t="s">
        <v>5</v>
      </c>
      <c r="L2089" s="16">
        <f>SUM(L2065:L2088)</f>
        <v>1200</v>
      </c>
      <c r="M2089" s="17">
        <f>SUM(M2065:M2088)</f>
        <v>1200</v>
      </c>
    </row>
    <row r="2090" spans="1:14" ht="14.25" thickBot="1" x14ac:dyDescent="0.2">
      <c r="B2090" s="18" t="s">
        <v>6</v>
      </c>
      <c r="C2090" s="19">
        <f>C2064-C2089</f>
        <v>263</v>
      </c>
      <c r="D2090" s="13">
        <f>D2064-D2089</f>
        <v>263</v>
      </c>
      <c r="K2090" s="18" t="s">
        <v>6</v>
      </c>
      <c r="L2090" s="19">
        <f>L2064-L2089</f>
        <v>9385</v>
      </c>
      <c r="M2090" s="13">
        <f>M2064-M2089</f>
        <v>9385</v>
      </c>
    </row>
    <row r="2092" spans="1:14" ht="18" thickBot="1" x14ac:dyDescent="0.25">
      <c r="A2092" s="27" t="s">
        <v>8</v>
      </c>
      <c r="B2092" s="28"/>
      <c r="C2092" s="28"/>
      <c r="D2092" s="28"/>
      <c r="J2092" s="139" t="s">
        <v>218</v>
      </c>
      <c r="K2092" s="140"/>
      <c r="L2092" s="140"/>
      <c r="M2092" s="140"/>
    </row>
    <row r="2093" spans="1:14" ht="14.25" thickBot="1" x14ac:dyDescent="0.2">
      <c r="B2093" s="2"/>
      <c r="C2093" s="3" t="s">
        <v>0</v>
      </c>
      <c r="D2093" s="2" t="s">
        <v>1</v>
      </c>
      <c r="K2093" s="2"/>
      <c r="L2093" s="3" t="s">
        <v>0</v>
      </c>
      <c r="M2093" s="2" t="s">
        <v>1</v>
      </c>
    </row>
    <row r="2094" spans="1:14" x14ac:dyDescent="0.15">
      <c r="B2094" s="43" t="s">
        <v>26</v>
      </c>
      <c r="C2094" s="38">
        <f>C2090</f>
        <v>263</v>
      </c>
      <c r="D2094" s="39">
        <f t="shared" ref="D2094:D2104" si="215">SUM(C2094:C2094)</f>
        <v>263</v>
      </c>
      <c r="K2094" s="43" t="s">
        <v>26</v>
      </c>
      <c r="L2094" s="38">
        <f>L2090</f>
        <v>9385</v>
      </c>
      <c r="M2094" s="39">
        <f t="shared" ref="M2094:M2104" si="216">SUM(L2094:L2094)</f>
        <v>9385</v>
      </c>
    </row>
    <row r="2095" spans="1:14" x14ac:dyDescent="0.15">
      <c r="B2095" s="6" t="s">
        <v>3</v>
      </c>
      <c r="C2095" s="7">
        <v>200</v>
      </c>
      <c r="D2095" s="5">
        <f t="shared" si="215"/>
        <v>200</v>
      </c>
      <c r="E2095" s="74">
        <v>42872</v>
      </c>
      <c r="F2095" s="74"/>
      <c r="G2095" s="74"/>
      <c r="H2095" s="74"/>
      <c r="I2095" s="74"/>
      <c r="J2095" s="75"/>
      <c r="K2095" s="6" t="s">
        <v>3</v>
      </c>
      <c r="L2095" s="7"/>
      <c r="M2095" s="5">
        <f t="shared" si="216"/>
        <v>0</v>
      </c>
    </row>
    <row r="2096" spans="1:14" x14ac:dyDescent="0.15">
      <c r="B2096" s="6" t="s">
        <v>3</v>
      </c>
      <c r="C2096" s="7">
        <v>200</v>
      </c>
      <c r="D2096" s="5">
        <f t="shared" si="215"/>
        <v>200</v>
      </c>
      <c r="E2096" s="74">
        <v>42874</v>
      </c>
      <c r="F2096" s="74"/>
      <c r="G2096" s="74"/>
      <c r="H2096" s="74"/>
      <c r="I2096" s="74"/>
      <c r="K2096" s="6" t="s">
        <v>3</v>
      </c>
      <c r="L2096" s="7"/>
      <c r="M2096" s="5">
        <f t="shared" si="216"/>
        <v>0</v>
      </c>
    </row>
    <row r="2097" spans="2:14" x14ac:dyDescent="0.15">
      <c r="B2097" s="6" t="s">
        <v>3</v>
      </c>
      <c r="C2097" s="7">
        <v>200</v>
      </c>
      <c r="D2097" s="5">
        <f t="shared" si="215"/>
        <v>200</v>
      </c>
      <c r="E2097" s="74">
        <v>42875</v>
      </c>
      <c r="F2097" s="74"/>
      <c r="G2097" s="74"/>
      <c r="H2097" s="74"/>
      <c r="I2097" s="74"/>
      <c r="K2097" s="6" t="s">
        <v>3</v>
      </c>
      <c r="L2097" s="7"/>
      <c r="M2097" s="5">
        <f t="shared" si="216"/>
        <v>0</v>
      </c>
    </row>
    <row r="2098" spans="2:14" x14ac:dyDescent="0.15">
      <c r="B2098" s="6" t="s">
        <v>3</v>
      </c>
      <c r="C2098" s="7">
        <v>200</v>
      </c>
      <c r="D2098" s="5">
        <f t="shared" si="215"/>
        <v>200</v>
      </c>
      <c r="E2098" s="74">
        <v>42878</v>
      </c>
      <c r="F2098" s="74"/>
      <c r="G2098" s="74"/>
      <c r="H2098" s="74"/>
      <c r="I2098" s="74"/>
      <c r="K2098" s="6" t="s">
        <v>3</v>
      </c>
      <c r="L2098" s="7"/>
      <c r="M2098" s="5">
        <f t="shared" si="216"/>
        <v>0</v>
      </c>
    </row>
    <row r="2099" spans="2:14" x14ac:dyDescent="0.15">
      <c r="B2099" s="6" t="s">
        <v>3</v>
      </c>
      <c r="C2099" s="7">
        <v>200</v>
      </c>
      <c r="D2099" s="5">
        <f t="shared" si="215"/>
        <v>200</v>
      </c>
      <c r="E2099" s="74">
        <v>42880</v>
      </c>
      <c r="F2099" s="74"/>
      <c r="G2099" s="74"/>
      <c r="H2099" s="74"/>
      <c r="I2099" s="74"/>
      <c r="K2099" s="6" t="s">
        <v>3</v>
      </c>
      <c r="L2099" s="7"/>
      <c r="M2099" s="5">
        <f t="shared" si="216"/>
        <v>0</v>
      </c>
    </row>
    <row r="2100" spans="2:14" x14ac:dyDescent="0.15">
      <c r="B2100" s="6" t="s">
        <v>437</v>
      </c>
      <c r="C2100" s="7">
        <v>1</v>
      </c>
      <c r="D2100" s="5">
        <f t="shared" si="215"/>
        <v>1</v>
      </c>
      <c r="E2100" s="48">
        <v>42881</v>
      </c>
      <c r="F2100" s="48"/>
      <c r="G2100" s="48"/>
      <c r="H2100" s="48"/>
      <c r="I2100" s="48"/>
      <c r="K2100" s="6" t="s">
        <v>3</v>
      </c>
      <c r="L2100" s="7"/>
      <c r="M2100" s="5">
        <f t="shared" si="216"/>
        <v>0</v>
      </c>
    </row>
    <row r="2101" spans="2:14" x14ac:dyDescent="0.15">
      <c r="B2101" s="6" t="s">
        <v>3</v>
      </c>
      <c r="C2101" s="54"/>
      <c r="D2101" s="5">
        <f t="shared" si="215"/>
        <v>0</v>
      </c>
      <c r="K2101" s="6" t="s">
        <v>3</v>
      </c>
      <c r="L2101" s="7"/>
      <c r="M2101" s="5">
        <f t="shared" si="216"/>
        <v>0</v>
      </c>
    </row>
    <row r="2102" spans="2:14" x14ac:dyDescent="0.15">
      <c r="B2102" s="6" t="s">
        <v>3</v>
      </c>
      <c r="C2102" s="54"/>
      <c r="D2102" s="5">
        <f t="shared" si="215"/>
        <v>0</v>
      </c>
      <c r="K2102" s="6" t="s">
        <v>3</v>
      </c>
      <c r="L2102" s="7"/>
      <c r="M2102" s="5">
        <f t="shared" si="216"/>
        <v>0</v>
      </c>
    </row>
    <row r="2103" spans="2:14" x14ac:dyDescent="0.15">
      <c r="B2103" s="6" t="s">
        <v>3</v>
      </c>
      <c r="C2103" s="54"/>
      <c r="D2103" s="5">
        <f t="shared" si="215"/>
        <v>0</v>
      </c>
      <c r="K2103" s="6" t="s">
        <v>3</v>
      </c>
      <c r="L2103" s="7"/>
      <c r="M2103" s="5">
        <f t="shared" si="216"/>
        <v>0</v>
      </c>
    </row>
    <row r="2104" spans="2:14" ht="14.25" thickBot="1" x14ac:dyDescent="0.2">
      <c r="B2104" s="9" t="s">
        <v>3</v>
      </c>
      <c r="C2104" s="101"/>
      <c r="D2104" s="5">
        <f t="shared" si="215"/>
        <v>0</v>
      </c>
      <c r="K2104" s="9" t="s">
        <v>3</v>
      </c>
      <c r="L2104" s="10"/>
      <c r="M2104" s="5">
        <f t="shared" si="216"/>
        <v>0</v>
      </c>
    </row>
    <row r="2105" spans="2:14" ht="14.25" thickBot="1" x14ac:dyDescent="0.2">
      <c r="B2105" s="11" t="s">
        <v>4</v>
      </c>
      <c r="C2105" s="12">
        <f>SUM(C2094:C2104)</f>
        <v>1264</v>
      </c>
      <c r="D2105" s="13">
        <f>SUM(D2094:D2104)</f>
        <v>1264</v>
      </c>
      <c r="K2105" s="11" t="s">
        <v>4</v>
      </c>
      <c r="L2105" s="12">
        <f>SUM(L2094:L2104)</f>
        <v>9385</v>
      </c>
      <c r="M2105" s="13">
        <f>SUM(M2094:M2104)</f>
        <v>9385</v>
      </c>
    </row>
    <row r="2106" spans="2:14" x14ac:dyDescent="0.15">
      <c r="B2106" s="71" t="s">
        <v>162</v>
      </c>
      <c r="C2106" s="15">
        <v>52</v>
      </c>
      <c r="D2106" s="14">
        <f>SUM(C2106)</f>
        <v>52</v>
      </c>
      <c r="E2106" s="74">
        <v>42866</v>
      </c>
      <c r="F2106" s="74"/>
      <c r="G2106" s="74"/>
      <c r="H2106" s="74"/>
      <c r="I2106" s="74"/>
      <c r="K2106" s="4" t="s">
        <v>31</v>
      </c>
      <c r="L2106" s="15">
        <v>200</v>
      </c>
      <c r="M2106" s="14">
        <f>SUM(L2106:L2106)</f>
        <v>200</v>
      </c>
      <c r="N2106" s="74">
        <v>42872</v>
      </c>
    </row>
    <row r="2107" spans="2:14" x14ac:dyDescent="0.15">
      <c r="B2107" s="71" t="s">
        <v>420</v>
      </c>
      <c r="C2107" s="15">
        <v>20</v>
      </c>
      <c r="D2107" s="14">
        <f>SUM(C2107)</f>
        <v>20</v>
      </c>
      <c r="E2107" s="74">
        <v>42868</v>
      </c>
      <c r="F2107" s="74"/>
      <c r="G2107" s="74"/>
      <c r="H2107" s="74"/>
      <c r="I2107" s="74"/>
      <c r="J2107" s="51"/>
      <c r="K2107" s="4" t="s">
        <v>31</v>
      </c>
      <c r="L2107" s="15">
        <v>200</v>
      </c>
      <c r="M2107" s="14">
        <f t="shared" ref="M2107:M2118" si="217">SUM(L2107:L2107)</f>
        <v>200</v>
      </c>
      <c r="N2107" s="74">
        <v>42874</v>
      </c>
    </row>
    <row r="2108" spans="2:14" x14ac:dyDescent="0.15">
      <c r="B2108" s="71" t="s">
        <v>423</v>
      </c>
      <c r="C2108" s="15">
        <v>29</v>
      </c>
      <c r="D2108" s="14">
        <f t="shared" ref="D2108:D2127" si="218">SUM(C2108)</f>
        <v>29</v>
      </c>
      <c r="E2108" s="48">
        <v>42867</v>
      </c>
      <c r="F2108" s="48"/>
      <c r="G2108" s="48"/>
      <c r="H2108" s="48"/>
      <c r="I2108" s="48"/>
      <c r="J2108" s="51"/>
      <c r="K2108" s="4" t="s">
        <v>31</v>
      </c>
      <c r="L2108" s="15">
        <v>200</v>
      </c>
      <c r="M2108" s="14">
        <f t="shared" si="217"/>
        <v>200</v>
      </c>
      <c r="N2108" s="74">
        <v>42875</v>
      </c>
    </row>
    <row r="2109" spans="2:14" x14ac:dyDescent="0.15">
      <c r="B2109" s="167" t="s">
        <v>421</v>
      </c>
      <c r="C2109" s="15">
        <v>3</v>
      </c>
      <c r="D2109" s="14">
        <f t="shared" si="218"/>
        <v>3</v>
      </c>
      <c r="E2109" s="74">
        <v>42872</v>
      </c>
      <c r="F2109" s="74"/>
      <c r="G2109" s="74"/>
      <c r="H2109" s="74"/>
      <c r="I2109" s="74"/>
      <c r="J2109" s="51"/>
      <c r="K2109" s="4" t="s">
        <v>31</v>
      </c>
      <c r="L2109" s="15">
        <v>200</v>
      </c>
      <c r="M2109" s="14">
        <f t="shared" si="217"/>
        <v>200</v>
      </c>
      <c r="N2109" s="74">
        <v>42878</v>
      </c>
    </row>
    <row r="2110" spans="2:14" x14ac:dyDescent="0.15">
      <c r="B2110" s="71" t="s">
        <v>422</v>
      </c>
      <c r="C2110" s="15">
        <v>30</v>
      </c>
      <c r="D2110" s="14">
        <f t="shared" si="218"/>
        <v>30</v>
      </c>
      <c r="E2110" s="74">
        <v>42877</v>
      </c>
      <c r="F2110" s="74"/>
      <c r="G2110" s="74"/>
      <c r="H2110" s="74"/>
      <c r="I2110" s="74"/>
      <c r="J2110" s="51"/>
      <c r="K2110" s="4" t="s">
        <v>31</v>
      </c>
      <c r="L2110" s="15">
        <v>200</v>
      </c>
      <c r="M2110" s="14">
        <f t="shared" si="217"/>
        <v>200</v>
      </c>
      <c r="N2110" s="74">
        <v>42880</v>
      </c>
    </row>
    <row r="2111" spans="2:14" x14ac:dyDescent="0.15">
      <c r="B2111" s="71" t="s">
        <v>350</v>
      </c>
      <c r="C2111" s="15">
        <v>20</v>
      </c>
      <c r="D2111" s="14">
        <f t="shared" si="218"/>
        <v>20</v>
      </c>
      <c r="E2111" s="74">
        <v>42871</v>
      </c>
      <c r="F2111" s="74"/>
      <c r="G2111" s="74"/>
      <c r="H2111" s="74"/>
      <c r="I2111" s="74"/>
      <c r="J2111" s="51"/>
      <c r="K2111" s="4" t="s">
        <v>433</v>
      </c>
      <c r="L2111" s="15">
        <v>150</v>
      </c>
      <c r="M2111" s="14">
        <f t="shared" si="217"/>
        <v>150</v>
      </c>
      <c r="N2111" s="74">
        <v>42881</v>
      </c>
    </row>
    <row r="2112" spans="2:14" x14ac:dyDescent="0.15">
      <c r="B2112" s="71" t="s">
        <v>424</v>
      </c>
      <c r="C2112" s="15">
        <v>72</v>
      </c>
      <c r="D2112" s="14">
        <f t="shared" si="218"/>
        <v>72</v>
      </c>
      <c r="E2112" s="48">
        <v>42870</v>
      </c>
      <c r="F2112" s="48"/>
      <c r="G2112" s="48"/>
      <c r="H2112" s="48"/>
      <c r="I2112" s="48"/>
      <c r="J2112" s="51"/>
      <c r="K2112" s="4" t="s">
        <v>434</v>
      </c>
      <c r="L2112" s="15">
        <v>160</v>
      </c>
      <c r="M2112" s="14">
        <f t="shared" si="217"/>
        <v>160</v>
      </c>
      <c r="N2112" s="74">
        <v>42882</v>
      </c>
    </row>
    <row r="2113" spans="2:14" x14ac:dyDescent="0.15">
      <c r="B2113" s="71" t="s">
        <v>391</v>
      </c>
      <c r="C2113" s="15">
        <v>300</v>
      </c>
      <c r="D2113" s="14">
        <f t="shared" si="218"/>
        <v>300</v>
      </c>
      <c r="E2113" s="74">
        <v>42880</v>
      </c>
      <c r="F2113" s="74"/>
      <c r="G2113" s="74"/>
      <c r="H2113" s="74"/>
      <c r="I2113" s="74"/>
      <c r="J2113" s="51"/>
      <c r="K2113" s="6"/>
      <c r="L2113" s="15"/>
      <c r="M2113" s="14">
        <f t="shared" si="217"/>
        <v>0</v>
      </c>
    </row>
    <row r="2114" spans="2:14" x14ac:dyDescent="0.15">
      <c r="B2114" s="71" t="s">
        <v>162</v>
      </c>
      <c r="C2114" s="15">
        <v>10</v>
      </c>
      <c r="D2114" s="14">
        <f t="shared" si="218"/>
        <v>10</v>
      </c>
      <c r="E2114" s="48">
        <v>42871</v>
      </c>
      <c r="F2114" s="48"/>
      <c r="G2114" s="48"/>
      <c r="H2114" s="48"/>
      <c r="I2114" s="48"/>
      <c r="J2114" s="51"/>
      <c r="K2114" s="4"/>
      <c r="L2114" s="15"/>
      <c r="M2114" s="14">
        <f t="shared" si="217"/>
        <v>0</v>
      </c>
    </row>
    <row r="2115" spans="2:14" x14ac:dyDescent="0.15">
      <c r="B2115" s="71" t="s">
        <v>162</v>
      </c>
      <c r="C2115" s="15">
        <v>37</v>
      </c>
      <c r="D2115" s="14">
        <f t="shared" si="218"/>
        <v>37</v>
      </c>
      <c r="E2115" s="48">
        <v>42872</v>
      </c>
      <c r="F2115" s="48"/>
      <c r="G2115" s="48"/>
      <c r="H2115" s="48"/>
      <c r="I2115" s="48"/>
      <c r="J2115" s="51"/>
      <c r="K2115" s="4"/>
      <c r="L2115" s="15"/>
      <c r="M2115" s="14">
        <f t="shared" si="217"/>
        <v>0</v>
      </c>
    </row>
    <row r="2116" spans="2:14" x14ac:dyDescent="0.15">
      <c r="B2116" s="71" t="s">
        <v>162</v>
      </c>
      <c r="C2116" s="15">
        <v>14</v>
      </c>
      <c r="D2116" s="14">
        <f t="shared" si="218"/>
        <v>14</v>
      </c>
      <c r="E2116" s="48">
        <v>42873</v>
      </c>
      <c r="F2116" s="48"/>
      <c r="G2116" s="48"/>
      <c r="H2116" s="48"/>
      <c r="I2116" s="48"/>
      <c r="J2116" s="51"/>
      <c r="K2116" s="4"/>
      <c r="L2116" s="15"/>
      <c r="M2116" s="14">
        <f t="shared" si="217"/>
        <v>0</v>
      </c>
    </row>
    <row r="2117" spans="2:14" x14ac:dyDescent="0.15">
      <c r="B2117" s="71" t="s">
        <v>425</v>
      </c>
      <c r="C2117" s="15">
        <v>40</v>
      </c>
      <c r="D2117" s="14">
        <f t="shared" si="218"/>
        <v>40</v>
      </c>
      <c r="E2117" s="74">
        <v>42879</v>
      </c>
      <c r="F2117" s="74"/>
      <c r="G2117" s="74"/>
      <c r="H2117" s="74"/>
      <c r="I2117" s="74"/>
      <c r="J2117" s="51"/>
      <c r="K2117" s="4"/>
      <c r="L2117" s="15"/>
      <c r="M2117" s="14">
        <f t="shared" si="217"/>
        <v>0</v>
      </c>
    </row>
    <row r="2118" spans="2:14" x14ac:dyDescent="0.15">
      <c r="B2118" s="71" t="s">
        <v>427</v>
      </c>
      <c r="C2118" s="15">
        <v>30</v>
      </c>
      <c r="D2118" s="14">
        <f t="shared" si="218"/>
        <v>30</v>
      </c>
      <c r="E2118" s="74">
        <v>42875</v>
      </c>
      <c r="F2118" s="74"/>
      <c r="G2118" s="74"/>
      <c r="H2118" s="74"/>
      <c r="I2118" s="74"/>
      <c r="J2118" s="51"/>
      <c r="K2118" s="6"/>
      <c r="L2118" s="15"/>
      <c r="M2118" s="14">
        <f t="shared" si="217"/>
        <v>0</v>
      </c>
      <c r="N2118" s="75"/>
    </row>
    <row r="2119" spans="2:14" x14ac:dyDescent="0.15">
      <c r="B2119" s="71" t="s">
        <v>162</v>
      </c>
      <c r="C2119" s="15">
        <v>22</v>
      </c>
      <c r="D2119" s="14">
        <f t="shared" si="218"/>
        <v>22</v>
      </c>
      <c r="E2119" s="48">
        <v>42874</v>
      </c>
      <c r="F2119" s="48"/>
      <c r="G2119" s="48"/>
      <c r="H2119" s="48"/>
      <c r="I2119" s="48"/>
      <c r="J2119" s="51"/>
      <c r="K2119" s="69"/>
      <c r="L2119" s="15"/>
      <c r="M2119" s="14">
        <f>SUM(L2119)</f>
        <v>0</v>
      </c>
      <c r="N2119" s="75"/>
    </row>
    <row r="2120" spans="2:14" x14ac:dyDescent="0.15">
      <c r="B2120" s="71" t="s">
        <v>429</v>
      </c>
      <c r="C2120" s="15">
        <v>21</v>
      </c>
      <c r="D2120" s="14">
        <f t="shared" si="218"/>
        <v>21</v>
      </c>
      <c r="E2120" s="48">
        <v>42875</v>
      </c>
      <c r="F2120" s="48"/>
      <c r="G2120" s="48"/>
      <c r="H2120" s="48"/>
      <c r="I2120" s="48"/>
      <c r="J2120" s="51"/>
      <c r="K2120" s="67"/>
      <c r="L2120" s="15"/>
      <c r="M2120" s="14">
        <f>SUM(L2120:L2120)</f>
        <v>0</v>
      </c>
      <c r="N2120" s="74"/>
    </row>
    <row r="2121" spans="2:14" x14ac:dyDescent="0.15">
      <c r="B2121" s="4" t="s">
        <v>318</v>
      </c>
      <c r="C2121" s="15">
        <v>20</v>
      </c>
      <c r="D2121" s="14">
        <f t="shared" si="218"/>
        <v>20</v>
      </c>
      <c r="E2121" s="74">
        <v>42879</v>
      </c>
      <c r="F2121" s="74"/>
      <c r="G2121" s="74"/>
      <c r="H2121" s="74"/>
      <c r="I2121" s="74"/>
      <c r="J2121" s="51"/>
      <c r="K2121" s="4"/>
      <c r="L2121" s="15"/>
      <c r="M2121" s="14">
        <f>SUM(L2121:L2121)</f>
        <v>0</v>
      </c>
      <c r="N2121" s="75"/>
    </row>
    <row r="2122" spans="2:14" x14ac:dyDescent="0.15">
      <c r="B2122" s="71" t="s">
        <v>426</v>
      </c>
      <c r="C2122" s="15">
        <v>1</v>
      </c>
      <c r="D2122" s="14">
        <f t="shared" si="218"/>
        <v>1</v>
      </c>
      <c r="E2122" s="74">
        <v>42878</v>
      </c>
      <c r="F2122" s="74"/>
      <c r="G2122" s="74"/>
      <c r="H2122" s="74"/>
      <c r="I2122" s="74"/>
      <c r="J2122" s="51"/>
      <c r="K2122" s="6"/>
      <c r="L2122" s="15"/>
      <c r="M2122" s="14">
        <f>SUM(L2122)</f>
        <v>0</v>
      </c>
      <c r="N2122" s="75"/>
    </row>
    <row r="2123" spans="2:14" x14ac:dyDescent="0.15">
      <c r="B2123" s="71" t="s">
        <v>428</v>
      </c>
      <c r="C2123" s="15">
        <v>30</v>
      </c>
      <c r="D2123" s="14">
        <f t="shared" si="218"/>
        <v>30</v>
      </c>
      <c r="E2123" s="74">
        <v>42878</v>
      </c>
      <c r="F2123" s="74"/>
      <c r="G2123" s="74"/>
      <c r="H2123" s="74"/>
      <c r="I2123" s="74"/>
      <c r="J2123" s="51"/>
      <c r="K2123" s="4"/>
      <c r="L2123" s="15"/>
      <c r="M2123" s="14">
        <f>SUM(L2123:L2123)</f>
        <v>0</v>
      </c>
      <c r="N2123" s="75"/>
    </row>
    <row r="2124" spans="2:14" x14ac:dyDescent="0.15">
      <c r="B2124" s="71" t="s">
        <v>162</v>
      </c>
      <c r="C2124" s="15">
        <v>74</v>
      </c>
      <c r="D2124" s="14">
        <f t="shared" si="218"/>
        <v>74</v>
      </c>
      <c r="E2124" s="48">
        <v>42877</v>
      </c>
      <c r="F2124" s="48"/>
      <c r="G2124" s="48"/>
      <c r="H2124" s="48"/>
      <c r="I2124" s="48"/>
      <c r="J2124" s="51"/>
      <c r="K2124" s="4"/>
      <c r="L2124" s="15"/>
      <c r="M2124" s="14">
        <f>SUM(L2124:L2124)</f>
        <v>0</v>
      </c>
      <c r="N2124" s="74"/>
    </row>
    <row r="2125" spans="2:14" x14ac:dyDescent="0.15">
      <c r="B2125" s="71" t="s">
        <v>430</v>
      </c>
      <c r="C2125" s="15">
        <v>5</v>
      </c>
      <c r="D2125" s="14">
        <f t="shared" si="218"/>
        <v>5</v>
      </c>
      <c r="E2125" s="74">
        <v>42879</v>
      </c>
      <c r="F2125" s="74"/>
      <c r="G2125" s="74"/>
      <c r="H2125" s="74"/>
      <c r="I2125" s="74"/>
      <c r="J2125" s="51"/>
      <c r="K2125" s="4"/>
      <c r="L2125" s="15"/>
      <c r="M2125" s="14">
        <f>SUM(L2125)</f>
        <v>0</v>
      </c>
      <c r="N2125" s="75"/>
    </row>
    <row r="2126" spans="2:14" x14ac:dyDescent="0.15">
      <c r="B2126" s="71" t="s">
        <v>431</v>
      </c>
      <c r="C2126" s="15">
        <v>50</v>
      </c>
      <c r="D2126" s="14">
        <f t="shared" si="218"/>
        <v>50</v>
      </c>
      <c r="E2126" s="74">
        <v>42880</v>
      </c>
      <c r="F2126" s="74"/>
      <c r="G2126" s="74"/>
      <c r="H2126" s="74"/>
      <c r="I2126" s="74"/>
      <c r="J2126" s="51"/>
      <c r="K2126" s="4"/>
      <c r="L2126" s="15"/>
      <c r="M2126" s="14">
        <f>SUM(L2126)</f>
        <v>0</v>
      </c>
      <c r="N2126" s="74"/>
    </row>
    <row r="2127" spans="2:14" x14ac:dyDescent="0.15">
      <c r="B2127" s="71" t="s">
        <v>435</v>
      </c>
      <c r="C2127" s="15">
        <v>51</v>
      </c>
      <c r="D2127" s="14">
        <f t="shared" si="218"/>
        <v>51</v>
      </c>
      <c r="E2127" s="48">
        <v>42879</v>
      </c>
      <c r="F2127" s="48"/>
      <c r="G2127" s="48"/>
      <c r="H2127" s="48"/>
      <c r="I2127" s="48"/>
      <c r="J2127" s="51"/>
      <c r="K2127" s="4"/>
      <c r="L2127" s="15"/>
      <c r="M2127" s="14">
        <f>SUM(L2127)</f>
        <v>0</v>
      </c>
      <c r="N2127" s="75"/>
    </row>
    <row r="2128" spans="2:14" x14ac:dyDescent="0.15">
      <c r="B2128" s="4" t="s">
        <v>432</v>
      </c>
      <c r="C2128" s="15">
        <v>70</v>
      </c>
      <c r="D2128" s="14">
        <f>SUM(C2128)</f>
        <v>70</v>
      </c>
      <c r="E2128" s="74">
        <v>42881</v>
      </c>
      <c r="F2128" s="74"/>
      <c r="G2128" s="74"/>
      <c r="H2128" s="74"/>
      <c r="I2128" s="74"/>
      <c r="J2128" s="36"/>
      <c r="K2128" s="4"/>
      <c r="L2128" s="15"/>
      <c r="M2128" s="14">
        <f>SUM(L2128)</f>
        <v>0</v>
      </c>
      <c r="N2128" s="75"/>
    </row>
    <row r="2129" spans="1:14" ht="14.25" thickBot="1" x14ac:dyDescent="0.2">
      <c r="B2129" s="71" t="s">
        <v>436</v>
      </c>
      <c r="C2129" s="15">
        <v>-1</v>
      </c>
      <c r="D2129" s="14">
        <f>SUM(C2129)</f>
        <v>-1</v>
      </c>
      <c r="E2129" s="48">
        <v>42880</v>
      </c>
      <c r="F2129" s="48"/>
      <c r="G2129" s="48"/>
      <c r="H2129" s="48"/>
      <c r="I2129" s="48"/>
      <c r="J2129" s="51"/>
      <c r="K2129" s="4"/>
      <c r="L2129" s="15"/>
      <c r="M2129" s="14">
        <f>SUM(L2129)</f>
        <v>0</v>
      </c>
      <c r="N2129" s="75"/>
    </row>
    <row r="2130" spans="1:14" ht="14.25" thickBot="1" x14ac:dyDescent="0.2">
      <c r="B2130" s="3" t="s">
        <v>5</v>
      </c>
      <c r="C2130" s="16">
        <f>SUM(C2106:C2129)</f>
        <v>1000</v>
      </c>
      <c r="D2130" s="17">
        <f>SUM(D2106:D2129)</f>
        <v>1000</v>
      </c>
      <c r="K2130" s="3" t="s">
        <v>5</v>
      </c>
      <c r="L2130" s="16">
        <f>SUM(L2106:L2129)</f>
        <v>1310</v>
      </c>
      <c r="M2130" s="17">
        <f>SUM(M2106:M2129)</f>
        <v>1310</v>
      </c>
    </row>
    <row r="2131" spans="1:14" ht="14.25" thickBot="1" x14ac:dyDescent="0.2">
      <c r="B2131" s="18" t="s">
        <v>6</v>
      </c>
      <c r="C2131" s="19">
        <f>C2105-C2130</f>
        <v>264</v>
      </c>
      <c r="D2131" s="13">
        <f>D2105-D2130</f>
        <v>264</v>
      </c>
      <c r="K2131" s="18" t="s">
        <v>6</v>
      </c>
      <c r="L2131" s="19">
        <f>L2105-L2130</f>
        <v>8075</v>
      </c>
      <c r="M2131" s="13">
        <f>M2105-M2130</f>
        <v>8075</v>
      </c>
    </row>
    <row r="2133" spans="1:14" ht="18" thickBot="1" x14ac:dyDescent="0.25">
      <c r="A2133" s="27" t="s">
        <v>8</v>
      </c>
      <c r="B2133" s="28"/>
      <c r="C2133" s="28"/>
      <c r="D2133" s="28"/>
      <c r="J2133" s="139" t="s">
        <v>218</v>
      </c>
      <c r="K2133" s="140"/>
      <c r="L2133" s="140"/>
      <c r="M2133" s="140"/>
    </row>
    <row r="2134" spans="1:14" ht="14.25" thickBot="1" x14ac:dyDescent="0.2">
      <c r="B2134" s="2"/>
      <c r="C2134" s="3" t="s">
        <v>0</v>
      </c>
      <c r="D2134" s="2" t="s">
        <v>1</v>
      </c>
      <c r="K2134" s="2"/>
      <c r="L2134" s="3" t="s">
        <v>0</v>
      </c>
      <c r="M2134" s="2" t="s">
        <v>1</v>
      </c>
    </row>
    <row r="2135" spans="1:14" x14ac:dyDescent="0.15">
      <c r="B2135" s="43" t="s">
        <v>26</v>
      </c>
      <c r="C2135" s="38">
        <f>C2131</f>
        <v>264</v>
      </c>
      <c r="D2135" s="39">
        <f t="shared" ref="D2135:D2145" si="219">SUM(C2135:C2135)</f>
        <v>264</v>
      </c>
      <c r="K2135" s="43" t="s">
        <v>26</v>
      </c>
      <c r="L2135" s="38">
        <f>L2131</f>
        <v>8075</v>
      </c>
      <c r="M2135" s="39">
        <f t="shared" ref="M2135:M2145" si="220">SUM(L2135:L2135)</f>
        <v>8075</v>
      </c>
    </row>
    <row r="2136" spans="1:14" x14ac:dyDescent="0.15">
      <c r="B2136" s="6" t="s">
        <v>3</v>
      </c>
      <c r="C2136" s="7">
        <v>200</v>
      </c>
      <c r="D2136" s="5">
        <f t="shared" si="219"/>
        <v>200</v>
      </c>
      <c r="E2136" s="74">
        <v>42885</v>
      </c>
      <c r="F2136" s="74"/>
      <c r="G2136" s="74"/>
      <c r="H2136" s="74"/>
      <c r="I2136" s="74"/>
      <c r="J2136" s="75"/>
      <c r="K2136" s="6" t="s">
        <v>3</v>
      </c>
      <c r="L2136" s="7"/>
      <c r="M2136" s="5">
        <f t="shared" si="220"/>
        <v>0</v>
      </c>
    </row>
    <row r="2137" spans="1:14" x14ac:dyDescent="0.15">
      <c r="B2137" s="6" t="s">
        <v>71</v>
      </c>
      <c r="C2137" s="7">
        <v>2</v>
      </c>
      <c r="D2137" s="5">
        <f t="shared" si="219"/>
        <v>2</v>
      </c>
      <c r="E2137" s="74">
        <v>42886</v>
      </c>
      <c r="F2137" s="74"/>
      <c r="G2137" s="74"/>
      <c r="H2137" s="74"/>
      <c r="I2137" s="74"/>
      <c r="K2137" s="6" t="s">
        <v>3</v>
      </c>
      <c r="L2137" s="7"/>
      <c r="M2137" s="5">
        <f t="shared" si="220"/>
        <v>0</v>
      </c>
      <c r="N2137" s="74"/>
    </row>
    <row r="2138" spans="1:14" x14ac:dyDescent="0.15">
      <c r="B2138" s="6" t="s">
        <v>3</v>
      </c>
      <c r="C2138" s="7">
        <v>200</v>
      </c>
      <c r="D2138" s="5">
        <f t="shared" si="219"/>
        <v>200</v>
      </c>
      <c r="E2138" s="74">
        <v>42889</v>
      </c>
      <c r="F2138" s="74"/>
      <c r="G2138" s="74"/>
      <c r="H2138" s="74"/>
      <c r="I2138" s="74"/>
      <c r="K2138" s="6" t="s">
        <v>3</v>
      </c>
      <c r="L2138" s="7"/>
      <c r="M2138" s="5">
        <f t="shared" si="220"/>
        <v>0</v>
      </c>
    </row>
    <row r="2139" spans="1:14" x14ac:dyDescent="0.15">
      <c r="B2139" s="6" t="s">
        <v>3</v>
      </c>
      <c r="C2139" s="7">
        <v>200</v>
      </c>
      <c r="D2139" s="5">
        <f t="shared" si="219"/>
        <v>200</v>
      </c>
      <c r="E2139" s="74">
        <v>42893</v>
      </c>
      <c r="F2139" s="74"/>
      <c r="G2139" s="74"/>
      <c r="H2139" s="74"/>
      <c r="I2139" s="74"/>
      <c r="K2139" s="6" t="s">
        <v>3</v>
      </c>
      <c r="L2139" s="7"/>
      <c r="M2139" s="5">
        <f t="shared" si="220"/>
        <v>0</v>
      </c>
    </row>
    <row r="2140" spans="1:14" x14ac:dyDescent="0.15">
      <c r="B2140" s="6" t="s">
        <v>3</v>
      </c>
      <c r="C2140" s="7">
        <v>600</v>
      </c>
      <c r="D2140" s="5">
        <f t="shared" si="219"/>
        <v>600</v>
      </c>
      <c r="E2140" s="74">
        <v>42898</v>
      </c>
      <c r="F2140" s="74"/>
      <c r="G2140" s="74"/>
      <c r="H2140" s="74"/>
      <c r="I2140" s="74"/>
      <c r="K2140" s="6" t="s">
        <v>3</v>
      </c>
      <c r="L2140" s="7"/>
      <c r="M2140" s="5">
        <f t="shared" si="220"/>
        <v>0</v>
      </c>
    </row>
    <row r="2141" spans="1:14" x14ac:dyDescent="0.15">
      <c r="B2141" s="6" t="s">
        <v>3</v>
      </c>
      <c r="C2141" s="7">
        <v>200</v>
      </c>
      <c r="D2141" s="5">
        <f t="shared" si="219"/>
        <v>200</v>
      </c>
      <c r="E2141" s="74">
        <v>42899</v>
      </c>
      <c r="F2141" s="74"/>
      <c r="G2141" s="74"/>
      <c r="H2141" s="74"/>
      <c r="I2141" s="74"/>
      <c r="K2141" s="6" t="s">
        <v>3</v>
      </c>
      <c r="L2141" s="7"/>
      <c r="M2141" s="5">
        <f t="shared" si="220"/>
        <v>0</v>
      </c>
    </row>
    <row r="2142" spans="1:14" x14ac:dyDescent="0.15">
      <c r="B2142" s="6" t="s">
        <v>3</v>
      </c>
      <c r="C2142" s="54"/>
      <c r="D2142" s="5">
        <f t="shared" si="219"/>
        <v>0</v>
      </c>
      <c r="K2142" s="6" t="s">
        <v>3</v>
      </c>
      <c r="L2142" s="7"/>
      <c r="M2142" s="5">
        <f t="shared" si="220"/>
        <v>0</v>
      </c>
    </row>
    <row r="2143" spans="1:14" x14ac:dyDescent="0.15">
      <c r="B2143" s="6" t="s">
        <v>3</v>
      </c>
      <c r="C2143" s="54"/>
      <c r="D2143" s="5">
        <f t="shared" si="219"/>
        <v>0</v>
      </c>
      <c r="K2143" s="6" t="s">
        <v>3</v>
      </c>
      <c r="L2143" s="7"/>
      <c r="M2143" s="5">
        <f t="shared" si="220"/>
        <v>0</v>
      </c>
    </row>
    <row r="2144" spans="1:14" x14ac:dyDescent="0.15">
      <c r="B2144" s="6" t="s">
        <v>3</v>
      </c>
      <c r="C2144" s="54"/>
      <c r="D2144" s="5">
        <f t="shared" si="219"/>
        <v>0</v>
      </c>
      <c r="K2144" s="6" t="s">
        <v>3</v>
      </c>
      <c r="L2144" s="7"/>
      <c r="M2144" s="5">
        <f t="shared" si="220"/>
        <v>0</v>
      </c>
    </row>
    <row r="2145" spans="2:15" ht="14.25" thickBot="1" x14ac:dyDescent="0.2">
      <c r="B2145" s="9" t="s">
        <v>3</v>
      </c>
      <c r="C2145" s="101"/>
      <c r="D2145" s="5">
        <f t="shared" si="219"/>
        <v>0</v>
      </c>
      <c r="K2145" s="9" t="s">
        <v>3</v>
      </c>
      <c r="L2145" s="10"/>
      <c r="M2145" s="5">
        <f t="shared" si="220"/>
        <v>0</v>
      </c>
    </row>
    <row r="2146" spans="2:15" ht="14.25" thickBot="1" x14ac:dyDescent="0.2">
      <c r="B2146" s="11" t="s">
        <v>4</v>
      </c>
      <c r="C2146" s="12">
        <f>SUM(C2135:C2145)</f>
        <v>1666</v>
      </c>
      <c r="D2146" s="13">
        <f>SUM(D2135:D2145)</f>
        <v>1666</v>
      </c>
      <c r="K2146" s="11" t="s">
        <v>4</v>
      </c>
      <c r="L2146" s="12">
        <f>SUM(L2135:L2145)</f>
        <v>8075</v>
      </c>
      <c r="M2146" s="13">
        <f>SUM(M2135:M2145)</f>
        <v>8075</v>
      </c>
    </row>
    <row r="2147" spans="2:15" x14ac:dyDescent="0.15">
      <c r="B2147" s="71" t="s">
        <v>162</v>
      </c>
      <c r="C2147" s="15">
        <v>55</v>
      </c>
      <c r="D2147" s="14">
        <f>SUM(C2147)</f>
        <v>55</v>
      </c>
      <c r="E2147" s="48">
        <v>42879</v>
      </c>
      <c r="F2147" s="48"/>
      <c r="G2147" s="48"/>
      <c r="H2147" s="48"/>
      <c r="I2147" s="48"/>
      <c r="K2147" s="4" t="s">
        <v>31</v>
      </c>
      <c r="L2147" s="15">
        <v>200</v>
      </c>
      <c r="M2147" s="14">
        <f>SUM(L2147:L2147)</f>
        <v>200</v>
      </c>
      <c r="N2147" s="74">
        <v>42885</v>
      </c>
      <c r="O2147" s="75"/>
    </row>
    <row r="2148" spans="2:15" x14ac:dyDescent="0.15">
      <c r="B2148" s="71" t="s">
        <v>162</v>
      </c>
      <c r="C2148" s="15">
        <v>33</v>
      </c>
      <c r="D2148" s="14">
        <f>SUM(C2148)</f>
        <v>33</v>
      </c>
      <c r="E2148" s="48">
        <v>42880</v>
      </c>
      <c r="F2148" s="48"/>
      <c r="G2148" s="48"/>
      <c r="H2148" s="48"/>
      <c r="I2148" s="48"/>
      <c r="J2148" s="51"/>
      <c r="K2148" s="4" t="s">
        <v>439</v>
      </c>
      <c r="L2148" s="15">
        <v>130</v>
      </c>
      <c r="M2148" s="14">
        <f t="shared" ref="M2148:M2159" si="221">SUM(L2148:L2148)</f>
        <v>130</v>
      </c>
      <c r="N2148" s="74">
        <v>42886</v>
      </c>
    </row>
    <row r="2149" spans="2:15" x14ac:dyDescent="0.15">
      <c r="B2149" s="71" t="s">
        <v>162</v>
      </c>
      <c r="C2149" s="15">
        <v>19</v>
      </c>
      <c r="D2149" s="14">
        <f t="shared" ref="D2149:D2168" si="222">SUM(C2149)</f>
        <v>19</v>
      </c>
      <c r="E2149" s="48">
        <v>42881</v>
      </c>
      <c r="F2149" s="48"/>
      <c r="G2149" s="48"/>
      <c r="H2149" s="48"/>
      <c r="I2149" s="48"/>
      <c r="J2149" s="51"/>
      <c r="K2149" s="71" t="s">
        <v>440</v>
      </c>
      <c r="L2149" s="15">
        <v>200</v>
      </c>
      <c r="M2149" s="14">
        <f t="shared" si="221"/>
        <v>200</v>
      </c>
      <c r="N2149" s="74">
        <v>42891</v>
      </c>
    </row>
    <row r="2150" spans="2:15" x14ac:dyDescent="0.15">
      <c r="B2150" s="71" t="s">
        <v>162</v>
      </c>
      <c r="C2150" s="15">
        <v>23</v>
      </c>
      <c r="D2150" s="14">
        <f t="shared" si="222"/>
        <v>23</v>
      </c>
      <c r="E2150" s="74">
        <v>42882</v>
      </c>
      <c r="F2150" s="74"/>
      <c r="G2150" s="74"/>
      <c r="H2150" s="74"/>
      <c r="I2150" s="74"/>
      <c r="J2150" s="51"/>
      <c r="K2150" s="4" t="s">
        <v>31</v>
      </c>
      <c r="L2150" s="15">
        <v>200</v>
      </c>
      <c r="M2150" s="14">
        <f t="shared" si="221"/>
        <v>200</v>
      </c>
      <c r="N2150" s="74">
        <v>42889</v>
      </c>
    </row>
    <row r="2151" spans="2:15" x14ac:dyDescent="0.15">
      <c r="B2151" s="4" t="s">
        <v>438</v>
      </c>
      <c r="C2151" s="15">
        <v>55</v>
      </c>
      <c r="D2151" s="14">
        <f t="shared" si="222"/>
        <v>55</v>
      </c>
      <c r="E2151" s="74">
        <v>42886</v>
      </c>
      <c r="F2151" s="74"/>
      <c r="G2151" s="74"/>
      <c r="H2151" s="74"/>
      <c r="I2151" s="74"/>
      <c r="J2151" s="51"/>
      <c r="K2151" s="4" t="s">
        <v>31</v>
      </c>
      <c r="L2151" s="15">
        <v>200</v>
      </c>
      <c r="M2151" s="14">
        <f t="shared" si="221"/>
        <v>200</v>
      </c>
      <c r="N2151" s="74">
        <v>42893</v>
      </c>
    </row>
    <row r="2152" spans="2:15" x14ac:dyDescent="0.15">
      <c r="B2152" s="71" t="s">
        <v>162</v>
      </c>
      <c r="C2152" s="15">
        <v>66</v>
      </c>
      <c r="D2152" s="14">
        <f t="shared" si="222"/>
        <v>66</v>
      </c>
      <c r="E2152" s="48">
        <v>42884</v>
      </c>
      <c r="F2152" s="48"/>
      <c r="G2152" s="48"/>
      <c r="H2152" s="48"/>
      <c r="I2152" s="48"/>
      <c r="J2152" s="51"/>
      <c r="K2152" s="4" t="s">
        <v>31</v>
      </c>
      <c r="L2152" s="15">
        <v>600</v>
      </c>
      <c r="M2152" s="14">
        <f t="shared" si="221"/>
        <v>600</v>
      </c>
      <c r="N2152" s="74">
        <v>42898</v>
      </c>
    </row>
    <row r="2153" spans="2:15" x14ac:dyDescent="0.15">
      <c r="B2153" s="71" t="s">
        <v>190</v>
      </c>
      <c r="C2153" s="15">
        <v>10</v>
      </c>
      <c r="D2153" s="14">
        <f t="shared" si="222"/>
        <v>10</v>
      </c>
      <c r="E2153" s="48">
        <v>42874</v>
      </c>
      <c r="F2153" s="48"/>
      <c r="G2153" s="48"/>
      <c r="H2153" s="48"/>
      <c r="I2153" s="48"/>
      <c r="J2153" s="51"/>
      <c r="K2153" s="4" t="s">
        <v>31</v>
      </c>
      <c r="L2153" s="15">
        <v>200</v>
      </c>
      <c r="M2153" s="14">
        <f t="shared" si="221"/>
        <v>200</v>
      </c>
      <c r="N2153" s="74">
        <v>42899</v>
      </c>
    </row>
    <row r="2154" spans="2:15" x14ac:dyDescent="0.15">
      <c r="B2154" s="71" t="s">
        <v>162</v>
      </c>
      <c r="C2154" s="15">
        <v>62</v>
      </c>
      <c r="D2154" s="14">
        <f t="shared" si="222"/>
        <v>62</v>
      </c>
      <c r="E2154" s="48">
        <v>42885</v>
      </c>
      <c r="F2154" s="48"/>
      <c r="G2154" s="48"/>
      <c r="H2154" s="48"/>
      <c r="I2154" s="48"/>
      <c r="J2154" s="51"/>
      <c r="K2154" s="6"/>
      <c r="L2154" s="15"/>
      <c r="M2154" s="14">
        <f t="shared" si="221"/>
        <v>0</v>
      </c>
    </row>
    <row r="2155" spans="2:15" x14ac:dyDescent="0.15">
      <c r="B2155" s="71" t="s">
        <v>162</v>
      </c>
      <c r="C2155" s="15">
        <v>35</v>
      </c>
      <c r="D2155" s="14">
        <f t="shared" si="222"/>
        <v>35</v>
      </c>
      <c r="E2155" s="48">
        <v>42886</v>
      </c>
      <c r="F2155" s="48"/>
      <c r="G2155" s="48"/>
      <c r="H2155" s="48"/>
      <c r="I2155" s="48"/>
      <c r="J2155" s="51"/>
      <c r="K2155" s="4"/>
      <c r="L2155" s="15"/>
      <c r="M2155" s="14">
        <f t="shared" si="221"/>
        <v>0</v>
      </c>
    </row>
    <row r="2156" spans="2:15" x14ac:dyDescent="0.15">
      <c r="B2156" s="71" t="s">
        <v>162</v>
      </c>
      <c r="C2156" s="15">
        <v>50</v>
      </c>
      <c r="D2156" s="14">
        <f t="shared" si="222"/>
        <v>50</v>
      </c>
      <c r="E2156" s="48">
        <v>42887</v>
      </c>
      <c r="F2156" s="48"/>
      <c r="G2156" s="48"/>
      <c r="H2156" s="48"/>
      <c r="I2156" s="48"/>
      <c r="J2156" s="51"/>
      <c r="K2156" s="4"/>
      <c r="L2156" s="15"/>
      <c r="M2156" s="14">
        <f t="shared" si="221"/>
        <v>0</v>
      </c>
    </row>
    <row r="2157" spans="2:15" x14ac:dyDescent="0.15">
      <c r="B2157" s="71" t="s">
        <v>162</v>
      </c>
      <c r="C2157" s="15">
        <v>41</v>
      </c>
      <c r="D2157" s="14">
        <f t="shared" si="222"/>
        <v>41</v>
      </c>
      <c r="E2157" s="48">
        <v>42888</v>
      </c>
      <c r="F2157" s="48"/>
      <c r="G2157" s="48"/>
      <c r="H2157" s="48"/>
      <c r="I2157" s="48"/>
      <c r="J2157" s="51"/>
      <c r="K2157" s="4"/>
      <c r="L2157" s="15"/>
      <c r="M2157" s="14">
        <f t="shared" si="221"/>
        <v>0</v>
      </c>
    </row>
    <row r="2158" spans="2:15" x14ac:dyDescent="0.15">
      <c r="B2158" s="71" t="s">
        <v>441</v>
      </c>
      <c r="C2158" s="15">
        <v>5</v>
      </c>
      <c r="D2158" s="14">
        <f t="shared" si="222"/>
        <v>5</v>
      </c>
      <c r="E2158" s="74">
        <v>42893</v>
      </c>
      <c r="F2158" s="74"/>
      <c r="G2158" s="74"/>
      <c r="H2158" s="74"/>
      <c r="I2158" s="74"/>
      <c r="J2158" s="51"/>
      <c r="K2158" s="4"/>
      <c r="L2158" s="15"/>
      <c r="M2158" s="14">
        <f t="shared" si="221"/>
        <v>0</v>
      </c>
    </row>
    <row r="2159" spans="2:15" x14ac:dyDescent="0.15">
      <c r="B2159" s="71" t="s">
        <v>162</v>
      </c>
      <c r="C2159" s="15">
        <v>43</v>
      </c>
      <c r="D2159" s="14">
        <f t="shared" si="222"/>
        <v>43</v>
      </c>
      <c r="E2159" s="48">
        <v>42889</v>
      </c>
      <c r="F2159" s="48"/>
      <c r="G2159" s="48"/>
      <c r="H2159" s="48"/>
      <c r="I2159" s="48"/>
      <c r="J2159" s="51"/>
      <c r="K2159" s="6"/>
      <c r="L2159" s="15"/>
      <c r="M2159" s="14">
        <f t="shared" si="221"/>
        <v>0</v>
      </c>
    </row>
    <row r="2160" spans="2:15" x14ac:dyDescent="0.15">
      <c r="B2160" s="71" t="s">
        <v>162</v>
      </c>
      <c r="C2160" s="15">
        <v>102</v>
      </c>
      <c r="D2160" s="14">
        <f t="shared" si="222"/>
        <v>102</v>
      </c>
      <c r="E2160" s="48">
        <v>42891</v>
      </c>
      <c r="F2160" s="48"/>
      <c r="G2160" s="48"/>
      <c r="H2160" s="48"/>
      <c r="I2160" s="48"/>
      <c r="J2160" s="51"/>
      <c r="K2160" s="4"/>
      <c r="L2160" s="15"/>
      <c r="M2160" s="14">
        <f>SUM(L2160:L2160)</f>
        <v>0</v>
      </c>
      <c r="N2160" s="75"/>
    </row>
    <row r="2161" spans="1:14" x14ac:dyDescent="0.15">
      <c r="B2161" s="71" t="s">
        <v>150</v>
      </c>
      <c r="C2161" s="15">
        <v>6</v>
      </c>
      <c r="D2161" s="14">
        <f t="shared" si="222"/>
        <v>6</v>
      </c>
      <c r="E2161" s="74">
        <v>42894</v>
      </c>
      <c r="F2161" s="74"/>
      <c r="G2161" s="74"/>
      <c r="H2161" s="74"/>
      <c r="I2161" s="74"/>
      <c r="J2161" s="51"/>
      <c r="K2161" s="6"/>
      <c r="L2161" s="15"/>
      <c r="M2161" s="14">
        <f>SUM(L2161)</f>
        <v>0</v>
      </c>
      <c r="N2161" s="75"/>
    </row>
    <row r="2162" spans="1:14" x14ac:dyDescent="0.15">
      <c r="B2162" s="71" t="s">
        <v>442</v>
      </c>
      <c r="C2162" s="15">
        <v>50</v>
      </c>
      <c r="D2162" s="14">
        <f t="shared" si="222"/>
        <v>50</v>
      </c>
      <c r="E2162" s="74">
        <v>42899</v>
      </c>
      <c r="F2162" s="74"/>
      <c r="G2162" s="74"/>
      <c r="H2162" s="74"/>
      <c r="I2162" s="74"/>
      <c r="J2162" s="51"/>
      <c r="K2162" s="4"/>
      <c r="L2162" s="15"/>
      <c r="M2162" s="14">
        <f>SUM(L2162:L2162)</f>
        <v>0</v>
      </c>
      <c r="N2162" s="75"/>
    </row>
    <row r="2163" spans="1:14" x14ac:dyDescent="0.15">
      <c r="B2163" s="71" t="s">
        <v>162</v>
      </c>
      <c r="C2163" s="15">
        <v>44</v>
      </c>
      <c r="D2163" s="14">
        <f t="shared" si="222"/>
        <v>44</v>
      </c>
      <c r="E2163" s="48">
        <v>42892</v>
      </c>
      <c r="F2163" s="48"/>
      <c r="G2163" s="48"/>
      <c r="H2163" s="48"/>
      <c r="I2163" s="48"/>
      <c r="J2163" s="51"/>
      <c r="K2163" s="4"/>
      <c r="L2163" s="15"/>
      <c r="M2163" s="14">
        <f>SUM(L2163:L2163)</f>
        <v>0</v>
      </c>
      <c r="N2163" s="74"/>
    </row>
    <row r="2164" spans="1:14" x14ac:dyDescent="0.15">
      <c r="B2164" s="71" t="s">
        <v>162</v>
      </c>
      <c r="C2164" s="15">
        <v>47</v>
      </c>
      <c r="D2164" s="14">
        <f t="shared" si="222"/>
        <v>47</v>
      </c>
      <c r="E2164" s="48">
        <v>42893</v>
      </c>
      <c r="F2164" s="48"/>
      <c r="G2164" s="48"/>
      <c r="H2164" s="48"/>
      <c r="I2164" s="48"/>
      <c r="J2164" s="51"/>
      <c r="K2164" s="4"/>
      <c r="L2164" s="15"/>
      <c r="M2164" s="14">
        <f>SUM(L2164)</f>
        <v>0</v>
      </c>
      <c r="N2164" s="75"/>
    </row>
    <row r="2165" spans="1:14" x14ac:dyDescent="0.15">
      <c r="B2165" s="71" t="s">
        <v>426</v>
      </c>
      <c r="C2165" s="15">
        <v>1</v>
      </c>
      <c r="D2165" s="14">
        <f t="shared" si="222"/>
        <v>1</v>
      </c>
      <c r="E2165" s="74">
        <v>42895</v>
      </c>
      <c r="F2165" s="74"/>
      <c r="G2165" s="74"/>
      <c r="H2165" s="74"/>
      <c r="I2165" s="74"/>
      <c r="J2165" s="51"/>
      <c r="K2165" s="4"/>
      <c r="L2165" s="15"/>
      <c r="M2165" s="14">
        <f>SUM(L2165:L2165)</f>
        <v>0</v>
      </c>
      <c r="N2165" s="75"/>
    </row>
    <row r="2166" spans="1:14" x14ac:dyDescent="0.15">
      <c r="B2166" s="71" t="s">
        <v>150</v>
      </c>
      <c r="C2166" s="15">
        <v>15</v>
      </c>
      <c r="D2166" s="14">
        <f t="shared" si="222"/>
        <v>15</v>
      </c>
      <c r="E2166" s="74">
        <v>42898</v>
      </c>
      <c r="F2166" s="74"/>
      <c r="G2166" s="74"/>
      <c r="H2166" s="74"/>
      <c r="I2166" s="74"/>
      <c r="J2166" s="51"/>
      <c r="K2166" s="4"/>
      <c r="L2166" s="15"/>
      <c r="M2166" s="14">
        <f>SUM(L2166)</f>
        <v>0</v>
      </c>
      <c r="N2166" s="75"/>
    </row>
    <row r="2167" spans="1:14" x14ac:dyDescent="0.15">
      <c r="B2167" s="71" t="s">
        <v>391</v>
      </c>
      <c r="C2167" s="15">
        <v>400</v>
      </c>
      <c r="D2167" s="14">
        <f t="shared" si="222"/>
        <v>400</v>
      </c>
      <c r="E2167" s="74">
        <v>42902</v>
      </c>
      <c r="F2167" s="74"/>
      <c r="G2167" s="74"/>
      <c r="H2167" s="74"/>
      <c r="I2167" s="74"/>
      <c r="J2167" s="51"/>
      <c r="K2167" s="6"/>
      <c r="L2167" s="15"/>
      <c r="M2167" s="14">
        <f>SUM(L2167)</f>
        <v>0</v>
      </c>
      <c r="N2167" s="75"/>
    </row>
    <row r="2168" spans="1:14" x14ac:dyDescent="0.15">
      <c r="B2168" s="4" t="s">
        <v>318</v>
      </c>
      <c r="C2168" s="15">
        <v>20</v>
      </c>
      <c r="D2168" s="14">
        <f t="shared" si="222"/>
        <v>20</v>
      </c>
      <c r="E2168" s="74">
        <v>42898</v>
      </c>
      <c r="F2168" s="74"/>
      <c r="G2168" s="74"/>
      <c r="H2168" s="74"/>
      <c r="I2168" s="74"/>
      <c r="J2168" s="51"/>
      <c r="K2168" s="4"/>
      <c r="L2168" s="15"/>
      <c r="M2168" s="14">
        <f>SUM(L2168:L2168)</f>
        <v>0</v>
      </c>
      <c r="N2168" s="75"/>
    </row>
    <row r="2169" spans="1:14" x14ac:dyDescent="0.15">
      <c r="B2169" s="71" t="s">
        <v>443</v>
      </c>
      <c r="C2169" s="15">
        <v>10</v>
      </c>
      <c r="D2169" s="14">
        <f>SUM(C2169)</f>
        <v>10</v>
      </c>
      <c r="E2169" s="74">
        <v>42900</v>
      </c>
      <c r="F2169" s="74"/>
      <c r="G2169" s="74"/>
      <c r="H2169" s="74"/>
      <c r="I2169" s="74"/>
      <c r="J2169" s="51"/>
      <c r="K2169" s="4"/>
      <c r="L2169" s="15"/>
      <c r="M2169" s="14">
        <f>SUM(L2169)</f>
        <v>0</v>
      </c>
      <c r="N2169" s="75"/>
    </row>
    <row r="2170" spans="1:14" ht="14.25" thickBot="1" x14ac:dyDescent="0.2">
      <c r="B2170" s="71" t="s">
        <v>162</v>
      </c>
      <c r="C2170" s="15">
        <v>32</v>
      </c>
      <c r="D2170" s="14">
        <f>SUM(C2170)</f>
        <v>32</v>
      </c>
      <c r="E2170" s="48">
        <v>42894</v>
      </c>
      <c r="F2170" s="48"/>
      <c r="G2170" s="48"/>
      <c r="H2170" s="48"/>
      <c r="I2170" s="48"/>
      <c r="J2170" s="51"/>
      <c r="K2170" s="4"/>
      <c r="L2170" s="15"/>
      <c r="M2170" s="14">
        <f>SUM(L2170)</f>
        <v>0</v>
      </c>
      <c r="N2170" s="74"/>
    </row>
    <row r="2171" spans="1:14" ht="14.25" thickBot="1" x14ac:dyDescent="0.2">
      <c r="B2171" s="3" t="s">
        <v>5</v>
      </c>
      <c r="C2171" s="16">
        <f>SUM(C2147:C2170)</f>
        <v>1224</v>
      </c>
      <c r="D2171" s="17">
        <f>SUM(D2147:D2170)</f>
        <v>1224</v>
      </c>
      <c r="K2171" s="3" t="s">
        <v>5</v>
      </c>
      <c r="L2171" s="16">
        <f>SUM(L2147:L2170)</f>
        <v>1730</v>
      </c>
      <c r="M2171" s="17">
        <f>SUM(M2147:M2170)</f>
        <v>1730</v>
      </c>
    </row>
    <row r="2172" spans="1:14" ht="14.25" thickBot="1" x14ac:dyDescent="0.2">
      <c r="B2172" s="18" t="s">
        <v>6</v>
      </c>
      <c r="C2172" s="19">
        <f>C2146-C2171</f>
        <v>442</v>
      </c>
      <c r="D2172" s="13">
        <f>D2146-D2171</f>
        <v>442</v>
      </c>
      <c r="K2172" s="18" t="s">
        <v>6</v>
      </c>
      <c r="L2172" s="19">
        <f>L2146-L2171</f>
        <v>6345</v>
      </c>
      <c r="M2172" s="13">
        <f>M2146-M2171</f>
        <v>6345</v>
      </c>
    </row>
    <row r="2174" spans="1:14" ht="18" thickBot="1" x14ac:dyDescent="0.25">
      <c r="A2174" s="27" t="s">
        <v>8</v>
      </c>
      <c r="B2174" s="28"/>
      <c r="C2174" s="28"/>
      <c r="D2174" s="28"/>
      <c r="J2174" s="139" t="s">
        <v>218</v>
      </c>
      <c r="K2174" s="140"/>
      <c r="L2174" s="140"/>
      <c r="M2174" s="140"/>
    </row>
    <row r="2175" spans="1:14" ht="14.25" thickBot="1" x14ac:dyDescent="0.2">
      <c r="B2175" s="2"/>
      <c r="C2175" s="3" t="s">
        <v>0</v>
      </c>
      <c r="D2175" s="2" t="s">
        <v>1</v>
      </c>
      <c r="K2175" s="2"/>
      <c r="L2175" s="3" t="s">
        <v>0</v>
      </c>
      <c r="M2175" s="2" t="s">
        <v>1</v>
      </c>
    </row>
    <row r="2176" spans="1:14" x14ac:dyDescent="0.15">
      <c r="B2176" s="43" t="s">
        <v>26</v>
      </c>
      <c r="C2176" s="38">
        <f>C2172</f>
        <v>442</v>
      </c>
      <c r="D2176" s="39">
        <f t="shared" ref="D2176:D2186" si="223">SUM(C2176:C2176)</f>
        <v>442</v>
      </c>
      <c r="K2176" s="43" t="s">
        <v>26</v>
      </c>
      <c r="L2176" s="38">
        <f>L2172</f>
        <v>6345</v>
      </c>
      <c r="M2176" s="39">
        <f t="shared" ref="M2176:M2186" si="224">SUM(L2176:L2176)</f>
        <v>6345</v>
      </c>
    </row>
    <row r="2177" spans="2:15" x14ac:dyDescent="0.15">
      <c r="B2177" s="6" t="s">
        <v>3</v>
      </c>
      <c r="C2177" s="7">
        <v>200</v>
      </c>
      <c r="D2177" s="5">
        <f t="shared" si="223"/>
        <v>200</v>
      </c>
      <c r="E2177" s="74">
        <v>42900</v>
      </c>
      <c r="F2177" s="74"/>
      <c r="G2177" s="74"/>
      <c r="H2177" s="74"/>
      <c r="I2177" s="74"/>
      <c r="J2177" s="75"/>
      <c r="K2177" s="6" t="s">
        <v>3</v>
      </c>
      <c r="L2177" s="7"/>
      <c r="M2177" s="5">
        <f t="shared" si="224"/>
        <v>0</v>
      </c>
    </row>
    <row r="2178" spans="2:15" x14ac:dyDescent="0.15">
      <c r="B2178" s="6" t="s">
        <v>64</v>
      </c>
      <c r="C2178" s="7">
        <v>2</v>
      </c>
      <c r="D2178" s="5">
        <f t="shared" si="223"/>
        <v>2</v>
      </c>
      <c r="E2178" s="48">
        <v>42900</v>
      </c>
      <c r="F2178" s="48"/>
      <c r="G2178" s="48"/>
      <c r="H2178" s="48"/>
      <c r="I2178" s="48"/>
      <c r="K2178" s="6" t="s">
        <v>3</v>
      </c>
      <c r="L2178" s="7"/>
      <c r="M2178" s="5">
        <f t="shared" si="224"/>
        <v>0</v>
      </c>
      <c r="N2178" s="74"/>
      <c r="O2178" s="75"/>
    </row>
    <row r="2179" spans="2:15" x14ac:dyDescent="0.15">
      <c r="B2179" s="6" t="s">
        <v>3</v>
      </c>
      <c r="C2179" s="7">
        <v>200</v>
      </c>
      <c r="D2179" s="5">
        <f t="shared" si="223"/>
        <v>200</v>
      </c>
      <c r="E2179" s="74">
        <v>42905</v>
      </c>
      <c r="F2179" s="74"/>
      <c r="G2179" s="74"/>
      <c r="H2179" s="74"/>
      <c r="I2179" s="74"/>
      <c r="K2179" s="6" t="s">
        <v>3</v>
      </c>
      <c r="L2179" s="7"/>
      <c r="M2179" s="5">
        <f t="shared" si="224"/>
        <v>0</v>
      </c>
    </row>
    <row r="2180" spans="2:15" x14ac:dyDescent="0.15">
      <c r="B2180" s="6" t="s">
        <v>3</v>
      </c>
      <c r="C2180" s="7">
        <v>200</v>
      </c>
      <c r="D2180" s="5">
        <f t="shared" si="223"/>
        <v>200</v>
      </c>
      <c r="E2180" s="74">
        <v>42907</v>
      </c>
      <c r="F2180" s="74"/>
      <c r="G2180" s="74"/>
      <c r="H2180" s="74"/>
      <c r="I2180" s="74"/>
      <c r="K2180" s="6" t="s">
        <v>3</v>
      </c>
      <c r="L2180" s="7"/>
      <c r="M2180" s="5">
        <f t="shared" si="224"/>
        <v>0</v>
      </c>
    </row>
    <row r="2181" spans="2:15" x14ac:dyDescent="0.15">
      <c r="B2181" s="6" t="s">
        <v>3</v>
      </c>
      <c r="C2181" s="7">
        <v>200</v>
      </c>
      <c r="D2181" s="5">
        <f t="shared" si="223"/>
        <v>200</v>
      </c>
      <c r="E2181" s="74">
        <v>42910</v>
      </c>
      <c r="F2181" s="74"/>
      <c r="G2181" s="74"/>
      <c r="H2181" s="74"/>
      <c r="I2181" s="74"/>
      <c r="K2181" s="6" t="s">
        <v>3</v>
      </c>
      <c r="L2181" s="7"/>
      <c r="M2181" s="5">
        <f t="shared" si="224"/>
        <v>0</v>
      </c>
    </row>
    <row r="2182" spans="2:15" x14ac:dyDescent="0.15">
      <c r="B2182" s="6" t="s">
        <v>3</v>
      </c>
      <c r="C2182" s="7">
        <v>200</v>
      </c>
      <c r="D2182" s="5">
        <f t="shared" si="223"/>
        <v>200</v>
      </c>
      <c r="E2182" s="74">
        <v>42915</v>
      </c>
      <c r="F2182" s="74"/>
      <c r="G2182" s="74"/>
      <c r="H2182" s="74"/>
      <c r="I2182" s="74"/>
      <c r="J2182" s="75"/>
      <c r="K2182" s="6" t="s">
        <v>3</v>
      </c>
      <c r="L2182" s="7"/>
      <c r="M2182" s="5">
        <f t="shared" si="224"/>
        <v>0</v>
      </c>
    </row>
    <row r="2183" spans="2:15" x14ac:dyDescent="0.15">
      <c r="B2183" s="6" t="s">
        <v>3</v>
      </c>
      <c r="C2183" s="54"/>
      <c r="D2183" s="5">
        <f t="shared" si="223"/>
        <v>0</v>
      </c>
      <c r="K2183" s="6" t="s">
        <v>3</v>
      </c>
      <c r="L2183" s="7"/>
      <c r="M2183" s="5">
        <f t="shared" si="224"/>
        <v>0</v>
      </c>
    </row>
    <row r="2184" spans="2:15" x14ac:dyDescent="0.15">
      <c r="B2184" s="6" t="s">
        <v>3</v>
      </c>
      <c r="C2184" s="54"/>
      <c r="D2184" s="5">
        <f t="shared" si="223"/>
        <v>0</v>
      </c>
      <c r="K2184" s="6" t="s">
        <v>3</v>
      </c>
      <c r="L2184" s="7"/>
      <c r="M2184" s="5">
        <f t="shared" si="224"/>
        <v>0</v>
      </c>
    </row>
    <row r="2185" spans="2:15" x14ac:dyDescent="0.15">
      <c r="B2185" s="6" t="s">
        <v>3</v>
      </c>
      <c r="C2185" s="54"/>
      <c r="D2185" s="5">
        <f t="shared" si="223"/>
        <v>0</v>
      </c>
      <c r="K2185" s="6" t="s">
        <v>3</v>
      </c>
      <c r="L2185" s="7"/>
      <c r="M2185" s="5">
        <f t="shared" si="224"/>
        <v>0</v>
      </c>
    </row>
    <row r="2186" spans="2:15" ht="14.25" thickBot="1" x14ac:dyDescent="0.2">
      <c r="B2186" s="9" t="s">
        <v>3</v>
      </c>
      <c r="C2186" s="101"/>
      <c r="D2186" s="5">
        <f t="shared" si="223"/>
        <v>0</v>
      </c>
      <c r="K2186" s="9" t="s">
        <v>3</v>
      </c>
      <c r="L2186" s="10"/>
      <c r="M2186" s="5">
        <f t="shared" si="224"/>
        <v>0</v>
      </c>
    </row>
    <row r="2187" spans="2:15" ht="14.25" thickBot="1" x14ac:dyDescent="0.2">
      <c r="B2187" s="11" t="s">
        <v>4</v>
      </c>
      <c r="C2187" s="12">
        <f>SUM(C2176:C2186)</f>
        <v>1444</v>
      </c>
      <c r="D2187" s="13">
        <f>SUM(D2176:D2186)</f>
        <v>1444</v>
      </c>
      <c r="K2187" s="11" t="s">
        <v>4</v>
      </c>
      <c r="L2187" s="12">
        <f>SUM(L2176:L2186)</f>
        <v>6345</v>
      </c>
      <c r="M2187" s="13">
        <f>SUM(M2176:M2186)</f>
        <v>6345</v>
      </c>
    </row>
    <row r="2188" spans="2:15" x14ac:dyDescent="0.15">
      <c r="B2188" s="71" t="s">
        <v>162</v>
      </c>
      <c r="C2188" s="15">
        <v>61</v>
      </c>
      <c r="D2188" s="14">
        <f>SUM(C2188)</f>
        <v>61</v>
      </c>
      <c r="E2188" s="48">
        <v>42895</v>
      </c>
      <c r="F2188" s="48"/>
      <c r="G2188" s="48"/>
      <c r="H2188" s="48"/>
      <c r="I2188" s="48"/>
      <c r="K2188" s="4" t="s">
        <v>31</v>
      </c>
      <c r="L2188" s="15">
        <v>200</v>
      </c>
      <c r="M2188" s="14">
        <f>SUM(L2188:L2188)</f>
        <v>200</v>
      </c>
      <c r="N2188" s="74">
        <v>42900</v>
      </c>
    </row>
    <row r="2189" spans="2:15" x14ac:dyDescent="0.15">
      <c r="B2189" s="71" t="s">
        <v>444</v>
      </c>
      <c r="C2189" s="15">
        <v>172</v>
      </c>
      <c r="D2189" s="14">
        <f>SUM(C2189)</f>
        <v>172</v>
      </c>
      <c r="E2189" s="74">
        <v>42900</v>
      </c>
      <c r="F2189" s="74"/>
      <c r="G2189" s="74"/>
      <c r="H2189" s="74"/>
      <c r="I2189" s="74"/>
      <c r="J2189" s="51"/>
      <c r="K2189" s="4" t="s">
        <v>31</v>
      </c>
      <c r="L2189" s="15">
        <v>200</v>
      </c>
      <c r="M2189" s="14">
        <f t="shared" ref="M2189:M2200" si="225">SUM(L2189:L2189)</f>
        <v>200</v>
      </c>
      <c r="N2189" s="74">
        <v>42905</v>
      </c>
    </row>
    <row r="2190" spans="2:15" x14ac:dyDescent="0.15">
      <c r="B2190" s="71" t="s">
        <v>162</v>
      </c>
      <c r="C2190" s="15">
        <v>118</v>
      </c>
      <c r="D2190" s="14">
        <f t="shared" ref="D2190:D2209" si="226">SUM(C2190)</f>
        <v>118</v>
      </c>
      <c r="E2190" s="48">
        <v>42898</v>
      </c>
      <c r="F2190" s="48"/>
      <c r="G2190" s="48"/>
      <c r="H2190" s="48"/>
      <c r="I2190" s="48"/>
      <c r="J2190" s="51"/>
      <c r="K2190" s="4" t="s">
        <v>31</v>
      </c>
      <c r="L2190" s="15">
        <v>200</v>
      </c>
      <c r="M2190" s="14">
        <f t="shared" si="225"/>
        <v>200</v>
      </c>
      <c r="N2190" s="74">
        <v>42907</v>
      </c>
      <c r="O2190" s="75"/>
    </row>
    <row r="2191" spans="2:15" x14ac:dyDescent="0.15">
      <c r="B2191" s="71" t="s">
        <v>162</v>
      </c>
      <c r="C2191" s="15">
        <v>34</v>
      </c>
      <c r="D2191" s="14">
        <f t="shared" si="226"/>
        <v>34</v>
      </c>
      <c r="E2191" s="74">
        <v>42899</v>
      </c>
      <c r="F2191" s="74"/>
      <c r="G2191" s="74"/>
      <c r="H2191" s="74"/>
      <c r="I2191" s="74"/>
      <c r="J2191" s="51"/>
      <c r="K2191" s="4" t="s">
        <v>31</v>
      </c>
      <c r="L2191" s="15">
        <v>200</v>
      </c>
      <c r="M2191" s="14">
        <f t="shared" si="225"/>
        <v>200</v>
      </c>
      <c r="N2191" s="74">
        <v>42910</v>
      </c>
    </row>
    <row r="2192" spans="2:15" x14ac:dyDescent="0.15">
      <c r="B2192" s="71" t="s">
        <v>150</v>
      </c>
      <c r="C2192" s="15">
        <v>6</v>
      </c>
      <c r="D2192" s="14">
        <f t="shared" si="226"/>
        <v>6</v>
      </c>
      <c r="E2192" s="74">
        <v>42902</v>
      </c>
      <c r="F2192" s="74"/>
      <c r="G2192" s="74"/>
      <c r="H2192" s="74"/>
      <c r="I2192" s="74"/>
      <c r="J2192" s="51"/>
      <c r="K2192" s="71" t="s">
        <v>452</v>
      </c>
      <c r="L2192" s="15">
        <v>80</v>
      </c>
      <c r="M2192" s="14">
        <f t="shared" si="225"/>
        <v>80</v>
      </c>
      <c r="N2192" s="74">
        <v>42920</v>
      </c>
      <c r="O2192" s="75"/>
    </row>
    <row r="2193" spans="2:15" x14ac:dyDescent="0.15">
      <c r="B2193" s="71" t="s">
        <v>162</v>
      </c>
      <c r="C2193" s="15">
        <v>44</v>
      </c>
      <c r="D2193" s="14">
        <f t="shared" si="226"/>
        <v>44</v>
      </c>
      <c r="E2193" s="48">
        <v>42900</v>
      </c>
      <c r="F2193" s="48"/>
      <c r="G2193" s="48"/>
      <c r="H2193" s="48"/>
      <c r="I2193" s="48"/>
      <c r="J2193" s="51"/>
      <c r="K2193" s="4" t="s">
        <v>453</v>
      </c>
      <c r="L2193" s="15">
        <v>200</v>
      </c>
      <c r="M2193" s="14">
        <f t="shared" si="225"/>
        <v>200</v>
      </c>
      <c r="N2193" s="74">
        <v>42915</v>
      </c>
      <c r="O2193" s="75"/>
    </row>
    <row r="2194" spans="2:15" x14ac:dyDescent="0.15">
      <c r="B2194" s="71" t="s">
        <v>162</v>
      </c>
      <c r="C2194" s="15">
        <v>31</v>
      </c>
      <c r="D2194" s="14">
        <f t="shared" si="226"/>
        <v>31</v>
      </c>
      <c r="E2194" s="48">
        <v>42901</v>
      </c>
      <c r="F2194" s="48"/>
      <c r="G2194" s="48"/>
      <c r="H2194" s="48"/>
      <c r="I2194" s="48"/>
      <c r="J2194" s="51"/>
      <c r="K2194" s="4"/>
      <c r="L2194" s="15"/>
      <c r="M2194" s="14">
        <f t="shared" si="225"/>
        <v>0</v>
      </c>
    </row>
    <row r="2195" spans="2:15" x14ac:dyDescent="0.15">
      <c r="B2195" s="71" t="s">
        <v>162</v>
      </c>
      <c r="C2195" s="15">
        <v>32</v>
      </c>
      <c r="D2195" s="14">
        <f t="shared" si="226"/>
        <v>32</v>
      </c>
      <c r="E2195" s="48">
        <v>42902</v>
      </c>
      <c r="F2195" s="48"/>
      <c r="G2195" s="48"/>
      <c r="H2195" s="48"/>
      <c r="I2195" s="48"/>
      <c r="J2195" s="51"/>
      <c r="K2195" s="6"/>
      <c r="L2195" s="15"/>
      <c r="M2195" s="14">
        <f t="shared" si="225"/>
        <v>0</v>
      </c>
    </row>
    <row r="2196" spans="2:15" x14ac:dyDescent="0.15">
      <c r="B2196" s="71" t="s">
        <v>446</v>
      </c>
      <c r="C2196" s="15">
        <v>33</v>
      </c>
      <c r="D2196" s="14">
        <f t="shared" si="226"/>
        <v>33</v>
      </c>
      <c r="E2196" s="48">
        <v>42903</v>
      </c>
      <c r="F2196" s="48"/>
      <c r="G2196" s="48"/>
      <c r="H2196" s="48"/>
      <c r="I2196" s="48"/>
      <c r="J2196" s="51"/>
      <c r="K2196" s="4"/>
      <c r="L2196" s="15"/>
      <c r="M2196" s="14">
        <f t="shared" si="225"/>
        <v>0</v>
      </c>
    </row>
    <row r="2197" spans="2:15" x14ac:dyDescent="0.15">
      <c r="B2197" s="71" t="s">
        <v>150</v>
      </c>
      <c r="C2197" s="15">
        <v>10</v>
      </c>
      <c r="D2197" s="14">
        <f t="shared" si="226"/>
        <v>10</v>
      </c>
      <c r="E2197" s="74">
        <v>42907</v>
      </c>
      <c r="F2197" s="74"/>
      <c r="G2197" s="74"/>
      <c r="H2197" s="74"/>
      <c r="I2197" s="74"/>
      <c r="J2197" s="51"/>
      <c r="K2197" s="4"/>
      <c r="L2197" s="15"/>
      <c r="M2197" s="14">
        <f t="shared" si="225"/>
        <v>0</v>
      </c>
    </row>
    <row r="2198" spans="2:15" x14ac:dyDescent="0.15">
      <c r="B2198" s="71" t="s">
        <v>445</v>
      </c>
      <c r="C2198" s="15">
        <v>100</v>
      </c>
      <c r="D2198" s="14">
        <f t="shared" si="226"/>
        <v>100</v>
      </c>
      <c r="E2198" s="74">
        <v>42906</v>
      </c>
      <c r="F2198" s="74"/>
      <c r="G2198" s="74"/>
      <c r="H2198" s="74"/>
      <c r="I2198" s="74"/>
      <c r="J2198" s="51"/>
      <c r="K2198" s="4"/>
      <c r="L2198" s="15"/>
      <c r="M2198" s="14">
        <f t="shared" si="225"/>
        <v>0</v>
      </c>
    </row>
    <row r="2199" spans="2:15" x14ac:dyDescent="0.15">
      <c r="B2199" s="71" t="s">
        <v>447</v>
      </c>
      <c r="C2199" s="15">
        <v>120</v>
      </c>
      <c r="D2199" s="14">
        <f t="shared" si="226"/>
        <v>120</v>
      </c>
      <c r="E2199" s="48">
        <v>42905</v>
      </c>
      <c r="F2199" s="48"/>
      <c r="G2199" s="48"/>
      <c r="H2199" s="48"/>
      <c r="I2199" s="48"/>
      <c r="J2199" s="51"/>
      <c r="K2199" s="4"/>
      <c r="L2199" s="15"/>
      <c r="M2199" s="14">
        <f t="shared" si="225"/>
        <v>0</v>
      </c>
    </row>
    <row r="2200" spans="2:15" x14ac:dyDescent="0.15">
      <c r="B2200" s="71" t="s">
        <v>449</v>
      </c>
      <c r="C2200" s="15">
        <v>49</v>
      </c>
      <c r="D2200" s="14">
        <f t="shared" si="226"/>
        <v>49</v>
      </c>
      <c r="E2200" s="48">
        <v>42906</v>
      </c>
      <c r="F2200" s="48"/>
      <c r="G2200" s="48"/>
      <c r="H2200" s="48"/>
      <c r="I2200" s="48"/>
      <c r="J2200" s="51"/>
      <c r="K2200" s="6"/>
      <c r="L2200" s="15"/>
      <c r="M2200" s="14">
        <f t="shared" si="225"/>
        <v>0</v>
      </c>
    </row>
    <row r="2201" spans="2:15" x14ac:dyDescent="0.15">
      <c r="B2201" s="71" t="s">
        <v>448</v>
      </c>
      <c r="C2201" s="15">
        <v>2</v>
      </c>
      <c r="D2201" s="14">
        <f t="shared" si="226"/>
        <v>2</v>
      </c>
      <c r="E2201" s="74">
        <v>42908</v>
      </c>
      <c r="F2201" s="74"/>
      <c r="G2201" s="74"/>
      <c r="H2201" s="74"/>
      <c r="I2201" s="74"/>
      <c r="J2201" s="51"/>
      <c r="K2201" s="67"/>
      <c r="L2201" s="15"/>
      <c r="M2201" s="14">
        <f>SUM(L2201)</f>
        <v>0</v>
      </c>
      <c r="N2201" s="75"/>
    </row>
    <row r="2202" spans="2:15" x14ac:dyDescent="0.15">
      <c r="B2202" s="71" t="s">
        <v>162</v>
      </c>
      <c r="C2202" s="15">
        <v>37</v>
      </c>
      <c r="D2202" s="14">
        <f t="shared" si="226"/>
        <v>37</v>
      </c>
      <c r="E2202" s="74">
        <v>42907</v>
      </c>
      <c r="F2202" s="74"/>
      <c r="G2202" s="74"/>
      <c r="H2202" s="74"/>
      <c r="I2202" s="74"/>
      <c r="J2202" s="51"/>
      <c r="K2202" s="4"/>
      <c r="L2202" s="15"/>
      <c r="M2202" s="14">
        <f>SUM(L2202:L2202)</f>
        <v>0</v>
      </c>
      <c r="N2202" s="75"/>
    </row>
    <row r="2203" spans="2:15" x14ac:dyDescent="0.15">
      <c r="B2203" s="71" t="s">
        <v>450</v>
      </c>
      <c r="C2203" s="15">
        <v>1</v>
      </c>
      <c r="D2203" s="14">
        <f t="shared" si="226"/>
        <v>1</v>
      </c>
      <c r="E2203" s="74">
        <v>42909</v>
      </c>
      <c r="F2203" s="74"/>
      <c r="G2203" s="74"/>
      <c r="H2203" s="74"/>
      <c r="I2203" s="74"/>
      <c r="J2203" s="51"/>
      <c r="K2203" s="4"/>
      <c r="L2203" s="15"/>
      <c r="M2203" s="14">
        <f>SUM(L2203:L2203)</f>
        <v>0</v>
      </c>
      <c r="N2203" s="75"/>
    </row>
    <row r="2204" spans="2:15" x14ac:dyDescent="0.15">
      <c r="B2204" s="71" t="s">
        <v>451</v>
      </c>
      <c r="C2204" s="15">
        <v>2</v>
      </c>
      <c r="D2204" s="14">
        <f t="shared" si="226"/>
        <v>2</v>
      </c>
      <c r="E2204" s="74">
        <v>42908</v>
      </c>
      <c r="F2204" s="74"/>
      <c r="G2204" s="74"/>
      <c r="H2204" s="74"/>
      <c r="I2204" s="74"/>
      <c r="J2204" s="51"/>
      <c r="K2204" s="4"/>
      <c r="L2204" s="15"/>
      <c r="M2204" s="14">
        <f>SUM(L2204)</f>
        <v>0</v>
      </c>
      <c r="N2204" s="75"/>
    </row>
    <row r="2205" spans="2:15" x14ac:dyDescent="0.15">
      <c r="B2205" s="71" t="s">
        <v>162</v>
      </c>
      <c r="C2205" s="15">
        <v>36</v>
      </c>
      <c r="D2205" s="14">
        <f t="shared" si="226"/>
        <v>36</v>
      </c>
      <c r="E2205" s="48">
        <v>42908</v>
      </c>
      <c r="F2205" s="48"/>
      <c r="G2205" s="48"/>
      <c r="H2205" s="48"/>
      <c r="I2205" s="48"/>
      <c r="J2205" s="51"/>
      <c r="K2205" s="4"/>
      <c r="L2205" s="15"/>
      <c r="M2205" s="14">
        <f>SUM(L2205:L2205)</f>
        <v>0</v>
      </c>
      <c r="N2205" s="75"/>
    </row>
    <row r="2206" spans="2:15" x14ac:dyDescent="0.15">
      <c r="B2206" s="71" t="s">
        <v>162</v>
      </c>
      <c r="C2206" s="15">
        <v>43</v>
      </c>
      <c r="D2206" s="14">
        <f t="shared" si="226"/>
        <v>43</v>
      </c>
      <c r="E2206" s="48">
        <v>42909</v>
      </c>
      <c r="F2206" s="48"/>
      <c r="G2206" s="48"/>
      <c r="H2206" s="48"/>
      <c r="I2206" s="48"/>
      <c r="J2206" s="51"/>
      <c r="K2206" s="4"/>
      <c r="L2206" s="15"/>
      <c r="M2206" s="14">
        <f>SUM(L2206)</f>
        <v>0</v>
      </c>
      <c r="N2206" s="75"/>
    </row>
    <row r="2207" spans="2:15" x14ac:dyDescent="0.15">
      <c r="B2207" s="71" t="s">
        <v>162</v>
      </c>
      <c r="C2207" s="15">
        <v>41</v>
      </c>
      <c r="D2207" s="14">
        <f t="shared" si="226"/>
        <v>41</v>
      </c>
      <c r="E2207" s="48">
        <v>42910</v>
      </c>
      <c r="F2207" s="48"/>
      <c r="G2207" s="48"/>
      <c r="H2207" s="48"/>
      <c r="I2207" s="48"/>
      <c r="J2207" s="51"/>
      <c r="K2207" s="6"/>
      <c r="L2207" s="15"/>
      <c r="M2207" s="14">
        <f>SUM(L2207)</f>
        <v>0</v>
      </c>
      <c r="N2207" s="75"/>
    </row>
    <row r="2208" spans="2:15" x14ac:dyDescent="0.15">
      <c r="B2208" s="71" t="s">
        <v>162</v>
      </c>
      <c r="C2208" s="15">
        <v>103</v>
      </c>
      <c r="D2208" s="14">
        <f t="shared" si="226"/>
        <v>103</v>
      </c>
      <c r="E2208" s="48">
        <v>42912</v>
      </c>
      <c r="F2208" s="48"/>
      <c r="G2208" s="48"/>
      <c r="H2208" s="48"/>
      <c r="I2208" s="48"/>
      <c r="J2208" s="51"/>
      <c r="K2208" s="4"/>
      <c r="L2208" s="15"/>
      <c r="M2208" s="14">
        <f>SUM(L2208:L2208)</f>
        <v>0</v>
      </c>
      <c r="N2208" s="75"/>
    </row>
    <row r="2209" spans="1:14" x14ac:dyDescent="0.15">
      <c r="B2209" s="71" t="s">
        <v>454</v>
      </c>
      <c r="C2209" s="15">
        <v>36</v>
      </c>
      <c r="D2209" s="14">
        <f t="shared" si="226"/>
        <v>36</v>
      </c>
      <c r="E2209" s="48">
        <v>42913</v>
      </c>
      <c r="F2209" s="48"/>
      <c r="G2209" s="48"/>
      <c r="H2209" s="48"/>
      <c r="I2209" s="48"/>
      <c r="J2209" s="51"/>
      <c r="K2209" s="4"/>
      <c r="L2209" s="15"/>
      <c r="M2209" s="14">
        <f>SUM(L2209)</f>
        <v>0</v>
      </c>
      <c r="N2209" s="75"/>
    </row>
    <row r="2210" spans="1:14" x14ac:dyDescent="0.15">
      <c r="B2210" s="71" t="s">
        <v>150</v>
      </c>
      <c r="C2210" s="15">
        <v>15</v>
      </c>
      <c r="D2210" s="14">
        <f>SUM(C2210)</f>
        <v>15</v>
      </c>
      <c r="E2210" s="74">
        <v>42916</v>
      </c>
      <c r="F2210" s="74"/>
      <c r="G2210" s="74"/>
      <c r="H2210" s="74"/>
      <c r="I2210" s="74"/>
      <c r="J2210" s="51"/>
      <c r="K2210" s="4"/>
      <c r="L2210" s="15"/>
      <c r="M2210" s="14">
        <f>SUM(L2210)</f>
        <v>0</v>
      </c>
      <c r="N2210" s="74"/>
    </row>
    <row r="2211" spans="1:14" ht="14.25" thickBot="1" x14ac:dyDescent="0.2">
      <c r="B2211" s="71" t="s">
        <v>455</v>
      </c>
      <c r="C2211" s="15">
        <v>29</v>
      </c>
      <c r="D2211" s="14">
        <f>SUM(C2211)</f>
        <v>29</v>
      </c>
      <c r="E2211" s="48">
        <v>42914</v>
      </c>
      <c r="F2211" s="48"/>
      <c r="G2211" s="48"/>
      <c r="H2211" s="48"/>
      <c r="I2211" s="48"/>
      <c r="J2211" s="51"/>
      <c r="K2211" s="69"/>
      <c r="L2211" s="15"/>
      <c r="M2211" s="14">
        <f>SUM(L2211)</f>
        <v>0</v>
      </c>
      <c r="N2211" s="75"/>
    </row>
    <row r="2212" spans="1:14" ht="14.25" thickBot="1" x14ac:dyDescent="0.2">
      <c r="B2212" s="3" t="s">
        <v>5</v>
      </c>
      <c r="C2212" s="16">
        <f>SUM(C2188:C2211)</f>
        <v>1155</v>
      </c>
      <c r="D2212" s="17">
        <f>SUM(D2188:D2211)</f>
        <v>1155</v>
      </c>
      <c r="K2212" s="3" t="s">
        <v>5</v>
      </c>
      <c r="L2212" s="16">
        <f>SUM(L2188:L2211)</f>
        <v>1080</v>
      </c>
      <c r="M2212" s="17">
        <f>SUM(M2188:M2211)</f>
        <v>1080</v>
      </c>
    </row>
    <row r="2213" spans="1:14" ht="14.25" thickBot="1" x14ac:dyDescent="0.2">
      <c r="B2213" s="18" t="s">
        <v>6</v>
      </c>
      <c r="C2213" s="19">
        <f>C2187-C2212</f>
        <v>289</v>
      </c>
      <c r="D2213" s="13">
        <f>D2187-D2212</f>
        <v>289</v>
      </c>
      <c r="K2213" s="18" t="s">
        <v>6</v>
      </c>
      <c r="L2213" s="19">
        <f>L2187-L2212</f>
        <v>5265</v>
      </c>
      <c r="M2213" s="13">
        <f>M2187-M2212</f>
        <v>5265</v>
      </c>
    </row>
    <row r="2215" spans="1:14" ht="18" thickBot="1" x14ac:dyDescent="0.25">
      <c r="A2215" s="27" t="s">
        <v>8</v>
      </c>
      <c r="B2215" s="28"/>
      <c r="C2215" s="28"/>
      <c r="D2215" s="28"/>
      <c r="J2215" s="139" t="s">
        <v>218</v>
      </c>
      <c r="K2215" s="140"/>
      <c r="L2215" s="140"/>
      <c r="M2215" s="140"/>
    </row>
    <row r="2216" spans="1:14" ht="14.25" thickBot="1" x14ac:dyDescent="0.2">
      <c r="B2216" s="2"/>
      <c r="C2216" s="3" t="s">
        <v>0</v>
      </c>
      <c r="D2216" s="2" t="s">
        <v>1</v>
      </c>
      <c r="K2216" s="2"/>
      <c r="L2216" s="3" t="s">
        <v>0</v>
      </c>
      <c r="M2216" s="2" t="s">
        <v>1</v>
      </c>
    </row>
    <row r="2217" spans="1:14" x14ac:dyDescent="0.15">
      <c r="B2217" s="43" t="s">
        <v>26</v>
      </c>
      <c r="C2217" s="38">
        <f>C2213</f>
        <v>289</v>
      </c>
      <c r="D2217" s="39">
        <f t="shared" ref="D2217:D2227" si="227">SUM(C2217:C2217)</f>
        <v>289</v>
      </c>
      <c r="K2217" s="43" t="s">
        <v>26</v>
      </c>
      <c r="L2217" s="38">
        <f>L2213</f>
        <v>5265</v>
      </c>
      <c r="M2217" s="39">
        <f t="shared" ref="M2217:M2227" si="228">SUM(L2217:L2217)</f>
        <v>5265</v>
      </c>
    </row>
    <row r="2218" spans="1:14" x14ac:dyDescent="0.15">
      <c r="B2218" s="6" t="s">
        <v>3</v>
      </c>
      <c r="C2218" s="7">
        <v>200</v>
      </c>
      <c r="D2218" s="5">
        <f t="shared" si="227"/>
        <v>200</v>
      </c>
      <c r="E2218" s="74">
        <v>42920</v>
      </c>
      <c r="F2218" s="74"/>
      <c r="G2218" s="74"/>
      <c r="H2218" s="74"/>
      <c r="I2218" s="74"/>
      <c r="J2218" s="75"/>
      <c r="K2218" s="6" t="s">
        <v>3</v>
      </c>
      <c r="L2218" s="7"/>
      <c r="M2218" s="5">
        <f t="shared" si="228"/>
        <v>0</v>
      </c>
    </row>
    <row r="2219" spans="1:14" x14ac:dyDescent="0.15">
      <c r="B2219" s="6" t="s">
        <v>3</v>
      </c>
      <c r="C2219" s="7">
        <v>200</v>
      </c>
      <c r="D2219" s="5">
        <f t="shared" si="227"/>
        <v>200</v>
      </c>
      <c r="E2219" s="74">
        <v>42926</v>
      </c>
      <c r="F2219" s="74"/>
      <c r="G2219" s="74"/>
      <c r="H2219" s="74"/>
      <c r="I2219" s="74"/>
      <c r="K2219" s="6" t="s">
        <v>3</v>
      </c>
      <c r="L2219" s="7">
        <v>2000</v>
      </c>
      <c r="M2219" s="5">
        <f t="shared" si="228"/>
        <v>2000</v>
      </c>
      <c r="N2219" s="74">
        <v>42926</v>
      </c>
    </row>
    <row r="2220" spans="1:14" x14ac:dyDescent="0.15">
      <c r="B2220" s="6" t="s">
        <v>3</v>
      </c>
      <c r="C2220" s="7">
        <v>200</v>
      </c>
      <c r="D2220" s="5">
        <f t="shared" si="227"/>
        <v>200</v>
      </c>
      <c r="E2220" s="74">
        <v>42927</v>
      </c>
      <c r="F2220" s="74"/>
      <c r="G2220" s="74"/>
      <c r="H2220" s="74"/>
      <c r="I2220" s="74"/>
      <c r="K2220" s="6" t="s">
        <v>3</v>
      </c>
      <c r="L2220" s="7"/>
      <c r="M2220" s="5">
        <f t="shared" si="228"/>
        <v>0</v>
      </c>
    </row>
    <row r="2221" spans="1:14" x14ac:dyDescent="0.15">
      <c r="B2221" s="6" t="s">
        <v>3</v>
      </c>
      <c r="C2221" s="7">
        <v>200</v>
      </c>
      <c r="D2221" s="5">
        <f t="shared" si="227"/>
        <v>200</v>
      </c>
      <c r="E2221" s="74">
        <v>42928</v>
      </c>
      <c r="F2221" s="74"/>
      <c r="G2221" s="74"/>
      <c r="H2221" s="74"/>
      <c r="I2221" s="74"/>
      <c r="K2221" s="6" t="s">
        <v>3</v>
      </c>
      <c r="L2221" s="7"/>
      <c r="M2221" s="5">
        <f t="shared" si="228"/>
        <v>0</v>
      </c>
    </row>
    <row r="2222" spans="1:14" x14ac:dyDescent="0.15">
      <c r="B2222" s="6" t="s">
        <v>3</v>
      </c>
      <c r="C2222" s="7">
        <v>200</v>
      </c>
      <c r="D2222" s="5">
        <f t="shared" si="227"/>
        <v>200</v>
      </c>
      <c r="E2222" s="74">
        <v>42929</v>
      </c>
      <c r="F2222" s="74"/>
      <c r="G2222" s="74"/>
      <c r="H2222" s="74"/>
      <c r="I2222" s="74"/>
      <c r="K2222" s="6" t="s">
        <v>3</v>
      </c>
      <c r="L2222" s="7"/>
      <c r="M2222" s="5">
        <f t="shared" si="228"/>
        <v>0</v>
      </c>
    </row>
    <row r="2223" spans="1:14" x14ac:dyDescent="0.15">
      <c r="B2223" s="6" t="s">
        <v>3</v>
      </c>
      <c r="C2223" s="7">
        <v>400</v>
      </c>
      <c r="D2223" s="5">
        <f t="shared" si="227"/>
        <v>400</v>
      </c>
      <c r="E2223" s="74">
        <v>42931</v>
      </c>
      <c r="F2223" s="74"/>
      <c r="G2223" s="74"/>
      <c r="H2223" s="74"/>
      <c r="I2223" s="74"/>
      <c r="K2223" s="6" t="s">
        <v>3</v>
      </c>
      <c r="L2223" s="7"/>
      <c r="M2223" s="5">
        <f t="shared" si="228"/>
        <v>0</v>
      </c>
    </row>
    <row r="2224" spans="1:14" x14ac:dyDescent="0.15">
      <c r="B2224" s="6" t="s">
        <v>3</v>
      </c>
      <c r="C2224" s="54"/>
      <c r="D2224" s="5">
        <f t="shared" si="227"/>
        <v>0</v>
      </c>
      <c r="K2224" s="6" t="s">
        <v>3</v>
      </c>
      <c r="L2224" s="7"/>
      <c r="M2224" s="5">
        <f t="shared" si="228"/>
        <v>0</v>
      </c>
    </row>
    <row r="2225" spans="2:14" x14ac:dyDescent="0.15">
      <c r="B2225" s="6" t="s">
        <v>3</v>
      </c>
      <c r="C2225" s="54"/>
      <c r="D2225" s="5">
        <f t="shared" si="227"/>
        <v>0</v>
      </c>
      <c r="K2225" s="6" t="s">
        <v>3</v>
      </c>
      <c r="L2225" s="7"/>
      <c r="M2225" s="5">
        <f t="shared" si="228"/>
        <v>0</v>
      </c>
    </row>
    <row r="2226" spans="2:14" x14ac:dyDescent="0.15">
      <c r="B2226" s="6" t="s">
        <v>3</v>
      </c>
      <c r="C2226" s="54"/>
      <c r="D2226" s="5">
        <f t="shared" si="227"/>
        <v>0</v>
      </c>
      <c r="K2226" s="6" t="s">
        <v>3</v>
      </c>
      <c r="L2226" s="7"/>
      <c r="M2226" s="5">
        <f t="shared" si="228"/>
        <v>0</v>
      </c>
    </row>
    <row r="2227" spans="2:14" ht="14.25" thickBot="1" x14ac:dyDescent="0.2">
      <c r="B2227" s="9" t="s">
        <v>3</v>
      </c>
      <c r="C2227" s="101"/>
      <c r="D2227" s="5">
        <f t="shared" si="227"/>
        <v>0</v>
      </c>
      <c r="K2227" s="9" t="s">
        <v>3</v>
      </c>
      <c r="L2227" s="10"/>
      <c r="M2227" s="5">
        <f t="shared" si="228"/>
        <v>0</v>
      </c>
    </row>
    <row r="2228" spans="2:14" ht="14.25" thickBot="1" x14ac:dyDescent="0.2">
      <c r="B2228" s="11" t="s">
        <v>4</v>
      </c>
      <c r="C2228" s="12">
        <f>SUM(C2217:C2227)</f>
        <v>1689</v>
      </c>
      <c r="D2228" s="13">
        <f>SUM(D2217:D2227)</f>
        <v>1689</v>
      </c>
      <c r="K2228" s="11" t="s">
        <v>4</v>
      </c>
      <c r="L2228" s="12">
        <f>SUM(L2217:L2227)</f>
        <v>7265</v>
      </c>
      <c r="M2228" s="13">
        <f>SUM(M2217:M2227)</f>
        <v>7265</v>
      </c>
    </row>
    <row r="2229" spans="2:14" x14ac:dyDescent="0.15">
      <c r="B2229" s="71" t="s">
        <v>162</v>
      </c>
      <c r="C2229" s="15">
        <v>27</v>
      </c>
      <c r="D2229" s="14">
        <f>SUM(C2229)</f>
        <v>27</v>
      </c>
      <c r="E2229" s="48">
        <v>42915</v>
      </c>
      <c r="F2229" s="48"/>
      <c r="G2229" s="48"/>
      <c r="H2229" s="48"/>
      <c r="I2229" s="48"/>
      <c r="K2229" s="4" t="s">
        <v>37</v>
      </c>
      <c r="L2229" s="15">
        <v>200</v>
      </c>
      <c r="M2229" s="14">
        <f>SUM(L2229:L2229)</f>
        <v>200</v>
      </c>
      <c r="N2229" s="74">
        <v>42920</v>
      </c>
    </row>
    <row r="2230" spans="2:14" x14ac:dyDescent="0.15">
      <c r="B2230" s="71" t="s">
        <v>162</v>
      </c>
      <c r="C2230" s="15">
        <v>26</v>
      </c>
      <c r="D2230" s="14">
        <f>SUM(C2230)</f>
        <v>26</v>
      </c>
      <c r="E2230" s="48">
        <v>42916</v>
      </c>
      <c r="F2230" s="48"/>
      <c r="G2230" s="48"/>
      <c r="H2230" s="48"/>
      <c r="I2230" s="48"/>
      <c r="J2230" s="51"/>
      <c r="K2230" s="4" t="s">
        <v>37</v>
      </c>
      <c r="L2230" s="15">
        <v>200</v>
      </c>
      <c r="M2230" s="14">
        <f t="shared" ref="M2230:M2241" si="229">SUM(L2230:L2230)</f>
        <v>200</v>
      </c>
      <c r="N2230" s="74">
        <v>42926</v>
      </c>
    </row>
    <row r="2231" spans="2:14" x14ac:dyDescent="0.15">
      <c r="B2231" s="71" t="s">
        <v>162</v>
      </c>
      <c r="C2231" s="15">
        <v>19</v>
      </c>
      <c r="D2231" s="14">
        <f t="shared" ref="D2231:D2250" si="230">SUM(C2231)</f>
        <v>19</v>
      </c>
      <c r="E2231" s="48">
        <v>42917</v>
      </c>
      <c r="F2231" s="48"/>
      <c r="G2231" s="48"/>
      <c r="H2231" s="48"/>
      <c r="I2231" s="48"/>
      <c r="J2231" s="51"/>
      <c r="K2231" s="4" t="s">
        <v>37</v>
      </c>
      <c r="L2231" s="15">
        <v>200</v>
      </c>
      <c r="M2231" s="14">
        <f t="shared" si="229"/>
        <v>200</v>
      </c>
      <c r="N2231" s="74">
        <v>42927</v>
      </c>
    </row>
    <row r="2232" spans="2:14" x14ac:dyDescent="0.15">
      <c r="B2232" s="71" t="s">
        <v>162</v>
      </c>
      <c r="C2232" s="15">
        <v>112</v>
      </c>
      <c r="D2232" s="14">
        <f t="shared" si="230"/>
        <v>112</v>
      </c>
      <c r="E2232" s="48">
        <v>42919</v>
      </c>
      <c r="F2232" s="48"/>
      <c r="G2232" s="48"/>
      <c r="H2232" s="48"/>
      <c r="I2232" s="48"/>
      <c r="J2232" s="51"/>
      <c r="K2232" s="4" t="s">
        <v>37</v>
      </c>
      <c r="L2232" s="15">
        <v>200</v>
      </c>
      <c r="M2232" s="14">
        <f t="shared" si="229"/>
        <v>200</v>
      </c>
      <c r="N2232" s="74">
        <v>42928</v>
      </c>
    </row>
    <row r="2233" spans="2:14" x14ac:dyDescent="0.15">
      <c r="B2233" s="71" t="s">
        <v>162</v>
      </c>
      <c r="C2233" s="15">
        <v>79</v>
      </c>
      <c r="D2233" s="14">
        <f t="shared" si="230"/>
        <v>79</v>
      </c>
      <c r="E2233" s="74">
        <v>42920</v>
      </c>
      <c r="F2233" s="74"/>
      <c r="G2233" s="74"/>
      <c r="H2233" s="74"/>
      <c r="I2233" s="74"/>
      <c r="J2233" s="51"/>
      <c r="K2233" s="4" t="s">
        <v>37</v>
      </c>
      <c r="L2233" s="15">
        <v>200</v>
      </c>
      <c r="M2233" s="14">
        <f t="shared" si="229"/>
        <v>200</v>
      </c>
      <c r="N2233" s="74">
        <v>42929</v>
      </c>
    </row>
    <row r="2234" spans="2:14" x14ac:dyDescent="0.15">
      <c r="B2234" s="71" t="s">
        <v>456</v>
      </c>
      <c r="C2234" s="15">
        <v>40</v>
      </c>
      <c r="D2234" s="14">
        <f t="shared" si="230"/>
        <v>40</v>
      </c>
      <c r="E2234" s="74">
        <v>42928</v>
      </c>
      <c r="F2234" s="74"/>
      <c r="G2234" s="74"/>
      <c r="H2234" s="74"/>
      <c r="I2234" s="74"/>
      <c r="J2234" s="51"/>
      <c r="K2234" s="4" t="s">
        <v>37</v>
      </c>
      <c r="L2234" s="15">
        <v>400</v>
      </c>
      <c r="M2234" s="14">
        <f t="shared" si="229"/>
        <v>400</v>
      </c>
      <c r="N2234" s="74">
        <v>42931</v>
      </c>
    </row>
    <row r="2235" spans="2:14" x14ac:dyDescent="0.15">
      <c r="B2235" s="71" t="s">
        <v>162</v>
      </c>
      <c r="C2235" s="15">
        <v>36</v>
      </c>
      <c r="D2235" s="14">
        <f t="shared" si="230"/>
        <v>36</v>
      </c>
      <c r="E2235" s="48">
        <v>42921</v>
      </c>
      <c r="F2235" s="48"/>
      <c r="G2235" s="48"/>
      <c r="H2235" s="48"/>
      <c r="I2235" s="48"/>
      <c r="J2235" s="51"/>
      <c r="K2235" s="4"/>
      <c r="L2235" s="15"/>
      <c r="M2235" s="14">
        <f t="shared" si="229"/>
        <v>0</v>
      </c>
    </row>
    <row r="2236" spans="2:14" x14ac:dyDescent="0.15">
      <c r="B2236" s="71" t="s">
        <v>461</v>
      </c>
      <c r="C2236" s="15">
        <v>58</v>
      </c>
      <c r="D2236" s="14">
        <f t="shared" si="230"/>
        <v>58</v>
      </c>
      <c r="E2236" s="48">
        <v>42922</v>
      </c>
      <c r="F2236" s="48"/>
      <c r="G2236" s="48"/>
      <c r="H2236" s="48"/>
      <c r="I2236" s="48"/>
      <c r="J2236" s="51"/>
      <c r="K2236" s="6"/>
      <c r="L2236" s="15"/>
      <c r="M2236" s="14">
        <f t="shared" si="229"/>
        <v>0</v>
      </c>
    </row>
    <row r="2237" spans="2:14" x14ac:dyDescent="0.15">
      <c r="B2237" s="71" t="s">
        <v>457</v>
      </c>
      <c r="C2237" s="15">
        <v>60</v>
      </c>
      <c r="D2237" s="14">
        <f t="shared" si="230"/>
        <v>60</v>
      </c>
      <c r="E2237" s="74">
        <v>42924</v>
      </c>
      <c r="F2237" s="74"/>
      <c r="G2237" s="74"/>
      <c r="H2237" s="74"/>
      <c r="I2237" s="74"/>
      <c r="J2237" s="51"/>
      <c r="K2237" s="4"/>
      <c r="L2237" s="15"/>
      <c r="M2237" s="14">
        <f t="shared" si="229"/>
        <v>0</v>
      </c>
    </row>
    <row r="2238" spans="2:14" x14ac:dyDescent="0.15">
      <c r="B2238" s="71" t="s">
        <v>150</v>
      </c>
      <c r="C2238" s="15">
        <v>15</v>
      </c>
      <c r="D2238" s="14">
        <f t="shared" si="230"/>
        <v>15</v>
      </c>
      <c r="E2238" s="74">
        <v>42927</v>
      </c>
      <c r="F2238" s="74"/>
      <c r="G2238" s="74"/>
      <c r="H2238" s="74"/>
      <c r="I2238" s="74"/>
      <c r="J2238" s="51"/>
      <c r="K2238" s="4"/>
      <c r="L2238" s="15"/>
      <c r="M2238" s="14">
        <f t="shared" si="229"/>
        <v>0</v>
      </c>
    </row>
    <row r="2239" spans="2:14" x14ac:dyDescent="0.15">
      <c r="B2239" s="71" t="s">
        <v>162</v>
      </c>
      <c r="C2239" s="15">
        <v>42</v>
      </c>
      <c r="D2239" s="14">
        <f t="shared" si="230"/>
        <v>42</v>
      </c>
      <c r="E2239" s="48">
        <v>42923</v>
      </c>
      <c r="F2239" s="48"/>
      <c r="G2239" s="48"/>
      <c r="H2239" s="48"/>
      <c r="I2239" s="48"/>
      <c r="J2239" s="51"/>
      <c r="K2239" s="4"/>
      <c r="L2239" s="15"/>
      <c r="M2239" s="14">
        <f t="shared" si="229"/>
        <v>0</v>
      </c>
    </row>
    <row r="2240" spans="2:14" x14ac:dyDescent="0.15">
      <c r="B2240" s="71" t="s">
        <v>458</v>
      </c>
      <c r="C2240" s="15">
        <v>15</v>
      </c>
      <c r="D2240" s="14">
        <f t="shared" si="230"/>
        <v>15</v>
      </c>
      <c r="E2240" s="74">
        <v>42928</v>
      </c>
      <c r="F2240" s="74"/>
      <c r="G2240" s="74"/>
      <c r="H2240" s="74"/>
      <c r="I2240" s="74"/>
      <c r="J2240" s="51"/>
      <c r="K2240" s="4"/>
      <c r="L2240" s="15"/>
      <c r="M2240" s="14">
        <f t="shared" si="229"/>
        <v>0</v>
      </c>
    </row>
    <row r="2241" spans="1:14" x14ac:dyDescent="0.15">
      <c r="B2241" s="71" t="s">
        <v>190</v>
      </c>
      <c r="C2241" s="15">
        <v>5</v>
      </c>
      <c r="D2241" s="14">
        <f t="shared" si="230"/>
        <v>5</v>
      </c>
      <c r="E2241" s="74">
        <v>42928</v>
      </c>
      <c r="F2241" s="74"/>
      <c r="G2241" s="74"/>
      <c r="H2241" s="74"/>
      <c r="I2241" s="74"/>
      <c r="J2241" s="51"/>
      <c r="K2241" s="6"/>
      <c r="L2241" s="15"/>
      <c r="M2241" s="14">
        <f t="shared" si="229"/>
        <v>0</v>
      </c>
    </row>
    <row r="2242" spans="1:14" x14ac:dyDescent="0.15">
      <c r="B2242" s="71" t="s">
        <v>459</v>
      </c>
      <c r="C2242" s="15">
        <v>1</v>
      </c>
      <c r="D2242" s="14">
        <f t="shared" si="230"/>
        <v>1</v>
      </c>
      <c r="E2242" s="74">
        <v>42927</v>
      </c>
      <c r="F2242" s="74"/>
      <c r="G2242" s="74"/>
      <c r="H2242" s="74"/>
      <c r="I2242" s="74"/>
      <c r="J2242" s="51"/>
      <c r="K2242" s="67"/>
      <c r="L2242" s="15"/>
      <c r="M2242" s="14">
        <f>SUM(L2242)</f>
        <v>0</v>
      </c>
      <c r="N2242" s="75"/>
    </row>
    <row r="2243" spans="1:14" x14ac:dyDescent="0.15">
      <c r="B2243" s="71" t="s">
        <v>460</v>
      </c>
      <c r="C2243" s="15">
        <v>30</v>
      </c>
      <c r="D2243" s="14">
        <f t="shared" si="230"/>
        <v>30</v>
      </c>
      <c r="E2243" s="74">
        <v>42935</v>
      </c>
      <c r="F2243" s="74"/>
      <c r="G2243" s="74"/>
      <c r="H2243" s="74"/>
      <c r="I2243" s="74"/>
      <c r="J2243" s="51"/>
      <c r="K2243" s="4"/>
      <c r="L2243" s="15"/>
      <c r="M2243" s="14">
        <f>SUM(L2243:L2243)</f>
        <v>0</v>
      </c>
      <c r="N2243" s="75"/>
    </row>
    <row r="2244" spans="1:14" x14ac:dyDescent="0.15">
      <c r="B2244" s="71" t="s">
        <v>162</v>
      </c>
      <c r="C2244" s="15">
        <v>167</v>
      </c>
      <c r="D2244" s="14">
        <f t="shared" si="230"/>
        <v>167</v>
      </c>
      <c r="E2244" s="48">
        <v>42926</v>
      </c>
      <c r="F2244" s="48"/>
      <c r="G2244" s="48"/>
      <c r="H2244" s="48"/>
      <c r="I2244" s="48"/>
      <c r="J2244" s="51"/>
      <c r="K2244" s="4"/>
      <c r="L2244" s="15"/>
      <c r="M2244" s="14">
        <f>SUM(L2244)</f>
        <v>0</v>
      </c>
      <c r="N2244" s="75"/>
    </row>
    <row r="2245" spans="1:14" x14ac:dyDescent="0.15">
      <c r="B2245" s="71" t="s">
        <v>150</v>
      </c>
      <c r="C2245" s="15">
        <v>10</v>
      </c>
      <c r="D2245" s="14">
        <f t="shared" si="230"/>
        <v>10</v>
      </c>
      <c r="E2245" s="74">
        <v>42929</v>
      </c>
      <c r="F2245" s="74"/>
      <c r="G2245" s="74"/>
      <c r="H2245" s="74"/>
      <c r="I2245" s="74"/>
      <c r="J2245" s="51"/>
      <c r="K2245" s="6"/>
      <c r="L2245" s="15"/>
      <c r="M2245" s="14">
        <f>SUM(L2245)</f>
        <v>0</v>
      </c>
      <c r="N2245" s="75"/>
    </row>
    <row r="2246" spans="1:14" x14ac:dyDescent="0.15">
      <c r="B2246" s="71" t="s">
        <v>150</v>
      </c>
      <c r="C2246" s="15">
        <v>10</v>
      </c>
      <c r="D2246" s="14">
        <f t="shared" si="230"/>
        <v>10</v>
      </c>
      <c r="E2246" s="74">
        <v>42930</v>
      </c>
      <c r="F2246" s="74"/>
      <c r="G2246" s="74"/>
      <c r="H2246" s="74"/>
      <c r="I2246" s="74"/>
      <c r="J2246" s="51"/>
      <c r="K2246" s="4"/>
      <c r="L2246" s="15"/>
      <c r="M2246" s="14">
        <f>SUM(L2246:L2246)</f>
        <v>0</v>
      </c>
      <c r="N2246" s="75"/>
    </row>
    <row r="2247" spans="1:14" x14ac:dyDescent="0.15">
      <c r="B2247" s="71" t="s">
        <v>162</v>
      </c>
      <c r="C2247" s="15">
        <v>192</v>
      </c>
      <c r="D2247" s="14">
        <f t="shared" si="230"/>
        <v>192</v>
      </c>
      <c r="E2247" s="48">
        <v>42927</v>
      </c>
      <c r="F2247" s="48"/>
      <c r="G2247" s="48"/>
      <c r="H2247" s="48"/>
      <c r="I2247" s="48"/>
      <c r="J2247" s="51"/>
      <c r="K2247" s="4"/>
      <c r="L2247" s="15"/>
      <c r="M2247" s="14">
        <f t="shared" ref="M2247:M2252" si="231">SUM(L2247)</f>
        <v>0</v>
      </c>
      <c r="N2247" s="75"/>
    </row>
    <row r="2248" spans="1:14" x14ac:dyDescent="0.15">
      <c r="B2248" s="71" t="s">
        <v>162</v>
      </c>
      <c r="C2248" s="15">
        <v>118</v>
      </c>
      <c r="D2248" s="14">
        <f t="shared" si="230"/>
        <v>118</v>
      </c>
      <c r="E2248" s="48">
        <v>42928</v>
      </c>
      <c r="F2248" s="48"/>
      <c r="G2248" s="48"/>
      <c r="H2248" s="48"/>
      <c r="I2248" s="48"/>
      <c r="J2248" s="51"/>
      <c r="K2248" s="4"/>
      <c r="L2248" s="15"/>
      <c r="M2248" s="14">
        <f t="shared" si="231"/>
        <v>0</v>
      </c>
      <c r="N2248" s="74"/>
    </row>
    <row r="2249" spans="1:14" x14ac:dyDescent="0.15">
      <c r="B2249" s="71" t="s">
        <v>462</v>
      </c>
      <c r="C2249" s="15">
        <v>98</v>
      </c>
      <c r="D2249" s="14">
        <f t="shared" si="230"/>
        <v>98</v>
      </c>
      <c r="E2249" s="48">
        <v>42929</v>
      </c>
      <c r="F2249" s="48"/>
      <c r="G2249" s="48"/>
      <c r="H2249" s="48"/>
      <c r="I2249" s="48"/>
      <c r="J2249" s="51"/>
      <c r="K2249" s="4"/>
      <c r="L2249" s="15"/>
      <c r="M2249" s="14">
        <f t="shared" si="231"/>
        <v>0</v>
      </c>
      <c r="N2249" s="74"/>
    </row>
    <row r="2250" spans="1:14" x14ac:dyDescent="0.15">
      <c r="B2250" s="71" t="s">
        <v>150</v>
      </c>
      <c r="C2250" s="15">
        <v>10</v>
      </c>
      <c r="D2250" s="14">
        <f t="shared" si="230"/>
        <v>10</v>
      </c>
      <c r="E2250" s="74">
        <v>42935</v>
      </c>
      <c r="F2250" s="74"/>
      <c r="G2250" s="74"/>
      <c r="H2250" s="74"/>
      <c r="I2250" s="74"/>
      <c r="J2250" s="51"/>
      <c r="K2250" s="4"/>
      <c r="L2250" s="15"/>
      <c r="M2250" s="14">
        <f t="shared" si="231"/>
        <v>0</v>
      </c>
      <c r="N2250" s="75"/>
    </row>
    <row r="2251" spans="1:14" x14ac:dyDescent="0.15">
      <c r="B2251" s="71" t="s">
        <v>162</v>
      </c>
      <c r="C2251" s="15">
        <v>72</v>
      </c>
      <c r="D2251" s="14">
        <f>SUM(C2251)</f>
        <v>72</v>
      </c>
      <c r="E2251" s="48">
        <v>42930</v>
      </c>
      <c r="F2251" s="48"/>
      <c r="G2251" s="48"/>
      <c r="H2251" s="48"/>
      <c r="I2251" s="48"/>
      <c r="J2251" s="51"/>
      <c r="K2251" s="4"/>
      <c r="L2251" s="15"/>
      <c r="M2251" s="14">
        <f t="shared" si="231"/>
        <v>0</v>
      </c>
      <c r="N2251" s="75"/>
    </row>
    <row r="2252" spans="1:14" ht="14.25" thickBot="1" x14ac:dyDescent="0.2">
      <c r="B2252" s="71" t="s">
        <v>162</v>
      </c>
      <c r="C2252" s="15">
        <v>94</v>
      </c>
      <c r="D2252" s="14">
        <f>SUM(C2252)</f>
        <v>94</v>
      </c>
      <c r="E2252" s="48">
        <v>42931</v>
      </c>
      <c r="F2252" s="48"/>
      <c r="G2252" s="48"/>
      <c r="H2252" s="48"/>
      <c r="I2252" s="48"/>
      <c r="J2252" s="51"/>
      <c r="K2252" s="69"/>
      <c r="L2252" s="15"/>
      <c r="M2252" s="14">
        <f t="shared" si="231"/>
        <v>0</v>
      </c>
      <c r="N2252" s="75"/>
    </row>
    <row r="2253" spans="1:14" ht="14.25" thickBot="1" x14ac:dyDescent="0.2">
      <c r="B2253" s="3" t="s">
        <v>5</v>
      </c>
      <c r="C2253" s="16">
        <f>SUM(C2229:C2252)</f>
        <v>1336</v>
      </c>
      <c r="D2253" s="17">
        <f>SUM(D2229:D2252)</f>
        <v>1336</v>
      </c>
      <c r="K2253" s="3" t="s">
        <v>5</v>
      </c>
      <c r="L2253" s="16">
        <f>SUM(L2229:L2252)</f>
        <v>1400</v>
      </c>
      <c r="M2253" s="17">
        <f>SUM(M2229:M2252)</f>
        <v>1400</v>
      </c>
    </row>
    <row r="2254" spans="1:14" ht="14.25" thickBot="1" x14ac:dyDescent="0.2">
      <c r="B2254" s="18" t="s">
        <v>6</v>
      </c>
      <c r="C2254" s="19">
        <f>C2228-C2253</f>
        <v>353</v>
      </c>
      <c r="D2254" s="13">
        <f>D2228-D2253</f>
        <v>353</v>
      </c>
      <c r="K2254" s="18" t="s">
        <v>6</v>
      </c>
      <c r="L2254" s="19">
        <f>L2228-L2253</f>
        <v>5865</v>
      </c>
      <c r="M2254" s="13">
        <f>M2228-M2253</f>
        <v>5865</v>
      </c>
    </row>
    <row r="2256" spans="1:14" ht="18" thickBot="1" x14ac:dyDescent="0.25">
      <c r="A2256" s="27" t="s">
        <v>8</v>
      </c>
      <c r="B2256" s="28"/>
      <c r="C2256" s="28"/>
      <c r="D2256" s="28"/>
      <c r="J2256" s="139" t="s">
        <v>218</v>
      </c>
      <c r="K2256" s="140"/>
      <c r="L2256" s="140"/>
      <c r="M2256" s="140"/>
    </row>
    <row r="2257" spans="2:14" ht="14.25" thickBot="1" x14ac:dyDescent="0.2">
      <c r="B2257" s="2"/>
      <c r="C2257" s="3" t="s">
        <v>0</v>
      </c>
      <c r="D2257" s="2" t="s">
        <v>1</v>
      </c>
      <c r="K2257" s="2"/>
      <c r="L2257" s="3" t="s">
        <v>0</v>
      </c>
      <c r="M2257" s="2" t="s">
        <v>1</v>
      </c>
    </row>
    <row r="2258" spans="2:14" x14ac:dyDescent="0.15">
      <c r="B2258" s="43" t="s">
        <v>26</v>
      </c>
      <c r="C2258" s="38">
        <f>C2254</f>
        <v>353</v>
      </c>
      <c r="D2258" s="39">
        <f t="shared" ref="D2258:D2268" si="232">SUM(C2258:C2258)</f>
        <v>353</v>
      </c>
      <c r="K2258" s="43" t="s">
        <v>26</v>
      </c>
      <c r="L2258" s="38">
        <f>L2254</f>
        <v>5865</v>
      </c>
      <c r="M2258" s="39">
        <f t="shared" ref="M2258:M2268" si="233">SUM(L2258:L2258)</f>
        <v>5865</v>
      </c>
    </row>
    <row r="2259" spans="2:14" x14ac:dyDescent="0.15">
      <c r="B2259" s="6" t="s">
        <v>3</v>
      </c>
      <c r="C2259" s="7">
        <v>200</v>
      </c>
      <c r="D2259" s="5">
        <f t="shared" si="232"/>
        <v>200</v>
      </c>
      <c r="E2259" s="74">
        <v>42935</v>
      </c>
      <c r="F2259" s="74"/>
      <c r="G2259" s="74"/>
      <c r="H2259" s="74"/>
      <c r="I2259" s="74"/>
      <c r="J2259" s="75"/>
      <c r="K2259" s="6" t="s">
        <v>3</v>
      </c>
      <c r="L2259" s="7"/>
      <c r="M2259" s="5">
        <f t="shared" si="233"/>
        <v>0</v>
      </c>
    </row>
    <row r="2260" spans="2:14" x14ac:dyDescent="0.15">
      <c r="B2260" s="6" t="s">
        <v>3</v>
      </c>
      <c r="C2260" s="7">
        <v>200</v>
      </c>
      <c r="D2260" s="5">
        <f t="shared" si="232"/>
        <v>200</v>
      </c>
      <c r="E2260" s="74">
        <v>42937</v>
      </c>
      <c r="F2260" s="74"/>
      <c r="G2260" s="74"/>
      <c r="H2260" s="74"/>
      <c r="I2260" s="74"/>
      <c r="K2260" s="6" t="s">
        <v>3</v>
      </c>
      <c r="L2260" s="7"/>
      <c r="M2260" s="5">
        <f t="shared" si="233"/>
        <v>0</v>
      </c>
    </row>
    <row r="2261" spans="2:14" x14ac:dyDescent="0.15">
      <c r="B2261" s="6" t="s">
        <v>3</v>
      </c>
      <c r="C2261" s="7">
        <v>200</v>
      </c>
      <c r="D2261" s="5">
        <f t="shared" si="232"/>
        <v>200</v>
      </c>
      <c r="E2261" s="74">
        <v>42938</v>
      </c>
      <c r="F2261" s="74"/>
      <c r="G2261" s="74"/>
      <c r="H2261" s="74"/>
      <c r="I2261" s="74"/>
      <c r="K2261" s="6" t="s">
        <v>3</v>
      </c>
      <c r="L2261" s="7"/>
      <c r="M2261" s="5">
        <f t="shared" si="233"/>
        <v>0</v>
      </c>
    </row>
    <row r="2262" spans="2:14" x14ac:dyDescent="0.15">
      <c r="B2262" s="6" t="s">
        <v>3</v>
      </c>
      <c r="C2262" s="7">
        <v>200</v>
      </c>
      <c r="D2262" s="5">
        <f t="shared" si="232"/>
        <v>200</v>
      </c>
      <c r="E2262" s="74">
        <v>42941</v>
      </c>
      <c r="F2262" s="74"/>
      <c r="G2262" s="74"/>
      <c r="H2262" s="74"/>
      <c r="I2262" s="74"/>
      <c r="K2262" s="6" t="s">
        <v>3</v>
      </c>
      <c r="L2262" s="7"/>
      <c r="M2262" s="5">
        <f t="shared" si="233"/>
        <v>0</v>
      </c>
    </row>
    <row r="2263" spans="2:14" x14ac:dyDescent="0.15">
      <c r="B2263" s="6" t="s">
        <v>3</v>
      </c>
      <c r="C2263" s="7">
        <v>200</v>
      </c>
      <c r="D2263" s="5">
        <f t="shared" si="232"/>
        <v>200</v>
      </c>
      <c r="E2263" s="74">
        <v>42943</v>
      </c>
      <c r="F2263" s="74"/>
      <c r="G2263" s="74"/>
      <c r="H2263" s="74"/>
      <c r="I2263" s="74"/>
      <c r="K2263" s="6" t="s">
        <v>3</v>
      </c>
      <c r="L2263" s="7"/>
      <c r="M2263" s="5">
        <f t="shared" si="233"/>
        <v>0</v>
      </c>
    </row>
    <row r="2264" spans="2:14" x14ac:dyDescent="0.15">
      <c r="B2264" s="6" t="s">
        <v>377</v>
      </c>
      <c r="C2264" s="7">
        <v>6</v>
      </c>
      <c r="D2264" s="5">
        <f t="shared" si="232"/>
        <v>6</v>
      </c>
      <c r="E2264" s="74">
        <v>42943</v>
      </c>
      <c r="F2264" s="74"/>
      <c r="G2264" s="74"/>
      <c r="H2264" s="74"/>
      <c r="I2264" s="74"/>
      <c r="K2264" s="6" t="s">
        <v>3</v>
      </c>
      <c r="L2264" s="7"/>
      <c r="M2264" s="5">
        <f t="shared" si="233"/>
        <v>0</v>
      </c>
    </row>
    <row r="2265" spans="2:14" x14ac:dyDescent="0.15">
      <c r="B2265" s="6" t="s">
        <v>3</v>
      </c>
      <c r="C2265" s="54">
        <v>200</v>
      </c>
      <c r="D2265" s="5">
        <f t="shared" si="232"/>
        <v>200</v>
      </c>
      <c r="E2265" s="74">
        <v>42947</v>
      </c>
      <c r="F2265" s="74"/>
      <c r="G2265" s="74"/>
      <c r="H2265" s="74"/>
      <c r="I2265" s="74"/>
      <c r="K2265" s="6" t="s">
        <v>3</v>
      </c>
      <c r="L2265" s="7"/>
      <c r="M2265" s="5">
        <f t="shared" si="233"/>
        <v>0</v>
      </c>
    </row>
    <row r="2266" spans="2:14" x14ac:dyDescent="0.15">
      <c r="B2266" s="6" t="s">
        <v>3</v>
      </c>
      <c r="C2266" s="54">
        <v>200</v>
      </c>
      <c r="D2266" s="5">
        <f t="shared" si="232"/>
        <v>200</v>
      </c>
      <c r="E2266" s="74">
        <v>42950</v>
      </c>
      <c r="F2266" s="74"/>
      <c r="G2266" s="74"/>
      <c r="H2266" s="74"/>
      <c r="I2266" s="74"/>
      <c r="K2266" s="6" t="s">
        <v>3</v>
      </c>
      <c r="L2266" s="7"/>
      <c r="M2266" s="5">
        <f t="shared" si="233"/>
        <v>0</v>
      </c>
    </row>
    <row r="2267" spans="2:14" x14ac:dyDescent="0.15">
      <c r="B2267" s="6" t="s">
        <v>3</v>
      </c>
      <c r="C2267" s="54"/>
      <c r="D2267" s="5">
        <f t="shared" si="232"/>
        <v>0</v>
      </c>
      <c r="K2267" s="6" t="s">
        <v>3</v>
      </c>
      <c r="L2267" s="7"/>
      <c r="M2267" s="5">
        <f t="shared" si="233"/>
        <v>0</v>
      </c>
    </row>
    <row r="2268" spans="2:14" ht="14.25" thickBot="1" x14ac:dyDescent="0.2">
      <c r="B2268" s="9" t="s">
        <v>3</v>
      </c>
      <c r="C2268" s="101"/>
      <c r="D2268" s="5">
        <f t="shared" si="232"/>
        <v>0</v>
      </c>
      <c r="K2268" s="9" t="s">
        <v>3</v>
      </c>
      <c r="L2268" s="10"/>
      <c r="M2268" s="5">
        <f t="shared" si="233"/>
        <v>0</v>
      </c>
    </row>
    <row r="2269" spans="2:14" ht="14.25" thickBot="1" x14ac:dyDescent="0.2">
      <c r="B2269" s="11" t="s">
        <v>4</v>
      </c>
      <c r="C2269" s="12">
        <f>SUM(C2258:C2268)</f>
        <v>1759</v>
      </c>
      <c r="D2269" s="13">
        <f>SUM(D2258:D2268)</f>
        <v>1759</v>
      </c>
      <c r="K2269" s="11" t="s">
        <v>4</v>
      </c>
      <c r="L2269" s="12">
        <f>SUM(L2258:L2268)</f>
        <v>5865</v>
      </c>
      <c r="M2269" s="13">
        <f>SUM(M2258:M2268)</f>
        <v>5865</v>
      </c>
    </row>
    <row r="2270" spans="2:14" x14ac:dyDescent="0.15">
      <c r="B2270" s="71" t="s">
        <v>318</v>
      </c>
      <c r="C2270" s="15">
        <v>20</v>
      </c>
      <c r="D2270" s="14">
        <f>SUM(C2270)</f>
        <v>20</v>
      </c>
      <c r="E2270" s="74">
        <v>42936</v>
      </c>
      <c r="F2270" s="74"/>
      <c r="G2270" s="74"/>
      <c r="H2270" s="74"/>
      <c r="I2270" s="74"/>
      <c r="K2270" s="4" t="s">
        <v>31</v>
      </c>
      <c r="L2270" s="15">
        <v>200</v>
      </c>
      <c r="M2270" s="14">
        <f>SUM(L2270:L2270)</f>
        <v>200</v>
      </c>
      <c r="N2270" s="74">
        <v>42935</v>
      </c>
    </row>
    <row r="2271" spans="2:14" x14ac:dyDescent="0.15">
      <c r="B2271" s="71" t="s">
        <v>162</v>
      </c>
      <c r="C2271" s="15">
        <v>279</v>
      </c>
      <c r="D2271" s="14">
        <f>SUM(C2271)</f>
        <v>279</v>
      </c>
      <c r="E2271" s="48">
        <v>42934</v>
      </c>
      <c r="F2271" s="48"/>
      <c r="G2271" s="48"/>
      <c r="H2271" s="48"/>
      <c r="I2271" s="48"/>
      <c r="J2271" s="51"/>
      <c r="K2271" s="4" t="s">
        <v>31</v>
      </c>
      <c r="L2271" s="15">
        <v>200</v>
      </c>
      <c r="M2271" s="14">
        <f t="shared" ref="M2271:M2282" si="234">SUM(L2271:L2271)</f>
        <v>200</v>
      </c>
      <c r="N2271" s="74">
        <v>42937</v>
      </c>
    </row>
    <row r="2272" spans="2:14" x14ac:dyDescent="0.15">
      <c r="B2272" s="71" t="s">
        <v>162</v>
      </c>
      <c r="C2272" s="15">
        <v>98</v>
      </c>
      <c r="D2272" s="14">
        <f t="shared" ref="D2272:D2291" si="235">SUM(C2272)</f>
        <v>98</v>
      </c>
      <c r="E2272" s="48">
        <v>42935</v>
      </c>
      <c r="F2272" s="48"/>
      <c r="G2272" s="48"/>
      <c r="H2272" s="48"/>
      <c r="I2272" s="48"/>
      <c r="J2272" s="51"/>
      <c r="K2272" s="4" t="s">
        <v>31</v>
      </c>
      <c r="L2272" s="15">
        <v>200</v>
      </c>
      <c r="M2272" s="14">
        <f t="shared" si="234"/>
        <v>200</v>
      </c>
      <c r="N2272" s="74">
        <v>42938</v>
      </c>
    </row>
    <row r="2273" spans="2:15" x14ac:dyDescent="0.15">
      <c r="B2273" s="71" t="s">
        <v>150</v>
      </c>
      <c r="C2273" s="15">
        <v>15</v>
      </c>
      <c r="D2273" s="14">
        <f t="shared" si="235"/>
        <v>15</v>
      </c>
      <c r="E2273" s="74">
        <v>42940</v>
      </c>
      <c r="F2273" s="74"/>
      <c r="G2273" s="74"/>
      <c r="H2273" s="74"/>
      <c r="I2273" s="74"/>
      <c r="J2273" s="51"/>
      <c r="K2273" s="4" t="s">
        <v>31</v>
      </c>
      <c r="L2273" s="15">
        <v>200</v>
      </c>
      <c r="M2273" s="14">
        <f t="shared" si="234"/>
        <v>200</v>
      </c>
      <c r="N2273" s="74">
        <v>42941</v>
      </c>
    </row>
    <row r="2274" spans="2:15" x14ac:dyDescent="0.15">
      <c r="B2274" s="71" t="s">
        <v>162</v>
      </c>
      <c r="C2274" s="15">
        <v>81</v>
      </c>
      <c r="D2274" s="14">
        <f t="shared" si="235"/>
        <v>81</v>
      </c>
      <c r="E2274" s="74">
        <v>42936</v>
      </c>
      <c r="F2274" s="74"/>
      <c r="G2274" s="74"/>
      <c r="H2274" s="74"/>
      <c r="I2274" s="74"/>
      <c r="J2274" s="51"/>
      <c r="K2274" s="4" t="s">
        <v>31</v>
      </c>
      <c r="L2274" s="15">
        <v>200</v>
      </c>
      <c r="M2274" s="14">
        <f t="shared" si="234"/>
        <v>200</v>
      </c>
      <c r="N2274" s="74">
        <v>42943</v>
      </c>
    </row>
    <row r="2275" spans="2:15" x14ac:dyDescent="0.15">
      <c r="B2275" s="71" t="s">
        <v>431</v>
      </c>
      <c r="C2275" s="15">
        <v>40</v>
      </c>
      <c r="D2275" s="14">
        <f t="shared" si="235"/>
        <v>40</v>
      </c>
      <c r="E2275" s="74">
        <v>42938</v>
      </c>
      <c r="F2275" s="74"/>
      <c r="G2275" s="74"/>
      <c r="H2275" s="74"/>
      <c r="I2275" s="74"/>
      <c r="J2275" s="51"/>
      <c r="K2275" s="4" t="s">
        <v>31</v>
      </c>
      <c r="L2275" s="15">
        <v>200</v>
      </c>
      <c r="M2275" s="14">
        <f t="shared" si="234"/>
        <v>200</v>
      </c>
      <c r="N2275" s="74">
        <v>42947</v>
      </c>
    </row>
    <row r="2276" spans="2:15" x14ac:dyDescent="0.15">
      <c r="B2276" s="71" t="s">
        <v>162</v>
      </c>
      <c r="C2276" s="15">
        <v>61</v>
      </c>
      <c r="D2276" s="14">
        <f t="shared" si="235"/>
        <v>61</v>
      </c>
      <c r="E2276" s="48">
        <v>42937</v>
      </c>
      <c r="F2276" s="48"/>
      <c r="G2276" s="48"/>
      <c r="H2276" s="48"/>
      <c r="I2276" s="48"/>
      <c r="J2276" s="51"/>
      <c r="K2276" s="4" t="s">
        <v>31</v>
      </c>
      <c r="L2276" s="15">
        <v>200</v>
      </c>
      <c r="M2276" s="14">
        <f t="shared" si="234"/>
        <v>200</v>
      </c>
      <c r="N2276" s="74">
        <v>42950</v>
      </c>
      <c r="O2276" s="75"/>
    </row>
    <row r="2277" spans="2:15" x14ac:dyDescent="0.15">
      <c r="B2277" s="71" t="s">
        <v>464</v>
      </c>
      <c r="C2277" s="15">
        <v>67</v>
      </c>
      <c r="D2277" s="14">
        <f t="shared" si="235"/>
        <v>67</v>
      </c>
      <c r="E2277" s="48">
        <v>42938</v>
      </c>
      <c r="F2277" s="48"/>
      <c r="G2277" s="48"/>
      <c r="H2277" s="48"/>
      <c r="I2277" s="48"/>
      <c r="J2277" s="51"/>
      <c r="K2277" s="6"/>
      <c r="L2277" s="15"/>
      <c r="M2277" s="14">
        <f t="shared" si="234"/>
        <v>0</v>
      </c>
    </row>
    <row r="2278" spans="2:15" x14ac:dyDescent="0.15">
      <c r="B2278" s="71" t="s">
        <v>463</v>
      </c>
      <c r="C2278" s="15">
        <v>5</v>
      </c>
      <c r="D2278" s="14">
        <f t="shared" si="235"/>
        <v>5</v>
      </c>
      <c r="E2278" s="74">
        <v>42941</v>
      </c>
      <c r="F2278" s="74"/>
      <c r="G2278" s="74"/>
      <c r="H2278" s="74"/>
      <c r="I2278" s="74"/>
      <c r="J2278" s="51"/>
      <c r="K2278" s="4"/>
      <c r="L2278" s="15"/>
      <c r="M2278" s="14">
        <f t="shared" si="234"/>
        <v>0</v>
      </c>
    </row>
    <row r="2279" spans="2:15" x14ac:dyDescent="0.15">
      <c r="B2279" s="71" t="s">
        <v>467</v>
      </c>
      <c r="C2279" s="15">
        <v>145</v>
      </c>
      <c r="D2279" s="14">
        <f t="shared" si="235"/>
        <v>145</v>
      </c>
      <c r="E2279" s="74">
        <v>42940</v>
      </c>
      <c r="F2279" s="74"/>
      <c r="G2279" s="74"/>
      <c r="H2279" s="74"/>
      <c r="I2279" s="74"/>
      <c r="J2279" s="51"/>
      <c r="K2279" s="4"/>
      <c r="L2279" s="15"/>
      <c r="M2279" s="14">
        <f t="shared" si="234"/>
        <v>0</v>
      </c>
    </row>
    <row r="2280" spans="2:15" x14ac:dyDescent="0.15">
      <c r="B2280" s="71" t="s">
        <v>465</v>
      </c>
      <c r="C2280" s="15">
        <v>40</v>
      </c>
      <c r="D2280" s="14">
        <f t="shared" si="235"/>
        <v>40</v>
      </c>
      <c r="E2280" s="74">
        <v>42948</v>
      </c>
      <c r="F2280" s="74"/>
      <c r="G2280" s="74"/>
      <c r="H2280" s="74"/>
      <c r="I2280" s="74"/>
      <c r="J2280" s="51"/>
      <c r="K2280" s="4"/>
      <c r="L2280" s="15"/>
      <c r="M2280" s="14">
        <f t="shared" si="234"/>
        <v>0</v>
      </c>
    </row>
    <row r="2281" spans="2:15" x14ac:dyDescent="0.15">
      <c r="B2281" s="71" t="s">
        <v>466</v>
      </c>
      <c r="C2281" s="15">
        <v>1</v>
      </c>
      <c r="D2281" s="14">
        <f t="shared" si="235"/>
        <v>1</v>
      </c>
      <c r="E2281" s="74">
        <v>42942</v>
      </c>
      <c r="F2281" s="74"/>
      <c r="G2281" s="74"/>
      <c r="H2281" s="74"/>
      <c r="I2281" s="74"/>
      <c r="J2281" s="51"/>
      <c r="K2281" s="4"/>
      <c r="L2281" s="15"/>
      <c r="M2281" s="14">
        <f t="shared" si="234"/>
        <v>0</v>
      </c>
    </row>
    <row r="2282" spans="2:15" x14ac:dyDescent="0.15">
      <c r="B2282" s="71" t="s">
        <v>431</v>
      </c>
      <c r="C2282" s="15">
        <v>80</v>
      </c>
      <c r="D2282" s="14">
        <f t="shared" si="235"/>
        <v>80</v>
      </c>
      <c r="E2282" s="74">
        <v>42942</v>
      </c>
      <c r="F2282" s="74"/>
      <c r="G2282" s="74"/>
      <c r="H2282" s="74"/>
      <c r="I2282" s="74"/>
      <c r="J2282" s="51"/>
      <c r="K2282" s="6"/>
      <c r="L2282" s="15"/>
      <c r="M2282" s="14">
        <f t="shared" si="234"/>
        <v>0</v>
      </c>
    </row>
    <row r="2283" spans="2:15" x14ac:dyDescent="0.15">
      <c r="B2283" s="71" t="s">
        <v>162</v>
      </c>
      <c r="C2283" s="15">
        <v>56</v>
      </c>
      <c r="D2283" s="14">
        <f t="shared" si="235"/>
        <v>56</v>
      </c>
      <c r="E2283" s="74">
        <v>42941</v>
      </c>
      <c r="F2283" s="74"/>
      <c r="G2283" s="74"/>
      <c r="H2283" s="74"/>
      <c r="I2283" s="74"/>
      <c r="J2283" s="51"/>
      <c r="K2283" s="67"/>
      <c r="L2283" s="15"/>
      <c r="M2283" s="14">
        <f>SUM(L2283)</f>
        <v>0</v>
      </c>
    </row>
    <row r="2284" spans="2:15" x14ac:dyDescent="0.15">
      <c r="B2284" s="71" t="s">
        <v>162</v>
      </c>
      <c r="C2284" s="15">
        <v>49</v>
      </c>
      <c r="D2284" s="14">
        <f t="shared" si="235"/>
        <v>49</v>
      </c>
      <c r="E2284" s="74">
        <v>42942</v>
      </c>
      <c r="F2284" s="74"/>
      <c r="G2284" s="74"/>
      <c r="H2284" s="74"/>
      <c r="I2284" s="74"/>
      <c r="J2284" s="51"/>
      <c r="K2284" s="4"/>
      <c r="L2284" s="15"/>
      <c r="M2284" s="14">
        <f>SUM(L2284:L2284)</f>
        <v>0</v>
      </c>
    </row>
    <row r="2285" spans="2:15" x14ac:dyDescent="0.15">
      <c r="B2285" s="71" t="s">
        <v>468</v>
      </c>
      <c r="C2285" s="15">
        <v>47</v>
      </c>
      <c r="D2285" s="14">
        <f t="shared" si="235"/>
        <v>47</v>
      </c>
      <c r="E2285" s="74">
        <v>42943</v>
      </c>
      <c r="F2285" s="74"/>
      <c r="G2285" s="74"/>
      <c r="H2285" s="74"/>
      <c r="I2285" s="74"/>
      <c r="J2285" s="51"/>
      <c r="K2285" s="4"/>
      <c r="L2285" s="15"/>
      <c r="M2285" s="14">
        <f t="shared" ref="M2285:M2293" si="236">SUM(L2285)</f>
        <v>0</v>
      </c>
      <c r="N2285" s="75"/>
    </row>
    <row r="2286" spans="2:15" x14ac:dyDescent="0.15">
      <c r="B2286" s="71" t="s">
        <v>150</v>
      </c>
      <c r="C2286" s="15">
        <v>10</v>
      </c>
      <c r="D2286" s="14">
        <f t="shared" si="235"/>
        <v>10</v>
      </c>
      <c r="E2286" s="74">
        <v>42948</v>
      </c>
      <c r="F2286" s="74"/>
      <c r="G2286" s="74"/>
      <c r="H2286" s="74"/>
      <c r="I2286" s="74"/>
      <c r="J2286" s="51"/>
      <c r="K2286" s="6"/>
      <c r="L2286" s="15"/>
      <c r="M2286" s="14">
        <f t="shared" si="236"/>
        <v>0</v>
      </c>
      <c r="N2286" s="75"/>
    </row>
    <row r="2287" spans="2:15" x14ac:dyDescent="0.15">
      <c r="B2287" s="71" t="s">
        <v>162</v>
      </c>
      <c r="C2287" s="15">
        <v>30</v>
      </c>
      <c r="D2287" s="14">
        <f t="shared" si="235"/>
        <v>30</v>
      </c>
      <c r="E2287" s="74">
        <v>42944</v>
      </c>
      <c r="F2287" s="74"/>
      <c r="G2287" s="74"/>
      <c r="H2287" s="74"/>
      <c r="I2287" s="74"/>
      <c r="J2287" s="51"/>
      <c r="K2287" s="4"/>
      <c r="L2287" s="15"/>
      <c r="M2287" s="14">
        <f t="shared" si="236"/>
        <v>0</v>
      </c>
      <c r="N2287" s="75"/>
    </row>
    <row r="2288" spans="2:15" x14ac:dyDescent="0.15">
      <c r="B2288" s="71" t="s">
        <v>162</v>
      </c>
      <c r="C2288" s="15">
        <v>37</v>
      </c>
      <c r="D2288" s="14">
        <f t="shared" si="235"/>
        <v>37</v>
      </c>
      <c r="E2288" s="74">
        <v>42945</v>
      </c>
      <c r="F2288" s="74"/>
      <c r="G2288" s="74"/>
      <c r="H2288" s="74"/>
      <c r="I2288" s="74"/>
      <c r="J2288" s="51"/>
      <c r="K2288" s="6"/>
      <c r="L2288" s="15"/>
      <c r="M2288" s="14">
        <f t="shared" si="236"/>
        <v>0</v>
      </c>
      <c r="N2288" s="75"/>
    </row>
    <row r="2289" spans="1:14" x14ac:dyDescent="0.15">
      <c r="B2289" s="71" t="s">
        <v>470</v>
      </c>
      <c r="C2289" s="15">
        <v>142</v>
      </c>
      <c r="D2289" s="14">
        <f t="shared" si="235"/>
        <v>142</v>
      </c>
      <c r="E2289" s="74">
        <v>42947</v>
      </c>
      <c r="F2289" s="74"/>
      <c r="G2289" s="74"/>
      <c r="H2289" s="74"/>
      <c r="I2289" s="74"/>
      <c r="J2289" s="51"/>
      <c r="K2289" s="4"/>
      <c r="L2289" s="15"/>
      <c r="M2289" s="14">
        <f t="shared" si="236"/>
        <v>0</v>
      </c>
      <c r="N2289" s="75"/>
    </row>
    <row r="2290" spans="1:14" x14ac:dyDescent="0.15">
      <c r="B2290" s="71" t="s">
        <v>469</v>
      </c>
      <c r="C2290" s="15">
        <v>30</v>
      </c>
      <c r="D2290" s="14">
        <f t="shared" si="235"/>
        <v>30</v>
      </c>
      <c r="E2290" s="74">
        <v>42955</v>
      </c>
      <c r="F2290" s="74"/>
      <c r="G2290" s="74"/>
      <c r="H2290" s="74"/>
      <c r="I2290" s="74"/>
      <c r="J2290" s="51"/>
      <c r="K2290" s="4"/>
      <c r="L2290" s="15"/>
      <c r="M2290" s="14">
        <f t="shared" si="236"/>
        <v>0</v>
      </c>
      <c r="N2290" s="75"/>
    </row>
    <row r="2291" spans="1:14" x14ac:dyDescent="0.15">
      <c r="B2291" s="71" t="s">
        <v>162</v>
      </c>
      <c r="C2291" s="15">
        <v>52</v>
      </c>
      <c r="D2291" s="14">
        <f t="shared" si="235"/>
        <v>52</v>
      </c>
      <c r="E2291" s="74">
        <v>42948</v>
      </c>
      <c r="F2291" s="74"/>
      <c r="G2291" s="74"/>
      <c r="H2291" s="74"/>
      <c r="I2291" s="74"/>
      <c r="J2291" s="51"/>
      <c r="K2291" s="4"/>
      <c r="L2291" s="15"/>
      <c r="M2291" s="14">
        <f t="shared" si="236"/>
        <v>0</v>
      </c>
      <c r="N2291" s="75"/>
    </row>
    <row r="2292" spans="1:14" x14ac:dyDescent="0.15">
      <c r="B2292" s="71" t="s">
        <v>162</v>
      </c>
      <c r="C2292" s="15">
        <v>41</v>
      </c>
      <c r="D2292" s="14">
        <f>SUM(C2292)</f>
        <v>41</v>
      </c>
      <c r="E2292" s="74">
        <v>42949</v>
      </c>
      <c r="F2292" s="74"/>
      <c r="G2292" s="74"/>
      <c r="H2292" s="74"/>
      <c r="I2292" s="74"/>
      <c r="J2292" s="51"/>
      <c r="K2292" s="4"/>
      <c r="L2292" s="15"/>
      <c r="M2292" s="14">
        <f t="shared" si="236"/>
        <v>0</v>
      </c>
      <c r="N2292" s="75"/>
    </row>
    <row r="2293" spans="1:14" ht="14.25" thickBot="1" x14ac:dyDescent="0.2">
      <c r="B2293" s="71" t="s">
        <v>162</v>
      </c>
      <c r="C2293" s="15">
        <v>32</v>
      </c>
      <c r="D2293" s="14">
        <f>SUM(C2293)</f>
        <v>32</v>
      </c>
      <c r="E2293" s="48">
        <v>42950</v>
      </c>
      <c r="F2293" s="48"/>
      <c r="G2293" s="48"/>
      <c r="H2293" s="48"/>
      <c r="I2293" s="48"/>
      <c r="J2293" s="51"/>
      <c r="K2293" s="69"/>
      <c r="L2293" s="15"/>
      <c r="M2293" s="14">
        <f t="shared" si="236"/>
        <v>0</v>
      </c>
      <c r="N2293" s="75"/>
    </row>
    <row r="2294" spans="1:14" ht="14.25" thickBot="1" x14ac:dyDescent="0.2">
      <c r="B2294" s="3" t="s">
        <v>5</v>
      </c>
      <c r="C2294" s="16">
        <f>SUM(C2270:C2293)</f>
        <v>1458</v>
      </c>
      <c r="D2294" s="17">
        <f>SUM(D2270:D2293)</f>
        <v>1458</v>
      </c>
      <c r="K2294" s="3" t="s">
        <v>5</v>
      </c>
      <c r="L2294" s="16">
        <f>SUM(L2270:L2293)</f>
        <v>1400</v>
      </c>
      <c r="M2294" s="17">
        <f>SUM(M2270:M2293)</f>
        <v>1400</v>
      </c>
    </row>
    <row r="2295" spans="1:14" ht="14.25" thickBot="1" x14ac:dyDescent="0.2">
      <c r="B2295" s="18" t="s">
        <v>6</v>
      </c>
      <c r="C2295" s="19">
        <f>C2269-C2294</f>
        <v>301</v>
      </c>
      <c r="D2295" s="13">
        <f>D2269-D2294</f>
        <v>301</v>
      </c>
      <c r="K2295" s="18" t="s">
        <v>6</v>
      </c>
      <c r="L2295" s="19">
        <f>L2269-L2294</f>
        <v>4465</v>
      </c>
      <c r="M2295" s="13">
        <f>M2269-M2294</f>
        <v>4465</v>
      </c>
    </row>
    <row r="2297" spans="1:14" ht="18" thickBot="1" x14ac:dyDescent="0.25">
      <c r="A2297" s="27" t="s">
        <v>8</v>
      </c>
      <c r="B2297" s="28"/>
      <c r="C2297" s="28"/>
      <c r="D2297" s="28"/>
      <c r="J2297" s="139" t="s">
        <v>218</v>
      </c>
      <c r="K2297" s="140"/>
      <c r="L2297" s="140"/>
      <c r="M2297" s="140"/>
    </row>
    <row r="2298" spans="1:14" ht="14.25" thickBot="1" x14ac:dyDescent="0.2">
      <c r="B2298" s="2"/>
      <c r="C2298" s="3" t="s">
        <v>0</v>
      </c>
      <c r="D2298" s="2" t="s">
        <v>1</v>
      </c>
      <c r="K2298" s="2"/>
      <c r="L2298" s="3" t="s">
        <v>0</v>
      </c>
      <c r="M2298" s="2" t="s">
        <v>1</v>
      </c>
    </row>
    <row r="2299" spans="1:14" x14ac:dyDescent="0.15">
      <c r="B2299" s="43" t="s">
        <v>26</v>
      </c>
      <c r="C2299" s="38">
        <f>C2295</f>
        <v>301</v>
      </c>
      <c r="D2299" s="39">
        <f t="shared" ref="D2299:D2309" si="237">SUM(C2299:C2299)</f>
        <v>301</v>
      </c>
      <c r="K2299" s="43" t="s">
        <v>26</v>
      </c>
      <c r="L2299" s="38">
        <f>L2295</f>
        <v>4465</v>
      </c>
      <c r="M2299" s="39">
        <f t="shared" ref="M2299:M2309" si="238">SUM(L2299:L2299)</f>
        <v>4465</v>
      </c>
    </row>
    <row r="2300" spans="1:14" x14ac:dyDescent="0.15">
      <c r="B2300" s="6" t="s">
        <v>3</v>
      </c>
      <c r="C2300" s="7">
        <v>200</v>
      </c>
      <c r="D2300" s="5">
        <f t="shared" si="237"/>
        <v>200</v>
      </c>
      <c r="E2300" s="74">
        <v>42954</v>
      </c>
      <c r="F2300" s="74"/>
      <c r="G2300" s="74"/>
      <c r="H2300" s="74"/>
      <c r="I2300" s="74"/>
      <c r="J2300" s="75"/>
      <c r="K2300" s="6" t="s">
        <v>3</v>
      </c>
      <c r="L2300" s="7"/>
      <c r="M2300" s="5">
        <f t="shared" si="238"/>
        <v>0</v>
      </c>
    </row>
    <row r="2301" spans="1:14" x14ac:dyDescent="0.15">
      <c r="B2301" s="6" t="s">
        <v>3</v>
      </c>
      <c r="C2301" s="7">
        <v>200</v>
      </c>
      <c r="D2301" s="5">
        <f t="shared" si="237"/>
        <v>200</v>
      </c>
      <c r="E2301" s="74">
        <v>42956</v>
      </c>
      <c r="F2301" s="74"/>
      <c r="G2301" s="74"/>
      <c r="H2301" s="74"/>
      <c r="I2301" s="74"/>
      <c r="K2301" s="6" t="s">
        <v>3</v>
      </c>
      <c r="L2301" s="7"/>
      <c r="M2301" s="5">
        <f t="shared" si="238"/>
        <v>0</v>
      </c>
    </row>
    <row r="2302" spans="1:14" x14ac:dyDescent="0.15">
      <c r="B2302" s="6" t="s">
        <v>3</v>
      </c>
      <c r="C2302" s="7">
        <v>200</v>
      </c>
      <c r="D2302" s="5">
        <f t="shared" si="237"/>
        <v>200</v>
      </c>
      <c r="E2302" s="74">
        <v>42963</v>
      </c>
      <c r="F2302" s="74"/>
      <c r="G2302" s="74"/>
      <c r="H2302" s="74"/>
      <c r="I2302" s="74"/>
      <c r="K2302" s="6" t="s">
        <v>3</v>
      </c>
      <c r="L2302" s="7"/>
      <c r="M2302" s="5">
        <f t="shared" si="238"/>
        <v>0</v>
      </c>
    </row>
    <row r="2303" spans="1:14" x14ac:dyDescent="0.15">
      <c r="B2303" s="6" t="s">
        <v>71</v>
      </c>
      <c r="C2303" s="7">
        <v>1</v>
      </c>
      <c r="D2303" s="5">
        <f t="shared" si="237"/>
        <v>1</v>
      </c>
      <c r="E2303" s="74">
        <v>42975</v>
      </c>
      <c r="F2303" s="74"/>
      <c r="G2303" s="74"/>
      <c r="H2303" s="74"/>
      <c r="I2303" s="74"/>
      <c r="K2303" s="6" t="s">
        <v>3</v>
      </c>
      <c r="L2303" s="7"/>
      <c r="M2303" s="5">
        <f t="shared" si="238"/>
        <v>0</v>
      </c>
    </row>
    <row r="2304" spans="1:14" x14ac:dyDescent="0.15">
      <c r="B2304" s="6" t="s">
        <v>3</v>
      </c>
      <c r="C2304" s="7"/>
      <c r="D2304" s="5">
        <f t="shared" si="237"/>
        <v>0</v>
      </c>
      <c r="E2304" s="74"/>
      <c r="F2304" s="74"/>
      <c r="G2304" s="74"/>
      <c r="H2304" s="74"/>
      <c r="I2304" s="74"/>
      <c r="K2304" s="6" t="s">
        <v>3</v>
      </c>
      <c r="L2304" s="7"/>
      <c r="M2304" s="5">
        <f t="shared" si="238"/>
        <v>0</v>
      </c>
    </row>
    <row r="2305" spans="2:14" x14ac:dyDescent="0.15">
      <c r="B2305" s="6" t="s">
        <v>3</v>
      </c>
      <c r="C2305" s="7"/>
      <c r="D2305" s="5">
        <f t="shared" si="237"/>
        <v>0</v>
      </c>
      <c r="E2305" s="74"/>
      <c r="F2305" s="74"/>
      <c r="G2305" s="74"/>
      <c r="H2305" s="74"/>
      <c r="I2305" s="74"/>
      <c r="K2305" s="6" t="s">
        <v>3</v>
      </c>
      <c r="L2305" s="7"/>
      <c r="M2305" s="5">
        <f t="shared" si="238"/>
        <v>0</v>
      </c>
    </row>
    <row r="2306" spans="2:14" x14ac:dyDescent="0.15">
      <c r="B2306" s="6" t="s">
        <v>3</v>
      </c>
      <c r="C2306" s="54"/>
      <c r="D2306" s="5">
        <f t="shared" si="237"/>
        <v>0</v>
      </c>
      <c r="E2306" s="137"/>
      <c r="F2306" s="137"/>
      <c r="G2306" s="137"/>
      <c r="H2306" s="137"/>
      <c r="I2306" s="137"/>
      <c r="K2306" s="6" t="s">
        <v>3</v>
      </c>
      <c r="L2306" s="7"/>
      <c r="M2306" s="5">
        <f t="shared" si="238"/>
        <v>0</v>
      </c>
    </row>
    <row r="2307" spans="2:14" x14ac:dyDescent="0.15">
      <c r="B2307" s="6" t="s">
        <v>3</v>
      </c>
      <c r="C2307" s="54"/>
      <c r="D2307" s="5">
        <f t="shared" si="237"/>
        <v>0</v>
      </c>
      <c r="K2307" s="6" t="s">
        <v>3</v>
      </c>
      <c r="L2307" s="7"/>
      <c r="M2307" s="5">
        <f t="shared" si="238"/>
        <v>0</v>
      </c>
    </row>
    <row r="2308" spans="2:14" x14ac:dyDescent="0.15">
      <c r="B2308" s="6" t="s">
        <v>3</v>
      </c>
      <c r="C2308" s="54"/>
      <c r="D2308" s="5">
        <f t="shared" si="237"/>
        <v>0</v>
      </c>
      <c r="K2308" s="6" t="s">
        <v>3</v>
      </c>
      <c r="L2308" s="7"/>
      <c r="M2308" s="5">
        <f t="shared" si="238"/>
        <v>0</v>
      </c>
    </row>
    <row r="2309" spans="2:14" ht="14.25" thickBot="1" x14ac:dyDescent="0.2">
      <c r="B2309" s="9" t="s">
        <v>3</v>
      </c>
      <c r="C2309" s="101"/>
      <c r="D2309" s="5">
        <f t="shared" si="237"/>
        <v>0</v>
      </c>
      <c r="K2309" s="9" t="s">
        <v>3</v>
      </c>
      <c r="L2309" s="10"/>
      <c r="M2309" s="5">
        <f t="shared" si="238"/>
        <v>0</v>
      </c>
    </row>
    <row r="2310" spans="2:14" ht="14.25" thickBot="1" x14ac:dyDescent="0.2">
      <c r="B2310" s="11" t="s">
        <v>4</v>
      </c>
      <c r="C2310" s="12">
        <f>SUM(C2299:C2309)</f>
        <v>902</v>
      </c>
      <c r="D2310" s="13">
        <f>SUM(D2299:D2309)</f>
        <v>902</v>
      </c>
      <c r="K2310" s="11" t="s">
        <v>4</v>
      </c>
      <c r="L2310" s="12">
        <f>SUM(L2299:L2309)</f>
        <v>4465</v>
      </c>
      <c r="M2310" s="13">
        <f>SUM(M2299:M2309)</f>
        <v>4465</v>
      </c>
    </row>
    <row r="2311" spans="2:14" x14ac:dyDescent="0.15">
      <c r="B2311" s="71" t="s">
        <v>318</v>
      </c>
      <c r="C2311" s="15">
        <v>20</v>
      </c>
      <c r="D2311" s="14">
        <f>SUM(C2311)</f>
        <v>20</v>
      </c>
      <c r="E2311" s="74">
        <v>42954</v>
      </c>
      <c r="F2311" s="74"/>
      <c r="G2311" s="74"/>
      <c r="H2311" s="74"/>
      <c r="I2311" s="74"/>
      <c r="K2311" s="69" t="s">
        <v>471</v>
      </c>
      <c r="L2311" s="15">
        <v>400</v>
      </c>
      <c r="M2311" s="14">
        <f>SUM(L2311:L2311)</f>
        <v>400</v>
      </c>
      <c r="N2311" s="74">
        <v>42954</v>
      </c>
    </row>
    <row r="2312" spans="2:14" x14ac:dyDescent="0.15">
      <c r="B2312" s="71" t="s">
        <v>391</v>
      </c>
      <c r="C2312" s="15">
        <v>120</v>
      </c>
      <c r="D2312" s="14">
        <f>SUM(C2312)</f>
        <v>120</v>
      </c>
      <c r="E2312" s="74">
        <v>42961</v>
      </c>
      <c r="F2312" s="74"/>
      <c r="G2312" s="74"/>
      <c r="H2312" s="74"/>
      <c r="I2312" s="74"/>
      <c r="J2312" s="36"/>
      <c r="K2312" s="4" t="s">
        <v>31</v>
      </c>
      <c r="L2312" s="15">
        <v>200</v>
      </c>
      <c r="M2312" s="14">
        <f t="shared" ref="M2312:M2323" si="239">SUM(L2312:L2312)</f>
        <v>200</v>
      </c>
      <c r="N2312" s="74">
        <v>42954</v>
      </c>
    </row>
    <row r="2313" spans="2:14" x14ac:dyDescent="0.15">
      <c r="B2313" s="71" t="s">
        <v>162</v>
      </c>
      <c r="C2313" s="15">
        <v>70</v>
      </c>
      <c r="D2313" s="14">
        <f t="shared" ref="D2313:D2332" si="240">SUM(C2313)</f>
        <v>70</v>
      </c>
      <c r="E2313" s="48">
        <v>42951</v>
      </c>
      <c r="F2313" s="48"/>
      <c r="G2313" s="48"/>
      <c r="H2313" s="48"/>
      <c r="I2313" s="48"/>
      <c r="J2313" s="51"/>
      <c r="K2313" s="4" t="s">
        <v>31</v>
      </c>
      <c r="L2313" s="15">
        <v>200</v>
      </c>
      <c r="M2313" s="14">
        <f t="shared" si="239"/>
        <v>200</v>
      </c>
      <c r="N2313" s="74">
        <v>42956</v>
      </c>
    </row>
    <row r="2314" spans="2:14" x14ac:dyDescent="0.15">
      <c r="B2314" s="71" t="s">
        <v>472</v>
      </c>
      <c r="C2314" s="15">
        <v>27</v>
      </c>
      <c r="D2314" s="14">
        <f t="shared" si="240"/>
        <v>27</v>
      </c>
      <c r="E2314" s="74">
        <v>42952</v>
      </c>
      <c r="F2314" s="74"/>
      <c r="G2314" s="74"/>
      <c r="H2314" s="74"/>
      <c r="I2314" s="74"/>
      <c r="J2314" s="51"/>
      <c r="K2314" s="4" t="s">
        <v>31</v>
      </c>
      <c r="L2314" s="15">
        <v>200</v>
      </c>
      <c r="M2314" s="14">
        <f t="shared" si="239"/>
        <v>200</v>
      </c>
      <c r="N2314" s="74">
        <v>42963</v>
      </c>
    </row>
    <row r="2315" spans="2:14" x14ac:dyDescent="0.15">
      <c r="B2315" s="71" t="s">
        <v>162</v>
      </c>
      <c r="C2315" s="15">
        <v>79</v>
      </c>
      <c r="D2315" s="14">
        <f t="shared" si="240"/>
        <v>79</v>
      </c>
      <c r="E2315" s="74">
        <v>42954</v>
      </c>
      <c r="F2315" s="74"/>
      <c r="G2315" s="74"/>
      <c r="H2315" s="74"/>
      <c r="I2315" s="74"/>
      <c r="J2315" s="51"/>
      <c r="K2315" s="69" t="s">
        <v>473</v>
      </c>
      <c r="L2315" s="15">
        <v>500</v>
      </c>
      <c r="M2315" s="14">
        <f t="shared" si="239"/>
        <v>500</v>
      </c>
      <c r="N2315" s="74">
        <v>42965</v>
      </c>
    </row>
    <row r="2316" spans="2:14" x14ac:dyDescent="0.15">
      <c r="B2316" s="71" t="s">
        <v>162</v>
      </c>
      <c r="C2316" s="15">
        <v>22</v>
      </c>
      <c r="D2316" s="14">
        <f t="shared" si="240"/>
        <v>22</v>
      </c>
      <c r="E2316" s="74">
        <v>42955</v>
      </c>
      <c r="F2316" s="74"/>
      <c r="G2316" s="74"/>
      <c r="H2316" s="74"/>
      <c r="I2316" s="74"/>
      <c r="J2316" s="51"/>
      <c r="K2316" s="69" t="s">
        <v>474</v>
      </c>
      <c r="L2316" s="15">
        <v>400</v>
      </c>
      <c r="M2316" s="14">
        <f t="shared" si="239"/>
        <v>400</v>
      </c>
      <c r="N2316" s="74">
        <v>42966</v>
      </c>
    </row>
    <row r="2317" spans="2:14" x14ac:dyDescent="0.15">
      <c r="B2317" s="71" t="s">
        <v>162</v>
      </c>
      <c r="C2317" s="15">
        <v>23</v>
      </c>
      <c r="D2317" s="14">
        <f t="shared" si="240"/>
        <v>23</v>
      </c>
      <c r="E2317" s="48">
        <v>42956</v>
      </c>
      <c r="F2317" s="48"/>
      <c r="G2317" s="48"/>
      <c r="H2317" s="48"/>
      <c r="I2317" s="48"/>
      <c r="J2317" s="51"/>
      <c r="K2317" s="4"/>
      <c r="L2317" s="15"/>
      <c r="M2317" s="14">
        <f t="shared" si="239"/>
        <v>0</v>
      </c>
      <c r="N2317" s="75"/>
    </row>
    <row r="2318" spans="2:14" x14ac:dyDescent="0.15">
      <c r="B2318" s="71" t="s">
        <v>39</v>
      </c>
      <c r="C2318" s="15">
        <v>50</v>
      </c>
      <c r="D2318" s="14">
        <f t="shared" si="240"/>
        <v>50</v>
      </c>
      <c r="E2318" s="48">
        <v>42958</v>
      </c>
      <c r="F2318" s="48"/>
      <c r="G2318" s="48"/>
      <c r="H2318" s="48"/>
      <c r="I2318" s="48"/>
      <c r="J2318" s="51"/>
      <c r="K2318" s="6"/>
      <c r="L2318" s="15"/>
      <c r="M2318" s="14">
        <f t="shared" si="239"/>
        <v>0</v>
      </c>
    </row>
    <row r="2319" spans="2:14" x14ac:dyDescent="0.15">
      <c r="B2319" s="71" t="s">
        <v>162</v>
      </c>
      <c r="C2319" s="15">
        <v>34</v>
      </c>
      <c r="D2319" s="14">
        <f t="shared" si="240"/>
        <v>34</v>
      </c>
      <c r="E2319" s="74">
        <v>42961</v>
      </c>
      <c r="F2319" s="74"/>
      <c r="G2319" s="74"/>
      <c r="H2319" s="74"/>
      <c r="I2319" s="74"/>
      <c r="J2319" s="51"/>
      <c r="K2319" s="4"/>
      <c r="L2319" s="15"/>
      <c r="M2319" s="14">
        <f t="shared" si="239"/>
        <v>0</v>
      </c>
    </row>
    <row r="2320" spans="2:14" x14ac:dyDescent="0.15">
      <c r="B2320" s="71" t="s">
        <v>162</v>
      </c>
      <c r="C2320" s="15">
        <v>17</v>
      </c>
      <c r="D2320" s="14">
        <f t="shared" si="240"/>
        <v>17</v>
      </c>
      <c r="E2320" s="74">
        <v>42957</v>
      </c>
      <c r="F2320" s="74"/>
      <c r="G2320" s="74"/>
      <c r="H2320" s="74"/>
      <c r="I2320" s="74"/>
      <c r="J2320" s="51"/>
      <c r="K2320" s="4"/>
      <c r="L2320" s="15"/>
      <c r="M2320" s="14">
        <f t="shared" si="239"/>
        <v>0</v>
      </c>
    </row>
    <row r="2321" spans="2:14" x14ac:dyDescent="0.15">
      <c r="B2321" s="71" t="s">
        <v>162</v>
      </c>
      <c r="C2321" s="15">
        <v>34</v>
      </c>
      <c r="D2321" s="14">
        <f t="shared" si="240"/>
        <v>34</v>
      </c>
      <c r="E2321" s="74">
        <v>42963</v>
      </c>
      <c r="F2321" s="74"/>
      <c r="G2321" s="74"/>
      <c r="H2321" s="74"/>
      <c r="I2321" s="74"/>
      <c r="J2321" s="51"/>
      <c r="K2321" s="4"/>
      <c r="L2321" s="15"/>
      <c r="M2321" s="14">
        <f t="shared" si="239"/>
        <v>0</v>
      </c>
    </row>
    <row r="2322" spans="2:14" x14ac:dyDescent="0.15">
      <c r="B2322" s="71" t="s">
        <v>475</v>
      </c>
      <c r="C2322" s="15">
        <v>48</v>
      </c>
      <c r="D2322" s="14">
        <f t="shared" si="240"/>
        <v>48</v>
      </c>
      <c r="E2322" s="74">
        <v>42965</v>
      </c>
      <c r="F2322" s="74"/>
      <c r="G2322" s="74"/>
      <c r="H2322" s="74"/>
      <c r="I2322" s="74"/>
      <c r="J2322" s="51"/>
      <c r="K2322" s="4"/>
      <c r="L2322" s="15"/>
      <c r="M2322" s="14">
        <f t="shared" si="239"/>
        <v>0</v>
      </c>
    </row>
    <row r="2323" spans="2:14" x14ac:dyDescent="0.15">
      <c r="B2323" s="71" t="s">
        <v>162</v>
      </c>
      <c r="C2323" s="15">
        <v>8</v>
      </c>
      <c r="D2323" s="14">
        <f t="shared" si="240"/>
        <v>8</v>
      </c>
      <c r="E2323" s="74">
        <v>42964</v>
      </c>
      <c r="F2323" s="74"/>
      <c r="G2323" s="74"/>
      <c r="H2323" s="74"/>
      <c r="I2323" s="74"/>
      <c r="J2323" s="51"/>
      <c r="K2323" s="6"/>
      <c r="L2323" s="15"/>
      <c r="M2323" s="14">
        <f t="shared" si="239"/>
        <v>0</v>
      </c>
    </row>
    <row r="2324" spans="2:14" x14ac:dyDescent="0.15">
      <c r="B2324" s="71" t="s">
        <v>162</v>
      </c>
      <c r="C2324" s="15">
        <v>6</v>
      </c>
      <c r="D2324" s="14">
        <f t="shared" si="240"/>
        <v>6</v>
      </c>
      <c r="E2324" s="74">
        <v>42965</v>
      </c>
      <c r="F2324" s="74"/>
      <c r="G2324" s="74"/>
      <c r="H2324" s="74"/>
      <c r="I2324" s="74"/>
      <c r="J2324" s="51"/>
      <c r="K2324" s="67"/>
      <c r="L2324" s="15"/>
      <c r="M2324" s="14">
        <f>SUM(L2324)</f>
        <v>0</v>
      </c>
    </row>
    <row r="2325" spans="2:14" x14ac:dyDescent="0.15">
      <c r="B2325" s="71" t="s">
        <v>162</v>
      </c>
      <c r="C2325" s="15">
        <v>14</v>
      </c>
      <c r="D2325" s="14">
        <f t="shared" si="240"/>
        <v>14</v>
      </c>
      <c r="E2325" s="74">
        <v>42966</v>
      </c>
      <c r="F2325" s="74"/>
      <c r="G2325" s="74"/>
      <c r="H2325" s="74"/>
      <c r="I2325" s="74"/>
      <c r="J2325" s="51"/>
      <c r="K2325" s="4"/>
      <c r="L2325" s="15"/>
      <c r="M2325" s="14">
        <f>SUM(L2325:L2325)</f>
        <v>0</v>
      </c>
    </row>
    <row r="2326" spans="2:14" x14ac:dyDescent="0.15">
      <c r="B2326" s="71" t="s">
        <v>162</v>
      </c>
      <c r="C2326" s="15">
        <v>12</v>
      </c>
      <c r="D2326" s="14">
        <f t="shared" si="240"/>
        <v>12</v>
      </c>
      <c r="E2326" s="74">
        <v>42968</v>
      </c>
      <c r="F2326" s="74"/>
      <c r="G2326" s="74"/>
      <c r="H2326" s="74"/>
      <c r="I2326" s="74"/>
      <c r="J2326" s="51"/>
      <c r="K2326" s="4"/>
      <c r="L2326" s="15"/>
      <c r="M2326" s="14">
        <f t="shared" ref="M2326:M2334" si="241">SUM(L2326)</f>
        <v>0</v>
      </c>
      <c r="N2326" s="75"/>
    </row>
    <row r="2327" spans="2:14" x14ac:dyDescent="0.15">
      <c r="B2327" s="71" t="s">
        <v>162</v>
      </c>
      <c r="C2327" s="15">
        <v>7</v>
      </c>
      <c r="D2327" s="14">
        <f t="shared" si="240"/>
        <v>7</v>
      </c>
      <c r="E2327" s="74">
        <v>42969</v>
      </c>
      <c r="F2327" s="74"/>
      <c r="G2327" s="74"/>
      <c r="H2327" s="74"/>
      <c r="I2327" s="74"/>
      <c r="J2327" s="51"/>
      <c r="K2327" s="6"/>
      <c r="L2327" s="15"/>
      <c r="M2327" s="14">
        <f t="shared" si="241"/>
        <v>0</v>
      </c>
      <c r="N2327" s="75"/>
    </row>
    <row r="2328" spans="2:14" x14ac:dyDescent="0.15">
      <c r="B2328" s="71" t="s">
        <v>478</v>
      </c>
      <c r="C2328" s="15">
        <v>50</v>
      </c>
      <c r="D2328" s="14">
        <f t="shared" si="240"/>
        <v>50</v>
      </c>
      <c r="E2328" s="74">
        <v>42971</v>
      </c>
      <c r="F2328" s="74"/>
      <c r="G2328" s="74"/>
      <c r="H2328" s="74"/>
      <c r="I2328" s="74"/>
      <c r="J2328" s="51"/>
      <c r="K2328" s="4"/>
      <c r="L2328" s="15"/>
      <c r="M2328" s="14">
        <f t="shared" si="241"/>
        <v>0</v>
      </c>
      <c r="N2328" s="75"/>
    </row>
    <row r="2329" spans="2:14" x14ac:dyDescent="0.15">
      <c r="B2329" s="71" t="s">
        <v>162</v>
      </c>
      <c r="C2329" s="15">
        <v>17</v>
      </c>
      <c r="D2329" s="14">
        <f t="shared" si="240"/>
        <v>17</v>
      </c>
      <c r="E2329" s="74">
        <v>42970</v>
      </c>
      <c r="F2329" s="74"/>
      <c r="G2329" s="74"/>
      <c r="H2329" s="74"/>
      <c r="I2329" s="74"/>
      <c r="J2329" s="51"/>
      <c r="K2329" s="6"/>
      <c r="L2329" s="15"/>
      <c r="M2329" s="14">
        <f t="shared" si="241"/>
        <v>0</v>
      </c>
      <c r="N2329" s="75"/>
    </row>
    <row r="2330" spans="2:14" x14ac:dyDescent="0.15">
      <c r="B2330" s="71" t="s">
        <v>162</v>
      </c>
      <c r="C2330" s="15">
        <v>11</v>
      </c>
      <c r="D2330" s="14">
        <f t="shared" si="240"/>
        <v>11</v>
      </c>
      <c r="E2330" s="74">
        <v>42971</v>
      </c>
      <c r="F2330" s="74"/>
      <c r="G2330" s="74"/>
      <c r="H2330" s="74"/>
      <c r="I2330" s="74"/>
      <c r="J2330" s="51"/>
      <c r="K2330" s="4"/>
      <c r="L2330" s="15"/>
      <c r="M2330" s="14">
        <f>SUM(L2330)</f>
        <v>0</v>
      </c>
      <c r="N2330" s="75"/>
    </row>
    <row r="2331" spans="2:14" x14ac:dyDescent="0.15">
      <c r="B2331" s="71" t="s">
        <v>162</v>
      </c>
      <c r="C2331" s="15">
        <v>12</v>
      </c>
      <c r="D2331" s="14">
        <f t="shared" si="240"/>
        <v>12</v>
      </c>
      <c r="E2331" s="74">
        <v>42972</v>
      </c>
      <c r="F2331" s="74"/>
      <c r="G2331" s="74"/>
      <c r="H2331" s="74"/>
      <c r="I2331" s="74"/>
      <c r="J2331" s="51"/>
      <c r="K2331" s="4"/>
      <c r="L2331" s="15"/>
      <c r="M2331" s="14">
        <f>SUM(L2331)</f>
        <v>0</v>
      </c>
      <c r="N2331" s="75"/>
    </row>
    <row r="2332" spans="2:14" x14ac:dyDescent="0.15">
      <c r="B2332" s="71" t="s">
        <v>162</v>
      </c>
      <c r="C2332" s="15">
        <v>3</v>
      </c>
      <c r="D2332" s="14">
        <f t="shared" si="240"/>
        <v>3</v>
      </c>
      <c r="E2332" s="74">
        <v>42973</v>
      </c>
      <c r="F2332" s="74"/>
      <c r="G2332" s="74"/>
      <c r="H2332" s="74"/>
      <c r="I2332" s="74"/>
      <c r="J2332" s="51"/>
      <c r="K2332" s="4"/>
      <c r="L2332" s="15"/>
      <c r="M2332" s="14">
        <f t="shared" si="241"/>
        <v>0</v>
      </c>
      <c r="N2332" s="75"/>
    </row>
    <row r="2333" spans="2:14" x14ac:dyDescent="0.15">
      <c r="B2333" s="71" t="s">
        <v>162</v>
      </c>
      <c r="C2333" s="15">
        <v>3</v>
      </c>
      <c r="D2333" s="14">
        <f>SUM(C2333)</f>
        <v>3</v>
      </c>
      <c r="E2333" s="74">
        <v>42975</v>
      </c>
      <c r="F2333" s="74"/>
      <c r="G2333" s="74"/>
      <c r="H2333" s="74"/>
      <c r="I2333" s="74"/>
      <c r="J2333" s="51"/>
      <c r="K2333" s="4"/>
      <c r="L2333" s="15"/>
      <c r="M2333" s="14">
        <f t="shared" si="241"/>
        <v>0</v>
      </c>
    </row>
    <row r="2334" spans="2:14" ht="14.25" thickBot="1" x14ac:dyDescent="0.2">
      <c r="B2334" s="71" t="s">
        <v>477</v>
      </c>
      <c r="C2334" s="15">
        <v>48</v>
      </c>
      <c r="D2334" s="14">
        <f>SUM(C2334)</f>
        <v>48</v>
      </c>
      <c r="E2334" s="48">
        <v>42975</v>
      </c>
      <c r="F2334" s="48"/>
      <c r="G2334" s="48"/>
      <c r="H2334" s="48"/>
      <c r="I2334" s="48"/>
      <c r="J2334" s="51"/>
      <c r="K2334" s="69"/>
      <c r="L2334" s="15"/>
      <c r="M2334" s="14">
        <f t="shared" si="241"/>
        <v>0</v>
      </c>
      <c r="N2334" s="75"/>
    </row>
    <row r="2335" spans="2:14" ht="14.25" thickBot="1" x14ac:dyDescent="0.2">
      <c r="B2335" s="3" t="s">
        <v>5</v>
      </c>
      <c r="C2335" s="16">
        <f>SUM(C2311:C2334)</f>
        <v>735</v>
      </c>
      <c r="D2335" s="17">
        <f>SUM(D2311:D2334)</f>
        <v>735</v>
      </c>
      <c r="K2335" s="3" t="s">
        <v>5</v>
      </c>
      <c r="L2335" s="16">
        <f>SUM(L2311:L2334)</f>
        <v>1900</v>
      </c>
      <c r="M2335" s="17">
        <f>SUM(M2311:M2334)</f>
        <v>1900</v>
      </c>
    </row>
    <row r="2336" spans="2:14" ht="14.25" thickBot="1" x14ac:dyDescent="0.2">
      <c r="B2336" s="18" t="s">
        <v>6</v>
      </c>
      <c r="C2336" s="19">
        <f>C2310-C2335</f>
        <v>167</v>
      </c>
      <c r="D2336" s="13">
        <f>D2310-D2335</f>
        <v>167</v>
      </c>
      <c r="K2336" s="18" t="s">
        <v>6</v>
      </c>
      <c r="L2336" s="19">
        <f>L2310-L2335</f>
        <v>2565</v>
      </c>
      <c r="M2336" s="13">
        <f>M2310-M2335</f>
        <v>2565</v>
      </c>
    </row>
    <row r="2338" spans="1:14" ht="18" thickBot="1" x14ac:dyDescent="0.25">
      <c r="A2338" s="27" t="s">
        <v>8</v>
      </c>
      <c r="B2338" s="28"/>
      <c r="C2338" s="28"/>
      <c r="D2338" s="28"/>
      <c r="J2338" s="139" t="s">
        <v>218</v>
      </c>
      <c r="K2338" s="140"/>
      <c r="L2338" s="140"/>
      <c r="M2338" s="140"/>
    </row>
    <row r="2339" spans="1:14" ht="14.25" thickBot="1" x14ac:dyDescent="0.2">
      <c r="B2339" s="2"/>
      <c r="C2339" s="3" t="s">
        <v>0</v>
      </c>
      <c r="D2339" s="2" t="s">
        <v>1</v>
      </c>
      <c r="K2339" s="2"/>
      <c r="L2339" s="3" t="s">
        <v>0</v>
      </c>
      <c r="M2339" s="2" t="s">
        <v>1</v>
      </c>
    </row>
    <row r="2340" spans="1:14" x14ac:dyDescent="0.15">
      <c r="B2340" s="43" t="s">
        <v>26</v>
      </c>
      <c r="C2340" s="38">
        <f>C2336</f>
        <v>167</v>
      </c>
      <c r="D2340" s="39">
        <f t="shared" ref="D2340:D2350" si="242">SUM(C2340:C2340)</f>
        <v>167</v>
      </c>
      <c r="K2340" s="43" t="s">
        <v>26</v>
      </c>
      <c r="L2340" s="38">
        <f>L2336</f>
        <v>2565</v>
      </c>
      <c r="M2340" s="39">
        <f t="shared" ref="M2340:M2350" si="243">SUM(L2340:L2340)</f>
        <v>2565</v>
      </c>
    </row>
    <row r="2341" spans="1:14" x14ac:dyDescent="0.15">
      <c r="B2341" s="6" t="s">
        <v>377</v>
      </c>
      <c r="C2341" s="7">
        <v>1</v>
      </c>
      <c r="D2341" s="5">
        <f t="shared" si="242"/>
        <v>1</v>
      </c>
      <c r="E2341" s="74">
        <v>42977</v>
      </c>
      <c r="F2341" s="74"/>
      <c r="G2341" s="74"/>
      <c r="H2341" s="74"/>
      <c r="I2341" s="74"/>
      <c r="J2341" s="75"/>
      <c r="K2341" s="6" t="s">
        <v>3</v>
      </c>
      <c r="L2341" s="7"/>
      <c r="M2341" s="5">
        <f t="shared" si="243"/>
        <v>0</v>
      </c>
    </row>
    <row r="2342" spans="1:14" x14ac:dyDescent="0.15">
      <c r="B2342" s="6" t="s">
        <v>3</v>
      </c>
      <c r="C2342" s="7">
        <v>200</v>
      </c>
      <c r="D2342" s="5">
        <f t="shared" si="242"/>
        <v>200</v>
      </c>
      <c r="E2342" s="74">
        <v>42983</v>
      </c>
      <c r="F2342" s="74"/>
      <c r="G2342" s="74"/>
      <c r="H2342" s="74"/>
      <c r="I2342" s="74"/>
      <c r="K2342" s="6" t="s">
        <v>3</v>
      </c>
      <c r="L2342" s="7"/>
      <c r="M2342" s="5">
        <f t="shared" si="243"/>
        <v>0</v>
      </c>
    </row>
    <row r="2343" spans="1:14" x14ac:dyDescent="0.15">
      <c r="B2343" s="6" t="s">
        <v>387</v>
      </c>
      <c r="C2343" s="7">
        <v>8</v>
      </c>
      <c r="D2343" s="5">
        <f t="shared" si="242"/>
        <v>8</v>
      </c>
      <c r="E2343" s="74">
        <v>42991</v>
      </c>
      <c r="F2343" s="74"/>
      <c r="G2343" s="74"/>
      <c r="H2343" s="74"/>
      <c r="I2343" s="74"/>
      <c r="K2343" s="6" t="s">
        <v>3</v>
      </c>
      <c r="L2343" s="7"/>
      <c r="M2343" s="5">
        <f t="shared" si="243"/>
        <v>0</v>
      </c>
    </row>
    <row r="2344" spans="1:14" x14ac:dyDescent="0.15">
      <c r="B2344" s="6" t="s">
        <v>64</v>
      </c>
      <c r="C2344" s="7">
        <v>88</v>
      </c>
      <c r="D2344" s="5">
        <f t="shared" si="242"/>
        <v>88</v>
      </c>
      <c r="E2344" s="74">
        <v>42991</v>
      </c>
      <c r="F2344" s="74"/>
      <c r="G2344" s="74"/>
      <c r="H2344" s="74"/>
      <c r="I2344" s="74"/>
      <c r="K2344" s="6" t="s">
        <v>3</v>
      </c>
      <c r="L2344" s="7"/>
      <c r="M2344" s="5">
        <f t="shared" si="243"/>
        <v>0</v>
      </c>
    </row>
    <row r="2345" spans="1:14" x14ac:dyDescent="0.15">
      <c r="B2345" s="6" t="s">
        <v>3</v>
      </c>
      <c r="C2345" s="7"/>
      <c r="D2345" s="5">
        <f t="shared" si="242"/>
        <v>0</v>
      </c>
      <c r="E2345" s="74"/>
      <c r="F2345" s="74"/>
      <c r="G2345" s="74"/>
      <c r="H2345" s="74"/>
      <c r="I2345" s="74"/>
      <c r="K2345" s="6" t="s">
        <v>3</v>
      </c>
      <c r="L2345" s="7"/>
      <c r="M2345" s="5">
        <f t="shared" si="243"/>
        <v>0</v>
      </c>
    </row>
    <row r="2346" spans="1:14" x14ac:dyDescent="0.15">
      <c r="B2346" s="6" t="s">
        <v>3</v>
      </c>
      <c r="C2346" s="7"/>
      <c r="D2346" s="5">
        <f t="shared" si="242"/>
        <v>0</v>
      </c>
      <c r="E2346" s="74"/>
      <c r="F2346" s="74"/>
      <c r="G2346" s="74"/>
      <c r="H2346" s="74"/>
      <c r="I2346" s="74"/>
      <c r="K2346" s="6" t="s">
        <v>3</v>
      </c>
      <c r="L2346" s="7"/>
      <c r="M2346" s="5">
        <f t="shared" si="243"/>
        <v>0</v>
      </c>
    </row>
    <row r="2347" spans="1:14" x14ac:dyDescent="0.15">
      <c r="B2347" s="6" t="s">
        <v>3</v>
      </c>
      <c r="C2347" s="54"/>
      <c r="D2347" s="5">
        <f t="shared" si="242"/>
        <v>0</v>
      </c>
      <c r="E2347" s="137"/>
      <c r="F2347" s="137"/>
      <c r="G2347" s="137"/>
      <c r="H2347" s="137"/>
      <c r="I2347" s="137"/>
      <c r="K2347" s="6" t="s">
        <v>3</v>
      </c>
      <c r="L2347" s="7"/>
      <c r="M2347" s="5">
        <f t="shared" si="243"/>
        <v>0</v>
      </c>
    </row>
    <row r="2348" spans="1:14" x14ac:dyDescent="0.15">
      <c r="B2348" s="6" t="s">
        <v>3</v>
      </c>
      <c r="C2348" s="54"/>
      <c r="D2348" s="5">
        <f t="shared" si="242"/>
        <v>0</v>
      </c>
      <c r="K2348" s="6" t="s">
        <v>3</v>
      </c>
      <c r="L2348" s="7"/>
      <c r="M2348" s="5">
        <f t="shared" si="243"/>
        <v>0</v>
      </c>
    </row>
    <row r="2349" spans="1:14" x14ac:dyDescent="0.15">
      <c r="B2349" s="6" t="s">
        <v>3</v>
      </c>
      <c r="C2349" s="54"/>
      <c r="D2349" s="5">
        <f t="shared" si="242"/>
        <v>0</v>
      </c>
      <c r="K2349" s="6" t="s">
        <v>3</v>
      </c>
      <c r="L2349" s="7"/>
      <c r="M2349" s="5">
        <f t="shared" si="243"/>
        <v>0</v>
      </c>
    </row>
    <row r="2350" spans="1:14" ht="14.25" thickBot="1" x14ac:dyDescent="0.2">
      <c r="B2350" s="9" t="s">
        <v>3</v>
      </c>
      <c r="C2350" s="101"/>
      <c r="D2350" s="5">
        <f t="shared" si="242"/>
        <v>0</v>
      </c>
      <c r="K2350" s="9" t="s">
        <v>3</v>
      </c>
      <c r="L2350" s="10"/>
      <c r="M2350" s="5">
        <f t="shared" si="243"/>
        <v>0</v>
      </c>
    </row>
    <row r="2351" spans="1:14" ht="14.25" thickBot="1" x14ac:dyDescent="0.2">
      <c r="B2351" s="11" t="s">
        <v>4</v>
      </c>
      <c r="C2351" s="12">
        <f>SUM(C2340:C2350)</f>
        <v>464</v>
      </c>
      <c r="D2351" s="13">
        <f>SUM(D2340:D2350)</f>
        <v>464</v>
      </c>
      <c r="K2351" s="11" t="s">
        <v>4</v>
      </c>
      <c r="L2351" s="12">
        <f>SUM(L2340:L2350)</f>
        <v>2565</v>
      </c>
      <c r="M2351" s="13">
        <f>SUM(M2340:M2350)</f>
        <v>2565</v>
      </c>
    </row>
    <row r="2352" spans="1:14" x14ac:dyDescent="0.15">
      <c r="B2352" s="71" t="s">
        <v>476</v>
      </c>
      <c r="C2352" s="15">
        <v>30</v>
      </c>
      <c r="D2352" s="14">
        <f>SUM(C2352)</f>
        <v>30</v>
      </c>
      <c r="E2352" s="74">
        <v>42978</v>
      </c>
      <c r="F2352" s="74"/>
      <c r="G2352" s="74"/>
      <c r="H2352" s="74"/>
      <c r="I2352" s="74"/>
      <c r="K2352" s="69" t="s">
        <v>31</v>
      </c>
      <c r="L2352" s="15">
        <v>200</v>
      </c>
      <c r="M2352" s="14">
        <f>SUM(L2352:L2352)</f>
        <v>200</v>
      </c>
      <c r="N2352" s="74">
        <v>42983</v>
      </c>
    </row>
    <row r="2353" spans="2:13" x14ac:dyDescent="0.15">
      <c r="B2353" s="71" t="s">
        <v>162</v>
      </c>
      <c r="C2353" s="15">
        <v>9</v>
      </c>
      <c r="D2353" s="14">
        <f>SUM(C2353)</f>
        <v>9</v>
      </c>
      <c r="E2353" s="74">
        <v>42976</v>
      </c>
      <c r="F2353" s="74"/>
      <c r="G2353" s="74"/>
      <c r="H2353" s="74"/>
      <c r="I2353" s="74"/>
      <c r="J2353" s="36"/>
      <c r="K2353" s="4"/>
      <c r="L2353" s="15"/>
      <c r="M2353" s="14">
        <f t="shared" ref="M2353:M2364" si="244">SUM(L2353:L2353)</f>
        <v>0</v>
      </c>
    </row>
    <row r="2354" spans="2:13" x14ac:dyDescent="0.15">
      <c r="B2354" s="71" t="s">
        <v>162</v>
      </c>
      <c r="C2354" s="15">
        <v>18</v>
      </c>
      <c r="D2354" s="14">
        <f t="shared" ref="D2354:D2373" si="245">SUM(C2354)</f>
        <v>18</v>
      </c>
      <c r="E2354" s="48">
        <v>42977</v>
      </c>
      <c r="F2354" s="48"/>
      <c r="G2354" s="48"/>
      <c r="H2354" s="48"/>
      <c r="I2354" s="48"/>
      <c r="J2354" s="51"/>
      <c r="K2354" s="4"/>
      <c r="L2354" s="15"/>
      <c r="M2354" s="14">
        <f t="shared" si="244"/>
        <v>0</v>
      </c>
    </row>
    <row r="2355" spans="2:13" x14ac:dyDescent="0.15">
      <c r="B2355" s="71" t="s">
        <v>162</v>
      </c>
      <c r="C2355" s="15">
        <v>48</v>
      </c>
      <c r="D2355" s="14">
        <f t="shared" si="245"/>
        <v>48</v>
      </c>
      <c r="E2355" s="74">
        <v>42979</v>
      </c>
      <c r="F2355" s="74"/>
      <c r="G2355" s="74"/>
      <c r="H2355" s="74"/>
      <c r="I2355" s="74"/>
      <c r="J2355" s="51"/>
      <c r="K2355" s="4"/>
      <c r="L2355" s="15"/>
      <c r="M2355" s="14">
        <f t="shared" si="244"/>
        <v>0</v>
      </c>
    </row>
    <row r="2356" spans="2:13" x14ac:dyDescent="0.15">
      <c r="B2356" s="71" t="s">
        <v>162</v>
      </c>
      <c r="C2356" s="15">
        <v>4</v>
      </c>
      <c r="D2356" s="14">
        <f t="shared" si="245"/>
        <v>4</v>
      </c>
      <c r="E2356" s="74">
        <v>42978</v>
      </c>
      <c r="F2356" s="74"/>
      <c r="G2356" s="74"/>
      <c r="H2356" s="74"/>
      <c r="I2356" s="74"/>
      <c r="J2356" s="51"/>
      <c r="K2356" s="69"/>
      <c r="L2356" s="15"/>
      <c r="M2356" s="14">
        <f t="shared" si="244"/>
        <v>0</v>
      </c>
    </row>
    <row r="2357" spans="2:13" x14ac:dyDescent="0.15">
      <c r="B2357" s="71" t="s">
        <v>162</v>
      </c>
      <c r="C2357" s="15">
        <v>2</v>
      </c>
      <c r="D2357" s="14">
        <f t="shared" si="245"/>
        <v>2</v>
      </c>
      <c r="E2357" s="74">
        <v>42979</v>
      </c>
      <c r="F2357" s="74"/>
      <c r="G2357" s="74"/>
      <c r="H2357" s="74"/>
      <c r="I2357" s="74"/>
      <c r="J2357" s="51"/>
      <c r="K2357" s="69"/>
      <c r="L2357" s="15"/>
      <c r="M2357" s="14">
        <f t="shared" si="244"/>
        <v>0</v>
      </c>
    </row>
    <row r="2358" spans="2:13" x14ac:dyDescent="0.15">
      <c r="B2358" s="71" t="s">
        <v>162</v>
      </c>
      <c r="C2358" s="15">
        <v>3</v>
      </c>
      <c r="D2358" s="14">
        <f t="shared" si="245"/>
        <v>3</v>
      </c>
      <c r="E2358" s="48">
        <v>42980</v>
      </c>
      <c r="F2358" s="48"/>
      <c r="G2358" s="48"/>
      <c r="H2358" s="48"/>
      <c r="I2358" s="48"/>
      <c r="J2358" s="51"/>
      <c r="K2358" s="4"/>
      <c r="L2358" s="15"/>
      <c r="M2358" s="14">
        <f t="shared" si="244"/>
        <v>0</v>
      </c>
    </row>
    <row r="2359" spans="2:13" x14ac:dyDescent="0.15">
      <c r="B2359" s="71" t="s">
        <v>480</v>
      </c>
      <c r="C2359" s="15">
        <v>42</v>
      </c>
      <c r="D2359" s="14">
        <f t="shared" si="245"/>
        <v>42</v>
      </c>
      <c r="E2359" s="48">
        <v>42983</v>
      </c>
      <c r="F2359" s="48"/>
      <c r="G2359" s="48"/>
      <c r="H2359" s="48"/>
      <c r="I2359" s="48"/>
      <c r="J2359" s="51"/>
      <c r="K2359" s="6"/>
      <c r="L2359" s="15"/>
      <c r="M2359" s="14">
        <f t="shared" si="244"/>
        <v>0</v>
      </c>
    </row>
    <row r="2360" spans="2:13" x14ac:dyDescent="0.15">
      <c r="B2360" s="71" t="s">
        <v>162</v>
      </c>
      <c r="C2360" s="15">
        <v>9</v>
      </c>
      <c r="D2360" s="14">
        <f t="shared" si="245"/>
        <v>9</v>
      </c>
      <c r="E2360" s="74">
        <v>42982</v>
      </c>
      <c r="F2360" s="74"/>
      <c r="G2360" s="74"/>
      <c r="H2360" s="74"/>
      <c r="I2360" s="74"/>
      <c r="J2360" s="51"/>
      <c r="K2360" s="4"/>
      <c r="L2360" s="15"/>
      <c r="M2360" s="14">
        <f t="shared" si="244"/>
        <v>0</v>
      </c>
    </row>
    <row r="2361" spans="2:13" x14ac:dyDescent="0.15">
      <c r="B2361" s="71" t="s">
        <v>479</v>
      </c>
      <c r="C2361" s="15">
        <v>12</v>
      </c>
      <c r="D2361" s="14">
        <f t="shared" si="245"/>
        <v>12</v>
      </c>
      <c r="E2361" s="74">
        <v>42990</v>
      </c>
      <c r="F2361" s="74"/>
      <c r="G2361" s="74"/>
      <c r="H2361" s="74"/>
      <c r="I2361" s="74"/>
      <c r="J2361" s="51"/>
      <c r="K2361" s="4"/>
      <c r="L2361" s="15"/>
      <c r="M2361" s="14">
        <f t="shared" si="244"/>
        <v>0</v>
      </c>
    </row>
    <row r="2362" spans="2:13" x14ac:dyDescent="0.15">
      <c r="B2362" s="71" t="s">
        <v>162</v>
      </c>
      <c r="C2362" s="15">
        <v>6</v>
      </c>
      <c r="D2362" s="14">
        <f t="shared" si="245"/>
        <v>6</v>
      </c>
      <c r="E2362" s="74">
        <v>42983</v>
      </c>
      <c r="F2362" s="74"/>
      <c r="G2362" s="74"/>
      <c r="H2362" s="74"/>
      <c r="I2362" s="74"/>
      <c r="J2362" s="51"/>
      <c r="K2362" s="4"/>
      <c r="L2362" s="15"/>
      <c r="M2362" s="14">
        <f t="shared" si="244"/>
        <v>0</v>
      </c>
    </row>
    <row r="2363" spans="2:13" x14ac:dyDescent="0.15">
      <c r="B2363" s="71" t="s">
        <v>482</v>
      </c>
      <c r="C2363" s="15">
        <v>48</v>
      </c>
      <c r="D2363" s="14">
        <f t="shared" si="245"/>
        <v>48</v>
      </c>
      <c r="E2363" s="74">
        <v>42985</v>
      </c>
      <c r="F2363" s="74"/>
      <c r="G2363" s="74"/>
      <c r="H2363" s="74"/>
      <c r="I2363" s="74"/>
      <c r="J2363" s="51"/>
      <c r="K2363" s="4"/>
      <c r="L2363" s="15"/>
      <c r="M2363" s="14">
        <f t="shared" si="244"/>
        <v>0</v>
      </c>
    </row>
    <row r="2364" spans="2:13" x14ac:dyDescent="0.15">
      <c r="B2364" s="71" t="s">
        <v>481</v>
      </c>
      <c r="C2364" s="15">
        <v>1</v>
      </c>
      <c r="D2364" s="14">
        <f t="shared" si="245"/>
        <v>1</v>
      </c>
      <c r="E2364" s="74">
        <v>42984</v>
      </c>
      <c r="F2364" s="74"/>
      <c r="G2364" s="74"/>
      <c r="H2364" s="74"/>
      <c r="I2364" s="74"/>
      <c r="J2364" s="51"/>
      <c r="K2364" s="6"/>
      <c r="L2364" s="15"/>
      <c r="M2364" s="14">
        <f t="shared" si="244"/>
        <v>0</v>
      </c>
    </row>
    <row r="2365" spans="2:13" x14ac:dyDescent="0.15">
      <c r="B2365" s="71" t="s">
        <v>162</v>
      </c>
      <c r="C2365" s="15">
        <v>9</v>
      </c>
      <c r="D2365" s="14">
        <f t="shared" si="245"/>
        <v>9</v>
      </c>
      <c r="E2365" s="74">
        <v>42984</v>
      </c>
      <c r="F2365" s="74"/>
      <c r="G2365" s="74"/>
      <c r="H2365" s="74"/>
      <c r="I2365" s="74"/>
      <c r="J2365" s="51"/>
      <c r="K2365" s="67"/>
      <c r="L2365" s="15"/>
      <c r="M2365" s="14">
        <f>SUM(L2365)</f>
        <v>0</v>
      </c>
    </row>
    <row r="2366" spans="2:13" x14ac:dyDescent="0.15">
      <c r="B2366" s="71" t="s">
        <v>162</v>
      </c>
      <c r="C2366" s="15">
        <v>2</v>
      </c>
      <c r="D2366" s="14">
        <f t="shared" si="245"/>
        <v>2</v>
      </c>
      <c r="E2366" s="74">
        <v>42985</v>
      </c>
      <c r="F2366" s="74"/>
      <c r="G2366" s="74"/>
      <c r="H2366" s="74"/>
      <c r="I2366" s="74"/>
      <c r="J2366" s="51"/>
      <c r="K2366" s="4"/>
      <c r="L2366" s="15"/>
      <c r="M2366" s="14">
        <f>SUM(L2366:L2366)</f>
        <v>0</v>
      </c>
    </row>
    <row r="2367" spans="2:13" x14ac:dyDescent="0.15">
      <c r="B2367" s="71" t="s">
        <v>39</v>
      </c>
      <c r="C2367" s="15">
        <v>24</v>
      </c>
      <c r="D2367" s="14">
        <f t="shared" si="245"/>
        <v>24</v>
      </c>
      <c r="E2367" s="74">
        <v>42990</v>
      </c>
      <c r="F2367" s="74"/>
      <c r="G2367" s="74"/>
      <c r="H2367" s="74"/>
      <c r="I2367" s="74"/>
      <c r="J2367" s="51"/>
      <c r="K2367" s="4"/>
      <c r="L2367" s="15"/>
      <c r="M2367" s="14">
        <f t="shared" ref="M2367:M2375" si="246">SUM(L2367)</f>
        <v>0</v>
      </c>
    </row>
    <row r="2368" spans="2:13" x14ac:dyDescent="0.15">
      <c r="B2368" s="71" t="s">
        <v>162</v>
      </c>
      <c r="C2368" s="15">
        <v>4</v>
      </c>
      <c r="D2368" s="14">
        <f t="shared" si="245"/>
        <v>4</v>
      </c>
      <c r="E2368" s="74">
        <v>42989</v>
      </c>
      <c r="F2368" s="74"/>
      <c r="G2368" s="74"/>
      <c r="H2368" s="74"/>
      <c r="I2368" s="74"/>
      <c r="J2368" s="51"/>
      <c r="K2368" s="6"/>
      <c r="L2368" s="15"/>
      <c r="M2368" s="14">
        <f t="shared" si="246"/>
        <v>0</v>
      </c>
    </row>
    <row r="2369" spans="1:13" x14ac:dyDescent="0.15">
      <c r="B2369" s="71" t="s">
        <v>162</v>
      </c>
      <c r="C2369" s="15">
        <v>6</v>
      </c>
      <c r="D2369" s="14">
        <f t="shared" si="245"/>
        <v>6</v>
      </c>
      <c r="E2369" s="74">
        <v>42991</v>
      </c>
      <c r="F2369" s="74"/>
      <c r="G2369" s="74"/>
      <c r="H2369" s="74"/>
      <c r="I2369" s="74"/>
      <c r="J2369" s="51"/>
      <c r="K2369" s="4"/>
      <c r="L2369" s="15"/>
      <c r="M2369" s="14">
        <f t="shared" si="246"/>
        <v>0</v>
      </c>
    </row>
    <row r="2370" spans="1:13" x14ac:dyDescent="0.15">
      <c r="B2370" s="71" t="s">
        <v>162</v>
      </c>
      <c r="C2370" s="15">
        <v>5</v>
      </c>
      <c r="D2370" s="14">
        <f t="shared" si="245"/>
        <v>5</v>
      </c>
      <c r="E2370" s="74">
        <v>42992</v>
      </c>
      <c r="F2370" s="74"/>
      <c r="G2370" s="74"/>
      <c r="H2370" s="74"/>
      <c r="I2370" s="74"/>
      <c r="J2370" s="51"/>
      <c r="K2370" s="6"/>
      <c r="L2370" s="15"/>
      <c r="M2370" s="14">
        <f t="shared" si="246"/>
        <v>0</v>
      </c>
    </row>
    <row r="2371" spans="1:13" x14ac:dyDescent="0.15">
      <c r="B2371" s="71" t="s">
        <v>39</v>
      </c>
      <c r="C2371" s="15">
        <v>48</v>
      </c>
      <c r="D2371" s="14">
        <f t="shared" si="245"/>
        <v>48</v>
      </c>
      <c r="E2371" s="74">
        <v>42993</v>
      </c>
      <c r="F2371" s="74"/>
      <c r="G2371" s="74"/>
      <c r="H2371" s="74"/>
      <c r="I2371" s="74"/>
      <c r="J2371" s="51"/>
      <c r="K2371" s="4"/>
      <c r="L2371" s="15"/>
      <c r="M2371" s="14">
        <f t="shared" si="246"/>
        <v>0</v>
      </c>
    </row>
    <row r="2372" spans="1:13" x14ac:dyDescent="0.15">
      <c r="B2372" s="71" t="s">
        <v>162</v>
      </c>
      <c r="C2372" s="15">
        <v>1</v>
      </c>
      <c r="D2372" s="14">
        <f t="shared" si="245"/>
        <v>1</v>
      </c>
      <c r="E2372" s="74">
        <v>42993</v>
      </c>
      <c r="F2372" s="74"/>
      <c r="G2372" s="74"/>
      <c r="H2372" s="74"/>
      <c r="I2372" s="74"/>
      <c r="J2372" s="51"/>
      <c r="K2372" s="4"/>
      <c r="L2372" s="15"/>
      <c r="M2372" s="14">
        <f t="shared" si="246"/>
        <v>0</v>
      </c>
    </row>
    <row r="2373" spans="1:13" x14ac:dyDescent="0.15">
      <c r="B2373" s="71" t="s">
        <v>162</v>
      </c>
      <c r="C2373" s="15">
        <v>7</v>
      </c>
      <c r="D2373" s="14">
        <f t="shared" si="245"/>
        <v>7</v>
      </c>
      <c r="E2373" s="74">
        <v>42997</v>
      </c>
      <c r="F2373" s="74"/>
      <c r="G2373" s="74"/>
      <c r="H2373" s="74"/>
      <c r="I2373" s="74"/>
      <c r="J2373" s="51"/>
      <c r="K2373" s="4"/>
      <c r="L2373" s="15"/>
      <c r="M2373" s="14">
        <f t="shared" si="246"/>
        <v>0</v>
      </c>
    </row>
    <row r="2374" spans="1:13" x14ac:dyDescent="0.15">
      <c r="B2374" s="71" t="s">
        <v>162</v>
      </c>
      <c r="C2374" s="15">
        <v>2</v>
      </c>
      <c r="D2374" s="14">
        <f>SUM(C2374)</f>
        <v>2</v>
      </c>
      <c r="E2374" s="74">
        <v>42998</v>
      </c>
      <c r="F2374" s="74"/>
      <c r="G2374" s="74"/>
      <c r="H2374" s="74"/>
      <c r="I2374" s="74"/>
      <c r="J2374" s="51"/>
      <c r="K2374" s="4"/>
      <c r="L2374" s="15"/>
      <c r="M2374" s="14">
        <f t="shared" si="246"/>
        <v>0</v>
      </c>
    </row>
    <row r="2375" spans="1:13" ht="14.25" thickBot="1" x14ac:dyDescent="0.2">
      <c r="B2375" s="71" t="s">
        <v>39</v>
      </c>
      <c r="C2375" s="15">
        <v>24</v>
      </c>
      <c r="D2375" s="14">
        <f>SUM(C2375)</f>
        <v>24</v>
      </c>
      <c r="E2375" s="48">
        <v>42998</v>
      </c>
      <c r="F2375" s="48"/>
      <c r="G2375" s="48"/>
      <c r="H2375" s="48"/>
      <c r="I2375" s="48"/>
      <c r="J2375" s="51"/>
      <c r="K2375" s="69"/>
      <c r="L2375" s="15"/>
      <c r="M2375" s="14">
        <f t="shared" si="246"/>
        <v>0</v>
      </c>
    </row>
    <row r="2376" spans="1:13" ht="14.25" thickBot="1" x14ac:dyDescent="0.2">
      <c r="B2376" s="3" t="s">
        <v>5</v>
      </c>
      <c r="C2376" s="16">
        <f>SUM(C2352:C2375)</f>
        <v>364</v>
      </c>
      <c r="D2376" s="17">
        <f>SUM(D2352:D2375)</f>
        <v>364</v>
      </c>
      <c r="K2376" s="3" t="s">
        <v>5</v>
      </c>
      <c r="L2376" s="16">
        <f>SUM(L2352:L2375)</f>
        <v>200</v>
      </c>
      <c r="M2376" s="17">
        <f>SUM(M2352:M2375)</f>
        <v>200</v>
      </c>
    </row>
    <row r="2377" spans="1:13" ht="14.25" thickBot="1" x14ac:dyDescent="0.2">
      <c r="B2377" s="18" t="s">
        <v>6</v>
      </c>
      <c r="C2377" s="19">
        <f>C2351-C2376</f>
        <v>100</v>
      </c>
      <c r="D2377" s="13">
        <f>D2351-D2376</f>
        <v>100</v>
      </c>
      <c r="K2377" s="18" t="s">
        <v>6</v>
      </c>
      <c r="L2377" s="19">
        <f>L2351-L2376</f>
        <v>2365</v>
      </c>
      <c r="M2377" s="13">
        <f>M2351-M2376</f>
        <v>2365</v>
      </c>
    </row>
    <row r="2379" spans="1:13" ht="18" thickBot="1" x14ac:dyDescent="0.25">
      <c r="A2379" s="27" t="s">
        <v>8</v>
      </c>
      <c r="B2379" s="28"/>
      <c r="C2379" s="28"/>
      <c r="D2379" s="28"/>
      <c r="J2379" s="139" t="s">
        <v>218</v>
      </c>
      <c r="K2379" s="140"/>
      <c r="L2379" s="140"/>
      <c r="M2379" s="140"/>
    </row>
    <row r="2380" spans="1:13" ht="14.25" thickBot="1" x14ac:dyDescent="0.2">
      <c r="B2380" s="2"/>
      <c r="C2380" s="3" t="s">
        <v>0</v>
      </c>
      <c r="D2380" s="2" t="s">
        <v>1</v>
      </c>
      <c r="K2380" s="2"/>
      <c r="L2380" s="3" t="s">
        <v>0</v>
      </c>
      <c r="M2380" s="2" t="s">
        <v>1</v>
      </c>
    </row>
    <row r="2381" spans="1:13" x14ac:dyDescent="0.15">
      <c r="B2381" s="43" t="s">
        <v>26</v>
      </c>
      <c r="C2381" s="38">
        <f>C2377</f>
        <v>100</v>
      </c>
      <c r="D2381" s="39">
        <f t="shared" ref="D2381:D2391" si="247">SUM(C2381:C2381)</f>
        <v>100</v>
      </c>
      <c r="K2381" s="43" t="s">
        <v>26</v>
      </c>
      <c r="L2381" s="38">
        <f>L2377</f>
        <v>2365</v>
      </c>
      <c r="M2381" s="39">
        <f t="shared" ref="M2381:M2391" si="248">SUM(L2381:L2381)</f>
        <v>2365</v>
      </c>
    </row>
    <row r="2382" spans="1:13" x14ac:dyDescent="0.15">
      <c r="B2382" s="6" t="s">
        <v>3</v>
      </c>
      <c r="C2382" s="7">
        <v>200</v>
      </c>
      <c r="D2382" s="5">
        <f t="shared" si="247"/>
        <v>200</v>
      </c>
      <c r="E2382" s="74">
        <v>43011</v>
      </c>
      <c r="F2382" s="74"/>
      <c r="G2382" s="74"/>
      <c r="H2382" s="74"/>
      <c r="I2382" s="74"/>
      <c r="J2382" s="75"/>
      <c r="K2382" s="6" t="s">
        <v>3</v>
      </c>
      <c r="L2382" s="7"/>
      <c r="M2382" s="5">
        <f t="shared" si="248"/>
        <v>0</v>
      </c>
    </row>
    <row r="2383" spans="1:13" x14ac:dyDescent="0.15">
      <c r="B2383" s="6" t="s">
        <v>3</v>
      </c>
      <c r="C2383" s="7"/>
      <c r="D2383" s="5">
        <f t="shared" si="247"/>
        <v>0</v>
      </c>
      <c r="E2383" s="74"/>
      <c r="F2383" s="74"/>
      <c r="G2383" s="74"/>
      <c r="H2383" s="74"/>
      <c r="I2383" s="74"/>
      <c r="K2383" s="6" t="s">
        <v>3</v>
      </c>
      <c r="L2383" s="7"/>
      <c r="M2383" s="5">
        <f t="shared" si="248"/>
        <v>0</v>
      </c>
    </row>
    <row r="2384" spans="1:13" x14ac:dyDescent="0.15">
      <c r="B2384" s="6" t="s">
        <v>3</v>
      </c>
      <c r="C2384" s="7"/>
      <c r="D2384" s="5">
        <f t="shared" si="247"/>
        <v>0</v>
      </c>
      <c r="E2384" s="74"/>
      <c r="F2384" s="74"/>
      <c r="G2384" s="74"/>
      <c r="H2384" s="74"/>
      <c r="I2384" s="74"/>
      <c r="K2384" s="6" t="s">
        <v>3</v>
      </c>
      <c r="L2384" s="7"/>
      <c r="M2384" s="5">
        <f t="shared" si="248"/>
        <v>0</v>
      </c>
    </row>
    <row r="2385" spans="2:14" x14ac:dyDescent="0.15">
      <c r="B2385" s="6" t="s">
        <v>3</v>
      </c>
      <c r="C2385" s="7"/>
      <c r="D2385" s="5">
        <f t="shared" si="247"/>
        <v>0</v>
      </c>
      <c r="E2385" s="74"/>
      <c r="F2385" s="74"/>
      <c r="G2385" s="74"/>
      <c r="H2385" s="74"/>
      <c r="I2385" s="74"/>
      <c r="K2385" s="6" t="s">
        <v>3</v>
      </c>
      <c r="L2385" s="7"/>
      <c r="M2385" s="5">
        <f t="shared" si="248"/>
        <v>0</v>
      </c>
    </row>
    <row r="2386" spans="2:14" x14ac:dyDescent="0.15">
      <c r="B2386" s="6" t="s">
        <v>3</v>
      </c>
      <c r="C2386" s="7"/>
      <c r="D2386" s="5">
        <f t="shared" si="247"/>
        <v>0</v>
      </c>
      <c r="E2386" s="74"/>
      <c r="F2386" s="74"/>
      <c r="G2386" s="74"/>
      <c r="H2386" s="74"/>
      <c r="I2386" s="74"/>
      <c r="K2386" s="6" t="s">
        <v>3</v>
      </c>
      <c r="L2386" s="7"/>
      <c r="M2386" s="5">
        <f t="shared" si="248"/>
        <v>0</v>
      </c>
    </row>
    <row r="2387" spans="2:14" x14ac:dyDescent="0.15">
      <c r="B2387" s="6" t="s">
        <v>3</v>
      </c>
      <c r="C2387" s="7"/>
      <c r="D2387" s="5">
        <f t="shared" si="247"/>
        <v>0</v>
      </c>
      <c r="E2387" s="74"/>
      <c r="F2387" s="74"/>
      <c r="G2387" s="74"/>
      <c r="H2387" s="74"/>
      <c r="I2387" s="74"/>
      <c r="K2387" s="6" t="s">
        <v>3</v>
      </c>
      <c r="L2387" s="7"/>
      <c r="M2387" s="5">
        <f t="shared" si="248"/>
        <v>0</v>
      </c>
    </row>
    <row r="2388" spans="2:14" x14ac:dyDescent="0.15">
      <c r="B2388" s="6" t="s">
        <v>3</v>
      </c>
      <c r="C2388" s="54"/>
      <c r="D2388" s="5">
        <f t="shared" si="247"/>
        <v>0</v>
      </c>
      <c r="E2388" s="137"/>
      <c r="F2388" s="137"/>
      <c r="G2388" s="137"/>
      <c r="H2388" s="137"/>
      <c r="I2388" s="137"/>
      <c r="K2388" s="6" t="s">
        <v>3</v>
      </c>
      <c r="L2388" s="7"/>
      <c r="M2388" s="5">
        <f t="shared" si="248"/>
        <v>0</v>
      </c>
    </row>
    <row r="2389" spans="2:14" x14ac:dyDescent="0.15">
      <c r="B2389" s="6" t="s">
        <v>3</v>
      </c>
      <c r="C2389" s="54"/>
      <c r="D2389" s="5">
        <f t="shared" si="247"/>
        <v>0</v>
      </c>
      <c r="K2389" s="6" t="s">
        <v>3</v>
      </c>
      <c r="L2389" s="7"/>
      <c r="M2389" s="5">
        <f t="shared" si="248"/>
        <v>0</v>
      </c>
    </row>
    <row r="2390" spans="2:14" x14ac:dyDescent="0.15">
      <c r="B2390" s="6" t="s">
        <v>3</v>
      </c>
      <c r="C2390" s="54"/>
      <c r="D2390" s="5">
        <f t="shared" si="247"/>
        <v>0</v>
      </c>
      <c r="K2390" s="6" t="s">
        <v>3</v>
      </c>
      <c r="L2390" s="7"/>
      <c r="M2390" s="5">
        <f t="shared" si="248"/>
        <v>0</v>
      </c>
    </row>
    <row r="2391" spans="2:14" ht="14.25" thickBot="1" x14ac:dyDescent="0.2">
      <c r="B2391" s="9" t="s">
        <v>3</v>
      </c>
      <c r="C2391" s="101"/>
      <c r="D2391" s="5">
        <f t="shared" si="247"/>
        <v>0</v>
      </c>
      <c r="K2391" s="9" t="s">
        <v>3</v>
      </c>
      <c r="L2391" s="10"/>
      <c r="M2391" s="5">
        <f t="shared" si="248"/>
        <v>0</v>
      </c>
    </row>
    <row r="2392" spans="2:14" ht="14.25" thickBot="1" x14ac:dyDescent="0.2">
      <c r="B2392" s="11" t="s">
        <v>4</v>
      </c>
      <c r="C2392" s="12">
        <f>SUM(C2381:C2391)</f>
        <v>300</v>
      </c>
      <c r="D2392" s="13">
        <f>SUM(D2381:D2391)</f>
        <v>300</v>
      </c>
      <c r="K2392" s="11" t="s">
        <v>4</v>
      </c>
      <c r="L2392" s="12">
        <f>SUM(L2381:L2391)</f>
        <v>2365</v>
      </c>
      <c r="M2392" s="13">
        <f>SUM(M2381:M2391)</f>
        <v>2365</v>
      </c>
    </row>
    <row r="2393" spans="2:14" x14ac:dyDescent="0.15">
      <c r="B2393" s="71" t="s">
        <v>162</v>
      </c>
      <c r="C2393" s="15">
        <v>1</v>
      </c>
      <c r="D2393" s="14">
        <f>SUM(C2393)</f>
        <v>1</v>
      </c>
      <c r="E2393" s="74">
        <v>43000</v>
      </c>
      <c r="F2393" s="74"/>
      <c r="G2393" s="74"/>
      <c r="H2393" s="74"/>
      <c r="I2393" s="74"/>
      <c r="K2393" s="69" t="s">
        <v>31</v>
      </c>
      <c r="L2393" s="15">
        <v>200</v>
      </c>
      <c r="M2393" s="14">
        <f>SUM(L2393:L2393)</f>
        <v>200</v>
      </c>
      <c r="N2393" s="74">
        <v>43011</v>
      </c>
    </row>
    <row r="2394" spans="2:14" x14ac:dyDescent="0.15">
      <c r="B2394" s="71" t="s">
        <v>476</v>
      </c>
      <c r="C2394" s="15">
        <v>10</v>
      </c>
      <c r="D2394" s="14">
        <f>SUM(C2394)</f>
        <v>10</v>
      </c>
      <c r="E2394" s="74">
        <v>43006</v>
      </c>
      <c r="F2394" s="74"/>
      <c r="G2394" s="74"/>
      <c r="H2394" s="74"/>
      <c r="I2394" s="74"/>
      <c r="J2394" s="36"/>
      <c r="K2394" s="4"/>
      <c r="L2394" s="15"/>
      <c r="M2394" s="14">
        <f t="shared" ref="M2394:M2405" si="249">SUM(L2394:L2394)</f>
        <v>0</v>
      </c>
    </row>
    <row r="2395" spans="2:14" x14ac:dyDescent="0.15">
      <c r="B2395" s="71" t="s">
        <v>483</v>
      </c>
      <c r="C2395" s="15">
        <v>24</v>
      </c>
      <c r="D2395" s="14">
        <f t="shared" ref="D2395:D2414" si="250">SUM(C2395)</f>
        <v>24</v>
      </c>
      <c r="E2395" s="48">
        <v>43004</v>
      </c>
      <c r="F2395" s="48"/>
      <c r="G2395" s="48"/>
      <c r="H2395" s="48"/>
      <c r="I2395" s="48"/>
      <c r="J2395" s="51"/>
      <c r="K2395" s="4"/>
      <c r="L2395" s="15"/>
      <c r="M2395" s="14">
        <f t="shared" si="249"/>
        <v>0</v>
      </c>
    </row>
    <row r="2396" spans="2:14" x14ac:dyDescent="0.15">
      <c r="B2396" s="71" t="s">
        <v>162</v>
      </c>
      <c r="C2396" s="15">
        <v>5</v>
      </c>
      <c r="D2396" s="14">
        <f t="shared" si="250"/>
        <v>5</v>
      </c>
      <c r="E2396" s="74">
        <v>43003</v>
      </c>
      <c r="F2396" s="74"/>
      <c r="G2396" s="74"/>
      <c r="H2396" s="74"/>
      <c r="I2396" s="74"/>
      <c r="J2396" s="51"/>
      <c r="K2396" s="4"/>
      <c r="L2396" s="15"/>
      <c r="M2396" s="14">
        <f t="shared" si="249"/>
        <v>0</v>
      </c>
    </row>
    <row r="2397" spans="2:14" x14ac:dyDescent="0.15">
      <c r="B2397" s="71" t="s">
        <v>162</v>
      </c>
      <c r="C2397" s="15">
        <v>5</v>
      </c>
      <c r="D2397" s="14">
        <f t="shared" si="250"/>
        <v>5</v>
      </c>
      <c r="E2397" s="74">
        <v>43005</v>
      </c>
      <c r="F2397" s="74"/>
      <c r="G2397" s="74"/>
      <c r="H2397" s="74"/>
      <c r="I2397" s="74"/>
      <c r="J2397" s="51"/>
      <c r="K2397" s="69"/>
      <c r="L2397" s="15"/>
      <c r="M2397" s="14">
        <f t="shared" si="249"/>
        <v>0</v>
      </c>
    </row>
    <row r="2398" spans="2:14" x14ac:dyDescent="0.15">
      <c r="B2398" s="71" t="s">
        <v>162</v>
      </c>
      <c r="C2398" s="15">
        <v>2</v>
      </c>
      <c r="D2398" s="14">
        <f t="shared" si="250"/>
        <v>2</v>
      </c>
      <c r="E2398" s="74">
        <v>43006</v>
      </c>
      <c r="F2398" s="74"/>
      <c r="G2398" s="74"/>
      <c r="H2398" s="74"/>
      <c r="I2398" s="74"/>
      <c r="J2398" s="51"/>
      <c r="K2398" s="69"/>
      <c r="L2398" s="15"/>
      <c r="M2398" s="14">
        <f t="shared" si="249"/>
        <v>0</v>
      </c>
    </row>
    <row r="2399" spans="2:14" x14ac:dyDescent="0.15">
      <c r="B2399" s="71" t="s">
        <v>484</v>
      </c>
      <c r="C2399" s="15">
        <v>2</v>
      </c>
      <c r="D2399" s="14">
        <f t="shared" si="250"/>
        <v>2</v>
      </c>
      <c r="E2399" s="48">
        <v>43007</v>
      </c>
      <c r="F2399" s="48"/>
      <c r="G2399" s="48"/>
      <c r="H2399" s="48"/>
      <c r="I2399" s="48"/>
      <c r="J2399" s="51"/>
      <c r="K2399" s="4"/>
      <c r="L2399" s="15"/>
      <c r="M2399" s="14">
        <f t="shared" si="249"/>
        <v>0</v>
      </c>
    </row>
    <row r="2400" spans="2:14" x14ac:dyDescent="0.15">
      <c r="B2400" s="71" t="s">
        <v>485</v>
      </c>
      <c r="C2400" s="15">
        <v>14</v>
      </c>
      <c r="D2400" s="14">
        <f t="shared" si="250"/>
        <v>14</v>
      </c>
      <c r="E2400" s="48">
        <v>43008</v>
      </c>
      <c r="F2400" s="48"/>
      <c r="G2400" s="48"/>
      <c r="H2400" s="48"/>
      <c r="I2400" s="48"/>
      <c r="J2400" s="51"/>
      <c r="K2400" s="6"/>
      <c r="L2400" s="15"/>
      <c r="M2400" s="14">
        <f t="shared" si="249"/>
        <v>0</v>
      </c>
    </row>
    <row r="2401" spans="2:13" x14ac:dyDescent="0.15">
      <c r="B2401" s="71" t="s">
        <v>162</v>
      </c>
      <c r="C2401" s="15">
        <v>1</v>
      </c>
      <c r="D2401" s="14">
        <f t="shared" si="250"/>
        <v>1</v>
      </c>
      <c r="E2401" s="74">
        <v>43008</v>
      </c>
      <c r="F2401" s="74"/>
      <c r="G2401" s="74"/>
      <c r="H2401" s="74"/>
      <c r="I2401" s="74"/>
      <c r="J2401" s="51"/>
      <c r="K2401" s="4"/>
      <c r="L2401" s="15"/>
      <c r="M2401" s="14">
        <f t="shared" si="249"/>
        <v>0</v>
      </c>
    </row>
    <row r="2402" spans="2:13" x14ac:dyDescent="0.15">
      <c r="B2402" s="71" t="s">
        <v>190</v>
      </c>
      <c r="C2402" s="15">
        <v>5</v>
      </c>
      <c r="D2402" s="14">
        <f t="shared" si="250"/>
        <v>5</v>
      </c>
      <c r="E2402" s="74">
        <v>43010</v>
      </c>
      <c r="F2402" s="74"/>
      <c r="G2402" s="74"/>
      <c r="H2402" s="74"/>
      <c r="I2402" s="74"/>
      <c r="J2402" s="51"/>
      <c r="K2402" s="4"/>
      <c r="L2402" s="15"/>
      <c r="M2402" s="14">
        <f t="shared" si="249"/>
        <v>0</v>
      </c>
    </row>
    <row r="2403" spans="2:13" x14ac:dyDescent="0.15">
      <c r="B2403" s="71" t="s">
        <v>162</v>
      </c>
      <c r="C2403" s="15">
        <v>12</v>
      </c>
      <c r="D2403" s="14">
        <f t="shared" si="250"/>
        <v>12</v>
      </c>
      <c r="E2403" s="74">
        <v>43010</v>
      </c>
      <c r="F2403" s="74"/>
      <c r="G2403" s="74"/>
      <c r="H2403" s="74"/>
      <c r="I2403" s="74"/>
      <c r="J2403" s="51"/>
      <c r="K2403" s="4"/>
      <c r="L2403" s="15"/>
      <c r="M2403" s="14">
        <f t="shared" si="249"/>
        <v>0</v>
      </c>
    </row>
    <row r="2404" spans="2:13" x14ac:dyDescent="0.15">
      <c r="B2404" s="71" t="s">
        <v>162</v>
      </c>
      <c r="C2404" s="15">
        <v>6</v>
      </c>
      <c r="D2404" s="14">
        <f t="shared" si="250"/>
        <v>6</v>
      </c>
      <c r="E2404" s="74">
        <v>43011</v>
      </c>
      <c r="F2404" s="74"/>
      <c r="G2404" s="74"/>
      <c r="H2404" s="74"/>
      <c r="I2404" s="74"/>
      <c r="J2404" s="51"/>
      <c r="K2404" s="4"/>
      <c r="L2404" s="15"/>
      <c r="M2404" s="14">
        <f t="shared" si="249"/>
        <v>0</v>
      </c>
    </row>
    <row r="2405" spans="2:13" x14ac:dyDescent="0.15">
      <c r="B2405" s="71" t="s">
        <v>487</v>
      </c>
      <c r="C2405" s="15">
        <v>24</v>
      </c>
      <c r="D2405" s="14">
        <f t="shared" si="250"/>
        <v>24</v>
      </c>
      <c r="E2405" s="74">
        <v>43013</v>
      </c>
      <c r="F2405" s="74"/>
      <c r="G2405" s="74"/>
      <c r="H2405" s="74"/>
      <c r="I2405" s="74"/>
      <c r="J2405" s="51"/>
      <c r="K2405" s="6"/>
      <c r="L2405" s="15"/>
      <c r="M2405" s="14">
        <f t="shared" si="249"/>
        <v>0</v>
      </c>
    </row>
    <row r="2406" spans="2:13" x14ac:dyDescent="0.15">
      <c r="B2406" s="71" t="s">
        <v>162</v>
      </c>
      <c r="C2406" s="15">
        <v>1</v>
      </c>
      <c r="D2406" s="14">
        <f t="shared" si="250"/>
        <v>1</v>
      </c>
      <c r="E2406" s="74">
        <v>43012</v>
      </c>
      <c r="F2406" s="74"/>
      <c r="G2406" s="74"/>
      <c r="H2406" s="74"/>
      <c r="I2406" s="74"/>
      <c r="J2406" s="51"/>
      <c r="K2406" s="67"/>
      <c r="L2406" s="15"/>
      <c r="M2406" s="14">
        <f>SUM(L2406)</f>
        <v>0</v>
      </c>
    </row>
    <row r="2407" spans="2:13" x14ac:dyDescent="0.15">
      <c r="B2407" s="71" t="s">
        <v>486</v>
      </c>
      <c r="C2407" s="15">
        <v>10</v>
      </c>
      <c r="D2407" s="14">
        <f t="shared" si="250"/>
        <v>10</v>
      </c>
      <c r="E2407" s="74">
        <v>43014</v>
      </c>
      <c r="F2407" s="74"/>
      <c r="G2407" s="74"/>
      <c r="H2407" s="74"/>
      <c r="I2407" s="74"/>
      <c r="J2407" s="51"/>
      <c r="K2407" s="4"/>
      <c r="L2407" s="15"/>
      <c r="M2407" s="14">
        <f>SUM(L2407:L2407)</f>
        <v>0</v>
      </c>
    </row>
    <row r="2408" spans="2:13" x14ac:dyDescent="0.15">
      <c r="B2408" s="71" t="s">
        <v>162</v>
      </c>
      <c r="C2408" s="15">
        <v>4</v>
      </c>
      <c r="D2408" s="14">
        <f t="shared" si="250"/>
        <v>4</v>
      </c>
      <c r="E2408" s="74">
        <v>43013</v>
      </c>
      <c r="F2408" s="74"/>
      <c r="G2408" s="74"/>
      <c r="H2408" s="74"/>
      <c r="I2408" s="74"/>
      <c r="J2408" s="51"/>
      <c r="K2408" s="4"/>
      <c r="L2408" s="15"/>
      <c r="M2408" s="14">
        <f t="shared" ref="M2408:M2416" si="251">SUM(L2408)</f>
        <v>0</v>
      </c>
    </row>
    <row r="2409" spans="2:13" x14ac:dyDescent="0.15">
      <c r="B2409" s="71" t="s">
        <v>162</v>
      </c>
      <c r="C2409" s="15">
        <v>6</v>
      </c>
      <c r="D2409" s="14">
        <f t="shared" si="250"/>
        <v>6</v>
      </c>
      <c r="E2409" s="74">
        <v>43014</v>
      </c>
      <c r="F2409" s="74"/>
      <c r="G2409" s="74"/>
      <c r="H2409" s="74"/>
      <c r="I2409" s="74"/>
      <c r="J2409" s="51"/>
      <c r="K2409" s="6"/>
      <c r="L2409" s="15"/>
      <c r="M2409" s="14">
        <f t="shared" si="251"/>
        <v>0</v>
      </c>
    </row>
    <row r="2410" spans="2:13" x14ac:dyDescent="0.15">
      <c r="B2410" s="71" t="s">
        <v>162</v>
      </c>
      <c r="C2410" s="15">
        <v>1</v>
      </c>
      <c r="D2410" s="14">
        <f t="shared" si="250"/>
        <v>1</v>
      </c>
      <c r="E2410" s="74">
        <v>43015</v>
      </c>
      <c r="F2410" s="74"/>
      <c r="G2410" s="74"/>
      <c r="H2410" s="74"/>
      <c r="I2410" s="74"/>
      <c r="J2410" s="51"/>
      <c r="K2410" s="4"/>
      <c r="L2410" s="15"/>
      <c r="M2410" s="14">
        <f t="shared" si="251"/>
        <v>0</v>
      </c>
    </row>
    <row r="2411" spans="2:13" x14ac:dyDescent="0.15">
      <c r="B2411" s="71" t="s">
        <v>39</v>
      </c>
      <c r="C2411" s="15">
        <v>48</v>
      </c>
      <c r="D2411" s="14">
        <f t="shared" si="250"/>
        <v>48</v>
      </c>
      <c r="E2411" s="74">
        <v>43019</v>
      </c>
      <c r="F2411" s="74"/>
      <c r="G2411" s="74"/>
      <c r="H2411" s="74"/>
      <c r="I2411" s="74"/>
      <c r="J2411" s="51"/>
      <c r="K2411" s="6"/>
      <c r="L2411" s="15"/>
      <c r="M2411" s="14">
        <f t="shared" si="251"/>
        <v>0</v>
      </c>
    </row>
    <row r="2412" spans="2:13" x14ac:dyDescent="0.15">
      <c r="B2412" s="71" t="s">
        <v>162</v>
      </c>
      <c r="C2412" s="15">
        <v>3</v>
      </c>
      <c r="D2412" s="14">
        <f t="shared" si="250"/>
        <v>3</v>
      </c>
      <c r="E2412" s="74">
        <v>43018</v>
      </c>
      <c r="F2412" s="74"/>
      <c r="G2412" s="74"/>
      <c r="H2412" s="74"/>
      <c r="I2412" s="74"/>
      <c r="J2412" s="51"/>
      <c r="K2412" s="4"/>
      <c r="L2412" s="15"/>
      <c r="M2412" s="14">
        <f t="shared" si="251"/>
        <v>0</v>
      </c>
    </row>
    <row r="2413" spans="2:13" x14ac:dyDescent="0.15">
      <c r="B2413" s="71" t="s">
        <v>488</v>
      </c>
      <c r="C2413" s="15">
        <v>6</v>
      </c>
      <c r="D2413" s="14">
        <f t="shared" si="250"/>
        <v>6</v>
      </c>
      <c r="E2413" s="74">
        <v>43026</v>
      </c>
      <c r="F2413" s="74"/>
      <c r="G2413" s="74"/>
      <c r="H2413" s="74"/>
      <c r="I2413" s="74"/>
      <c r="J2413" s="51"/>
      <c r="K2413" s="4"/>
      <c r="L2413" s="15"/>
      <c r="M2413" s="14">
        <f t="shared" si="251"/>
        <v>0</v>
      </c>
    </row>
    <row r="2414" spans="2:13" x14ac:dyDescent="0.15">
      <c r="B2414" s="71" t="s">
        <v>162</v>
      </c>
      <c r="C2414" s="15">
        <v>4</v>
      </c>
      <c r="D2414" s="14">
        <f t="shared" si="250"/>
        <v>4</v>
      </c>
      <c r="E2414" s="74">
        <v>43019</v>
      </c>
      <c r="F2414" s="74"/>
      <c r="G2414" s="74"/>
      <c r="H2414" s="74"/>
      <c r="I2414" s="74"/>
      <c r="J2414" s="51"/>
      <c r="K2414" s="4"/>
      <c r="L2414" s="15"/>
      <c r="M2414" s="14">
        <f t="shared" si="251"/>
        <v>0</v>
      </c>
    </row>
    <row r="2415" spans="2:13" x14ac:dyDescent="0.15">
      <c r="B2415" s="71" t="s">
        <v>162</v>
      </c>
      <c r="C2415" s="15">
        <v>4</v>
      </c>
      <c r="D2415" s="14">
        <f>SUM(C2415)</f>
        <v>4</v>
      </c>
      <c r="E2415" s="74">
        <v>43020</v>
      </c>
      <c r="F2415" s="74"/>
      <c r="G2415" s="74"/>
      <c r="H2415" s="74"/>
      <c r="I2415" s="74"/>
      <c r="J2415" s="51"/>
      <c r="K2415" s="4"/>
      <c r="L2415" s="15"/>
      <c r="M2415" s="14">
        <f t="shared" si="251"/>
        <v>0</v>
      </c>
    </row>
    <row r="2416" spans="2:13" ht="14.25" thickBot="1" x14ac:dyDescent="0.2">
      <c r="B2416" s="71" t="s">
        <v>162</v>
      </c>
      <c r="C2416" s="15">
        <v>2</v>
      </c>
      <c r="D2416" s="14">
        <f>SUM(C2416)</f>
        <v>2</v>
      </c>
      <c r="E2416" s="48">
        <v>43021</v>
      </c>
      <c r="F2416" s="48"/>
      <c r="G2416" s="48"/>
      <c r="H2416" s="48"/>
      <c r="I2416" s="48"/>
      <c r="J2416" s="51"/>
      <c r="K2416" s="69"/>
      <c r="L2416" s="15"/>
      <c r="M2416" s="14">
        <f t="shared" si="251"/>
        <v>0</v>
      </c>
    </row>
    <row r="2417" spans="1:13" ht="14.25" thickBot="1" x14ac:dyDescent="0.2">
      <c r="B2417" s="3" t="s">
        <v>5</v>
      </c>
      <c r="C2417" s="16">
        <f>SUM(C2393:C2416)</f>
        <v>200</v>
      </c>
      <c r="D2417" s="17">
        <f>SUM(D2393:D2416)</f>
        <v>200</v>
      </c>
      <c r="K2417" s="3" t="s">
        <v>5</v>
      </c>
      <c r="L2417" s="16">
        <f>SUM(L2393:L2416)</f>
        <v>200</v>
      </c>
      <c r="M2417" s="17">
        <f>SUM(M2393:M2416)</f>
        <v>200</v>
      </c>
    </row>
    <row r="2418" spans="1:13" ht="14.25" thickBot="1" x14ac:dyDescent="0.2">
      <c r="B2418" s="18" t="s">
        <v>6</v>
      </c>
      <c r="C2418" s="19">
        <f>C2392-C2417</f>
        <v>100</v>
      </c>
      <c r="D2418" s="13">
        <f>D2392-D2417</f>
        <v>100</v>
      </c>
      <c r="K2418" s="18" t="s">
        <v>6</v>
      </c>
      <c r="L2418" s="19">
        <f>L2392-L2417</f>
        <v>2165</v>
      </c>
      <c r="M2418" s="13">
        <f>M2392-M2417</f>
        <v>2165</v>
      </c>
    </row>
    <row r="2420" spans="1:13" ht="18" thickBot="1" x14ac:dyDescent="0.25">
      <c r="A2420" s="27" t="s">
        <v>8</v>
      </c>
      <c r="B2420" s="28"/>
      <c r="C2420" s="28"/>
      <c r="D2420" s="28"/>
      <c r="J2420" s="139" t="s">
        <v>218</v>
      </c>
      <c r="K2420" s="140"/>
      <c r="L2420" s="140"/>
      <c r="M2420" s="140"/>
    </row>
    <row r="2421" spans="1:13" ht="14.25" thickBot="1" x14ac:dyDescent="0.2">
      <c r="B2421" s="2"/>
      <c r="C2421" s="3" t="s">
        <v>0</v>
      </c>
      <c r="D2421" s="2" t="s">
        <v>1</v>
      </c>
      <c r="K2421" s="2"/>
      <c r="L2421" s="3" t="s">
        <v>0</v>
      </c>
      <c r="M2421" s="2" t="s">
        <v>1</v>
      </c>
    </row>
    <row r="2422" spans="1:13" x14ac:dyDescent="0.15">
      <c r="B2422" s="43" t="s">
        <v>26</v>
      </c>
      <c r="C2422" s="38">
        <f>C2418</f>
        <v>100</v>
      </c>
      <c r="D2422" s="39">
        <f t="shared" ref="D2422:D2432" si="252">SUM(C2422:C2422)</f>
        <v>100</v>
      </c>
      <c r="K2422" s="43" t="s">
        <v>26</v>
      </c>
      <c r="L2422" s="38">
        <f>L2418</f>
        <v>2165</v>
      </c>
      <c r="M2422" s="39">
        <f t="shared" ref="M2422:M2432" si="253">SUM(L2422:L2422)</f>
        <v>2165</v>
      </c>
    </row>
    <row r="2423" spans="1:13" x14ac:dyDescent="0.15">
      <c r="B2423" s="6" t="s">
        <v>489</v>
      </c>
      <c r="C2423" s="7">
        <v>13</v>
      </c>
      <c r="D2423" s="5">
        <f t="shared" si="252"/>
        <v>13</v>
      </c>
      <c r="E2423" s="74">
        <v>43031</v>
      </c>
      <c r="F2423" s="74"/>
      <c r="G2423" s="74"/>
      <c r="H2423" s="74"/>
      <c r="I2423" s="74"/>
      <c r="J2423" s="75"/>
      <c r="K2423" s="6" t="s">
        <v>3</v>
      </c>
      <c r="L2423" s="7"/>
      <c r="M2423" s="5">
        <f t="shared" si="253"/>
        <v>0</v>
      </c>
    </row>
    <row r="2424" spans="1:13" x14ac:dyDescent="0.15">
      <c r="B2424" s="6" t="s">
        <v>172</v>
      </c>
      <c r="C2424" s="7">
        <v>21</v>
      </c>
      <c r="D2424" s="5">
        <f t="shared" si="252"/>
        <v>21</v>
      </c>
      <c r="E2424" s="74">
        <v>43076</v>
      </c>
      <c r="F2424" s="74"/>
      <c r="G2424" s="74"/>
      <c r="H2424" s="74"/>
      <c r="I2424" s="74"/>
      <c r="K2424" s="6" t="s">
        <v>3</v>
      </c>
      <c r="L2424" s="7"/>
      <c r="M2424" s="5">
        <f t="shared" si="253"/>
        <v>0</v>
      </c>
    </row>
    <row r="2425" spans="1:13" x14ac:dyDescent="0.15">
      <c r="B2425" s="6" t="s">
        <v>3</v>
      </c>
      <c r="C2425" s="7">
        <v>200</v>
      </c>
      <c r="D2425" s="5">
        <f t="shared" si="252"/>
        <v>200</v>
      </c>
      <c r="E2425" s="74">
        <v>43097</v>
      </c>
      <c r="F2425" s="74"/>
      <c r="G2425" s="74"/>
      <c r="H2425" s="74"/>
      <c r="I2425" s="74"/>
      <c r="K2425" s="6" t="s">
        <v>3</v>
      </c>
      <c r="L2425" s="7"/>
      <c r="M2425" s="5">
        <f t="shared" si="253"/>
        <v>0</v>
      </c>
    </row>
    <row r="2426" spans="1:13" x14ac:dyDescent="0.15">
      <c r="B2426" s="6" t="s">
        <v>3</v>
      </c>
      <c r="C2426" s="7"/>
      <c r="D2426" s="5">
        <f t="shared" si="252"/>
        <v>0</v>
      </c>
      <c r="E2426" s="74"/>
      <c r="F2426" s="74"/>
      <c r="G2426" s="74"/>
      <c r="H2426" s="74"/>
      <c r="I2426" s="74"/>
      <c r="K2426" s="6" t="s">
        <v>3</v>
      </c>
      <c r="L2426" s="7"/>
      <c r="M2426" s="5">
        <f t="shared" si="253"/>
        <v>0</v>
      </c>
    </row>
    <row r="2427" spans="1:13" x14ac:dyDescent="0.15">
      <c r="B2427" s="6" t="s">
        <v>3</v>
      </c>
      <c r="C2427" s="7"/>
      <c r="D2427" s="5">
        <f t="shared" si="252"/>
        <v>0</v>
      </c>
      <c r="E2427" s="74"/>
      <c r="F2427" s="74"/>
      <c r="G2427" s="74"/>
      <c r="H2427" s="74"/>
      <c r="I2427" s="74"/>
      <c r="K2427" s="6" t="s">
        <v>3</v>
      </c>
      <c r="L2427" s="7"/>
      <c r="M2427" s="5">
        <f t="shared" si="253"/>
        <v>0</v>
      </c>
    </row>
    <row r="2428" spans="1:13" x14ac:dyDescent="0.15">
      <c r="B2428" s="6" t="s">
        <v>3</v>
      </c>
      <c r="C2428" s="7"/>
      <c r="D2428" s="5">
        <f t="shared" si="252"/>
        <v>0</v>
      </c>
      <c r="E2428" s="74"/>
      <c r="F2428" s="74"/>
      <c r="G2428" s="74"/>
      <c r="H2428" s="74"/>
      <c r="I2428" s="74"/>
      <c r="K2428" s="6" t="s">
        <v>3</v>
      </c>
      <c r="L2428" s="7"/>
      <c r="M2428" s="5">
        <f t="shared" si="253"/>
        <v>0</v>
      </c>
    </row>
    <row r="2429" spans="1:13" x14ac:dyDescent="0.15">
      <c r="B2429" s="6" t="s">
        <v>3</v>
      </c>
      <c r="C2429" s="54"/>
      <c r="D2429" s="5">
        <f t="shared" si="252"/>
        <v>0</v>
      </c>
      <c r="E2429" s="137"/>
      <c r="F2429" s="137"/>
      <c r="G2429" s="137"/>
      <c r="H2429" s="137"/>
      <c r="I2429" s="137"/>
      <c r="K2429" s="6" t="s">
        <v>3</v>
      </c>
      <c r="L2429" s="7"/>
      <c r="M2429" s="5">
        <f t="shared" si="253"/>
        <v>0</v>
      </c>
    </row>
    <row r="2430" spans="1:13" x14ac:dyDescent="0.15">
      <c r="B2430" s="6" t="s">
        <v>3</v>
      </c>
      <c r="C2430" s="54"/>
      <c r="D2430" s="5">
        <f t="shared" si="252"/>
        <v>0</v>
      </c>
      <c r="K2430" s="6" t="s">
        <v>3</v>
      </c>
      <c r="L2430" s="7"/>
      <c r="M2430" s="5">
        <f t="shared" si="253"/>
        <v>0</v>
      </c>
    </row>
    <row r="2431" spans="1:13" x14ac:dyDescent="0.15">
      <c r="B2431" s="6" t="s">
        <v>3</v>
      </c>
      <c r="C2431" s="54"/>
      <c r="D2431" s="5">
        <f t="shared" si="252"/>
        <v>0</v>
      </c>
      <c r="K2431" s="6" t="s">
        <v>3</v>
      </c>
      <c r="L2431" s="7"/>
      <c r="M2431" s="5">
        <f t="shared" si="253"/>
        <v>0</v>
      </c>
    </row>
    <row r="2432" spans="1:13" ht="14.25" thickBot="1" x14ac:dyDescent="0.2">
      <c r="B2432" s="9" t="s">
        <v>3</v>
      </c>
      <c r="C2432" s="101"/>
      <c r="D2432" s="5">
        <f t="shared" si="252"/>
        <v>0</v>
      </c>
      <c r="K2432" s="9" t="s">
        <v>3</v>
      </c>
      <c r="L2432" s="10"/>
      <c r="M2432" s="5">
        <f t="shared" si="253"/>
        <v>0</v>
      </c>
    </row>
    <row r="2433" spans="2:14" ht="14.25" thickBot="1" x14ac:dyDescent="0.2">
      <c r="B2433" s="11" t="s">
        <v>4</v>
      </c>
      <c r="C2433" s="12">
        <f>SUM(C2422:C2432)</f>
        <v>334</v>
      </c>
      <c r="D2433" s="13">
        <f>SUM(D2422:D2432)</f>
        <v>334</v>
      </c>
      <c r="K2433" s="11" t="s">
        <v>4</v>
      </c>
      <c r="L2433" s="12">
        <f>SUM(L2422:L2432)</f>
        <v>2165</v>
      </c>
      <c r="M2433" s="13">
        <f>SUM(M2422:M2432)</f>
        <v>2165</v>
      </c>
    </row>
    <row r="2434" spans="2:14" x14ac:dyDescent="0.15">
      <c r="B2434" s="71" t="s">
        <v>162</v>
      </c>
      <c r="C2434" s="15">
        <v>1</v>
      </c>
      <c r="D2434" s="14">
        <f>SUM(C2434)</f>
        <v>1</v>
      </c>
      <c r="E2434" s="74">
        <v>43024</v>
      </c>
      <c r="F2434" s="74"/>
      <c r="G2434" s="74"/>
      <c r="H2434" s="74"/>
      <c r="I2434" s="74"/>
      <c r="K2434" s="69" t="s">
        <v>31</v>
      </c>
      <c r="L2434" s="15">
        <v>200</v>
      </c>
      <c r="M2434" s="14">
        <f>SUM(L2434:L2434)</f>
        <v>200</v>
      </c>
      <c r="N2434" s="74">
        <v>43097</v>
      </c>
    </row>
    <row r="2435" spans="2:14" x14ac:dyDescent="0.15">
      <c r="B2435" s="71" t="s">
        <v>162</v>
      </c>
      <c r="C2435" s="15">
        <v>1</v>
      </c>
      <c r="D2435" s="14">
        <f>SUM(C2435)</f>
        <v>1</v>
      </c>
      <c r="E2435" s="74">
        <v>43025</v>
      </c>
      <c r="F2435" s="74"/>
      <c r="G2435" s="74"/>
      <c r="H2435" s="74"/>
      <c r="I2435" s="74"/>
      <c r="J2435" s="36"/>
      <c r="K2435" s="4"/>
      <c r="L2435" s="15"/>
      <c r="M2435" s="14">
        <f t="shared" ref="M2435:M2446" si="254">SUM(L2435:L2435)</f>
        <v>0</v>
      </c>
    </row>
    <row r="2436" spans="2:14" x14ac:dyDescent="0.15">
      <c r="B2436" s="71" t="s">
        <v>162</v>
      </c>
      <c r="C2436" s="15">
        <v>2</v>
      </c>
      <c r="D2436" s="14">
        <f t="shared" ref="D2436:D2455" si="255">SUM(C2436)</f>
        <v>2</v>
      </c>
      <c r="E2436" s="48">
        <v>43026</v>
      </c>
      <c r="F2436" s="48"/>
      <c r="G2436" s="48"/>
      <c r="H2436" s="48"/>
      <c r="I2436" s="48"/>
      <c r="J2436" s="51"/>
      <c r="K2436" s="4"/>
      <c r="L2436" s="15"/>
      <c r="M2436" s="14">
        <f t="shared" si="254"/>
        <v>0</v>
      </c>
    </row>
    <row r="2437" spans="2:14" x14ac:dyDescent="0.15">
      <c r="B2437" s="71" t="s">
        <v>162</v>
      </c>
      <c r="C2437" s="15">
        <v>2</v>
      </c>
      <c r="D2437" s="14">
        <f t="shared" si="255"/>
        <v>2</v>
      </c>
      <c r="E2437" s="74">
        <v>43027</v>
      </c>
      <c r="F2437" s="74"/>
      <c r="G2437" s="74"/>
      <c r="H2437" s="74"/>
      <c r="I2437" s="74"/>
      <c r="J2437" s="51"/>
      <c r="K2437" s="4"/>
      <c r="L2437" s="15"/>
      <c r="M2437" s="14">
        <f t="shared" si="254"/>
        <v>0</v>
      </c>
    </row>
    <row r="2438" spans="2:14" x14ac:dyDescent="0.15">
      <c r="B2438" s="71" t="s">
        <v>162</v>
      </c>
      <c r="C2438" s="15">
        <v>1</v>
      </c>
      <c r="D2438" s="14">
        <f t="shared" si="255"/>
        <v>1</v>
      </c>
      <c r="E2438" s="74">
        <v>43028</v>
      </c>
      <c r="F2438" s="74"/>
      <c r="G2438" s="74"/>
      <c r="H2438" s="74"/>
      <c r="I2438" s="74"/>
      <c r="J2438" s="51"/>
      <c r="K2438" s="69"/>
      <c r="L2438" s="15"/>
      <c r="M2438" s="14">
        <f t="shared" si="254"/>
        <v>0</v>
      </c>
    </row>
    <row r="2439" spans="2:14" x14ac:dyDescent="0.15">
      <c r="B2439" s="71" t="s">
        <v>162</v>
      </c>
      <c r="C2439" s="15">
        <v>2</v>
      </c>
      <c r="D2439" s="14">
        <f t="shared" si="255"/>
        <v>2</v>
      </c>
      <c r="E2439" s="74">
        <v>43041</v>
      </c>
      <c r="F2439" s="74"/>
      <c r="G2439" s="74"/>
      <c r="H2439" s="74"/>
      <c r="I2439" s="74"/>
      <c r="J2439" s="51"/>
      <c r="K2439" s="69"/>
      <c r="L2439" s="15"/>
      <c r="M2439" s="14">
        <f t="shared" si="254"/>
        <v>0</v>
      </c>
    </row>
    <row r="2440" spans="2:14" x14ac:dyDescent="0.15">
      <c r="B2440" s="71" t="s">
        <v>162</v>
      </c>
      <c r="C2440" s="15">
        <v>3</v>
      </c>
      <c r="D2440" s="14">
        <f t="shared" si="255"/>
        <v>3</v>
      </c>
      <c r="E2440" s="48">
        <v>43045</v>
      </c>
      <c r="F2440" s="48"/>
      <c r="G2440" s="48"/>
      <c r="H2440" s="48"/>
      <c r="I2440" s="48"/>
      <c r="J2440" s="51"/>
      <c r="K2440" s="4"/>
      <c r="L2440" s="15"/>
      <c r="M2440" s="14">
        <f t="shared" si="254"/>
        <v>0</v>
      </c>
    </row>
    <row r="2441" spans="2:14" x14ac:dyDescent="0.15">
      <c r="B2441" s="71" t="s">
        <v>162</v>
      </c>
      <c r="C2441" s="15">
        <v>15</v>
      </c>
      <c r="D2441" s="14">
        <f t="shared" si="255"/>
        <v>15</v>
      </c>
      <c r="E2441" s="48">
        <v>43048</v>
      </c>
      <c r="F2441" s="48"/>
      <c r="G2441" s="48"/>
      <c r="H2441" s="48"/>
      <c r="I2441" s="48"/>
      <c r="J2441" s="51"/>
      <c r="K2441" s="6"/>
      <c r="L2441" s="15"/>
      <c r="M2441" s="14">
        <f t="shared" si="254"/>
        <v>0</v>
      </c>
    </row>
    <row r="2442" spans="2:14" x14ac:dyDescent="0.15">
      <c r="B2442" s="71" t="s">
        <v>162</v>
      </c>
      <c r="C2442" s="15">
        <v>1</v>
      </c>
      <c r="D2442" s="14">
        <f t="shared" si="255"/>
        <v>1</v>
      </c>
      <c r="E2442" s="74">
        <v>43049</v>
      </c>
      <c r="F2442" s="74"/>
      <c r="G2442" s="74"/>
      <c r="H2442" s="74"/>
      <c r="I2442" s="74"/>
      <c r="J2442" s="51"/>
      <c r="K2442" s="4"/>
      <c r="L2442" s="15"/>
      <c r="M2442" s="14">
        <f t="shared" si="254"/>
        <v>0</v>
      </c>
    </row>
    <row r="2443" spans="2:14" x14ac:dyDescent="0.15">
      <c r="B2443" s="71" t="s">
        <v>162</v>
      </c>
      <c r="C2443" s="15">
        <v>3</v>
      </c>
      <c r="D2443" s="14">
        <f t="shared" si="255"/>
        <v>3</v>
      </c>
      <c r="E2443" s="74">
        <v>43052</v>
      </c>
      <c r="F2443" s="74"/>
      <c r="G2443" s="74"/>
      <c r="H2443" s="74"/>
      <c r="I2443" s="74"/>
      <c r="J2443" s="51"/>
      <c r="K2443" s="4"/>
      <c r="L2443" s="15"/>
      <c r="M2443" s="14">
        <f t="shared" si="254"/>
        <v>0</v>
      </c>
    </row>
    <row r="2444" spans="2:14" x14ac:dyDescent="0.15">
      <c r="B2444" s="71" t="s">
        <v>491</v>
      </c>
      <c r="C2444" s="15">
        <v>1</v>
      </c>
      <c r="D2444" s="14">
        <f t="shared" si="255"/>
        <v>1</v>
      </c>
      <c r="E2444" s="74">
        <v>43054</v>
      </c>
      <c r="F2444" s="74"/>
      <c r="G2444" s="74"/>
      <c r="H2444" s="74"/>
      <c r="I2444" s="74"/>
      <c r="J2444" s="51"/>
      <c r="K2444" s="4"/>
      <c r="L2444" s="15"/>
      <c r="M2444" s="14">
        <f t="shared" si="254"/>
        <v>0</v>
      </c>
    </row>
    <row r="2445" spans="2:14" x14ac:dyDescent="0.15">
      <c r="B2445" s="71" t="s">
        <v>39</v>
      </c>
      <c r="C2445" s="15">
        <v>5</v>
      </c>
      <c r="D2445" s="14">
        <f t="shared" si="255"/>
        <v>5</v>
      </c>
      <c r="E2445" s="74">
        <v>43061</v>
      </c>
      <c r="F2445" s="74"/>
      <c r="G2445" s="74"/>
      <c r="H2445" s="74"/>
      <c r="I2445" s="74"/>
      <c r="J2445" s="51"/>
      <c r="K2445" s="4"/>
      <c r="L2445" s="15"/>
      <c r="M2445" s="14">
        <f t="shared" si="254"/>
        <v>0</v>
      </c>
    </row>
    <row r="2446" spans="2:14" x14ac:dyDescent="0.15">
      <c r="B2446" s="71" t="s">
        <v>490</v>
      </c>
      <c r="C2446" s="15">
        <v>2</v>
      </c>
      <c r="D2446" s="14">
        <f t="shared" si="255"/>
        <v>2</v>
      </c>
      <c r="E2446" s="74">
        <v>43069</v>
      </c>
      <c r="F2446" s="74"/>
      <c r="G2446" s="74"/>
      <c r="H2446" s="74"/>
      <c r="I2446" s="74"/>
      <c r="J2446" s="51"/>
      <c r="K2446" s="6"/>
      <c r="L2446" s="15"/>
      <c r="M2446" s="14">
        <f t="shared" si="254"/>
        <v>0</v>
      </c>
    </row>
    <row r="2447" spans="2:14" x14ac:dyDescent="0.15">
      <c r="B2447" s="71" t="s">
        <v>39</v>
      </c>
      <c r="C2447" s="15">
        <v>20</v>
      </c>
      <c r="D2447" s="14">
        <f t="shared" si="255"/>
        <v>20</v>
      </c>
      <c r="E2447" s="74">
        <v>43071</v>
      </c>
      <c r="F2447" s="74"/>
      <c r="G2447" s="74"/>
      <c r="H2447" s="74"/>
      <c r="I2447" s="74"/>
      <c r="J2447" s="51"/>
      <c r="K2447" s="67"/>
      <c r="L2447" s="15"/>
      <c r="M2447" s="14">
        <f>SUM(L2447)</f>
        <v>0</v>
      </c>
    </row>
    <row r="2448" spans="2:14" x14ac:dyDescent="0.15">
      <c r="B2448" s="71" t="s">
        <v>162</v>
      </c>
      <c r="C2448" s="15">
        <v>2</v>
      </c>
      <c r="D2448" s="14">
        <f t="shared" si="255"/>
        <v>2</v>
      </c>
      <c r="E2448" s="74">
        <v>43074</v>
      </c>
      <c r="F2448" s="74"/>
      <c r="G2448" s="74"/>
      <c r="H2448" s="74"/>
      <c r="I2448" s="74"/>
      <c r="J2448" s="51"/>
      <c r="K2448" s="4"/>
      <c r="L2448" s="15"/>
      <c r="M2448" s="14">
        <f>SUM(L2448:L2448)</f>
        <v>0</v>
      </c>
    </row>
    <row r="2449" spans="1:13" x14ac:dyDescent="0.15">
      <c r="B2449" s="71" t="s">
        <v>162</v>
      </c>
      <c r="C2449" s="15">
        <v>2</v>
      </c>
      <c r="D2449" s="14">
        <f t="shared" si="255"/>
        <v>2</v>
      </c>
      <c r="E2449" s="74">
        <v>43077</v>
      </c>
      <c r="F2449" s="74"/>
      <c r="G2449" s="74"/>
      <c r="H2449" s="74"/>
      <c r="I2449" s="74"/>
      <c r="J2449" s="51"/>
      <c r="K2449" s="4"/>
      <c r="L2449" s="15"/>
      <c r="M2449" s="14">
        <f t="shared" ref="M2449:M2457" si="256">SUM(L2449)</f>
        <v>0</v>
      </c>
    </row>
    <row r="2450" spans="1:13" x14ac:dyDescent="0.15">
      <c r="B2450" s="71" t="s">
        <v>492</v>
      </c>
      <c r="C2450" s="15">
        <v>20</v>
      </c>
      <c r="D2450" s="14">
        <f t="shared" si="255"/>
        <v>20</v>
      </c>
      <c r="E2450" s="74">
        <v>43083</v>
      </c>
      <c r="F2450" s="74"/>
      <c r="G2450" s="74"/>
      <c r="H2450" s="74"/>
      <c r="I2450" s="74"/>
      <c r="J2450" s="51"/>
      <c r="K2450" s="6"/>
      <c r="L2450" s="15"/>
      <c r="M2450" s="14">
        <f t="shared" si="256"/>
        <v>0</v>
      </c>
    </row>
    <row r="2451" spans="1:13" x14ac:dyDescent="0.15">
      <c r="B2451" s="71" t="s">
        <v>162</v>
      </c>
      <c r="C2451" s="15">
        <v>5</v>
      </c>
      <c r="D2451" s="14">
        <f t="shared" si="255"/>
        <v>5</v>
      </c>
      <c r="E2451" s="74">
        <v>43083</v>
      </c>
      <c r="F2451" s="74"/>
      <c r="G2451" s="74"/>
      <c r="H2451" s="74"/>
      <c r="I2451" s="74"/>
      <c r="J2451" s="51"/>
      <c r="K2451" s="4"/>
      <c r="L2451" s="15"/>
      <c r="M2451" s="14">
        <f t="shared" si="256"/>
        <v>0</v>
      </c>
    </row>
    <row r="2452" spans="1:13" x14ac:dyDescent="0.15">
      <c r="B2452" s="71" t="s">
        <v>162</v>
      </c>
      <c r="C2452" s="15">
        <v>1</v>
      </c>
      <c r="D2452" s="14">
        <f t="shared" si="255"/>
        <v>1</v>
      </c>
      <c r="E2452" s="74">
        <v>43085</v>
      </c>
      <c r="F2452" s="74"/>
      <c r="G2452" s="74"/>
      <c r="H2452" s="74"/>
      <c r="I2452" s="74"/>
      <c r="J2452" s="51"/>
      <c r="K2452" s="6"/>
      <c r="L2452" s="15"/>
      <c r="M2452" s="14">
        <f t="shared" si="256"/>
        <v>0</v>
      </c>
    </row>
    <row r="2453" spans="1:13" x14ac:dyDescent="0.15">
      <c r="B2453" s="71" t="s">
        <v>162</v>
      </c>
      <c r="C2453" s="15">
        <v>2</v>
      </c>
      <c r="D2453" s="14">
        <f t="shared" si="255"/>
        <v>2</v>
      </c>
      <c r="E2453" s="74">
        <v>43087</v>
      </c>
      <c r="F2453" s="74"/>
      <c r="G2453" s="74"/>
      <c r="H2453" s="74"/>
      <c r="I2453" s="74"/>
      <c r="J2453" s="51"/>
      <c r="K2453" s="4"/>
      <c r="L2453" s="15"/>
      <c r="M2453" s="14">
        <f t="shared" si="256"/>
        <v>0</v>
      </c>
    </row>
    <row r="2454" spans="1:13" x14ac:dyDescent="0.15">
      <c r="B2454" s="71" t="s">
        <v>39</v>
      </c>
      <c r="C2454" s="15">
        <v>20</v>
      </c>
      <c r="D2454" s="14">
        <f t="shared" si="255"/>
        <v>20</v>
      </c>
      <c r="E2454" s="74">
        <v>43091</v>
      </c>
      <c r="F2454" s="74"/>
      <c r="G2454" s="74"/>
      <c r="H2454" s="74"/>
      <c r="I2454" s="74"/>
      <c r="J2454" s="51"/>
      <c r="K2454" s="4"/>
      <c r="L2454" s="15"/>
      <c r="M2454" s="14">
        <f t="shared" si="256"/>
        <v>0</v>
      </c>
    </row>
    <row r="2455" spans="1:13" x14ac:dyDescent="0.15">
      <c r="B2455" s="71" t="s">
        <v>39</v>
      </c>
      <c r="C2455" s="15">
        <v>40</v>
      </c>
      <c r="D2455" s="14">
        <f t="shared" si="255"/>
        <v>40</v>
      </c>
      <c r="E2455" s="74">
        <v>43108</v>
      </c>
      <c r="F2455" s="74"/>
      <c r="G2455" s="74"/>
      <c r="H2455" s="74"/>
      <c r="I2455" s="74"/>
      <c r="J2455" s="51"/>
      <c r="K2455" s="4"/>
      <c r="L2455" s="15"/>
      <c r="M2455" s="14">
        <f t="shared" si="256"/>
        <v>0</v>
      </c>
    </row>
    <row r="2456" spans="1:13" x14ac:dyDescent="0.15">
      <c r="B2456" s="71" t="s">
        <v>162</v>
      </c>
      <c r="C2456" s="15">
        <v>3</v>
      </c>
      <c r="D2456" s="14">
        <f>SUM(C2456)</f>
        <v>3</v>
      </c>
      <c r="E2456" s="74">
        <v>43111</v>
      </c>
      <c r="F2456" s="74"/>
      <c r="G2456" s="74"/>
      <c r="H2456" s="74"/>
      <c r="I2456" s="74"/>
      <c r="J2456" s="51"/>
      <c r="K2456" s="4"/>
      <c r="L2456" s="15"/>
      <c r="M2456" s="14">
        <f t="shared" si="256"/>
        <v>0</v>
      </c>
    </row>
    <row r="2457" spans="1:13" ht="14.25" thickBot="1" x14ac:dyDescent="0.2">
      <c r="B2457" s="71" t="s">
        <v>494</v>
      </c>
      <c r="C2457" s="15">
        <v>30</v>
      </c>
      <c r="D2457" s="14">
        <f>SUM(C2457)</f>
        <v>30</v>
      </c>
      <c r="E2457" s="74">
        <v>43123</v>
      </c>
      <c r="F2457" s="74"/>
      <c r="G2457" s="74"/>
      <c r="H2457" s="74"/>
      <c r="I2457" s="74"/>
      <c r="J2457" s="51"/>
      <c r="K2457" s="69"/>
      <c r="L2457" s="15"/>
      <c r="M2457" s="14">
        <f t="shared" si="256"/>
        <v>0</v>
      </c>
    </row>
    <row r="2458" spans="1:13" ht="14.25" thickBot="1" x14ac:dyDescent="0.2">
      <c r="B2458" s="3" t="s">
        <v>5</v>
      </c>
      <c r="C2458" s="16">
        <f>SUM(C2434:C2457)</f>
        <v>184</v>
      </c>
      <c r="D2458" s="17">
        <f>SUM(D2434:D2457)</f>
        <v>184</v>
      </c>
      <c r="K2458" s="3" t="s">
        <v>5</v>
      </c>
      <c r="L2458" s="16">
        <f>SUM(L2434:L2457)</f>
        <v>200</v>
      </c>
      <c r="M2458" s="17">
        <f>SUM(M2434:M2457)</f>
        <v>200</v>
      </c>
    </row>
    <row r="2459" spans="1:13" ht="14.25" thickBot="1" x14ac:dyDescent="0.2">
      <c r="B2459" s="18" t="s">
        <v>6</v>
      </c>
      <c r="C2459" s="19">
        <f>C2433-C2458</f>
        <v>150</v>
      </c>
      <c r="D2459" s="13">
        <f>D2433-D2458</f>
        <v>150</v>
      </c>
      <c r="K2459" s="18" t="s">
        <v>6</v>
      </c>
      <c r="L2459" s="19">
        <f>L2433-L2458</f>
        <v>1965</v>
      </c>
      <c r="M2459" s="13">
        <f>M2433-M2458</f>
        <v>1965</v>
      </c>
    </row>
    <row r="2461" spans="1:13" ht="18" thickBot="1" x14ac:dyDescent="0.25">
      <c r="A2461" s="27" t="s">
        <v>8</v>
      </c>
      <c r="B2461" s="28"/>
      <c r="C2461" s="28"/>
      <c r="D2461" s="28"/>
      <c r="J2461" s="139" t="s">
        <v>218</v>
      </c>
      <c r="K2461" s="140"/>
      <c r="L2461" s="140"/>
      <c r="M2461" s="140"/>
    </row>
    <row r="2462" spans="1:13" ht="14.25" thickBot="1" x14ac:dyDescent="0.2">
      <c r="B2462" s="2"/>
      <c r="C2462" s="3" t="s">
        <v>0</v>
      </c>
      <c r="D2462" s="2" t="s">
        <v>1</v>
      </c>
      <c r="K2462" s="2"/>
      <c r="L2462" s="3" t="s">
        <v>0</v>
      </c>
      <c r="M2462" s="2" t="s">
        <v>1</v>
      </c>
    </row>
    <row r="2463" spans="1:13" x14ac:dyDescent="0.15">
      <c r="B2463" s="43" t="s">
        <v>26</v>
      </c>
      <c r="C2463" s="38">
        <f>C2459</f>
        <v>150</v>
      </c>
      <c r="D2463" s="39">
        <f t="shared" ref="D2463:D2473" si="257">SUM(C2463:C2463)</f>
        <v>150</v>
      </c>
      <c r="K2463" s="43" t="s">
        <v>26</v>
      </c>
      <c r="L2463" s="38">
        <f>L2459</f>
        <v>1965</v>
      </c>
      <c r="M2463" s="39">
        <f t="shared" ref="M2463:M2473" si="258">SUM(L2463:L2463)</f>
        <v>1965</v>
      </c>
    </row>
    <row r="2464" spans="1:13" x14ac:dyDescent="0.15">
      <c r="B2464" s="6" t="s">
        <v>3</v>
      </c>
      <c r="C2464" s="7">
        <v>200</v>
      </c>
      <c r="D2464" s="5">
        <f t="shared" si="257"/>
        <v>200</v>
      </c>
      <c r="E2464" s="74">
        <v>43159</v>
      </c>
      <c r="F2464" s="74"/>
      <c r="G2464" s="74"/>
      <c r="H2464" s="74"/>
      <c r="I2464" s="74"/>
      <c r="J2464" s="75"/>
      <c r="K2464" s="6" t="s">
        <v>3</v>
      </c>
      <c r="L2464" s="7"/>
      <c r="M2464" s="5">
        <f t="shared" si="258"/>
        <v>0</v>
      </c>
    </row>
    <row r="2465" spans="2:16" x14ac:dyDescent="0.15">
      <c r="B2465" s="6" t="s">
        <v>3</v>
      </c>
      <c r="C2465" s="7">
        <v>200</v>
      </c>
      <c r="D2465" s="5">
        <f t="shared" si="257"/>
        <v>200</v>
      </c>
      <c r="E2465" s="74">
        <v>43182</v>
      </c>
      <c r="F2465" s="74"/>
      <c r="G2465" s="74"/>
      <c r="H2465" s="74"/>
      <c r="I2465" s="74"/>
      <c r="K2465" s="6" t="s">
        <v>3</v>
      </c>
      <c r="L2465" s="7"/>
      <c r="M2465" s="5">
        <f t="shared" si="258"/>
        <v>0</v>
      </c>
      <c r="N2465" s="75"/>
      <c r="O2465" s="75"/>
    </row>
    <row r="2466" spans="2:16" x14ac:dyDescent="0.15">
      <c r="B2466" s="6" t="s">
        <v>3</v>
      </c>
      <c r="C2466" s="7">
        <v>200</v>
      </c>
      <c r="D2466" s="5">
        <f t="shared" si="257"/>
        <v>200</v>
      </c>
      <c r="E2466" s="74">
        <v>43188</v>
      </c>
      <c r="F2466" s="74"/>
      <c r="G2466" s="74"/>
      <c r="H2466" s="74"/>
      <c r="I2466" s="74"/>
      <c r="K2466" s="6" t="s">
        <v>3</v>
      </c>
      <c r="L2466" s="7"/>
      <c r="M2466" s="5">
        <f t="shared" si="258"/>
        <v>0</v>
      </c>
      <c r="N2466" s="75"/>
      <c r="O2466" s="75"/>
    </row>
    <row r="2467" spans="2:16" x14ac:dyDescent="0.15">
      <c r="B2467" s="6" t="s">
        <v>3</v>
      </c>
      <c r="C2467" s="7"/>
      <c r="D2467" s="5">
        <f t="shared" si="257"/>
        <v>0</v>
      </c>
      <c r="E2467" s="74"/>
      <c r="F2467" s="74"/>
      <c r="G2467" s="74"/>
      <c r="H2467" s="74"/>
      <c r="I2467" s="74"/>
      <c r="K2467" s="6" t="s">
        <v>3</v>
      </c>
      <c r="L2467" s="7"/>
      <c r="M2467" s="5">
        <f t="shared" si="258"/>
        <v>0</v>
      </c>
      <c r="N2467" s="75"/>
      <c r="O2467" s="75"/>
    </row>
    <row r="2468" spans="2:16" x14ac:dyDescent="0.15">
      <c r="B2468" s="6" t="s">
        <v>3</v>
      </c>
      <c r="C2468" s="7"/>
      <c r="D2468" s="5">
        <f t="shared" si="257"/>
        <v>0</v>
      </c>
      <c r="E2468" s="74"/>
      <c r="F2468" s="74"/>
      <c r="G2468" s="74"/>
      <c r="H2468" s="74"/>
      <c r="I2468" s="74"/>
      <c r="K2468" s="6" t="s">
        <v>3</v>
      </c>
      <c r="L2468" s="7"/>
      <c r="M2468" s="5">
        <f t="shared" si="258"/>
        <v>0</v>
      </c>
      <c r="N2468" s="75"/>
      <c r="O2468" s="75"/>
    </row>
    <row r="2469" spans="2:16" x14ac:dyDescent="0.15">
      <c r="B2469" s="6" t="s">
        <v>3</v>
      </c>
      <c r="C2469" s="7"/>
      <c r="D2469" s="5">
        <f t="shared" si="257"/>
        <v>0</v>
      </c>
      <c r="E2469" s="74"/>
      <c r="F2469" s="74"/>
      <c r="G2469" s="74"/>
      <c r="H2469" s="74"/>
      <c r="I2469" s="74"/>
      <c r="K2469" s="6" t="s">
        <v>3</v>
      </c>
      <c r="L2469" s="7"/>
      <c r="M2469" s="5">
        <f t="shared" si="258"/>
        <v>0</v>
      </c>
      <c r="N2469" s="75"/>
      <c r="O2469" s="75"/>
    </row>
    <row r="2470" spans="2:16" x14ac:dyDescent="0.15">
      <c r="B2470" s="6" t="s">
        <v>3</v>
      </c>
      <c r="C2470" s="54"/>
      <c r="D2470" s="5">
        <f t="shared" si="257"/>
        <v>0</v>
      </c>
      <c r="E2470" s="137"/>
      <c r="F2470" s="137"/>
      <c r="G2470" s="137"/>
      <c r="H2470" s="137"/>
      <c r="I2470" s="137"/>
      <c r="K2470" s="6" t="s">
        <v>3</v>
      </c>
      <c r="L2470" s="7"/>
      <c r="M2470" s="5">
        <f t="shared" si="258"/>
        <v>0</v>
      </c>
      <c r="N2470" s="75"/>
      <c r="O2470" s="75"/>
    </row>
    <row r="2471" spans="2:16" x14ac:dyDescent="0.15">
      <c r="B2471" s="6" t="s">
        <v>3</v>
      </c>
      <c r="C2471" s="54"/>
      <c r="D2471" s="5">
        <f t="shared" si="257"/>
        <v>0</v>
      </c>
      <c r="K2471" s="6" t="s">
        <v>3</v>
      </c>
      <c r="L2471" s="7"/>
      <c r="M2471" s="5">
        <f t="shared" si="258"/>
        <v>0</v>
      </c>
      <c r="N2471" s="75"/>
      <c r="O2471" s="75"/>
    </row>
    <row r="2472" spans="2:16" x14ac:dyDescent="0.15">
      <c r="B2472" s="6" t="s">
        <v>3</v>
      </c>
      <c r="C2472" s="54"/>
      <c r="D2472" s="5">
        <f t="shared" si="257"/>
        <v>0</v>
      </c>
      <c r="K2472" s="6" t="s">
        <v>3</v>
      </c>
      <c r="L2472" s="7"/>
      <c r="M2472" s="5">
        <f t="shared" si="258"/>
        <v>0</v>
      </c>
    </row>
    <row r="2473" spans="2:16" ht="14.25" thickBot="1" x14ac:dyDescent="0.2">
      <c r="B2473" s="9" t="s">
        <v>3</v>
      </c>
      <c r="C2473" s="101"/>
      <c r="D2473" s="5">
        <f t="shared" si="257"/>
        <v>0</v>
      </c>
      <c r="K2473" s="9" t="s">
        <v>3</v>
      </c>
      <c r="L2473" s="10"/>
      <c r="M2473" s="5">
        <f t="shared" si="258"/>
        <v>0</v>
      </c>
    </row>
    <row r="2474" spans="2:16" ht="14.25" thickBot="1" x14ac:dyDescent="0.2">
      <c r="B2474" s="11" t="s">
        <v>4</v>
      </c>
      <c r="C2474" s="12">
        <f>SUM(C2463:C2473)</f>
        <v>750</v>
      </c>
      <c r="D2474" s="13">
        <f>SUM(D2463:D2473)</f>
        <v>750</v>
      </c>
      <c r="K2474" s="11" t="s">
        <v>4</v>
      </c>
      <c r="L2474" s="12">
        <f>SUM(L2463:L2473)</f>
        <v>1965</v>
      </c>
      <c r="M2474" s="13">
        <f>SUM(M2463:M2473)</f>
        <v>1965</v>
      </c>
    </row>
    <row r="2475" spans="2:16" x14ac:dyDescent="0.15">
      <c r="B2475" s="71" t="s">
        <v>493</v>
      </c>
      <c r="C2475" s="15">
        <v>1</v>
      </c>
      <c r="D2475" s="14">
        <f>SUM(C2475)</f>
        <v>1</v>
      </c>
      <c r="E2475" s="74">
        <v>43119</v>
      </c>
      <c r="F2475" s="74"/>
      <c r="G2475" s="74"/>
      <c r="H2475" s="74"/>
      <c r="I2475" s="74"/>
      <c r="K2475" s="69" t="s">
        <v>31</v>
      </c>
      <c r="L2475" s="15">
        <v>200</v>
      </c>
      <c r="M2475" s="14">
        <f>SUM(L2475:L2475)</f>
        <v>200</v>
      </c>
      <c r="N2475" s="74">
        <v>43159</v>
      </c>
    </row>
    <row r="2476" spans="2:16" x14ac:dyDescent="0.15">
      <c r="B2476" s="71" t="s">
        <v>162</v>
      </c>
      <c r="C2476" s="15">
        <v>1</v>
      </c>
      <c r="D2476" s="14">
        <f>SUM(C2476)</f>
        <v>1</v>
      </c>
      <c r="E2476" s="74">
        <v>43122</v>
      </c>
      <c r="F2476" s="74"/>
      <c r="G2476" s="74"/>
      <c r="H2476" s="74"/>
      <c r="I2476" s="74"/>
      <c r="J2476" s="36"/>
      <c r="K2476" s="71" t="s">
        <v>476</v>
      </c>
      <c r="L2476" s="15">
        <v>50</v>
      </c>
      <c r="M2476" s="14">
        <f t="shared" ref="M2476:M2487" si="259">SUM(L2476:L2476)</f>
        <v>50</v>
      </c>
      <c r="N2476" s="74">
        <v>43181</v>
      </c>
      <c r="O2476" s="75"/>
    </row>
    <row r="2477" spans="2:16" x14ac:dyDescent="0.15">
      <c r="B2477" s="71" t="s">
        <v>162</v>
      </c>
      <c r="C2477" s="15">
        <v>3</v>
      </c>
      <c r="D2477" s="14">
        <f t="shared" ref="D2477:D2496" si="260">SUM(C2477)</f>
        <v>3</v>
      </c>
      <c r="E2477" s="48">
        <v>43126</v>
      </c>
      <c r="F2477" s="48"/>
      <c r="G2477" s="48"/>
      <c r="H2477" s="48"/>
      <c r="I2477" s="48"/>
      <c r="J2477" s="51"/>
      <c r="K2477" s="69" t="s">
        <v>31</v>
      </c>
      <c r="L2477" s="15">
        <v>200</v>
      </c>
      <c r="M2477" s="14">
        <f t="shared" si="259"/>
        <v>200</v>
      </c>
      <c r="N2477" s="74">
        <v>43182</v>
      </c>
    </row>
    <row r="2478" spans="2:16" x14ac:dyDescent="0.15">
      <c r="B2478" s="71" t="s">
        <v>162</v>
      </c>
      <c r="C2478" s="15">
        <v>2</v>
      </c>
      <c r="D2478" s="14">
        <f t="shared" si="260"/>
        <v>2</v>
      </c>
      <c r="E2478" s="74">
        <v>43129</v>
      </c>
      <c r="F2478" s="74"/>
      <c r="G2478" s="74"/>
      <c r="H2478" s="74"/>
      <c r="I2478" s="74"/>
      <c r="J2478" s="51"/>
      <c r="K2478" s="71" t="s">
        <v>496</v>
      </c>
      <c r="L2478" s="15">
        <v>30</v>
      </c>
      <c r="M2478" s="14">
        <f t="shared" si="259"/>
        <v>30</v>
      </c>
      <c r="N2478" s="48">
        <v>43182</v>
      </c>
    </row>
    <row r="2479" spans="2:16" x14ac:dyDescent="0.15">
      <c r="B2479" s="71" t="s">
        <v>162</v>
      </c>
      <c r="C2479" s="15">
        <v>20</v>
      </c>
      <c r="D2479" s="14">
        <f t="shared" si="260"/>
        <v>20</v>
      </c>
      <c r="E2479" s="74">
        <v>43130</v>
      </c>
      <c r="F2479" s="74"/>
      <c r="G2479" s="74"/>
      <c r="H2479" s="74"/>
      <c r="I2479" s="74"/>
      <c r="J2479" s="51"/>
      <c r="K2479" s="69" t="s">
        <v>31</v>
      </c>
      <c r="L2479" s="15">
        <v>200</v>
      </c>
      <c r="M2479" s="14">
        <f>SUM(L2479:L2479)</f>
        <v>200</v>
      </c>
      <c r="N2479" s="74">
        <v>43188</v>
      </c>
      <c r="O2479" s="75"/>
      <c r="P2479" s="75"/>
    </row>
    <row r="2480" spans="2:16" x14ac:dyDescent="0.15">
      <c r="B2480" s="71" t="s">
        <v>162</v>
      </c>
      <c r="C2480" s="15">
        <v>5</v>
      </c>
      <c r="D2480" s="14">
        <f t="shared" si="260"/>
        <v>5</v>
      </c>
      <c r="E2480" s="74">
        <v>43136</v>
      </c>
      <c r="F2480" s="74"/>
      <c r="G2480" s="74"/>
      <c r="H2480" s="74"/>
      <c r="I2480" s="74"/>
      <c r="J2480" s="51"/>
      <c r="K2480" s="71" t="s">
        <v>476</v>
      </c>
      <c r="L2480" s="15">
        <v>300</v>
      </c>
      <c r="M2480" s="14">
        <f t="shared" si="259"/>
        <v>300</v>
      </c>
      <c r="N2480" s="74">
        <v>43194</v>
      </c>
    </row>
    <row r="2481" spans="2:14" x14ac:dyDescent="0.15">
      <c r="B2481" s="71" t="s">
        <v>39</v>
      </c>
      <c r="C2481" s="15">
        <v>40</v>
      </c>
      <c r="D2481" s="14">
        <f t="shared" si="260"/>
        <v>40</v>
      </c>
      <c r="E2481" s="48">
        <v>43145</v>
      </c>
      <c r="F2481" s="48"/>
      <c r="G2481" s="48"/>
      <c r="H2481" s="48"/>
      <c r="I2481" s="48"/>
      <c r="J2481" s="51"/>
      <c r="K2481" s="69"/>
      <c r="L2481" s="15"/>
      <c r="M2481" s="14">
        <f t="shared" si="259"/>
        <v>0</v>
      </c>
      <c r="N2481" s="48"/>
    </row>
    <row r="2482" spans="2:14" x14ac:dyDescent="0.15">
      <c r="B2482" s="71" t="s">
        <v>495</v>
      </c>
      <c r="C2482" s="15">
        <v>20</v>
      </c>
      <c r="D2482" s="14">
        <f t="shared" si="260"/>
        <v>20</v>
      </c>
      <c r="E2482" s="48">
        <v>43153</v>
      </c>
      <c r="F2482" s="48"/>
      <c r="G2482" s="48"/>
      <c r="H2482" s="48"/>
      <c r="I2482" s="48"/>
      <c r="J2482" s="51"/>
      <c r="K2482" s="6"/>
      <c r="L2482" s="15"/>
      <c r="M2482" s="14">
        <f t="shared" si="259"/>
        <v>0</v>
      </c>
    </row>
    <row r="2483" spans="2:14" x14ac:dyDescent="0.15">
      <c r="B2483" s="71" t="s">
        <v>162</v>
      </c>
      <c r="C2483" s="15">
        <v>2</v>
      </c>
      <c r="D2483" s="14">
        <f t="shared" si="260"/>
        <v>2</v>
      </c>
      <c r="E2483" s="74">
        <v>43157</v>
      </c>
      <c r="F2483" s="74"/>
      <c r="G2483" s="74"/>
      <c r="H2483" s="74"/>
      <c r="I2483" s="74"/>
      <c r="J2483" s="51"/>
      <c r="K2483" s="4"/>
      <c r="L2483" s="15"/>
      <c r="M2483" s="14">
        <f t="shared" si="259"/>
        <v>0</v>
      </c>
    </row>
    <row r="2484" spans="2:14" x14ac:dyDescent="0.15">
      <c r="B2484" s="71" t="s">
        <v>476</v>
      </c>
      <c r="C2484" s="15">
        <v>20</v>
      </c>
      <c r="D2484" s="14">
        <f t="shared" si="260"/>
        <v>20</v>
      </c>
      <c r="E2484" s="74">
        <v>43165</v>
      </c>
      <c r="F2484" s="74"/>
      <c r="G2484" s="74"/>
      <c r="H2484" s="74"/>
      <c r="I2484" s="74"/>
      <c r="J2484" s="51"/>
      <c r="K2484" s="4"/>
      <c r="L2484" s="15"/>
      <c r="M2484" s="14">
        <f t="shared" si="259"/>
        <v>0</v>
      </c>
    </row>
    <row r="2485" spans="2:14" x14ac:dyDescent="0.15">
      <c r="B2485" s="71" t="s">
        <v>39</v>
      </c>
      <c r="C2485" s="15">
        <v>70</v>
      </c>
      <c r="D2485" s="14">
        <f t="shared" si="260"/>
        <v>70</v>
      </c>
      <c r="E2485" s="74">
        <v>43165</v>
      </c>
      <c r="F2485" s="74"/>
      <c r="G2485" s="74"/>
      <c r="H2485" s="74"/>
      <c r="I2485" s="74"/>
      <c r="J2485" s="51"/>
      <c r="K2485" s="4"/>
      <c r="L2485" s="15"/>
      <c r="M2485" s="14">
        <f t="shared" si="259"/>
        <v>0</v>
      </c>
    </row>
    <row r="2486" spans="2:14" x14ac:dyDescent="0.15">
      <c r="B2486" s="71" t="s">
        <v>162</v>
      </c>
      <c r="C2486" s="15">
        <v>3</v>
      </c>
      <c r="D2486" s="14">
        <f t="shared" si="260"/>
        <v>3</v>
      </c>
      <c r="E2486" s="74">
        <v>43166</v>
      </c>
      <c r="F2486" s="74"/>
      <c r="G2486" s="74"/>
      <c r="H2486" s="74"/>
      <c r="I2486" s="74"/>
      <c r="J2486" s="51"/>
      <c r="K2486" s="4"/>
      <c r="L2486" s="15"/>
      <c r="M2486" s="14">
        <f t="shared" si="259"/>
        <v>0</v>
      </c>
    </row>
    <row r="2487" spans="2:14" x14ac:dyDescent="0.15">
      <c r="B2487" s="71" t="s">
        <v>162</v>
      </c>
      <c r="C2487" s="15">
        <v>6</v>
      </c>
      <c r="D2487" s="14">
        <f t="shared" si="260"/>
        <v>6</v>
      </c>
      <c r="E2487" s="74">
        <v>43171</v>
      </c>
      <c r="F2487" s="74"/>
      <c r="G2487" s="74"/>
      <c r="H2487" s="74"/>
      <c r="I2487" s="74"/>
      <c r="J2487" s="51"/>
      <c r="K2487" s="6"/>
      <c r="L2487" s="15"/>
      <c r="M2487" s="14">
        <f t="shared" si="259"/>
        <v>0</v>
      </c>
    </row>
    <row r="2488" spans="2:14" x14ac:dyDescent="0.15">
      <c r="B2488" s="71" t="s">
        <v>162</v>
      </c>
      <c r="C2488" s="15">
        <v>1</v>
      </c>
      <c r="D2488" s="14">
        <f t="shared" si="260"/>
        <v>1</v>
      </c>
      <c r="E2488" s="74">
        <v>43172</v>
      </c>
      <c r="F2488" s="74"/>
      <c r="G2488" s="74"/>
      <c r="H2488" s="74"/>
      <c r="I2488" s="74"/>
      <c r="J2488" s="51"/>
      <c r="K2488" s="67"/>
      <c r="L2488" s="15"/>
      <c r="M2488" s="14">
        <f>SUM(L2488)</f>
        <v>0</v>
      </c>
    </row>
    <row r="2489" spans="2:14" x14ac:dyDescent="0.15">
      <c r="B2489" s="71" t="s">
        <v>39</v>
      </c>
      <c r="C2489" s="15">
        <v>70</v>
      </c>
      <c r="D2489" s="14">
        <f t="shared" si="260"/>
        <v>70</v>
      </c>
      <c r="E2489" s="74">
        <v>43174</v>
      </c>
      <c r="F2489" s="74"/>
      <c r="G2489" s="74"/>
      <c r="H2489" s="74"/>
      <c r="I2489" s="74"/>
      <c r="J2489" s="51"/>
      <c r="K2489" s="4"/>
      <c r="L2489" s="15"/>
      <c r="M2489" s="14">
        <f>SUM(L2489:L2489)</f>
        <v>0</v>
      </c>
    </row>
    <row r="2490" spans="2:14" x14ac:dyDescent="0.15">
      <c r="B2490" s="71" t="s">
        <v>162</v>
      </c>
      <c r="C2490" s="15">
        <v>1</v>
      </c>
      <c r="D2490" s="14">
        <f t="shared" si="260"/>
        <v>1</v>
      </c>
      <c r="E2490" s="74">
        <v>43174</v>
      </c>
      <c r="F2490" s="74"/>
      <c r="G2490" s="74"/>
      <c r="H2490" s="74"/>
      <c r="I2490" s="74"/>
      <c r="J2490" s="51"/>
      <c r="K2490" s="4"/>
      <c r="L2490" s="15"/>
      <c r="M2490" s="14">
        <f t="shared" ref="M2490:M2498" si="261">SUM(L2490)</f>
        <v>0</v>
      </c>
    </row>
    <row r="2491" spans="2:14" x14ac:dyDescent="0.15">
      <c r="B2491" s="71" t="s">
        <v>398</v>
      </c>
      <c r="C2491" s="15">
        <v>40</v>
      </c>
      <c r="D2491" s="14">
        <f t="shared" si="260"/>
        <v>40</v>
      </c>
      <c r="E2491" s="74">
        <v>43185</v>
      </c>
      <c r="F2491" s="74"/>
      <c r="G2491" s="74"/>
      <c r="H2491" s="74"/>
      <c r="I2491" s="74"/>
      <c r="J2491" s="51"/>
      <c r="K2491" s="6"/>
      <c r="L2491" s="15"/>
      <c r="M2491" s="14">
        <f t="shared" si="261"/>
        <v>0</v>
      </c>
    </row>
    <row r="2492" spans="2:14" x14ac:dyDescent="0.15">
      <c r="B2492" s="71" t="s">
        <v>39</v>
      </c>
      <c r="C2492" s="15">
        <v>70</v>
      </c>
      <c r="D2492" s="14">
        <f t="shared" si="260"/>
        <v>70</v>
      </c>
      <c r="E2492" s="74">
        <v>43182</v>
      </c>
      <c r="F2492" s="74"/>
      <c r="G2492" s="74"/>
      <c r="H2492" s="74"/>
      <c r="I2492" s="74"/>
      <c r="J2492" s="51"/>
      <c r="K2492" s="4"/>
      <c r="L2492" s="15"/>
      <c r="M2492" s="14">
        <f t="shared" si="261"/>
        <v>0</v>
      </c>
    </row>
    <row r="2493" spans="2:14" x14ac:dyDescent="0.15">
      <c r="B2493" s="71" t="s">
        <v>162</v>
      </c>
      <c r="C2493" s="15">
        <v>2</v>
      </c>
      <c r="D2493" s="14">
        <f t="shared" si="260"/>
        <v>2</v>
      </c>
      <c r="E2493" s="74">
        <v>43181</v>
      </c>
      <c r="F2493" s="74"/>
      <c r="G2493" s="74"/>
      <c r="H2493" s="74"/>
      <c r="I2493" s="74"/>
      <c r="J2493" s="51"/>
      <c r="K2493" s="6"/>
      <c r="L2493" s="15"/>
      <c r="M2493" s="14">
        <f t="shared" si="261"/>
        <v>0</v>
      </c>
    </row>
    <row r="2494" spans="2:14" x14ac:dyDescent="0.15">
      <c r="B2494" s="71" t="s">
        <v>162</v>
      </c>
      <c r="C2494" s="15">
        <v>8</v>
      </c>
      <c r="D2494" s="14">
        <f t="shared" si="260"/>
        <v>8</v>
      </c>
      <c r="E2494" s="74">
        <v>43182</v>
      </c>
      <c r="F2494" s="74"/>
      <c r="G2494" s="74"/>
      <c r="H2494" s="74"/>
      <c r="I2494" s="74"/>
      <c r="J2494" s="51"/>
      <c r="K2494" s="4"/>
      <c r="L2494" s="15"/>
      <c r="M2494" s="14">
        <f t="shared" si="261"/>
        <v>0</v>
      </c>
    </row>
    <row r="2495" spans="2:14" x14ac:dyDescent="0.15">
      <c r="B2495" s="71" t="s">
        <v>39</v>
      </c>
      <c r="C2495" s="15">
        <v>100</v>
      </c>
      <c r="D2495" s="14">
        <f t="shared" si="260"/>
        <v>100</v>
      </c>
      <c r="E2495" s="74">
        <v>43186</v>
      </c>
      <c r="F2495" s="74"/>
      <c r="G2495" s="74"/>
      <c r="H2495" s="74"/>
      <c r="I2495" s="74"/>
      <c r="J2495" s="51"/>
      <c r="K2495" s="4"/>
      <c r="L2495" s="15"/>
      <c r="M2495" s="14">
        <f t="shared" si="261"/>
        <v>0</v>
      </c>
    </row>
    <row r="2496" spans="2:14" x14ac:dyDescent="0.15">
      <c r="B2496" s="71" t="s">
        <v>162</v>
      </c>
      <c r="C2496" s="15">
        <v>8</v>
      </c>
      <c r="D2496" s="14">
        <f t="shared" si="260"/>
        <v>8</v>
      </c>
      <c r="E2496" s="74">
        <v>43185</v>
      </c>
      <c r="F2496" s="74"/>
      <c r="G2496" s="74"/>
      <c r="H2496" s="74"/>
      <c r="I2496" s="74"/>
      <c r="J2496" s="51"/>
      <c r="K2496" s="4"/>
      <c r="L2496" s="15"/>
      <c r="M2496" s="14">
        <f t="shared" si="261"/>
        <v>0</v>
      </c>
    </row>
    <row r="2497" spans="1:15" x14ac:dyDescent="0.15">
      <c r="B2497" s="71" t="s">
        <v>162</v>
      </c>
      <c r="C2497" s="15">
        <v>1</v>
      </c>
      <c r="D2497" s="14">
        <f>SUM(C2497)</f>
        <v>1</v>
      </c>
      <c r="E2497" s="74">
        <v>43186</v>
      </c>
      <c r="F2497" s="74"/>
      <c r="G2497" s="74"/>
      <c r="H2497" s="74"/>
      <c r="I2497" s="74"/>
      <c r="J2497" s="51"/>
      <c r="K2497" s="69"/>
      <c r="L2497" s="15"/>
      <c r="M2497" s="14">
        <f t="shared" si="261"/>
        <v>0</v>
      </c>
      <c r="N2497" s="74"/>
    </row>
    <row r="2498" spans="1:15" ht="14.25" thickBot="1" x14ac:dyDescent="0.2">
      <c r="B2498" s="71" t="s">
        <v>162</v>
      </c>
      <c r="C2498" s="15">
        <v>3</v>
      </c>
      <c r="D2498" s="14">
        <f>SUM(C2498)</f>
        <v>3</v>
      </c>
      <c r="E2498" s="48">
        <v>43187</v>
      </c>
      <c r="F2498" s="48"/>
      <c r="G2498" s="48"/>
      <c r="H2498" s="48"/>
      <c r="I2498" s="48"/>
      <c r="J2498" s="51"/>
      <c r="K2498" s="69"/>
      <c r="L2498" s="15"/>
      <c r="M2498" s="14">
        <f t="shared" si="261"/>
        <v>0</v>
      </c>
      <c r="N2498" s="74"/>
    </row>
    <row r="2499" spans="1:15" ht="14.25" thickBot="1" x14ac:dyDescent="0.2">
      <c r="B2499" s="3" t="s">
        <v>5</v>
      </c>
      <c r="C2499" s="16">
        <f>SUM(C2475:C2498)</f>
        <v>497</v>
      </c>
      <c r="D2499" s="17">
        <f>SUM(D2475:D2498)</f>
        <v>497</v>
      </c>
      <c r="K2499" s="3" t="s">
        <v>5</v>
      </c>
      <c r="L2499" s="16">
        <f>SUM(L2475:L2498)</f>
        <v>980</v>
      </c>
      <c r="M2499" s="17">
        <f>SUM(M2475:M2498)</f>
        <v>980</v>
      </c>
    </row>
    <row r="2500" spans="1:15" ht="14.25" thickBot="1" x14ac:dyDescent="0.2">
      <c r="B2500" s="18" t="s">
        <v>6</v>
      </c>
      <c r="C2500" s="19">
        <f>C2474-C2499</f>
        <v>253</v>
      </c>
      <c r="D2500" s="13">
        <f>D2474-D2499</f>
        <v>253</v>
      </c>
      <c r="K2500" s="18" t="s">
        <v>6</v>
      </c>
      <c r="L2500" s="19">
        <f>L2474-L2499</f>
        <v>985</v>
      </c>
      <c r="M2500" s="13">
        <f>M2474-M2499</f>
        <v>985</v>
      </c>
    </row>
    <row r="2502" spans="1:15" ht="18" thickBot="1" x14ac:dyDescent="0.25">
      <c r="A2502" s="27" t="s">
        <v>8</v>
      </c>
      <c r="B2502" s="28"/>
      <c r="C2502" s="28"/>
      <c r="D2502" s="28"/>
      <c r="J2502" s="139" t="s">
        <v>218</v>
      </c>
      <c r="K2502" s="140"/>
      <c r="L2502" s="140"/>
      <c r="M2502" s="140"/>
    </row>
    <row r="2503" spans="1:15" ht="14.25" thickBot="1" x14ac:dyDescent="0.2">
      <c r="B2503" s="2"/>
      <c r="C2503" s="3" t="s">
        <v>0</v>
      </c>
      <c r="D2503" s="2" t="s">
        <v>1</v>
      </c>
      <c r="K2503" s="2"/>
      <c r="L2503" s="3" t="s">
        <v>0</v>
      </c>
      <c r="M2503" s="2" t="s">
        <v>1</v>
      </c>
    </row>
    <row r="2504" spans="1:15" x14ac:dyDescent="0.15">
      <c r="B2504" s="43" t="s">
        <v>26</v>
      </c>
      <c r="C2504" s="38">
        <f>C2500</f>
        <v>253</v>
      </c>
      <c r="D2504" s="39">
        <f t="shared" ref="D2504:D2514" si="262">SUM(C2504:C2504)</f>
        <v>253</v>
      </c>
      <c r="K2504" s="43" t="s">
        <v>26</v>
      </c>
      <c r="L2504" s="38">
        <f>L2500</f>
        <v>985</v>
      </c>
      <c r="M2504" s="39">
        <f t="shared" ref="M2504:M2514" si="263">SUM(L2504:L2504)</f>
        <v>985</v>
      </c>
    </row>
    <row r="2505" spans="1:15" x14ac:dyDescent="0.15">
      <c r="B2505" s="6" t="s">
        <v>3</v>
      </c>
      <c r="C2505" s="7">
        <v>200</v>
      </c>
      <c r="D2505" s="5">
        <f t="shared" si="262"/>
        <v>200</v>
      </c>
      <c r="E2505" s="74">
        <v>43194</v>
      </c>
      <c r="F2505" s="74"/>
      <c r="G2505" s="74"/>
      <c r="H2505" s="74"/>
      <c r="I2505" s="74"/>
      <c r="J2505" s="75"/>
      <c r="K2505" s="6" t="s">
        <v>3</v>
      </c>
      <c r="L2505" s="7"/>
      <c r="M2505" s="5">
        <f t="shared" si="263"/>
        <v>0</v>
      </c>
    </row>
    <row r="2506" spans="1:15" x14ac:dyDescent="0.15">
      <c r="B2506" s="6" t="s">
        <v>3</v>
      </c>
      <c r="C2506" s="7">
        <v>200</v>
      </c>
      <c r="D2506" s="5">
        <f t="shared" si="262"/>
        <v>200</v>
      </c>
      <c r="E2506" s="74">
        <v>43196</v>
      </c>
      <c r="F2506" s="74"/>
      <c r="G2506" s="74"/>
      <c r="H2506" s="74"/>
      <c r="I2506" s="74"/>
      <c r="K2506" s="6" t="s">
        <v>3</v>
      </c>
      <c r="L2506" s="7">
        <v>6000</v>
      </c>
      <c r="M2506" s="5">
        <f t="shared" si="263"/>
        <v>6000</v>
      </c>
      <c r="N2506" s="74">
        <v>43214</v>
      </c>
      <c r="O2506" s="74" t="s">
        <v>500</v>
      </c>
    </row>
    <row r="2507" spans="1:15" x14ac:dyDescent="0.15">
      <c r="B2507" s="6" t="s">
        <v>3</v>
      </c>
      <c r="C2507" s="7">
        <v>200</v>
      </c>
      <c r="D2507" s="5">
        <f t="shared" si="262"/>
        <v>200</v>
      </c>
      <c r="E2507" s="74">
        <v>43202</v>
      </c>
      <c r="F2507" s="74"/>
      <c r="G2507" s="74"/>
      <c r="H2507" s="74"/>
      <c r="I2507" s="74"/>
      <c r="K2507" s="6" t="s">
        <v>3</v>
      </c>
      <c r="L2507" s="7"/>
      <c r="M2507" s="5">
        <f t="shared" si="263"/>
        <v>0</v>
      </c>
      <c r="N2507" s="74"/>
      <c r="O2507" s="75"/>
    </row>
    <row r="2508" spans="1:15" x14ac:dyDescent="0.15">
      <c r="B2508" s="6" t="s">
        <v>3</v>
      </c>
      <c r="C2508" s="7">
        <v>200</v>
      </c>
      <c r="D2508" s="5">
        <f t="shared" si="262"/>
        <v>200</v>
      </c>
      <c r="E2508" s="74">
        <v>43208</v>
      </c>
      <c r="F2508" s="74"/>
      <c r="G2508" s="74"/>
      <c r="H2508" s="74"/>
      <c r="I2508" s="74"/>
      <c r="K2508" s="6" t="s">
        <v>3</v>
      </c>
      <c r="L2508" s="7"/>
      <c r="M2508" s="5">
        <f t="shared" si="263"/>
        <v>0</v>
      </c>
    </row>
    <row r="2509" spans="1:15" x14ac:dyDescent="0.15">
      <c r="B2509" s="6" t="s">
        <v>3</v>
      </c>
      <c r="C2509" s="7">
        <v>185</v>
      </c>
      <c r="D2509" s="5">
        <f t="shared" si="262"/>
        <v>185</v>
      </c>
      <c r="E2509" s="74">
        <v>43209</v>
      </c>
      <c r="F2509" s="74"/>
      <c r="G2509" s="74"/>
      <c r="H2509" s="74"/>
      <c r="I2509" s="74"/>
      <c r="K2509" s="6" t="s">
        <v>3</v>
      </c>
      <c r="L2509" s="7"/>
      <c r="M2509" s="5">
        <f t="shared" si="263"/>
        <v>0</v>
      </c>
    </row>
    <row r="2510" spans="1:15" x14ac:dyDescent="0.15">
      <c r="B2510" s="6" t="s">
        <v>3</v>
      </c>
      <c r="C2510" s="7"/>
      <c r="D2510" s="5">
        <f t="shared" si="262"/>
        <v>0</v>
      </c>
      <c r="E2510" s="75"/>
      <c r="F2510" s="75"/>
      <c r="G2510" s="75"/>
      <c r="H2510" s="75"/>
      <c r="I2510" s="75"/>
      <c r="K2510" s="6" t="s">
        <v>3</v>
      </c>
      <c r="L2510" s="7"/>
      <c r="M2510" s="5">
        <f t="shared" si="263"/>
        <v>0</v>
      </c>
    </row>
    <row r="2511" spans="1:15" x14ac:dyDescent="0.15">
      <c r="B2511" s="6" t="s">
        <v>3</v>
      </c>
      <c r="C2511" s="54"/>
      <c r="D2511" s="5">
        <f t="shared" si="262"/>
        <v>0</v>
      </c>
      <c r="K2511" s="6" t="s">
        <v>3</v>
      </c>
      <c r="L2511" s="7"/>
      <c r="M2511" s="5">
        <f t="shared" si="263"/>
        <v>0</v>
      </c>
    </row>
    <row r="2512" spans="1:15" x14ac:dyDescent="0.15">
      <c r="B2512" s="6" t="s">
        <v>3</v>
      </c>
      <c r="C2512" s="54"/>
      <c r="D2512" s="5">
        <f t="shared" si="262"/>
        <v>0</v>
      </c>
      <c r="K2512" s="6" t="s">
        <v>3</v>
      </c>
      <c r="L2512" s="7"/>
      <c r="M2512" s="5">
        <f t="shared" si="263"/>
        <v>0</v>
      </c>
      <c r="N2512" s="74"/>
    </row>
    <row r="2513" spans="2:15" x14ac:dyDescent="0.15">
      <c r="B2513" s="6" t="s">
        <v>3</v>
      </c>
      <c r="C2513" s="54"/>
      <c r="D2513" s="5">
        <f t="shared" si="262"/>
        <v>0</v>
      </c>
      <c r="K2513" s="6" t="s">
        <v>3</v>
      </c>
      <c r="L2513" s="7"/>
      <c r="M2513" s="5">
        <f t="shared" si="263"/>
        <v>0</v>
      </c>
    </row>
    <row r="2514" spans="2:15" ht="14.25" thickBot="1" x14ac:dyDescent="0.2">
      <c r="B2514" s="9" t="s">
        <v>3</v>
      </c>
      <c r="C2514" s="101"/>
      <c r="D2514" s="5">
        <f t="shared" si="262"/>
        <v>0</v>
      </c>
      <c r="K2514" s="9" t="s">
        <v>3</v>
      </c>
      <c r="L2514" s="10"/>
      <c r="M2514" s="5">
        <f t="shared" si="263"/>
        <v>0</v>
      </c>
    </row>
    <row r="2515" spans="2:15" ht="14.25" thickBot="1" x14ac:dyDescent="0.2">
      <c r="B2515" s="11" t="s">
        <v>4</v>
      </c>
      <c r="C2515" s="12">
        <f>SUM(C2504:C2514)</f>
        <v>1238</v>
      </c>
      <c r="D2515" s="13">
        <f>SUM(D2504:D2514)</f>
        <v>1238</v>
      </c>
      <c r="K2515" s="11" t="s">
        <v>4</v>
      </c>
      <c r="L2515" s="12">
        <f>SUM(L2504:L2514)</f>
        <v>6985</v>
      </c>
      <c r="M2515" s="13">
        <f>SUM(M2504:M2514)</f>
        <v>6985</v>
      </c>
    </row>
    <row r="2516" spans="2:15" x14ac:dyDescent="0.15">
      <c r="B2516" s="71" t="s">
        <v>497</v>
      </c>
      <c r="C2516" s="15">
        <v>4</v>
      </c>
      <c r="D2516" s="14">
        <f>SUM(C2516)</f>
        <v>4</v>
      </c>
      <c r="E2516" s="48">
        <v>43188</v>
      </c>
      <c r="F2516" s="48"/>
      <c r="G2516" s="48"/>
      <c r="H2516" s="48"/>
      <c r="I2516" s="48"/>
      <c r="K2516" s="69" t="s">
        <v>31</v>
      </c>
      <c r="L2516" s="15">
        <v>200</v>
      </c>
      <c r="M2516" s="14">
        <f>SUM(L2516:L2516)</f>
        <v>200</v>
      </c>
      <c r="N2516" s="74">
        <v>43194</v>
      </c>
    </row>
    <row r="2517" spans="2:15" x14ac:dyDescent="0.15">
      <c r="B2517" s="71" t="s">
        <v>39</v>
      </c>
      <c r="C2517" s="15">
        <v>100</v>
      </c>
      <c r="D2517" s="14">
        <f>SUM(C2517)</f>
        <v>100</v>
      </c>
      <c r="E2517" s="48">
        <v>43190</v>
      </c>
      <c r="F2517" s="48"/>
      <c r="G2517" s="48"/>
      <c r="H2517" s="48"/>
      <c r="I2517" s="48"/>
      <c r="J2517" s="36"/>
      <c r="K2517" s="69" t="s">
        <v>31</v>
      </c>
      <c r="L2517" s="15">
        <v>200</v>
      </c>
      <c r="M2517" s="14">
        <f t="shared" ref="M2517:M2528" si="264">SUM(L2517:L2517)</f>
        <v>200</v>
      </c>
      <c r="N2517" s="74">
        <v>43196</v>
      </c>
    </row>
    <row r="2518" spans="2:15" x14ac:dyDescent="0.15">
      <c r="B2518" s="71" t="s">
        <v>501</v>
      </c>
      <c r="C2518" s="15">
        <v>40</v>
      </c>
      <c r="D2518" s="14">
        <f t="shared" ref="D2518:D2537" si="265">SUM(C2518)</f>
        <v>40</v>
      </c>
      <c r="E2518" s="74">
        <v>43196</v>
      </c>
      <c r="F2518" s="74"/>
      <c r="G2518" s="74"/>
      <c r="H2518" s="74"/>
      <c r="I2518" s="74"/>
      <c r="J2518" s="51"/>
      <c r="K2518" s="69" t="s">
        <v>31</v>
      </c>
      <c r="L2518" s="15">
        <v>200</v>
      </c>
      <c r="M2518" s="14">
        <f t="shared" si="264"/>
        <v>200</v>
      </c>
      <c r="N2518" s="74">
        <v>43202</v>
      </c>
    </row>
    <row r="2519" spans="2:15" x14ac:dyDescent="0.15">
      <c r="B2519" s="71" t="s">
        <v>162</v>
      </c>
      <c r="C2519" s="15">
        <v>7</v>
      </c>
      <c r="D2519" s="14">
        <f t="shared" si="265"/>
        <v>7</v>
      </c>
      <c r="E2519" s="48">
        <v>43192</v>
      </c>
      <c r="F2519" s="48"/>
      <c r="G2519" s="48"/>
      <c r="H2519" s="48"/>
      <c r="I2519" s="48"/>
      <c r="J2519" s="51"/>
      <c r="K2519" s="69" t="s">
        <v>31</v>
      </c>
      <c r="L2519" s="15">
        <v>200</v>
      </c>
      <c r="M2519" s="14">
        <f t="shared" si="264"/>
        <v>200</v>
      </c>
      <c r="N2519" s="74">
        <v>43208</v>
      </c>
    </row>
    <row r="2520" spans="2:15" x14ac:dyDescent="0.15">
      <c r="B2520" s="71" t="s">
        <v>499</v>
      </c>
      <c r="C2520" s="15">
        <v>100</v>
      </c>
      <c r="D2520" s="14">
        <f t="shared" si="265"/>
        <v>100</v>
      </c>
      <c r="E2520" s="74">
        <v>43194</v>
      </c>
      <c r="F2520" s="74"/>
      <c r="G2520" s="74"/>
      <c r="H2520" s="74"/>
      <c r="I2520" s="74"/>
      <c r="J2520" s="51"/>
      <c r="K2520" s="69" t="s">
        <v>31</v>
      </c>
      <c r="L2520" s="15">
        <v>185</v>
      </c>
      <c r="M2520" s="14">
        <f t="shared" si="264"/>
        <v>185</v>
      </c>
      <c r="N2520" s="74">
        <v>43209</v>
      </c>
      <c r="O2520" s="75"/>
    </row>
    <row r="2521" spans="2:15" x14ac:dyDescent="0.15">
      <c r="B2521" s="71" t="s">
        <v>498</v>
      </c>
      <c r="C2521" s="15">
        <v>10</v>
      </c>
      <c r="D2521" s="14">
        <f t="shared" si="265"/>
        <v>10</v>
      </c>
      <c r="E2521" s="74">
        <v>43194</v>
      </c>
      <c r="F2521" s="74"/>
      <c r="G2521" s="74"/>
      <c r="H2521" s="74"/>
      <c r="I2521" s="74"/>
      <c r="J2521" s="51"/>
      <c r="K2521" s="69"/>
      <c r="L2521" s="15"/>
      <c r="M2521" s="14">
        <f t="shared" si="264"/>
        <v>0</v>
      </c>
    </row>
    <row r="2522" spans="2:15" x14ac:dyDescent="0.15">
      <c r="B2522" s="71" t="s">
        <v>162</v>
      </c>
      <c r="C2522" s="15">
        <v>2</v>
      </c>
      <c r="D2522" s="14">
        <f t="shared" si="265"/>
        <v>2</v>
      </c>
      <c r="E2522" s="48">
        <v>43193</v>
      </c>
      <c r="F2522" s="48"/>
      <c r="G2522" s="48"/>
      <c r="H2522" s="48"/>
      <c r="I2522" s="48"/>
      <c r="J2522" s="51"/>
      <c r="K2522" s="4"/>
      <c r="L2522" s="15"/>
      <c r="M2522" s="14">
        <f t="shared" si="264"/>
        <v>0</v>
      </c>
    </row>
    <row r="2523" spans="2:15" x14ac:dyDescent="0.15">
      <c r="B2523" s="71" t="s">
        <v>162</v>
      </c>
      <c r="C2523" s="15">
        <v>3</v>
      </c>
      <c r="D2523" s="14">
        <f t="shared" si="265"/>
        <v>3</v>
      </c>
      <c r="E2523" s="48">
        <v>43194</v>
      </c>
      <c r="F2523" s="48"/>
      <c r="G2523" s="48"/>
      <c r="H2523" s="48"/>
      <c r="I2523" s="48"/>
      <c r="J2523" s="51"/>
      <c r="K2523" s="6"/>
      <c r="L2523" s="15"/>
      <c r="M2523" s="14">
        <f t="shared" si="264"/>
        <v>0</v>
      </c>
    </row>
    <row r="2524" spans="2:15" x14ac:dyDescent="0.15">
      <c r="B2524" s="71" t="s">
        <v>39</v>
      </c>
      <c r="C2524" s="15">
        <v>100</v>
      </c>
      <c r="D2524" s="14">
        <f t="shared" si="265"/>
        <v>100</v>
      </c>
      <c r="E2524" s="48">
        <v>43195</v>
      </c>
      <c r="F2524" s="48"/>
      <c r="G2524" s="48"/>
      <c r="H2524" s="48"/>
      <c r="I2524" s="48"/>
      <c r="J2524" s="51"/>
      <c r="K2524" s="4"/>
      <c r="L2524" s="15"/>
      <c r="M2524" s="14">
        <f t="shared" si="264"/>
        <v>0</v>
      </c>
    </row>
    <row r="2525" spans="2:15" x14ac:dyDescent="0.15">
      <c r="B2525" s="71" t="s">
        <v>162</v>
      </c>
      <c r="C2525" s="15">
        <v>3</v>
      </c>
      <c r="D2525" s="14">
        <f t="shared" si="265"/>
        <v>3</v>
      </c>
      <c r="E2525" s="48">
        <v>43195</v>
      </c>
      <c r="F2525" s="48"/>
      <c r="G2525" s="48"/>
      <c r="H2525" s="48"/>
      <c r="I2525" s="48"/>
      <c r="J2525" s="51"/>
      <c r="K2525" s="4"/>
      <c r="L2525" s="15"/>
      <c r="M2525" s="14">
        <f t="shared" si="264"/>
        <v>0</v>
      </c>
    </row>
    <row r="2526" spans="2:15" x14ac:dyDescent="0.15">
      <c r="B2526" s="71" t="s">
        <v>39</v>
      </c>
      <c r="C2526" s="15">
        <v>50</v>
      </c>
      <c r="D2526" s="14">
        <f t="shared" si="265"/>
        <v>50</v>
      </c>
      <c r="E2526" s="48">
        <v>43196</v>
      </c>
      <c r="F2526" s="48"/>
      <c r="G2526" s="48"/>
      <c r="H2526" s="48"/>
      <c r="I2526" s="48"/>
      <c r="J2526" s="51"/>
      <c r="K2526" s="4"/>
      <c r="L2526" s="15"/>
      <c r="M2526" s="14">
        <f t="shared" si="264"/>
        <v>0</v>
      </c>
    </row>
    <row r="2527" spans="2:15" x14ac:dyDescent="0.15">
      <c r="B2527" s="71" t="s">
        <v>407</v>
      </c>
      <c r="C2527" s="15">
        <v>40</v>
      </c>
      <c r="D2527" s="14">
        <f t="shared" si="265"/>
        <v>40</v>
      </c>
      <c r="E2527" s="74">
        <v>43203</v>
      </c>
      <c r="F2527" s="74"/>
      <c r="G2527" s="74"/>
      <c r="H2527" s="74"/>
      <c r="I2527" s="74"/>
      <c r="J2527" s="51"/>
      <c r="K2527" s="4"/>
      <c r="L2527" s="15"/>
      <c r="M2527" s="14">
        <f t="shared" si="264"/>
        <v>0</v>
      </c>
    </row>
    <row r="2528" spans="2:15" x14ac:dyDescent="0.15">
      <c r="B2528" s="71" t="s">
        <v>162</v>
      </c>
      <c r="C2528" s="15">
        <v>3</v>
      </c>
      <c r="D2528" s="14">
        <f t="shared" si="265"/>
        <v>3</v>
      </c>
      <c r="E2528" s="48">
        <v>43196</v>
      </c>
      <c r="F2528" s="48"/>
      <c r="G2528" s="48"/>
      <c r="H2528" s="48"/>
      <c r="I2528" s="48"/>
      <c r="J2528" s="51"/>
      <c r="K2528" s="6"/>
      <c r="L2528" s="15"/>
      <c r="M2528" s="14">
        <f t="shared" si="264"/>
        <v>0</v>
      </c>
    </row>
    <row r="2529" spans="1:14" x14ac:dyDescent="0.15">
      <c r="B2529" s="71" t="s">
        <v>162</v>
      </c>
      <c r="C2529" s="15">
        <v>3</v>
      </c>
      <c r="D2529" s="14">
        <f t="shared" si="265"/>
        <v>3</v>
      </c>
      <c r="E2529" s="48">
        <v>43199</v>
      </c>
      <c r="F2529" s="48"/>
      <c r="G2529" s="48"/>
      <c r="H2529" s="48"/>
      <c r="I2529" s="48"/>
      <c r="J2529" s="51"/>
      <c r="K2529" s="67"/>
      <c r="L2529" s="15"/>
      <c r="M2529" s="14">
        <f>SUM(L2529)</f>
        <v>0</v>
      </c>
    </row>
    <row r="2530" spans="1:14" x14ac:dyDescent="0.15">
      <c r="B2530" s="71" t="s">
        <v>410</v>
      </c>
      <c r="C2530" s="15">
        <v>80</v>
      </c>
      <c r="D2530" s="14">
        <f t="shared" si="265"/>
        <v>80</v>
      </c>
      <c r="E2530" s="74">
        <v>43206</v>
      </c>
      <c r="F2530" s="74"/>
      <c r="G2530" s="74"/>
      <c r="H2530" s="74"/>
      <c r="I2530" s="74"/>
      <c r="J2530" s="51"/>
      <c r="K2530" s="4"/>
      <c r="L2530" s="15"/>
      <c r="M2530" s="14">
        <f>SUM(L2530:L2530)</f>
        <v>0</v>
      </c>
    </row>
    <row r="2531" spans="1:14" x14ac:dyDescent="0.15">
      <c r="B2531" s="71" t="s">
        <v>162</v>
      </c>
      <c r="C2531" s="15">
        <v>2</v>
      </c>
      <c r="D2531" s="14">
        <f t="shared" si="265"/>
        <v>2</v>
      </c>
      <c r="E2531" s="48">
        <v>43200</v>
      </c>
      <c r="F2531" s="48"/>
      <c r="G2531" s="48"/>
      <c r="H2531" s="48"/>
      <c r="I2531" s="48"/>
      <c r="J2531" s="51"/>
      <c r="K2531" s="4"/>
      <c r="L2531" s="15"/>
      <c r="M2531" s="14">
        <f t="shared" ref="M2531:M2539" si="266">SUM(L2531)</f>
        <v>0</v>
      </c>
    </row>
    <row r="2532" spans="1:14" x14ac:dyDescent="0.15">
      <c r="B2532" s="71" t="s">
        <v>39</v>
      </c>
      <c r="C2532" s="15">
        <v>100</v>
      </c>
      <c r="D2532" s="14">
        <f t="shared" si="265"/>
        <v>100</v>
      </c>
      <c r="E2532" s="48">
        <v>43201</v>
      </c>
      <c r="F2532" s="48"/>
      <c r="G2532" s="48"/>
      <c r="H2532" s="48"/>
      <c r="I2532" s="48"/>
      <c r="J2532" s="51"/>
      <c r="K2532" s="6"/>
      <c r="L2532" s="15"/>
      <c r="M2532" s="14">
        <f t="shared" si="266"/>
        <v>0</v>
      </c>
    </row>
    <row r="2533" spans="1:14" x14ac:dyDescent="0.15">
      <c r="B2533" s="71" t="s">
        <v>162</v>
      </c>
      <c r="C2533" s="15">
        <v>1</v>
      </c>
      <c r="D2533" s="14">
        <f t="shared" si="265"/>
        <v>1</v>
      </c>
      <c r="E2533" s="74">
        <v>43202</v>
      </c>
      <c r="F2533" s="74"/>
      <c r="G2533" s="74"/>
      <c r="H2533" s="74"/>
      <c r="I2533" s="74"/>
      <c r="J2533" s="51"/>
      <c r="K2533" s="4"/>
      <c r="L2533" s="15"/>
      <c r="M2533" s="14">
        <f t="shared" si="266"/>
        <v>0</v>
      </c>
    </row>
    <row r="2534" spans="1:14" x14ac:dyDescent="0.15">
      <c r="B2534" s="71" t="s">
        <v>465</v>
      </c>
      <c r="C2534" s="15">
        <v>40</v>
      </c>
      <c r="D2534" s="14">
        <f t="shared" si="265"/>
        <v>40</v>
      </c>
      <c r="E2534" s="74">
        <v>43209</v>
      </c>
      <c r="F2534" s="74"/>
      <c r="G2534" s="74"/>
      <c r="H2534" s="74"/>
      <c r="I2534" s="74"/>
      <c r="J2534" s="51"/>
      <c r="K2534" s="6"/>
      <c r="L2534" s="15"/>
      <c r="M2534" s="14">
        <f t="shared" si="266"/>
        <v>0</v>
      </c>
    </row>
    <row r="2535" spans="1:14" x14ac:dyDescent="0.15">
      <c r="B2535" s="71" t="s">
        <v>162</v>
      </c>
      <c r="C2535" s="15">
        <v>2</v>
      </c>
      <c r="D2535" s="14">
        <f t="shared" si="265"/>
        <v>2</v>
      </c>
      <c r="E2535" s="74">
        <v>43203</v>
      </c>
      <c r="F2535" s="74"/>
      <c r="G2535" s="74"/>
      <c r="H2535" s="74"/>
      <c r="I2535" s="74"/>
      <c r="J2535" s="51"/>
      <c r="K2535" s="4"/>
      <c r="L2535" s="15"/>
      <c r="M2535" s="14">
        <f t="shared" si="266"/>
        <v>0</v>
      </c>
    </row>
    <row r="2536" spans="1:14" x14ac:dyDescent="0.15">
      <c r="B2536" s="71" t="s">
        <v>162</v>
      </c>
      <c r="C2536" s="15">
        <v>1</v>
      </c>
      <c r="D2536" s="14">
        <f t="shared" si="265"/>
        <v>1</v>
      </c>
      <c r="E2536" s="48">
        <v>43206</v>
      </c>
      <c r="F2536" s="48"/>
      <c r="G2536" s="48"/>
      <c r="H2536" s="48"/>
      <c r="I2536" s="48"/>
      <c r="J2536" s="51"/>
      <c r="K2536" s="4"/>
      <c r="L2536" s="15"/>
      <c r="M2536" s="14">
        <f t="shared" si="266"/>
        <v>0</v>
      </c>
      <c r="N2536" s="75"/>
    </row>
    <row r="2537" spans="1:14" x14ac:dyDescent="0.15">
      <c r="B2537" s="71" t="s">
        <v>39</v>
      </c>
      <c r="C2537" s="15">
        <v>100</v>
      </c>
      <c r="D2537" s="14">
        <f t="shared" si="265"/>
        <v>100</v>
      </c>
      <c r="E2537" s="48">
        <v>43207</v>
      </c>
      <c r="F2537" s="48"/>
      <c r="G2537" s="48"/>
      <c r="H2537" s="48"/>
      <c r="I2537" s="48"/>
      <c r="J2537" s="51"/>
      <c r="K2537" s="4"/>
      <c r="L2537" s="15"/>
      <c r="M2537" s="14">
        <f t="shared" si="266"/>
        <v>0</v>
      </c>
    </row>
    <row r="2538" spans="1:14" x14ac:dyDescent="0.15">
      <c r="B2538" s="71" t="s">
        <v>162</v>
      </c>
      <c r="C2538" s="15">
        <v>3</v>
      </c>
      <c r="D2538" s="14">
        <f>SUM(C2538)</f>
        <v>3</v>
      </c>
      <c r="E2538" s="48">
        <v>43207</v>
      </c>
      <c r="F2538" s="48"/>
      <c r="G2538" s="48"/>
      <c r="H2538" s="48"/>
      <c r="I2538" s="48"/>
      <c r="J2538" s="51"/>
      <c r="K2538" s="69"/>
      <c r="L2538" s="15"/>
      <c r="M2538" s="14">
        <f t="shared" si="266"/>
        <v>0</v>
      </c>
      <c r="N2538" s="74"/>
    </row>
    <row r="2539" spans="1:14" ht="14.25" thickBot="1" x14ac:dyDescent="0.2">
      <c r="B2539" s="69" t="s">
        <v>502</v>
      </c>
      <c r="C2539" s="15">
        <v>200</v>
      </c>
      <c r="D2539" s="14">
        <f>SUM(C2539)</f>
        <v>200</v>
      </c>
      <c r="E2539" s="74">
        <v>43210</v>
      </c>
      <c r="F2539" s="74"/>
      <c r="G2539" s="74"/>
      <c r="H2539" s="74"/>
      <c r="I2539" s="74"/>
      <c r="J2539" s="51"/>
      <c r="K2539" s="69"/>
      <c r="L2539" s="15"/>
      <c r="M2539" s="14">
        <f t="shared" si="266"/>
        <v>0</v>
      </c>
      <c r="N2539" s="74"/>
    </row>
    <row r="2540" spans="1:14" ht="14.25" thickBot="1" x14ac:dyDescent="0.2">
      <c r="B2540" s="3" t="s">
        <v>5</v>
      </c>
      <c r="C2540" s="16">
        <f>SUM(C2516:C2539)</f>
        <v>994</v>
      </c>
      <c r="D2540" s="17">
        <f>SUM(D2516:D2539)</f>
        <v>994</v>
      </c>
      <c r="K2540" s="3" t="s">
        <v>5</v>
      </c>
      <c r="L2540" s="16">
        <f>SUM(L2516:L2539)</f>
        <v>985</v>
      </c>
      <c r="M2540" s="17">
        <f>SUM(M2516:M2539)</f>
        <v>985</v>
      </c>
    </row>
    <row r="2541" spans="1:14" ht="14.25" thickBot="1" x14ac:dyDescent="0.2">
      <c r="B2541" s="18" t="s">
        <v>6</v>
      </c>
      <c r="C2541" s="19">
        <f>C2515-C2540</f>
        <v>244</v>
      </c>
      <c r="D2541" s="13">
        <f>D2515-D2540</f>
        <v>244</v>
      </c>
      <c r="K2541" s="18" t="s">
        <v>6</v>
      </c>
      <c r="L2541" s="19">
        <f>L2515-L2540</f>
        <v>6000</v>
      </c>
      <c r="M2541" s="13">
        <f>M2515-M2540</f>
        <v>6000</v>
      </c>
    </row>
    <row r="2543" spans="1:14" ht="18" thickBot="1" x14ac:dyDescent="0.25">
      <c r="A2543" s="27" t="s">
        <v>8</v>
      </c>
      <c r="B2543" s="28"/>
      <c r="C2543" s="28"/>
      <c r="D2543" s="28"/>
      <c r="J2543" s="139" t="s">
        <v>218</v>
      </c>
      <c r="K2543" s="140"/>
      <c r="L2543" s="140"/>
      <c r="M2543" s="140"/>
    </row>
    <row r="2544" spans="1:14" ht="14.25" thickBot="1" x14ac:dyDescent="0.2">
      <c r="B2544" s="2"/>
      <c r="C2544" s="3" t="s">
        <v>0</v>
      </c>
      <c r="D2544" s="2" t="s">
        <v>1</v>
      </c>
      <c r="K2544" s="2"/>
      <c r="L2544" s="3" t="s">
        <v>0</v>
      </c>
      <c r="M2544" s="2" t="s">
        <v>1</v>
      </c>
    </row>
    <row r="2545" spans="2:15" x14ac:dyDescent="0.15">
      <c r="B2545" s="43" t="s">
        <v>26</v>
      </c>
      <c r="C2545" s="38">
        <f>C2541</f>
        <v>244</v>
      </c>
      <c r="D2545" s="39">
        <f t="shared" ref="D2545:D2555" si="267">SUM(C2545:C2545)</f>
        <v>244</v>
      </c>
      <c r="K2545" s="43" t="s">
        <v>26</v>
      </c>
      <c r="L2545" s="38">
        <f>L2541</f>
        <v>6000</v>
      </c>
      <c r="M2545" s="39">
        <f t="shared" ref="M2545:M2555" si="268">SUM(L2545:L2545)</f>
        <v>6000</v>
      </c>
    </row>
    <row r="2546" spans="2:15" x14ac:dyDescent="0.15">
      <c r="B2546" s="6" t="s">
        <v>3</v>
      </c>
      <c r="C2546" s="7">
        <v>400</v>
      </c>
      <c r="D2546" s="5">
        <f t="shared" si="267"/>
        <v>400</v>
      </c>
      <c r="E2546" s="74">
        <v>43215</v>
      </c>
      <c r="F2546" s="74"/>
      <c r="G2546" s="74"/>
      <c r="H2546" s="74"/>
      <c r="I2546" s="74"/>
      <c r="J2546" s="75"/>
      <c r="K2546" s="6" t="s">
        <v>3</v>
      </c>
      <c r="L2546" s="7"/>
      <c r="M2546" s="5">
        <f t="shared" si="268"/>
        <v>0</v>
      </c>
      <c r="N2546" s="75"/>
      <c r="O2546" s="75"/>
    </row>
    <row r="2547" spans="2:15" x14ac:dyDescent="0.15">
      <c r="B2547" s="6" t="s">
        <v>3</v>
      </c>
      <c r="C2547" s="7">
        <v>200</v>
      </c>
      <c r="D2547" s="5">
        <f t="shared" si="267"/>
        <v>200</v>
      </c>
      <c r="E2547" s="74">
        <v>43216</v>
      </c>
      <c r="F2547" s="74"/>
      <c r="G2547" s="74"/>
      <c r="H2547" s="74"/>
      <c r="I2547" s="74"/>
      <c r="K2547" s="6" t="s">
        <v>3</v>
      </c>
      <c r="L2547" s="7"/>
      <c r="M2547" s="5">
        <f t="shared" si="268"/>
        <v>0</v>
      </c>
      <c r="N2547" s="74"/>
      <c r="O2547" s="75"/>
    </row>
    <row r="2548" spans="2:15" x14ac:dyDescent="0.15">
      <c r="B2548" s="6" t="s">
        <v>3</v>
      </c>
      <c r="C2548" s="7">
        <v>200</v>
      </c>
      <c r="D2548" s="5">
        <f t="shared" si="267"/>
        <v>200</v>
      </c>
      <c r="E2548" s="74">
        <v>43222</v>
      </c>
      <c r="F2548" s="74"/>
      <c r="G2548" s="74"/>
      <c r="H2548" s="74"/>
      <c r="I2548" s="74"/>
      <c r="K2548" s="6" t="s">
        <v>3</v>
      </c>
      <c r="L2548" s="7"/>
      <c r="M2548" s="5">
        <f t="shared" si="268"/>
        <v>0</v>
      </c>
    </row>
    <row r="2549" spans="2:15" x14ac:dyDescent="0.15">
      <c r="B2549" s="6" t="s">
        <v>3</v>
      </c>
      <c r="C2549" s="7">
        <v>200</v>
      </c>
      <c r="D2549" s="5">
        <f t="shared" si="267"/>
        <v>200</v>
      </c>
      <c r="E2549" s="74">
        <v>43227</v>
      </c>
      <c r="F2549" s="74"/>
      <c r="G2549" s="74"/>
      <c r="H2549" s="74"/>
      <c r="I2549" s="74"/>
      <c r="K2549" s="6" t="s">
        <v>3</v>
      </c>
      <c r="L2549" s="7"/>
      <c r="M2549" s="5">
        <f t="shared" si="268"/>
        <v>0</v>
      </c>
    </row>
    <row r="2550" spans="2:15" x14ac:dyDescent="0.15">
      <c r="B2550" s="6" t="s">
        <v>377</v>
      </c>
      <c r="C2550" s="7">
        <v>62</v>
      </c>
      <c r="D2550" s="5">
        <f t="shared" si="267"/>
        <v>62</v>
      </c>
      <c r="E2550" s="48">
        <v>43228</v>
      </c>
      <c r="F2550" s="48"/>
      <c r="G2550" s="48"/>
      <c r="H2550" s="48"/>
      <c r="I2550" s="48"/>
      <c r="K2550" s="6" t="s">
        <v>3</v>
      </c>
      <c r="L2550" s="7"/>
      <c r="M2550" s="5">
        <f t="shared" si="268"/>
        <v>0</v>
      </c>
    </row>
    <row r="2551" spans="2:15" x14ac:dyDescent="0.15">
      <c r="B2551" s="6" t="s">
        <v>3</v>
      </c>
      <c r="C2551" s="7"/>
      <c r="D2551" s="5">
        <f t="shared" si="267"/>
        <v>0</v>
      </c>
      <c r="K2551" s="6" t="s">
        <v>3</v>
      </c>
      <c r="L2551" s="7"/>
      <c r="M2551" s="5">
        <f t="shared" si="268"/>
        <v>0</v>
      </c>
    </row>
    <row r="2552" spans="2:15" x14ac:dyDescent="0.15">
      <c r="B2552" s="6" t="s">
        <v>3</v>
      </c>
      <c r="C2552" s="54"/>
      <c r="D2552" s="5">
        <f t="shared" si="267"/>
        <v>0</v>
      </c>
      <c r="K2552" s="6" t="s">
        <v>3</v>
      </c>
      <c r="L2552" s="7"/>
      <c r="M2552" s="5">
        <f t="shared" si="268"/>
        <v>0</v>
      </c>
      <c r="N2552" s="75"/>
    </row>
    <row r="2553" spans="2:15" x14ac:dyDescent="0.15">
      <c r="B2553" s="6" t="s">
        <v>3</v>
      </c>
      <c r="C2553" s="54"/>
      <c r="D2553" s="5">
        <f t="shared" si="267"/>
        <v>0</v>
      </c>
      <c r="K2553" s="6" t="s">
        <v>3</v>
      </c>
      <c r="L2553" s="7"/>
      <c r="M2553" s="5">
        <f t="shared" si="268"/>
        <v>0</v>
      </c>
      <c r="N2553" s="74"/>
    </row>
    <row r="2554" spans="2:15" x14ac:dyDescent="0.15">
      <c r="B2554" s="6" t="s">
        <v>3</v>
      </c>
      <c r="C2554" s="54"/>
      <c r="D2554" s="5">
        <f t="shared" si="267"/>
        <v>0</v>
      </c>
      <c r="K2554" s="6" t="s">
        <v>3</v>
      </c>
      <c r="L2554" s="7"/>
      <c r="M2554" s="5">
        <f t="shared" si="268"/>
        <v>0</v>
      </c>
    </row>
    <row r="2555" spans="2:15" ht="14.25" thickBot="1" x14ac:dyDescent="0.2">
      <c r="B2555" s="9" t="s">
        <v>3</v>
      </c>
      <c r="C2555" s="101"/>
      <c r="D2555" s="5">
        <f t="shared" si="267"/>
        <v>0</v>
      </c>
      <c r="K2555" s="9" t="s">
        <v>3</v>
      </c>
      <c r="L2555" s="10"/>
      <c r="M2555" s="5">
        <f t="shared" si="268"/>
        <v>0</v>
      </c>
    </row>
    <row r="2556" spans="2:15" ht="14.25" thickBot="1" x14ac:dyDescent="0.2">
      <c r="B2556" s="11" t="s">
        <v>4</v>
      </c>
      <c r="C2556" s="12">
        <f>SUM(C2545:C2555)</f>
        <v>1306</v>
      </c>
      <c r="D2556" s="13">
        <f>SUM(D2545:D2555)</f>
        <v>1306</v>
      </c>
      <c r="K2556" s="11" t="s">
        <v>4</v>
      </c>
      <c r="L2556" s="12">
        <f>SUM(L2545:L2555)</f>
        <v>6000</v>
      </c>
      <c r="M2556" s="13">
        <f>SUM(M2545:M2555)</f>
        <v>6000</v>
      </c>
    </row>
    <row r="2557" spans="2:15" x14ac:dyDescent="0.15">
      <c r="B2557" s="71" t="s">
        <v>162</v>
      </c>
      <c r="C2557" s="15">
        <v>3</v>
      </c>
      <c r="D2557" s="14">
        <f>SUM(C2557)</f>
        <v>3</v>
      </c>
      <c r="E2557" s="48">
        <v>43208</v>
      </c>
      <c r="F2557" s="48"/>
      <c r="G2557" s="48"/>
      <c r="H2557" s="48"/>
      <c r="I2557" s="48"/>
      <c r="K2557" s="69" t="s">
        <v>31</v>
      </c>
      <c r="L2557" s="15">
        <v>400</v>
      </c>
      <c r="M2557" s="14">
        <f>SUM(L2557:L2557)</f>
        <v>400</v>
      </c>
      <c r="N2557" s="74">
        <v>43215</v>
      </c>
    </row>
    <row r="2558" spans="2:15" x14ac:dyDescent="0.15">
      <c r="B2558" s="71" t="s">
        <v>162</v>
      </c>
      <c r="C2558" s="15">
        <v>5</v>
      </c>
      <c r="D2558" s="14">
        <f>SUM(C2558)</f>
        <v>5</v>
      </c>
      <c r="E2558" s="48">
        <v>43209</v>
      </c>
      <c r="F2558" s="48"/>
      <c r="G2558" s="48"/>
      <c r="H2558" s="48"/>
      <c r="I2558" s="48"/>
      <c r="J2558" s="36"/>
      <c r="K2558" s="69" t="s">
        <v>31</v>
      </c>
      <c r="L2558" s="15">
        <v>200</v>
      </c>
      <c r="M2558" s="14">
        <f t="shared" ref="M2558:M2577" si="269">SUM(L2558:L2558)</f>
        <v>200</v>
      </c>
      <c r="N2558" s="74">
        <v>43216</v>
      </c>
    </row>
    <row r="2559" spans="2:15" x14ac:dyDescent="0.15">
      <c r="B2559" s="71" t="s">
        <v>503</v>
      </c>
      <c r="C2559" s="15">
        <v>100</v>
      </c>
      <c r="D2559" s="14">
        <f t="shared" ref="D2559:D2578" si="270">SUM(C2559)</f>
        <v>100</v>
      </c>
      <c r="E2559" s="48">
        <v>43210</v>
      </c>
      <c r="F2559" s="48"/>
      <c r="G2559" s="48"/>
      <c r="H2559" s="48"/>
      <c r="I2559" s="48"/>
      <c r="J2559" s="51"/>
      <c r="K2559" s="69" t="s">
        <v>507</v>
      </c>
      <c r="L2559" s="15">
        <v>200</v>
      </c>
      <c r="M2559" s="14">
        <f>SUM(L2559)</f>
        <v>200</v>
      </c>
      <c r="N2559" s="74">
        <v>43217</v>
      </c>
    </row>
    <row r="2560" spans="2:15" x14ac:dyDescent="0.15">
      <c r="B2560" s="71" t="s">
        <v>505</v>
      </c>
      <c r="C2560" s="15">
        <v>60</v>
      </c>
      <c r="D2560" s="14">
        <f t="shared" si="270"/>
        <v>60</v>
      </c>
      <c r="E2560" s="48">
        <v>43211</v>
      </c>
      <c r="F2560" s="48"/>
      <c r="G2560" s="48"/>
      <c r="H2560" s="48"/>
      <c r="I2560" s="48"/>
      <c r="J2560" s="51"/>
      <c r="K2560" s="69" t="s">
        <v>31</v>
      </c>
      <c r="L2560" s="15">
        <v>200</v>
      </c>
      <c r="M2560" s="14">
        <f t="shared" si="269"/>
        <v>200</v>
      </c>
      <c r="N2560" s="74">
        <v>43222</v>
      </c>
    </row>
    <row r="2561" spans="2:14" x14ac:dyDescent="0.15">
      <c r="B2561" s="71" t="s">
        <v>162</v>
      </c>
      <c r="C2561" s="15">
        <v>5</v>
      </c>
      <c r="D2561" s="14">
        <f t="shared" si="270"/>
        <v>5</v>
      </c>
      <c r="E2561" s="48">
        <v>43210</v>
      </c>
      <c r="F2561" s="48"/>
      <c r="G2561" s="48"/>
      <c r="H2561" s="48"/>
      <c r="I2561" s="48"/>
      <c r="J2561" s="51"/>
      <c r="K2561" s="69" t="s">
        <v>31</v>
      </c>
      <c r="L2561" s="15">
        <v>200</v>
      </c>
      <c r="M2561" s="14">
        <f t="shared" si="269"/>
        <v>200</v>
      </c>
      <c r="N2561" s="74">
        <v>43227</v>
      </c>
    </row>
    <row r="2562" spans="2:14" x14ac:dyDescent="0.15">
      <c r="B2562" s="71" t="s">
        <v>504</v>
      </c>
      <c r="C2562" s="15">
        <v>40</v>
      </c>
      <c r="D2562" s="14">
        <f t="shared" si="270"/>
        <v>40</v>
      </c>
      <c r="E2562" s="74">
        <v>43216</v>
      </c>
      <c r="F2562" s="74"/>
      <c r="G2562" s="74"/>
      <c r="H2562" s="74"/>
      <c r="I2562" s="74"/>
      <c r="J2562" s="51"/>
      <c r="K2562" s="69"/>
      <c r="L2562" s="15"/>
      <c r="M2562" s="14">
        <f t="shared" si="269"/>
        <v>0</v>
      </c>
    </row>
    <row r="2563" spans="2:14" x14ac:dyDescent="0.15">
      <c r="B2563" s="71" t="s">
        <v>162</v>
      </c>
      <c r="C2563" s="15">
        <v>2</v>
      </c>
      <c r="D2563" s="14">
        <f t="shared" si="270"/>
        <v>2</v>
      </c>
      <c r="E2563" s="48">
        <v>43211</v>
      </c>
      <c r="F2563" s="48"/>
      <c r="G2563" s="48"/>
      <c r="H2563" s="48"/>
      <c r="I2563" s="48"/>
      <c r="J2563" s="51"/>
      <c r="K2563" s="71"/>
      <c r="L2563" s="15"/>
      <c r="M2563" s="14">
        <f t="shared" si="269"/>
        <v>0</v>
      </c>
      <c r="N2563" s="74"/>
    </row>
    <row r="2564" spans="2:14" x14ac:dyDescent="0.15">
      <c r="B2564" s="71" t="s">
        <v>509</v>
      </c>
      <c r="C2564" s="15">
        <v>30</v>
      </c>
      <c r="D2564" s="14">
        <f t="shared" si="270"/>
        <v>30</v>
      </c>
      <c r="E2564" s="74">
        <v>43214</v>
      </c>
      <c r="F2564" s="74"/>
      <c r="G2564" s="74"/>
      <c r="H2564" s="74"/>
      <c r="I2564" s="74"/>
      <c r="J2564" s="51"/>
      <c r="K2564" s="6"/>
      <c r="L2564" s="15"/>
      <c r="M2564" s="14">
        <f t="shared" si="269"/>
        <v>0</v>
      </c>
    </row>
    <row r="2565" spans="2:14" x14ac:dyDescent="0.15">
      <c r="B2565" s="71" t="s">
        <v>162</v>
      </c>
      <c r="C2565" s="15">
        <v>7</v>
      </c>
      <c r="D2565" s="14">
        <f t="shared" si="270"/>
        <v>7</v>
      </c>
      <c r="E2565" s="48">
        <v>43213</v>
      </c>
      <c r="F2565" s="48"/>
      <c r="G2565" s="48"/>
      <c r="H2565" s="48"/>
      <c r="I2565" s="48"/>
      <c r="J2565" s="51"/>
      <c r="K2565" s="4"/>
      <c r="L2565" s="15"/>
      <c r="M2565" s="14">
        <f t="shared" si="269"/>
        <v>0</v>
      </c>
    </row>
    <row r="2566" spans="2:14" x14ac:dyDescent="0.15">
      <c r="B2566" s="71" t="s">
        <v>508</v>
      </c>
      <c r="C2566" s="15">
        <v>3</v>
      </c>
      <c r="D2566" s="14">
        <f t="shared" si="270"/>
        <v>3</v>
      </c>
      <c r="E2566" s="74">
        <v>43214</v>
      </c>
      <c r="F2566" s="74"/>
      <c r="G2566" s="74"/>
      <c r="H2566" s="74"/>
      <c r="I2566" s="74"/>
      <c r="J2566" s="51"/>
      <c r="K2566" s="4"/>
      <c r="L2566" s="15"/>
      <c r="M2566" s="14">
        <f t="shared" si="269"/>
        <v>0</v>
      </c>
    </row>
    <row r="2567" spans="2:14" x14ac:dyDescent="0.15">
      <c r="B2567" s="69" t="s">
        <v>506</v>
      </c>
      <c r="C2567" s="15">
        <v>67</v>
      </c>
      <c r="D2567" s="14">
        <f t="shared" si="270"/>
        <v>67</v>
      </c>
      <c r="E2567" s="74">
        <v>43217</v>
      </c>
      <c r="F2567" s="74"/>
      <c r="G2567" s="74"/>
      <c r="H2567" s="74"/>
      <c r="I2567" s="74"/>
      <c r="J2567" s="51"/>
      <c r="K2567" s="4"/>
      <c r="L2567" s="15"/>
      <c r="M2567" s="14">
        <f t="shared" si="269"/>
        <v>0</v>
      </c>
    </row>
    <row r="2568" spans="2:14" x14ac:dyDescent="0.15">
      <c r="B2568" s="71" t="s">
        <v>39</v>
      </c>
      <c r="C2568" s="15">
        <v>200</v>
      </c>
      <c r="D2568" s="14">
        <f>SUM(C2568)</f>
        <v>200</v>
      </c>
      <c r="E2568" s="48">
        <v>43216</v>
      </c>
      <c r="F2568" s="48"/>
      <c r="G2568" s="48"/>
      <c r="H2568" s="48"/>
      <c r="I2568" s="48"/>
      <c r="J2568" s="51"/>
      <c r="K2568" s="4"/>
      <c r="L2568" s="15"/>
      <c r="M2568" s="14">
        <f t="shared" si="269"/>
        <v>0</v>
      </c>
    </row>
    <row r="2569" spans="2:14" x14ac:dyDescent="0.15">
      <c r="B2569" s="71" t="s">
        <v>162</v>
      </c>
      <c r="C2569" s="15">
        <v>4</v>
      </c>
      <c r="D2569" s="14">
        <f t="shared" si="270"/>
        <v>4</v>
      </c>
      <c r="E2569" s="48">
        <v>43215</v>
      </c>
      <c r="F2569" s="48"/>
      <c r="G2569" s="48"/>
      <c r="H2569" s="48"/>
      <c r="I2569" s="48"/>
      <c r="J2569" s="51"/>
      <c r="K2569" s="6"/>
      <c r="L2569" s="15"/>
      <c r="M2569" s="14">
        <f t="shared" si="269"/>
        <v>0</v>
      </c>
    </row>
    <row r="2570" spans="2:14" x14ac:dyDescent="0.15">
      <c r="B2570" s="69" t="s">
        <v>510</v>
      </c>
      <c r="C2570" s="15">
        <v>130</v>
      </c>
      <c r="D2570" s="14">
        <f t="shared" si="270"/>
        <v>130</v>
      </c>
      <c r="E2570" s="74">
        <v>43218</v>
      </c>
      <c r="F2570" s="74"/>
      <c r="G2570" s="74"/>
      <c r="H2570" s="74"/>
      <c r="I2570" s="74"/>
      <c r="J2570" s="51"/>
      <c r="K2570" s="67"/>
      <c r="L2570" s="15"/>
      <c r="M2570" s="14">
        <f t="shared" si="269"/>
        <v>0</v>
      </c>
    </row>
    <row r="2571" spans="2:14" x14ac:dyDescent="0.15">
      <c r="B2571" s="71" t="s">
        <v>161</v>
      </c>
      <c r="C2571" s="15">
        <v>10</v>
      </c>
      <c r="D2571" s="14">
        <f t="shared" si="270"/>
        <v>10</v>
      </c>
      <c r="E2571" s="74">
        <v>43216</v>
      </c>
      <c r="F2571" s="74"/>
      <c r="G2571" s="74"/>
      <c r="H2571" s="74"/>
      <c r="I2571" s="74"/>
      <c r="J2571" s="51"/>
      <c r="K2571" s="4"/>
      <c r="L2571" s="15"/>
      <c r="M2571" s="14">
        <f t="shared" si="269"/>
        <v>0</v>
      </c>
    </row>
    <row r="2572" spans="2:14" x14ac:dyDescent="0.15">
      <c r="B2572" s="71" t="s">
        <v>161</v>
      </c>
      <c r="C2572" s="15">
        <v>5</v>
      </c>
      <c r="D2572" s="14">
        <f t="shared" si="270"/>
        <v>5</v>
      </c>
      <c r="E2572" s="74">
        <v>43217</v>
      </c>
      <c r="F2572" s="74"/>
      <c r="G2572" s="74"/>
      <c r="H2572" s="74"/>
      <c r="I2572" s="74"/>
      <c r="J2572" s="51"/>
      <c r="K2572" s="4"/>
      <c r="L2572" s="15"/>
      <c r="M2572" s="14">
        <f t="shared" si="269"/>
        <v>0</v>
      </c>
    </row>
    <row r="2573" spans="2:14" x14ac:dyDescent="0.15">
      <c r="B2573" s="71" t="s">
        <v>511</v>
      </c>
      <c r="C2573" s="15">
        <v>20</v>
      </c>
      <c r="D2573" s="14">
        <f t="shared" si="270"/>
        <v>20</v>
      </c>
      <c r="E2573" s="74">
        <v>43228</v>
      </c>
      <c r="F2573" s="74"/>
      <c r="G2573" s="74"/>
      <c r="H2573" s="74"/>
      <c r="I2573" s="74"/>
      <c r="J2573" s="51"/>
      <c r="K2573" s="6"/>
      <c r="L2573" s="15"/>
      <c r="M2573" s="14">
        <f t="shared" si="269"/>
        <v>0</v>
      </c>
    </row>
    <row r="2574" spans="2:14" x14ac:dyDescent="0.15">
      <c r="B2574" s="71" t="s">
        <v>161</v>
      </c>
      <c r="C2574" s="15">
        <v>10</v>
      </c>
      <c r="D2574" s="14">
        <f t="shared" si="270"/>
        <v>10</v>
      </c>
      <c r="E2574" s="48">
        <v>43221</v>
      </c>
      <c r="F2574" s="48"/>
      <c r="G2574" s="48"/>
      <c r="H2574" s="48"/>
      <c r="I2574" s="48"/>
      <c r="J2574" s="51"/>
      <c r="K2574" s="4"/>
      <c r="L2574" s="15"/>
      <c r="M2574" s="14">
        <f t="shared" si="269"/>
        <v>0</v>
      </c>
    </row>
    <row r="2575" spans="2:14" x14ac:dyDescent="0.15">
      <c r="B2575" s="71" t="s">
        <v>39</v>
      </c>
      <c r="C2575" s="15">
        <v>100</v>
      </c>
      <c r="D2575" s="14">
        <f t="shared" si="270"/>
        <v>100</v>
      </c>
      <c r="E2575" s="48">
        <v>43217</v>
      </c>
      <c r="F2575" s="48"/>
      <c r="G2575" s="48"/>
      <c r="H2575" s="48"/>
      <c r="I2575" s="48"/>
      <c r="J2575" s="51"/>
      <c r="K2575" s="6"/>
      <c r="L2575" s="15"/>
      <c r="M2575" s="14">
        <f t="shared" si="269"/>
        <v>0</v>
      </c>
    </row>
    <row r="2576" spans="2:14" x14ac:dyDescent="0.15">
      <c r="B2576" s="71" t="s">
        <v>513</v>
      </c>
      <c r="C2576" s="15">
        <v>200</v>
      </c>
      <c r="D2576" s="14">
        <f t="shared" si="270"/>
        <v>200</v>
      </c>
      <c r="E2576" s="74">
        <v>43223</v>
      </c>
      <c r="F2576" s="74"/>
      <c r="G2576" s="74"/>
      <c r="H2576" s="74"/>
      <c r="I2576" s="74"/>
      <c r="J2576" s="51"/>
      <c r="K2576" s="4"/>
      <c r="L2576" s="15"/>
      <c r="M2576" s="14">
        <f t="shared" si="269"/>
        <v>0</v>
      </c>
    </row>
    <row r="2577" spans="1:14" x14ac:dyDescent="0.15">
      <c r="B2577" s="71" t="s">
        <v>161</v>
      </c>
      <c r="C2577" s="15">
        <v>2</v>
      </c>
      <c r="D2577" s="14">
        <f t="shared" si="270"/>
        <v>2</v>
      </c>
      <c r="E2577" s="48">
        <v>43222</v>
      </c>
      <c r="F2577" s="48"/>
      <c r="G2577" s="48"/>
      <c r="H2577" s="48"/>
      <c r="I2577" s="48"/>
      <c r="J2577" s="51"/>
      <c r="K2577" s="4"/>
      <c r="L2577" s="15"/>
      <c r="M2577" s="14">
        <f t="shared" si="269"/>
        <v>0</v>
      </c>
    </row>
    <row r="2578" spans="1:14" x14ac:dyDescent="0.15">
      <c r="B2578" s="71" t="s">
        <v>161</v>
      </c>
      <c r="C2578" s="15">
        <v>7</v>
      </c>
      <c r="D2578" s="14">
        <f t="shared" si="270"/>
        <v>7</v>
      </c>
      <c r="E2578" s="48">
        <v>43227</v>
      </c>
      <c r="F2578" s="48"/>
      <c r="G2578" s="48"/>
      <c r="H2578" s="48"/>
      <c r="I2578" s="48"/>
      <c r="J2578" s="51"/>
      <c r="K2578" s="4"/>
      <c r="L2578" s="15"/>
      <c r="M2578" s="14">
        <f>SUM(L2578)</f>
        <v>0</v>
      </c>
      <c r="N2578" s="75"/>
    </row>
    <row r="2579" spans="1:14" x14ac:dyDescent="0.15">
      <c r="B2579" s="71" t="s">
        <v>190</v>
      </c>
      <c r="C2579" s="15">
        <v>52</v>
      </c>
      <c r="D2579" s="14">
        <f>SUM(C2579)</f>
        <v>52</v>
      </c>
      <c r="E2579" s="74">
        <v>43228</v>
      </c>
      <c r="F2579" s="74"/>
      <c r="G2579" s="74"/>
      <c r="H2579" s="74"/>
      <c r="I2579" s="74"/>
      <c r="J2579" s="51"/>
      <c r="K2579" s="69"/>
      <c r="L2579" s="15"/>
      <c r="M2579" s="14">
        <f>SUM(L2579)</f>
        <v>0</v>
      </c>
      <c r="N2579" s="74"/>
    </row>
    <row r="2580" spans="1:14" ht="14.25" thickBot="1" x14ac:dyDescent="0.2">
      <c r="B2580" s="71" t="s">
        <v>490</v>
      </c>
      <c r="C2580" s="15">
        <v>7</v>
      </c>
      <c r="D2580" s="14">
        <f>SUM(C2580)</f>
        <v>7</v>
      </c>
      <c r="E2580" s="74">
        <v>43229</v>
      </c>
      <c r="F2580" s="74"/>
      <c r="G2580" s="74"/>
      <c r="H2580" s="74"/>
      <c r="I2580" s="74"/>
      <c r="J2580" s="51"/>
      <c r="K2580" s="69"/>
      <c r="L2580" s="15"/>
      <c r="M2580" s="14">
        <f>SUM(L2580)</f>
        <v>0</v>
      </c>
      <c r="N2580" s="74"/>
    </row>
    <row r="2581" spans="1:14" ht="14.25" thickBot="1" x14ac:dyDescent="0.2">
      <c r="B2581" s="3" t="s">
        <v>5</v>
      </c>
      <c r="C2581" s="16">
        <f>SUM(C2557:C2580)</f>
        <v>1069</v>
      </c>
      <c r="D2581" s="17">
        <f>SUM(D2557:D2580)</f>
        <v>1069</v>
      </c>
      <c r="K2581" s="3" t="s">
        <v>5</v>
      </c>
      <c r="L2581" s="16">
        <f>SUM(L2557:L2580)</f>
        <v>1200</v>
      </c>
      <c r="M2581" s="17">
        <f>SUM(M2557:M2580)</f>
        <v>1200</v>
      </c>
    </row>
    <row r="2582" spans="1:14" ht="14.25" thickBot="1" x14ac:dyDescent="0.2">
      <c r="B2582" s="18" t="s">
        <v>6</v>
      </c>
      <c r="C2582" s="19">
        <f>C2556-C2581</f>
        <v>237</v>
      </c>
      <c r="D2582" s="13">
        <f>D2556-D2581</f>
        <v>237</v>
      </c>
      <c r="K2582" s="18" t="s">
        <v>6</v>
      </c>
      <c r="L2582" s="19">
        <f>L2556-L2581</f>
        <v>4800</v>
      </c>
      <c r="M2582" s="13">
        <f>M2556-M2581</f>
        <v>4800</v>
      </c>
    </row>
    <row r="2584" spans="1:14" ht="18" thickBot="1" x14ac:dyDescent="0.25">
      <c r="A2584" s="27" t="s">
        <v>8</v>
      </c>
      <c r="B2584" s="28"/>
      <c r="C2584" s="28"/>
      <c r="D2584" s="28"/>
      <c r="J2584" s="139" t="s">
        <v>218</v>
      </c>
      <c r="K2584" s="140"/>
      <c r="L2584" s="140"/>
      <c r="M2584" s="140"/>
    </row>
    <row r="2585" spans="1:14" ht="14.25" thickBot="1" x14ac:dyDescent="0.2">
      <c r="B2585" s="2"/>
      <c r="C2585" s="3" t="s">
        <v>0</v>
      </c>
      <c r="D2585" s="2" t="s">
        <v>1</v>
      </c>
      <c r="K2585" s="2"/>
      <c r="L2585" s="3" t="s">
        <v>0</v>
      </c>
      <c r="M2585" s="2" t="s">
        <v>1</v>
      </c>
    </row>
    <row r="2586" spans="1:14" x14ac:dyDescent="0.15">
      <c r="B2586" s="43" t="s">
        <v>26</v>
      </c>
      <c r="C2586" s="38">
        <f>C2582</f>
        <v>237</v>
      </c>
      <c r="D2586" s="39">
        <f t="shared" ref="D2586:D2596" si="271">SUM(C2586:C2586)</f>
        <v>237</v>
      </c>
      <c r="K2586" s="43" t="s">
        <v>26</v>
      </c>
      <c r="L2586" s="38">
        <f>L2582</f>
        <v>4800</v>
      </c>
      <c r="M2586" s="39">
        <f t="shared" ref="M2586:M2596" si="272">SUM(L2586:L2586)</f>
        <v>4800</v>
      </c>
    </row>
    <row r="2587" spans="1:14" x14ac:dyDescent="0.15">
      <c r="B2587" s="6" t="s">
        <v>3</v>
      </c>
      <c r="C2587" s="7">
        <v>200</v>
      </c>
      <c r="D2587" s="5">
        <f t="shared" si="271"/>
        <v>200</v>
      </c>
      <c r="E2587" s="74">
        <v>43230</v>
      </c>
      <c r="F2587" s="74"/>
      <c r="G2587" s="74"/>
      <c r="H2587" s="74"/>
      <c r="I2587" s="74"/>
      <c r="J2587" s="75"/>
      <c r="K2587" s="6" t="s">
        <v>3</v>
      </c>
      <c r="L2587" s="7"/>
      <c r="M2587" s="5">
        <f t="shared" si="272"/>
        <v>0</v>
      </c>
      <c r="N2587" s="75"/>
    </row>
    <row r="2588" spans="1:14" x14ac:dyDescent="0.15">
      <c r="B2588" s="6" t="s">
        <v>3</v>
      </c>
      <c r="C2588" s="7">
        <v>200</v>
      </c>
      <c r="D2588" s="5">
        <f t="shared" si="271"/>
        <v>200</v>
      </c>
      <c r="E2588" s="74">
        <v>43235</v>
      </c>
      <c r="F2588" s="74"/>
      <c r="G2588" s="74"/>
      <c r="H2588" s="74"/>
      <c r="I2588" s="74"/>
      <c r="K2588" s="6" t="s">
        <v>3</v>
      </c>
      <c r="L2588" s="7"/>
      <c r="M2588" s="5">
        <f t="shared" si="272"/>
        <v>0</v>
      </c>
      <c r="N2588" s="74"/>
    </row>
    <row r="2589" spans="1:14" x14ac:dyDescent="0.15">
      <c r="B2589" s="6" t="s">
        <v>71</v>
      </c>
      <c r="C2589" s="7">
        <v>2</v>
      </c>
      <c r="D2589" s="5">
        <f t="shared" si="271"/>
        <v>2</v>
      </c>
      <c r="E2589" s="48">
        <v>43234</v>
      </c>
      <c r="F2589" s="48"/>
      <c r="G2589" s="48"/>
      <c r="H2589" s="48"/>
      <c r="I2589" s="48"/>
      <c r="K2589" s="6" t="s">
        <v>3</v>
      </c>
      <c r="L2589" s="7"/>
      <c r="M2589" s="5">
        <f t="shared" si="272"/>
        <v>0</v>
      </c>
    </row>
    <row r="2590" spans="1:14" x14ac:dyDescent="0.15">
      <c r="B2590" s="6" t="s">
        <v>3</v>
      </c>
      <c r="C2590" s="7">
        <v>200</v>
      </c>
      <c r="D2590" s="5">
        <f t="shared" si="271"/>
        <v>200</v>
      </c>
      <c r="E2590" s="74">
        <v>43238</v>
      </c>
      <c r="F2590" s="74"/>
      <c r="G2590" s="74"/>
      <c r="H2590" s="74"/>
      <c r="I2590" s="74"/>
      <c r="K2590" s="6" t="s">
        <v>3</v>
      </c>
      <c r="L2590" s="7"/>
      <c r="M2590" s="5">
        <f t="shared" si="272"/>
        <v>0</v>
      </c>
    </row>
    <row r="2591" spans="1:14" x14ac:dyDescent="0.15">
      <c r="B2591" s="6" t="s">
        <v>3</v>
      </c>
      <c r="C2591" s="7">
        <v>200</v>
      </c>
      <c r="D2591" s="5">
        <f t="shared" si="271"/>
        <v>200</v>
      </c>
      <c r="E2591" s="74">
        <v>43239</v>
      </c>
      <c r="F2591" s="74"/>
      <c r="G2591" s="74"/>
      <c r="H2591" s="74"/>
      <c r="I2591" s="74"/>
      <c r="K2591" s="6" t="s">
        <v>3</v>
      </c>
      <c r="L2591" s="7"/>
      <c r="M2591" s="5">
        <f t="shared" si="272"/>
        <v>0</v>
      </c>
    </row>
    <row r="2592" spans="1:14" x14ac:dyDescent="0.15">
      <c r="B2592" s="6" t="s">
        <v>3</v>
      </c>
      <c r="C2592" s="7">
        <v>200</v>
      </c>
      <c r="D2592" s="5">
        <f t="shared" si="271"/>
        <v>200</v>
      </c>
      <c r="E2592" s="74">
        <v>43243</v>
      </c>
      <c r="F2592" s="74"/>
      <c r="G2592" s="74"/>
      <c r="H2592" s="74"/>
      <c r="I2592" s="74"/>
      <c r="K2592" s="6" t="s">
        <v>3</v>
      </c>
      <c r="L2592" s="7"/>
      <c r="M2592" s="5">
        <f t="shared" si="272"/>
        <v>0</v>
      </c>
    </row>
    <row r="2593" spans="2:14" x14ac:dyDescent="0.15">
      <c r="B2593" s="6" t="s">
        <v>3</v>
      </c>
      <c r="C2593" s="54">
        <v>200</v>
      </c>
      <c r="D2593" s="5">
        <f t="shared" si="271"/>
        <v>200</v>
      </c>
      <c r="E2593" s="74">
        <v>43244</v>
      </c>
      <c r="F2593" s="74"/>
      <c r="G2593" s="74"/>
      <c r="H2593" s="74"/>
      <c r="I2593" s="74"/>
      <c r="K2593" s="6" t="s">
        <v>3</v>
      </c>
      <c r="L2593" s="7"/>
      <c r="M2593" s="5">
        <f t="shared" si="272"/>
        <v>0</v>
      </c>
    </row>
    <row r="2594" spans="2:14" x14ac:dyDescent="0.15">
      <c r="B2594" s="6" t="s">
        <v>3</v>
      </c>
      <c r="C2594" s="54">
        <v>200</v>
      </c>
      <c r="D2594" s="5">
        <f t="shared" si="271"/>
        <v>200</v>
      </c>
      <c r="E2594" s="74">
        <v>43245</v>
      </c>
      <c r="F2594" s="74"/>
      <c r="G2594" s="74"/>
      <c r="H2594" s="74"/>
      <c r="I2594" s="74"/>
      <c r="K2594" s="6" t="s">
        <v>3</v>
      </c>
      <c r="L2594" s="7"/>
      <c r="M2594" s="5">
        <f t="shared" si="272"/>
        <v>0</v>
      </c>
      <c r="N2594" s="74"/>
    </row>
    <row r="2595" spans="2:14" x14ac:dyDescent="0.15">
      <c r="B2595" s="6" t="s">
        <v>521</v>
      </c>
      <c r="C2595" s="54">
        <v>2</v>
      </c>
      <c r="D2595" s="5">
        <f t="shared" si="271"/>
        <v>2</v>
      </c>
      <c r="E2595" s="48">
        <v>43243</v>
      </c>
      <c r="F2595" s="48"/>
      <c r="G2595" s="48"/>
      <c r="H2595" s="48"/>
      <c r="I2595" s="48"/>
      <c r="K2595" s="6" t="s">
        <v>3</v>
      </c>
      <c r="L2595" s="7"/>
      <c r="M2595" s="5">
        <f t="shared" si="272"/>
        <v>0</v>
      </c>
    </row>
    <row r="2596" spans="2:14" ht="14.25" thickBot="1" x14ac:dyDescent="0.2">
      <c r="B2596" s="9" t="s">
        <v>3</v>
      </c>
      <c r="C2596" s="101"/>
      <c r="D2596" s="5">
        <f t="shared" si="271"/>
        <v>0</v>
      </c>
      <c r="K2596" s="9" t="s">
        <v>3</v>
      </c>
      <c r="L2596" s="10"/>
      <c r="M2596" s="5">
        <f t="shared" si="272"/>
        <v>0</v>
      </c>
    </row>
    <row r="2597" spans="2:14" ht="14.25" thickBot="1" x14ac:dyDescent="0.2">
      <c r="B2597" s="11" t="s">
        <v>4</v>
      </c>
      <c r="C2597" s="12">
        <f>SUM(C2586:C2596)</f>
        <v>1641</v>
      </c>
      <c r="D2597" s="13">
        <f>SUM(D2586:D2596)</f>
        <v>1641</v>
      </c>
      <c r="K2597" s="11" t="s">
        <v>4</v>
      </c>
      <c r="L2597" s="12">
        <f>SUM(L2586:L2596)</f>
        <v>4800</v>
      </c>
      <c r="M2597" s="13">
        <f>SUM(M2586:M2596)</f>
        <v>4800</v>
      </c>
    </row>
    <row r="2598" spans="2:14" x14ac:dyDescent="0.15">
      <c r="B2598" s="71" t="s">
        <v>498</v>
      </c>
      <c r="C2598" s="15">
        <v>10</v>
      </c>
      <c r="D2598" s="14">
        <f>SUM(C2598)</f>
        <v>10</v>
      </c>
      <c r="E2598" s="74">
        <v>43229</v>
      </c>
      <c r="F2598" s="74"/>
      <c r="G2598" s="74"/>
      <c r="H2598" s="74"/>
      <c r="I2598" s="74"/>
      <c r="K2598" s="69" t="s">
        <v>512</v>
      </c>
      <c r="L2598" s="15">
        <v>340</v>
      </c>
      <c r="M2598" s="14">
        <f>SUM(L2598:L2598)</f>
        <v>340</v>
      </c>
      <c r="N2598" s="74">
        <v>43230</v>
      </c>
    </row>
    <row r="2599" spans="2:14" x14ac:dyDescent="0.15">
      <c r="B2599" s="71" t="s">
        <v>161</v>
      </c>
      <c r="C2599" s="15">
        <v>5</v>
      </c>
      <c r="D2599" s="14">
        <f>SUM(C2599)</f>
        <v>5</v>
      </c>
      <c r="E2599" s="74">
        <v>43228</v>
      </c>
      <c r="F2599" s="74"/>
      <c r="G2599" s="74"/>
      <c r="H2599" s="74"/>
      <c r="I2599" s="74"/>
      <c r="J2599" s="36"/>
      <c r="K2599" s="4" t="s">
        <v>31</v>
      </c>
      <c r="L2599" s="15">
        <v>200</v>
      </c>
      <c r="M2599" s="14">
        <f t="shared" ref="M2599:M2618" si="273">SUM(L2599:L2599)</f>
        <v>200</v>
      </c>
      <c r="N2599" s="74">
        <v>43230</v>
      </c>
    </row>
    <row r="2600" spans="2:14" x14ac:dyDescent="0.15">
      <c r="B2600" s="71" t="s">
        <v>39</v>
      </c>
      <c r="C2600" s="15">
        <v>150</v>
      </c>
      <c r="D2600" s="14">
        <f t="shared" ref="D2600:D2619" si="274">SUM(C2600)</f>
        <v>150</v>
      </c>
      <c r="E2600" s="74">
        <v>43230</v>
      </c>
      <c r="F2600" s="74"/>
      <c r="G2600" s="74"/>
      <c r="H2600" s="74"/>
      <c r="I2600" s="74"/>
      <c r="J2600" s="51"/>
      <c r="K2600" s="71" t="s">
        <v>476</v>
      </c>
      <c r="L2600" s="15">
        <v>50</v>
      </c>
      <c r="M2600" s="14">
        <f t="shared" si="273"/>
        <v>50</v>
      </c>
      <c r="N2600" s="74">
        <v>43235</v>
      </c>
    </row>
    <row r="2601" spans="2:14" x14ac:dyDescent="0.15">
      <c r="B2601" s="71" t="s">
        <v>161</v>
      </c>
      <c r="C2601" s="15">
        <v>1</v>
      </c>
      <c r="D2601" s="14">
        <f t="shared" si="274"/>
        <v>1</v>
      </c>
      <c r="E2601" s="74">
        <v>43229</v>
      </c>
      <c r="F2601" s="74"/>
      <c r="G2601" s="74"/>
      <c r="H2601" s="74"/>
      <c r="I2601" s="74"/>
      <c r="J2601" s="51"/>
      <c r="K2601" s="69" t="s">
        <v>514</v>
      </c>
      <c r="L2601" s="15">
        <v>100</v>
      </c>
      <c r="M2601" s="14">
        <f t="shared" si="273"/>
        <v>100</v>
      </c>
      <c r="N2601" s="74">
        <v>43230</v>
      </c>
    </row>
    <row r="2602" spans="2:14" x14ac:dyDescent="0.15">
      <c r="B2602" s="69" t="s">
        <v>515</v>
      </c>
      <c r="C2602" s="15">
        <v>50</v>
      </c>
      <c r="D2602" s="14">
        <f t="shared" si="274"/>
        <v>50</v>
      </c>
      <c r="E2602" s="74">
        <v>43231</v>
      </c>
      <c r="F2602" s="74"/>
      <c r="G2602" s="74"/>
      <c r="H2602" s="74"/>
      <c r="I2602" s="74"/>
      <c r="J2602" s="51"/>
      <c r="K2602" s="4" t="s">
        <v>31</v>
      </c>
      <c r="L2602" s="15">
        <v>200</v>
      </c>
      <c r="M2602" s="14">
        <f t="shared" si="273"/>
        <v>200</v>
      </c>
      <c r="N2602" s="74">
        <v>43235</v>
      </c>
    </row>
    <row r="2603" spans="2:14" x14ac:dyDescent="0.15">
      <c r="B2603" s="71" t="s">
        <v>161</v>
      </c>
      <c r="C2603" s="15">
        <v>2</v>
      </c>
      <c r="D2603" s="14">
        <f t="shared" si="274"/>
        <v>2</v>
      </c>
      <c r="E2603" s="48">
        <v>43230</v>
      </c>
      <c r="F2603" s="48"/>
      <c r="G2603" s="48"/>
      <c r="H2603" s="48"/>
      <c r="I2603" s="48"/>
      <c r="J2603" s="51"/>
      <c r="K2603" s="4" t="s">
        <v>31</v>
      </c>
      <c r="L2603" s="15">
        <v>200</v>
      </c>
      <c r="M2603" s="14">
        <f t="shared" si="273"/>
        <v>200</v>
      </c>
      <c r="N2603" s="74">
        <v>43238</v>
      </c>
    </row>
    <row r="2604" spans="2:14" x14ac:dyDescent="0.15">
      <c r="B2604" s="71" t="s">
        <v>516</v>
      </c>
      <c r="C2604" s="15">
        <v>2</v>
      </c>
      <c r="D2604" s="14">
        <f t="shared" si="274"/>
        <v>2</v>
      </c>
      <c r="E2604" s="74">
        <v>43236</v>
      </c>
      <c r="F2604" s="74"/>
      <c r="G2604" s="74"/>
      <c r="H2604" s="74"/>
      <c r="I2604" s="74"/>
      <c r="J2604" s="51"/>
      <c r="K2604" s="4" t="s">
        <v>31</v>
      </c>
      <c r="L2604" s="15">
        <v>200</v>
      </c>
      <c r="M2604" s="14">
        <f t="shared" si="273"/>
        <v>200</v>
      </c>
      <c r="N2604" s="74">
        <v>43239</v>
      </c>
    </row>
    <row r="2605" spans="2:14" x14ac:dyDescent="0.15">
      <c r="B2605" s="71" t="s">
        <v>39</v>
      </c>
      <c r="C2605" s="15">
        <v>200</v>
      </c>
      <c r="D2605" s="14">
        <f t="shared" si="274"/>
        <v>200</v>
      </c>
      <c r="E2605" s="74">
        <v>43235</v>
      </c>
      <c r="F2605" s="74"/>
      <c r="G2605" s="74"/>
      <c r="H2605" s="74"/>
      <c r="I2605" s="74"/>
      <c r="J2605" s="36"/>
      <c r="K2605" s="6" t="s">
        <v>518</v>
      </c>
      <c r="L2605" s="15">
        <v>400</v>
      </c>
      <c r="M2605" s="14">
        <f t="shared" si="273"/>
        <v>400</v>
      </c>
      <c r="N2605" s="74">
        <v>43248</v>
      </c>
    </row>
    <row r="2606" spans="2:14" x14ac:dyDescent="0.15">
      <c r="B2606" s="71" t="s">
        <v>161</v>
      </c>
      <c r="C2606" s="15">
        <v>6</v>
      </c>
      <c r="D2606" s="14">
        <f t="shared" si="274"/>
        <v>6</v>
      </c>
      <c r="E2606" s="48">
        <v>43234</v>
      </c>
      <c r="F2606" s="48"/>
      <c r="G2606" s="48"/>
      <c r="H2606" s="48"/>
      <c r="I2606" s="48"/>
      <c r="J2606" s="51"/>
      <c r="K2606" s="4" t="s">
        <v>31</v>
      </c>
      <c r="L2606" s="15">
        <v>200</v>
      </c>
      <c r="M2606" s="14">
        <f t="shared" si="273"/>
        <v>200</v>
      </c>
      <c r="N2606" s="74">
        <v>43243</v>
      </c>
    </row>
    <row r="2607" spans="2:14" x14ac:dyDescent="0.15">
      <c r="B2607" s="71" t="s">
        <v>161</v>
      </c>
      <c r="C2607" s="15">
        <v>24</v>
      </c>
      <c r="D2607" s="14">
        <f t="shared" si="274"/>
        <v>24</v>
      </c>
      <c r="E2607" s="48">
        <v>43235</v>
      </c>
      <c r="F2607" s="48"/>
      <c r="G2607" s="48"/>
      <c r="H2607" s="48"/>
      <c r="I2607" s="48"/>
      <c r="J2607" s="51"/>
      <c r="K2607" s="4" t="s">
        <v>31</v>
      </c>
      <c r="L2607" s="15">
        <v>200</v>
      </c>
      <c r="M2607" s="14">
        <f t="shared" si="273"/>
        <v>200</v>
      </c>
      <c r="N2607" s="74">
        <v>43244</v>
      </c>
    </row>
    <row r="2608" spans="2:14" x14ac:dyDescent="0.15">
      <c r="B2608" s="71" t="s">
        <v>161</v>
      </c>
      <c r="C2608" s="15">
        <v>74</v>
      </c>
      <c r="D2608" s="14">
        <f t="shared" si="274"/>
        <v>74</v>
      </c>
      <c r="E2608" s="74">
        <v>43236</v>
      </c>
      <c r="F2608" s="74"/>
      <c r="G2608" s="74"/>
      <c r="H2608" s="74"/>
      <c r="I2608" s="74"/>
      <c r="J2608" s="51"/>
      <c r="K2608" s="4" t="s">
        <v>31</v>
      </c>
      <c r="L2608" s="15">
        <v>200</v>
      </c>
      <c r="M2608" s="14">
        <f t="shared" si="273"/>
        <v>200</v>
      </c>
      <c r="N2608" s="74">
        <v>43245</v>
      </c>
    </row>
    <row r="2609" spans="2:15" x14ac:dyDescent="0.15">
      <c r="B2609" s="71" t="s">
        <v>490</v>
      </c>
      <c r="C2609" s="15">
        <v>4</v>
      </c>
      <c r="D2609" s="14">
        <f t="shared" si="274"/>
        <v>4</v>
      </c>
      <c r="E2609" s="74">
        <v>43238</v>
      </c>
      <c r="F2609" s="74"/>
      <c r="G2609" s="74"/>
      <c r="H2609" s="74"/>
      <c r="I2609" s="74"/>
      <c r="J2609" s="51"/>
      <c r="K2609" s="4"/>
      <c r="L2609" s="15"/>
      <c r="M2609" s="14">
        <f t="shared" si="273"/>
        <v>0</v>
      </c>
    </row>
    <row r="2610" spans="2:15" x14ac:dyDescent="0.15">
      <c r="B2610" s="71" t="s">
        <v>161</v>
      </c>
      <c r="C2610" s="15">
        <v>33</v>
      </c>
      <c r="D2610" s="14">
        <f t="shared" si="274"/>
        <v>33</v>
      </c>
      <c r="E2610" s="48">
        <v>43237</v>
      </c>
      <c r="F2610" s="48"/>
      <c r="G2610" s="48"/>
      <c r="H2610" s="48"/>
      <c r="I2610" s="48"/>
      <c r="J2610" s="51"/>
      <c r="K2610" s="6"/>
      <c r="L2610" s="15"/>
      <c r="M2610" s="14">
        <f t="shared" si="273"/>
        <v>0</v>
      </c>
    </row>
    <row r="2611" spans="2:15" x14ac:dyDescent="0.15">
      <c r="B2611" s="71" t="s">
        <v>517</v>
      </c>
      <c r="C2611" s="15">
        <v>200</v>
      </c>
      <c r="D2611" s="14">
        <f t="shared" si="274"/>
        <v>200</v>
      </c>
      <c r="E2611" s="74">
        <v>43239</v>
      </c>
      <c r="F2611" s="74"/>
      <c r="G2611" s="74"/>
      <c r="H2611" s="74"/>
      <c r="I2611" s="74"/>
      <c r="J2611" s="51"/>
      <c r="K2611" s="67"/>
      <c r="L2611" s="15"/>
      <c r="M2611" s="14">
        <f t="shared" si="273"/>
        <v>0</v>
      </c>
    </row>
    <row r="2612" spans="2:15" x14ac:dyDescent="0.15">
      <c r="B2612" s="71" t="s">
        <v>161</v>
      </c>
      <c r="C2612" s="15">
        <v>13</v>
      </c>
      <c r="D2612" s="14">
        <f t="shared" si="274"/>
        <v>13</v>
      </c>
      <c r="E2612" s="48">
        <v>43238</v>
      </c>
      <c r="F2612" s="48"/>
      <c r="G2612" s="48"/>
      <c r="H2612" s="48"/>
      <c r="I2612" s="48"/>
      <c r="J2612" s="51"/>
      <c r="K2612" s="4"/>
      <c r="L2612" s="15"/>
      <c r="M2612" s="14">
        <f t="shared" si="273"/>
        <v>0</v>
      </c>
    </row>
    <row r="2613" spans="2:15" x14ac:dyDescent="0.15">
      <c r="B2613" s="71" t="s">
        <v>161</v>
      </c>
      <c r="C2613" s="15">
        <v>6</v>
      </c>
      <c r="D2613" s="14">
        <f t="shared" si="274"/>
        <v>6</v>
      </c>
      <c r="E2613" s="48">
        <v>43239</v>
      </c>
      <c r="F2613" s="48"/>
      <c r="G2613" s="48"/>
      <c r="H2613" s="48"/>
      <c r="I2613" s="48"/>
      <c r="J2613" s="51"/>
      <c r="K2613" s="4"/>
      <c r="L2613" s="15"/>
      <c r="M2613" s="14">
        <f t="shared" si="273"/>
        <v>0</v>
      </c>
    </row>
    <row r="2614" spans="2:15" x14ac:dyDescent="0.15">
      <c r="B2614" s="71" t="s">
        <v>490</v>
      </c>
      <c r="C2614" s="15">
        <v>12</v>
      </c>
      <c r="D2614" s="14">
        <f t="shared" si="274"/>
        <v>12</v>
      </c>
      <c r="E2614" s="74">
        <v>43242</v>
      </c>
      <c r="F2614" s="74"/>
      <c r="G2614" s="74"/>
      <c r="H2614" s="74"/>
      <c r="I2614" s="74"/>
      <c r="J2614" s="51"/>
      <c r="K2614" s="6"/>
      <c r="L2614" s="15"/>
      <c r="M2614" s="14">
        <f t="shared" si="273"/>
        <v>0</v>
      </c>
    </row>
    <row r="2615" spans="2:15" x14ac:dyDescent="0.15">
      <c r="B2615" s="71" t="s">
        <v>161</v>
      </c>
      <c r="C2615" s="15">
        <v>17</v>
      </c>
      <c r="D2615" s="14">
        <f t="shared" si="274"/>
        <v>17</v>
      </c>
      <c r="E2615" s="48">
        <v>43241</v>
      </c>
      <c r="F2615" s="48"/>
      <c r="G2615" s="48"/>
      <c r="H2615" s="48"/>
      <c r="I2615" s="48"/>
      <c r="J2615" s="51"/>
      <c r="K2615" s="4"/>
      <c r="L2615" s="15"/>
      <c r="M2615" s="14">
        <f t="shared" si="273"/>
        <v>0</v>
      </c>
    </row>
    <row r="2616" spans="2:15" x14ac:dyDescent="0.15">
      <c r="B2616" s="71" t="s">
        <v>161</v>
      </c>
      <c r="C2616" s="15">
        <v>5</v>
      </c>
      <c r="D2616" s="14">
        <f t="shared" si="274"/>
        <v>5</v>
      </c>
      <c r="E2616" s="48">
        <v>43242</v>
      </c>
      <c r="F2616" s="48"/>
      <c r="G2616" s="48"/>
      <c r="H2616" s="48"/>
      <c r="I2616" s="48"/>
      <c r="J2616" s="51"/>
      <c r="K2616" s="6"/>
      <c r="L2616" s="15"/>
      <c r="M2616" s="14">
        <f t="shared" si="273"/>
        <v>0</v>
      </c>
    </row>
    <row r="2617" spans="2:15" x14ac:dyDescent="0.15">
      <c r="B2617" s="4" t="s">
        <v>519</v>
      </c>
      <c r="C2617" s="15">
        <v>10</v>
      </c>
      <c r="D2617" s="14">
        <f t="shared" si="274"/>
        <v>10</v>
      </c>
      <c r="E2617" s="74">
        <v>43252</v>
      </c>
      <c r="F2617" s="74"/>
      <c r="G2617" s="74"/>
      <c r="H2617" s="74"/>
      <c r="I2617" s="74"/>
      <c r="J2617" s="51"/>
      <c r="K2617" s="69"/>
      <c r="L2617" s="15"/>
      <c r="M2617" s="14">
        <f>SUM(L2617)</f>
        <v>0</v>
      </c>
      <c r="N2617" s="74"/>
    </row>
    <row r="2618" spans="2:15" x14ac:dyDescent="0.15">
      <c r="B2618" s="71" t="s">
        <v>498</v>
      </c>
      <c r="C2618" s="15">
        <v>5</v>
      </c>
      <c r="D2618" s="14">
        <f t="shared" si="274"/>
        <v>5</v>
      </c>
      <c r="E2618" s="74">
        <v>43244</v>
      </c>
      <c r="F2618" s="74"/>
      <c r="G2618" s="74"/>
      <c r="H2618" s="74"/>
      <c r="I2618" s="74"/>
      <c r="J2618" s="51"/>
      <c r="K2618" s="4"/>
      <c r="L2618" s="15"/>
      <c r="M2618" s="14">
        <f t="shared" si="273"/>
        <v>0</v>
      </c>
    </row>
    <row r="2619" spans="2:15" x14ac:dyDescent="0.15">
      <c r="B2619" s="71" t="s">
        <v>520</v>
      </c>
      <c r="C2619" s="15">
        <v>200</v>
      </c>
      <c r="D2619" s="14">
        <f t="shared" si="274"/>
        <v>200</v>
      </c>
      <c r="E2619" s="48">
        <v>43243</v>
      </c>
      <c r="F2619" s="48"/>
      <c r="G2619" s="48"/>
      <c r="H2619" s="48"/>
      <c r="I2619" s="48"/>
      <c r="J2619" s="51"/>
      <c r="K2619" s="4"/>
      <c r="L2619" s="15"/>
      <c r="M2619" s="14">
        <f>SUM(L2619)</f>
        <v>0</v>
      </c>
      <c r="N2619" s="75"/>
      <c r="O2619" s="75"/>
    </row>
    <row r="2620" spans="2:15" x14ac:dyDescent="0.15">
      <c r="B2620" s="71" t="s">
        <v>522</v>
      </c>
      <c r="C2620" s="15">
        <v>150</v>
      </c>
      <c r="D2620" s="14">
        <f>SUM(C2620)</f>
        <v>150</v>
      </c>
      <c r="E2620" s="48">
        <v>43244</v>
      </c>
      <c r="F2620" s="48"/>
      <c r="G2620" s="48"/>
      <c r="H2620" s="48"/>
      <c r="I2620" s="48"/>
      <c r="J2620" s="51"/>
      <c r="K2620" s="69"/>
      <c r="L2620" s="15"/>
      <c r="M2620" s="14">
        <f>SUM(L2620:L2620)</f>
        <v>0</v>
      </c>
      <c r="N2620" s="74"/>
      <c r="O2620" s="75"/>
    </row>
    <row r="2621" spans="2:15" ht="14.25" thickBot="1" x14ac:dyDescent="0.2">
      <c r="B2621" s="71" t="s">
        <v>162</v>
      </c>
      <c r="C2621" s="15">
        <v>19</v>
      </c>
      <c r="D2621" s="14">
        <f>SUM(C2621)</f>
        <v>19</v>
      </c>
      <c r="E2621" s="48">
        <v>43243</v>
      </c>
      <c r="F2621" s="48"/>
      <c r="G2621" s="48"/>
      <c r="H2621" s="48"/>
      <c r="I2621" s="48"/>
      <c r="J2621" s="51"/>
      <c r="K2621" s="69"/>
      <c r="L2621" s="15"/>
      <c r="M2621" s="14">
        <f>SUM(L2621)</f>
        <v>0</v>
      </c>
      <c r="N2621" s="74"/>
      <c r="O2621" s="75"/>
    </row>
    <row r="2622" spans="2:15" ht="14.25" thickBot="1" x14ac:dyDescent="0.2">
      <c r="B2622" s="3" t="s">
        <v>5</v>
      </c>
      <c r="C2622" s="16">
        <f>SUM(C2598:C2621)</f>
        <v>1198</v>
      </c>
      <c r="D2622" s="17">
        <f>SUM(D2598:D2621)</f>
        <v>1198</v>
      </c>
      <c r="K2622" s="3" t="s">
        <v>5</v>
      </c>
      <c r="L2622" s="16">
        <f>SUM(L2598:L2621)</f>
        <v>2290</v>
      </c>
      <c r="M2622" s="17">
        <f>SUM(M2598:M2621)</f>
        <v>2290</v>
      </c>
    </row>
    <row r="2623" spans="2:15" ht="14.25" thickBot="1" x14ac:dyDescent="0.2">
      <c r="B2623" s="18" t="s">
        <v>6</v>
      </c>
      <c r="C2623" s="19">
        <f>C2597-C2622</f>
        <v>443</v>
      </c>
      <c r="D2623" s="13">
        <f>D2597-D2622</f>
        <v>443</v>
      </c>
      <c r="K2623" s="18" t="s">
        <v>6</v>
      </c>
      <c r="L2623" s="19">
        <f>L2597-L2622</f>
        <v>2510</v>
      </c>
      <c r="M2623" s="13">
        <f>M2597-M2622</f>
        <v>2510</v>
      </c>
    </row>
    <row r="2625" spans="1:15" ht="18" thickBot="1" x14ac:dyDescent="0.25">
      <c r="A2625" s="27" t="s">
        <v>8</v>
      </c>
      <c r="B2625" s="28"/>
      <c r="C2625" s="28"/>
      <c r="D2625" s="28"/>
      <c r="J2625" s="139" t="s">
        <v>218</v>
      </c>
      <c r="K2625" s="140"/>
      <c r="L2625" s="140"/>
      <c r="M2625" s="140"/>
    </row>
    <row r="2626" spans="1:15" ht="14.25" thickBot="1" x14ac:dyDescent="0.2">
      <c r="B2626" s="2"/>
      <c r="C2626" s="3" t="s">
        <v>0</v>
      </c>
      <c r="D2626" s="2" t="s">
        <v>1</v>
      </c>
      <c r="K2626" s="2"/>
      <c r="L2626" s="3" t="s">
        <v>0</v>
      </c>
      <c r="M2626" s="2" t="s">
        <v>1</v>
      </c>
    </row>
    <row r="2627" spans="1:15" x14ac:dyDescent="0.15">
      <c r="B2627" s="43" t="s">
        <v>26</v>
      </c>
      <c r="C2627" s="38">
        <f>C2623</f>
        <v>443</v>
      </c>
      <c r="D2627" s="39">
        <f t="shared" ref="D2627:D2637" si="275">SUM(C2627:C2627)</f>
        <v>443</v>
      </c>
      <c r="K2627" s="43" t="s">
        <v>26</v>
      </c>
      <c r="L2627" s="38">
        <f>L2623</f>
        <v>2510</v>
      </c>
      <c r="M2627" s="39">
        <f t="shared" ref="M2627:M2637" si="276">SUM(L2627:L2627)</f>
        <v>2510</v>
      </c>
    </row>
    <row r="2628" spans="1:15" x14ac:dyDescent="0.15">
      <c r="B2628" s="6" t="s">
        <v>3</v>
      </c>
      <c r="C2628" s="7">
        <v>200</v>
      </c>
      <c r="D2628" s="5">
        <f t="shared" si="275"/>
        <v>200</v>
      </c>
      <c r="E2628" s="74">
        <v>43249</v>
      </c>
      <c r="F2628" s="74"/>
      <c r="G2628" s="74"/>
      <c r="H2628" s="74"/>
      <c r="I2628" s="74"/>
      <c r="J2628" s="75"/>
      <c r="K2628" s="6" t="s">
        <v>3</v>
      </c>
      <c r="L2628" s="7"/>
      <c r="M2628" s="5">
        <f t="shared" si="276"/>
        <v>0</v>
      </c>
    </row>
    <row r="2629" spans="1:15" x14ac:dyDescent="0.15">
      <c r="A2629" s="75"/>
      <c r="B2629" s="6" t="s">
        <v>3</v>
      </c>
      <c r="C2629" s="7">
        <v>200</v>
      </c>
      <c r="D2629" s="5">
        <f t="shared" si="275"/>
        <v>200</v>
      </c>
      <c r="E2629" s="74">
        <v>43252</v>
      </c>
      <c r="F2629" s="74"/>
      <c r="G2629" s="74"/>
      <c r="H2629" s="74"/>
      <c r="I2629" s="74"/>
      <c r="K2629" s="6" t="s">
        <v>3</v>
      </c>
      <c r="L2629" s="7"/>
      <c r="M2629" s="5">
        <f t="shared" si="276"/>
        <v>0</v>
      </c>
      <c r="N2629" s="74"/>
    </row>
    <row r="2630" spans="1:15" x14ac:dyDescent="0.15">
      <c r="A2630" s="75"/>
      <c r="B2630" s="6" t="s">
        <v>3</v>
      </c>
      <c r="C2630" s="7">
        <v>200</v>
      </c>
      <c r="D2630" s="5">
        <f t="shared" si="275"/>
        <v>200</v>
      </c>
      <c r="E2630" s="74">
        <v>43256</v>
      </c>
      <c r="F2630" s="74"/>
      <c r="G2630" s="74"/>
      <c r="H2630" s="74"/>
      <c r="I2630" s="74"/>
      <c r="K2630" s="6" t="s">
        <v>3</v>
      </c>
      <c r="L2630" s="7"/>
      <c r="M2630" s="5">
        <f t="shared" si="276"/>
        <v>0</v>
      </c>
    </row>
    <row r="2631" spans="1:15" x14ac:dyDescent="0.15">
      <c r="B2631" s="6" t="s">
        <v>3</v>
      </c>
      <c r="C2631" s="7">
        <v>200</v>
      </c>
      <c r="D2631" s="5">
        <f t="shared" si="275"/>
        <v>200</v>
      </c>
      <c r="E2631" s="74">
        <v>43257</v>
      </c>
      <c r="F2631" s="74"/>
      <c r="G2631" s="74"/>
      <c r="H2631" s="74"/>
      <c r="I2631" s="74"/>
      <c r="K2631" s="6" t="s">
        <v>3</v>
      </c>
      <c r="L2631" s="7"/>
      <c r="M2631" s="5">
        <f t="shared" si="276"/>
        <v>0</v>
      </c>
    </row>
    <row r="2632" spans="1:15" x14ac:dyDescent="0.15">
      <c r="B2632" s="6" t="s">
        <v>3</v>
      </c>
      <c r="C2632" s="7">
        <v>400</v>
      </c>
      <c r="D2632" s="5">
        <f t="shared" si="275"/>
        <v>400</v>
      </c>
      <c r="E2632" s="74">
        <v>43259</v>
      </c>
      <c r="F2632" s="74"/>
      <c r="G2632" s="74"/>
      <c r="H2632" s="74"/>
      <c r="I2632" s="74"/>
      <c r="K2632" s="6" t="s">
        <v>3</v>
      </c>
      <c r="L2632" s="7"/>
      <c r="M2632" s="5">
        <f t="shared" si="276"/>
        <v>0</v>
      </c>
      <c r="N2632" s="75"/>
    </row>
    <row r="2633" spans="1:15" x14ac:dyDescent="0.15">
      <c r="B2633" s="6" t="s">
        <v>529</v>
      </c>
      <c r="C2633" s="7">
        <v>3</v>
      </c>
      <c r="D2633" s="5">
        <f t="shared" si="275"/>
        <v>3</v>
      </c>
      <c r="E2633" s="48">
        <v>43257</v>
      </c>
      <c r="F2633" s="48"/>
      <c r="G2633" s="48"/>
      <c r="H2633" s="48"/>
      <c r="I2633" s="48"/>
      <c r="K2633" s="6" t="s">
        <v>3</v>
      </c>
      <c r="L2633" s="7"/>
      <c r="M2633" s="5">
        <f t="shared" si="276"/>
        <v>0</v>
      </c>
    </row>
    <row r="2634" spans="1:15" x14ac:dyDescent="0.15">
      <c r="B2634" s="6" t="s">
        <v>3</v>
      </c>
      <c r="C2634" s="54"/>
      <c r="D2634" s="5">
        <f t="shared" si="275"/>
        <v>0</v>
      </c>
      <c r="K2634" s="6" t="s">
        <v>3</v>
      </c>
      <c r="L2634" s="7"/>
      <c r="M2634" s="5">
        <f t="shared" si="276"/>
        <v>0</v>
      </c>
    </row>
    <row r="2635" spans="1:15" x14ac:dyDescent="0.15">
      <c r="B2635" s="6" t="s">
        <v>3</v>
      </c>
      <c r="C2635" s="54"/>
      <c r="D2635" s="5">
        <f t="shared" si="275"/>
        <v>0</v>
      </c>
      <c r="K2635" s="6" t="s">
        <v>3</v>
      </c>
      <c r="L2635" s="7"/>
      <c r="M2635" s="5">
        <f t="shared" si="276"/>
        <v>0</v>
      </c>
    </row>
    <row r="2636" spans="1:15" x14ac:dyDescent="0.15">
      <c r="B2636" s="6" t="s">
        <v>3</v>
      </c>
      <c r="C2636" s="54"/>
      <c r="D2636" s="5">
        <f t="shared" si="275"/>
        <v>0</v>
      </c>
      <c r="K2636" s="6" t="s">
        <v>3</v>
      </c>
      <c r="L2636" s="7"/>
      <c r="M2636" s="5">
        <f t="shared" si="276"/>
        <v>0</v>
      </c>
    </row>
    <row r="2637" spans="1:15" ht="14.25" thickBot="1" x14ac:dyDescent="0.2">
      <c r="B2637" s="9" t="s">
        <v>3</v>
      </c>
      <c r="C2637" s="101"/>
      <c r="D2637" s="5">
        <f t="shared" si="275"/>
        <v>0</v>
      </c>
      <c r="K2637" s="9" t="s">
        <v>3</v>
      </c>
      <c r="L2637" s="10"/>
      <c r="M2637" s="5">
        <f t="shared" si="276"/>
        <v>0</v>
      </c>
    </row>
    <row r="2638" spans="1:15" ht="14.25" thickBot="1" x14ac:dyDescent="0.2">
      <c r="B2638" s="11" t="s">
        <v>4</v>
      </c>
      <c r="C2638" s="12">
        <f>SUM(C2627:C2637)</f>
        <v>1646</v>
      </c>
      <c r="D2638" s="13">
        <f>SUM(D2627:D2637)</f>
        <v>1646</v>
      </c>
      <c r="K2638" s="11" t="s">
        <v>4</v>
      </c>
      <c r="L2638" s="12">
        <f>SUM(L2627:L2637)</f>
        <v>2510</v>
      </c>
      <c r="M2638" s="13">
        <f>SUM(M2627:M2637)</f>
        <v>2510</v>
      </c>
    </row>
    <row r="2639" spans="1:15" x14ac:dyDescent="0.15">
      <c r="B2639" s="71" t="s">
        <v>162</v>
      </c>
      <c r="C2639" s="15">
        <v>4</v>
      </c>
      <c r="D2639" s="14">
        <f>SUM(C2639)</f>
        <v>4</v>
      </c>
      <c r="E2639" s="74">
        <v>43244</v>
      </c>
      <c r="F2639" s="74"/>
      <c r="G2639" s="74"/>
      <c r="H2639" s="74"/>
      <c r="I2639" s="74"/>
      <c r="K2639" s="69" t="s">
        <v>31</v>
      </c>
      <c r="L2639" s="15">
        <v>200</v>
      </c>
      <c r="M2639" s="14">
        <f>SUM(L2639:L2639)</f>
        <v>200</v>
      </c>
      <c r="N2639" s="74">
        <v>43249</v>
      </c>
      <c r="O2639" s="75"/>
    </row>
    <row r="2640" spans="1:15" x14ac:dyDescent="0.15">
      <c r="B2640" s="71" t="s">
        <v>39</v>
      </c>
      <c r="C2640" s="15">
        <v>100</v>
      </c>
      <c r="D2640" s="14">
        <f>SUM(C2640)</f>
        <v>100</v>
      </c>
      <c r="E2640" s="74">
        <v>43245</v>
      </c>
      <c r="F2640" s="74"/>
      <c r="G2640" s="74"/>
      <c r="H2640" s="74"/>
      <c r="I2640" s="74"/>
      <c r="J2640" s="36"/>
      <c r="K2640" s="69" t="s">
        <v>31</v>
      </c>
      <c r="L2640" s="15">
        <v>200</v>
      </c>
      <c r="M2640" s="14">
        <f t="shared" ref="M2640:M2657" si="277">SUM(L2640:L2640)</f>
        <v>200</v>
      </c>
      <c r="N2640" s="74">
        <v>43252</v>
      </c>
      <c r="O2640" s="75"/>
    </row>
    <row r="2641" spans="2:15" x14ac:dyDescent="0.15">
      <c r="B2641" s="71" t="s">
        <v>162</v>
      </c>
      <c r="C2641" s="15">
        <v>9</v>
      </c>
      <c r="D2641" s="14">
        <f t="shared" ref="D2641:D2660" si="278">SUM(C2641)</f>
        <v>9</v>
      </c>
      <c r="E2641" s="74">
        <v>43245</v>
      </c>
      <c r="F2641" s="74"/>
      <c r="G2641" s="74"/>
      <c r="H2641" s="74"/>
      <c r="I2641" s="74"/>
      <c r="J2641" s="51"/>
      <c r="K2641" s="6" t="s">
        <v>524</v>
      </c>
      <c r="L2641" s="15">
        <v>200</v>
      </c>
      <c r="M2641" s="14">
        <f t="shared" si="277"/>
        <v>200</v>
      </c>
      <c r="N2641" s="74">
        <v>43259</v>
      </c>
      <c r="O2641" s="75"/>
    </row>
    <row r="2642" spans="2:15" x14ac:dyDescent="0.15">
      <c r="B2642" s="71" t="s">
        <v>39</v>
      </c>
      <c r="C2642" s="15">
        <v>200</v>
      </c>
      <c r="D2642" s="14">
        <f t="shared" si="278"/>
        <v>200</v>
      </c>
      <c r="E2642" s="74">
        <v>43249</v>
      </c>
      <c r="F2642" s="74"/>
      <c r="G2642" s="74"/>
      <c r="H2642" s="74"/>
      <c r="I2642" s="74"/>
      <c r="J2642" s="51"/>
      <c r="K2642" s="69" t="s">
        <v>31</v>
      </c>
      <c r="L2642" s="15">
        <v>200</v>
      </c>
      <c r="M2642" s="14">
        <f t="shared" si="277"/>
        <v>200</v>
      </c>
      <c r="N2642" s="74">
        <v>43256</v>
      </c>
      <c r="O2642" s="75"/>
    </row>
    <row r="2643" spans="2:15" x14ac:dyDescent="0.15">
      <c r="B2643" s="69" t="s">
        <v>523</v>
      </c>
      <c r="C2643" s="15">
        <v>50</v>
      </c>
      <c r="D2643" s="14">
        <f t="shared" si="278"/>
        <v>50</v>
      </c>
      <c r="E2643" s="74">
        <v>43249</v>
      </c>
      <c r="F2643" s="74"/>
      <c r="G2643" s="74"/>
      <c r="H2643" s="74"/>
      <c r="I2643" s="74"/>
      <c r="J2643" s="51"/>
      <c r="K2643" s="69" t="s">
        <v>31</v>
      </c>
      <c r="L2643" s="15">
        <v>200</v>
      </c>
      <c r="M2643" s="14">
        <f t="shared" si="277"/>
        <v>200</v>
      </c>
      <c r="N2643" s="74">
        <v>43257</v>
      </c>
      <c r="O2643" s="75"/>
    </row>
    <row r="2644" spans="2:15" x14ac:dyDescent="0.15">
      <c r="B2644" s="71" t="s">
        <v>490</v>
      </c>
      <c r="C2644" s="15">
        <v>12</v>
      </c>
      <c r="D2644" s="14">
        <f t="shared" si="278"/>
        <v>12</v>
      </c>
      <c r="E2644" s="74">
        <v>43249</v>
      </c>
      <c r="F2644" s="74"/>
      <c r="G2644" s="74"/>
      <c r="H2644" s="74"/>
      <c r="I2644" s="74"/>
      <c r="J2644" s="51"/>
      <c r="K2644" s="69" t="s">
        <v>31</v>
      </c>
      <c r="L2644" s="15">
        <v>400</v>
      </c>
      <c r="M2644" s="14">
        <f t="shared" si="277"/>
        <v>400</v>
      </c>
      <c r="N2644" s="74">
        <v>43259</v>
      </c>
      <c r="O2644" s="75"/>
    </row>
    <row r="2645" spans="2:15" x14ac:dyDescent="0.15">
      <c r="B2645" s="71" t="s">
        <v>162</v>
      </c>
      <c r="C2645" s="15">
        <v>19</v>
      </c>
      <c r="D2645" s="14">
        <f t="shared" si="278"/>
        <v>19</v>
      </c>
      <c r="E2645" s="74">
        <v>43248</v>
      </c>
      <c r="F2645" s="74"/>
      <c r="G2645" s="74"/>
      <c r="H2645" s="74"/>
      <c r="I2645" s="74"/>
      <c r="J2645" s="51"/>
      <c r="K2645" s="4"/>
      <c r="L2645" s="15"/>
      <c r="M2645" s="14">
        <f t="shared" si="277"/>
        <v>0</v>
      </c>
      <c r="N2645" s="75"/>
      <c r="O2645" s="75"/>
    </row>
    <row r="2646" spans="2:15" x14ac:dyDescent="0.15">
      <c r="B2646" s="71" t="s">
        <v>162</v>
      </c>
      <c r="C2646" s="15">
        <v>5</v>
      </c>
      <c r="D2646" s="14">
        <f t="shared" si="278"/>
        <v>5</v>
      </c>
      <c r="E2646" s="74">
        <v>43249</v>
      </c>
      <c r="F2646" s="74"/>
      <c r="G2646" s="74"/>
      <c r="H2646" s="74"/>
      <c r="I2646" s="74"/>
      <c r="J2646" s="51"/>
      <c r="K2646" s="6"/>
      <c r="L2646" s="15"/>
      <c r="M2646" s="14">
        <f t="shared" si="277"/>
        <v>0</v>
      </c>
    </row>
    <row r="2647" spans="2:15" x14ac:dyDescent="0.15">
      <c r="B2647" s="71" t="s">
        <v>162</v>
      </c>
      <c r="C2647" s="15">
        <v>9</v>
      </c>
      <c r="D2647" s="14">
        <f t="shared" si="278"/>
        <v>9</v>
      </c>
      <c r="E2647" s="74">
        <v>43250</v>
      </c>
      <c r="F2647" s="74"/>
      <c r="G2647" s="74"/>
      <c r="H2647" s="74"/>
      <c r="I2647" s="74"/>
      <c r="J2647" s="51"/>
      <c r="K2647" s="4"/>
      <c r="L2647" s="15"/>
      <c r="M2647" s="14">
        <f t="shared" si="277"/>
        <v>0</v>
      </c>
    </row>
    <row r="2648" spans="2:15" x14ac:dyDescent="0.15">
      <c r="B2648" s="71" t="s">
        <v>525</v>
      </c>
      <c r="C2648" s="15">
        <v>40</v>
      </c>
      <c r="D2648" s="14">
        <f t="shared" si="278"/>
        <v>40</v>
      </c>
      <c r="E2648" s="74">
        <v>43255</v>
      </c>
      <c r="F2648" s="74"/>
      <c r="G2648" s="74"/>
      <c r="H2648" s="74"/>
      <c r="I2648" s="74"/>
      <c r="J2648" s="51"/>
      <c r="K2648" s="4"/>
      <c r="L2648" s="15"/>
      <c r="M2648" s="14">
        <f t="shared" si="277"/>
        <v>0</v>
      </c>
    </row>
    <row r="2649" spans="2:15" x14ac:dyDescent="0.15">
      <c r="B2649" s="71" t="s">
        <v>39</v>
      </c>
      <c r="C2649" s="15">
        <v>200</v>
      </c>
      <c r="D2649" s="14">
        <f t="shared" si="278"/>
        <v>200</v>
      </c>
      <c r="E2649" s="48">
        <v>43251</v>
      </c>
      <c r="F2649" s="48"/>
      <c r="G2649" s="48"/>
      <c r="H2649" s="48"/>
      <c r="I2649" s="48"/>
      <c r="J2649" s="51"/>
      <c r="K2649" s="4"/>
      <c r="L2649" s="15"/>
      <c r="M2649" s="14">
        <f t="shared" si="277"/>
        <v>0</v>
      </c>
    </row>
    <row r="2650" spans="2:15" x14ac:dyDescent="0.15">
      <c r="B2650" s="71" t="s">
        <v>162</v>
      </c>
      <c r="C2650" s="15">
        <v>3</v>
      </c>
      <c r="D2650" s="14">
        <f t="shared" si="278"/>
        <v>3</v>
      </c>
      <c r="E2650" s="48">
        <v>43251</v>
      </c>
      <c r="F2650" s="48"/>
      <c r="G2650" s="48"/>
      <c r="H2650" s="48"/>
      <c r="I2650" s="48"/>
      <c r="J2650" s="51"/>
      <c r="K2650" s="4"/>
      <c r="L2650" s="15"/>
      <c r="M2650" s="14">
        <f t="shared" si="277"/>
        <v>0</v>
      </c>
    </row>
    <row r="2651" spans="2:15" x14ac:dyDescent="0.15">
      <c r="B2651" s="71" t="s">
        <v>490</v>
      </c>
      <c r="C2651" s="15">
        <v>6</v>
      </c>
      <c r="D2651" s="14">
        <f t="shared" si="278"/>
        <v>6</v>
      </c>
      <c r="E2651" s="74">
        <v>43253</v>
      </c>
      <c r="F2651" s="74"/>
      <c r="G2651" s="74"/>
      <c r="H2651" s="74"/>
      <c r="I2651" s="74"/>
      <c r="J2651" s="51"/>
      <c r="K2651" s="6"/>
      <c r="L2651" s="15"/>
      <c r="M2651" s="14">
        <f t="shared" si="277"/>
        <v>0</v>
      </c>
    </row>
    <row r="2652" spans="2:15" x14ac:dyDescent="0.15">
      <c r="B2652" s="71" t="s">
        <v>162</v>
      </c>
      <c r="C2652" s="15">
        <v>2</v>
      </c>
      <c r="D2652" s="14">
        <f t="shared" si="278"/>
        <v>2</v>
      </c>
      <c r="E2652" s="48">
        <v>43252</v>
      </c>
      <c r="F2652" s="48"/>
      <c r="G2652" s="48"/>
      <c r="H2652" s="48"/>
      <c r="I2652" s="48"/>
      <c r="J2652" s="51"/>
      <c r="K2652" s="67"/>
      <c r="L2652" s="15"/>
      <c r="M2652" s="14">
        <f t="shared" si="277"/>
        <v>0</v>
      </c>
    </row>
    <row r="2653" spans="2:15" x14ac:dyDescent="0.15">
      <c r="B2653" s="71" t="s">
        <v>162</v>
      </c>
      <c r="C2653" s="15">
        <v>1</v>
      </c>
      <c r="D2653" s="14">
        <f t="shared" si="278"/>
        <v>1</v>
      </c>
      <c r="E2653" s="48">
        <v>43253</v>
      </c>
      <c r="F2653" s="48"/>
      <c r="G2653" s="48"/>
      <c r="H2653" s="48"/>
      <c r="I2653" s="48"/>
      <c r="J2653" s="51"/>
      <c r="K2653" s="4"/>
      <c r="L2653" s="15"/>
      <c r="M2653" s="14">
        <f t="shared" si="277"/>
        <v>0</v>
      </c>
    </row>
    <row r="2654" spans="2:15" x14ac:dyDescent="0.15">
      <c r="B2654" s="71" t="s">
        <v>526</v>
      </c>
      <c r="C2654" s="15">
        <v>100</v>
      </c>
      <c r="D2654" s="14">
        <f t="shared" si="278"/>
        <v>100</v>
      </c>
      <c r="E2654" s="48">
        <v>43253</v>
      </c>
      <c r="F2654" s="48"/>
      <c r="G2654" s="48"/>
      <c r="H2654" s="48"/>
      <c r="I2654" s="48"/>
      <c r="J2654" s="51"/>
      <c r="K2654" s="4"/>
      <c r="L2654" s="15"/>
      <c r="M2654" s="14">
        <f t="shared" si="277"/>
        <v>0</v>
      </c>
    </row>
    <row r="2655" spans="2:15" x14ac:dyDescent="0.15">
      <c r="B2655" s="71" t="s">
        <v>162</v>
      </c>
      <c r="C2655" s="15">
        <v>21</v>
      </c>
      <c r="D2655" s="14">
        <f t="shared" si="278"/>
        <v>21</v>
      </c>
      <c r="E2655" s="48">
        <v>43255</v>
      </c>
      <c r="F2655" s="48"/>
      <c r="G2655" s="48"/>
      <c r="H2655" s="48"/>
      <c r="I2655" s="48"/>
      <c r="J2655" s="51"/>
      <c r="K2655" s="6"/>
      <c r="L2655" s="15"/>
      <c r="M2655" s="14">
        <f t="shared" si="277"/>
        <v>0</v>
      </c>
    </row>
    <row r="2656" spans="2:15" x14ac:dyDescent="0.15">
      <c r="B2656" s="71" t="s">
        <v>528</v>
      </c>
      <c r="C2656" s="15">
        <v>200</v>
      </c>
      <c r="D2656" s="14">
        <f t="shared" si="278"/>
        <v>200</v>
      </c>
      <c r="E2656" s="48">
        <v>43257</v>
      </c>
      <c r="F2656" s="48"/>
      <c r="G2656" s="48"/>
      <c r="H2656" s="48"/>
      <c r="I2656" s="48"/>
      <c r="J2656" s="51"/>
      <c r="K2656" s="4"/>
      <c r="L2656" s="15"/>
      <c r="M2656" s="14">
        <f t="shared" si="277"/>
        <v>0</v>
      </c>
    </row>
    <row r="2657" spans="1:15" x14ac:dyDescent="0.15">
      <c r="B2657" s="71" t="s">
        <v>162</v>
      </c>
      <c r="C2657" s="15">
        <v>11</v>
      </c>
      <c r="D2657" s="14">
        <f t="shared" si="278"/>
        <v>11</v>
      </c>
      <c r="E2657" s="48">
        <v>43256</v>
      </c>
      <c r="F2657" s="48"/>
      <c r="G2657" s="48"/>
      <c r="H2657" s="48"/>
      <c r="I2657" s="48"/>
      <c r="J2657" s="51"/>
      <c r="K2657" s="6"/>
      <c r="L2657" s="15"/>
      <c r="M2657" s="14">
        <f t="shared" si="277"/>
        <v>0</v>
      </c>
      <c r="N2657" s="75"/>
      <c r="O2657" s="75"/>
    </row>
    <row r="2658" spans="1:15" x14ac:dyDescent="0.15">
      <c r="B2658" s="71" t="s">
        <v>527</v>
      </c>
      <c r="C2658" s="15">
        <v>18</v>
      </c>
      <c r="D2658" s="14">
        <f t="shared" si="278"/>
        <v>18</v>
      </c>
      <c r="E2658" s="74">
        <v>43259</v>
      </c>
      <c r="F2658" s="74"/>
      <c r="G2658" s="74"/>
      <c r="H2658" s="74"/>
      <c r="I2658" s="74"/>
      <c r="J2658" s="51"/>
      <c r="K2658" s="69"/>
      <c r="L2658" s="15"/>
      <c r="M2658" s="14">
        <f>SUM(L2658)</f>
        <v>0</v>
      </c>
      <c r="N2658" s="75"/>
      <c r="O2658" s="75"/>
    </row>
    <row r="2659" spans="1:15" x14ac:dyDescent="0.15">
      <c r="B2659" s="71" t="s">
        <v>530</v>
      </c>
      <c r="C2659" s="15">
        <v>100</v>
      </c>
      <c r="D2659" s="14">
        <f t="shared" si="278"/>
        <v>100</v>
      </c>
      <c r="E2659" s="48">
        <v>43258</v>
      </c>
      <c r="F2659" s="48"/>
      <c r="G2659" s="48"/>
      <c r="H2659" s="48"/>
      <c r="I2659" s="48"/>
      <c r="J2659" s="51"/>
      <c r="K2659" s="4"/>
      <c r="L2659" s="15"/>
      <c r="M2659" s="14">
        <f>SUM(L2659:L2659)</f>
        <v>0</v>
      </c>
    </row>
    <row r="2660" spans="1:15" x14ac:dyDescent="0.15">
      <c r="B2660" s="71" t="s">
        <v>39</v>
      </c>
      <c r="C2660" s="15">
        <v>200</v>
      </c>
      <c r="D2660" s="14">
        <f t="shared" si="278"/>
        <v>200</v>
      </c>
      <c r="E2660" s="74">
        <v>43260</v>
      </c>
      <c r="F2660" s="74"/>
      <c r="G2660" s="74"/>
      <c r="H2660" s="74"/>
      <c r="I2660" s="74"/>
      <c r="J2660" s="51"/>
      <c r="K2660" s="4"/>
      <c r="L2660" s="15"/>
      <c r="M2660" s="14">
        <f>SUM(L2660)</f>
        <v>0</v>
      </c>
      <c r="N2660" s="75"/>
    </row>
    <row r="2661" spans="1:15" x14ac:dyDescent="0.15">
      <c r="B2661" s="71" t="s">
        <v>162</v>
      </c>
      <c r="C2661" s="15">
        <v>23</v>
      </c>
      <c r="D2661" s="14">
        <f>SUM(C2661)</f>
        <v>23</v>
      </c>
      <c r="E2661" s="48">
        <v>43257</v>
      </c>
      <c r="F2661" s="48"/>
      <c r="G2661" s="48"/>
      <c r="H2661" s="48"/>
      <c r="I2661" s="48"/>
      <c r="J2661" s="51"/>
      <c r="K2661" s="69"/>
      <c r="L2661" s="15"/>
      <c r="M2661" s="14">
        <f>SUM(L2661:L2661)</f>
        <v>0</v>
      </c>
    </row>
    <row r="2662" spans="1:15" ht="14.25" thickBot="1" x14ac:dyDescent="0.2">
      <c r="B2662" s="71" t="s">
        <v>498</v>
      </c>
      <c r="C2662" s="15">
        <v>10</v>
      </c>
      <c r="D2662" s="14">
        <f>SUM(C2662)</f>
        <v>10</v>
      </c>
      <c r="E2662" s="74">
        <v>43259</v>
      </c>
      <c r="F2662" s="74"/>
      <c r="G2662" s="74"/>
      <c r="H2662" s="74"/>
      <c r="I2662" s="74"/>
      <c r="J2662" s="51"/>
      <c r="K2662" s="69"/>
      <c r="L2662" s="15"/>
      <c r="M2662" s="14">
        <f>SUM(L2662:L2662)</f>
        <v>0</v>
      </c>
      <c r="N2662" s="74"/>
    </row>
    <row r="2663" spans="1:15" ht="14.25" thickBot="1" x14ac:dyDescent="0.2">
      <c r="B2663" s="3" t="s">
        <v>5</v>
      </c>
      <c r="C2663" s="16">
        <f>SUM(C2639:C2662)</f>
        <v>1343</v>
      </c>
      <c r="D2663" s="17">
        <f>SUM(D2639:D2662)</f>
        <v>1343</v>
      </c>
      <c r="K2663" s="3" t="s">
        <v>5</v>
      </c>
      <c r="L2663" s="16">
        <f>SUM(L2639:L2662)</f>
        <v>1400</v>
      </c>
      <c r="M2663" s="17">
        <f>SUM(M2639:M2662)</f>
        <v>1400</v>
      </c>
    </row>
    <row r="2664" spans="1:15" ht="14.25" thickBot="1" x14ac:dyDescent="0.2">
      <c r="B2664" s="18" t="s">
        <v>6</v>
      </c>
      <c r="C2664" s="19">
        <f>C2638-C2663</f>
        <v>303</v>
      </c>
      <c r="D2664" s="13">
        <f>D2638-D2663</f>
        <v>303</v>
      </c>
      <c r="K2664" s="18" t="s">
        <v>6</v>
      </c>
      <c r="L2664" s="19">
        <f>L2638-L2663</f>
        <v>1110</v>
      </c>
      <c r="M2664" s="13">
        <f>M2638-M2663</f>
        <v>1110</v>
      </c>
    </row>
    <row r="2665" spans="1:15" x14ac:dyDescent="0.15">
      <c r="B2665" s="168"/>
      <c r="C2665" s="24"/>
      <c r="D2665" s="24"/>
      <c r="K2665" s="168"/>
      <c r="L2665" s="24"/>
      <c r="M2665" s="24"/>
    </row>
    <row r="2666" spans="1:15" ht="18" thickBot="1" x14ac:dyDescent="0.25">
      <c r="A2666" s="27" t="s">
        <v>8</v>
      </c>
      <c r="B2666" s="28"/>
      <c r="C2666" s="28"/>
      <c r="D2666" s="28"/>
      <c r="J2666" s="139" t="s">
        <v>218</v>
      </c>
      <c r="K2666" s="140"/>
      <c r="L2666" s="140"/>
      <c r="M2666" s="140"/>
    </row>
    <row r="2667" spans="1:15" ht="14.25" thickBot="1" x14ac:dyDescent="0.2">
      <c r="B2667" s="2"/>
      <c r="C2667" s="3" t="s">
        <v>0</v>
      </c>
      <c r="D2667" s="2" t="s">
        <v>1</v>
      </c>
      <c r="K2667" s="2"/>
      <c r="L2667" s="3" t="s">
        <v>0</v>
      </c>
      <c r="M2667" s="2" t="s">
        <v>1</v>
      </c>
    </row>
    <row r="2668" spans="1:15" x14ac:dyDescent="0.15">
      <c r="B2668" s="43" t="s">
        <v>26</v>
      </c>
      <c r="C2668" s="38">
        <f>C2664</f>
        <v>303</v>
      </c>
      <c r="D2668" s="39">
        <f t="shared" ref="D2668:D2678" si="279">SUM(C2668:C2668)</f>
        <v>303</v>
      </c>
      <c r="K2668" s="43" t="s">
        <v>26</v>
      </c>
      <c r="L2668" s="38">
        <f>L2664</f>
        <v>1110</v>
      </c>
      <c r="M2668" s="39">
        <f t="shared" ref="M2668:M2678" si="280">SUM(L2668:L2668)</f>
        <v>1110</v>
      </c>
    </row>
    <row r="2669" spans="1:15" x14ac:dyDescent="0.15">
      <c r="B2669" s="6" t="s">
        <v>64</v>
      </c>
      <c r="C2669" s="7">
        <v>19</v>
      </c>
      <c r="D2669" s="5">
        <f t="shared" si="279"/>
        <v>19</v>
      </c>
      <c r="E2669" s="74">
        <v>43271</v>
      </c>
      <c r="F2669" s="74"/>
      <c r="G2669" s="74"/>
      <c r="H2669" s="74"/>
      <c r="I2669" s="74"/>
      <c r="J2669" s="75"/>
      <c r="K2669" s="6" t="s">
        <v>3</v>
      </c>
      <c r="L2669" s="7"/>
      <c r="M2669" s="5">
        <f t="shared" si="280"/>
        <v>0</v>
      </c>
    </row>
    <row r="2670" spans="1:15" x14ac:dyDescent="0.15">
      <c r="A2670" s="75"/>
      <c r="B2670" s="6" t="s">
        <v>3</v>
      </c>
      <c r="C2670" s="7">
        <v>200</v>
      </c>
      <c r="D2670" s="5">
        <f t="shared" si="279"/>
        <v>200</v>
      </c>
      <c r="E2670" s="74">
        <v>43262</v>
      </c>
      <c r="F2670" s="74"/>
      <c r="G2670" s="74"/>
      <c r="H2670" s="74"/>
      <c r="I2670" s="74"/>
      <c r="K2670" s="6" t="s">
        <v>3</v>
      </c>
      <c r="L2670" s="7"/>
      <c r="M2670" s="5">
        <f t="shared" si="280"/>
        <v>0</v>
      </c>
      <c r="N2670" s="74"/>
    </row>
    <row r="2671" spans="1:15" x14ac:dyDescent="0.15">
      <c r="A2671" s="75"/>
      <c r="B2671" s="6" t="s">
        <v>521</v>
      </c>
      <c r="C2671" s="7">
        <v>1</v>
      </c>
      <c r="D2671" s="5">
        <f t="shared" si="279"/>
        <v>1</v>
      </c>
      <c r="E2671" s="74">
        <v>43262</v>
      </c>
      <c r="F2671" s="74"/>
      <c r="G2671" s="74"/>
      <c r="H2671" s="74"/>
      <c r="I2671" s="74"/>
      <c r="K2671" s="6" t="s">
        <v>3</v>
      </c>
      <c r="L2671" s="7"/>
      <c r="M2671" s="5">
        <f t="shared" si="280"/>
        <v>0</v>
      </c>
    </row>
    <row r="2672" spans="1:15" x14ac:dyDescent="0.15">
      <c r="B2672" s="6" t="s">
        <v>3</v>
      </c>
      <c r="C2672" s="7">
        <v>200</v>
      </c>
      <c r="D2672" s="5">
        <f t="shared" si="279"/>
        <v>200</v>
      </c>
      <c r="E2672" s="74">
        <v>43265</v>
      </c>
      <c r="F2672" s="74"/>
      <c r="G2672" s="74"/>
      <c r="H2672" s="74"/>
      <c r="I2672" s="74"/>
      <c r="K2672" s="6" t="s">
        <v>3</v>
      </c>
      <c r="L2672" s="7"/>
      <c r="M2672" s="5">
        <f t="shared" si="280"/>
        <v>0</v>
      </c>
    </row>
    <row r="2673" spans="2:15" x14ac:dyDescent="0.15">
      <c r="B2673" s="6" t="s">
        <v>3</v>
      </c>
      <c r="C2673" s="7">
        <v>200</v>
      </c>
      <c r="D2673" s="5">
        <f t="shared" si="279"/>
        <v>200</v>
      </c>
      <c r="E2673" s="74">
        <v>43271</v>
      </c>
      <c r="F2673" s="74"/>
      <c r="G2673" s="74"/>
      <c r="H2673" s="74"/>
      <c r="I2673" s="74"/>
      <c r="K2673" s="6" t="s">
        <v>3</v>
      </c>
      <c r="L2673" s="7"/>
      <c r="M2673" s="5">
        <f t="shared" si="280"/>
        <v>0</v>
      </c>
      <c r="N2673" s="75"/>
    </row>
    <row r="2674" spans="2:15" x14ac:dyDescent="0.15">
      <c r="B2674" s="6" t="s">
        <v>3</v>
      </c>
      <c r="C2674" s="7">
        <v>200</v>
      </c>
      <c r="D2674" s="5">
        <f t="shared" si="279"/>
        <v>200</v>
      </c>
      <c r="E2674" s="74">
        <v>43272</v>
      </c>
      <c r="F2674" s="74"/>
      <c r="G2674" s="74"/>
      <c r="H2674" s="74"/>
      <c r="I2674" s="74"/>
      <c r="K2674" s="6" t="s">
        <v>3</v>
      </c>
      <c r="L2674" s="7"/>
      <c r="M2674" s="5">
        <f t="shared" si="280"/>
        <v>0</v>
      </c>
    </row>
    <row r="2675" spans="2:15" x14ac:dyDescent="0.15">
      <c r="B2675" s="6" t="s">
        <v>3</v>
      </c>
      <c r="C2675" s="54">
        <v>110</v>
      </c>
      <c r="D2675" s="5">
        <f t="shared" si="279"/>
        <v>110</v>
      </c>
      <c r="E2675" s="74">
        <v>43278</v>
      </c>
      <c r="F2675" s="74"/>
      <c r="G2675" s="74"/>
      <c r="H2675" s="74"/>
      <c r="I2675" s="74"/>
      <c r="K2675" s="6" t="s">
        <v>3</v>
      </c>
      <c r="L2675" s="7"/>
      <c r="M2675" s="5">
        <f t="shared" si="280"/>
        <v>0</v>
      </c>
    </row>
    <row r="2676" spans="2:15" x14ac:dyDescent="0.15">
      <c r="B2676" s="6" t="s">
        <v>3</v>
      </c>
      <c r="C2676" s="54"/>
      <c r="D2676" s="5">
        <f t="shared" si="279"/>
        <v>0</v>
      </c>
      <c r="K2676" s="6" t="s">
        <v>3</v>
      </c>
      <c r="L2676" s="7"/>
      <c r="M2676" s="5">
        <f t="shared" si="280"/>
        <v>0</v>
      </c>
    </row>
    <row r="2677" spans="2:15" x14ac:dyDescent="0.15">
      <c r="B2677" s="6" t="s">
        <v>3</v>
      </c>
      <c r="C2677" s="54"/>
      <c r="D2677" s="5">
        <f t="shared" si="279"/>
        <v>0</v>
      </c>
      <c r="K2677" s="6" t="s">
        <v>3</v>
      </c>
      <c r="L2677" s="7"/>
      <c r="M2677" s="5">
        <f t="shared" si="280"/>
        <v>0</v>
      </c>
    </row>
    <row r="2678" spans="2:15" ht="14.25" thickBot="1" x14ac:dyDescent="0.2">
      <c r="B2678" s="9" t="s">
        <v>3</v>
      </c>
      <c r="C2678" s="101"/>
      <c r="D2678" s="5">
        <f t="shared" si="279"/>
        <v>0</v>
      </c>
      <c r="K2678" s="9" t="s">
        <v>3</v>
      </c>
      <c r="L2678" s="10"/>
      <c r="M2678" s="5">
        <f t="shared" si="280"/>
        <v>0</v>
      </c>
    </row>
    <row r="2679" spans="2:15" ht="14.25" thickBot="1" x14ac:dyDescent="0.2">
      <c r="B2679" s="11" t="s">
        <v>4</v>
      </c>
      <c r="C2679" s="12">
        <f>SUM(C2668:C2678)</f>
        <v>1233</v>
      </c>
      <c r="D2679" s="13">
        <f>SUM(D2668:D2678)</f>
        <v>1233</v>
      </c>
      <c r="K2679" s="11" t="s">
        <v>4</v>
      </c>
      <c r="L2679" s="12">
        <f>SUM(L2668:L2678)</f>
        <v>1110</v>
      </c>
      <c r="M2679" s="13">
        <f>SUM(M2668:M2678)</f>
        <v>1110</v>
      </c>
    </row>
    <row r="2680" spans="2:15" x14ac:dyDescent="0.15">
      <c r="B2680" s="71" t="s">
        <v>162</v>
      </c>
      <c r="C2680" s="15">
        <v>17</v>
      </c>
      <c r="D2680" s="14">
        <f>SUM(C2680)</f>
        <v>17</v>
      </c>
      <c r="E2680" s="74">
        <v>43258</v>
      </c>
      <c r="F2680" s="74"/>
      <c r="G2680" s="74"/>
      <c r="H2680" s="74"/>
      <c r="I2680" s="74"/>
      <c r="K2680" s="69" t="s">
        <v>31</v>
      </c>
      <c r="L2680" s="15">
        <v>200</v>
      </c>
      <c r="M2680" s="14">
        <f>SUM(L2680:L2680)</f>
        <v>200</v>
      </c>
      <c r="N2680" s="74">
        <v>43262</v>
      </c>
      <c r="O2680" s="75"/>
    </row>
    <row r="2681" spans="2:15" x14ac:dyDescent="0.15">
      <c r="B2681" s="71" t="s">
        <v>162</v>
      </c>
      <c r="C2681" s="15">
        <v>8</v>
      </c>
      <c r="D2681" s="14">
        <f>SUM(C2681)</f>
        <v>8</v>
      </c>
      <c r="E2681" s="74">
        <v>43259</v>
      </c>
      <c r="F2681" s="74"/>
      <c r="G2681" s="74"/>
      <c r="H2681" s="74"/>
      <c r="I2681" s="74"/>
      <c r="J2681" s="36"/>
      <c r="K2681" s="69" t="s">
        <v>31</v>
      </c>
      <c r="L2681" s="15">
        <v>200</v>
      </c>
      <c r="M2681" s="14">
        <f t="shared" ref="M2681:M2698" si="281">SUM(L2681:L2681)</f>
        <v>200</v>
      </c>
      <c r="N2681" s="74">
        <v>43265</v>
      </c>
    </row>
    <row r="2682" spans="2:15" x14ac:dyDescent="0.15">
      <c r="B2682" s="71" t="s">
        <v>490</v>
      </c>
      <c r="C2682" s="15">
        <v>12</v>
      </c>
      <c r="D2682" s="14">
        <f t="shared" ref="D2682:D2701" si="282">SUM(C2682)</f>
        <v>12</v>
      </c>
      <c r="E2682" s="74">
        <v>43260</v>
      </c>
      <c r="F2682" s="74"/>
      <c r="G2682" s="74"/>
      <c r="H2682" s="74"/>
      <c r="I2682" s="74"/>
      <c r="J2682" s="36"/>
      <c r="K2682" s="69" t="s">
        <v>31</v>
      </c>
      <c r="L2682" s="15">
        <v>200</v>
      </c>
      <c r="M2682" s="14">
        <f t="shared" si="281"/>
        <v>200</v>
      </c>
      <c r="N2682" s="74">
        <v>43271</v>
      </c>
      <c r="O2682" s="75"/>
    </row>
    <row r="2683" spans="2:15" x14ac:dyDescent="0.15">
      <c r="B2683" s="71" t="s">
        <v>150</v>
      </c>
      <c r="C2683" s="15">
        <v>18</v>
      </c>
      <c r="D2683" s="14">
        <f t="shared" si="282"/>
        <v>18</v>
      </c>
      <c r="E2683" s="74">
        <v>43264</v>
      </c>
      <c r="F2683" s="74"/>
      <c r="G2683" s="74"/>
      <c r="H2683" s="74"/>
      <c r="I2683" s="74"/>
      <c r="J2683" s="36"/>
      <c r="K2683" s="69" t="s">
        <v>31</v>
      </c>
      <c r="L2683" s="15">
        <v>200</v>
      </c>
      <c r="M2683" s="14">
        <f t="shared" si="281"/>
        <v>200</v>
      </c>
      <c r="N2683" s="74">
        <v>43272</v>
      </c>
      <c r="O2683" s="75"/>
    </row>
    <row r="2684" spans="2:15" x14ac:dyDescent="0.15">
      <c r="B2684" s="71" t="s">
        <v>162</v>
      </c>
      <c r="C2684" s="15">
        <v>24</v>
      </c>
      <c r="D2684" s="14">
        <f t="shared" si="282"/>
        <v>24</v>
      </c>
      <c r="E2684" s="74">
        <v>43262</v>
      </c>
      <c r="F2684" s="74"/>
      <c r="G2684" s="74"/>
      <c r="H2684" s="74"/>
      <c r="I2684" s="74"/>
      <c r="J2684" s="51"/>
      <c r="K2684" s="4" t="s">
        <v>476</v>
      </c>
      <c r="L2684" s="15">
        <v>200</v>
      </c>
      <c r="M2684" s="14">
        <f t="shared" si="281"/>
        <v>200</v>
      </c>
      <c r="N2684" s="74">
        <v>43269</v>
      </c>
    </row>
    <row r="2685" spans="2:15" x14ac:dyDescent="0.15">
      <c r="B2685" s="71" t="s">
        <v>532</v>
      </c>
      <c r="C2685" s="15">
        <v>200</v>
      </c>
      <c r="D2685" s="14">
        <f t="shared" si="282"/>
        <v>200</v>
      </c>
      <c r="E2685" s="74">
        <v>43264</v>
      </c>
      <c r="F2685" s="74"/>
      <c r="G2685" s="74"/>
      <c r="H2685" s="74"/>
      <c r="I2685" s="74"/>
      <c r="J2685" s="51"/>
      <c r="K2685" s="69" t="s">
        <v>31</v>
      </c>
      <c r="L2685" s="15">
        <v>110</v>
      </c>
      <c r="M2685" s="14">
        <f t="shared" si="281"/>
        <v>110</v>
      </c>
      <c r="N2685" s="74">
        <v>43278</v>
      </c>
    </row>
    <row r="2686" spans="2:15" x14ac:dyDescent="0.15">
      <c r="B2686" s="71" t="s">
        <v>490</v>
      </c>
      <c r="C2686" s="15">
        <v>4</v>
      </c>
      <c r="D2686" s="14">
        <f t="shared" si="282"/>
        <v>4</v>
      </c>
      <c r="E2686" s="74">
        <v>43264</v>
      </c>
      <c r="F2686" s="74"/>
      <c r="G2686" s="74"/>
      <c r="H2686" s="74"/>
      <c r="I2686" s="74"/>
      <c r="J2686" s="51"/>
      <c r="K2686" s="4"/>
      <c r="L2686" s="15"/>
      <c r="M2686" s="14">
        <f t="shared" si="281"/>
        <v>0</v>
      </c>
      <c r="N2686" s="75"/>
    </row>
    <row r="2687" spans="2:15" x14ac:dyDescent="0.15">
      <c r="B2687" s="71" t="s">
        <v>162</v>
      </c>
      <c r="C2687" s="15">
        <v>5</v>
      </c>
      <c r="D2687" s="14">
        <f t="shared" si="282"/>
        <v>5</v>
      </c>
      <c r="E2687" s="74">
        <v>43263</v>
      </c>
      <c r="F2687" s="74"/>
      <c r="G2687" s="74"/>
      <c r="H2687" s="74"/>
      <c r="I2687" s="74"/>
      <c r="J2687" s="51"/>
      <c r="K2687" s="6"/>
      <c r="L2687" s="15"/>
      <c r="M2687" s="14">
        <f t="shared" si="281"/>
        <v>0</v>
      </c>
    </row>
    <row r="2688" spans="2:15" x14ac:dyDescent="0.15">
      <c r="B2688" s="71" t="s">
        <v>162</v>
      </c>
      <c r="C2688" s="15">
        <v>8</v>
      </c>
      <c r="D2688" s="14">
        <f t="shared" si="282"/>
        <v>8</v>
      </c>
      <c r="E2688" s="74">
        <v>43264</v>
      </c>
      <c r="F2688" s="74"/>
      <c r="G2688" s="74"/>
      <c r="H2688" s="74"/>
      <c r="I2688" s="74"/>
      <c r="J2688" s="51"/>
      <c r="K2688" s="4"/>
      <c r="L2688" s="15"/>
      <c r="M2688" s="14">
        <f t="shared" si="281"/>
        <v>0</v>
      </c>
    </row>
    <row r="2689" spans="2:14" x14ac:dyDescent="0.15">
      <c r="B2689" s="71" t="s">
        <v>162</v>
      </c>
      <c r="C2689" s="15">
        <v>3</v>
      </c>
      <c r="D2689" s="14">
        <f t="shared" si="282"/>
        <v>3</v>
      </c>
      <c r="E2689" s="48">
        <v>43265</v>
      </c>
      <c r="F2689" s="48"/>
      <c r="G2689" s="48"/>
      <c r="H2689" s="48"/>
      <c r="I2689" s="48"/>
      <c r="J2689" s="51"/>
      <c r="K2689" s="4"/>
      <c r="L2689" s="15"/>
      <c r="M2689" s="14">
        <f t="shared" si="281"/>
        <v>0</v>
      </c>
    </row>
    <row r="2690" spans="2:14" x14ac:dyDescent="0.15">
      <c r="B2690" s="71" t="s">
        <v>162</v>
      </c>
      <c r="C2690" s="15">
        <v>36</v>
      </c>
      <c r="D2690" s="14">
        <f t="shared" si="282"/>
        <v>36</v>
      </c>
      <c r="E2690" s="48">
        <v>43266</v>
      </c>
      <c r="F2690" s="48"/>
      <c r="G2690" s="48"/>
      <c r="H2690" s="48"/>
      <c r="I2690" s="48"/>
      <c r="J2690" s="51"/>
      <c r="K2690" s="4"/>
      <c r="L2690" s="15"/>
      <c r="M2690" s="14">
        <f t="shared" si="281"/>
        <v>0</v>
      </c>
    </row>
    <row r="2691" spans="2:14" x14ac:dyDescent="0.15">
      <c r="B2691" s="71" t="s">
        <v>162</v>
      </c>
      <c r="C2691" s="15">
        <v>22</v>
      </c>
      <c r="D2691" s="14">
        <f t="shared" si="282"/>
        <v>22</v>
      </c>
      <c r="E2691" s="48">
        <v>43267</v>
      </c>
      <c r="F2691" s="48"/>
      <c r="G2691" s="48"/>
      <c r="H2691" s="48"/>
      <c r="I2691" s="48"/>
      <c r="J2691" s="51"/>
      <c r="K2691" s="4"/>
      <c r="L2691" s="15"/>
      <c r="M2691" s="14">
        <f t="shared" si="281"/>
        <v>0</v>
      </c>
    </row>
    <row r="2692" spans="2:14" x14ac:dyDescent="0.15">
      <c r="B2692" s="71" t="s">
        <v>531</v>
      </c>
      <c r="C2692" s="15">
        <v>12</v>
      </c>
      <c r="D2692" s="14">
        <f t="shared" si="282"/>
        <v>12</v>
      </c>
      <c r="E2692" s="74">
        <v>43270</v>
      </c>
      <c r="F2692" s="74"/>
      <c r="G2692" s="74"/>
      <c r="H2692" s="74"/>
      <c r="I2692" s="74"/>
      <c r="J2692" s="51"/>
      <c r="K2692" s="6"/>
      <c r="L2692" s="15"/>
      <c r="M2692" s="14">
        <f t="shared" si="281"/>
        <v>0</v>
      </c>
    </row>
    <row r="2693" spans="2:14" x14ac:dyDescent="0.15">
      <c r="B2693" s="71" t="s">
        <v>39</v>
      </c>
      <c r="C2693" s="15">
        <v>200</v>
      </c>
      <c r="D2693" s="14">
        <f t="shared" si="282"/>
        <v>200</v>
      </c>
      <c r="E2693" s="48">
        <v>43267</v>
      </c>
      <c r="F2693" s="48"/>
      <c r="G2693" s="48"/>
      <c r="H2693" s="48"/>
      <c r="I2693" s="48"/>
      <c r="J2693" s="51"/>
      <c r="K2693" s="67"/>
      <c r="L2693" s="15"/>
      <c r="M2693" s="14">
        <f t="shared" si="281"/>
        <v>0</v>
      </c>
    </row>
    <row r="2694" spans="2:14" x14ac:dyDescent="0.15">
      <c r="B2694" s="71" t="s">
        <v>162</v>
      </c>
      <c r="C2694" s="15">
        <v>19</v>
      </c>
      <c r="D2694" s="14">
        <f t="shared" si="282"/>
        <v>19</v>
      </c>
      <c r="E2694" s="48">
        <v>43269</v>
      </c>
      <c r="F2694" s="48"/>
      <c r="G2694" s="48"/>
      <c r="H2694" s="48"/>
      <c r="I2694" s="48"/>
      <c r="J2694" s="51"/>
      <c r="K2694" s="4"/>
      <c r="L2694" s="15"/>
      <c r="M2694" s="14">
        <f t="shared" si="281"/>
        <v>0</v>
      </c>
    </row>
    <row r="2695" spans="2:14" x14ac:dyDescent="0.15">
      <c r="B2695" s="71" t="s">
        <v>531</v>
      </c>
      <c r="C2695" s="15">
        <v>10</v>
      </c>
      <c r="D2695" s="14">
        <f t="shared" si="282"/>
        <v>10</v>
      </c>
      <c r="E2695" s="74">
        <v>43271</v>
      </c>
      <c r="F2695" s="74"/>
      <c r="G2695" s="74"/>
      <c r="H2695" s="74"/>
      <c r="I2695" s="74"/>
      <c r="J2695" s="51"/>
      <c r="K2695" s="4"/>
      <c r="L2695" s="15"/>
      <c r="M2695" s="14">
        <f t="shared" si="281"/>
        <v>0</v>
      </c>
    </row>
    <row r="2696" spans="2:14" x14ac:dyDescent="0.15">
      <c r="B2696" s="71" t="s">
        <v>162</v>
      </c>
      <c r="C2696" s="15">
        <v>11</v>
      </c>
      <c r="D2696" s="14">
        <f t="shared" si="282"/>
        <v>11</v>
      </c>
      <c r="E2696" s="48">
        <v>43270</v>
      </c>
      <c r="F2696" s="48"/>
      <c r="G2696" s="48"/>
      <c r="H2696" s="48"/>
      <c r="I2696" s="48"/>
      <c r="J2696" s="51"/>
      <c r="K2696" s="6"/>
      <c r="L2696" s="15"/>
      <c r="M2696" s="14">
        <f t="shared" si="281"/>
        <v>0</v>
      </c>
    </row>
    <row r="2697" spans="2:14" x14ac:dyDescent="0.15">
      <c r="B2697" s="71" t="s">
        <v>533</v>
      </c>
      <c r="C2697" s="15">
        <v>200</v>
      </c>
      <c r="D2697" s="14">
        <f t="shared" si="282"/>
        <v>200</v>
      </c>
      <c r="E2697" s="48">
        <v>43272</v>
      </c>
      <c r="F2697" s="48"/>
      <c r="G2697" s="48"/>
      <c r="H2697" s="48"/>
      <c r="I2697" s="48"/>
      <c r="J2697" s="51"/>
      <c r="K2697" s="4"/>
      <c r="L2697" s="15"/>
      <c r="M2697" s="14">
        <f t="shared" si="281"/>
        <v>0</v>
      </c>
    </row>
    <row r="2698" spans="2:14" x14ac:dyDescent="0.15">
      <c r="B2698" s="71" t="s">
        <v>162</v>
      </c>
      <c r="C2698" s="15">
        <v>15</v>
      </c>
      <c r="D2698" s="14">
        <f t="shared" si="282"/>
        <v>15</v>
      </c>
      <c r="E2698" s="48">
        <v>43271</v>
      </c>
      <c r="F2698" s="48"/>
      <c r="G2698" s="48"/>
      <c r="H2698" s="48"/>
      <c r="I2698" s="48"/>
      <c r="J2698" s="51"/>
      <c r="K2698" s="6"/>
      <c r="L2698" s="15"/>
      <c r="M2698" s="14">
        <f t="shared" si="281"/>
        <v>0</v>
      </c>
      <c r="N2698" s="75"/>
    </row>
    <row r="2699" spans="2:14" x14ac:dyDescent="0.15">
      <c r="B2699" s="71" t="s">
        <v>162</v>
      </c>
      <c r="C2699" s="15">
        <v>18</v>
      </c>
      <c r="D2699" s="14">
        <f t="shared" si="282"/>
        <v>18</v>
      </c>
      <c r="E2699" s="48">
        <v>43272</v>
      </c>
      <c r="F2699" s="48"/>
      <c r="G2699" s="48"/>
      <c r="H2699" s="48"/>
      <c r="I2699" s="48"/>
      <c r="J2699" s="51"/>
      <c r="K2699" s="69"/>
      <c r="L2699" s="15"/>
      <c r="M2699" s="14">
        <f>SUM(L2699)</f>
        <v>0</v>
      </c>
      <c r="N2699" s="75"/>
    </row>
    <row r="2700" spans="2:14" x14ac:dyDescent="0.15">
      <c r="B2700" s="71" t="s">
        <v>162</v>
      </c>
      <c r="C2700" s="15">
        <v>5</v>
      </c>
      <c r="D2700" s="14">
        <f t="shared" si="282"/>
        <v>5</v>
      </c>
      <c r="E2700" s="74">
        <v>43273</v>
      </c>
      <c r="F2700" s="74"/>
      <c r="G2700" s="74"/>
      <c r="H2700" s="74"/>
      <c r="I2700" s="74"/>
      <c r="J2700" s="51"/>
      <c r="K2700" s="4"/>
      <c r="L2700" s="15"/>
      <c r="M2700" s="14">
        <f>SUM(L2700)</f>
        <v>0</v>
      </c>
      <c r="N2700" s="75"/>
    </row>
    <row r="2701" spans="2:14" x14ac:dyDescent="0.15">
      <c r="B2701" s="69" t="s">
        <v>541</v>
      </c>
      <c r="C2701" s="15">
        <v>30</v>
      </c>
      <c r="D2701" s="14">
        <f t="shared" si="282"/>
        <v>30</v>
      </c>
      <c r="E2701" s="74">
        <v>43278</v>
      </c>
      <c r="F2701" s="74"/>
      <c r="G2701" s="74"/>
      <c r="H2701" s="74"/>
      <c r="I2701" s="74"/>
      <c r="J2701" s="51"/>
      <c r="K2701" s="4"/>
      <c r="L2701" s="15"/>
      <c r="M2701" s="14">
        <f>SUM(L2701)</f>
        <v>0</v>
      </c>
      <c r="N2701" s="75"/>
    </row>
    <row r="2702" spans="2:14" x14ac:dyDescent="0.15">
      <c r="B2702" s="71" t="s">
        <v>534</v>
      </c>
      <c r="C2702" s="15">
        <v>6</v>
      </c>
      <c r="D2702" s="14">
        <f>SUM(C2702)</f>
        <v>6</v>
      </c>
      <c r="E2702" s="74">
        <v>43277</v>
      </c>
      <c r="F2702" s="74"/>
      <c r="G2702" s="74"/>
      <c r="H2702" s="74"/>
      <c r="I2702" s="74"/>
      <c r="J2702" s="51"/>
      <c r="K2702" s="69"/>
      <c r="L2702" s="15"/>
      <c r="M2702" s="14">
        <f>SUM(L2702:L2702)</f>
        <v>0</v>
      </c>
    </row>
    <row r="2703" spans="2:14" ht="14.25" thickBot="1" x14ac:dyDescent="0.2">
      <c r="B2703" s="71" t="s">
        <v>162</v>
      </c>
      <c r="C2703" s="15">
        <v>13</v>
      </c>
      <c r="D2703" s="14">
        <f>SUM(C2703)</f>
        <v>13</v>
      </c>
      <c r="E2703" s="48">
        <v>43276</v>
      </c>
      <c r="F2703" s="48"/>
      <c r="G2703" s="48"/>
      <c r="H2703" s="48"/>
      <c r="I2703" s="48"/>
      <c r="J2703" s="51"/>
      <c r="K2703" s="4"/>
      <c r="L2703" s="15"/>
      <c r="M2703" s="14">
        <f>SUM(L2703)</f>
        <v>0</v>
      </c>
      <c r="N2703" s="75"/>
    </row>
    <row r="2704" spans="2:14" ht="14.25" thickBot="1" x14ac:dyDescent="0.2">
      <c r="B2704" s="3" t="s">
        <v>5</v>
      </c>
      <c r="C2704" s="16">
        <f>SUM(C2680:C2703)</f>
        <v>896</v>
      </c>
      <c r="D2704" s="17">
        <f>SUM(D2680:D2703)</f>
        <v>896</v>
      </c>
      <c r="K2704" s="3" t="s">
        <v>5</v>
      </c>
      <c r="L2704" s="16">
        <f>SUM(L2680:L2703)</f>
        <v>1110</v>
      </c>
      <c r="M2704" s="17">
        <f>SUM(M2680:M2703)</f>
        <v>1110</v>
      </c>
    </row>
    <row r="2705" spans="1:14" ht="14.25" thickBot="1" x14ac:dyDescent="0.2">
      <c r="B2705" s="18" t="s">
        <v>6</v>
      </c>
      <c r="C2705" s="19">
        <f>C2679-C2704</f>
        <v>337</v>
      </c>
      <c r="D2705" s="13">
        <f>D2679-D2704</f>
        <v>337</v>
      </c>
      <c r="K2705" s="18" t="s">
        <v>6</v>
      </c>
      <c r="L2705" s="19">
        <f>L2679-L2704</f>
        <v>0</v>
      </c>
      <c r="M2705" s="13">
        <f>M2679-M2704</f>
        <v>0</v>
      </c>
    </row>
    <row r="2707" spans="1:14" ht="18" thickBot="1" x14ac:dyDescent="0.25">
      <c r="A2707" s="27" t="s">
        <v>8</v>
      </c>
      <c r="B2707" s="28"/>
      <c r="C2707" s="28"/>
      <c r="D2707" s="28"/>
      <c r="J2707" s="139" t="s">
        <v>218</v>
      </c>
      <c r="K2707" s="140"/>
      <c r="L2707" s="140"/>
      <c r="M2707" s="140"/>
    </row>
    <row r="2708" spans="1:14" ht="14.25" thickBot="1" x14ac:dyDescent="0.2">
      <c r="B2708" s="2"/>
      <c r="C2708" s="3" t="s">
        <v>0</v>
      </c>
      <c r="D2708" s="2" t="s">
        <v>1</v>
      </c>
      <c r="K2708" s="2"/>
      <c r="L2708" s="3" t="s">
        <v>0</v>
      </c>
      <c r="M2708" s="2" t="s">
        <v>1</v>
      </c>
    </row>
    <row r="2709" spans="1:14" x14ac:dyDescent="0.15">
      <c r="B2709" s="43" t="s">
        <v>26</v>
      </c>
      <c r="C2709" s="38">
        <f>C2705</f>
        <v>337</v>
      </c>
      <c r="D2709" s="39">
        <f t="shared" ref="D2709:D2719" si="283">SUM(C2709:C2709)</f>
        <v>337</v>
      </c>
      <c r="K2709" s="43" t="s">
        <v>26</v>
      </c>
      <c r="L2709" s="38">
        <f>L2705</f>
        <v>0</v>
      </c>
      <c r="M2709" s="39">
        <f t="shared" ref="M2709:M2719" si="284">SUM(L2709:L2709)</f>
        <v>0</v>
      </c>
    </row>
    <row r="2710" spans="1:14" x14ac:dyDescent="0.15">
      <c r="B2710" s="6" t="s">
        <v>71</v>
      </c>
      <c r="C2710" s="7">
        <v>6</v>
      </c>
      <c r="D2710" s="5">
        <f t="shared" si="283"/>
        <v>6</v>
      </c>
      <c r="E2710" s="74">
        <v>43276</v>
      </c>
      <c r="F2710" s="74"/>
      <c r="G2710" s="74"/>
      <c r="H2710" s="74"/>
      <c r="I2710" s="74"/>
      <c r="J2710" s="75"/>
      <c r="K2710" s="6" t="s">
        <v>3</v>
      </c>
      <c r="L2710" s="7"/>
      <c r="M2710" s="5">
        <f t="shared" si="284"/>
        <v>0</v>
      </c>
    </row>
    <row r="2711" spans="1:14" x14ac:dyDescent="0.15">
      <c r="A2711" s="75"/>
      <c r="B2711" s="6" t="s">
        <v>377</v>
      </c>
      <c r="C2711" s="7">
        <v>1</v>
      </c>
      <c r="D2711" s="5">
        <f t="shared" si="283"/>
        <v>1</v>
      </c>
      <c r="E2711" s="74">
        <v>43279</v>
      </c>
      <c r="F2711" s="74"/>
      <c r="G2711" s="74"/>
      <c r="H2711" s="74"/>
      <c r="I2711" s="74"/>
      <c r="K2711" s="6" t="s">
        <v>3</v>
      </c>
      <c r="L2711" s="7">
        <v>6000</v>
      </c>
      <c r="M2711" s="5">
        <f t="shared" si="284"/>
        <v>6000</v>
      </c>
      <c r="N2711" s="74">
        <v>43283</v>
      </c>
    </row>
    <row r="2712" spans="1:14" x14ac:dyDescent="0.15">
      <c r="A2712" s="75"/>
      <c r="B2712" s="6" t="s">
        <v>3</v>
      </c>
      <c r="C2712" s="7">
        <v>600</v>
      </c>
      <c r="D2712" s="5">
        <f t="shared" si="283"/>
        <v>600</v>
      </c>
      <c r="E2712" s="74">
        <v>43284</v>
      </c>
      <c r="F2712" s="74"/>
      <c r="G2712" s="74"/>
      <c r="H2712" s="74"/>
      <c r="I2712" s="74"/>
      <c r="J2712" s="100"/>
      <c r="K2712" s="6" t="s">
        <v>3</v>
      </c>
      <c r="L2712" s="7"/>
      <c r="M2712" s="5">
        <f t="shared" si="284"/>
        <v>0</v>
      </c>
    </row>
    <row r="2713" spans="1:14" x14ac:dyDescent="0.15">
      <c r="B2713" s="6" t="s">
        <v>3</v>
      </c>
      <c r="C2713" s="7">
        <v>200</v>
      </c>
      <c r="D2713" s="5">
        <f t="shared" si="283"/>
        <v>200</v>
      </c>
      <c r="E2713" s="74">
        <v>43285</v>
      </c>
      <c r="F2713" s="74"/>
      <c r="G2713" s="74"/>
      <c r="H2713" s="74"/>
      <c r="I2713" s="74"/>
      <c r="K2713" s="6" t="s">
        <v>3</v>
      </c>
      <c r="L2713" s="7"/>
      <c r="M2713" s="5">
        <f t="shared" si="284"/>
        <v>0</v>
      </c>
    </row>
    <row r="2714" spans="1:14" x14ac:dyDescent="0.15">
      <c r="B2714" s="6" t="s">
        <v>3</v>
      </c>
      <c r="C2714" s="7">
        <v>200</v>
      </c>
      <c r="D2714" s="5">
        <f t="shared" si="283"/>
        <v>200</v>
      </c>
      <c r="E2714" s="74">
        <v>43286</v>
      </c>
      <c r="F2714" s="74"/>
      <c r="G2714" s="74"/>
      <c r="H2714" s="74"/>
      <c r="I2714" s="74"/>
      <c r="K2714" s="6" t="s">
        <v>3</v>
      </c>
      <c r="L2714" s="7"/>
      <c r="M2714" s="5">
        <f t="shared" si="284"/>
        <v>0</v>
      </c>
      <c r="N2714" s="75"/>
    </row>
    <row r="2715" spans="1:14" x14ac:dyDescent="0.15">
      <c r="B2715" s="6" t="s">
        <v>3</v>
      </c>
      <c r="C2715" s="7">
        <v>200</v>
      </c>
      <c r="D2715" s="5">
        <f t="shared" si="283"/>
        <v>200</v>
      </c>
      <c r="E2715" s="74">
        <v>43287</v>
      </c>
      <c r="F2715" s="74"/>
      <c r="G2715" s="74"/>
      <c r="H2715" s="74"/>
      <c r="I2715" s="74"/>
      <c r="K2715" s="6" t="s">
        <v>3</v>
      </c>
      <c r="L2715" s="7"/>
      <c r="M2715" s="5">
        <f t="shared" si="284"/>
        <v>0</v>
      </c>
    </row>
    <row r="2716" spans="1:14" x14ac:dyDescent="0.15">
      <c r="B2716" s="6" t="s">
        <v>3</v>
      </c>
      <c r="C2716" s="54"/>
      <c r="D2716" s="5">
        <f t="shared" si="283"/>
        <v>0</v>
      </c>
      <c r="K2716" s="6" t="s">
        <v>3</v>
      </c>
      <c r="L2716" s="7"/>
      <c r="M2716" s="5">
        <f t="shared" si="284"/>
        <v>0</v>
      </c>
    </row>
    <row r="2717" spans="1:14" x14ac:dyDescent="0.15">
      <c r="B2717" s="6" t="s">
        <v>3</v>
      </c>
      <c r="C2717" s="54"/>
      <c r="D2717" s="5">
        <f t="shared" si="283"/>
        <v>0</v>
      </c>
      <c r="K2717" s="6" t="s">
        <v>3</v>
      </c>
      <c r="L2717" s="7"/>
      <c r="M2717" s="5">
        <f t="shared" si="284"/>
        <v>0</v>
      </c>
      <c r="N2717" s="74"/>
    </row>
    <row r="2718" spans="1:14" x14ac:dyDescent="0.15">
      <c r="B2718" s="6" t="s">
        <v>3</v>
      </c>
      <c r="C2718" s="54"/>
      <c r="D2718" s="5">
        <f t="shared" si="283"/>
        <v>0</v>
      </c>
      <c r="K2718" s="6" t="s">
        <v>3</v>
      </c>
      <c r="L2718" s="7"/>
      <c r="M2718" s="5">
        <f t="shared" si="284"/>
        <v>0</v>
      </c>
    </row>
    <row r="2719" spans="1:14" ht="14.25" thickBot="1" x14ac:dyDescent="0.2">
      <c r="B2719" s="9" t="s">
        <v>3</v>
      </c>
      <c r="C2719" s="101"/>
      <c r="D2719" s="5">
        <f t="shared" si="283"/>
        <v>0</v>
      </c>
      <c r="K2719" s="9" t="s">
        <v>3</v>
      </c>
      <c r="L2719" s="10"/>
      <c r="M2719" s="5">
        <f t="shared" si="284"/>
        <v>0</v>
      </c>
    </row>
    <row r="2720" spans="1:14" ht="14.25" thickBot="1" x14ac:dyDescent="0.2">
      <c r="B2720" s="11" t="s">
        <v>4</v>
      </c>
      <c r="C2720" s="12">
        <f>SUM(C2709:C2719)</f>
        <v>1544</v>
      </c>
      <c r="D2720" s="13">
        <f>SUM(D2709:D2719)</f>
        <v>1544</v>
      </c>
      <c r="K2720" s="11" t="s">
        <v>4</v>
      </c>
      <c r="L2720" s="12">
        <f>SUM(L2709:L2719)</f>
        <v>6000</v>
      </c>
      <c r="M2720" s="13">
        <f>SUM(M2709:M2719)</f>
        <v>6000</v>
      </c>
    </row>
    <row r="2721" spans="2:14" x14ac:dyDescent="0.15">
      <c r="B2721" s="71" t="s">
        <v>536</v>
      </c>
      <c r="C2721" s="15">
        <v>100</v>
      </c>
      <c r="D2721" s="14">
        <f>SUM(C2721)</f>
        <v>100</v>
      </c>
      <c r="E2721" s="74">
        <v>43278</v>
      </c>
      <c r="F2721" s="74"/>
      <c r="G2721" s="74"/>
      <c r="H2721" s="74"/>
      <c r="I2721" s="74"/>
      <c r="K2721" s="69" t="s">
        <v>31</v>
      </c>
      <c r="L2721" s="15">
        <v>600</v>
      </c>
      <c r="M2721" s="14">
        <f>SUM(L2721:L2721)</f>
        <v>600</v>
      </c>
      <c r="N2721" s="74">
        <v>43284</v>
      </c>
    </row>
    <row r="2722" spans="2:14" x14ac:dyDescent="0.15">
      <c r="B2722" s="71" t="s">
        <v>162</v>
      </c>
      <c r="C2722" s="15">
        <v>8</v>
      </c>
      <c r="D2722" s="14">
        <f>SUM(C2722)</f>
        <v>8</v>
      </c>
      <c r="E2722" s="74">
        <v>43277</v>
      </c>
      <c r="F2722" s="74"/>
      <c r="G2722" s="74"/>
      <c r="H2722" s="74"/>
      <c r="I2722" s="74"/>
      <c r="J2722" s="36"/>
      <c r="K2722" s="69" t="s">
        <v>31</v>
      </c>
      <c r="L2722" s="15">
        <v>200</v>
      </c>
      <c r="M2722" s="14">
        <f t="shared" ref="M2722:M2739" si="285">SUM(L2722:L2722)</f>
        <v>200</v>
      </c>
      <c r="N2722" s="74">
        <v>43285</v>
      </c>
    </row>
    <row r="2723" spans="2:14" x14ac:dyDescent="0.15">
      <c r="B2723" s="71" t="s">
        <v>190</v>
      </c>
      <c r="C2723" s="15">
        <v>2</v>
      </c>
      <c r="D2723" s="14">
        <f t="shared" ref="D2723:D2742" si="286">SUM(C2723)</f>
        <v>2</v>
      </c>
      <c r="E2723" s="74">
        <v>43278</v>
      </c>
      <c r="F2723" s="74"/>
      <c r="G2723" s="74"/>
      <c r="H2723" s="74"/>
      <c r="I2723" s="74"/>
      <c r="J2723" s="51"/>
      <c r="K2723" s="69" t="s">
        <v>31</v>
      </c>
      <c r="L2723" s="15">
        <v>200</v>
      </c>
      <c r="M2723" s="14">
        <f t="shared" si="285"/>
        <v>200</v>
      </c>
      <c r="N2723" s="74">
        <v>43286</v>
      </c>
    </row>
    <row r="2724" spans="2:14" x14ac:dyDescent="0.15">
      <c r="B2724" s="71" t="s">
        <v>535</v>
      </c>
      <c r="C2724" s="15">
        <v>6</v>
      </c>
      <c r="D2724" s="14">
        <f t="shared" si="286"/>
        <v>6</v>
      </c>
      <c r="E2724" s="74">
        <v>43278</v>
      </c>
      <c r="F2724" s="74"/>
      <c r="G2724" s="74"/>
      <c r="H2724" s="74"/>
      <c r="I2724" s="74"/>
      <c r="J2724" s="51"/>
      <c r="K2724" s="69" t="s">
        <v>542</v>
      </c>
      <c r="L2724" s="15">
        <v>250</v>
      </c>
      <c r="M2724" s="14">
        <f t="shared" si="285"/>
        <v>250</v>
      </c>
      <c r="N2724" s="74">
        <v>43287</v>
      </c>
    </row>
    <row r="2725" spans="2:14" x14ac:dyDescent="0.15">
      <c r="B2725" s="71" t="s">
        <v>39</v>
      </c>
      <c r="C2725" s="15">
        <v>100</v>
      </c>
      <c r="D2725" s="14">
        <f t="shared" si="286"/>
        <v>100</v>
      </c>
      <c r="E2725" s="74">
        <v>43279</v>
      </c>
      <c r="F2725" s="74"/>
      <c r="G2725" s="74"/>
      <c r="H2725" s="74"/>
      <c r="I2725" s="74"/>
      <c r="J2725" s="51"/>
      <c r="K2725" s="69" t="s">
        <v>31</v>
      </c>
      <c r="L2725" s="15">
        <v>200</v>
      </c>
      <c r="M2725" s="14">
        <f t="shared" si="285"/>
        <v>200</v>
      </c>
      <c r="N2725" s="74">
        <v>43287</v>
      </c>
    </row>
    <row r="2726" spans="2:14" x14ac:dyDescent="0.15">
      <c r="B2726" s="71" t="s">
        <v>162</v>
      </c>
      <c r="C2726" s="15">
        <v>34</v>
      </c>
      <c r="D2726" s="14">
        <f t="shared" si="286"/>
        <v>34</v>
      </c>
      <c r="E2726" s="74">
        <v>43278</v>
      </c>
      <c r="F2726" s="74"/>
      <c r="G2726" s="74"/>
      <c r="H2726" s="74"/>
      <c r="I2726" s="74"/>
      <c r="J2726" s="51"/>
      <c r="K2726" s="4"/>
      <c r="L2726" s="15"/>
      <c r="M2726" s="14">
        <f t="shared" si="285"/>
        <v>0</v>
      </c>
      <c r="N2726" s="75"/>
    </row>
    <row r="2727" spans="2:14" x14ac:dyDescent="0.15">
      <c r="B2727" s="71" t="s">
        <v>537</v>
      </c>
      <c r="C2727" s="15">
        <v>26</v>
      </c>
      <c r="D2727" s="14">
        <f t="shared" si="286"/>
        <v>26</v>
      </c>
      <c r="E2727" s="74">
        <v>43279</v>
      </c>
      <c r="F2727" s="74"/>
      <c r="G2727" s="74"/>
      <c r="H2727" s="74"/>
      <c r="I2727" s="74"/>
      <c r="J2727" s="51"/>
      <c r="K2727" s="4"/>
      <c r="L2727" s="15"/>
      <c r="M2727" s="14">
        <f t="shared" si="285"/>
        <v>0</v>
      </c>
      <c r="N2727" s="74"/>
    </row>
    <row r="2728" spans="2:14" x14ac:dyDescent="0.15">
      <c r="B2728" s="71" t="s">
        <v>539</v>
      </c>
      <c r="C2728" s="15">
        <v>60</v>
      </c>
      <c r="D2728" s="14">
        <f t="shared" si="286"/>
        <v>60</v>
      </c>
      <c r="E2728" s="74">
        <v>43280</v>
      </c>
      <c r="F2728" s="74"/>
      <c r="G2728" s="74"/>
      <c r="H2728" s="74"/>
      <c r="I2728" s="74"/>
      <c r="J2728" s="51"/>
      <c r="K2728" s="6"/>
      <c r="L2728" s="15"/>
      <c r="M2728" s="14">
        <f t="shared" si="285"/>
        <v>0</v>
      </c>
    </row>
    <row r="2729" spans="2:14" x14ac:dyDescent="0.15">
      <c r="B2729" s="71" t="s">
        <v>162</v>
      </c>
      <c r="C2729" s="15">
        <v>1</v>
      </c>
      <c r="D2729" s="14">
        <f t="shared" si="286"/>
        <v>1</v>
      </c>
      <c r="E2729" s="74">
        <v>43283</v>
      </c>
      <c r="F2729" s="74"/>
      <c r="G2729" s="74"/>
      <c r="H2729" s="74"/>
      <c r="I2729" s="74"/>
      <c r="J2729" s="51"/>
      <c r="K2729" s="4"/>
      <c r="L2729" s="15"/>
      <c r="M2729" s="14">
        <f t="shared" si="285"/>
        <v>0</v>
      </c>
    </row>
    <row r="2730" spans="2:14" x14ac:dyDescent="0.15">
      <c r="B2730" s="71" t="s">
        <v>538</v>
      </c>
      <c r="C2730" s="15">
        <v>12</v>
      </c>
      <c r="D2730" s="14">
        <f t="shared" si="286"/>
        <v>12</v>
      </c>
      <c r="E2730" s="74">
        <v>43287</v>
      </c>
      <c r="F2730" s="74"/>
      <c r="G2730" s="74"/>
      <c r="H2730" s="74"/>
      <c r="I2730" s="74"/>
      <c r="J2730" s="36"/>
      <c r="K2730" s="4"/>
      <c r="L2730" s="15"/>
      <c r="M2730" s="14">
        <f t="shared" si="285"/>
        <v>0</v>
      </c>
    </row>
    <row r="2731" spans="2:14" x14ac:dyDescent="0.15">
      <c r="B2731" s="71" t="s">
        <v>531</v>
      </c>
      <c r="C2731" s="15">
        <v>12</v>
      </c>
      <c r="D2731" s="14">
        <f t="shared" si="286"/>
        <v>12</v>
      </c>
      <c r="E2731" s="74">
        <v>43285</v>
      </c>
      <c r="F2731" s="74"/>
      <c r="G2731" s="74"/>
      <c r="H2731" s="74"/>
      <c r="I2731" s="74"/>
      <c r="J2731" s="51"/>
      <c r="K2731" s="4"/>
      <c r="L2731" s="15"/>
      <c r="M2731" s="14">
        <f t="shared" si="285"/>
        <v>0</v>
      </c>
    </row>
    <row r="2732" spans="2:14" x14ac:dyDescent="0.15">
      <c r="B2732" s="71" t="s">
        <v>39</v>
      </c>
      <c r="C2732" s="15">
        <v>200</v>
      </c>
      <c r="D2732" s="14">
        <f t="shared" si="286"/>
        <v>200</v>
      </c>
      <c r="E2732" s="48">
        <v>43285</v>
      </c>
      <c r="F2732" s="48"/>
      <c r="G2732" s="48"/>
      <c r="H2732" s="48"/>
      <c r="I2732" s="48"/>
      <c r="J2732" s="51"/>
      <c r="K2732" s="4"/>
      <c r="L2732" s="15"/>
      <c r="M2732" s="14">
        <f t="shared" si="285"/>
        <v>0</v>
      </c>
    </row>
    <row r="2733" spans="2:14" x14ac:dyDescent="0.15">
      <c r="B2733" s="71" t="s">
        <v>540</v>
      </c>
      <c r="C2733" s="15">
        <v>366</v>
      </c>
      <c r="D2733" s="14">
        <f t="shared" si="286"/>
        <v>366</v>
      </c>
      <c r="E2733" s="74">
        <v>43284</v>
      </c>
      <c r="F2733" s="74"/>
      <c r="G2733" s="74"/>
      <c r="H2733" s="74"/>
      <c r="I2733" s="74"/>
      <c r="J2733" s="36"/>
      <c r="K2733" s="6"/>
      <c r="L2733" s="15"/>
      <c r="M2733" s="14">
        <f t="shared" si="285"/>
        <v>0</v>
      </c>
    </row>
    <row r="2734" spans="2:14" x14ac:dyDescent="0.15">
      <c r="B2734" s="71" t="s">
        <v>543</v>
      </c>
      <c r="C2734" s="15">
        <v>54</v>
      </c>
      <c r="D2734" s="14">
        <f t="shared" si="286"/>
        <v>54</v>
      </c>
      <c r="E2734" s="74">
        <v>43285</v>
      </c>
      <c r="F2734" s="74"/>
      <c r="G2734" s="74"/>
      <c r="H2734" s="74"/>
      <c r="I2734" s="74"/>
      <c r="J2734" s="51"/>
      <c r="K2734" s="67"/>
      <c r="L2734" s="15"/>
      <c r="M2734" s="14">
        <f t="shared" si="285"/>
        <v>0</v>
      </c>
    </row>
    <row r="2735" spans="2:14" x14ac:dyDescent="0.15">
      <c r="B2735" s="71" t="s">
        <v>545</v>
      </c>
      <c r="C2735" s="15">
        <v>17</v>
      </c>
      <c r="D2735" s="14">
        <f>SUM(C2735)</f>
        <v>17</v>
      </c>
      <c r="E2735" s="48">
        <v>43286</v>
      </c>
      <c r="F2735" s="48"/>
      <c r="G2735" s="48"/>
      <c r="H2735" s="48"/>
      <c r="I2735" s="48"/>
      <c r="J2735" s="51"/>
      <c r="K2735" s="4"/>
      <c r="L2735" s="15"/>
      <c r="M2735" s="14">
        <f t="shared" si="285"/>
        <v>0</v>
      </c>
    </row>
    <row r="2736" spans="2:14" x14ac:dyDescent="0.15">
      <c r="B2736" s="71" t="s">
        <v>523</v>
      </c>
      <c r="C2736" s="15">
        <v>10</v>
      </c>
      <c r="D2736" s="14">
        <f>SUM(C2736)</f>
        <v>10</v>
      </c>
      <c r="E2736" s="74">
        <v>43290</v>
      </c>
      <c r="F2736" s="74"/>
      <c r="G2736" s="74"/>
      <c r="H2736" s="74"/>
      <c r="I2736" s="74"/>
      <c r="J2736" s="51"/>
      <c r="K2736" s="4"/>
      <c r="L2736" s="15"/>
      <c r="M2736" s="14">
        <f t="shared" si="285"/>
        <v>0</v>
      </c>
    </row>
    <row r="2737" spans="1:14" x14ac:dyDescent="0.15">
      <c r="B2737" s="71"/>
      <c r="C2737" s="15"/>
      <c r="D2737" s="14">
        <f>SUM(C2737)</f>
        <v>0</v>
      </c>
      <c r="E2737" s="74"/>
      <c r="F2737" s="74"/>
      <c r="G2737" s="74"/>
      <c r="H2737" s="74"/>
      <c r="I2737" s="74"/>
      <c r="J2737" s="51"/>
      <c r="K2737" s="6"/>
      <c r="L2737" s="15"/>
      <c r="M2737" s="14">
        <f t="shared" si="285"/>
        <v>0</v>
      </c>
    </row>
    <row r="2738" spans="1:14" x14ac:dyDescent="0.15">
      <c r="B2738" s="71" t="s">
        <v>548</v>
      </c>
      <c r="C2738" s="15">
        <v>12</v>
      </c>
      <c r="D2738" s="14">
        <f>SUM(C2738)</f>
        <v>12</v>
      </c>
      <c r="E2738" s="74">
        <v>43287</v>
      </c>
      <c r="F2738" s="74"/>
      <c r="G2738" s="74"/>
      <c r="H2738" s="74"/>
      <c r="I2738" s="74"/>
      <c r="J2738" s="51"/>
      <c r="K2738" s="4"/>
      <c r="L2738" s="15"/>
      <c r="M2738" s="14">
        <f t="shared" si="285"/>
        <v>0</v>
      </c>
    </row>
    <row r="2739" spans="1:14" x14ac:dyDescent="0.15">
      <c r="B2739" s="71" t="s">
        <v>39</v>
      </c>
      <c r="C2739" s="15">
        <v>200</v>
      </c>
      <c r="D2739" s="14">
        <f t="shared" si="286"/>
        <v>200</v>
      </c>
      <c r="E2739" s="48">
        <v>43287</v>
      </c>
      <c r="F2739" s="48"/>
      <c r="G2739" s="48"/>
      <c r="H2739" s="48"/>
      <c r="I2739" s="48"/>
      <c r="J2739" s="51"/>
      <c r="K2739" s="6"/>
      <c r="L2739" s="15"/>
      <c r="M2739" s="14">
        <f t="shared" si="285"/>
        <v>0</v>
      </c>
      <c r="N2739" s="75"/>
    </row>
    <row r="2740" spans="1:14" x14ac:dyDescent="0.15">
      <c r="B2740" s="71" t="s">
        <v>550</v>
      </c>
      <c r="C2740" s="15">
        <v>10</v>
      </c>
      <c r="D2740" s="14">
        <f t="shared" si="286"/>
        <v>10</v>
      </c>
      <c r="E2740" s="48">
        <v>43288</v>
      </c>
      <c r="F2740" s="48"/>
      <c r="G2740" s="48"/>
      <c r="H2740" s="48"/>
      <c r="I2740" s="48"/>
      <c r="J2740" s="51"/>
      <c r="K2740" s="69"/>
      <c r="L2740" s="15"/>
      <c r="M2740" s="14">
        <f>SUM(L2740)</f>
        <v>0</v>
      </c>
      <c r="N2740" s="75"/>
    </row>
    <row r="2741" spans="1:14" x14ac:dyDescent="0.15">
      <c r="B2741" s="69" t="s">
        <v>546</v>
      </c>
      <c r="C2741" s="15">
        <v>28</v>
      </c>
      <c r="D2741" s="14">
        <f t="shared" si="286"/>
        <v>28</v>
      </c>
      <c r="E2741" s="74">
        <v>43292</v>
      </c>
      <c r="F2741" s="74"/>
      <c r="G2741" s="74"/>
      <c r="H2741" s="74"/>
      <c r="I2741" s="74"/>
      <c r="J2741" s="51"/>
      <c r="K2741" s="4"/>
      <c r="L2741" s="15"/>
      <c r="M2741" s="14">
        <f>SUM(L2741)</f>
        <v>0</v>
      </c>
      <c r="N2741" s="75"/>
    </row>
    <row r="2742" spans="1:14" x14ac:dyDescent="0.15">
      <c r="B2742" s="71" t="s">
        <v>498</v>
      </c>
      <c r="C2742" s="15">
        <v>10</v>
      </c>
      <c r="D2742" s="14">
        <f t="shared" si="286"/>
        <v>10</v>
      </c>
      <c r="E2742" s="74">
        <v>43291</v>
      </c>
      <c r="F2742" s="74"/>
      <c r="G2742" s="74"/>
      <c r="H2742" s="74"/>
      <c r="I2742" s="74"/>
      <c r="J2742" s="51"/>
      <c r="K2742" s="4"/>
      <c r="L2742" s="15"/>
      <c r="M2742" s="14">
        <f>SUM(L2742)</f>
        <v>0</v>
      </c>
      <c r="N2742" s="75"/>
    </row>
    <row r="2743" spans="1:14" x14ac:dyDescent="0.15">
      <c r="B2743" s="71" t="s">
        <v>547</v>
      </c>
      <c r="C2743" s="15">
        <v>4</v>
      </c>
      <c r="D2743" s="14">
        <f>SUM(C2743)</f>
        <v>4</v>
      </c>
      <c r="E2743" s="74">
        <v>43291</v>
      </c>
      <c r="F2743" s="74"/>
      <c r="G2743" s="74"/>
      <c r="H2743" s="74"/>
      <c r="I2743" s="74"/>
      <c r="J2743" s="51"/>
      <c r="K2743" s="69"/>
      <c r="L2743" s="15"/>
      <c r="M2743" s="14">
        <f>SUM(L2743:L2743)</f>
        <v>0</v>
      </c>
      <c r="N2743" s="75"/>
    </row>
    <row r="2744" spans="1:14" ht="14.25" thickBot="1" x14ac:dyDescent="0.2">
      <c r="B2744" s="71" t="s">
        <v>549</v>
      </c>
      <c r="C2744" s="15">
        <v>29</v>
      </c>
      <c r="D2744" s="14">
        <f>SUM(C2744)</f>
        <v>29</v>
      </c>
      <c r="E2744" s="74">
        <v>43290</v>
      </c>
      <c r="F2744" s="74"/>
      <c r="G2744" s="74"/>
      <c r="H2744" s="74"/>
      <c r="I2744" s="74"/>
      <c r="J2744" s="51"/>
      <c r="K2744" s="69"/>
      <c r="L2744" s="15"/>
      <c r="M2744" s="14">
        <f>SUM(L2744:L2744)</f>
        <v>0</v>
      </c>
      <c r="N2744" s="74"/>
    </row>
    <row r="2745" spans="1:14" ht="14.25" thickBot="1" x14ac:dyDescent="0.2">
      <c r="B2745" s="3" t="s">
        <v>5</v>
      </c>
      <c r="C2745" s="16">
        <f>SUM(C2721:C2744)</f>
        <v>1301</v>
      </c>
      <c r="D2745" s="17">
        <f>SUM(D2721:D2744)</f>
        <v>1301</v>
      </c>
      <c r="K2745" s="3" t="s">
        <v>5</v>
      </c>
      <c r="L2745" s="16">
        <f>SUM(L2721:L2744)</f>
        <v>1450</v>
      </c>
      <c r="M2745" s="17">
        <f>SUM(M2721:M2744)</f>
        <v>1450</v>
      </c>
    </row>
    <row r="2746" spans="1:14" ht="14.25" thickBot="1" x14ac:dyDescent="0.2">
      <c r="B2746" s="18" t="s">
        <v>6</v>
      </c>
      <c r="C2746" s="19">
        <f>C2720-C2745</f>
        <v>243</v>
      </c>
      <c r="D2746" s="13">
        <f>D2720-D2745</f>
        <v>243</v>
      </c>
      <c r="K2746" s="18" t="s">
        <v>6</v>
      </c>
      <c r="L2746" s="19">
        <f>L2720-L2745</f>
        <v>4550</v>
      </c>
      <c r="M2746" s="13">
        <f>M2720-M2745</f>
        <v>4550</v>
      </c>
    </row>
    <row r="2748" spans="1:14" ht="18" thickBot="1" x14ac:dyDescent="0.25">
      <c r="A2748" s="27" t="s">
        <v>8</v>
      </c>
      <c r="B2748" s="28"/>
      <c r="C2748" s="28"/>
      <c r="D2748" s="28"/>
      <c r="J2748" s="139" t="s">
        <v>218</v>
      </c>
      <c r="K2748" s="140"/>
      <c r="L2748" s="140"/>
      <c r="M2748" s="140"/>
    </row>
    <row r="2749" spans="1:14" ht="14.25" thickBot="1" x14ac:dyDescent="0.2">
      <c r="B2749" s="2"/>
      <c r="C2749" s="3" t="s">
        <v>0</v>
      </c>
      <c r="D2749" s="2" t="s">
        <v>1</v>
      </c>
      <c r="K2749" s="2"/>
      <c r="L2749" s="3" t="s">
        <v>0</v>
      </c>
      <c r="M2749" s="2" t="s">
        <v>1</v>
      </c>
    </row>
    <row r="2750" spans="1:14" x14ac:dyDescent="0.15">
      <c r="B2750" s="43" t="s">
        <v>26</v>
      </c>
      <c r="C2750" s="38">
        <f>C2746</f>
        <v>243</v>
      </c>
      <c r="D2750" s="39">
        <f t="shared" ref="D2750:D2760" si="287">SUM(C2750:C2750)</f>
        <v>243</v>
      </c>
      <c r="K2750" s="43" t="s">
        <v>26</v>
      </c>
      <c r="L2750" s="38">
        <f>L2746</f>
        <v>4550</v>
      </c>
      <c r="M2750" s="39">
        <f t="shared" ref="M2750:M2760" si="288">SUM(L2750:L2750)</f>
        <v>4550</v>
      </c>
    </row>
    <row r="2751" spans="1:14" x14ac:dyDescent="0.15">
      <c r="B2751" s="6" t="s">
        <v>3</v>
      </c>
      <c r="C2751" s="7">
        <v>200</v>
      </c>
      <c r="D2751" s="5">
        <f t="shared" si="287"/>
        <v>200</v>
      </c>
      <c r="E2751" s="74">
        <v>43293</v>
      </c>
      <c r="F2751" s="74"/>
      <c r="G2751" s="74"/>
      <c r="H2751" s="74"/>
      <c r="I2751" s="74"/>
      <c r="J2751" s="75"/>
      <c r="K2751" s="6" t="s">
        <v>3</v>
      </c>
      <c r="L2751" s="7"/>
      <c r="M2751" s="5">
        <f t="shared" si="288"/>
        <v>0</v>
      </c>
    </row>
    <row r="2752" spans="1:14" x14ac:dyDescent="0.15">
      <c r="A2752" s="75"/>
      <c r="B2752" s="6" t="s">
        <v>3</v>
      </c>
      <c r="C2752" s="7">
        <v>200</v>
      </c>
      <c r="D2752" s="169">
        <f t="shared" si="287"/>
        <v>200</v>
      </c>
      <c r="E2752" s="74">
        <v>43298</v>
      </c>
      <c r="F2752" s="74"/>
      <c r="G2752" s="74"/>
      <c r="H2752" s="74"/>
      <c r="I2752" s="74"/>
      <c r="K2752" s="6" t="s">
        <v>3</v>
      </c>
      <c r="L2752" s="7"/>
      <c r="M2752" s="5">
        <f t="shared" si="288"/>
        <v>0</v>
      </c>
      <c r="N2752" s="74"/>
    </row>
    <row r="2753" spans="1:15" x14ac:dyDescent="0.15">
      <c r="A2753" s="75"/>
      <c r="B2753" s="6" t="s">
        <v>3</v>
      </c>
      <c r="C2753" s="7">
        <v>600</v>
      </c>
      <c r="D2753" s="5">
        <f t="shared" si="287"/>
        <v>600</v>
      </c>
      <c r="E2753" s="74">
        <v>43299</v>
      </c>
      <c r="F2753" s="74"/>
      <c r="G2753" s="74"/>
      <c r="H2753" s="74"/>
      <c r="I2753" s="74"/>
      <c r="J2753" s="100"/>
      <c r="K2753" s="6" t="s">
        <v>3</v>
      </c>
      <c r="L2753" s="7"/>
      <c r="M2753" s="5">
        <f t="shared" si="288"/>
        <v>0</v>
      </c>
    </row>
    <row r="2754" spans="1:15" x14ac:dyDescent="0.15">
      <c r="B2754" s="6" t="s">
        <v>3</v>
      </c>
      <c r="C2754" s="7">
        <v>200</v>
      </c>
      <c r="D2754" s="5">
        <f t="shared" si="287"/>
        <v>200</v>
      </c>
      <c r="E2754" s="74">
        <v>43301</v>
      </c>
      <c r="F2754" s="74"/>
      <c r="G2754" s="74"/>
      <c r="H2754" s="74"/>
      <c r="I2754" s="74"/>
      <c r="K2754" s="6" t="s">
        <v>3</v>
      </c>
      <c r="L2754" s="7"/>
      <c r="M2754" s="5">
        <f t="shared" si="288"/>
        <v>0</v>
      </c>
    </row>
    <row r="2755" spans="1:15" x14ac:dyDescent="0.15">
      <c r="B2755" s="6" t="s">
        <v>3</v>
      </c>
      <c r="C2755" s="7">
        <v>200</v>
      </c>
      <c r="D2755" s="5">
        <f t="shared" si="287"/>
        <v>200</v>
      </c>
      <c r="E2755" s="74">
        <v>43302</v>
      </c>
      <c r="F2755" s="74"/>
      <c r="G2755" s="74"/>
      <c r="H2755" s="74"/>
      <c r="I2755" s="74"/>
      <c r="K2755" s="6" t="s">
        <v>3</v>
      </c>
      <c r="L2755" s="7"/>
      <c r="M2755" s="5">
        <f t="shared" si="288"/>
        <v>0</v>
      </c>
      <c r="N2755" s="75"/>
    </row>
    <row r="2756" spans="1:15" x14ac:dyDescent="0.15">
      <c r="B2756" s="6" t="s">
        <v>71</v>
      </c>
      <c r="C2756" s="7">
        <v>1</v>
      </c>
      <c r="D2756" s="5">
        <f t="shared" si="287"/>
        <v>1</v>
      </c>
      <c r="E2756" s="74">
        <v>43301</v>
      </c>
      <c r="F2756" s="74"/>
      <c r="G2756" s="74"/>
      <c r="H2756" s="74"/>
      <c r="I2756" s="74"/>
      <c r="K2756" s="6" t="s">
        <v>3</v>
      </c>
      <c r="L2756" s="7"/>
      <c r="M2756" s="5">
        <f t="shared" si="288"/>
        <v>0</v>
      </c>
    </row>
    <row r="2757" spans="1:15" x14ac:dyDescent="0.15">
      <c r="B2757" s="6" t="s">
        <v>521</v>
      </c>
      <c r="C2757" s="54">
        <v>1</v>
      </c>
      <c r="D2757" s="5">
        <f t="shared" si="287"/>
        <v>1</v>
      </c>
      <c r="E2757" s="48">
        <v>43301</v>
      </c>
      <c r="F2757" s="48"/>
      <c r="G2757" s="48"/>
      <c r="H2757" s="48"/>
      <c r="I2757" s="48"/>
      <c r="K2757" s="6" t="s">
        <v>3</v>
      </c>
      <c r="L2757" s="7"/>
      <c r="M2757" s="5">
        <f t="shared" si="288"/>
        <v>0</v>
      </c>
    </row>
    <row r="2758" spans="1:15" x14ac:dyDescent="0.15">
      <c r="B2758" s="6" t="s">
        <v>3</v>
      </c>
      <c r="C2758" s="54">
        <v>200</v>
      </c>
      <c r="D2758" s="5">
        <f t="shared" si="287"/>
        <v>200</v>
      </c>
      <c r="E2758" s="74">
        <v>43305</v>
      </c>
      <c r="F2758" s="74"/>
      <c r="G2758" s="74"/>
      <c r="H2758" s="74"/>
      <c r="I2758" s="74"/>
      <c r="K2758" s="6" t="s">
        <v>3</v>
      </c>
      <c r="L2758" s="7"/>
      <c r="M2758" s="5">
        <f t="shared" si="288"/>
        <v>0</v>
      </c>
      <c r="N2758" s="74"/>
    </row>
    <row r="2759" spans="1:15" x14ac:dyDescent="0.15">
      <c r="B2759" s="6" t="s">
        <v>3</v>
      </c>
      <c r="C2759" s="54">
        <v>200</v>
      </c>
      <c r="D2759" s="5">
        <f t="shared" si="287"/>
        <v>200</v>
      </c>
      <c r="E2759" s="74">
        <v>43306</v>
      </c>
      <c r="F2759" s="74"/>
      <c r="G2759" s="74"/>
      <c r="H2759" s="74"/>
      <c r="I2759" s="74"/>
      <c r="K2759" s="6" t="s">
        <v>3</v>
      </c>
      <c r="L2759" s="7"/>
      <c r="M2759" s="5">
        <f t="shared" si="288"/>
        <v>0</v>
      </c>
    </row>
    <row r="2760" spans="1:15" ht="14.25" thickBot="1" x14ac:dyDescent="0.2">
      <c r="B2760" s="9" t="s">
        <v>3</v>
      </c>
      <c r="C2760" s="101">
        <v>200</v>
      </c>
      <c r="D2760" s="5">
        <f t="shared" si="287"/>
        <v>200</v>
      </c>
      <c r="E2760" s="74">
        <v>43308</v>
      </c>
      <c r="F2760" s="74"/>
      <c r="G2760" s="74"/>
      <c r="H2760" s="74"/>
      <c r="I2760" s="74"/>
      <c r="K2760" s="9" t="s">
        <v>3</v>
      </c>
      <c r="L2760" s="10"/>
      <c r="M2760" s="5">
        <f t="shared" si="288"/>
        <v>0</v>
      </c>
    </row>
    <row r="2761" spans="1:15" ht="14.25" thickBot="1" x14ac:dyDescent="0.2">
      <c r="B2761" s="11" t="s">
        <v>4</v>
      </c>
      <c r="C2761" s="12">
        <f>SUM(C2750:C2760)</f>
        <v>2245</v>
      </c>
      <c r="D2761" s="13">
        <f>SUM(D2750:D2760)</f>
        <v>2245</v>
      </c>
      <c r="K2761" s="11" t="s">
        <v>4</v>
      </c>
      <c r="L2761" s="12">
        <f>SUM(L2750:L2760)</f>
        <v>4550</v>
      </c>
      <c r="M2761" s="13">
        <f>SUM(M2750:M2760)</f>
        <v>4550</v>
      </c>
    </row>
    <row r="2762" spans="1:15" x14ac:dyDescent="0.15">
      <c r="B2762" s="71" t="s">
        <v>551</v>
      </c>
      <c r="C2762" s="15">
        <v>18</v>
      </c>
      <c r="D2762" s="14">
        <f>SUM(C2762)</f>
        <v>18</v>
      </c>
      <c r="E2762" s="74">
        <v>43291</v>
      </c>
      <c r="F2762" s="74"/>
      <c r="G2762" s="74"/>
      <c r="H2762" s="74"/>
      <c r="I2762" s="74"/>
      <c r="K2762" s="4" t="s">
        <v>476</v>
      </c>
      <c r="L2762" s="15">
        <v>600</v>
      </c>
      <c r="M2762" s="14">
        <f>SUM(L2762:L2762)</f>
        <v>600</v>
      </c>
      <c r="N2762" s="74">
        <v>43304</v>
      </c>
      <c r="O2762" s="75"/>
    </row>
    <row r="2763" spans="1:15" x14ac:dyDescent="0.15">
      <c r="B2763" s="71" t="s">
        <v>544</v>
      </c>
      <c r="C2763" s="15">
        <v>20</v>
      </c>
      <c r="D2763" s="14">
        <f>SUM(C2763)</f>
        <v>20</v>
      </c>
      <c r="E2763" s="74">
        <v>43294</v>
      </c>
      <c r="F2763" s="74"/>
      <c r="G2763" s="74"/>
      <c r="H2763" s="74"/>
      <c r="I2763" s="74"/>
      <c r="J2763" s="36"/>
      <c r="K2763" s="69" t="s">
        <v>31</v>
      </c>
      <c r="L2763" s="15">
        <v>200</v>
      </c>
      <c r="M2763" s="14">
        <f t="shared" ref="M2763:M2780" si="289">SUM(L2763:L2763)</f>
        <v>200</v>
      </c>
      <c r="N2763" s="74">
        <v>43293</v>
      </c>
      <c r="O2763" s="75"/>
    </row>
    <row r="2764" spans="1:15" x14ac:dyDescent="0.15">
      <c r="B2764" s="71" t="s">
        <v>552</v>
      </c>
      <c r="C2764" s="15">
        <v>100</v>
      </c>
      <c r="D2764" s="14">
        <f t="shared" ref="D2764:D2775" si="290">SUM(C2764)</f>
        <v>100</v>
      </c>
      <c r="E2764" s="74">
        <v>43293</v>
      </c>
      <c r="F2764" s="74"/>
      <c r="G2764" s="74"/>
      <c r="H2764" s="74"/>
      <c r="I2764" s="74"/>
      <c r="J2764" s="51"/>
      <c r="K2764" s="69" t="s">
        <v>31</v>
      </c>
      <c r="L2764" s="15">
        <v>200</v>
      </c>
      <c r="M2764" s="14">
        <f t="shared" si="289"/>
        <v>200</v>
      </c>
      <c r="N2764" s="74">
        <v>43298</v>
      </c>
      <c r="O2764" s="75"/>
    </row>
    <row r="2765" spans="1:15" x14ac:dyDescent="0.15">
      <c r="B2765" s="71" t="s">
        <v>557</v>
      </c>
      <c r="C2765" s="15">
        <v>8</v>
      </c>
      <c r="D2765" s="14">
        <f t="shared" si="290"/>
        <v>8</v>
      </c>
      <c r="E2765" s="74">
        <v>43293</v>
      </c>
      <c r="F2765" s="74"/>
      <c r="G2765" s="74"/>
      <c r="H2765" s="74"/>
      <c r="I2765" s="74"/>
      <c r="J2765" s="51"/>
      <c r="K2765" s="69" t="s">
        <v>31</v>
      </c>
      <c r="L2765" s="15">
        <v>600</v>
      </c>
      <c r="M2765" s="14">
        <f t="shared" si="289"/>
        <v>600</v>
      </c>
      <c r="N2765" s="74">
        <v>43299</v>
      </c>
      <c r="O2765" s="75"/>
    </row>
    <row r="2766" spans="1:15" x14ac:dyDescent="0.15">
      <c r="B2766" s="71" t="s">
        <v>162</v>
      </c>
      <c r="C2766" s="15">
        <v>25</v>
      </c>
      <c r="D2766" s="14">
        <f t="shared" si="290"/>
        <v>25</v>
      </c>
      <c r="E2766" s="74">
        <v>43292</v>
      </c>
      <c r="F2766" s="74"/>
      <c r="G2766" s="74"/>
      <c r="H2766" s="74"/>
      <c r="I2766" s="74"/>
      <c r="J2766" s="51"/>
      <c r="K2766" s="69" t="s">
        <v>31</v>
      </c>
      <c r="L2766" s="15">
        <v>200</v>
      </c>
      <c r="M2766" s="14">
        <f t="shared" si="289"/>
        <v>200</v>
      </c>
      <c r="N2766" s="74">
        <v>43301</v>
      </c>
      <c r="O2766" s="75"/>
    </row>
    <row r="2767" spans="1:15" x14ac:dyDescent="0.15">
      <c r="B2767" s="71" t="s">
        <v>554</v>
      </c>
      <c r="C2767" s="15">
        <v>200</v>
      </c>
      <c r="D2767" s="14">
        <f t="shared" si="290"/>
        <v>200</v>
      </c>
      <c r="E2767" s="74">
        <v>43294</v>
      </c>
      <c r="F2767" s="74"/>
      <c r="G2767" s="74"/>
      <c r="H2767" s="74"/>
      <c r="I2767" s="74"/>
      <c r="J2767" s="51"/>
      <c r="K2767" s="69" t="s">
        <v>31</v>
      </c>
      <c r="L2767" s="15">
        <v>200</v>
      </c>
      <c r="M2767" s="14">
        <f t="shared" si="289"/>
        <v>200</v>
      </c>
      <c r="N2767" s="74">
        <v>43302</v>
      </c>
      <c r="O2767" s="75"/>
    </row>
    <row r="2768" spans="1:15" x14ac:dyDescent="0.15">
      <c r="B2768" s="71" t="s">
        <v>162</v>
      </c>
      <c r="C2768" s="15">
        <v>18</v>
      </c>
      <c r="D2768" s="14">
        <f t="shared" si="290"/>
        <v>18</v>
      </c>
      <c r="E2768" s="74">
        <v>43293</v>
      </c>
      <c r="F2768" s="74"/>
      <c r="G2768" s="74"/>
      <c r="H2768" s="74"/>
      <c r="I2768" s="74"/>
      <c r="J2768" s="51"/>
      <c r="K2768" s="69" t="s">
        <v>31</v>
      </c>
      <c r="L2768" s="15">
        <v>200</v>
      </c>
      <c r="M2768" s="14">
        <f t="shared" si="289"/>
        <v>200</v>
      </c>
      <c r="N2768" s="74">
        <v>43305</v>
      </c>
      <c r="O2768" s="75"/>
    </row>
    <row r="2769" spans="2:15" x14ac:dyDescent="0.15">
      <c r="B2769" s="71" t="s">
        <v>162</v>
      </c>
      <c r="C2769" s="15">
        <v>19</v>
      </c>
      <c r="D2769" s="14">
        <f t="shared" si="290"/>
        <v>19</v>
      </c>
      <c r="E2769" s="74">
        <v>43294</v>
      </c>
      <c r="F2769" s="74"/>
      <c r="G2769" s="74"/>
      <c r="H2769" s="74"/>
      <c r="I2769" s="74"/>
      <c r="J2769" s="51"/>
      <c r="K2769" s="69" t="s">
        <v>31</v>
      </c>
      <c r="L2769" s="15">
        <v>200</v>
      </c>
      <c r="M2769" s="14">
        <f t="shared" si="289"/>
        <v>200</v>
      </c>
      <c r="N2769" s="74">
        <v>43306</v>
      </c>
      <c r="O2769" s="75"/>
    </row>
    <row r="2770" spans="2:15" x14ac:dyDescent="0.15">
      <c r="B2770" s="71" t="s">
        <v>553</v>
      </c>
      <c r="C2770" s="170">
        <v>40</v>
      </c>
      <c r="D2770" s="14">
        <f t="shared" si="290"/>
        <v>40</v>
      </c>
      <c r="E2770" s="74">
        <v>43301</v>
      </c>
      <c r="F2770" s="74"/>
      <c r="G2770" s="74"/>
      <c r="H2770" s="74"/>
      <c r="I2770" s="74"/>
      <c r="J2770" s="51"/>
      <c r="K2770" s="69" t="s">
        <v>31</v>
      </c>
      <c r="L2770" s="15">
        <v>200</v>
      </c>
      <c r="M2770" s="14">
        <f t="shared" si="289"/>
        <v>200</v>
      </c>
      <c r="N2770" s="74">
        <v>43308</v>
      </c>
      <c r="O2770" s="75"/>
    </row>
    <row r="2771" spans="2:15" x14ac:dyDescent="0.15">
      <c r="B2771" s="71" t="s">
        <v>162</v>
      </c>
      <c r="C2771" s="15">
        <v>211</v>
      </c>
      <c r="D2771" s="14">
        <f t="shared" si="290"/>
        <v>211</v>
      </c>
      <c r="E2771" s="74">
        <v>43298</v>
      </c>
      <c r="F2771" s="74"/>
      <c r="G2771" s="74"/>
      <c r="H2771" s="74"/>
      <c r="I2771" s="74"/>
      <c r="J2771" s="36"/>
      <c r="K2771" s="69"/>
      <c r="L2771" s="15"/>
      <c r="M2771" s="14">
        <f t="shared" si="289"/>
        <v>0</v>
      </c>
      <c r="N2771" s="74"/>
      <c r="O2771" s="75"/>
    </row>
    <row r="2772" spans="2:15" x14ac:dyDescent="0.15">
      <c r="B2772" s="71" t="s">
        <v>558</v>
      </c>
      <c r="C2772" s="15">
        <v>200</v>
      </c>
      <c r="D2772" s="14">
        <f t="shared" si="290"/>
        <v>200</v>
      </c>
      <c r="E2772" s="74">
        <v>43299</v>
      </c>
      <c r="F2772" s="74"/>
      <c r="G2772" s="74"/>
      <c r="H2772" s="74"/>
      <c r="I2772" s="74"/>
      <c r="J2772" s="51"/>
      <c r="K2772" s="4"/>
      <c r="L2772" s="15"/>
      <c r="M2772" s="14">
        <f t="shared" si="289"/>
        <v>0</v>
      </c>
      <c r="N2772" s="75"/>
      <c r="O2772" s="75"/>
    </row>
    <row r="2773" spans="2:15" x14ac:dyDescent="0.15">
      <c r="B2773" s="71" t="s">
        <v>556</v>
      </c>
      <c r="C2773" s="15">
        <v>59</v>
      </c>
      <c r="D2773" s="14">
        <f t="shared" si="290"/>
        <v>59</v>
      </c>
      <c r="E2773" s="48">
        <v>43299</v>
      </c>
      <c r="F2773" s="48"/>
      <c r="G2773" s="48"/>
      <c r="H2773" s="48"/>
      <c r="I2773" s="48"/>
      <c r="J2773" s="51"/>
      <c r="K2773" s="4"/>
      <c r="L2773" s="15"/>
      <c r="M2773" s="14">
        <f t="shared" si="289"/>
        <v>0</v>
      </c>
      <c r="N2773" s="75"/>
      <c r="O2773" s="75"/>
    </row>
    <row r="2774" spans="2:15" x14ac:dyDescent="0.15">
      <c r="B2774" s="71" t="s">
        <v>39</v>
      </c>
      <c r="C2774" s="15">
        <v>100</v>
      </c>
      <c r="D2774" s="14">
        <f t="shared" si="290"/>
        <v>100</v>
      </c>
      <c r="E2774" s="74">
        <v>43300</v>
      </c>
      <c r="F2774" s="74"/>
      <c r="G2774" s="74"/>
      <c r="H2774" s="74"/>
      <c r="I2774" s="74"/>
      <c r="J2774" s="36"/>
      <c r="K2774" s="6"/>
      <c r="L2774" s="15"/>
      <c r="M2774" s="14">
        <f t="shared" si="289"/>
        <v>0</v>
      </c>
      <c r="N2774" s="75"/>
      <c r="O2774" s="75"/>
    </row>
    <row r="2775" spans="2:15" x14ac:dyDescent="0.15">
      <c r="B2775" s="71" t="s">
        <v>531</v>
      </c>
      <c r="C2775" s="15">
        <v>10</v>
      </c>
      <c r="D2775" s="14">
        <f t="shared" si="290"/>
        <v>10</v>
      </c>
      <c r="E2775" s="74">
        <v>43301</v>
      </c>
      <c r="F2775" s="74"/>
      <c r="G2775" s="74"/>
      <c r="H2775" s="74"/>
      <c r="I2775" s="74"/>
      <c r="J2775" s="51"/>
      <c r="K2775" s="67"/>
      <c r="L2775" s="15"/>
      <c r="M2775" s="14">
        <f t="shared" si="289"/>
        <v>0</v>
      </c>
      <c r="N2775" s="75"/>
      <c r="O2775" s="75"/>
    </row>
    <row r="2776" spans="2:15" x14ac:dyDescent="0.15">
      <c r="B2776" s="71" t="s">
        <v>162</v>
      </c>
      <c r="C2776" s="15">
        <v>108</v>
      </c>
      <c r="D2776" s="14">
        <f t="shared" ref="D2776:D2785" si="291">SUM(C2776)</f>
        <v>108</v>
      </c>
      <c r="E2776" s="48">
        <v>43300</v>
      </c>
      <c r="F2776" s="48"/>
      <c r="G2776" s="48"/>
      <c r="H2776" s="48"/>
      <c r="I2776" s="48"/>
      <c r="J2776" s="51"/>
      <c r="K2776" s="4"/>
      <c r="L2776" s="15"/>
      <c r="M2776" s="14">
        <f t="shared" si="289"/>
        <v>0</v>
      </c>
      <c r="N2776" s="75"/>
      <c r="O2776" s="75"/>
    </row>
    <row r="2777" spans="2:15" x14ac:dyDescent="0.15">
      <c r="B2777" s="71" t="s">
        <v>559</v>
      </c>
      <c r="C2777" s="15">
        <v>135</v>
      </c>
      <c r="D2777" s="14">
        <f t="shared" si="291"/>
        <v>135</v>
      </c>
      <c r="E2777" s="74">
        <v>43301</v>
      </c>
      <c r="F2777" s="74"/>
      <c r="G2777" s="74"/>
      <c r="H2777" s="74"/>
      <c r="I2777" s="74"/>
      <c r="J2777" s="51"/>
      <c r="K2777" s="4"/>
      <c r="L2777" s="15"/>
      <c r="M2777" s="14">
        <f t="shared" si="289"/>
        <v>0</v>
      </c>
      <c r="N2777" s="75"/>
      <c r="O2777" s="75"/>
    </row>
    <row r="2778" spans="2:15" x14ac:dyDescent="0.15">
      <c r="B2778" s="71" t="s">
        <v>39</v>
      </c>
      <c r="C2778" s="15">
        <v>100</v>
      </c>
      <c r="D2778" s="14">
        <f t="shared" si="291"/>
        <v>100</v>
      </c>
      <c r="E2778" s="74">
        <v>43302</v>
      </c>
      <c r="F2778" s="74"/>
      <c r="G2778" s="74"/>
      <c r="H2778" s="74"/>
      <c r="I2778" s="74"/>
      <c r="J2778" s="51"/>
      <c r="K2778" s="6"/>
      <c r="L2778" s="15"/>
      <c r="M2778" s="14">
        <f t="shared" si="289"/>
        <v>0</v>
      </c>
      <c r="N2778" s="75"/>
      <c r="O2778" s="75"/>
    </row>
    <row r="2779" spans="2:15" x14ac:dyDescent="0.15">
      <c r="B2779" s="71" t="s">
        <v>162</v>
      </c>
      <c r="C2779" s="15">
        <v>76</v>
      </c>
      <c r="D2779" s="14">
        <f t="shared" si="291"/>
        <v>76</v>
      </c>
      <c r="E2779" s="74">
        <v>43302</v>
      </c>
      <c r="F2779" s="74"/>
      <c r="G2779" s="74"/>
      <c r="H2779" s="74"/>
      <c r="I2779" s="74"/>
      <c r="J2779" s="51"/>
      <c r="K2779" s="4"/>
      <c r="L2779" s="15"/>
      <c r="M2779" s="14">
        <f t="shared" si="289"/>
        <v>0</v>
      </c>
      <c r="N2779" s="75"/>
      <c r="O2779" s="75"/>
    </row>
    <row r="2780" spans="2:15" x14ac:dyDescent="0.15">
      <c r="B2780" s="71" t="s">
        <v>560</v>
      </c>
      <c r="C2780" s="15">
        <v>6</v>
      </c>
      <c r="D2780" s="14">
        <f t="shared" si="291"/>
        <v>6</v>
      </c>
      <c r="E2780" s="74">
        <v>43305</v>
      </c>
      <c r="F2780" s="74"/>
      <c r="G2780" s="74"/>
      <c r="H2780" s="74"/>
      <c r="I2780" s="74"/>
      <c r="J2780" s="51"/>
      <c r="K2780" s="6"/>
      <c r="L2780" s="15"/>
      <c r="M2780" s="14">
        <f t="shared" si="289"/>
        <v>0</v>
      </c>
      <c r="N2780" s="75"/>
      <c r="O2780" s="75"/>
    </row>
    <row r="2781" spans="2:15" x14ac:dyDescent="0.15">
      <c r="B2781" s="71" t="s">
        <v>162</v>
      </c>
      <c r="C2781" s="15">
        <v>184</v>
      </c>
      <c r="D2781" s="14">
        <f t="shared" si="291"/>
        <v>184</v>
      </c>
      <c r="E2781" s="48">
        <v>43304</v>
      </c>
      <c r="F2781" s="48"/>
      <c r="G2781" s="48"/>
      <c r="H2781" s="48"/>
      <c r="I2781" s="48"/>
      <c r="J2781" s="51"/>
      <c r="K2781" s="69"/>
      <c r="L2781" s="15"/>
      <c r="M2781" s="14">
        <f>SUM(L2781)</f>
        <v>0</v>
      </c>
      <c r="N2781" s="75"/>
      <c r="O2781" s="75"/>
    </row>
    <row r="2782" spans="2:15" x14ac:dyDescent="0.15">
      <c r="B2782" s="71" t="s">
        <v>562</v>
      </c>
      <c r="C2782" s="15">
        <v>62</v>
      </c>
      <c r="D2782" s="14">
        <f t="shared" si="291"/>
        <v>62</v>
      </c>
      <c r="E2782" s="48">
        <v>43305</v>
      </c>
      <c r="F2782" s="48"/>
      <c r="G2782" s="48"/>
      <c r="H2782" s="48"/>
      <c r="I2782" s="48"/>
      <c r="J2782" s="51"/>
      <c r="K2782" s="4"/>
      <c r="L2782" s="15"/>
      <c r="M2782" s="14">
        <f>SUM(L2782)</f>
        <v>0</v>
      </c>
      <c r="N2782" s="75"/>
      <c r="O2782" s="75"/>
    </row>
    <row r="2783" spans="2:15" x14ac:dyDescent="0.15">
      <c r="B2783" s="71" t="s">
        <v>561</v>
      </c>
      <c r="C2783" s="15">
        <v>40</v>
      </c>
      <c r="D2783" s="14">
        <f t="shared" si="291"/>
        <v>40</v>
      </c>
      <c r="E2783" s="74">
        <v>43311</v>
      </c>
      <c r="F2783" s="74"/>
      <c r="G2783" s="74"/>
      <c r="H2783" s="74"/>
      <c r="I2783" s="74"/>
      <c r="J2783" s="51"/>
      <c r="K2783" s="4"/>
      <c r="L2783" s="15"/>
      <c r="M2783" s="14">
        <f>SUM(L2783)</f>
        <v>0</v>
      </c>
      <c r="N2783" s="75"/>
      <c r="O2783" s="75"/>
    </row>
    <row r="2784" spans="2:15" x14ac:dyDescent="0.15">
      <c r="B2784" s="71" t="s">
        <v>564</v>
      </c>
      <c r="C2784" s="15">
        <v>65</v>
      </c>
      <c r="D2784" s="14">
        <f t="shared" si="291"/>
        <v>65</v>
      </c>
      <c r="E2784" s="48">
        <v>43306</v>
      </c>
      <c r="F2784" s="48"/>
      <c r="G2784" s="48"/>
      <c r="H2784" s="48"/>
      <c r="I2784" s="48"/>
      <c r="J2784" s="51"/>
      <c r="K2784" s="69"/>
      <c r="L2784" s="15"/>
      <c r="M2784" s="14">
        <f>SUM(L2784:L2784)</f>
        <v>0</v>
      </c>
      <c r="N2784" s="75"/>
      <c r="O2784" s="75"/>
    </row>
    <row r="2785" spans="1:15" ht="14.25" thickBot="1" x14ac:dyDescent="0.2">
      <c r="B2785" s="71" t="s">
        <v>563</v>
      </c>
      <c r="C2785" s="15">
        <v>10</v>
      </c>
      <c r="D2785" s="14">
        <f t="shared" si="291"/>
        <v>10</v>
      </c>
      <c r="E2785" s="74">
        <v>43308</v>
      </c>
      <c r="F2785" s="74"/>
      <c r="G2785" s="74"/>
      <c r="H2785" s="74"/>
      <c r="I2785" s="74"/>
      <c r="J2785" s="51"/>
      <c r="K2785" s="69"/>
      <c r="L2785" s="15"/>
      <c r="M2785" s="14">
        <f>SUM(L2785:L2785)</f>
        <v>0</v>
      </c>
      <c r="N2785" s="75"/>
      <c r="O2785" s="75"/>
    </row>
    <row r="2786" spans="1:15" ht="14.25" thickBot="1" x14ac:dyDescent="0.2">
      <c r="B2786" s="3" t="s">
        <v>5</v>
      </c>
      <c r="C2786" s="16">
        <f>SUM(C2762:C2785)</f>
        <v>1814</v>
      </c>
      <c r="D2786" s="17">
        <f>SUM(D2762:D2785)</f>
        <v>1814</v>
      </c>
      <c r="K2786" s="3" t="s">
        <v>5</v>
      </c>
      <c r="L2786" s="16">
        <f>SUM(L2762:L2785)</f>
        <v>2600</v>
      </c>
      <c r="M2786" s="17">
        <f>SUM(M2762:M2785)</f>
        <v>2600</v>
      </c>
    </row>
    <row r="2787" spans="1:15" ht="14.25" thickBot="1" x14ac:dyDescent="0.2">
      <c r="B2787" s="18" t="s">
        <v>6</v>
      </c>
      <c r="C2787" s="19">
        <f>C2761-C2786</f>
        <v>431</v>
      </c>
      <c r="D2787" s="13">
        <f>D2761-D2786</f>
        <v>431</v>
      </c>
      <c r="K2787" s="18" t="s">
        <v>6</v>
      </c>
      <c r="L2787" s="19">
        <f>L2761-L2786</f>
        <v>1950</v>
      </c>
      <c r="M2787" s="13">
        <f>M2761-M2786</f>
        <v>1950</v>
      </c>
    </row>
    <row r="2789" spans="1:15" ht="18" thickBot="1" x14ac:dyDescent="0.25">
      <c r="A2789" s="27" t="s">
        <v>8</v>
      </c>
      <c r="B2789" s="28"/>
      <c r="C2789" s="28"/>
      <c r="D2789" s="28"/>
      <c r="J2789" s="139" t="s">
        <v>218</v>
      </c>
      <c r="K2789" s="140"/>
      <c r="L2789" s="140"/>
      <c r="M2789" s="140"/>
    </row>
    <row r="2790" spans="1:15" ht="14.25" thickBot="1" x14ac:dyDescent="0.2">
      <c r="B2790" s="2"/>
      <c r="C2790" s="3" t="s">
        <v>0</v>
      </c>
      <c r="D2790" s="2" t="s">
        <v>1</v>
      </c>
      <c r="K2790" s="2"/>
      <c r="L2790" s="3" t="s">
        <v>0</v>
      </c>
      <c r="M2790" s="2" t="s">
        <v>1</v>
      </c>
    </row>
    <row r="2791" spans="1:15" x14ac:dyDescent="0.15">
      <c r="B2791" s="43" t="s">
        <v>26</v>
      </c>
      <c r="C2791" s="38">
        <f>C2787</f>
        <v>431</v>
      </c>
      <c r="D2791" s="39">
        <f t="shared" ref="D2791:D2801" si="292">SUM(C2791:C2791)</f>
        <v>431</v>
      </c>
      <c r="K2791" s="43" t="s">
        <v>26</v>
      </c>
      <c r="L2791" s="38">
        <f>L2787</f>
        <v>1950</v>
      </c>
      <c r="M2791" s="39">
        <f t="shared" ref="M2791:M2801" si="293">SUM(L2791:L2791)</f>
        <v>1950</v>
      </c>
    </row>
    <row r="2792" spans="1:15" x14ac:dyDescent="0.15">
      <c r="B2792" s="6" t="s">
        <v>3</v>
      </c>
      <c r="C2792" s="7">
        <v>200</v>
      </c>
      <c r="D2792" s="5">
        <f t="shared" si="292"/>
        <v>200</v>
      </c>
      <c r="E2792" s="74">
        <v>43312</v>
      </c>
      <c r="F2792" s="74"/>
      <c r="G2792" s="74"/>
      <c r="H2792" s="74"/>
      <c r="I2792" s="74"/>
      <c r="J2792" s="75"/>
      <c r="K2792" s="6" t="s">
        <v>3</v>
      </c>
      <c r="L2792" s="7"/>
      <c r="M2792" s="5">
        <f t="shared" si="293"/>
        <v>0</v>
      </c>
    </row>
    <row r="2793" spans="1:15" x14ac:dyDescent="0.15">
      <c r="A2793" s="75"/>
      <c r="B2793" s="6" t="s">
        <v>3</v>
      </c>
      <c r="C2793" s="7">
        <v>200</v>
      </c>
      <c r="D2793" s="5">
        <f t="shared" si="292"/>
        <v>200</v>
      </c>
      <c r="E2793" s="74">
        <v>43316</v>
      </c>
      <c r="F2793" s="74"/>
      <c r="G2793" s="74"/>
      <c r="H2793" s="74"/>
      <c r="I2793" s="74"/>
      <c r="K2793" s="6" t="s">
        <v>3</v>
      </c>
      <c r="L2793" s="7"/>
      <c r="M2793" s="5">
        <f t="shared" si="293"/>
        <v>0</v>
      </c>
      <c r="N2793" s="74"/>
    </row>
    <row r="2794" spans="1:15" x14ac:dyDescent="0.15">
      <c r="A2794" s="75"/>
      <c r="B2794" s="6" t="s">
        <v>3</v>
      </c>
      <c r="C2794" s="7">
        <v>200</v>
      </c>
      <c r="D2794" s="5">
        <f t="shared" si="292"/>
        <v>200</v>
      </c>
      <c r="E2794" s="74">
        <v>43319</v>
      </c>
      <c r="F2794" s="74"/>
      <c r="G2794" s="74"/>
      <c r="H2794" s="74"/>
      <c r="I2794" s="74"/>
      <c r="J2794" s="100"/>
      <c r="K2794" s="6" t="s">
        <v>3</v>
      </c>
      <c r="L2794" s="7"/>
      <c r="M2794" s="5">
        <f t="shared" si="293"/>
        <v>0</v>
      </c>
      <c r="N2794" s="75"/>
    </row>
    <row r="2795" spans="1:15" x14ac:dyDescent="0.15">
      <c r="B2795" s="6" t="s">
        <v>521</v>
      </c>
      <c r="C2795" s="7">
        <v>1</v>
      </c>
      <c r="D2795" s="5">
        <f t="shared" si="292"/>
        <v>1</v>
      </c>
      <c r="E2795" s="74">
        <v>43318</v>
      </c>
      <c r="F2795" s="74"/>
      <c r="G2795" s="74"/>
      <c r="H2795" s="74"/>
      <c r="I2795" s="74"/>
      <c r="K2795" s="6" t="s">
        <v>3</v>
      </c>
      <c r="L2795" s="7"/>
      <c r="M2795" s="5">
        <f>SUM(L2795:L2795)</f>
        <v>0</v>
      </c>
      <c r="N2795" s="74"/>
    </row>
    <row r="2796" spans="1:15" x14ac:dyDescent="0.15">
      <c r="B2796" s="6" t="s">
        <v>3</v>
      </c>
      <c r="C2796" s="7">
        <v>200</v>
      </c>
      <c r="D2796" s="5">
        <f t="shared" si="292"/>
        <v>200</v>
      </c>
      <c r="E2796" s="74">
        <v>43321</v>
      </c>
      <c r="F2796" s="74"/>
      <c r="G2796" s="74"/>
      <c r="H2796" s="74"/>
      <c r="I2796" s="74"/>
      <c r="K2796" s="6" t="s">
        <v>3</v>
      </c>
      <c r="L2796" s="7"/>
      <c r="M2796" s="5">
        <f t="shared" si="293"/>
        <v>0</v>
      </c>
      <c r="N2796" s="75"/>
    </row>
    <row r="2797" spans="1:15" x14ac:dyDescent="0.15">
      <c r="B2797" s="6" t="s">
        <v>3</v>
      </c>
      <c r="C2797" s="7"/>
      <c r="D2797" s="5">
        <f t="shared" si="292"/>
        <v>0</v>
      </c>
      <c r="E2797" s="74"/>
      <c r="F2797" s="74"/>
      <c r="G2797" s="74"/>
      <c r="H2797" s="74"/>
      <c r="I2797" s="74"/>
      <c r="K2797" s="6" t="s">
        <v>3</v>
      </c>
      <c r="L2797" s="7"/>
      <c r="M2797" s="5">
        <f t="shared" si="293"/>
        <v>0</v>
      </c>
    </row>
    <row r="2798" spans="1:15" x14ac:dyDescent="0.15">
      <c r="B2798" s="6" t="s">
        <v>3</v>
      </c>
      <c r="C2798" s="54">
        <v>1200</v>
      </c>
      <c r="D2798" s="5">
        <f t="shared" si="292"/>
        <v>1200</v>
      </c>
      <c r="E2798" s="48">
        <v>43322</v>
      </c>
      <c r="F2798" s="48"/>
      <c r="G2798" s="48"/>
      <c r="H2798" s="48"/>
      <c r="I2798" s="48"/>
      <c r="K2798" s="6" t="s">
        <v>3</v>
      </c>
      <c r="L2798" s="7"/>
      <c r="M2798" s="5">
        <f t="shared" si="293"/>
        <v>0</v>
      </c>
    </row>
    <row r="2799" spans="1:15" x14ac:dyDescent="0.15">
      <c r="B2799" s="6" t="s">
        <v>521</v>
      </c>
      <c r="C2799" s="54">
        <v>2</v>
      </c>
      <c r="D2799" s="5">
        <f t="shared" si="292"/>
        <v>2</v>
      </c>
      <c r="E2799" s="48">
        <v>43328</v>
      </c>
      <c r="F2799" s="48"/>
      <c r="G2799" s="48"/>
      <c r="H2799" s="48"/>
      <c r="I2799" s="48"/>
      <c r="K2799" s="6" t="s">
        <v>3</v>
      </c>
      <c r="L2799" s="7"/>
      <c r="M2799" s="5">
        <f t="shared" si="293"/>
        <v>0</v>
      </c>
      <c r="N2799" s="74"/>
    </row>
    <row r="2800" spans="1:15" x14ac:dyDescent="0.15">
      <c r="B2800" s="6" t="s">
        <v>3</v>
      </c>
      <c r="C2800" s="54"/>
      <c r="D2800" s="5">
        <f t="shared" si="292"/>
        <v>0</v>
      </c>
      <c r="K2800" s="6" t="s">
        <v>3</v>
      </c>
      <c r="L2800" s="7"/>
      <c r="M2800" s="5">
        <f t="shared" si="293"/>
        <v>0</v>
      </c>
    </row>
    <row r="2801" spans="2:14" ht="14.25" thickBot="1" x14ac:dyDescent="0.2">
      <c r="B2801" s="9" t="s">
        <v>3</v>
      </c>
      <c r="C2801" s="101"/>
      <c r="D2801" s="5">
        <f t="shared" si="292"/>
        <v>0</v>
      </c>
      <c r="K2801" s="9" t="s">
        <v>3</v>
      </c>
      <c r="L2801" s="10"/>
      <c r="M2801" s="5">
        <f t="shared" si="293"/>
        <v>0</v>
      </c>
    </row>
    <row r="2802" spans="2:14" ht="14.25" thickBot="1" x14ac:dyDescent="0.2">
      <c r="B2802" s="11" t="s">
        <v>4</v>
      </c>
      <c r="C2802" s="12">
        <f>SUM(C2791:C2801)</f>
        <v>2434</v>
      </c>
      <c r="D2802" s="13">
        <f>SUM(D2791:D2801)</f>
        <v>2434</v>
      </c>
      <c r="K2802" s="11" t="s">
        <v>4</v>
      </c>
      <c r="L2802" s="12">
        <f>SUM(L2791:L2801)</f>
        <v>1950</v>
      </c>
      <c r="M2802" s="13">
        <f>SUM(M2791:M2801)</f>
        <v>1950</v>
      </c>
    </row>
    <row r="2803" spans="2:14" x14ac:dyDescent="0.15">
      <c r="B2803" s="71" t="s">
        <v>566</v>
      </c>
      <c r="C2803" s="15">
        <v>100</v>
      </c>
      <c r="D2803" s="14">
        <f>SUM(C2803)</f>
        <v>100</v>
      </c>
      <c r="E2803" s="74">
        <v>43307</v>
      </c>
      <c r="F2803" s="74"/>
      <c r="G2803" s="74"/>
      <c r="H2803" s="74"/>
      <c r="I2803" s="74"/>
      <c r="K2803" s="69" t="s">
        <v>565</v>
      </c>
      <c r="L2803" s="15">
        <v>600</v>
      </c>
      <c r="M2803" s="14">
        <f>SUM(L2803:L2803)</f>
        <v>600</v>
      </c>
      <c r="N2803" s="74">
        <v>43315</v>
      </c>
    </row>
    <row r="2804" spans="2:14" x14ac:dyDescent="0.15">
      <c r="B2804" s="71" t="s">
        <v>162</v>
      </c>
      <c r="C2804" s="15">
        <v>75</v>
      </c>
      <c r="D2804" s="14">
        <f>SUM(C2804)</f>
        <v>75</v>
      </c>
      <c r="E2804" s="74">
        <v>43307</v>
      </c>
      <c r="F2804" s="74"/>
      <c r="G2804" s="74"/>
      <c r="H2804" s="74"/>
      <c r="I2804" s="74"/>
      <c r="J2804" s="36"/>
      <c r="K2804" s="69" t="s">
        <v>31</v>
      </c>
      <c r="L2804" s="15">
        <v>200</v>
      </c>
      <c r="M2804" s="14">
        <f t="shared" ref="M2804:M2821" si="294">SUM(L2804:L2804)</f>
        <v>200</v>
      </c>
      <c r="N2804" s="74">
        <v>43312</v>
      </c>
    </row>
    <row r="2805" spans="2:14" x14ac:dyDescent="0.15">
      <c r="B2805" s="71" t="s">
        <v>162</v>
      </c>
      <c r="C2805" s="15">
        <v>37</v>
      </c>
      <c r="D2805" s="14">
        <f t="shared" ref="D2805:D2826" si="295">SUM(C2805)</f>
        <v>37</v>
      </c>
      <c r="E2805" s="74">
        <v>43308</v>
      </c>
      <c r="F2805" s="74"/>
      <c r="G2805" s="74"/>
      <c r="H2805" s="74"/>
      <c r="I2805" s="74"/>
      <c r="J2805" s="51"/>
      <c r="K2805" s="69" t="s">
        <v>31</v>
      </c>
      <c r="L2805" s="15">
        <v>200</v>
      </c>
      <c r="M2805" s="14">
        <f t="shared" si="294"/>
        <v>200</v>
      </c>
      <c r="N2805" s="74">
        <v>43316</v>
      </c>
    </row>
    <row r="2806" spans="2:14" x14ac:dyDescent="0.15">
      <c r="B2806" s="71" t="s">
        <v>498</v>
      </c>
      <c r="C2806" s="15">
        <v>10</v>
      </c>
      <c r="D2806" s="14">
        <f t="shared" si="295"/>
        <v>10</v>
      </c>
      <c r="E2806" s="74">
        <v>43312</v>
      </c>
      <c r="F2806" s="74"/>
      <c r="G2806" s="74"/>
      <c r="H2806" s="74"/>
      <c r="I2806" s="74"/>
      <c r="J2806" s="51"/>
      <c r="K2806" s="69" t="s">
        <v>31</v>
      </c>
      <c r="L2806" s="15">
        <v>200</v>
      </c>
      <c r="M2806" s="14">
        <f t="shared" si="294"/>
        <v>200</v>
      </c>
      <c r="N2806" s="74">
        <v>43319</v>
      </c>
    </row>
    <row r="2807" spans="2:14" x14ac:dyDescent="0.15">
      <c r="B2807" s="71" t="s">
        <v>162</v>
      </c>
      <c r="C2807" s="15">
        <v>99</v>
      </c>
      <c r="D2807" s="14">
        <f t="shared" si="295"/>
        <v>99</v>
      </c>
      <c r="E2807" s="74">
        <v>43311</v>
      </c>
      <c r="F2807" s="74"/>
      <c r="G2807" s="74"/>
      <c r="H2807" s="74"/>
      <c r="I2807" s="74"/>
      <c r="J2807" s="51"/>
      <c r="K2807" s="69" t="s">
        <v>31</v>
      </c>
      <c r="L2807" s="15">
        <v>200</v>
      </c>
      <c r="M2807" s="14">
        <f t="shared" si="294"/>
        <v>200</v>
      </c>
      <c r="N2807" s="74">
        <v>43321</v>
      </c>
    </row>
    <row r="2808" spans="2:14" x14ac:dyDescent="0.15">
      <c r="B2808" s="71" t="s">
        <v>567</v>
      </c>
      <c r="C2808" s="15">
        <v>62</v>
      </c>
      <c r="D2808" s="14">
        <f t="shared" si="295"/>
        <v>62</v>
      </c>
      <c r="E2808" s="74">
        <v>43312</v>
      </c>
      <c r="F2808" s="74"/>
      <c r="G2808" s="74"/>
      <c r="H2808" s="74"/>
      <c r="I2808" s="74"/>
      <c r="J2808" s="51"/>
      <c r="K2808" s="4"/>
      <c r="L2808" s="15"/>
      <c r="M2808" s="14">
        <f t="shared" si="294"/>
        <v>0</v>
      </c>
      <c r="N2808" s="75"/>
    </row>
    <row r="2809" spans="2:14" x14ac:dyDescent="0.15">
      <c r="B2809" s="71" t="s">
        <v>568</v>
      </c>
      <c r="C2809" s="15">
        <v>30</v>
      </c>
      <c r="D2809" s="14">
        <f t="shared" si="295"/>
        <v>30</v>
      </c>
      <c r="E2809" s="74">
        <v>43312</v>
      </c>
      <c r="F2809" s="74"/>
      <c r="G2809" s="74"/>
      <c r="H2809" s="74"/>
      <c r="I2809" s="74"/>
      <c r="J2809" s="51"/>
      <c r="K2809" s="4"/>
      <c r="L2809" s="15"/>
      <c r="M2809" s="14">
        <f t="shared" si="294"/>
        <v>0</v>
      </c>
      <c r="N2809" s="74"/>
    </row>
    <row r="2810" spans="2:14" x14ac:dyDescent="0.15">
      <c r="B2810" s="71" t="s">
        <v>162</v>
      </c>
      <c r="C2810" s="15">
        <v>52</v>
      </c>
      <c r="D2810" s="14">
        <f t="shared" si="295"/>
        <v>52</v>
      </c>
      <c r="E2810" s="74">
        <v>43313</v>
      </c>
      <c r="F2810" s="74"/>
      <c r="G2810" s="74"/>
      <c r="H2810" s="74"/>
      <c r="I2810" s="74"/>
      <c r="J2810" s="51"/>
      <c r="K2810" s="6"/>
      <c r="L2810" s="15"/>
      <c r="M2810" s="14">
        <f t="shared" si="294"/>
        <v>0</v>
      </c>
      <c r="N2810" s="75"/>
    </row>
    <row r="2811" spans="2:14" x14ac:dyDescent="0.15">
      <c r="B2811" s="71" t="s">
        <v>162</v>
      </c>
      <c r="C2811" s="15">
        <v>44</v>
      </c>
      <c r="D2811" s="14">
        <f t="shared" si="295"/>
        <v>44</v>
      </c>
      <c r="E2811" s="74">
        <v>43314</v>
      </c>
      <c r="F2811" s="74"/>
      <c r="G2811" s="74"/>
      <c r="H2811" s="74"/>
      <c r="I2811" s="74"/>
      <c r="J2811" s="51"/>
      <c r="K2811" s="4"/>
      <c r="L2811" s="15"/>
      <c r="M2811" s="14">
        <f t="shared" si="294"/>
        <v>0</v>
      </c>
      <c r="N2811" s="75"/>
    </row>
    <row r="2812" spans="2:14" x14ac:dyDescent="0.15">
      <c r="B2812" s="71" t="s">
        <v>569</v>
      </c>
      <c r="C2812" s="15">
        <v>41</v>
      </c>
      <c r="D2812" s="14">
        <f t="shared" si="295"/>
        <v>41</v>
      </c>
      <c r="E2812" s="74">
        <v>43315</v>
      </c>
      <c r="F2812" s="74"/>
      <c r="G2812" s="74"/>
      <c r="H2812" s="74"/>
      <c r="I2812" s="74"/>
      <c r="J2812" s="36"/>
      <c r="K2812" s="4"/>
      <c r="L2812" s="15"/>
      <c r="M2812" s="14">
        <f t="shared" si="294"/>
        <v>0</v>
      </c>
      <c r="N2812" s="75"/>
    </row>
    <row r="2813" spans="2:14" x14ac:dyDescent="0.15">
      <c r="B2813" s="71" t="s">
        <v>39</v>
      </c>
      <c r="C2813" s="15">
        <v>60</v>
      </c>
      <c r="D2813" s="14">
        <f t="shared" si="295"/>
        <v>60</v>
      </c>
      <c r="E2813" s="74">
        <v>43315</v>
      </c>
      <c r="F2813" s="74"/>
      <c r="G2813" s="74"/>
      <c r="H2813" s="74"/>
      <c r="I2813" s="74"/>
      <c r="J2813" s="51"/>
      <c r="K2813" s="4"/>
      <c r="L2813" s="15"/>
      <c r="M2813" s="14">
        <f t="shared" si="294"/>
        <v>0</v>
      </c>
      <c r="N2813" s="75"/>
    </row>
    <row r="2814" spans="2:14" x14ac:dyDescent="0.15">
      <c r="B2814" s="71" t="s">
        <v>39</v>
      </c>
      <c r="C2814" s="15">
        <v>50</v>
      </c>
      <c r="D2814" s="14">
        <f t="shared" si="295"/>
        <v>50</v>
      </c>
      <c r="E2814" s="48">
        <v>43316</v>
      </c>
      <c r="F2814" s="48"/>
      <c r="G2814" s="48"/>
      <c r="H2814" s="48"/>
      <c r="I2814" s="48"/>
      <c r="J2814" s="51"/>
      <c r="K2814" s="4"/>
      <c r="L2814" s="15"/>
      <c r="M2814" s="14">
        <f t="shared" si="294"/>
        <v>0</v>
      </c>
      <c r="N2814" s="75"/>
    </row>
    <row r="2815" spans="2:14" x14ac:dyDescent="0.15">
      <c r="B2815" s="71" t="s">
        <v>570</v>
      </c>
      <c r="C2815" s="15">
        <v>158</v>
      </c>
      <c r="D2815" s="14">
        <f t="shared" si="295"/>
        <v>158</v>
      </c>
      <c r="E2815" s="74">
        <v>43318</v>
      </c>
      <c r="F2815" s="74"/>
      <c r="G2815" s="74"/>
      <c r="H2815" s="74"/>
      <c r="I2815" s="74"/>
      <c r="J2815" s="36"/>
      <c r="K2815" s="6"/>
      <c r="L2815" s="15"/>
      <c r="M2815" s="14">
        <f t="shared" si="294"/>
        <v>0</v>
      </c>
      <c r="N2815" s="75"/>
    </row>
    <row r="2816" spans="2:14" x14ac:dyDescent="0.15">
      <c r="B2816" s="71" t="s">
        <v>573</v>
      </c>
      <c r="C2816" s="15">
        <v>100</v>
      </c>
      <c r="D2816" s="14">
        <f t="shared" si="295"/>
        <v>100</v>
      </c>
      <c r="E2816" s="74">
        <v>43319</v>
      </c>
      <c r="F2816" s="74"/>
      <c r="G2816" s="74"/>
      <c r="H2816" s="74"/>
      <c r="I2816" s="74"/>
      <c r="J2816" s="51"/>
      <c r="K2816" s="67"/>
      <c r="L2816" s="15"/>
      <c r="M2816" s="14">
        <f t="shared" si="294"/>
        <v>0</v>
      </c>
      <c r="N2816" s="75"/>
    </row>
    <row r="2817" spans="1:14" x14ac:dyDescent="0.15">
      <c r="B2817" s="71" t="s">
        <v>572</v>
      </c>
      <c r="C2817" s="15">
        <v>53</v>
      </c>
      <c r="D2817" s="14">
        <f t="shared" si="295"/>
        <v>53</v>
      </c>
      <c r="E2817" s="48">
        <v>43319</v>
      </c>
      <c r="F2817" s="48"/>
      <c r="G2817" s="48"/>
      <c r="H2817" s="48"/>
      <c r="I2817" s="48"/>
      <c r="J2817" s="51"/>
      <c r="K2817" s="4"/>
      <c r="L2817" s="15"/>
      <c r="M2817" s="14">
        <f t="shared" si="294"/>
        <v>0</v>
      </c>
      <c r="N2817" s="75"/>
    </row>
    <row r="2818" spans="1:14" x14ac:dyDescent="0.15">
      <c r="B2818" s="71" t="s">
        <v>571</v>
      </c>
      <c r="C2818" s="15">
        <v>40</v>
      </c>
      <c r="D2818" s="14">
        <f t="shared" si="295"/>
        <v>40</v>
      </c>
      <c r="E2818" s="74">
        <v>43325</v>
      </c>
      <c r="F2818" s="74"/>
      <c r="G2818" s="74"/>
      <c r="H2818" s="74"/>
      <c r="I2818" s="74"/>
      <c r="J2818" s="51"/>
      <c r="K2818" s="4"/>
      <c r="L2818" s="15"/>
      <c r="M2818" s="14">
        <f t="shared" si="294"/>
        <v>0</v>
      </c>
      <c r="N2818" s="75"/>
    </row>
    <row r="2819" spans="1:14" x14ac:dyDescent="0.15">
      <c r="B2819" s="71" t="s">
        <v>574</v>
      </c>
      <c r="C2819" s="15">
        <v>61</v>
      </c>
      <c r="D2819" s="14">
        <f t="shared" si="295"/>
        <v>61</v>
      </c>
      <c r="E2819" s="74">
        <v>43320</v>
      </c>
      <c r="F2819" s="74"/>
      <c r="G2819" s="74"/>
      <c r="H2819" s="74"/>
      <c r="I2819" s="74"/>
      <c r="J2819" s="51"/>
      <c r="K2819" s="6"/>
      <c r="L2819" s="15"/>
      <c r="M2819" s="14">
        <f t="shared" si="294"/>
        <v>0</v>
      </c>
      <c r="N2819" s="75"/>
    </row>
    <row r="2820" spans="1:14" x14ac:dyDescent="0.15">
      <c r="B2820" s="71" t="s">
        <v>39</v>
      </c>
      <c r="C2820" s="15">
        <v>80</v>
      </c>
      <c r="D2820" s="14">
        <f t="shared" si="295"/>
        <v>80</v>
      </c>
      <c r="E2820" s="74">
        <v>43321</v>
      </c>
      <c r="F2820" s="74"/>
      <c r="G2820" s="74"/>
      <c r="H2820" s="74"/>
      <c r="I2820" s="74"/>
      <c r="J2820" s="51"/>
      <c r="K2820" s="4"/>
      <c r="L2820" s="15"/>
      <c r="M2820" s="14">
        <f t="shared" si="294"/>
        <v>0</v>
      </c>
      <c r="N2820" s="75"/>
    </row>
    <row r="2821" spans="1:14" x14ac:dyDescent="0.15">
      <c r="B2821" s="71" t="s">
        <v>162</v>
      </c>
      <c r="C2821" s="15">
        <v>85</v>
      </c>
      <c r="D2821" s="14">
        <f t="shared" si="295"/>
        <v>85</v>
      </c>
      <c r="E2821" s="48">
        <v>43321</v>
      </c>
      <c r="F2821" s="48"/>
      <c r="G2821" s="48"/>
      <c r="H2821" s="48"/>
      <c r="I2821" s="48"/>
      <c r="J2821" s="51"/>
      <c r="K2821" s="6"/>
      <c r="L2821" s="15"/>
      <c r="M2821" s="14">
        <f t="shared" si="294"/>
        <v>0</v>
      </c>
      <c r="N2821" s="75"/>
    </row>
    <row r="2822" spans="1:14" x14ac:dyDescent="0.15">
      <c r="B2822" s="71" t="s">
        <v>575</v>
      </c>
      <c r="C2822" s="15">
        <v>13</v>
      </c>
      <c r="D2822" s="14">
        <f t="shared" si="295"/>
        <v>13</v>
      </c>
      <c r="E2822" s="48">
        <v>43322</v>
      </c>
      <c r="F2822" s="48"/>
      <c r="G2822" s="48"/>
      <c r="H2822" s="48"/>
      <c r="I2822" s="48"/>
      <c r="J2822" s="51"/>
      <c r="K2822" s="69"/>
      <c r="L2822" s="15"/>
      <c r="M2822" s="14">
        <f>SUM(L2822)</f>
        <v>0</v>
      </c>
      <c r="N2822" s="75"/>
    </row>
    <row r="2823" spans="1:14" x14ac:dyDescent="0.15">
      <c r="B2823" s="71" t="s">
        <v>162</v>
      </c>
      <c r="C2823" s="15">
        <v>72</v>
      </c>
      <c r="D2823" s="14">
        <f t="shared" si="295"/>
        <v>72</v>
      </c>
      <c r="E2823" s="48">
        <v>43326</v>
      </c>
      <c r="F2823" s="48"/>
      <c r="G2823" s="48"/>
      <c r="H2823" s="48"/>
      <c r="I2823" s="48"/>
      <c r="J2823" s="51"/>
      <c r="K2823" s="4"/>
      <c r="L2823" s="15"/>
      <c r="M2823" s="14">
        <f>SUM(L2823)</f>
        <v>0</v>
      </c>
      <c r="N2823" s="75"/>
    </row>
    <row r="2824" spans="1:14" x14ac:dyDescent="0.15">
      <c r="B2824" s="69" t="s">
        <v>576</v>
      </c>
      <c r="C2824" s="15">
        <v>300</v>
      </c>
      <c r="D2824" s="14">
        <f t="shared" si="295"/>
        <v>300</v>
      </c>
      <c r="E2824" s="74">
        <v>43330</v>
      </c>
      <c r="F2824" s="74"/>
      <c r="G2824" s="74"/>
      <c r="H2824" s="74"/>
      <c r="I2824" s="74"/>
      <c r="J2824" s="51"/>
      <c r="K2824" s="4"/>
      <c r="L2824" s="15"/>
      <c r="M2824" s="14">
        <f>SUM(L2824)</f>
        <v>0</v>
      </c>
      <c r="N2824" s="75"/>
    </row>
    <row r="2825" spans="1:14" x14ac:dyDescent="0.15">
      <c r="B2825" s="71" t="s">
        <v>162</v>
      </c>
      <c r="C2825" s="15">
        <v>54</v>
      </c>
      <c r="D2825" s="14">
        <f t="shared" si="295"/>
        <v>54</v>
      </c>
      <c r="E2825" s="74">
        <v>43328</v>
      </c>
      <c r="F2825" s="74"/>
      <c r="G2825" s="74"/>
      <c r="H2825" s="74"/>
      <c r="I2825" s="74"/>
      <c r="J2825" s="51"/>
      <c r="K2825" s="69"/>
      <c r="L2825" s="15"/>
      <c r="M2825" s="14">
        <f>SUM(L2825:L2825)</f>
        <v>0</v>
      </c>
      <c r="N2825" s="75"/>
    </row>
    <row r="2826" spans="1:14" ht="14.25" thickBot="1" x14ac:dyDescent="0.2">
      <c r="B2826" s="71" t="s">
        <v>39</v>
      </c>
      <c r="C2826" s="15">
        <v>400</v>
      </c>
      <c r="D2826" s="14">
        <f t="shared" si="295"/>
        <v>400</v>
      </c>
      <c r="E2826" s="74">
        <v>43322</v>
      </c>
      <c r="F2826" s="74"/>
      <c r="G2826" s="74"/>
      <c r="H2826" s="74"/>
      <c r="I2826" s="74"/>
      <c r="J2826" s="51"/>
      <c r="K2826" s="69"/>
      <c r="L2826" s="15"/>
      <c r="M2826" s="14">
        <f>SUM(L2826:L2826)</f>
        <v>0</v>
      </c>
      <c r="N2826" s="75"/>
    </row>
    <row r="2827" spans="1:14" ht="14.25" thickBot="1" x14ac:dyDescent="0.2">
      <c r="B2827" s="3" t="s">
        <v>5</v>
      </c>
      <c r="C2827" s="16">
        <f>SUM(C2803:C2826)</f>
        <v>2076</v>
      </c>
      <c r="D2827" s="17">
        <f>SUM(D2803:D2826)</f>
        <v>2076</v>
      </c>
      <c r="K2827" s="3" t="s">
        <v>5</v>
      </c>
      <c r="L2827" s="16">
        <f>SUM(L2803:L2826)</f>
        <v>1400</v>
      </c>
      <c r="M2827" s="17">
        <f>SUM(M2803:M2826)</f>
        <v>1400</v>
      </c>
    </row>
    <row r="2828" spans="1:14" ht="14.25" thickBot="1" x14ac:dyDescent="0.2">
      <c r="B2828" s="18" t="s">
        <v>6</v>
      </c>
      <c r="C2828" s="19">
        <f>C2802-C2827</f>
        <v>358</v>
      </c>
      <c r="D2828" s="13">
        <f>D2802-D2827</f>
        <v>358</v>
      </c>
      <c r="K2828" s="18" t="s">
        <v>6</v>
      </c>
      <c r="L2828" s="19">
        <f>L2802-L2827</f>
        <v>550</v>
      </c>
      <c r="M2828" s="13">
        <f>M2802-M2827</f>
        <v>550</v>
      </c>
    </row>
    <row r="2830" spans="1:14" ht="18" thickBot="1" x14ac:dyDescent="0.25">
      <c r="A2830" s="27" t="s">
        <v>8</v>
      </c>
      <c r="B2830" s="28"/>
      <c r="C2830" s="28"/>
      <c r="D2830" s="28"/>
      <c r="J2830" s="139" t="s">
        <v>218</v>
      </c>
      <c r="K2830" s="140"/>
      <c r="L2830" s="140"/>
      <c r="M2830" s="140"/>
    </row>
    <row r="2831" spans="1:14" ht="14.25" thickBot="1" x14ac:dyDescent="0.2">
      <c r="B2831" s="2"/>
      <c r="C2831" s="3" t="s">
        <v>0</v>
      </c>
      <c r="D2831" s="2" t="s">
        <v>1</v>
      </c>
      <c r="K2831" s="2"/>
      <c r="L2831" s="3" t="s">
        <v>0</v>
      </c>
      <c r="M2831" s="2" t="s">
        <v>1</v>
      </c>
    </row>
    <row r="2832" spans="1:14" x14ac:dyDescent="0.15">
      <c r="B2832" s="43" t="s">
        <v>26</v>
      </c>
      <c r="C2832" s="38">
        <f>C2828</f>
        <v>358</v>
      </c>
      <c r="D2832" s="39">
        <f t="shared" ref="D2832:D2842" si="296">SUM(C2832:C2832)</f>
        <v>358</v>
      </c>
      <c r="K2832" s="43" t="s">
        <v>26</v>
      </c>
      <c r="L2832" s="38">
        <f>L2828</f>
        <v>550</v>
      </c>
      <c r="M2832" s="39">
        <f t="shared" ref="M2832:M2842" si="297">SUM(L2832:L2832)</f>
        <v>550</v>
      </c>
    </row>
    <row r="2833" spans="1:14" x14ac:dyDescent="0.15">
      <c r="B2833" s="6" t="s">
        <v>3</v>
      </c>
      <c r="C2833" s="7">
        <v>200</v>
      </c>
      <c r="D2833" s="5">
        <f t="shared" si="296"/>
        <v>200</v>
      </c>
      <c r="E2833" s="74">
        <v>43333</v>
      </c>
      <c r="F2833" s="74"/>
      <c r="G2833" s="74"/>
      <c r="H2833" s="74"/>
      <c r="I2833" s="74"/>
      <c r="J2833" s="75"/>
      <c r="K2833" s="6" t="s">
        <v>3</v>
      </c>
      <c r="L2833" s="7"/>
      <c r="M2833" s="5">
        <f t="shared" si="297"/>
        <v>0</v>
      </c>
    </row>
    <row r="2834" spans="1:14" x14ac:dyDescent="0.15">
      <c r="A2834" s="75"/>
      <c r="B2834" s="6" t="s">
        <v>521</v>
      </c>
      <c r="C2834" s="7">
        <v>1</v>
      </c>
      <c r="D2834" s="5">
        <f t="shared" si="296"/>
        <v>1</v>
      </c>
      <c r="E2834" s="74">
        <v>43336</v>
      </c>
      <c r="F2834" s="74"/>
      <c r="G2834" s="74"/>
      <c r="H2834" s="74"/>
      <c r="I2834" s="74"/>
      <c r="K2834" s="6" t="s">
        <v>3</v>
      </c>
      <c r="L2834" s="7">
        <v>1800</v>
      </c>
      <c r="M2834" s="5">
        <f t="shared" si="297"/>
        <v>1800</v>
      </c>
      <c r="N2834" s="74">
        <v>43336</v>
      </c>
    </row>
    <row r="2835" spans="1:14" x14ac:dyDescent="0.15">
      <c r="A2835" s="75"/>
      <c r="B2835" s="6" t="s">
        <v>3</v>
      </c>
      <c r="C2835" s="7">
        <v>200</v>
      </c>
      <c r="D2835" s="5">
        <f t="shared" si="296"/>
        <v>200</v>
      </c>
      <c r="E2835" s="74">
        <v>43341</v>
      </c>
      <c r="F2835" s="74"/>
      <c r="G2835" s="74"/>
      <c r="H2835" s="74"/>
      <c r="I2835" s="74"/>
      <c r="J2835" s="100"/>
      <c r="K2835" s="6" t="s">
        <v>3</v>
      </c>
      <c r="L2835" s="7"/>
      <c r="M2835" s="5">
        <f t="shared" si="297"/>
        <v>0</v>
      </c>
      <c r="N2835" s="1" t="s">
        <v>555</v>
      </c>
    </row>
    <row r="2836" spans="1:14" x14ac:dyDescent="0.15">
      <c r="B2836" s="6" t="s">
        <v>64</v>
      </c>
      <c r="C2836" s="7">
        <v>59</v>
      </c>
      <c r="D2836" s="5">
        <f t="shared" si="296"/>
        <v>59</v>
      </c>
      <c r="E2836" s="74">
        <v>43350</v>
      </c>
      <c r="F2836" s="74"/>
      <c r="G2836" s="74"/>
      <c r="H2836" s="74"/>
      <c r="I2836" s="74"/>
      <c r="K2836" s="6" t="s">
        <v>3</v>
      </c>
      <c r="L2836" s="7"/>
      <c r="M2836" s="5">
        <f t="shared" si="297"/>
        <v>0</v>
      </c>
    </row>
    <row r="2837" spans="1:14" x14ac:dyDescent="0.15">
      <c r="B2837" s="6" t="s">
        <v>521</v>
      </c>
      <c r="C2837" s="7">
        <v>4</v>
      </c>
      <c r="D2837" s="5">
        <f t="shared" si="296"/>
        <v>4</v>
      </c>
      <c r="E2837" s="74">
        <v>43356</v>
      </c>
      <c r="F2837" s="74"/>
      <c r="G2837" s="74"/>
      <c r="H2837" s="74"/>
      <c r="I2837" s="74"/>
      <c r="K2837" s="6" t="s">
        <v>3</v>
      </c>
      <c r="L2837" s="7"/>
      <c r="M2837" s="5">
        <f t="shared" si="297"/>
        <v>0</v>
      </c>
      <c r="N2837" s="75"/>
    </row>
    <row r="2838" spans="1:14" x14ac:dyDescent="0.15">
      <c r="B2838" s="6" t="s">
        <v>3</v>
      </c>
      <c r="C2838" s="7"/>
      <c r="D2838" s="5">
        <f t="shared" si="296"/>
        <v>0</v>
      </c>
      <c r="E2838" s="74"/>
      <c r="F2838" s="74"/>
      <c r="G2838" s="74"/>
      <c r="H2838" s="74"/>
      <c r="I2838" s="74"/>
      <c r="K2838" s="6" t="s">
        <v>3</v>
      </c>
      <c r="L2838" s="7"/>
      <c r="M2838" s="5">
        <f t="shared" si="297"/>
        <v>0</v>
      </c>
    </row>
    <row r="2839" spans="1:14" x14ac:dyDescent="0.15">
      <c r="B2839" s="6" t="s">
        <v>3</v>
      </c>
      <c r="C2839" s="54"/>
      <c r="D2839" s="5">
        <f t="shared" si="296"/>
        <v>0</v>
      </c>
      <c r="K2839" s="6" t="s">
        <v>3</v>
      </c>
      <c r="L2839" s="7"/>
      <c r="M2839" s="5">
        <f t="shared" si="297"/>
        <v>0</v>
      </c>
    </row>
    <row r="2840" spans="1:14" x14ac:dyDescent="0.15">
      <c r="B2840" s="6" t="s">
        <v>3</v>
      </c>
      <c r="C2840" s="54"/>
      <c r="D2840" s="5">
        <f t="shared" si="296"/>
        <v>0</v>
      </c>
      <c r="K2840" s="6" t="s">
        <v>3</v>
      </c>
      <c r="L2840" s="7"/>
      <c r="M2840" s="5">
        <f t="shared" si="297"/>
        <v>0</v>
      </c>
      <c r="N2840" s="74"/>
    </row>
    <row r="2841" spans="1:14" x14ac:dyDescent="0.15">
      <c r="B2841" s="6" t="s">
        <v>3</v>
      </c>
      <c r="C2841" s="54"/>
      <c r="D2841" s="5">
        <f t="shared" si="296"/>
        <v>0</v>
      </c>
      <c r="K2841" s="6" t="s">
        <v>3</v>
      </c>
      <c r="L2841" s="7"/>
      <c r="M2841" s="5">
        <f t="shared" si="297"/>
        <v>0</v>
      </c>
    </row>
    <row r="2842" spans="1:14" ht="14.25" thickBot="1" x14ac:dyDescent="0.2">
      <c r="B2842" s="9" t="s">
        <v>3</v>
      </c>
      <c r="C2842" s="101"/>
      <c r="D2842" s="5">
        <f t="shared" si="296"/>
        <v>0</v>
      </c>
      <c r="K2842" s="9" t="s">
        <v>3</v>
      </c>
      <c r="L2842" s="10"/>
      <c r="M2842" s="5">
        <f t="shared" si="297"/>
        <v>0</v>
      </c>
    </row>
    <row r="2843" spans="1:14" ht="14.25" thickBot="1" x14ac:dyDescent="0.2">
      <c r="B2843" s="11" t="s">
        <v>4</v>
      </c>
      <c r="C2843" s="12">
        <f>SUM(C2832:C2842)</f>
        <v>822</v>
      </c>
      <c r="D2843" s="13">
        <f>SUM(D2832:D2842)</f>
        <v>822</v>
      </c>
      <c r="K2843" s="11" t="s">
        <v>4</v>
      </c>
      <c r="L2843" s="12">
        <f>SUM(L2832:L2842)</f>
        <v>2350</v>
      </c>
      <c r="M2843" s="13">
        <f>SUM(M2832:M2842)</f>
        <v>2350</v>
      </c>
    </row>
    <row r="2844" spans="1:14" x14ac:dyDescent="0.15">
      <c r="B2844" s="69" t="s">
        <v>577</v>
      </c>
      <c r="C2844" s="15">
        <v>100</v>
      </c>
      <c r="D2844" s="14">
        <f>SUM(C2844)</f>
        <v>100</v>
      </c>
      <c r="E2844" s="74">
        <v>43330</v>
      </c>
      <c r="F2844" s="74"/>
      <c r="G2844" s="74"/>
      <c r="H2844" s="74"/>
      <c r="I2844" s="74"/>
      <c r="K2844" s="71" t="s">
        <v>476</v>
      </c>
      <c r="L2844" s="15">
        <v>180</v>
      </c>
      <c r="M2844" s="14">
        <f>SUM(L2844)</f>
        <v>180</v>
      </c>
      <c r="N2844" s="74">
        <v>43339</v>
      </c>
    </row>
    <row r="2845" spans="1:14" x14ac:dyDescent="0.15">
      <c r="B2845" s="69" t="s">
        <v>578</v>
      </c>
      <c r="C2845" s="15">
        <v>176</v>
      </c>
      <c r="D2845" s="14">
        <f>SUM(C2845)</f>
        <v>176</v>
      </c>
      <c r="E2845" s="74">
        <v>43332</v>
      </c>
      <c r="F2845" s="74"/>
      <c r="G2845" s="74"/>
      <c r="H2845" s="74"/>
      <c r="I2845" s="74"/>
      <c r="J2845" s="36"/>
      <c r="K2845" s="69" t="s">
        <v>31</v>
      </c>
      <c r="L2845" s="15">
        <v>200</v>
      </c>
      <c r="M2845" s="14">
        <f t="shared" ref="M2845:M2862" si="298">SUM(L2845:L2845)</f>
        <v>200</v>
      </c>
      <c r="N2845" s="74">
        <v>43333</v>
      </c>
    </row>
    <row r="2846" spans="1:14" x14ac:dyDescent="0.15">
      <c r="B2846" s="71" t="s">
        <v>162</v>
      </c>
      <c r="C2846" s="15">
        <v>25</v>
      </c>
      <c r="D2846" s="14">
        <f>SUM(C2846)</f>
        <v>25</v>
      </c>
      <c r="E2846" s="74">
        <v>43329</v>
      </c>
      <c r="F2846" s="74"/>
      <c r="G2846" s="74"/>
      <c r="H2846" s="74"/>
      <c r="I2846" s="74"/>
      <c r="J2846" s="51"/>
      <c r="K2846" s="69" t="s">
        <v>579</v>
      </c>
      <c r="L2846" s="15">
        <v>58</v>
      </c>
      <c r="M2846" s="14">
        <f t="shared" si="298"/>
        <v>58</v>
      </c>
      <c r="N2846" s="74">
        <v>43333</v>
      </c>
    </row>
    <row r="2847" spans="1:14" x14ac:dyDescent="0.15">
      <c r="B2847" s="71" t="s">
        <v>162</v>
      </c>
      <c r="C2847" s="15">
        <v>32</v>
      </c>
      <c r="D2847" s="14">
        <f t="shared" ref="D2847:D2867" si="299">SUM(C2847)</f>
        <v>32</v>
      </c>
      <c r="E2847" s="74">
        <v>43332</v>
      </c>
      <c r="F2847" s="74"/>
      <c r="G2847" s="74"/>
      <c r="H2847" s="74"/>
      <c r="I2847" s="74"/>
      <c r="J2847" s="51"/>
      <c r="K2847" s="69" t="s">
        <v>31</v>
      </c>
      <c r="L2847" s="15">
        <v>200</v>
      </c>
      <c r="M2847" s="14">
        <f t="shared" si="298"/>
        <v>200</v>
      </c>
      <c r="N2847" s="74">
        <v>43341</v>
      </c>
    </row>
    <row r="2848" spans="1:14" x14ac:dyDescent="0.15">
      <c r="B2848" s="69" t="s">
        <v>580</v>
      </c>
      <c r="C2848" s="15">
        <v>58</v>
      </c>
      <c r="D2848" s="14">
        <f t="shared" si="299"/>
        <v>58</v>
      </c>
      <c r="E2848" s="74">
        <v>43334</v>
      </c>
      <c r="F2848" s="74"/>
      <c r="G2848" s="74"/>
      <c r="H2848" s="74"/>
      <c r="I2848" s="74"/>
      <c r="J2848" s="51"/>
      <c r="K2848" s="71"/>
      <c r="L2848" s="15"/>
      <c r="M2848" s="14">
        <f t="shared" si="298"/>
        <v>0</v>
      </c>
      <c r="N2848" s="74"/>
    </row>
    <row r="2849" spans="2:14" x14ac:dyDescent="0.15">
      <c r="B2849" s="71" t="s">
        <v>162</v>
      </c>
      <c r="C2849" s="15">
        <v>17</v>
      </c>
      <c r="D2849" s="14">
        <f t="shared" si="299"/>
        <v>17</v>
      </c>
      <c r="E2849" s="74">
        <v>43333</v>
      </c>
      <c r="F2849" s="74"/>
      <c r="G2849" s="74"/>
      <c r="H2849" s="74"/>
      <c r="I2849" s="74"/>
      <c r="J2849" s="51"/>
      <c r="K2849" s="4"/>
      <c r="L2849" s="15"/>
      <c r="M2849" s="14">
        <f t="shared" si="298"/>
        <v>0</v>
      </c>
      <c r="N2849" s="75"/>
    </row>
    <row r="2850" spans="2:14" x14ac:dyDescent="0.15">
      <c r="B2850" s="71" t="s">
        <v>162</v>
      </c>
      <c r="C2850" s="15">
        <v>15</v>
      </c>
      <c r="D2850" s="14">
        <f t="shared" si="299"/>
        <v>15</v>
      </c>
      <c r="E2850" s="74">
        <v>43334</v>
      </c>
      <c r="F2850" s="74"/>
      <c r="G2850" s="74"/>
      <c r="H2850" s="74"/>
      <c r="I2850" s="74"/>
      <c r="J2850" s="51"/>
      <c r="K2850" s="4"/>
      <c r="L2850" s="15"/>
      <c r="M2850" s="14">
        <f t="shared" si="298"/>
        <v>0</v>
      </c>
      <c r="N2850" s="74"/>
    </row>
    <row r="2851" spans="2:14" x14ac:dyDescent="0.15">
      <c r="B2851" s="71" t="s">
        <v>162</v>
      </c>
      <c r="C2851" s="15">
        <v>10</v>
      </c>
      <c r="D2851" s="14">
        <f t="shared" si="299"/>
        <v>10</v>
      </c>
      <c r="E2851" s="74">
        <v>43335</v>
      </c>
      <c r="F2851" s="74"/>
      <c r="G2851" s="74"/>
      <c r="H2851" s="74"/>
      <c r="I2851" s="74"/>
      <c r="J2851" s="51"/>
      <c r="K2851" s="6"/>
      <c r="L2851" s="15"/>
      <c r="M2851" s="14">
        <f t="shared" si="298"/>
        <v>0</v>
      </c>
      <c r="N2851" s="75"/>
    </row>
    <row r="2852" spans="2:14" x14ac:dyDescent="0.15">
      <c r="B2852" s="71" t="s">
        <v>162</v>
      </c>
      <c r="C2852" s="15">
        <v>45</v>
      </c>
      <c r="D2852" s="14">
        <f t="shared" si="299"/>
        <v>45</v>
      </c>
      <c r="E2852" s="74">
        <v>43336</v>
      </c>
      <c r="F2852" s="74"/>
      <c r="G2852" s="74"/>
      <c r="H2852" s="74"/>
      <c r="I2852" s="74"/>
      <c r="J2852" s="51"/>
      <c r="K2852" s="4"/>
      <c r="L2852" s="15"/>
      <c r="M2852" s="14">
        <f t="shared" si="298"/>
        <v>0</v>
      </c>
      <c r="N2852" s="75"/>
    </row>
    <row r="2853" spans="2:14" x14ac:dyDescent="0.15">
      <c r="B2853" s="71" t="s">
        <v>162</v>
      </c>
      <c r="C2853" s="15">
        <v>56</v>
      </c>
      <c r="D2853" s="14">
        <f t="shared" si="299"/>
        <v>56</v>
      </c>
      <c r="E2853" s="74">
        <v>43339</v>
      </c>
      <c r="F2853" s="74"/>
      <c r="G2853" s="74"/>
      <c r="H2853" s="74"/>
      <c r="I2853" s="74"/>
      <c r="J2853" s="36"/>
      <c r="K2853" s="4"/>
      <c r="L2853" s="15"/>
      <c r="M2853" s="14">
        <f t="shared" si="298"/>
        <v>0</v>
      </c>
      <c r="N2853" s="75"/>
    </row>
    <row r="2854" spans="2:14" x14ac:dyDescent="0.15">
      <c r="B2854" s="71" t="s">
        <v>162</v>
      </c>
      <c r="C2854" s="15">
        <v>19</v>
      </c>
      <c r="D2854" s="14">
        <f t="shared" si="299"/>
        <v>19</v>
      </c>
      <c r="E2854" s="74">
        <v>43340</v>
      </c>
      <c r="F2854" s="74"/>
      <c r="G2854" s="74"/>
      <c r="H2854" s="74"/>
      <c r="I2854" s="74"/>
      <c r="J2854" s="51"/>
      <c r="K2854" s="4"/>
      <c r="L2854" s="15"/>
      <c r="M2854" s="14">
        <f t="shared" si="298"/>
        <v>0</v>
      </c>
      <c r="N2854" s="75"/>
    </row>
    <row r="2855" spans="2:14" x14ac:dyDescent="0.15">
      <c r="B2855" s="71" t="s">
        <v>162</v>
      </c>
      <c r="C2855" s="15">
        <v>18</v>
      </c>
      <c r="D2855" s="14">
        <f t="shared" si="299"/>
        <v>18</v>
      </c>
      <c r="E2855" s="48">
        <v>43341</v>
      </c>
      <c r="F2855" s="48"/>
      <c r="G2855" s="48"/>
      <c r="H2855" s="48"/>
      <c r="I2855" s="48"/>
      <c r="J2855" s="51"/>
      <c r="K2855" s="4"/>
      <c r="L2855" s="15"/>
      <c r="M2855" s="14">
        <f t="shared" si="298"/>
        <v>0</v>
      </c>
      <c r="N2855" s="75"/>
    </row>
    <row r="2856" spans="2:14" x14ac:dyDescent="0.15">
      <c r="B2856" s="71" t="s">
        <v>162</v>
      </c>
      <c r="C2856" s="15">
        <v>16</v>
      </c>
      <c r="D2856" s="14">
        <f t="shared" si="299"/>
        <v>16</v>
      </c>
      <c r="E2856" s="74">
        <v>43342</v>
      </c>
      <c r="F2856" s="74"/>
      <c r="G2856" s="74"/>
      <c r="H2856" s="74"/>
      <c r="I2856" s="74"/>
      <c r="J2856" s="36"/>
      <c r="K2856" s="6"/>
      <c r="L2856" s="15"/>
      <c r="M2856" s="14">
        <f t="shared" si="298"/>
        <v>0</v>
      </c>
      <c r="N2856" s="75"/>
    </row>
    <row r="2857" spans="2:14" x14ac:dyDescent="0.15">
      <c r="B2857" s="71" t="s">
        <v>162</v>
      </c>
      <c r="C2857" s="15">
        <v>16</v>
      </c>
      <c r="D2857" s="14">
        <f t="shared" si="299"/>
        <v>16</v>
      </c>
      <c r="E2857" s="74">
        <v>43343</v>
      </c>
      <c r="F2857" s="74"/>
      <c r="G2857" s="74"/>
      <c r="H2857" s="74"/>
      <c r="I2857" s="74"/>
      <c r="J2857" s="51"/>
      <c r="K2857" s="67"/>
      <c r="L2857" s="15"/>
      <c r="M2857" s="14">
        <f t="shared" si="298"/>
        <v>0</v>
      </c>
      <c r="N2857" s="75"/>
    </row>
    <row r="2858" spans="2:14" x14ac:dyDescent="0.15">
      <c r="B2858" s="71" t="s">
        <v>581</v>
      </c>
      <c r="C2858" s="15">
        <v>18</v>
      </c>
      <c r="D2858" s="14">
        <f t="shared" si="299"/>
        <v>18</v>
      </c>
      <c r="E2858" s="48">
        <v>43344</v>
      </c>
      <c r="F2858" s="48"/>
      <c r="G2858" s="48"/>
      <c r="H2858" s="48"/>
      <c r="I2858" s="48"/>
      <c r="J2858" s="51"/>
      <c r="K2858" s="4"/>
      <c r="L2858" s="15"/>
      <c r="M2858" s="14">
        <f t="shared" si="298"/>
        <v>0</v>
      </c>
      <c r="N2858" s="75"/>
    </row>
    <row r="2859" spans="2:14" x14ac:dyDescent="0.15">
      <c r="B2859" s="71" t="s">
        <v>162</v>
      </c>
      <c r="C2859" s="15">
        <v>27</v>
      </c>
      <c r="D2859" s="14">
        <f t="shared" si="299"/>
        <v>27</v>
      </c>
      <c r="E2859" s="74">
        <v>43346</v>
      </c>
      <c r="F2859" s="74"/>
      <c r="G2859" s="74"/>
      <c r="H2859" s="74"/>
      <c r="I2859" s="74"/>
      <c r="J2859" s="51"/>
      <c r="K2859" s="4"/>
      <c r="L2859" s="15"/>
      <c r="M2859" s="14">
        <f t="shared" si="298"/>
        <v>0</v>
      </c>
      <c r="N2859" s="75"/>
    </row>
    <row r="2860" spans="2:14" x14ac:dyDescent="0.15">
      <c r="B2860" s="71" t="s">
        <v>162</v>
      </c>
      <c r="C2860" s="15">
        <v>6</v>
      </c>
      <c r="D2860" s="14">
        <f t="shared" si="299"/>
        <v>6</v>
      </c>
      <c r="E2860" s="74">
        <v>43347</v>
      </c>
      <c r="F2860" s="74"/>
      <c r="G2860" s="74"/>
      <c r="H2860" s="74"/>
      <c r="I2860" s="74"/>
      <c r="J2860" s="51"/>
      <c r="K2860" s="6"/>
      <c r="L2860" s="15"/>
      <c r="M2860" s="14">
        <f t="shared" si="298"/>
        <v>0</v>
      </c>
      <c r="N2860" s="75"/>
    </row>
    <row r="2861" spans="2:14" x14ac:dyDescent="0.15">
      <c r="B2861" s="71" t="s">
        <v>162</v>
      </c>
      <c r="C2861" s="15">
        <v>10</v>
      </c>
      <c r="D2861" s="14">
        <f t="shared" si="299"/>
        <v>10</v>
      </c>
      <c r="E2861" s="74">
        <v>43348</v>
      </c>
      <c r="F2861" s="74"/>
      <c r="G2861" s="74"/>
      <c r="H2861" s="74"/>
      <c r="I2861" s="74"/>
      <c r="J2861" s="51"/>
      <c r="K2861" s="4"/>
      <c r="L2861" s="15"/>
      <c r="M2861" s="14">
        <f t="shared" si="298"/>
        <v>0</v>
      </c>
      <c r="N2861" s="75"/>
    </row>
    <row r="2862" spans="2:14" x14ac:dyDescent="0.15">
      <c r="B2862" s="71" t="s">
        <v>162</v>
      </c>
      <c r="C2862" s="15">
        <v>6</v>
      </c>
      <c r="D2862" s="14">
        <f t="shared" si="299"/>
        <v>6</v>
      </c>
      <c r="E2862" s="48">
        <v>43350</v>
      </c>
      <c r="F2862" s="48"/>
      <c r="G2862" s="48"/>
      <c r="H2862" s="48"/>
      <c r="I2862" s="48"/>
      <c r="J2862" s="51"/>
      <c r="K2862" s="6"/>
      <c r="L2862" s="15"/>
      <c r="M2862" s="14">
        <f t="shared" si="298"/>
        <v>0</v>
      </c>
      <c r="N2862" s="75"/>
    </row>
    <row r="2863" spans="2:14" x14ac:dyDescent="0.15">
      <c r="B2863" s="71" t="s">
        <v>162</v>
      </c>
      <c r="C2863" s="15">
        <v>22</v>
      </c>
      <c r="D2863" s="14">
        <f t="shared" si="299"/>
        <v>22</v>
      </c>
      <c r="E2863" s="48">
        <v>43353</v>
      </c>
      <c r="F2863" s="48"/>
      <c r="G2863" s="48"/>
      <c r="H2863" s="48"/>
      <c r="I2863" s="48"/>
      <c r="J2863" s="51"/>
      <c r="K2863" s="69"/>
      <c r="L2863" s="15"/>
      <c r="M2863" s="14">
        <f>SUM(L2863)</f>
        <v>0</v>
      </c>
      <c r="N2863" s="75"/>
    </row>
    <row r="2864" spans="2:14" x14ac:dyDescent="0.15">
      <c r="B2864" s="71" t="s">
        <v>162</v>
      </c>
      <c r="C2864" s="15">
        <v>11</v>
      </c>
      <c r="D2864" s="14">
        <f t="shared" si="299"/>
        <v>11</v>
      </c>
      <c r="E2864" s="48">
        <v>43354</v>
      </c>
      <c r="F2864" s="48"/>
      <c r="G2864" s="48"/>
      <c r="H2864" s="48"/>
      <c r="I2864" s="48"/>
      <c r="J2864" s="51"/>
      <c r="K2864" s="4"/>
      <c r="L2864" s="15"/>
      <c r="M2864" s="14">
        <f>SUM(L2864)</f>
        <v>0</v>
      </c>
      <c r="N2864" s="75"/>
    </row>
    <row r="2865" spans="1:14" x14ac:dyDescent="0.15">
      <c r="B2865" s="71" t="s">
        <v>162</v>
      </c>
      <c r="C2865" s="15">
        <v>1</v>
      </c>
      <c r="D2865" s="14">
        <f t="shared" si="299"/>
        <v>1</v>
      </c>
      <c r="E2865" s="48">
        <v>43355</v>
      </c>
      <c r="F2865" s="48"/>
      <c r="G2865" s="48"/>
      <c r="H2865" s="48"/>
      <c r="I2865" s="48"/>
      <c r="J2865" s="51"/>
      <c r="K2865" s="4"/>
      <c r="L2865" s="15"/>
      <c r="M2865" s="14">
        <f>SUM(L2865)</f>
        <v>0</v>
      </c>
      <c r="N2865" s="75"/>
    </row>
    <row r="2866" spans="1:14" x14ac:dyDescent="0.15">
      <c r="B2866" s="71" t="s">
        <v>162</v>
      </c>
      <c r="C2866" s="15">
        <v>4</v>
      </c>
      <c r="D2866" s="14">
        <f t="shared" si="299"/>
        <v>4</v>
      </c>
      <c r="E2866" s="48">
        <v>43356</v>
      </c>
      <c r="F2866" s="48"/>
      <c r="G2866" s="48"/>
      <c r="H2866" s="48"/>
      <c r="I2866" s="48"/>
      <c r="J2866" s="51"/>
      <c r="K2866" s="69"/>
      <c r="L2866" s="15"/>
      <c r="M2866" s="14">
        <f>SUM(L2866:L2866)</f>
        <v>0</v>
      </c>
      <c r="N2866" s="75"/>
    </row>
    <row r="2867" spans="1:14" ht="14.25" thickBot="1" x14ac:dyDescent="0.2">
      <c r="B2867" s="71" t="s">
        <v>162</v>
      </c>
      <c r="C2867" s="15">
        <v>2</v>
      </c>
      <c r="D2867" s="14">
        <f t="shared" si="299"/>
        <v>2</v>
      </c>
      <c r="E2867" s="48">
        <v>43358</v>
      </c>
      <c r="F2867" s="48"/>
      <c r="G2867" s="48"/>
      <c r="H2867" s="48"/>
      <c r="I2867" s="48"/>
      <c r="J2867" s="51"/>
      <c r="K2867" s="69"/>
      <c r="L2867" s="15"/>
      <c r="M2867" s="14">
        <f>SUM(L2867:L2867)</f>
        <v>0</v>
      </c>
      <c r="N2867" s="74"/>
    </row>
    <row r="2868" spans="1:14" ht="14.25" thickBot="1" x14ac:dyDescent="0.2">
      <c r="B2868" s="3" t="s">
        <v>5</v>
      </c>
      <c r="C2868" s="16">
        <f>SUM(C2844:C2867)</f>
        <v>710</v>
      </c>
      <c r="D2868" s="17">
        <f>SUM(D2844:D2867)</f>
        <v>710</v>
      </c>
      <c r="K2868" s="3" t="s">
        <v>5</v>
      </c>
      <c r="L2868" s="16">
        <f>SUM(L2844:L2867)</f>
        <v>638</v>
      </c>
      <c r="M2868" s="17">
        <f>SUM(M2844:M2867)</f>
        <v>638</v>
      </c>
    </row>
    <row r="2869" spans="1:14" ht="14.25" thickBot="1" x14ac:dyDescent="0.2">
      <c r="B2869" s="18" t="s">
        <v>6</v>
      </c>
      <c r="C2869" s="19">
        <f>C2843-C2868</f>
        <v>112</v>
      </c>
      <c r="D2869" s="13">
        <f>D2843-D2868</f>
        <v>112</v>
      </c>
      <c r="K2869" s="18" t="s">
        <v>6</v>
      </c>
      <c r="L2869" s="19">
        <f>L2843-L2868</f>
        <v>1712</v>
      </c>
      <c r="M2869" s="13">
        <f>M2843-M2868</f>
        <v>1712</v>
      </c>
    </row>
    <row r="2871" spans="1:14" ht="18" thickBot="1" x14ac:dyDescent="0.25">
      <c r="A2871" s="27" t="s">
        <v>8</v>
      </c>
      <c r="B2871" s="28"/>
      <c r="C2871" s="28"/>
      <c r="D2871" s="28"/>
      <c r="J2871" s="139" t="s">
        <v>218</v>
      </c>
      <c r="K2871" s="140"/>
      <c r="L2871" s="140"/>
      <c r="M2871" s="140"/>
    </row>
    <row r="2872" spans="1:14" ht="14.25" thickBot="1" x14ac:dyDescent="0.2">
      <c r="B2872" s="2"/>
      <c r="C2872" s="3" t="s">
        <v>0</v>
      </c>
      <c r="D2872" s="2" t="s">
        <v>1</v>
      </c>
      <c r="K2872" s="2"/>
      <c r="L2872" s="3" t="s">
        <v>0</v>
      </c>
      <c r="M2872" s="2" t="s">
        <v>1</v>
      </c>
    </row>
    <row r="2873" spans="1:14" x14ac:dyDescent="0.15">
      <c r="B2873" s="43" t="s">
        <v>26</v>
      </c>
      <c r="C2873" s="38">
        <f>C2869</f>
        <v>112</v>
      </c>
      <c r="D2873" s="39">
        <f t="shared" ref="D2873:D2883" si="300">SUM(C2873:C2873)</f>
        <v>112</v>
      </c>
      <c r="K2873" s="43" t="s">
        <v>26</v>
      </c>
      <c r="L2873" s="38">
        <f>L2869</f>
        <v>1712</v>
      </c>
      <c r="M2873" s="39">
        <f t="shared" ref="M2873:M2883" si="301">SUM(L2873:L2873)</f>
        <v>1712</v>
      </c>
    </row>
    <row r="2874" spans="1:14" x14ac:dyDescent="0.15">
      <c r="B2874" s="6" t="s">
        <v>71</v>
      </c>
      <c r="C2874" s="7">
        <v>2</v>
      </c>
      <c r="D2874" s="5">
        <f t="shared" si="300"/>
        <v>2</v>
      </c>
      <c r="E2874" s="74">
        <v>43370</v>
      </c>
      <c r="F2874" s="74"/>
      <c r="G2874" s="74"/>
      <c r="H2874" s="74"/>
      <c r="I2874" s="74"/>
      <c r="J2874" s="75"/>
      <c r="K2874" s="6" t="s">
        <v>3</v>
      </c>
      <c r="L2874" s="7"/>
      <c r="M2874" s="5">
        <f t="shared" si="301"/>
        <v>0</v>
      </c>
    </row>
    <row r="2875" spans="1:14" x14ac:dyDescent="0.15">
      <c r="A2875" s="75"/>
      <c r="B2875" s="6" t="s">
        <v>3</v>
      </c>
      <c r="C2875" s="7">
        <v>200</v>
      </c>
      <c r="D2875" s="5">
        <f t="shared" si="300"/>
        <v>200</v>
      </c>
      <c r="E2875" s="74">
        <v>43398</v>
      </c>
      <c r="F2875" s="74"/>
      <c r="G2875" s="74"/>
      <c r="H2875" s="74"/>
      <c r="I2875" s="74"/>
      <c r="K2875" s="6" t="s">
        <v>3</v>
      </c>
      <c r="L2875" s="7"/>
      <c r="M2875" s="5">
        <f t="shared" si="301"/>
        <v>0</v>
      </c>
    </row>
    <row r="2876" spans="1:14" x14ac:dyDescent="0.15">
      <c r="A2876" s="75"/>
      <c r="B2876" s="6" t="s">
        <v>3</v>
      </c>
      <c r="C2876" s="7"/>
      <c r="D2876" s="5">
        <f t="shared" si="300"/>
        <v>0</v>
      </c>
      <c r="E2876" s="74"/>
      <c r="F2876" s="74"/>
      <c r="G2876" s="74"/>
      <c r="H2876" s="74"/>
      <c r="I2876" s="74"/>
      <c r="J2876" s="100"/>
      <c r="K2876" s="6" t="s">
        <v>3</v>
      </c>
      <c r="L2876" s="7"/>
      <c r="M2876" s="5">
        <f t="shared" si="301"/>
        <v>0</v>
      </c>
    </row>
    <row r="2877" spans="1:14" x14ac:dyDescent="0.15">
      <c r="B2877" s="6" t="s">
        <v>3</v>
      </c>
      <c r="C2877" s="7"/>
      <c r="D2877" s="5">
        <f t="shared" si="300"/>
        <v>0</v>
      </c>
      <c r="E2877" s="74"/>
      <c r="F2877" s="74"/>
      <c r="G2877" s="74"/>
      <c r="H2877" s="74"/>
      <c r="I2877" s="74"/>
      <c r="K2877" s="6" t="s">
        <v>3</v>
      </c>
      <c r="L2877" s="7"/>
      <c r="M2877" s="5">
        <f t="shared" si="301"/>
        <v>0</v>
      </c>
    </row>
    <row r="2878" spans="1:14" x14ac:dyDescent="0.15">
      <c r="B2878" s="6" t="s">
        <v>3</v>
      </c>
      <c r="C2878" s="7"/>
      <c r="D2878" s="5">
        <f t="shared" si="300"/>
        <v>0</v>
      </c>
      <c r="E2878" s="74"/>
      <c r="F2878" s="74"/>
      <c r="G2878" s="74"/>
      <c r="H2878" s="74"/>
      <c r="I2878" s="74"/>
      <c r="K2878" s="6" t="s">
        <v>3</v>
      </c>
      <c r="L2878" s="7"/>
      <c r="M2878" s="5">
        <f t="shared" si="301"/>
        <v>0</v>
      </c>
    </row>
    <row r="2879" spans="1:14" x14ac:dyDescent="0.15">
      <c r="B2879" s="6" t="s">
        <v>3</v>
      </c>
      <c r="C2879" s="7"/>
      <c r="D2879" s="5">
        <f t="shared" si="300"/>
        <v>0</v>
      </c>
      <c r="E2879" s="74"/>
      <c r="F2879" s="74"/>
      <c r="G2879" s="74"/>
      <c r="H2879" s="74"/>
      <c r="I2879" s="74"/>
      <c r="K2879" s="6" t="s">
        <v>3</v>
      </c>
      <c r="L2879" s="7"/>
      <c r="M2879" s="5">
        <f t="shared" si="301"/>
        <v>0</v>
      </c>
    </row>
    <row r="2880" spans="1:14" x14ac:dyDescent="0.15">
      <c r="B2880" s="6" t="s">
        <v>3</v>
      </c>
      <c r="C2880" s="54"/>
      <c r="D2880" s="5">
        <f t="shared" si="300"/>
        <v>0</v>
      </c>
      <c r="K2880" s="6" t="s">
        <v>3</v>
      </c>
      <c r="L2880" s="7"/>
      <c r="M2880" s="5">
        <f t="shared" si="301"/>
        <v>0</v>
      </c>
    </row>
    <row r="2881" spans="2:14" x14ac:dyDescent="0.15">
      <c r="B2881" s="6" t="s">
        <v>3</v>
      </c>
      <c r="C2881" s="54"/>
      <c r="D2881" s="5">
        <f t="shared" si="300"/>
        <v>0</v>
      </c>
      <c r="K2881" s="6" t="s">
        <v>3</v>
      </c>
      <c r="L2881" s="7"/>
      <c r="M2881" s="5">
        <f t="shared" si="301"/>
        <v>0</v>
      </c>
    </row>
    <row r="2882" spans="2:14" x14ac:dyDescent="0.15">
      <c r="B2882" s="6" t="s">
        <v>3</v>
      </c>
      <c r="C2882" s="54"/>
      <c r="D2882" s="5">
        <f t="shared" si="300"/>
        <v>0</v>
      </c>
      <c r="K2882" s="6" t="s">
        <v>3</v>
      </c>
      <c r="L2882" s="7"/>
      <c r="M2882" s="5">
        <f t="shared" si="301"/>
        <v>0</v>
      </c>
    </row>
    <row r="2883" spans="2:14" ht="14.25" thickBot="1" x14ac:dyDescent="0.2">
      <c r="B2883" s="9" t="s">
        <v>3</v>
      </c>
      <c r="C2883" s="101"/>
      <c r="D2883" s="5">
        <f t="shared" si="300"/>
        <v>0</v>
      </c>
      <c r="K2883" s="9" t="s">
        <v>3</v>
      </c>
      <c r="L2883" s="10"/>
      <c r="M2883" s="5">
        <f t="shared" si="301"/>
        <v>0</v>
      </c>
    </row>
    <row r="2884" spans="2:14" ht="14.25" thickBot="1" x14ac:dyDescent="0.2">
      <c r="B2884" s="11" t="s">
        <v>4</v>
      </c>
      <c r="C2884" s="12">
        <f>SUM(C2873:C2883)</f>
        <v>314</v>
      </c>
      <c r="D2884" s="13">
        <f>SUM(D2873:D2883)</f>
        <v>314</v>
      </c>
      <c r="K2884" s="11" t="s">
        <v>4</v>
      </c>
      <c r="L2884" s="12">
        <f>SUM(L2873:L2883)</f>
        <v>1712</v>
      </c>
      <c r="M2884" s="13">
        <f>SUM(M2873:M2883)</f>
        <v>1712</v>
      </c>
    </row>
    <row r="2885" spans="2:14" x14ac:dyDescent="0.15">
      <c r="B2885" s="71" t="s">
        <v>162</v>
      </c>
      <c r="C2885" s="15">
        <v>10</v>
      </c>
      <c r="D2885" s="14">
        <f>SUM(C2885)</f>
        <v>10</v>
      </c>
      <c r="E2885" s="74">
        <v>43361</v>
      </c>
      <c r="F2885" s="74"/>
      <c r="G2885" s="74"/>
      <c r="H2885" s="74"/>
      <c r="I2885" s="74"/>
      <c r="K2885" s="71" t="s">
        <v>31</v>
      </c>
      <c r="L2885" s="15">
        <v>200</v>
      </c>
      <c r="M2885" s="14">
        <f>SUM(L2885)</f>
        <v>200</v>
      </c>
      <c r="N2885" s="74">
        <v>43398</v>
      </c>
    </row>
    <row r="2886" spans="2:14" x14ac:dyDescent="0.15">
      <c r="B2886" s="71" t="s">
        <v>162</v>
      </c>
      <c r="C2886" s="15">
        <v>1</v>
      </c>
      <c r="D2886" s="14">
        <f>SUM(C2886)</f>
        <v>1</v>
      </c>
      <c r="E2886" s="74">
        <v>43362</v>
      </c>
      <c r="F2886" s="74"/>
      <c r="G2886" s="74"/>
      <c r="H2886" s="74"/>
      <c r="I2886" s="74"/>
      <c r="J2886" s="36"/>
      <c r="K2886" s="69"/>
      <c r="L2886" s="15"/>
      <c r="M2886" s="14">
        <f t="shared" ref="M2886:M2903" si="302">SUM(L2886:L2886)</f>
        <v>0</v>
      </c>
    </row>
    <row r="2887" spans="2:14" x14ac:dyDescent="0.15">
      <c r="B2887" s="71" t="s">
        <v>162</v>
      </c>
      <c r="C2887" s="15">
        <v>1</v>
      </c>
      <c r="D2887" s="14">
        <f>SUM(C2887)</f>
        <v>1</v>
      </c>
      <c r="E2887" s="74">
        <v>43363</v>
      </c>
      <c r="F2887" s="74"/>
      <c r="G2887" s="74"/>
      <c r="H2887" s="74"/>
      <c r="I2887" s="74"/>
      <c r="J2887" s="51"/>
      <c r="K2887" s="69"/>
      <c r="L2887" s="15"/>
      <c r="M2887" s="14">
        <f t="shared" si="302"/>
        <v>0</v>
      </c>
    </row>
    <row r="2888" spans="2:14" x14ac:dyDescent="0.15">
      <c r="B2888" s="71" t="s">
        <v>162</v>
      </c>
      <c r="C2888" s="15">
        <v>1</v>
      </c>
      <c r="D2888" s="14">
        <f t="shared" ref="D2888:D2908" si="303">SUM(C2888)</f>
        <v>1</v>
      </c>
      <c r="E2888" s="74">
        <v>43364</v>
      </c>
      <c r="F2888" s="74"/>
      <c r="G2888" s="74"/>
      <c r="H2888" s="74"/>
      <c r="I2888" s="74"/>
      <c r="J2888" s="51"/>
      <c r="K2888" s="69"/>
      <c r="L2888" s="15"/>
      <c r="M2888" s="14">
        <f t="shared" si="302"/>
        <v>0</v>
      </c>
    </row>
    <row r="2889" spans="2:14" x14ac:dyDescent="0.15">
      <c r="B2889" s="71" t="s">
        <v>162</v>
      </c>
      <c r="C2889" s="15">
        <v>14</v>
      </c>
      <c r="D2889" s="14">
        <f t="shared" si="303"/>
        <v>14</v>
      </c>
      <c r="E2889" s="74">
        <v>43368</v>
      </c>
      <c r="F2889" s="74"/>
      <c r="G2889" s="74"/>
      <c r="H2889" s="74"/>
      <c r="I2889" s="74"/>
      <c r="J2889" s="51"/>
      <c r="K2889" s="71"/>
      <c r="L2889" s="15"/>
      <c r="M2889" s="14">
        <f t="shared" si="302"/>
        <v>0</v>
      </c>
    </row>
    <row r="2890" spans="2:14" x14ac:dyDescent="0.15">
      <c r="B2890" s="71" t="s">
        <v>162</v>
      </c>
      <c r="C2890" s="15">
        <v>3</v>
      </c>
      <c r="D2890" s="14">
        <f t="shared" si="303"/>
        <v>3</v>
      </c>
      <c r="E2890" s="74">
        <v>43369</v>
      </c>
      <c r="F2890" s="74"/>
      <c r="G2890" s="74"/>
      <c r="H2890" s="74"/>
      <c r="I2890" s="74"/>
      <c r="J2890" s="51"/>
      <c r="K2890" s="4"/>
      <c r="L2890" s="15"/>
      <c r="M2890" s="14">
        <f t="shared" si="302"/>
        <v>0</v>
      </c>
    </row>
    <row r="2891" spans="2:14" x14ac:dyDescent="0.15">
      <c r="B2891" s="71" t="s">
        <v>162</v>
      </c>
      <c r="C2891" s="15">
        <v>1</v>
      </c>
      <c r="D2891" s="14">
        <f t="shared" si="303"/>
        <v>1</v>
      </c>
      <c r="E2891" s="74">
        <v>43370</v>
      </c>
      <c r="F2891" s="74"/>
      <c r="G2891" s="74"/>
      <c r="H2891" s="74"/>
      <c r="I2891" s="74"/>
      <c r="J2891" s="51"/>
      <c r="K2891" s="4"/>
      <c r="L2891" s="15"/>
      <c r="M2891" s="14">
        <f t="shared" si="302"/>
        <v>0</v>
      </c>
    </row>
    <row r="2892" spans="2:14" x14ac:dyDescent="0.15">
      <c r="B2892" s="71" t="s">
        <v>162</v>
      </c>
      <c r="C2892" s="15">
        <v>1</v>
      </c>
      <c r="D2892" s="14">
        <f t="shared" si="303"/>
        <v>1</v>
      </c>
      <c r="E2892" s="74">
        <v>43371</v>
      </c>
      <c r="F2892" s="74"/>
      <c r="G2892" s="74"/>
      <c r="H2892" s="74"/>
      <c r="I2892" s="74"/>
      <c r="J2892" s="51"/>
      <c r="K2892" s="6"/>
      <c r="L2892" s="15"/>
      <c r="M2892" s="14">
        <f t="shared" si="302"/>
        <v>0</v>
      </c>
    </row>
    <row r="2893" spans="2:14" x14ac:dyDescent="0.15">
      <c r="B2893" s="71" t="s">
        <v>162</v>
      </c>
      <c r="C2893" s="15">
        <v>3</v>
      </c>
      <c r="D2893" s="14">
        <f t="shared" si="303"/>
        <v>3</v>
      </c>
      <c r="E2893" s="74">
        <v>43372</v>
      </c>
      <c r="F2893" s="74"/>
      <c r="G2893" s="74"/>
      <c r="H2893" s="74"/>
      <c r="I2893" s="74"/>
      <c r="J2893" s="51"/>
      <c r="K2893" s="4"/>
      <c r="L2893" s="15"/>
      <c r="M2893" s="14">
        <f t="shared" si="302"/>
        <v>0</v>
      </c>
    </row>
    <row r="2894" spans="2:14" x14ac:dyDescent="0.15">
      <c r="B2894" s="71" t="s">
        <v>162</v>
      </c>
      <c r="C2894" s="15">
        <v>4</v>
      </c>
      <c r="D2894" s="14">
        <f t="shared" si="303"/>
        <v>4</v>
      </c>
      <c r="E2894" s="74">
        <v>43374</v>
      </c>
      <c r="F2894" s="74"/>
      <c r="G2894" s="74"/>
      <c r="H2894" s="74"/>
      <c r="I2894" s="74"/>
      <c r="J2894" s="36"/>
      <c r="K2894" s="4"/>
      <c r="L2894" s="15"/>
      <c r="M2894" s="14">
        <f t="shared" si="302"/>
        <v>0</v>
      </c>
    </row>
    <row r="2895" spans="2:14" x14ac:dyDescent="0.15">
      <c r="B2895" s="71" t="s">
        <v>162</v>
      </c>
      <c r="C2895" s="15">
        <v>3</v>
      </c>
      <c r="D2895" s="14">
        <f t="shared" si="303"/>
        <v>3</v>
      </c>
      <c r="E2895" s="74">
        <v>43375</v>
      </c>
      <c r="F2895" s="74"/>
      <c r="G2895" s="74"/>
      <c r="H2895" s="74"/>
      <c r="I2895" s="74"/>
      <c r="J2895" s="51"/>
      <c r="K2895" s="4"/>
      <c r="L2895" s="15"/>
      <c r="M2895" s="14">
        <f t="shared" si="302"/>
        <v>0</v>
      </c>
    </row>
    <row r="2896" spans="2:14" x14ac:dyDescent="0.15">
      <c r="B2896" s="71" t="s">
        <v>162</v>
      </c>
      <c r="C2896" s="15">
        <v>2</v>
      </c>
      <c r="D2896" s="14">
        <f t="shared" si="303"/>
        <v>2</v>
      </c>
      <c r="E2896" s="48">
        <v>43376</v>
      </c>
      <c r="F2896" s="48"/>
      <c r="G2896" s="48"/>
      <c r="H2896" s="48"/>
      <c r="I2896" s="48"/>
      <c r="J2896" s="51"/>
      <c r="K2896" s="4"/>
      <c r="L2896" s="15"/>
      <c r="M2896" s="14">
        <f t="shared" si="302"/>
        <v>0</v>
      </c>
    </row>
    <row r="2897" spans="1:15" x14ac:dyDescent="0.15">
      <c r="B2897" s="71" t="s">
        <v>162</v>
      </c>
      <c r="C2897" s="15">
        <v>3</v>
      </c>
      <c r="D2897" s="14">
        <f t="shared" si="303"/>
        <v>3</v>
      </c>
      <c r="E2897" s="74">
        <v>43377</v>
      </c>
      <c r="F2897" s="74"/>
      <c r="G2897" s="74"/>
      <c r="H2897" s="74"/>
      <c r="I2897" s="74"/>
      <c r="J2897" s="36"/>
      <c r="K2897" s="6"/>
      <c r="L2897" s="15"/>
      <c r="M2897" s="14">
        <f t="shared" si="302"/>
        <v>0</v>
      </c>
    </row>
    <row r="2898" spans="1:15" x14ac:dyDescent="0.15">
      <c r="B2898" s="71" t="s">
        <v>162</v>
      </c>
      <c r="C2898" s="15">
        <v>4</v>
      </c>
      <c r="D2898" s="14">
        <f t="shared" si="303"/>
        <v>4</v>
      </c>
      <c r="E2898" s="74">
        <v>43378</v>
      </c>
      <c r="F2898" s="74"/>
      <c r="G2898" s="74"/>
      <c r="H2898" s="74"/>
      <c r="I2898" s="74"/>
      <c r="J2898" s="51"/>
      <c r="K2898" s="67"/>
      <c r="L2898" s="15"/>
      <c r="M2898" s="14">
        <f t="shared" si="302"/>
        <v>0</v>
      </c>
    </row>
    <row r="2899" spans="1:15" x14ac:dyDescent="0.15">
      <c r="B2899" s="71" t="s">
        <v>162</v>
      </c>
      <c r="C2899" s="15">
        <v>2</v>
      </c>
      <c r="D2899" s="14">
        <f t="shared" si="303"/>
        <v>2</v>
      </c>
      <c r="E2899" s="48">
        <v>43379</v>
      </c>
      <c r="F2899" s="48"/>
      <c r="G2899" s="48"/>
      <c r="H2899" s="48"/>
      <c r="I2899" s="48"/>
      <c r="J2899" s="51"/>
      <c r="K2899" s="4"/>
      <c r="L2899" s="15"/>
      <c r="M2899" s="14">
        <f t="shared" si="302"/>
        <v>0</v>
      </c>
    </row>
    <row r="2900" spans="1:15" x14ac:dyDescent="0.15">
      <c r="B2900" s="71" t="s">
        <v>162</v>
      </c>
      <c r="C2900" s="15">
        <v>9</v>
      </c>
      <c r="D2900" s="14">
        <f t="shared" si="303"/>
        <v>9</v>
      </c>
      <c r="E2900" s="74">
        <v>43382</v>
      </c>
      <c r="F2900" s="74"/>
      <c r="G2900" s="74"/>
      <c r="H2900" s="74"/>
      <c r="I2900" s="74"/>
      <c r="J2900" s="51"/>
      <c r="K2900" s="4"/>
      <c r="L2900" s="15"/>
      <c r="M2900" s="14">
        <f t="shared" si="302"/>
        <v>0</v>
      </c>
    </row>
    <row r="2901" spans="1:15" x14ac:dyDescent="0.15">
      <c r="B2901" s="71" t="s">
        <v>162</v>
      </c>
      <c r="C2901" s="15">
        <v>6</v>
      </c>
      <c r="D2901" s="14">
        <f t="shared" si="303"/>
        <v>6</v>
      </c>
      <c r="E2901" s="74">
        <v>43383</v>
      </c>
      <c r="F2901" s="74"/>
      <c r="G2901" s="74"/>
      <c r="H2901" s="74"/>
      <c r="I2901" s="74"/>
      <c r="J2901" s="51"/>
      <c r="K2901" s="6"/>
      <c r="L2901" s="15"/>
      <c r="M2901" s="14">
        <f t="shared" si="302"/>
        <v>0</v>
      </c>
    </row>
    <row r="2902" spans="1:15" x14ac:dyDescent="0.15">
      <c r="B2902" s="71" t="s">
        <v>162</v>
      </c>
      <c r="C2902" s="15">
        <v>3</v>
      </c>
      <c r="D2902" s="14">
        <f t="shared" si="303"/>
        <v>3</v>
      </c>
      <c r="E2902" s="74">
        <v>43384</v>
      </c>
      <c r="F2902" s="74"/>
      <c r="G2902" s="74"/>
      <c r="H2902" s="74"/>
      <c r="I2902" s="74"/>
      <c r="J2902" s="51"/>
      <c r="K2902" s="4"/>
      <c r="L2902" s="15"/>
      <c r="M2902" s="14">
        <f t="shared" si="302"/>
        <v>0</v>
      </c>
    </row>
    <row r="2903" spans="1:15" x14ac:dyDescent="0.15">
      <c r="B2903" s="71" t="s">
        <v>162</v>
      </c>
      <c r="C2903" s="15">
        <v>4</v>
      </c>
      <c r="D2903" s="14">
        <f t="shared" si="303"/>
        <v>4</v>
      </c>
      <c r="E2903" s="48">
        <v>43385</v>
      </c>
      <c r="F2903" s="48"/>
      <c r="G2903" s="48"/>
      <c r="H2903" s="48"/>
      <c r="I2903" s="48"/>
      <c r="J2903" s="51"/>
      <c r="K2903" s="6"/>
      <c r="L2903" s="15"/>
      <c r="M2903" s="14">
        <f t="shared" si="302"/>
        <v>0</v>
      </c>
    </row>
    <row r="2904" spans="1:15" x14ac:dyDescent="0.15">
      <c r="B2904" s="71" t="s">
        <v>162</v>
      </c>
      <c r="C2904" s="15">
        <v>2</v>
      </c>
      <c r="D2904" s="14">
        <f t="shared" si="303"/>
        <v>2</v>
      </c>
      <c r="E2904" s="48">
        <v>43388</v>
      </c>
      <c r="F2904" s="48"/>
      <c r="G2904" s="48"/>
      <c r="H2904" s="48"/>
      <c r="I2904" s="48"/>
      <c r="J2904" s="51"/>
      <c r="K2904" s="69"/>
      <c r="L2904" s="15"/>
      <c r="M2904" s="14">
        <f>SUM(L2904)</f>
        <v>0</v>
      </c>
    </row>
    <row r="2905" spans="1:15" x14ac:dyDescent="0.15">
      <c r="B2905" s="71" t="s">
        <v>162</v>
      </c>
      <c r="C2905" s="15">
        <v>3</v>
      </c>
      <c r="D2905" s="14">
        <f t="shared" si="303"/>
        <v>3</v>
      </c>
      <c r="E2905" s="48">
        <v>43391</v>
      </c>
      <c r="F2905" s="48"/>
      <c r="G2905" s="48"/>
      <c r="H2905" s="48"/>
      <c r="I2905" s="48"/>
      <c r="J2905" s="51"/>
      <c r="K2905" s="4"/>
      <c r="L2905" s="15"/>
      <c r="M2905" s="14">
        <f>SUM(L2905)</f>
        <v>0</v>
      </c>
    </row>
    <row r="2906" spans="1:15" x14ac:dyDescent="0.15">
      <c r="B2906" s="71" t="s">
        <v>162</v>
      </c>
      <c r="C2906" s="15">
        <v>1</v>
      </c>
      <c r="D2906" s="14">
        <f t="shared" si="303"/>
        <v>1</v>
      </c>
      <c r="E2906" s="48">
        <v>43392</v>
      </c>
      <c r="F2906" s="48"/>
      <c r="G2906" s="48"/>
      <c r="H2906" s="48"/>
      <c r="I2906" s="48"/>
      <c r="J2906" s="51"/>
      <c r="K2906" s="4"/>
      <c r="L2906" s="15"/>
      <c r="M2906" s="14">
        <f>SUM(L2906)</f>
        <v>0</v>
      </c>
    </row>
    <row r="2907" spans="1:15" x14ac:dyDescent="0.15">
      <c r="B2907" s="71" t="s">
        <v>162</v>
      </c>
      <c r="C2907" s="15">
        <v>5</v>
      </c>
      <c r="D2907" s="14">
        <f t="shared" si="303"/>
        <v>5</v>
      </c>
      <c r="E2907" s="48">
        <v>43395</v>
      </c>
      <c r="F2907" s="48"/>
      <c r="G2907" s="48"/>
      <c r="H2907" s="48"/>
      <c r="I2907" s="48"/>
      <c r="J2907" s="51"/>
      <c r="K2907" s="69"/>
      <c r="L2907" s="15"/>
      <c r="M2907" s="14">
        <f>SUM(L2907:L2907)</f>
        <v>0</v>
      </c>
    </row>
    <row r="2908" spans="1:15" ht="14.25" thickBot="1" x14ac:dyDescent="0.2">
      <c r="B2908" s="71" t="s">
        <v>162</v>
      </c>
      <c r="C2908" s="15">
        <v>2</v>
      </c>
      <c r="D2908" s="14">
        <f t="shared" si="303"/>
        <v>2</v>
      </c>
      <c r="E2908" s="48">
        <v>43396</v>
      </c>
      <c r="F2908" s="48"/>
      <c r="G2908" s="48"/>
      <c r="H2908" s="48"/>
      <c r="I2908" s="48"/>
      <c r="J2908" s="51"/>
      <c r="K2908" s="69"/>
      <c r="L2908" s="15"/>
      <c r="M2908" s="14">
        <f>SUM(L2908:L2908)</f>
        <v>0</v>
      </c>
      <c r="N2908" s="75"/>
      <c r="O2908" s="75"/>
    </row>
    <row r="2909" spans="1:15" ht="14.25" thickBot="1" x14ac:dyDescent="0.2">
      <c r="B2909" s="3" t="s">
        <v>5</v>
      </c>
      <c r="C2909" s="16">
        <f>SUM(C2885:C2908)</f>
        <v>88</v>
      </c>
      <c r="D2909" s="17">
        <f>SUM(D2885:D2908)</f>
        <v>88</v>
      </c>
      <c r="K2909" s="3" t="s">
        <v>5</v>
      </c>
      <c r="L2909" s="16">
        <f>SUM(L2885:L2908)</f>
        <v>200</v>
      </c>
      <c r="M2909" s="17">
        <f>SUM(M2885:M2908)</f>
        <v>200</v>
      </c>
      <c r="N2909" s="75"/>
      <c r="O2909" s="75"/>
    </row>
    <row r="2910" spans="1:15" ht="14.25" thickBot="1" x14ac:dyDescent="0.2">
      <c r="B2910" s="18" t="s">
        <v>6</v>
      </c>
      <c r="C2910" s="19">
        <f>C2884-C2909</f>
        <v>226</v>
      </c>
      <c r="D2910" s="13">
        <f>D2884-D2909</f>
        <v>226</v>
      </c>
      <c r="K2910" s="18" t="s">
        <v>6</v>
      </c>
      <c r="L2910" s="19">
        <f>L2884-L2909</f>
        <v>1512</v>
      </c>
      <c r="M2910" s="13">
        <f>M2884-M2909</f>
        <v>1512</v>
      </c>
    </row>
    <row r="2912" spans="1:15" ht="18" thickBot="1" x14ac:dyDescent="0.25">
      <c r="A2912" s="27" t="s">
        <v>8</v>
      </c>
      <c r="B2912" s="28"/>
      <c r="C2912" s="28"/>
      <c r="D2912" s="28"/>
      <c r="J2912" s="139" t="s">
        <v>218</v>
      </c>
      <c r="K2912" s="140"/>
      <c r="L2912" s="140"/>
      <c r="M2912" s="140"/>
    </row>
    <row r="2913" spans="1:13" ht="14.25" thickBot="1" x14ac:dyDescent="0.2">
      <c r="B2913" s="2"/>
      <c r="C2913" s="3" t="s">
        <v>0</v>
      </c>
      <c r="D2913" s="2" t="s">
        <v>1</v>
      </c>
      <c r="K2913" s="2"/>
      <c r="L2913" s="3" t="s">
        <v>0</v>
      </c>
      <c r="M2913" s="2" t="s">
        <v>1</v>
      </c>
    </row>
    <row r="2914" spans="1:13" x14ac:dyDescent="0.15">
      <c r="B2914" s="43" t="s">
        <v>26</v>
      </c>
      <c r="C2914" s="38">
        <f>C2910</f>
        <v>226</v>
      </c>
      <c r="D2914" s="39">
        <f t="shared" ref="D2914:D2924" si="304">SUM(C2914:C2914)</f>
        <v>226</v>
      </c>
      <c r="K2914" s="43" t="s">
        <v>26</v>
      </c>
      <c r="L2914" s="38">
        <f>L2910</f>
        <v>1512</v>
      </c>
      <c r="M2914" s="39">
        <f t="shared" ref="M2914:M2924" si="305">SUM(L2914:L2914)</f>
        <v>1512</v>
      </c>
    </row>
    <row r="2915" spans="1:13" x14ac:dyDescent="0.15">
      <c r="B2915" s="6" t="s">
        <v>377</v>
      </c>
      <c r="C2915" s="7">
        <v>1</v>
      </c>
      <c r="D2915" s="5">
        <f t="shared" si="304"/>
        <v>1</v>
      </c>
      <c r="E2915" s="74">
        <v>43403</v>
      </c>
      <c r="F2915" s="74"/>
      <c r="G2915" s="74"/>
      <c r="H2915" s="74"/>
      <c r="I2915" s="74"/>
      <c r="J2915" s="75"/>
      <c r="K2915" s="6" t="s">
        <v>3</v>
      </c>
      <c r="L2915" s="7"/>
      <c r="M2915" s="5">
        <f t="shared" si="305"/>
        <v>0</v>
      </c>
    </row>
    <row r="2916" spans="1:13" x14ac:dyDescent="0.15">
      <c r="A2916" s="75"/>
      <c r="B2916" s="6" t="s">
        <v>3</v>
      </c>
      <c r="C2916" s="7"/>
      <c r="D2916" s="5">
        <f t="shared" si="304"/>
        <v>0</v>
      </c>
      <c r="E2916" s="74"/>
      <c r="F2916" s="74"/>
      <c r="G2916" s="74"/>
      <c r="H2916" s="74"/>
      <c r="I2916" s="74"/>
      <c r="K2916" s="6" t="s">
        <v>3</v>
      </c>
      <c r="L2916" s="7"/>
      <c r="M2916" s="5">
        <f t="shared" si="305"/>
        <v>0</v>
      </c>
    </row>
    <row r="2917" spans="1:13" x14ac:dyDescent="0.15">
      <c r="A2917" s="75"/>
      <c r="B2917" s="6" t="s">
        <v>3</v>
      </c>
      <c r="C2917" s="7"/>
      <c r="D2917" s="5">
        <f t="shared" si="304"/>
        <v>0</v>
      </c>
      <c r="E2917" s="74"/>
      <c r="F2917" s="74"/>
      <c r="G2917" s="74"/>
      <c r="H2917" s="74"/>
      <c r="I2917" s="74"/>
      <c r="J2917" s="100"/>
      <c r="K2917" s="6" t="s">
        <v>3</v>
      </c>
      <c r="L2917" s="7"/>
      <c r="M2917" s="5">
        <f t="shared" si="305"/>
        <v>0</v>
      </c>
    </row>
    <row r="2918" spans="1:13" x14ac:dyDescent="0.15">
      <c r="B2918" s="6" t="s">
        <v>3</v>
      </c>
      <c r="C2918" s="7"/>
      <c r="D2918" s="5">
        <f t="shared" si="304"/>
        <v>0</v>
      </c>
      <c r="E2918" s="74"/>
      <c r="F2918" s="74"/>
      <c r="G2918" s="74"/>
      <c r="H2918" s="74"/>
      <c r="I2918" s="74"/>
      <c r="K2918" s="6" t="s">
        <v>3</v>
      </c>
      <c r="L2918" s="7"/>
      <c r="M2918" s="5">
        <f t="shared" si="305"/>
        <v>0</v>
      </c>
    </row>
    <row r="2919" spans="1:13" x14ac:dyDescent="0.15">
      <c r="B2919" s="6" t="s">
        <v>3</v>
      </c>
      <c r="C2919" s="7"/>
      <c r="D2919" s="5">
        <f t="shared" si="304"/>
        <v>0</v>
      </c>
      <c r="E2919" s="74"/>
      <c r="F2919" s="74"/>
      <c r="G2919" s="74"/>
      <c r="H2919" s="74"/>
      <c r="I2919" s="74"/>
      <c r="K2919" s="6" t="s">
        <v>3</v>
      </c>
      <c r="L2919" s="7"/>
      <c r="M2919" s="5">
        <f t="shared" si="305"/>
        <v>0</v>
      </c>
    </row>
    <row r="2920" spans="1:13" x14ac:dyDescent="0.15">
      <c r="B2920" s="6" t="s">
        <v>3</v>
      </c>
      <c r="C2920" s="7"/>
      <c r="D2920" s="5">
        <f t="shared" si="304"/>
        <v>0</v>
      </c>
      <c r="E2920" s="74"/>
      <c r="F2920" s="74"/>
      <c r="G2920" s="74"/>
      <c r="H2920" s="74"/>
      <c r="I2920" s="74"/>
      <c r="K2920" s="6" t="s">
        <v>3</v>
      </c>
      <c r="L2920" s="7"/>
      <c r="M2920" s="5">
        <f t="shared" si="305"/>
        <v>0</v>
      </c>
    </row>
    <row r="2921" spans="1:13" x14ac:dyDescent="0.15">
      <c r="B2921" s="6" t="s">
        <v>3</v>
      </c>
      <c r="C2921" s="54"/>
      <c r="D2921" s="5">
        <f t="shared" si="304"/>
        <v>0</v>
      </c>
      <c r="K2921" s="6" t="s">
        <v>3</v>
      </c>
      <c r="L2921" s="7"/>
      <c r="M2921" s="5">
        <f t="shared" si="305"/>
        <v>0</v>
      </c>
    </row>
    <row r="2922" spans="1:13" x14ac:dyDescent="0.15">
      <c r="B2922" s="6" t="s">
        <v>3</v>
      </c>
      <c r="C2922" s="54"/>
      <c r="D2922" s="5">
        <f t="shared" si="304"/>
        <v>0</v>
      </c>
      <c r="K2922" s="6" t="s">
        <v>3</v>
      </c>
      <c r="L2922" s="7"/>
      <c r="M2922" s="5">
        <f t="shared" si="305"/>
        <v>0</v>
      </c>
    </row>
    <row r="2923" spans="1:13" x14ac:dyDescent="0.15">
      <c r="B2923" s="6" t="s">
        <v>3</v>
      </c>
      <c r="C2923" s="54"/>
      <c r="D2923" s="5">
        <f t="shared" si="304"/>
        <v>0</v>
      </c>
      <c r="K2923" s="6" t="s">
        <v>3</v>
      </c>
      <c r="L2923" s="7"/>
      <c r="M2923" s="5">
        <f t="shared" si="305"/>
        <v>0</v>
      </c>
    </row>
    <row r="2924" spans="1:13" ht="14.25" thickBot="1" x14ac:dyDescent="0.2">
      <c r="B2924" s="9" t="s">
        <v>3</v>
      </c>
      <c r="C2924" s="101"/>
      <c r="D2924" s="5">
        <f t="shared" si="304"/>
        <v>0</v>
      </c>
      <c r="K2924" s="9" t="s">
        <v>3</v>
      </c>
      <c r="L2924" s="10"/>
      <c r="M2924" s="5">
        <f t="shared" si="305"/>
        <v>0</v>
      </c>
    </row>
    <row r="2925" spans="1:13" ht="14.25" thickBot="1" x14ac:dyDescent="0.2">
      <c r="B2925" s="11" t="s">
        <v>4</v>
      </c>
      <c r="C2925" s="12">
        <f>SUM(C2914:C2924)</f>
        <v>227</v>
      </c>
      <c r="D2925" s="13">
        <f>SUM(D2914:D2924)</f>
        <v>227</v>
      </c>
      <c r="K2925" s="11" t="s">
        <v>4</v>
      </c>
      <c r="L2925" s="12">
        <f>SUM(L2914:L2924)</f>
        <v>1512</v>
      </c>
      <c r="M2925" s="13">
        <f>SUM(M2914:M2924)</f>
        <v>1512</v>
      </c>
    </row>
    <row r="2926" spans="1:13" x14ac:dyDescent="0.15">
      <c r="B2926" s="71" t="s">
        <v>162</v>
      </c>
      <c r="C2926" s="15">
        <v>2</v>
      </c>
      <c r="D2926" s="14">
        <f>SUM(C2926)</f>
        <v>2</v>
      </c>
      <c r="E2926" s="74">
        <v>43398</v>
      </c>
      <c r="F2926" s="74"/>
      <c r="G2926" s="74"/>
      <c r="H2926" s="74"/>
      <c r="I2926" s="74"/>
      <c r="K2926" s="71"/>
      <c r="L2926" s="15"/>
      <c r="M2926" s="14">
        <f>SUM(L2926)</f>
        <v>0</v>
      </c>
    </row>
    <row r="2927" spans="1:13" x14ac:dyDescent="0.15">
      <c r="B2927" s="71" t="s">
        <v>531</v>
      </c>
      <c r="C2927" s="15">
        <v>3</v>
      </c>
      <c r="D2927" s="14">
        <f>SUM(C2927)</f>
        <v>3</v>
      </c>
      <c r="E2927" s="74">
        <v>43400</v>
      </c>
      <c r="F2927" s="74"/>
      <c r="G2927" s="74"/>
      <c r="H2927" s="74"/>
      <c r="I2927" s="74"/>
      <c r="J2927" s="36"/>
      <c r="K2927" s="69"/>
      <c r="L2927" s="15"/>
      <c r="M2927" s="14">
        <f t="shared" ref="M2927:M2944" si="306">SUM(L2927:L2927)</f>
        <v>0</v>
      </c>
    </row>
    <row r="2928" spans="1:13" x14ac:dyDescent="0.15">
      <c r="B2928" s="71" t="s">
        <v>162</v>
      </c>
      <c r="C2928" s="15">
        <v>1</v>
      </c>
      <c r="D2928" s="14">
        <f>SUM(C2928)</f>
        <v>1</v>
      </c>
      <c r="E2928" s="74">
        <v>43399</v>
      </c>
      <c r="F2928" s="74"/>
      <c r="G2928" s="74"/>
      <c r="H2928" s="74"/>
      <c r="I2928" s="74"/>
      <c r="J2928" s="51"/>
      <c r="K2928" s="69"/>
      <c r="L2928" s="15"/>
      <c r="M2928" s="14">
        <f t="shared" si="306"/>
        <v>0</v>
      </c>
    </row>
    <row r="2929" spans="2:13" x14ac:dyDescent="0.15">
      <c r="B2929" s="71" t="s">
        <v>162</v>
      </c>
      <c r="C2929" s="15">
        <v>3</v>
      </c>
      <c r="D2929" s="14">
        <f t="shared" ref="D2929:D2949" si="307">SUM(C2929)</f>
        <v>3</v>
      </c>
      <c r="E2929" s="74">
        <v>43402</v>
      </c>
      <c r="F2929" s="74"/>
      <c r="G2929" s="74"/>
      <c r="H2929" s="74"/>
      <c r="I2929" s="74"/>
      <c r="J2929" s="51"/>
      <c r="K2929" s="69"/>
      <c r="L2929" s="15"/>
      <c r="M2929" s="14">
        <f t="shared" si="306"/>
        <v>0</v>
      </c>
    </row>
    <row r="2930" spans="2:13" x14ac:dyDescent="0.15">
      <c r="B2930" s="71" t="s">
        <v>162</v>
      </c>
      <c r="C2930" s="15">
        <v>2</v>
      </c>
      <c r="D2930" s="14">
        <f t="shared" si="307"/>
        <v>2</v>
      </c>
      <c r="E2930" s="74">
        <v>43404</v>
      </c>
      <c r="F2930" s="74"/>
      <c r="G2930" s="74"/>
      <c r="H2930" s="74"/>
      <c r="I2930" s="74"/>
      <c r="J2930" s="51"/>
      <c r="K2930" s="71"/>
      <c r="L2930" s="15"/>
      <c r="M2930" s="14">
        <f t="shared" si="306"/>
        <v>0</v>
      </c>
    </row>
    <row r="2931" spans="2:13" x14ac:dyDescent="0.15">
      <c r="B2931" s="71" t="s">
        <v>162</v>
      </c>
      <c r="C2931" s="15">
        <v>3</v>
      </c>
      <c r="D2931" s="14">
        <f t="shared" si="307"/>
        <v>3</v>
      </c>
      <c r="E2931" s="74">
        <v>43409</v>
      </c>
      <c r="F2931" s="74"/>
      <c r="G2931" s="74"/>
      <c r="H2931" s="74"/>
      <c r="I2931" s="74"/>
      <c r="J2931" s="51"/>
      <c r="K2931" s="4"/>
      <c r="L2931" s="15"/>
      <c r="M2931" s="14">
        <f t="shared" si="306"/>
        <v>0</v>
      </c>
    </row>
    <row r="2932" spans="2:13" x14ac:dyDescent="0.15">
      <c r="B2932" s="71" t="s">
        <v>162</v>
      </c>
      <c r="C2932" s="15">
        <v>3</v>
      </c>
      <c r="D2932" s="14">
        <f t="shared" si="307"/>
        <v>3</v>
      </c>
      <c r="E2932" s="74">
        <v>43411</v>
      </c>
      <c r="F2932" s="74"/>
      <c r="G2932" s="74"/>
      <c r="H2932" s="74"/>
      <c r="I2932" s="74"/>
      <c r="J2932" s="51"/>
      <c r="K2932" s="4"/>
      <c r="L2932" s="15"/>
      <c r="M2932" s="14">
        <f t="shared" si="306"/>
        <v>0</v>
      </c>
    </row>
    <row r="2933" spans="2:13" x14ac:dyDescent="0.15">
      <c r="B2933" s="71" t="s">
        <v>162</v>
      </c>
      <c r="C2933" s="15">
        <v>1</v>
      </c>
      <c r="D2933" s="14">
        <f t="shared" si="307"/>
        <v>1</v>
      </c>
      <c r="E2933" s="74">
        <v>43412</v>
      </c>
      <c r="F2933" s="74"/>
      <c r="G2933" s="74"/>
      <c r="H2933" s="74"/>
      <c r="I2933" s="74"/>
      <c r="J2933" s="51"/>
      <c r="K2933" s="6"/>
      <c r="L2933" s="15"/>
      <c r="M2933" s="14">
        <f t="shared" si="306"/>
        <v>0</v>
      </c>
    </row>
    <row r="2934" spans="2:13" x14ac:dyDescent="0.15">
      <c r="B2934" s="71" t="s">
        <v>162</v>
      </c>
      <c r="C2934" s="15">
        <v>2</v>
      </c>
      <c r="D2934" s="14">
        <f t="shared" si="307"/>
        <v>2</v>
      </c>
      <c r="E2934" s="74">
        <v>43416</v>
      </c>
      <c r="F2934" s="74"/>
      <c r="G2934" s="74"/>
      <c r="H2934" s="74"/>
      <c r="I2934" s="74"/>
      <c r="J2934" s="51"/>
      <c r="K2934" s="4"/>
      <c r="L2934" s="15"/>
      <c r="M2934" s="14">
        <f t="shared" si="306"/>
        <v>0</v>
      </c>
    </row>
    <row r="2935" spans="2:13" x14ac:dyDescent="0.15">
      <c r="B2935" s="71" t="s">
        <v>162</v>
      </c>
      <c r="C2935" s="15">
        <v>1</v>
      </c>
      <c r="D2935" s="14">
        <f t="shared" si="307"/>
        <v>1</v>
      </c>
      <c r="E2935" s="74">
        <v>43417</v>
      </c>
      <c r="F2935" s="74"/>
      <c r="G2935" s="74"/>
      <c r="H2935" s="74"/>
      <c r="I2935" s="74"/>
      <c r="J2935" s="36"/>
      <c r="K2935" s="4"/>
      <c r="L2935" s="15"/>
      <c r="M2935" s="14">
        <f t="shared" si="306"/>
        <v>0</v>
      </c>
    </row>
    <row r="2936" spans="2:13" x14ac:dyDescent="0.15">
      <c r="B2936" s="71" t="s">
        <v>162</v>
      </c>
      <c r="C2936" s="15">
        <v>2</v>
      </c>
      <c r="D2936" s="14">
        <f t="shared" si="307"/>
        <v>2</v>
      </c>
      <c r="E2936" s="74">
        <v>43418</v>
      </c>
      <c r="F2936" s="74"/>
      <c r="G2936" s="74"/>
      <c r="H2936" s="74"/>
      <c r="I2936" s="74"/>
      <c r="J2936" s="51"/>
      <c r="K2936" s="4"/>
      <c r="L2936" s="15"/>
      <c r="M2936" s="14">
        <f t="shared" si="306"/>
        <v>0</v>
      </c>
    </row>
    <row r="2937" spans="2:13" x14ac:dyDescent="0.15">
      <c r="B2937" s="71" t="s">
        <v>162</v>
      </c>
      <c r="C2937" s="15">
        <v>1</v>
      </c>
      <c r="D2937" s="14">
        <f t="shared" si="307"/>
        <v>1</v>
      </c>
      <c r="E2937" s="48">
        <v>43419</v>
      </c>
      <c r="F2937" s="48"/>
      <c r="G2937" s="48"/>
      <c r="H2937" s="48"/>
      <c r="I2937" s="48"/>
      <c r="J2937" s="51"/>
      <c r="K2937" s="4"/>
      <c r="L2937" s="15"/>
      <c r="M2937" s="14">
        <f t="shared" si="306"/>
        <v>0</v>
      </c>
    </row>
    <row r="2938" spans="2:13" x14ac:dyDescent="0.15">
      <c r="B2938" s="71" t="s">
        <v>162</v>
      </c>
      <c r="C2938" s="15">
        <v>3</v>
      </c>
      <c r="D2938" s="14">
        <f t="shared" si="307"/>
        <v>3</v>
      </c>
      <c r="E2938" s="74">
        <v>43420</v>
      </c>
      <c r="F2938" s="74"/>
      <c r="G2938" s="74"/>
      <c r="H2938" s="74"/>
      <c r="I2938" s="74"/>
      <c r="J2938" s="36"/>
      <c r="K2938" s="6"/>
      <c r="L2938" s="15"/>
      <c r="M2938" s="14">
        <f t="shared" si="306"/>
        <v>0</v>
      </c>
    </row>
    <row r="2939" spans="2:13" x14ac:dyDescent="0.15">
      <c r="B2939" s="71" t="s">
        <v>162</v>
      </c>
      <c r="C2939" s="15">
        <v>1</v>
      </c>
      <c r="D2939" s="14">
        <f t="shared" si="307"/>
        <v>1</v>
      </c>
      <c r="E2939" s="74">
        <v>43424</v>
      </c>
      <c r="F2939" s="74"/>
      <c r="G2939" s="74"/>
      <c r="H2939" s="74"/>
      <c r="I2939" s="74"/>
      <c r="J2939" s="51"/>
      <c r="K2939" s="67"/>
      <c r="L2939" s="15"/>
      <c r="M2939" s="14">
        <f t="shared" si="306"/>
        <v>0</v>
      </c>
    </row>
    <row r="2940" spans="2:13" x14ac:dyDescent="0.15">
      <c r="B2940" s="71" t="s">
        <v>162</v>
      </c>
      <c r="C2940" s="15">
        <v>2</v>
      </c>
      <c r="D2940" s="14">
        <f t="shared" si="307"/>
        <v>2</v>
      </c>
      <c r="E2940" s="48">
        <v>43426</v>
      </c>
      <c r="F2940" s="48"/>
      <c r="G2940" s="48"/>
      <c r="H2940" s="48"/>
      <c r="I2940" s="48"/>
      <c r="J2940" s="51"/>
      <c r="K2940" s="4"/>
      <c r="L2940" s="15"/>
      <c r="M2940" s="14">
        <f t="shared" si="306"/>
        <v>0</v>
      </c>
    </row>
    <row r="2941" spans="2:13" x14ac:dyDescent="0.15">
      <c r="B2941" s="71" t="s">
        <v>162</v>
      </c>
      <c r="C2941" s="15">
        <v>11</v>
      </c>
      <c r="D2941" s="14">
        <f t="shared" si="307"/>
        <v>11</v>
      </c>
      <c r="E2941" s="74">
        <v>43430</v>
      </c>
      <c r="F2941" s="74"/>
      <c r="G2941" s="74"/>
      <c r="H2941" s="74"/>
      <c r="I2941" s="74"/>
      <c r="J2941" s="51"/>
      <c r="K2941" s="4"/>
      <c r="L2941" s="15"/>
      <c r="M2941" s="14">
        <f t="shared" si="306"/>
        <v>0</v>
      </c>
    </row>
    <row r="2942" spans="2:13" x14ac:dyDescent="0.15">
      <c r="B2942" s="71" t="s">
        <v>162</v>
      </c>
      <c r="C2942" s="15">
        <v>1</v>
      </c>
      <c r="D2942" s="14">
        <f t="shared" si="307"/>
        <v>1</v>
      </c>
      <c r="E2942" s="74">
        <v>43431</v>
      </c>
      <c r="F2942" s="74"/>
      <c r="G2942" s="74"/>
      <c r="H2942" s="74"/>
      <c r="I2942" s="74"/>
      <c r="J2942" s="51"/>
      <c r="K2942" s="6"/>
      <c r="L2942" s="15"/>
      <c r="M2942" s="14">
        <f t="shared" si="306"/>
        <v>0</v>
      </c>
    </row>
    <row r="2943" spans="2:13" x14ac:dyDescent="0.15">
      <c r="B2943" s="71" t="s">
        <v>162</v>
      </c>
      <c r="C2943" s="15">
        <v>3</v>
      </c>
      <c r="D2943" s="14">
        <f t="shared" si="307"/>
        <v>3</v>
      </c>
      <c r="E2943" s="74">
        <v>43437</v>
      </c>
      <c r="F2943" s="74"/>
      <c r="G2943" s="74"/>
      <c r="H2943" s="74"/>
      <c r="I2943" s="74"/>
      <c r="J2943" s="51"/>
      <c r="K2943" s="4"/>
      <c r="L2943" s="15"/>
      <c r="M2943" s="14">
        <f t="shared" si="306"/>
        <v>0</v>
      </c>
    </row>
    <row r="2944" spans="2:13" x14ac:dyDescent="0.15">
      <c r="B2944" s="71" t="s">
        <v>162</v>
      </c>
      <c r="C2944" s="15">
        <v>1</v>
      </c>
      <c r="D2944" s="14">
        <f t="shared" si="307"/>
        <v>1</v>
      </c>
      <c r="E2944" s="48">
        <v>43438</v>
      </c>
      <c r="F2944" s="48"/>
      <c r="G2944" s="48"/>
      <c r="H2944" s="48"/>
      <c r="I2944" s="48"/>
      <c r="J2944" s="51"/>
      <c r="K2944" s="6"/>
      <c r="L2944" s="15"/>
      <c r="M2944" s="14">
        <f t="shared" si="306"/>
        <v>0</v>
      </c>
    </row>
    <row r="2945" spans="1:15" x14ac:dyDescent="0.15">
      <c r="B2945" s="71" t="s">
        <v>162</v>
      </c>
      <c r="C2945" s="15">
        <v>1</v>
      </c>
      <c r="D2945" s="14">
        <f t="shared" si="307"/>
        <v>1</v>
      </c>
      <c r="E2945" s="48">
        <v>43441</v>
      </c>
      <c r="F2945" s="48"/>
      <c r="G2945" s="48"/>
      <c r="H2945" s="48"/>
      <c r="I2945" s="48"/>
      <c r="J2945" s="51"/>
      <c r="K2945" s="69"/>
      <c r="L2945" s="15"/>
      <c r="M2945" s="14">
        <f>SUM(L2945)</f>
        <v>0</v>
      </c>
    </row>
    <row r="2946" spans="1:15" x14ac:dyDescent="0.15">
      <c r="B2946" s="71" t="s">
        <v>162</v>
      </c>
      <c r="C2946" s="15">
        <v>1</v>
      </c>
      <c r="D2946" s="14">
        <f t="shared" si="307"/>
        <v>1</v>
      </c>
      <c r="E2946" s="48">
        <v>43444</v>
      </c>
      <c r="F2946" s="48"/>
      <c r="G2946" s="48"/>
      <c r="H2946" s="48"/>
      <c r="I2946" s="48"/>
      <c r="J2946" s="51"/>
      <c r="K2946" s="4"/>
      <c r="L2946" s="15"/>
      <c r="M2946" s="14">
        <f>SUM(L2946)</f>
        <v>0</v>
      </c>
    </row>
    <row r="2947" spans="1:15" x14ac:dyDescent="0.15">
      <c r="B2947" s="71" t="s">
        <v>162</v>
      </c>
      <c r="C2947" s="15">
        <v>4</v>
      </c>
      <c r="D2947" s="14">
        <f t="shared" si="307"/>
        <v>4</v>
      </c>
      <c r="E2947" s="48">
        <v>43451</v>
      </c>
      <c r="F2947" s="48"/>
      <c r="G2947" s="48"/>
      <c r="H2947" s="48"/>
      <c r="I2947" s="48"/>
      <c r="J2947" s="51"/>
      <c r="K2947" s="4"/>
      <c r="L2947" s="15"/>
      <c r="M2947" s="14">
        <f>SUM(L2947)</f>
        <v>0</v>
      </c>
    </row>
    <row r="2948" spans="1:15" x14ac:dyDescent="0.15">
      <c r="B2948" s="71" t="s">
        <v>162</v>
      </c>
      <c r="C2948" s="15">
        <v>2</v>
      </c>
      <c r="D2948" s="14">
        <f t="shared" si="307"/>
        <v>2</v>
      </c>
      <c r="E2948" s="48">
        <v>43452</v>
      </c>
      <c r="F2948" s="48"/>
      <c r="G2948" s="48"/>
      <c r="H2948" s="48"/>
      <c r="I2948" s="48"/>
      <c r="J2948" s="51"/>
      <c r="K2948" s="69"/>
      <c r="L2948" s="15"/>
      <c r="M2948" s="14">
        <f>SUM(L2948:L2948)</f>
        <v>0</v>
      </c>
    </row>
    <row r="2949" spans="1:15" ht="14.25" thickBot="1" x14ac:dyDescent="0.2">
      <c r="B2949" s="71" t="s">
        <v>162</v>
      </c>
      <c r="C2949" s="15">
        <v>4</v>
      </c>
      <c r="D2949" s="14">
        <f t="shared" si="307"/>
        <v>4</v>
      </c>
      <c r="E2949" s="48">
        <v>43454</v>
      </c>
      <c r="F2949" s="48"/>
      <c r="G2949" s="48"/>
      <c r="H2949" s="48"/>
      <c r="I2949" s="48"/>
      <c r="J2949" s="51"/>
      <c r="K2949" s="69"/>
      <c r="L2949" s="15"/>
      <c r="M2949" s="14">
        <f>SUM(L2949:L2949)</f>
        <v>0</v>
      </c>
      <c r="N2949" s="75"/>
      <c r="O2949" s="75"/>
    </row>
    <row r="2950" spans="1:15" ht="14.25" thickBot="1" x14ac:dyDescent="0.2">
      <c r="B2950" s="3" t="s">
        <v>5</v>
      </c>
      <c r="C2950" s="16">
        <f>SUM(C2926:C2949)</f>
        <v>58</v>
      </c>
      <c r="D2950" s="17">
        <f>SUM(D2926:D2949)</f>
        <v>58</v>
      </c>
      <c r="K2950" s="3" t="s">
        <v>5</v>
      </c>
      <c r="L2950" s="16">
        <f>SUM(L2926:L2949)</f>
        <v>0</v>
      </c>
      <c r="M2950" s="17">
        <f>SUM(M2926:M2949)</f>
        <v>0</v>
      </c>
    </row>
    <row r="2951" spans="1:15" ht="14.25" thickBot="1" x14ac:dyDescent="0.2">
      <c r="B2951" s="18" t="s">
        <v>6</v>
      </c>
      <c r="C2951" s="19">
        <f>C2925-C2950</f>
        <v>169</v>
      </c>
      <c r="D2951" s="13">
        <f>D2925-D2950</f>
        <v>169</v>
      </c>
      <c r="K2951" s="18" t="s">
        <v>6</v>
      </c>
      <c r="L2951" s="19">
        <f>L2925-L2950</f>
        <v>1512</v>
      </c>
      <c r="M2951" s="13">
        <f>M2925-M2950</f>
        <v>1512</v>
      </c>
    </row>
    <row r="2953" spans="1:15" ht="18" thickBot="1" x14ac:dyDescent="0.25">
      <c r="A2953" s="27" t="s">
        <v>8</v>
      </c>
      <c r="B2953" s="28"/>
      <c r="C2953" s="28"/>
      <c r="D2953" s="28"/>
      <c r="J2953" s="139" t="s">
        <v>218</v>
      </c>
      <c r="K2953" s="140"/>
      <c r="L2953" s="140"/>
      <c r="M2953" s="140"/>
    </row>
    <row r="2954" spans="1:15" ht="14.25" thickBot="1" x14ac:dyDescent="0.2">
      <c r="B2954" s="2"/>
      <c r="C2954" s="3" t="s">
        <v>0</v>
      </c>
      <c r="D2954" s="2" t="s">
        <v>1</v>
      </c>
      <c r="K2954" s="2"/>
      <c r="L2954" s="3" t="s">
        <v>0</v>
      </c>
      <c r="M2954" s="2" t="s">
        <v>1</v>
      </c>
    </row>
    <row r="2955" spans="1:15" x14ac:dyDescent="0.15">
      <c r="B2955" s="43" t="s">
        <v>26</v>
      </c>
      <c r="C2955" s="38">
        <f>C2951</f>
        <v>169</v>
      </c>
      <c r="D2955" s="39">
        <f t="shared" ref="D2955:D2965" si="308">SUM(C2955:C2955)</f>
        <v>169</v>
      </c>
      <c r="K2955" s="43" t="s">
        <v>26</v>
      </c>
      <c r="L2955" s="38">
        <f>L2951</f>
        <v>1512</v>
      </c>
      <c r="M2955" s="39">
        <f t="shared" ref="M2955:M2965" si="309">SUM(L2955:L2955)</f>
        <v>1512</v>
      </c>
    </row>
    <row r="2956" spans="1:15" x14ac:dyDescent="0.15">
      <c r="B2956" s="6" t="s">
        <v>3</v>
      </c>
      <c r="C2956" s="7">
        <v>200</v>
      </c>
      <c r="D2956" s="5">
        <f t="shared" si="308"/>
        <v>200</v>
      </c>
      <c r="E2956" s="74">
        <v>43532</v>
      </c>
      <c r="F2956" s="74"/>
      <c r="G2956" s="74"/>
      <c r="H2956" s="74"/>
      <c r="I2956" s="74"/>
      <c r="J2956" s="75"/>
      <c r="K2956" s="6" t="s">
        <v>3</v>
      </c>
      <c r="L2956" s="7"/>
      <c r="M2956" s="5">
        <f t="shared" si="309"/>
        <v>0</v>
      </c>
    </row>
    <row r="2957" spans="1:15" x14ac:dyDescent="0.15">
      <c r="A2957" s="75"/>
      <c r="B2957" s="6" t="s">
        <v>3</v>
      </c>
      <c r="C2957" s="7"/>
      <c r="D2957" s="5">
        <f t="shared" si="308"/>
        <v>0</v>
      </c>
      <c r="E2957" s="74"/>
      <c r="F2957" s="74"/>
      <c r="G2957" s="74"/>
      <c r="H2957" s="74"/>
      <c r="I2957" s="74"/>
      <c r="K2957" s="6" t="s">
        <v>3</v>
      </c>
      <c r="L2957" s="7"/>
      <c r="M2957" s="5">
        <f t="shared" si="309"/>
        <v>0</v>
      </c>
      <c r="N2957" s="74"/>
    </row>
    <row r="2958" spans="1:15" x14ac:dyDescent="0.15">
      <c r="A2958" s="75"/>
      <c r="B2958" s="6" t="s">
        <v>3</v>
      </c>
      <c r="C2958" s="7"/>
      <c r="D2958" s="5">
        <f t="shared" si="308"/>
        <v>0</v>
      </c>
      <c r="E2958" s="74"/>
      <c r="F2958" s="74"/>
      <c r="G2958" s="74"/>
      <c r="H2958" s="74"/>
      <c r="I2958" s="74"/>
      <c r="J2958" s="100"/>
      <c r="K2958" s="6" t="s">
        <v>3</v>
      </c>
      <c r="L2958" s="7"/>
      <c r="M2958" s="5">
        <f t="shared" si="309"/>
        <v>0</v>
      </c>
    </row>
    <row r="2959" spans="1:15" x14ac:dyDescent="0.15">
      <c r="B2959" s="6" t="s">
        <v>3</v>
      </c>
      <c r="C2959" s="7"/>
      <c r="D2959" s="5">
        <f t="shared" si="308"/>
        <v>0</v>
      </c>
      <c r="E2959" s="74"/>
      <c r="F2959" s="74"/>
      <c r="G2959" s="74"/>
      <c r="H2959" s="74"/>
      <c r="I2959" s="74"/>
      <c r="K2959" s="6" t="s">
        <v>3</v>
      </c>
      <c r="L2959" s="7"/>
      <c r="M2959" s="5">
        <f t="shared" si="309"/>
        <v>0</v>
      </c>
    </row>
    <row r="2960" spans="1:15" x14ac:dyDescent="0.15">
      <c r="B2960" s="6" t="s">
        <v>3</v>
      </c>
      <c r="C2960" s="7"/>
      <c r="D2960" s="5">
        <f t="shared" si="308"/>
        <v>0</v>
      </c>
      <c r="E2960" s="74"/>
      <c r="F2960" s="74"/>
      <c r="G2960" s="74"/>
      <c r="H2960" s="74"/>
      <c r="I2960" s="74"/>
      <c r="K2960" s="6" t="s">
        <v>3</v>
      </c>
      <c r="L2960" s="7"/>
      <c r="M2960" s="5">
        <f t="shared" si="309"/>
        <v>0</v>
      </c>
    </row>
    <row r="2961" spans="2:14" x14ac:dyDescent="0.15">
      <c r="B2961" s="6" t="s">
        <v>3</v>
      </c>
      <c r="C2961" s="7"/>
      <c r="D2961" s="5">
        <f t="shared" si="308"/>
        <v>0</v>
      </c>
      <c r="E2961" s="74"/>
      <c r="F2961" s="74"/>
      <c r="G2961" s="74"/>
      <c r="H2961" s="74"/>
      <c r="I2961" s="74"/>
      <c r="K2961" s="6" t="s">
        <v>3</v>
      </c>
      <c r="L2961" s="7"/>
      <c r="M2961" s="5">
        <f t="shared" si="309"/>
        <v>0</v>
      </c>
    </row>
    <row r="2962" spans="2:14" x14ac:dyDescent="0.15">
      <c r="B2962" s="6" t="s">
        <v>3</v>
      </c>
      <c r="C2962" s="54"/>
      <c r="D2962" s="5">
        <f t="shared" si="308"/>
        <v>0</v>
      </c>
      <c r="K2962" s="6" t="s">
        <v>3</v>
      </c>
      <c r="L2962" s="7"/>
      <c r="M2962" s="5">
        <f t="shared" si="309"/>
        <v>0</v>
      </c>
    </row>
    <row r="2963" spans="2:14" x14ac:dyDescent="0.15">
      <c r="B2963" s="6" t="s">
        <v>3</v>
      </c>
      <c r="C2963" s="54"/>
      <c r="D2963" s="5">
        <f t="shared" si="308"/>
        <v>0</v>
      </c>
      <c r="K2963" s="6" t="s">
        <v>3</v>
      </c>
      <c r="L2963" s="7"/>
      <c r="M2963" s="5">
        <f t="shared" si="309"/>
        <v>0</v>
      </c>
    </row>
    <row r="2964" spans="2:14" x14ac:dyDescent="0.15">
      <c r="B2964" s="6" t="s">
        <v>3</v>
      </c>
      <c r="C2964" s="54"/>
      <c r="D2964" s="5">
        <f t="shared" si="308"/>
        <v>0</v>
      </c>
      <c r="K2964" s="6" t="s">
        <v>3</v>
      </c>
      <c r="L2964" s="7"/>
      <c r="M2964" s="5">
        <f t="shared" si="309"/>
        <v>0</v>
      </c>
    </row>
    <row r="2965" spans="2:14" ht="14.25" thickBot="1" x14ac:dyDescent="0.2">
      <c r="B2965" s="9" t="s">
        <v>3</v>
      </c>
      <c r="C2965" s="101"/>
      <c r="D2965" s="5">
        <f t="shared" si="308"/>
        <v>0</v>
      </c>
      <c r="K2965" s="9" t="s">
        <v>3</v>
      </c>
      <c r="L2965" s="10"/>
      <c r="M2965" s="5">
        <f t="shared" si="309"/>
        <v>0</v>
      </c>
    </row>
    <row r="2966" spans="2:14" ht="14.25" thickBot="1" x14ac:dyDescent="0.2">
      <c r="B2966" s="11" t="s">
        <v>4</v>
      </c>
      <c r="C2966" s="12">
        <f>SUM(C2955:C2965)</f>
        <v>369</v>
      </c>
      <c r="D2966" s="13">
        <f>SUM(D2955:D2965)</f>
        <v>369</v>
      </c>
      <c r="K2966" s="11" t="s">
        <v>4</v>
      </c>
      <c r="L2966" s="12">
        <f>SUM(L2955:L2965)</f>
        <v>1512</v>
      </c>
      <c r="M2966" s="13">
        <f>SUM(M2955:M2965)</f>
        <v>1512</v>
      </c>
    </row>
    <row r="2967" spans="2:14" x14ac:dyDescent="0.15">
      <c r="B2967" s="71" t="s">
        <v>162</v>
      </c>
      <c r="C2967" s="15">
        <v>1</v>
      </c>
      <c r="D2967" s="14">
        <f>SUM(C2967)</f>
        <v>1</v>
      </c>
      <c r="E2967" s="74">
        <v>43460</v>
      </c>
      <c r="F2967" s="74"/>
      <c r="G2967" s="74"/>
      <c r="H2967" s="74"/>
      <c r="I2967" s="74"/>
      <c r="K2967" s="71" t="s">
        <v>31</v>
      </c>
      <c r="L2967" s="15">
        <v>200</v>
      </c>
      <c r="M2967" s="14">
        <f>SUM(L2967)</f>
        <v>200</v>
      </c>
      <c r="N2967" s="74">
        <v>43532</v>
      </c>
    </row>
    <row r="2968" spans="2:14" x14ac:dyDescent="0.15">
      <c r="B2968" s="71" t="s">
        <v>162</v>
      </c>
      <c r="C2968" s="15">
        <v>1</v>
      </c>
      <c r="D2968" s="14">
        <f>SUM(C2968)</f>
        <v>1</v>
      </c>
      <c r="E2968" s="74">
        <v>43462</v>
      </c>
      <c r="F2968" s="74"/>
      <c r="G2968" s="74"/>
      <c r="H2968" s="74"/>
      <c r="I2968" s="74"/>
      <c r="J2968" s="36"/>
      <c r="K2968" s="69"/>
      <c r="L2968" s="15"/>
      <c r="M2968" s="14">
        <f t="shared" ref="M2968:M2985" si="310">SUM(L2968:L2968)</f>
        <v>0</v>
      </c>
    </row>
    <row r="2969" spans="2:14" x14ac:dyDescent="0.15">
      <c r="B2969" s="71" t="s">
        <v>162</v>
      </c>
      <c r="C2969" s="15">
        <v>5</v>
      </c>
      <c r="D2969" s="14">
        <f>SUM(C2969)</f>
        <v>5</v>
      </c>
      <c r="E2969" s="74">
        <v>43470</v>
      </c>
      <c r="F2969" s="74"/>
      <c r="G2969" s="74"/>
      <c r="H2969" s="74"/>
      <c r="I2969" s="74"/>
      <c r="J2969" s="51"/>
      <c r="K2969" s="69"/>
      <c r="L2969" s="15"/>
      <c r="M2969" s="14">
        <f t="shared" si="310"/>
        <v>0</v>
      </c>
    </row>
    <row r="2970" spans="2:14" x14ac:dyDescent="0.15">
      <c r="B2970" s="71" t="s">
        <v>162</v>
      </c>
      <c r="C2970" s="15">
        <v>1</v>
      </c>
      <c r="D2970" s="14">
        <f t="shared" ref="D2970:D2990" si="311">SUM(C2970)</f>
        <v>1</v>
      </c>
      <c r="E2970" s="74">
        <v>43481</v>
      </c>
      <c r="F2970" s="74"/>
      <c r="G2970" s="74"/>
      <c r="H2970" s="74"/>
      <c r="I2970" s="74"/>
      <c r="J2970" s="51"/>
      <c r="K2970" s="69"/>
      <c r="L2970" s="15"/>
      <c r="M2970" s="14">
        <f t="shared" si="310"/>
        <v>0</v>
      </c>
    </row>
    <row r="2971" spans="2:14" x14ac:dyDescent="0.15">
      <c r="B2971" s="71" t="s">
        <v>162</v>
      </c>
      <c r="C2971" s="15">
        <v>1</v>
      </c>
      <c r="D2971" s="14">
        <f t="shared" si="311"/>
        <v>1</v>
      </c>
      <c r="E2971" s="74">
        <v>43488</v>
      </c>
      <c r="F2971" s="74"/>
      <c r="G2971" s="74"/>
      <c r="H2971" s="74"/>
      <c r="I2971" s="74"/>
      <c r="J2971" s="51"/>
      <c r="K2971" s="71"/>
      <c r="L2971" s="15"/>
      <c r="M2971" s="14">
        <f t="shared" si="310"/>
        <v>0</v>
      </c>
    </row>
    <row r="2972" spans="2:14" x14ac:dyDescent="0.15">
      <c r="B2972" s="71" t="s">
        <v>162</v>
      </c>
      <c r="C2972" s="15">
        <v>1</v>
      </c>
      <c r="D2972" s="14">
        <f t="shared" si="311"/>
        <v>1</v>
      </c>
      <c r="E2972" s="74">
        <v>43489</v>
      </c>
      <c r="F2972" s="74"/>
      <c r="G2972" s="74"/>
      <c r="H2972" s="74"/>
      <c r="I2972" s="74"/>
      <c r="J2972" s="51"/>
      <c r="K2972" s="4"/>
      <c r="L2972" s="15"/>
      <c r="M2972" s="14">
        <f t="shared" si="310"/>
        <v>0</v>
      </c>
    </row>
    <row r="2973" spans="2:14" x14ac:dyDescent="0.15">
      <c r="B2973" s="71" t="s">
        <v>162</v>
      </c>
      <c r="C2973" s="15">
        <v>3</v>
      </c>
      <c r="D2973" s="14">
        <f t="shared" si="311"/>
        <v>3</v>
      </c>
      <c r="E2973" s="74">
        <v>43500</v>
      </c>
      <c r="F2973" s="74"/>
      <c r="G2973" s="74"/>
      <c r="H2973" s="74"/>
      <c r="I2973" s="74"/>
      <c r="J2973" s="51"/>
      <c r="K2973" s="4"/>
      <c r="L2973" s="15"/>
      <c r="M2973" s="14">
        <f t="shared" si="310"/>
        <v>0</v>
      </c>
    </row>
    <row r="2974" spans="2:14" x14ac:dyDescent="0.15">
      <c r="B2974" s="71" t="s">
        <v>162</v>
      </c>
      <c r="C2974" s="15">
        <v>1</v>
      </c>
      <c r="D2974" s="14">
        <f t="shared" si="311"/>
        <v>1</v>
      </c>
      <c r="E2974" s="74">
        <v>43501</v>
      </c>
      <c r="F2974" s="74"/>
      <c r="G2974" s="74"/>
      <c r="H2974" s="74"/>
      <c r="I2974" s="74"/>
      <c r="J2974" s="51"/>
      <c r="K2974" s="6"/>
      <c r="L2974" s="15"/>
      <c r="M2974" s="14">
        <f t="shared" si="310"/>
        <v>0</v>
      </c>
    </row>
    <row r="2975" spans="2:14" x14ac:dyDescent="0.15">
      <c r="B2975" s="71" t="s">
        <v>162</v>
      </c>
      <c r="C2975" s="15">
        <v>23</v>
      </c>
      <c r="D2975" s="14">
        <f t="shared" si="311"/>
        <v>23</v>
      </c>
      <c r="E2975" s="74">
        <v>43502</v>
      </c>
      <c r="F2975" s="74"/>
      <c r="G2975" s="74"/>
      <c r="H2975" s="74"/>
      <c r="I2975" s="74"/>
      <c r="J2975" s="51"/>
      <c r="K2975" s="4"/>
      <c r="L2975" s="15"/>
      <c r="M2975" s="14">
        <f t="shared" si="310"/>
        <v>0</v>
      </c>
    </row>
    <row r="2976" spans="2:14" x14ac:dyDescent="0.15">
      <c r="B2976" s="71" t="s">
        <v>162</v>
      </c>
      <c r="C2976" s="15">
        <v>4</v>
      </c>
      <c r="D2976" s="14">
        <f t="shared" si="311"/>
        <v>4</v>
      </c>
      <c r="E2976" s="74">
        <v>43508</v>
      </c>
      <c r="F2976" s="74"/>
      <c r="G2976" s="74"/>
      <c r="H2976" s="74"/>
      <c r="I2976" s="74"/>
      <c r="J2976" s="36"/>
      <c r="K2976" s="4"/>
      <c r="L2976" s="15"/>
      <c r="M2976" s="14">
        <f t="shared" si="310"/>
        <v>0</v>
      </c>
    </row>
    <row r="2977" spans="2:15" x14ac:dyDescent="0.15">
      <c r="B2977" s="71" t="s">
        <v>162</v>
      </c>
      <c r="C2977" s="15">
        <v>2</v>
      </c>
      <c r="D2977" s="14">
        <f t="shared" si="311"/>
        <v>2</v>
      </c>
      <c r="E2977" s="74">
        <v>43509</v>
      </c>
      <c r="F2977" s="74"/>
      <c r="G2977" s="74"/>
      <c r="H2977" s="74"/>
      <c r="I2977" s="74"/>
      <c r="J2977" s="51"/>
      <c r="K2977" s="4"/>
      <c r="L2977" s="15"/>
      <c r="M2977" s="14">
        <f t="shared" si="310"/>
        <v>0</v>
      </c>
    </row>
    <row r="2978" spans="2:15" x14ac:dyDescent="0.15">
      <c r="B2978" s="71" t="s">
        <v>162</v>
      </c>
      <c r="C2978" s="15">
        <v>2</v>
      </c>
      <c r="D2978" s="14">
        <f t="shared" si="311"/>
        <v>2</v>
      </c>
      <c r="E2978" s="48">
        <v>43514</v>
      </c>
      <c r="F2978" s="48"/>
      <c r="G2978" s="48"/>
      <c r="H2978" s="48"/>
      <c r="I2978" s="48"/>
      <c r="J2978" s="51"/>
      <c r="K2978" s="4"/>
      <c r="L2978" s="15"/>
      <c r="M2978" s="14">
        <f t="shared" si="310"/>
        <v>0</v>
      </c>
    </row>
    <row r="2979" spans="2:15" x14ac:dyDescent="0.15">
      <c r="B2979" s="71" t="s">
        <v>162</v>
      </c>
      <c r="C2979" s="15">
        <v>1</v>
      </c>
      <c r="D2979" s="14">
        <f t="shared" si="311"/>
        <v>1</v>
      </c>
      <c r="E2979" s="74">
        <v>43516</v>
      </c>
      <c r="F2979" s="74"/>
      <c r="G2979" s="74"/>
      <c r="H2979" s="74"/>
      <c r="I2979" s="74"/>
      <c r="J2979" s="36"/>
      <c r="K2979" s="6"/>
      <c r="L2979" s="15"/>
      <c r="M2979" s="14">
        <f t="shared" si="310"/>
        <v>0</v>
      </c>
    </row>
    <row r="2980" spans="2:15" x14ac:dyDescent="0.15">
      <c r="B2980" s="4" t="s">
        <v>589</v>
      </c>
      <c r="C2980" s="15">
        <v>40</v>
      </c>
      <c r="D2980" s="14">
        <f t="shared" si="311"/>
        <v>40</v>
      </c>
      <c r="E2980" s="74">
        <v>43524</v>
      </c>
      <c r="F2980" s="74"/>
      <c r="G2980" s="74"/>
      <c r="H2980" s="74"/>
      <c r="I2980" s="74"/>
      <c r="J2980" s="51"/>
      <c r="K2980" s="67"/>
      <c r="L2980" s="15"/>
      <c r="M2980" s="14">
        <f t="shared" si="310"/>
        <v>0</v>
      </c>
    </row>
    <row r="2981" spans="2:15" x14ac:dyDescent="0.15">
      <c r="B2981" s="71" t="s">
        <v>531</v>
      </c>
      <c r="C2981" s="15">
        <v>20</v>
      </c>
      <c r="D2981" s="14">
        <f>SUM(C2981)</f>
        <v>20</v>
      </c>
      <c r="E2981" s="74">
        <v>43518</v>
      </c>
      <c r="F2981" s="74"/>
      <c r="G2981" s="74"/>
      <c r="H2981" s="74"/>
      <c r="I2981" s="74"/>
      <c r="J2981" s="51"/>
      <c r="K2981" s="4"/>
      <c r="L2981" s="15"/>
      <c r="M2981" s="14">
        <f t="shared" si="310"/>
        <v>0</v>
      </c>
    </row>
    <row r="2982" spans="2:15" x14ac:dyDescent="0.15">
      <c r="B2982" s="71" t="s">
        <v>162</v>
      </c>
      <c r="C2982" s="15">
        <v>1</v>
      </c>
      <c r="D2982" s="14">
        <f>SUM(C2982)</f>
        <v>1</v>
      </c>
      <c r="E2982" s="48">
        <v>43518</v>
      </c>
      <c r="F2982" s="48"/>
      <c r="G2982" s="48"/>
      <c r="H2982" s="48"/>
      <c r="I2982" s="48"/>
      <c r="J2982" s="51"/>
      <c r="K2982" s="4"/>
      <c r="L2982" s="15"/>
      <c r="M2982" s="14">
        <f t="shared" si="310"/>
        <v>0</v>
      </c>
    </row>
    <row r="2983" spans="2:15" x14ac:dyDescent="0.15">
      <c r="B2983" s="71" t="s">
        <v>162</v>
      </c>
      <c r="C2983" s="15">
        <v>2</v>
      </c>
      <c r="D2983" s="14">
        <f>SUM(C2983)</f>
        <v>2</v>
      </c>
      <c r="E2983" s="74">
        <v>43521</v>
      </c>
      <c r="F2983" s="74"/>
      <c r="G2983" s="74"/>
      <c r="H2983" s="74"/>
      <c r="I2983" s="74"/>
      <c r="J2983" s="51"/>
      <c r="K2983" s="6"/>
      <c r="L2983" s="15"/>
      <c r="M2983" s="14">
        <f t="shared" si="310"/>
        <v>0</v>
      </c>
    </row>
    <row r="2984" spans="2:15" x14ac:dyDescent="0.15">
      <c r="B2984" s="71" t="s">
        <v>162</v>
      </c>
      <c r="C2984" s="15">
        <v>1</v>
      </c>
      <c r="D2984" s="14">
        <f t="shared" si="311"/>
        <v>1</v>
      </c>
      <c r="E2984" s="74">
        <v>43522</v>
      </c>
      <c r="F2984" s="74"/>
      <c r="G2984" s="74"/>
      <c r="H2984" s="74"/>
      <c r="I2984" s="74"/>
      <c r="J2984" s="51"/>
      <c r="K2984" s="4"/>
      <c r="L2984" s="15"/>
      <c r="M2984" s="14">
        <f t="shared" si="310"/>
        <v>0</v>
      </c>
    </row>
    <row r="2985" spans="2:15" x14ac:dyDescent="0.15">
      <c r="B2985" s="71" t="s">
        <v>162</v>
      </c>
      <c r="C2985" s="15">
        <v>1</v>
      </c>
      <c r="D2985" s="14">
        <f t="shared" si="311"/>
        <v>1</v>
      </c>
      <c r="E2985" s="48">
        <v>43523</v>
      </c>
      <c r="F2985" s="48"/>
      <c r="G2985" s="48"/>
      <c r="H2985" s="48"/>
      <c r="I2985" s="48"/>
      <c r="J2985" s="51"/>
      <c r="K2985" s="6"/>
      <c r="L2985" s="15"/>
      <c r="M2985" s="14">
        <f t="shared" si="310"/>
        <v>0</v>
      </c>
    </row>
    <row r="2986" spans="2:15" x14ac:dyDescent="0.15">
      <c r="B2986" s="71" t="s">
        <v>162</v>
      </c>
      <c r="C2986" s="15">
        <v>3</v>
      </c>
      <c r="D2986" s="14">
        <f t="shared" si="311"/>
        <v>3</v>
      </c>
      <c r="E2986" s="48">
        <v>43524</v>
      </c>
      <c r="F2986" s="48"/>
      <c r="G2986" s="48"/>
      <c r="H2986" s="48"/>
      <c r="I2986" s="48"/>
      <c r="J2986" s="51"/>
      <c r="K2986" s="69"/>
      <c r="L2986" s="15"/>
      <c r="M2986" s="14">
        <f>SUM(L2986)</f>
        <v>0</v>
      </c>
      <c r="N2986" s="75"/>
      <c r="O2986" s="75"/>
    </row>
    <row r="2987" spans="2:15" x14ac:dyDescent="0.15">
      <c r="B2987" s="71" t="s">
        <v>162</v>
      </c>
      <c r="C2987" s="15">
        <v>1</v>
      </c>
      <c r="D2987" s="14">
        <f t="shared" si="311"/>
        <v>1</v>
      </c>
      <c r="E2987" s="48">
        <v>43525</v>
      </c>
      <c r="F2987" s="48"/>
      <c r="G2987" s="48"/>
      <c r="H2987" s="48"/>
      <c r="I2987" s="48"/>
      <c r="J2987" s="51"/>
      <c r="K2987" s="4"/>
      <c r="L2987" s="15"/>
      <c r="M2987" s="14">
        <f>SUM(L2987)</f>
        <v>0</v>
      </c>
      <c r="N2987" s="75"/>
      <c r="O2987" s="75"/>
    </row>
    <row r="2988" spans="2:15" x14ac:dyDescent="0.15">
      <c r="B2988" s="71" t="s">
        <v>162</v>
      </c>
      <c r="C2988" s="15">
        <v>3</v>
      </c>
      <c r="D2988" s="14">
        <f t="shared" si="311"/>
        <v>3</v>
      </c>
      <c r="E2988" s="48">
        <v>43528</v>
      </c>
      <c r="F2988" s="48"/>
      <c r="G2988" s="48"/>
      <c r="H2988" s="48"/>
      <c r="I2988" s="48"/>
      <c r="J2988" s="51"/>
      <c r="K2988" s="172"/>
      <c r="L2988" s="15"/>
      <c r="M2988" s="14">
        <f>SUM(L2988)</f>
        <v>0</v>
      </c>
      <c r="N2988" s="75"/>
      <c r="O2988" s="75"/>
    </row>
    <row r="2989" spans="2:15" x14ac:dyDescent="0.15">
      <c r="B2989" s="71" t="s">
        <v>162</v>
      </c>
      <c r="C2989" s="15">
        <v>1</v>
      </c>
      <c r="D2989" s="14">
        <f t="shared" si="311"/>
        <v>1</v>
      </c>
      <c r="E2989" s="48">
        <v>43529</v>
      </c>
      <c r="F2989" s="48"/>
      <c r="G2989" s="48"/>
      <c r="H2989" s="48"/>
      <c r="I2989" s="48"/>
      <c r="J2989" s="51"/>
      <c r="K2989" s="173"/>
      <c r="L2989" s="15"/>
      <c r="M2989" s="14">
        <f>SUM(L2989:L2989)</f>
        <v>0</v>
      </c>
      <c r="N2989" s="75"/>
      <c r="O2989" s="75"/>
    </row>
    <row r="2990" spans="2:15" ht="14.25" thickBot="1" x14ac:dyDescent="0.2">
      <c r="B2990" s="4" t="s">
        <v>590</v>
      </c>
      <c r="C2990" s="15">
        <v>38</v>
      </c>
      <c r="D2990" s="14">
        <f t="shared" si="311"/>
        <v>38</v>
      </c>
      <c r="E2990" s="74">
        <v>43536</v>
      </c>
      <c r="F2990" s="74"/>
      <c r="G2990" s="74"/>
      <c r="H2990" s="74"/>
      <c r="I2990" s="74"/>
      <c r="J2990" s="51"/>
      <c r="K2990" s="6"/>
      <c r="L2990" s="15"/>
      <c r="M2990" s="14">
        <f>SUM(L2990:L2990)</f>
        <v>0</v>
      </c>
      <c r="N2990" s="75"/>
      <c r="O2990" s="75"/>
    </row>
    <row r="2991" spans="2:15" ht="14.25" thickBot="1" x14ac:dyDescent="0.2">
      <c r="B2991" s="3" t="s">
        <v>5</v>
      </c>
      <c r="C2991" s="16">
        <f>SUM(C2967:C2990)</f>
        <v>157</v>
      </c>
      <c r="D2991" s="17">
        <f>SUM(D2967:D2990)</f>
        <v>157</v>
      </c>
      <c r="K2991" s="3" t="s">
        <v>5</v>
      </c>
      <c r="L2991" s="16">
        <f>SUM(L2967:L2990)</f>
        <v>200</v>
      </c>
      <c r="M2991" s="17">
        <f>SUM(M2967:M2990)</f>
        <v>200</v>
      </c>
    </row>
    <row r="2992" spans="2:15" ht="14.25" thickBot="1" x14ac:dyDescent="0.2">
      <c r="B2992" s="18" t="s">
        <v>6</v>
      </c>
      <c r="C2992" s="19">
        <f>C2966-C2991</f>
        <v>212</v>
      </c>
      <c r="D2992" s="13">
        <f>D2966-D2991</f>
        <v>212</v>
      </c>
      <c r="K2992" s="18" t="s">
        <v>6</v>
      </c>
      <c r="L2992" s="19">
        <f>L2966-L2991</f>
        <v>1312</v>
      </c>
      <c r="M2992" s="13">
        <f>M2966-M2991</f>
        <v>1312</v>
      </c>
    </row>
    <row r="2994" spans="1:14" ht="18" thickBot="1" x14ac:dyDescent="0.25">
      <c r="A2994" s="27" t="s">
        <v>8</v>
      </c>
      <c r="B2994" s="28"/>
      <c r="C2994" s="28"/>
      <c r="D2994" s="28"/>
      <c r="J2994" s="139" t="s">
        <v>218</v>
      </c>
      <c r="K2994" s="140"/>
      <c r="L2994" s="140"/>
      <c r="M2994" s="140"/>
    </row>
    <row r="2995" spans="1:14" ht="14.25" thickBot="1" x14ac:dyDescent="0.2">
      <c r="B2995" s="2"/>
      <c r="C2995" s="3" t="s">
        <v>0</v>
      </c>
      <c r="D2995" s="2" t="s">
        <v>1</v>
      </c>
      <c r="K2995" s="2"/>
      <c r="L2995" s="3" t="s">
        <v>0</v>
      </c>
      <c r="M2995" s="2" t="s">
        <v>1</v>
      </c>
    </row>
    <row r="2996" spans="1:14" x14ac:dyDescent="0.15">
      <c r="B2996" s="43" t="s">
        <v>26</v>
      </c>
      <c r="C2996" s="38">
        <f>C2992</f>
        <v>212</v>
      </c>
      <c r="D2996" s="39">
        <f t="shared" ref="D2996:D3006" si="312">SUM(C2996:C2996)</f>
        <v>212</v>
      </c>
      <c r="K2996" s="43" t="s">
        <v>26</v>
      </c>
      <c r="L2996" s="38">
        <f>L2992</f>
        <v>1312</v>
      </c>
      <c r="M2996" s="39">
        <f t="shared" ref="M2996:M3006" si="313">SUM(L2996:L2996)</f>
        <v>1312</v>
      </c>
    </row>
    <row r="2997" spans="1:14" x14ac:dyDescent="0.15">
      <c r="B2997" s="6" t="s">
        <v>3</v>
      </c>
      <c r="C2997" s="7">
        <v>200</v>
      </c>
      <c r="D2997" s="5">
        <f t="shared" si="312"/>
        <v>200</v>
      </c>
      <c r="E2997" s="74">
        <v>43550</v>
      </c>
      <c r="F2997" s="74"/>
      <c r="G2997" s="74"/>
      <c r="H2997" s="74"/>
      <c r="I2997" s="74"/>
      <c r="J2997" s="75"/>
      <c r="K2997" s="6" t="s">
        <v>3</v>
      </c>
      <c r="L2997" s="7"/>
      <c r="M2997" s="5">
        <f t="shared" si="313"/>
        <v>0</v>
      </c>
    </row>
    <row r="2998" spans="1:14" x14ac:dyDescent="0.15">
      <c r="A2998" s="75"/>
      <c r="B2998" s="6" t="s">
        <v>3</v>
      </c>
      <c r="C2998" s="7">
        <v>200</v>
      </c>
      <c r="D2998" s="5">
        <f t="shared" si="312"/>
        <v>200</v>
      </c>
      <c r="E2998" s="74">
        <v>43559</v>
      </c>
      <c r="F2998" s="74"/>
      <c r="G2998" s="74"/>
      <c r="H2998" s="74"/>
      <c r="I2998" s="74"/>
      <c r="K2998" s="6" t="s">
        <v>3</v>
      </c>
      <c r="L2998" s="7"/>
      <c r="M2998" s="5">
        <f t="shared" si="313"/>
        <v>0</v>
      </c>
      <c r="N2998" s="74"/>
    </row>
    <row r="2999" spans="1:14" x14ac:dyDescent="0.15">
      <c r="A2999" s="75"/>
      <c r="B2999" s="6" t="s">
        <v>3</v>
      </c>
      <c r="C2999" s="7"/>
      <c r="D2999" s="5">
        <f t="shared" si="312"/>
        <v>0</v>
      </c>
      <c r="E2999" s="74"/>
      <c r="F2999" s="74"/>
      <c r="G2999" s="74"/>
      <c r="H2999" s="74"/>
      <c r="I2999" s="74"/>
      <c r="J2999" s="100"/>
      <c r="K2999" s="6" t="s">
        <v>3</v>
      </c>
      <c r="L2999" s="7"/>
      <c r="M2999" s="5">
        <f t="shared" si="313"/>
        <v>0</v>
      </c>
    </row>
    <row r="3000" spans="1:14" x14ac:dyDescent="0.15">
      <c r="B3000" s="6" t="s">
        <v>3</v>
      </c>
      <c r="C3000" s="7"/>
      <c r="D3000" s="5">
        <f t="shared" si="312"/>
        <v>0</v>
      </c>
      <c r="E3000" s="74"/>
      <c r="F3000" s="74"/>
      <c r="G3000" s="74"/>
      <c r="H3000" s="74"/>
      <c r="I3000" s="74"/>
      <c r="K3000" s="6" t="s">
        <v>3</v>
      </c>
      <c r="L3000" s="7"/>
      <c r="M3000" s="5">
        <f t="shared" si="313"/>
        <v>0</v>
      </c>
    </row>
    <row r="3001" spans="1:14" x14ac:dyDescent="0.15">
      <c r="B3001" s="6" t="s">
        <v>3</v>
      </c>
      <c r="C3001" s="7"/>
      <c r="D3001" s="5">
        <f t="shared" si="312"/>
        <v>0</v>
      </c>
      <c r="E3001" s="74"/>
      <c r="F3001" s="74"/>
      <c r="G3001" s="74"/>
      <c r="H3001" s="74"/>
      <c r="I3001" s="74"/>
      <c r="K3001" s="6" t="s">
        <v>3</v>
      </c>
      <c r="L3001" s="7"/>
      <c r="M3001" s="5">
        <f t="shared" si="313"/>
        <v>0</v>
      </c>
    </row>
    <row r="3002" spans="1:14" x14ac:dyDescent="0.15">
      <c r="B3002" s="6" t="s">
        <v>3</v>
      </c>
      <c r="C3002" s="7"/>
      <c r="D3002" s="5">
        <f t="shared" si="312"/>
        <v>0</v>
      </c>
      <c r="E3002" s="74"/>
      <c r="F3002" s="74"/>
      <c r="G3002" s="74"/>
      <c r="H3002" s="74"/>
      <c r="I3002" s="74"/>
      <c r="K3002" s="6" t="s">
        <v>3</v>
      </c>
      <c r="L3002" s="7"/>
      <c r="M3002" s="5">
        <f t="shared" si="313"/>
        <v>0</v>
      </c>
    </row>
    <row r="3003" spans="1:14" x14ac:dyDescent="0.15">
      <c r="B3003" s="6" t="s">
        <v>3</v>
      </c>
      <c r="C3003" s="54"/>
      <c r="D3003" s="5">
        <f t="shared" si="312"/>
        <v>0</v>
      </c>
      <c r="K3003" s="6" t="s">
        <v>3</v>
      </c>
      <c r="L3003" s="7"/>
      <c r="M3003" s="5">
        <f t="shared" si="313"/>
        <v>0</v>
      </c>
    </row>
    <row r="3004" spans="1:14" x14ac:dyDescent="0.15">
      <c r="B3004" s="6" t="s">
        <v>3</v>
      </c>
      <c r="C3004" s="54"/>
      <c r="D3004" s="5">
        <f t="shared" si="312"/>
        <v>0</v>
      </c>
      <c r="K3004" s="6" t="s">
        <v>3</v>
      </c>
      <c r="L3004" s="7"/>
      <c r="M3004" s="5">
        <f t="shared" si="313"/>
        <v>0</v>
      </c>
      <c r="N3004" s="74"/>
    </row>
    <row r="3005" spans="1:14" x14ac:dyDescent="0.15">
      <c r="B3005" s="6" t="s">
        <v>3</v>
      </c>
      <c r="C3005" s="54"/>
      <c r="D3005" s="5">
        <f t="shared" si="312"/>
        <v>0</v>
      </c>
      <c r="K3005" s="6" t="s">
        <v>3</v>
      </c>
      <c r="L3005" s="7"/>
      <c r="M3005" s="5">
        <f t="shared" si="313"/>
        <v>0</v>
      </c>
    </row>
    <row r="3006" spans="1:14" ht="14.25" thickBot="1" x14ac:dyDescent="0.2">
      <c r="B3006" s="9" t="s">
        <v>3</v>
      </c>
      <c r="C3006" s="101"/>
      <c r="D3006" s="5">
        <f t="shared" si="312"/>
        <v>0</v>
      </c>
      <c r="K3006" s="9" t="s">
        <v>3</v>
      </c>
      <c r="L3006" s="10"/>
      <c r="M3006" s="5">
        <f t="shared" si="313"/>
        <v>0</v>
      </c>
    </row>
    <row r="3007" spans="1:14" ht="14.25" thickBot="1" x14ac:dyDescent="0.2">
      <c r="B3007" s="11" t="s">
        <v>4</v>
      </c>
      <c r="C3007" s="12">
        <f>SUM(C2996:C3006)</f>
        <v>612</v>
      </c>
      <c r="D3007" s="13">
        <f>SUM(D2996:D3006)</f>
        <v>612</v>
      </c>
      <c r="K3007" s="11" t="s">
        <v>4</v>
      </c>
      <c r="L3007" s="12">
        <f>SUM(L2996:L3006)</f>
        <v>1312</v>
      </c>
      <c r="M3007" s="13">
        <f>SUM(M2996:M3006)</f>
        <v>1312</v>
      </c>
    </row>
    <row r="3008" spans="1:14" x14ac:dyDescent="0.15">
      <c r="B3008" s="71" t="s">
        <v>162</v>
      </c>
      <c r="C3008" s="15">
        <v>3</v>
      </c>
      <c r="D3008" s="14">
        <f>SUM(C3008)</f>
        <v>3</v>
      </c>
      <c r="E3008" s="74">
        <v>43530</v>
      </c>
      <c r="F3008" s="74"/>
      <c r="G3008" s="74"/>
      <c r="H3008" s="74"/>
      <c r="I3008" s="74"/>
      <c r="K3008" s="71" t="s">
        <v>31</v>
      </c>
      <c r="L3008" s="15">
        <v>200</v>
      </c>
      <c r="M3008" s="14">
        <f>SUM(L3008)</f>
        <v>200</v>
      </c>
      <c r="N3008" s="74">
        <v>43550</v>
      </c>
    </row>
    <row r="3009" spans="2:14" x14ac:dyDescent="0.15">
      <c r="B3009" s="71" t="s">
        <v>162</v>
      </c>
      <c r="C3009" s="15">
        <v>1</v>
      </c>
      <c r="D3009" s="14">
        <f>SUM(C3009)</f>
        <v>1</v>
      </c>
      <c r="E3009" s="74">
        <v>43531</v>
      </c>
      <c r="F3009" s="74"/>
      <c r="G3009" s="74"/>
      <c r="H3009" s="74"/>
      <c r="I3009" s="74"/>
      <c r="J3009" s="36"/>
      <c r="K3009" s="71" t="s">
        <v>31</v>
      </c>
      <c r="L3009" s="15">
        <v>200</v>
      </c>
      <c r="M3009" s="14">
        <f t="shared" ref="M3009:M3024" si="314">SUM(L3009:L3009)</f>
        <v>200</v>
      </c>
      <c r="N3009" s="74">
        <v>43559</v>
      </c>
    </row>
    <row r="3010" spans="2:14" x14ac:dyDescent="0.15">
      <c r="B3010" s="71" t="s">
        <v>531</v>
      </c>
      <c r="C3010" s="15">
        <v>10</v>
      </c>
      <c r="D3010" s="14">
        <f>SUM(C3010)</f>
        <v>10</v>
      </c>
      <c r="E3010" s="74">
        <v>43533</v>
      </c>
      <c r="F3010" s="74"/>
      <c r="G3010" s="74"/>
      <c r="H3010" s="74"/>
      <c r="I3010" s="74"/>
      <c r="J3010" s="51"/>
      <c r="K3010" s="69"/>
      <c r="L3010" s="15"/>
      <c r="M3010" s="14">
        <f t="shared" si="314"/>
        <v>0</v>
      </c>
    </row>
    <row r="3011" spans="2:14" x14ac:dyDescent="0.15">
      <c r="B3011" s="71" t="s">
        <v>162</v>
      </c>
      <c r="C3011" s="15">
        <v>4</v>
      </c>
      <c r="D3011" s="14">
        <f t="shared" ref="D3011:D3021" si="315">SUM(C3011)</f>
        <v>4</v>
      </c>
      <c r="E3011" s="74">
        <v>43532</v>
      </c>
      <c r="F3011" s="74"/>
      <c r="G3011" s="74"/>
      <c r="H3011" s="74"/>
      <c r="I3011" s="74"/>
      <c r="J3011" s="51"/>
      <c r="K3011" s="69"/>
      <c r="L3011" s="15"/>
      <c r="M3011" s="14">
        <f t="shared" si="314"/>
        <v>0</v>
      </c>
    </row>
    <row r="3012" spans="2:14" x14ac:dyDescent="0.15">
      <c r="B3012" s="71" t="s">
        <v>162</v>
      </c>
      <c r="C3012" s="15">
        <v>14</v>
      </c>
      <c r="D3012" s="14">
        <f t="shared" si="315"/>
        <v>14</v>
      </c>
      <c r="E3012" s="74">
        <v>43535</v>
      </c>
      <c r="F3012" s="74"/>
      <c r="G3012" s="74"/>
      <c r="H3012" s="74"/>
      <c r="I3012" s="74"/>
      <c r="J3012" s="51"/>
      <c r="K3012" s="71"/>
      <c r="L3012" s="15"/>
      <c r="M3012" s="14">
        <f t="shared" si="314"/>
        <v>0</v>
      </c>
    </row>
    <row r="3013" spans="2:14" x14ac:dyDescent="0.15">
      <c r="B3013" s="71" t="s">
        <v>39</v>
      </c>
      <c r="C3013" s="15">
        <v>100</v>
      </c>
      <c r="D3013" s="14">
        <f t="shared" si="315"/>
        <v>100</v>
      </c>
      <c r="E3013" s="74">
        <v>43536</v>
      </c>
      <c r="F3013" s="74"/>
      <c r="G3013" s="74"/>
      <c r="H3013" s="74"/>
      <c r="I3013" s="74"/>
      <c r="J3013" s="51"/>
      <c r="K3013" s="4"/>
      <c r="L3013" s="15"/>
      <c r="M3013" s="14">
        <f t="shared" si="314"/>
        <v>0</v>
      </c>
    </row>
    <row r="3014" spans="2:14" x14ac:dyDescent="0.15">
      <c r="B3014" s="71" t="s">
        <v>162</v>
      </c>
      <c r="C3014" s="15">
        <v>5</v>
      </c>
      <c r="D3014" s="14">
        <f t="shared" si="315"/>
        <v>5</v>
      </c>
      <c r="E3014" s="74">
        <v>43536</v>
      </c>
      <c r="F3014" s="74"/>
      <c r="G3014" s="74"/>
      <c r="H3014" s="74"/>
      <c r="I3014" s="74"/>
      <c r="J3014" s="51"/>
      <c r="K3014" s="4"/>
      <c r="L3014" s="15"/>
      <c r="M3014" s="14">
        <f t="shared" si="314"/>
        <v>0</v>
      </c>
    </row>
    <row r="3015" spans="2:14" x14ac:dyDescent="0.15">
      <c r="B3015" s="71" t="s">
        <v>162</v>
      </c>
      <c r="C3015" s="15">
        <v>1</v>
      </c>
      <c r="D3015" s="14">
        <f t="shared" si="315"/>
        <v>1</v>
      </c>
      <c r="E3015" s="74">
        <v>43537</v>
      </c>
      <c r="F3015" s="74"/>
      <c r="G3015" s="74"/>
      <c r="H3015" s="74"/>
      <c r="I3015" s="74"/>
      <c r="J3015" s="51"/>
      <c r="K3015" s="6"/>
      <c r="L3015" s="15"/>
      <c r="M3015" s="14">
        <f t="shared" si="314"/>
        <v>0</v>
      </c>
    </row>
    <row r="3016" spans="2:14" x14ac:dyDescent="0.15">
      <c r="B3016" s="71" t="s">
        <v>162</v>
      </c>
      <c r="C3016" s="15">
        <v>1</v>
      </c>
      <c r="D3016" s="14">
        <f t="shared" si="315"/>
        <v>1</v>
      </c>
      <c r="E3016" s="74">
        <v>43538</v>
      </c>
      <c r="F3016" s="74"/>
      <c r="G3016" s="74"/>
      <c r="H3016" s="74"/>
      <c r="I3016" s="74"/>
      <c r="J3016" s="51"/>
      <c r="K3016" s="4"/>
      <c r="L3016" s="15"/>
      <c r="M3016" s="14">
        <f t="shared" si="314"/>
        <v>0</v>
      </c>
    </row>
    <row r="3017" spans="2:14" x14ac:dyDescent="0.15">
      <c r="B3017" s="71" t="s">
        <v>162</v>
      </c>
      <c r="C3017" s="15">
        <v>1</v>
      </c>
      <c r="D3017" s="14">
        <f t="shared" si="315"/>
        <v>1</v>
      </c>
      <c r="E3017" s="74">
        <v>43539</v>
      </c>
      <c r="F3017" s="74"/>
      <c r="G3017" s="74"/>
      <c r="H3017" s="74"/>
      <c r="I3017" s="74"/>
      <c r="J3017" s="36"/>
      <c r="K3017" s="4"/>
      <c r="L3017" s="15"/>
      <c r="M3017" s="14">
        <f t="shared" si="314"/>
        <v>0</v>
      </c>
    </row>
    <row r="3018" spans="2:14" x14ac:dyDescent="0.15">
      <c r="B3018" s="71" t="s">
        <v>162</v>
      </c>
      <c r="C3018" s="15">
        <v>6</v>
      </c>
      <c r="D3018" s="14">
        <f t="shared" si="315"/>
        <v>6</v>
      </c>
      <c r="E3018" s="74">
        <v>43542</v>
      </c>
      <c r="F3018" s="74"/>
      <c r="G3018" s="74"/>
      <c r="H3018" s="74"/>
      <c r="I3018" s="74"/>
      <c r="J3018" s="51"/>
      <c r="K3018" s="4"/>
      <c r="L3018" s="15"/>
      <c r="M3018" s="14">
        <f t="shared" si="314"/>
        <v>0</v>
      </c>
    </row>
    <row r="3019" spans="2:14" x14ac:dyDescent="0.15">
      <c r="B3019" s="71" t="s">
        <v>162</v>
      </c>
      <c r="C3019" s="15">
        <v>7</v>
      </c>
      <c r="D3019" s="14">
        <f t="shared" si="315"/>
        <v>7</v>
      </c>
      <c r="E3019" s="48">
        <v>43543</v>
      </c>
      <c r="F3019" s="48"/>
      <c r="G3019" s="48"/>
      <c r="H3019" s="48"/>
      <c r="I3019" s="48"/>
      <c r="J3019" s="51"/>
      <c r="K3019" s="4"/>
      <c r="L3019" s="15"/>
      <c r="M3019" s="14">
        <f t="shared" si="314"/>
        <v>0</v>
      </c>
    </row>
    <row r="3020" spans="2:14" x14ac:dyDescent="0.15">
      <c r="B3020" s="71" t="s">
        <v>531</v>
      </c>
      <c r="C3020" s="15">
        <v>6</v>
      </c>
      <c r="D3020" s="14">
        <f t="shared" si="315"/>
        <v>6</v>
      </c>
      <c r="E3020" s="74">
        <v>43547</v>
      </c>
      <c r="F3020" s="74"/>
      <c r="G3020" s="74"/>
      <c r="H3020" s="74"/>
      <c r="I3020" s="74"/>
      <c r="J3020" s="36"/>
      <c r="K3020" s="172"/>
      <c r="L3020" s="15"/>
      <c r="M3020" s="14">
        <f>SUM(L3020)</f>
        <v>0</v>
      </c>
      <c r="N3020" s="75"/>
    </row>
    <row r="3021" spans="2:14" x14ac:dyDescent="0.15">
      <c r="B3021" s="71" t="s">
        <v>162</v>
      </c>
      <c r="C3021" s="15">
        <v>7</v>
      </c>
      <c r="D3021" s="14">
        <f t="shared" si="315"/>
        <v>7</v>
      </c>
      <c r="E3021" s="74">
        <v>43546</v>
      </c>
      <c r="F3021" s="74"/>
      <c r="G3021" s="74"/>
      <c r="H3021" s="74"/>
      <c r="I3021" s="74"/>
      <c r="J3021" s="51"/>
      <c r="K3021" s="173"/>
      <c r="L3021" s="15"/>
      <c r="M3021" s="14">
        <f>SUM(L3021:L3021)</f>
        <v>0</v>
      </c>
      <c r="N3021" s="75"/>
    </row>
    <row r="3022" spans="2:14" x14ac:dyDescent="0.15">
      <c r="B3022" s="71" t="s">
        <v>162</v>
      </c>
      <c r="C3022" s="15">
        <v>3</v>
      </c>
      <c r="D3022" s="14">
        <f>SUM(C3022)</f>
        <v>3</v>
      </c>
      <c r="E3022" s="74">
        <v>43549</v>
      </c>
      <c r="F3022" s="74"/>
      <c r="G3022" s="74"/>
      <c r="H3022" s="74"/>
      <c r="I3022" s="74"/>
      <c r="J3022" s="51"/>
      <c r="K3022" s="4"/>
      <c r="L3022" s="15"/>
      <c r="M3022" s="14">
        <f t="shared" si="314"/>
        <v>0</v>
      </c>
      <c r="N3022" s="75"/>
    </row>
    <row r="3023" spans="2:14" x14ac:dyDescent="0.15">
      <c r="B3023" s="71" t="s">
        <v>39</v>
      </c>
      <c r="C3023" s="15">
        <v>100</v>
      </c>
      <c r="D3023" s="14">
        <f>SUM(C3023)</f>
        <v>100</v>
      </c>
      <c r="E3023" s="48">
        <v>43551</v>
      </c>
      <c r="F3023" s="48"/>
      <c r="G3023" s="48"/>
      <c r="H3023" s="48"/>
      <c r="I3023" s="48"/>
      <c r="J3023" s="51"/>
      <c r="K3023" s="6"/>
      <c r="L3023" s="15"/>
      <c r="M3023" s="14">
        <f t="shared" si="314"/>
        <v>0</v>
      </c>
      <c r="N3023" s="75"/>
    </row>
    <row r="3024" spans="2:14" x14ac:dyDescent="0.15">
      <c r="B3024" s="71" t="s">
        <v>162</v>
      </c>
      <c r="C3024" s="15">
        <v>2</v>
      </c>
      <c r="D3024" s="14">
        <f>SUM(C3024)</f>
        <v>2</v>
      </c>
      <c r="E3024" s="74">
        <v>43550</v>
      </c>
      <c r="F3024" s="74"/>
      <c r="G3024" s="74"/>
      <c r="H3024" s="74"/>
      <c r="I3024" s="74"/>
      <c r="J3024" s="51"/>
      <c r="K3024" s="6"/>
      <c r="L3024" s="15"/>
      <c r="M3024" s="14">
        <f t="shared" si="314"/>
        <v>0</v>
      </c>
      <c r="N3024" s="75"/>
    </row>
    <row r="3025" spans="1:14" x14ac:dyDescent="0.15">
      <c r="B3025" s="71" t="s">
        <v>162</v>
      </c>
      <c r="C3025" s="15">
        <v>1</v>
      </c>
      <c r="D3025" s="14">
        <f t="shared" ref="D3025:D3031" si="316">SUM(C3025)</f>
        <v>1</v>
      </c>
      <c r="E3025" s="74">
        <v>43551</v>
      </c>
      <c r="F3025" s="74"/>
      <c r="G3025" s="74"/>
      <c r="H3025" s="74"/>
      <c r="I3025" s="74"/>
      <c r="J3025" s="51"/>
      <c r="K3025" s="172"/>
      <c r="L3025" s="15"/>
      <c r="M3025" s="14">
        <f>SUM(L3025)</f>
        <v>0</v>
      </c>
      <c r="N3025" s="75"/>
    </row>
    <row r="3026" spans="1:14" x14ac:dyDescent="0.15">
      <c r="B3026" s="71" t="s">
        <v>162</v>
      </c>
      <c r="C3026" s="15">
        <v>3</v>
      </c>
      <c r="D3026" s="14">
        <f t="shared" si="316"/>
        <v>3</v>
      </c>
      <c r="E3026" s="48">
        <v>43553</v>
      </c>
      <c r="F3026" s="48"/>
      <c r="G3026" s="48"/>
      <c r="H3026" s="48"/>
      <c r="I3026" s="48"/>
      <c r="J3026" s="51"/>
      <c r="K3026" s="173"/>
      <c r="L3026" s="15"/>
      <c r="M3026" s="14">
        <f>SUM(L3026:L3026)</f>
        <v>0</v>
      </c>
      <c r="N3026" s="75"/>
    </row>
    <row r="3027" spans="1:14" x14ac:dyDescent="0.15">
      <c r="B3027" s="71" t="s">
        <v>162</v>
      </c>
      <c r="C3027" s="15">
        <v>1</v>
      </c>
      <c r="D3027" s="14">
        <f t="shared" si="316"/>
        <v>1</v>
      </c>
      <c r="E3027" s="48">
        <v>43554</v>
      </c>
      <c r="F3027" s="48"/>
      <c r="G3027" s="48"/>
      <c r="H3027" s="48"/>
      <c r="I3027" s="48"/>
      <c r="J3027" s="51"/>
      <c r="K3027" s="172"/>
      <c r="L3027" s="15"/>
      <c r="M3027" s="14">
        <f>SUM(L3027)</f>
        <v>0</v>
      </c>
      <c r="N3027" s="75"/>
    </row>
    <row r="3028" spans="1:14" x14ac:dyDescent="0.15">
      <c r="B3028" s="71" t="s">
        <v>162</v>
      </c>
      <c r="C3028" s="15">
        <v>9</v>
      </c>
      <c r="D3028" s="14">
        <f t="shared" si="316"/>
        <v>9</v>
      </c>
      <c r="E3028" s="74">
        <v>43556</v>
      </c>
      <c r="F3028" s="74"/>
      <c r="G3028" s="74"/>
      <c r="H3028" s="74"/>
      <c r="I3028" s="74"/>
      <c r="J3028" s="51"/>
      <c r="K3028" s="173"/>
      <c r="L3028" s="15"/>
      <c r="M3028" s="14">
        <f>SUM(L3028:L3028)</f>
        <v>0</v>
      </c>
      <c r="N3028" s="75"/>
    </row>
    <row r="3029" spans="1:14" x14ac:dyDescent="0.15">
      <c r="B3029" s="4" t="s">
        <v>594</v>
      </c>
      <c r="C3029" s="15">
        <v>30</v>
      </c>
      <c r="D3029" s="14">
        <f t="shared" si="316"/>
        <v>30</v>
      </c>
      <c r="E3029" s="74">
        <v>43560</v>
      </c>
      <c r="F3029" s="74"/>
      <c r="G3029" s="74"/>
      <c r="H3029" s="74"/>
      <c r="I3029" s="74"/>
      <c r="J3029" s="51"/>
      <c r="K3029" s="4"/>
      <c r="L3029" s="15"/>
      <c r="M3029" s="14">
        <f>SUM(L3029)</f>
        <v>0</v>
      </c>
      <c r="N3029" s="75"/>
    </row>
    <row r="3030" spans="1:14" x14ac:dyDescent="0.15">
      <c r="B3030" s="71" t="s">
        <v>162</v>
      </c>
      <c r="C3030" s="15">
        <v>8</v>
      </c>
      <c r="D3030" s="14">
        <f t="shared" si="316"/>
        <v>8</v>
      </c>
      <c r="E3030" s="48">
        <v>43557</v>
      </c>
      <c r="F3030" s="48"/>
      <c r="G3030" s="48"/>
      <c r="H3030" s="48"/>
      <c r="I3030" s="48"/>
      <c r="J3030" s="51"/>
      <c r="K3030" s="174"/>
      <c r="L3030" s="15"/>
      <c r="M3030" s="14">
        <f>SUM(L3030)</f>
        <v>0</v>
      </c>
      <c r="N3030" s="75"/>
    </row>
    <row r="3031" spans="1:14" ht="14.25" thickBot="1" x14ac:dyDescent="0.2">
      <c r="B3031" s="71" t="s">
        <v>39</v>
      </c>
      <c r="C3031" s="15">
        <v>50</v>
      </c>
      <c r="D3031" s="14">
        <f t="shared" si="316"/>
        <v>50</v>
      </c>
      <c r="E3031" s="48">
        <v>43559</v>
      </c>
      <c r="F3031" s="48"/>
      <c r="G3031" s="48"/>
      <c r="H3031" s="48"/>
      <c r="I3031" s="48"/>
      <c r="J3031" s="51"/>
      <c r="K3031" s="6"/>
      <c r="L3031" s="15"/>
      <c r="M3031" s="14">
        <f>SUM(L3031:L3031)</f>
        <v>0</v>
      </c>
      <c r="N3031" s="75"/>
    </row>
    <row r="3032" spans="1:14" ht="14.25" thickBot="1" x14ac:dyDescent="0.2">
      <c r="B3032" s="3" t="s">
        <v>5</v>
      </c>
      <c r="C3032" s="16">
        <f>SUM(C3008:C3031)</f>
        <v>373</v>
      </c>
      <c r="D3032" s="17">
        <f>SUM(D3008:D3031)</f>
        <v>373</v>
      </c>
      <c r="K3032" s="3" t="s">
        <v>5</v>
      </c>
      <c r="L3032" s="16">
        <f>SUM(L3008:L3031)</f>
        <v>400</v>
      </c>
      <c r="M3032" s="17">
        <f>SUM(M3008:M3031)</f>
        <v>400</v>
      </c>
    </row>
    <row r="3033" spans="1:14" ht="14.25" thickBot="1" x14ac:dyDescent="0.2">
      <c r="B3033" s="18" t="s">
        <v>6</v>
      </c>
      <c r="C3033" s="19">
        <f>C3007-C3032</f>
        <v>239</v>
      </c>
      <c r="D3033" s="13">
        <f>D3007-D3032</f>
        <v>239</v>
      </c>
      <c r="K3033" s="18" t="s">
        <v>6</v>
      </c>
      <c r="L3033" s="19">
        <f>L3007-L3032</f>
        <v>912</v>
      </c>
      <c r="M3033" s="13">
        <f>M3007-M3032</f>
        <v>912</v>
      </c>
    </row>
    <row r="3035" spans="1:14" ht="18" thickBot="1" x14ac:dyDescent="0.25">
      <c r="A3035" s="27" t="s">
        <v>8</v>
      </c>
      <c r="B3035" s="28"/>
      <c r="C3035" s="28"/>
      <c r="D3035" s="28"/>
      <c r="J3035" s="139" t="s">
        <v>218</v>
      </c>
      <c r="K3035" s="140"/>
      <c r="L3035" s="140"/>
      <c r="M3035" s="140"/>
    </row>
    <row r="3036" spans="1:14" ht="14.25" thickBot="1" x14ac:dyDescent="0.2">
      <c r="B3036" s="2"/>
      <c r="C3036" s="3" t="s">
        <v>0</v>
      </c>
      <c r="D3036" s="2" t="s">
        <v>1</v>
      </c>
      <c r="K3036" s="2"/>
      <c r="L3036" s="3" t="s">
        <v>0</v>
      </c>
      <c r="M3036" s="2" t="s">
        <v>1</v>
      </c>
    </row>
    <row r="3037" spans="1:14" x14ac:dyDescent="0.15">
      <c r="B3037" s="43" t="s">
        <v>26</v>
      </c>
      <c r="C3037" s="38">
        <f>C3033</f>
        <v>239</v>
      </c>
      <c r="D3037" s="39">
        <f t="shared" ref="D3037:D3047" si="317">SUM(C3037:C3037)</f>
        <v>239</v>
      </c>
      <c r="K3037" s="43" t="s">
        <v>26</v>
      </c>
      <c r="L3037" s="38">
        <f>L3033</f>
        <v>912</v>
      </c>
      <c r="M3037" s="39">
        <f t="shared" ref="M3037:M3047" si="318">SUM(L3037:L3037)</f>
        <v>912</v>
      </c>
    </row>
    <row r="3038" spans="1:14" x14ac:dyDescent="0.15">
      <c r="B3038" s="6" t="s">
        <v>3</v>
      </c>
      <c r="C3038" s="7">
        <v>200</v>
      </c>
      <c r="D3038" s="5">
        <f t="shared" si="317"/>
        <v>200</v>
      </c>
      <c r="E3038" s="74">
        <v>43567</v>
      </c>
      <c r="F3038" s="74"/>
      <c r="G3038" s="74"/>
      <c r="H3038" s="74"/>
      <c r="I3038" s="74"/>
      <c r="J3038" s="75"/>
      <c r="K3038" s="6" t="s">
        <v>3</v>
      </c>
      <c r="L3038" s="7"/>
      <c r="M3038" s="5">
        <f t="shared" si="318"/>
        <v>0</v>
      </c>
    </row>
    <row r="3039" spans="1:14" x14ac:dyDescent="0.15">
      <c r="A3039" s="75"/>
      <c r="B3039" s="6" t="s">
        <v>3</v>
      </c>
      <c r="C3039" s="7">
        <v>200</v>
      </c>
      <c r="D3039" s="5">
        <f t="shared" si="317"/>
        <v>200</v>
      </c>
      <c r="E3039" s="74">
        <v>43578</v>
      </c>
      <c r="F3039" s="74"/>
      <c r="G3039" s="74"/>
      <c r="H3039" s="74"/>
      <c r="I3039" s="74"/>
      <c r="K3039" s="6" t="s">
        <v>3</v>
      </c>
      <c r="L3039" s="7">
        <v>6000</v>
      </c>
      <c r="M3039" s="5">
        <f t="shared" si="318"/>
        <v>6000</v>
      </c>
      <c r="N3039" s="74">
        <v>43577</v>
      </c>
    </row>
    <row r="3040" spans="1:14" x14ac:dyDescent="0.15">
      <c r="A3040" s="75"/>
      <c r="B3040" s="6" t="s">
        <v>3</v>
      </c>
      <c r="C3040" s="7">
        <v>200</v>
      </c>
      <c r="D3040" s="5">
        <f>SUM(C3040:C3040)</f>
        <v>200</v>
      </c>
      <c r="E3040" s="74">
        <v>43578</v>
      </c>
      <c r="F3040" s="74"/>
      <c r="G3040" s="74"/>
      <c r="H3040" s="74"/>
      <c r="I3040" s="74"/>
      <c r="J3040" s="100"/>
      <c r="K3040" s="6" t="s">
        <v>3</v>
      </c>
      <c r="L3040" s="7"/>
      <c r="M3040" s="5">
        <f t="shared" si="318"/>
        <v>0</v>
      </c>
    </row>
    <row r="3041" spans="2:14" x14ac:dyDescent="0.15">
      <c r="B3041" s="6" t="s">
        <v>521</v>
      </c>
      <c r="C3041" s="7">
        <v>1</v>
      </c>
      <c r="D3041" s="5">
        <f t="shared" si="317"/>
        <v>1</v>
      </c>
      <c r="E3041" s="74">
        <v>43578</v>
      </c>
      <c r="F3041" s="74"/>
      <c r="G3041" s="74"/>
      <c r="H3041" s="74"/>
      <c r="I3041" s="74"/>
      <c r="K3041" s="6" t="s">
        <v>3</v>
      </c>
      <c r="L3041" s="7"/>
      <c r="M3041" s="5">
        <f t="shared" si="318"/>
        <v>0</v>
      </c>
    </row>
    <row r="3042" spans="2:14" x14ac:dyDescent="0.15">
      <c r="B3042" s="6" t="s">
        <v>3</v>
      </c>
      <c r="C3042" s="7">
        <v>200</v>
      </c>
      <c r="D3042" s="5">
        <f t="shared" si="317"/>
        <v>200</v>
      </c>
      <c r="E3042" s="74">
        <v>43581</v>
      </c>
      <c r="F3042" s="74"/>
      <c r="G3042" s="74"/>
      <c r="H3042" s="74"/>
      <c r="I3042" s="74"/>
      <c r="K3042" s="6" t="s">
        <v>3</v>
      </c>
      <c r="L3042" s="7"/>
      <c r="M3042" s="5">
        <f t="shared" si="318"/>
        <v>0</v>
      </c>
    </row>
    <row r="3043" spans="2:14" x14ac:dyDescent="0.15">
      <c r="B3043" s="71" t="s">
        <v>602</v>
      </c>
      <c r="C3043" s="7">
        <v>1</v>
      </c>
      <c r="D3043" s="5">
        <f t="shared" si="317"/>
        <v>1</v>
      </c>
      <c r="E3043" s="74">
        <v>43581</v>
      </c>
      <c r="F3043" s="74"/>
      <c r="G3043" s="74"/>
      <c r="H3043" s="74"/>
      <c r="I3043" s="74"/>
      <c r="K3043" s="6" t="s">
        <v>3</v>
      </c>
      <c r="L3043" s="7"/>
      <c r="M3043" s="5">
        <f t="shared" si="318"/>
        <v>0</v>
      </c>
    </row>
    <row r="3044" spans="2:14" x14ac:dyDescent="0.15">
      <c r="B3044" s="6" t="s">
        <v>3</v>
      </c>
      <c r="C3044" s="54"/>
      <c r="D3044" s="5">
        <f t="shared" si="317"/>
        <v>0</v>
      </c>
      <c r="K3044" s="6" t="s">
        <v>3</v>
      </c>
      <c r="L3044" s="7"/>
      <c r="M3044" s="5">
        <f t="shared" si="318"/>
        <v>0</v>
      </c>
    </row>
    <row r="3045" spans="2:14" x14ac:dyDescent="0.15">
      <c r="B3045" s="6" t="s">
        <v>3</v>
      </c>
      <c r="C3045" s="54"/>
      <c r="D3045" s="5">
        <f t="shared" si="317"/>
        <v>0</v>
      </c>
      <c r="K3045" s="6" t="s">
        <v>3</v>
      </c>
      <c r="L3045" s="7"/>
      <c r="M3045" s="5">
        <f t="shared" si="318"/>
        <v>0</v>
      </c>
      <c r="N3045" s="74"/>
    </row>
    <row r="3046" spans="2:14" x14ac:dyDescent="0.15">
      <c r="B3046" s="6" t="s">
        <v>3</v>
      </c>
      <c r="C3046" s="54"/>
      <c r="D3046" s="5">
        <f t="shared" si="317"/>
        <v>0</v>
      </c>
      <c r="K3046" s="6" t="s">
        <v>3</v>
      </c>
      <c r="L3046" s="7"/>
      <c r="M3046" s="5">
        <f t="shared" si="318"/>
        <v>0</v>
      </c>
    </row>
    <row r="3047" spans="2:14" ht="14.25" thickBot="1" x14ac:dyDescent="0.2">
      <c r="B3047" s="9" t="s">
        <v>3</v>
      </c>
      <c r="C3047" s="101"/>
      <c r="D3047" s="5">
        <f t="shared" si="317"/>
        <v>0</v>
      </c>
      <c r="K3047" s="9" t="s">
        <v>3</v>
      </c>
      <c r="L3047" s="10"/>
      <c r="M3047" s="5">
        <f t="shared" si="318"/>
        <v>0</v>
      </c>
    </row>
    <row r="3048" spans="2:14" ht="14.25" thickBot="1" x14ac:dyDescent="0.2">
      <c r="B3048" s="11" t="s">
        <v>4</v>
      </c>
      <c r="C3048" s="12">
        <f>SUM(C3037:C3047)</f>
        <v>1041</v>
      </c>
      <c r="D3048" s="13">
        <f>SUM(D3037:D3047)</f>
        <v>1041</v>
      </c>
      <c r="K3048" s="11" t="s">
        <v>4</v>
      </c>
      <c r="L3048" s="12">
        <f>SUM(L3037:L3047)</f>
        <v>6912</v>
      </c>
      <c r="M3048" s="13">
        <f>SUM(M3037:M3047)</f>
        <v>6912</v>
      </c>
    </row>
    <row r="3049" spans="2:14" x14ac:dyDescent="0.15">
      <c r="B3049" s="71" t="s">
        <v>162</v>
      </c>
      <c r="C3049" s="15">
        <v>1</v>
      </c>
      <c r="D3049" s="14">
        <f>SUM(C3049)</f>
        <v>1</v>
      </c>
      <c r="E3049" s="74">
        <v>43558</v>
      </c>
      <c r="F3049" s="74"/>
      <c r="G3049" s="74"/>
      <c r="H3049" s="74"/>
      <c r="I3049" s="74"/>
      <c r="K3049" s="71" t="s">
        <v>31</v>
      </c>
      <c r="L3049" s="15">
        <v>200</v>
      </c>
      <c r="M3049" s="14">
        <f>SUM(L3049)</f>
        <v>200</v>
      </c>
      <c r="N3049" s="74">
        <v>43567</v>
      </c>
    </row>
    <row r="3050" spans="2:14" x14ac:dyDescent="0.15">
      <c r="B3050" s="71" t="s">
        <v>531</v>
      </c>
      <c r="C3050" s="15">
        <v>10</v>
      </c>
      <c r="D3050" s="14">
        <f>SUM(C3050)</f>
        <v>10</v>
      </c>
      <c r="E3050" s="74">
        <v>43560</v>
      </c>
      <c r="F3050" s="74"/>
      <c r="G3050" s="74"/>
      <c r="H3050" s="74"/>
      <c r="I3050" s="74"/>
      <c r="J3050" s="36"/>
      <c r="K3050" s="6" t="s">
        <v>599</v>
      </c>
      <c r="L3050" s="15">
        <v>100</v>
      </c>
      <c r="M3050" s="14">
        <f t="shared" ref="M3050:M3060" si="319">SUM(L3050:L3050)</f>
        <v>100</v>
      </c>
      <c r="N3050" s="74">
        <v>43577</v>
      </c>
    </row>
    <row r="3051" spans="2:14" x14ac:dyDescent="0.15">
      <c r="B3051" s="71" t="s">
        <v>162</v>
      </c>
      <c r="C3051" s="15">
        <v>5</v>
      </c>
      <c r="D3051" s="14">
        <f>SUM(C3051)</f>
        <v>5</v>
      </c>
      <c r="E3051" s="74">
        <v>43559</v>
      </c>
      <c r="F3051" s="74"/>
      <c r="G3051" s="74"/>
      <c r="H3051" s="74"/>
      <c r="I3051" s="74"/>
      <c r="J3051" s="51"/>
      <c r="K3051" s="71" t="s">
        <v>31</v>
      </c>
      <c r="L3051" s="15">
        <v>200</v>
      </c>
      <c r="M3051" s="14">
        <f t="shared" si="319"/>
        <v>200</v>
      </c>
      <c r="N3051" s="74">
        <v>43578</v>
      </c>
    </row>
    <row r="3052" spans="2:14" x14ac:dyDescent="0.15">
      <c r="B3052" s="71" t="s">
        <v>162</v>
      </c>
      <c r="C3052" s="15">
        <v>5</v>
      </c>
      <c r="D3052" s="14">
        <f t="shared" ref="D3052:D3062" si="320">SUM(C3052)</f>
        <v>5</v>
      </c>
      <c r="E3052" s="74">
        <v>43560</v>
      </c>
      <c r="F3052" s="74"/>
      <c r="G3052" s="74"/>
      <c r="H3052" s="74"/>
      <c r="I3052" s="74"/>
      <c r="J3052" s="51"/>
      <c r="K3052" s="71" t="s">
        <v>31</v>
      </c>
      <c r="L3052" s="15">
        <v>200</v>
      </c>
      <c r="M3052" s="14">
        <f t="shared" si="319"/>
        <v>200</v>
      </c>
      <c r="N3052" s="74">
        <v>43578</v>
      </c>
    </row>
    <row r="3053" spans="2:14" x14ac:dyDescent="0.15">
      <c r="B3053" s="71" t="s">
        <v>162</v>
      </c>
      <c r="C3053" s="15">
        <v>9</v>
      </c>
      <c r="D3053" s="14">
        <f t="shared" si="320"/>
        <v>9</v>
      </c>
      <c r="E3053" s="74">
        <v>43563</v>
      </c>
      <c r="F3053" s="74"/>
      <c r="G3053" s="74"/>
      <c r="H3053" s="74"/>
      <c r="I3053" s="74"/>
      <c r="J3053" s="51"/>
      <c r="K3053" s="174" t="s">
        <v>600</v>
      </c>
      <c r="L3053" s="15">
        <v>200</v>
      </c>
      <c r="M3053" s="14">
        <f t="shared" si="319"/>
        <v>200</v>
      </c>
      <c r="N3053" s="74">
        <v>43580</v>
      </c>
    </row>
    <row r="3054" spans="2:14" x14ac:dyDescent="0.15">
      <c r="B3054" s="71" t="s">
        <v>597</v>
      </c>
      <c r="C3054" s="15">
        <v>40</v>
      </c>
      <c r="D3054" s="14">
        <f t="shared" si="320"/>
        <v>40</v>
      </c>
      <c r="E3054" s="74">
        <v>43570</v>
      </c>
      <c r="F3054" s="74"/>
      <c r="G3054" s="74"/>
      <c r="H3054" s="74"/>
      <c r="I3054" s="74"/>
      <c r="J3054" s="51"/>
      <c r="K3054" s="174" t="s">
        <v>601</v>
      </c>
      <c r="L3054" s="15">
        <v>100</v>
      </c>
      <c r="M3054" s="14">
        <f t="shared" si="319"/>
        <v>100</v>
      </c>
      <c r="N3054" s="74">
        <v>43581</v>
      </c>
    </row>
    <row r="3055" spans="2:14" x14ac:dyDescent="0.15">
      <c r="B3055" s="71" t="s">
        <v>162</v>
      </c>
      <c r="C3055" s="15">
        <v>4</v>
      </c>
      <c r="D3055" s="14">
        <f t="shared" si="320"/>
        <v>4</v>
      </c>
      <c r="E3055" s="74">
        <v>43564</v>
      </c>
      <c r="F3055" s="74"/>
      <c r="G3055" s="74"/>
      <c r="H3055" s="74"/>
      <c r="I3055" s="74"/>
      <c r="J3055" s="51"/>
      <c r="K3055" s="71" t="s">
        <v>31</v>
      </c>
      <c r="L3055" s="15">
        <v>200</v>
      </c>
      <c r="M3055" s="14">
        <f t="shared" si="319"/>
        <v>200</v>
      </c>
      <c r="N3055" s="74">
        <v>43581</v>
      </c>
    </row>
    <row r="3056" spans="2:14" x14ac:dyDescent="0.15">
      <c r="B3056" s="71" t="s">
        <v>39</v>
      </c>
      <c r="C3056" s="15">
        <v>100</v>
      </c>
      <c r="D3056" s="14">
        <f t="shared" si="320"/>
        <v>100</v>
      </c>
      <c r="E3056" s="74">
        <v>43565</v>
      </c>
      <c r="F3056" s="74"/>
      <c r="G3056" s="74"/>
      <c r="H3056" s="74"/>
      <c r="I3056" s="74"/>
      <c r="J3056" s="51"/>
      <c r="K3056" s="6" t="s">
        <v>604</v>
      </c>
      <c r="L3056" s="15">
        <v>350</v>
      </c>
      <c r="M3056" s="14">
        <f t="shared" si="319"/>
        <v>350</v>
      </c>
      <c r="N3056" s="74">
        <v>43594</v>
      </c>
    </row>
    <row r="3057" spans="2:15" x14ac:dyDescent="0.15">
      <c r="B3057" s="71" t="s">
        <v>162</v>
      </c>
      <c r="C3057" s="15">
        <v>6</v>
      </c>
      <c r="D3057" s="14">
        <f t="shared" si="320"/>
        <v>6</v>
      </c>
      <c r="E3057" s="74">
        <v>43565</v>
      </c>
      <c r="F3057" s="74"/>
      <c r="G3057" s="74"/>
      <c r="H3057" s="74"/>
      <c r="I3057" s="74"/>
      <c r="J3057" s="51"/>
      <c r="K3057" s="4"/>
      <c r="L3057" s="15"/>
      <c r="M3057" s="14">
        <f t="shared" si="319"/>
        <v>0</v>
      </c>
    </row>
    <row r="3058" spans="2:15" x14ac:dyDescent="0.15">
      <c r="B3058" s="71" t="s">
        <v>162</v>
      </c>
      <c r="C3058" s="15">
        <v>8</v>
      </c>
      <c r="D3058" s="14">
        <f t="shared" si="320"/>
        <v>8</v>
      </c>
      <c r="E3058" s="74">
        <v>43566</v>
      </c>
      <c r="F3058" s="74"/>
      <c r="G3058" s="74"/>
      <c r="H3058" s="74"/>
      <c r="I3058" s="74"/>
      <c r="J3058" s="36"/>
      <c r="K3058" s="4"/>
      <c r="L3058" s="15"/>
      <c r="M3058" s="14">
        <f t="shared" si="319"/>
        <v>0</v>
      </c>
    </row>
    <row r="3059" spans="2:15" x14ac:dyDescent="0.15">
      <c r="B3059" s="71" t="s">
        <v>598</v>
      </c>
      <c r="C3059" s="15">
        <v>40</v>
      </c>
      <c r="D3059" s="14">
        <f t="shared" si="320"/>
        <v>40</v>
      </c>
      <c r="E3059" s="74">
        <v>43573</v>
      </c>
      <c r="F3059" s="74"/>
      <c r="G3059" s="74"/>
      <c r="H3059" s="74"/>
      <c r="I3059" s="74"/>
      <c r="J3059" s="36"/>
      <c r="K3059" s="4"/>
      <c r="L3059" s="15"/>
      <c r="M3059" s="14">
        <f t="shared" si="319"/>
        <v>0</v>
      </c>
    </row>
    <row r="3060" spans="2:15" x14ac:dyDescent="0.15">
      <c r="B3060" s="71" t="s">
        <v>162</v>
      </c>
      <c r="C3060" s="15">
        <v>1</v>
      </c>
      <c r="D3060" s="14">
        <f t="shared" si="320"/>
        <v>1</v>
      </c>
      <c r="E3060" s="48">
        <v>43567</v>
      </c>
      <c r="F3060" s="48"/>
      <c r="G3060" s="48"/>
      <c r="H3060" s="48"/>
      <c r="I3060" s="48"/>
      <c r="J3060" s="51"/>
      <c r="K3060" s="4"/>
      <c r="L3060" s="15"/>
      <c r="M3060" s="14">
        <f t="shared" si="319"/>
        <v>0</v>
      </c>
    </row>
    <row r="3061" spans="2:15" x14ac:dyDescent="0.15">
      <c r="B3061" s="71" t="s">
        <v>162</v>
      </c>
      <c r="C3061" s="15">
        <v>10</v>
      </c>
      <c r="D3061" s="14">
        <f t="shared" si="320"/>
        <v>10</v>
      </c>
      <c r="E3061" s="74">
        <v>43570</v>
      </c>
      <c r="F3061" s="74"/>
      <c r="G3061" s="74"/>
      <c r="H3061" s="74"/>
      <c r="I3061" s="74"/>
      <c r="J3061" s="36"/>
      <c r="K3061" s="172"/>
      <c r="L3061" s="15"/>
      <c r="M3061" s="14">
        <f>SUM(L3061)</f>
        <v>0</v>
      </c>
      <c r="N3061" s="75"/>
    </row>
    <row r="3062" spans="2:15" x14ac:dyDescent="0.15">
      <c r="B3062" s="71" t="s">
        <v>162</v>
      </c>
      <c r="C3062" s="15">
        <v>7</v>
      </c>
      <c r="D3062" s="14">
        <f t="shared" si="320"/>
        <v>7</v>
      </c>
      <c r="E3062" s="74">
        <v>43571</v>
      </c>
      <c r="F3062" s="74"/>
      <c r="G3062" s="74"/>
      <c r="H3062" s="74"/>
      <c r="I3062" s="74"/>
      <c r="J3062" s="51"/>
      <c r="K3062" s="173"/>
      <c r="L3062" s="15"/>
      <c r="M3062" s="14">
        <f>SUM(L3062:L3062)</f>
        <v>0</v>
      </c>
      <c r="N3062" s="75"/>
    </row>
    <row r="3063" spans="2:15" x14ac:dyDescent="0.15">
      <c r="B3063" s="71" t="s">
        <v>90</v>
      </c>
      <c r="C3063" s="15">
        <v>80</v>
      </c>
      <c r="D3063" s="14">
        <f>SUM(C3063)</f>
        <v>80</v>
      </c>
      <c r="E3063" s="74">
        <v>43579</v>
      </c>
      <c r="F3063" s="74"/>
      <c r="G3063" s="74"/>
      <c r="H3063" s="74"/>
      <c r="I3063" s="74"/>
      <c r="J3063" s="51"/>
      <c r="K3063" s="4"/>
      <c r="L3063" s="15"/>
      <c r="M3063" s="14">
        <f>SUM(L3063:L3063)</f>
        <v>0</v>
      </c>
      <c r="N3063" s="75"/>
    </row>
    <row r="3064" spans="2:15" x14ac:dyDescent="0.15">
      <c r="B3064" s="71" t="s">
        <v>136</v>
      </c>
      <c r="C3064" s="15">
        <v>40</v>
      </c>
      <c r="D3064" s="14">
        <f>SUM(C3064)</f>
        <v>40</v>
      </c>
      <c r="E3064" s="74">
        <v>43579</v>
      </c>
      <c r="F3064" s="74"/>
      <c r="G3064" s="74"/>
      <c r="H3064" s="74"/>
      <c r="I3064" s="74"/>
      <c r="J3064" s="51"/>
      <c r="K3064" s="6"/>
      <c r="L3064" s="15"/>
      <c r="M3064" s="14">
        <f>SUM(L3064:L3064)</f>
        <v>0</v>
      </c>
      <c r="N3064" s="75"/>
    </row>
    <row r="3065" spans="2:15" x14ac:dyDescent="0.15">
      <c r="B3065" s="71" t="s">
        <v>162</v>
      </c>
      <c r="C3065" s="15">
        <v>4</v>
      </c>
      <c r="D3065" s="14">
        <f>SUM(C3065)</f>
        <v>4</v>
      </c>
      <c r="E3065" s="74">
        <v>43572</v>
      </c>
      <c r="F3065" s="74"/>
      <c r="G3065" s="74"/>
      <c r="H3065" s="74"/>
      <c r="I3065" s="74"/>
      <c r="J3065" s="51"/>
      <c r="K3065" s="6"/>
      <c r="L3065" s="15"/>
      <c r="M3065" s="14">
        <f>SUM(L3065:L3065)</f>
        <v>0</v>
      </c>
      <c r="N3065" s="75"/>
    </row>
    <row r="3066" spans="2:15" x14ac:dyDescent="0.15">
      <c r="B3066" s="71" t="s">
        <v>162</v>
      </c>
      <c r="C3066" s="15">
        <v>12</v>
      </c>
      <c r="D3066" s="14">
        <f t="shared" ref="D3066:D3072" si="321">SUM(C3066)</f>
        <v>12</v>
      </c>
      <c r="E3066" s="74">
        <v>43573</v>
      </c>
      <c r="F3066" s="74"/>
      <c r="G3066" s="74"/>
      <c r="H3066" s="74"/>
      <c r="I3066" s="74"/>
      <c r="J3066" s="51"/>
      <c r="K3066" s="172"/>
      <c r="L3066" s="15"/>
      <c r="M3066" s="14">
        <f>SUM(L3066)</f>
        <v>0</v>
      </c>
      <c r="N3066" s="75"/>
    </row>
    <row r="3067" spans="2:15" x14ac:dyDescent="0.15">
      <c r="B3067" s="71" t="s">
        <v>162</v>
      </c>
      <c r="C3067" s="15">
        <v>18</v>
      </c>
      <c r="D3067" s="14">
        <f t="shared" si="321"/>
        <v>18</v>
      </c>
      <c r="E3067" s="48">
        <v>43574</v>
      </c>
      <c r="F3067" s="48"/>
      <c r="G3067" s="48"/>
      <c r="H3067" s="48"/>
      <c r="I3067" s="48"/>
      <c r="J3067" s="51"/>
      <c r="K3067" s="173"/>
      <c r="L3067" s="15"/>
      <c r="M3067" s="14">
        <f>SUM(L3067:L3067)</f>
        <v>0</v>
      </c>
      <c r="N3067" s="75"/>
    </row>
    <row r="3068" spans="2:15" x14ac:dyDescent="0.15">
      <c r="B3068" s="71" t="s">
        <v>162</v>
      </c>
      <c r="C3068" s="15">
        <v>5</v>
      </c>
      <c r="D3068" s="14">
        <f t="shared" si="321"/>
        <v>5</v>
      </c>
      <c r="E3068" s="48">
        <v>43575</v>
      </c>
      <c r="F3068" s="48"/>
      <c r="G3068" s="48"/>
      <c r="H3068" s="48"/>
      <c r="I3068" s="48"/>
      <c r="J3068" s="51"/>
      <c r="K3068" s="172"/>
      <c r="L3068" s="15"/>
      <c r="M3068" s="14">
        <f>SUM(L3068)</f>
        <v>0</v>
      </c>
      <c r="N3068" s="75"/>
      <c r="O3068" s="75"/>
    </row>
    <row r="3069" spans="2:15" x14ac:dyDescent="0.15">
      <c r="B3069" s="71" t="s">
        <v>39</v>
      </c>
      <c r="C3069" s="15">
        <v>100</v>
      </c>
      <c r="D3069" s="14">
        <f t="shared" si="321"/>
        <v>100</v>
      </c>
      <c r="E3069" s="48">
        <v>43578</v>
      </c>
      <c r="F3069" s="48"/>
      <c r="G3069" s="48"/>
      <c r="H3069" s="48"/>
      <c r="I3069" s="48"/>
      <c r="J3069" s="51"/>
      <c r="K3069" s="172" t="s">
        <v>586</v>
      </c>
      <c r="L3069" s="15"/>
      <c r="M3069" s="14">
        <f>SUM(L3069)</f>
        <v>0</v>
      </c>
      <c r="N3069" s="75" t="s">
        <v>582</v>
      </c>
      <c r="O3069" s="75"/>
    </row>
    <row r="3070" spans="2:15" x14ac:dyDescent="0.15">
      <c r="B3070" s="71" t="s">
        <v>162</v>
      </c>
      <c r="C3070" s="15">
        <v>21</v>
      </c>
      <c r="D3070" s="14">
        <f t="shared" si="321"/>
        <v>21</v>
      </c>
      <c r="E3070" s="48">
        <v>43577</v>
      </c>
      <c r="F3070" s="48"/>
      <c r="G3070" s="48"/>
      <c r="H3070" s="48"/>
      <c r="I3070" s="48"/>
      <c r="J3070" s="51"/>
      <c r="K3070" s="173" t="s">
        <v>583</v>
      </c>
      <c r="L3070" s="15"/>
      <c r="M3070" s="14">
        <f>SUM(L3070:L3070)</f>
        <v>0</v>
      </c>
      <c r="N3070" s="75" t="s">
        <v>582</v>
      </c>
      <c r="O3070" s="75"/>
    </row>
    <row r="3071" spans="2:15" x14ac:dyDescent="0.15">
      <c r="B3071" s="71" t="s">
        <v>39</v>
      </c>
      <c r="C3071" s="15">
        <v>200</v>
      </c>
      <c r="D3071" s="14">
        <f t="shared" si="321"/>
        <v>200</v>
      </c>
      <c r="E3071" s="48">
        <v>43579</v>
      </c>
      <c r="F3071" s="48"/>
      <c r="G3071" s="48"/>
      <c r="H3071" s="48"/>
      <c r="I3071" s="48"/>
      <c r="J3071" s="51"/>
      <c r="K3071" s="4" t="s">
        <v>584</v>
      </c>
      <c r="L3071" s="15"/>
      <c r="M3071" s="14">
        <f>SUM(L3071)</f>
        <v>0</v>
      </c>
      <c r="N3071" s="75" t="s">
        <v>585</v>
      </c>
      <c r="O3071" s="75"/>
    </row>
    <row r="3072" spans="2:15" ht="14.25" thickBot="1" x14ac:dyDescent="0.2">
      <c r="B3072" s="71" t="s">
        <v>162</v>
      </c>
      <c r="C3072" s="15">
        <v>20</v>
      </c>
      <c r="D3072" s="14">
        <f t="shared" si="321"/>
        <v>20</v>
      </c>
      <c r="E3072" s="48">
        <v>43578</v>
      </c>
      <c r="F3072" s="48"/>
      <c r="G3072" s="48"/>
      <c r="H3072" s="48"/>
      <c r="I3072" s="48"/>
      <c r="J3072" s="51"/>
      <c r="K3072" s="174" t="s">
        <v>591</v>
      </c>
      <c r="L3072" s="15"/>
      <c r="M3072" s="14">
        <f>SUM(L3072)</f>
        <v>0</v>
      </c>
      <c r="N3072" s="75" t="s">
        <v>603</v>
      </c>
      <c r="O3072" s="75"/>
    </row>
    <row r="3073" spans="1:14" ht="14.25" thickBot="1" x14ac:dyDescent="0.2">
      <c r="B3073" s="3" t="s">
        <v>5</v>
      </c>
      <c r="C3073" s="16">
        <f>SUM(C3049:C3072)</f>
        <v>746</v>
      </c>
      <c r="D3073" s="17">
        <f>SUM(D3049:D3072)</f>
        <v>746</v>
      </c>
      <c r="K3073" s="3" t="s">
        <v>5</v>
      </c>
      <c r="L3073" s="16">
        <f>SUM(L3049:L3072)</f>
        <v>1550</v>
      </c>
      <c r="M3073" s="17">
        <f>SUM(M3049:M3072)</f>
        <v>1550</v>
      </c>
    </row>
    <row r="3074" spans="1:14" ht="14.25" thickBot="1" x14ac:dyDescent="0.2">
      <c r="B3074" s="18" t="s">
        <v>6</v>
      </c>
      <c r="C3074" s="19">
        <f>C3048-C3073</f>
        <v>295</v>
      </c>
      <c r="D3074" s="13">
        <f>D3048-D3073</f>
        <v>295</v>
      </c>
      <c r="K3074" s="18" t="s">
        <v>6</v>
      </c>
      <c r="L3074" s="19">
        <f>L3048-L3073</f>
        <v>5362</v>
      </c>
      <c r="M3074" s="13">
        <f>M3048-M3073</f>
        <v>5362</v>
      </c>
    </row>
    <row r="3076" spans="1:14" ht="18" thickBot="1" x14ac:dyDescent="0.25">
      <c r="A3076" s="27" t="s">
        <v>8</v>
      </c>
      <c r="B3076" s="28"/>
      <c r="C3076" s="28"/>
      <c r="D3076" s="28"/>
      <c r="J3076" s="139" t="s">
        <v>218</v>
      </c>
      <c r="K3076" s="140"/>
      <c r="L3076" s="140"/>
      <c r="M3076" s="140"/>
    </row>
    <row r="3077" spans="1:14" ht="14.25" thickBot="1" x14ac:dyDescent="0.2">
      <c r="B3077" s="2"/>
      <c r="C3077" s="3" t="s">
        <v>0</v>
      </c>
      <c r="D3077" s="2" t="s">
        <v>1</v>
      </c>
      <c r="K3077" s="2"/>
      <c r="L3077" s="3" t="s">
        <v>0</v>
      </c>
      <c r="M3077" s="2" t="s">
        <v>1</v>
      </c>
    </row>
    <row r="3078" spans="1:14" x14ac:dyDescent="0.15">
      <c r="B3078" s="43" t="s">
        <v>26</v>
      </c>
      <c r="C3078" s="38">
        <f>C3074</f>
        <v>295</v>
      </c>
      <c r="D3078" s="39">
        <f t="shared" ref="D3078:D3088" si="322">SUM(C3078:C3078)</f>
        <v>295</v>
      </c>
      <c r="K3078" s="43" t="s">
        <v>26</v>
      </c>
      <c r="L3078" s="38">
        <f>L3074</f>
        <v>5362</v>
      </c>
      <c r="M3078" s="39">
        <f t="shared" ref="M3078:M3088" si="323">SUM(L3078:L3078)</f>
        <v>5362</v>
      </c>
    </row>
    <row r="3079" spans="1:14" x14ac:dyDescent="0.15">
      <c r="B3079" s="6" t="s">
        <v>3</v>
      </c>
      <c r="C3079" s="7">
        <v>200</v>
      </c>
      <c r="D3079" s="5">
        <f t="shared" si="322"/>
        <v>200</v>
      </c>
      <c r="E3079" s="74">
        <v>43594</v>
      </c>
      <c r="F3079" s="74"/>
      <c r="G3079" s="74"/>
      <c r="H3079" s="74"/>
      <c r="I3079" s="74"/>
      <c r="J3079" s="75"/>
      <c r="K3079" s="6" t="s">
        <v>3</v>
      </c>
      <c r="L3079" s="7"/>
      <c r="M3079" s="5">
        <f t="shared" si="323"/>
        <v>0</v>
      </c>
    </row>
    <row r="3080" spans="1:14" x14ac:dyDescent="0.15">
      <c r="A3080" s="75"/>
      <c r="B3080" s="6" t="s">
        <v>3</v>
      </c>
      <c r="C3080" s="7">
        <v>200</v>
      </c>
      <c r="D3080" s="5">
        <f t="shared" si="322"/>
        <v>200</v>
      </c>
      <c r="E3080" s="74">
        <v>43595</v>
      </c>
      <c r="F3080" s="74"/>
      <c r="G3080" s="74"/>
      <c r="H3080" s="74"/>
      <c r="I3080" s="74"/>
      <c r="K3080" s="6" t="s">
        <v>3</v>
      </c>
      <c r="L3080" s="7"/>
      <c r="M3080" s="5">
        <f t="shared" si="323"/>
        <v>0</v>
      </c>
      <c r="N3080" s="74"/>
    </row>
    <row r="3081" spans="1:14" x14ac:dyDescent="0.15">
      <c r="A3081" s="75"/>
      <c r="B3081" s="6" t="s">
        <v>3</v>
      </c>
      <c r="C3081" s="7">
        <v>200</v>
      </c>
      <c r="D3081" s="5">
        <f t="shared" si="322"/>
        <v>200</v>
      </c>
      <c r="E3081" s="74">
        <v>43596</v>
      </c>
      <c r="F3081" s="74"/>
      <c r="G3081" s="74"/>
      <c r="H3081" s="74"/>
      <c r="I3081" s="74"/>
      <c r="J3081" s="100"/>
      <c r="K3081" s="6" t="s">
        <v>3</v>
      </c>
      <c r="L3081" s="7"/>
      <c r="M3081" s="5">
        <f t="shared" si="323"/>
        <v>0</v>
      </c>
    </row>
    <row r="3082" spans="1:14" x14ac:dyDescent="0.15">
      <c r="B3082" s="6" t="s">
        <v>3</v>
      </c>
      <c r="C3082" s="7">
        <v>200</v>
      </c>
      <c r="D3082" s="5">
        <f t="shared" si="322"/>
        <v>200</v>
      </c>
      <c r="E3082" s="74">
        <v>43599</v>
      </c>
      <c r="F3082" s="74"/>
      <c r="G3082" s="74"/>
      <c r="H3082" s="74"/>
      <c r="I3082" s="74"/>
      <c r="K3082" s="6" t="s">
        <v>3</v>
      </c>
      <c r="L3082" s="7"/>
      <c r="M3082" s="5">
        <f t="shared" si="323"/>
        <v>0</v>
      </c>
    </row>
    <row r="3083" spans="1:14" x14ac:dyDescent="0.15">
      <c r="B3083" s="6" t="s">
        <v>3</v>
      </c>
      <c r="C3083" s="7">
        <v>200</v>
      </c>
      <c r="D3083" s="5">
        <f t="shared" si="322"/>
        <v>200</v>
      </c>
      <c r="E3083" s="74">
        <v>43601</v>
      </c>
      <c r="F3083" s="74"/>
      <c r="G3083" s="74"/>
      <c r="H3083" s="74"/>
      <c r="I3083" s="74"/>
      <c r="K3083" s="6" t="s">
        <v>3</v>
      </c>
      <c r="L3083" s="7"/>
      <c r="M3083" s="5">
        <f t="shared" si="323"/>
        <v>0</v>
      </c>
    </row>
    <row r="3084" spans="1:14" x14ac:dyDescent="0.15">
      <c r="B3084" s="6" t="s">
        <v>3</v>
      </c>
      <c r="C3084" s="7">
        <v>200</v>
      </c>
      <c r="D3084" s="5">
        <f t="shared" si="322"/>
        <v>200</v>
      </c>
      <c r="E3084" s="74">
        <v>43602</v>
      </c>
      <c r="F3084" s="74"/>
      <c r="G3084" s="74"/>
      <c r="H3084" s="74"/>
      <c r="I3084" s="74"/>
      <c r="K3084" s="6" t="s">
        <v>3</v>
      </c>
      <c r="L3084" s="7"/>
      <c r="M3084" s="5">
        <f t="shared" si="323"/>
        <v>0</v>
      </c>
    </row>
    <row r="3085" spans="1:14" x14ac:dyDescent="0.15">
      <c r="B3085" s="6" t="s">
        <v>122</v>
      </c>
      <c r="C3085" s="54">
        <v>207</v>
      </c>
      <c r="D3085" s="5">
        <f t="shared" si="322"/>
        <v>207</v>
      </c>
      <c r="E3085" s="48">
        <v>43602</v>
      </c>
      <c r="F3085" s="48"/>
      <c r="G3085" s="48"/>
      <c r="H3085" s="48"/>
      <c r="I3085" s="48"/>
      <c r="K3085" s="6" t="s">
        <v>3</v>
      </c>
      <c r="L3085" s="7"/>
      <c r="M3085" s="5">
        <f t="shared" si="323"/>
        <v>0</v>
      </c>
    </row>
    <row r="3086" spans="1:14" x14ac:dyDescent="0.15">
      <c r="B3086" s="6" t="s">
        <v>3</v>
      </c>
      <c r="C3086" s="54"/>
      <c r="D3086" s="5">
        <f t="shared" si="322"/>
        <v>0</v>
      </c>
      <c r="K3086" s="6" t="s">
        <v>3</v>
      </c>
      <c r="L3086" s="7"/>
      <c r="M3086" s="5">
        <f t="shared" si="323"/>
        <v>0</v>
      </c>
      <c r="N3086" s="74"/>
    </row>
    <row r="3087" spans="1:14" x14ac:dyDescent="0.15">
      <c r="B3087" s="6" t="s">
        <v>3</v>
      </c>
      <c r="C3087" s="54"/>
      <c r="D3087" s="5">
        <f t="shared" si="322"/>
        <v>0</v>
      </c>
      <c r="K3087" s="6" t="s">
        <v>3</v>
      </c>
      <c r="L3087" s="7"/>
      <c r="M3087" s="5">
        <f t="shared" si="323"/>
        <v>0</v>
      </c>
    </row>
    <row r="3088" spans="1:14" ht="14.25" thickBot="1" x14ac:dyDescent="0.2">
      <c r="B3088" s="9" t="s">
        <v>3</v>
      </c>
      <c r="C3088" s="101"/>
      <c r="D3088" s="5">
        <f t="shared" si="322"/>
        <v>0</v>
      </c>
      <c r="K3088" s="9" t="s">
        <v>3</v>
      </c>
      <c r="L3088" s="10"/>
      <c r="M3088" s="5">
        <f t="shared" si="323"/>
        <v>0</v>
      </c>
    </row>
    <row r="3089" spans="2:14" ht="14.25" thickBot="1" x14ac:dyDescent="0.2">
      <c r="B3089" s="11" t="s">
        <v>4</v>
      </c>
      <c r="C3089" s="12">
        <f>SUM(C3078:C3088)</f>
        <v>1702</v>
      </c>
      <c r="D3089" s="13">
        <f>SUM(D3078:D3088)</f>
        <v>1702</v>
      </c>
      <c r="K3089" s="11" t="s">
        <v>4</v>
      </c>
      <c r="L3089" s="12">
        <f>SUM(L3078:L3088)</f>
        <v>5362</v>
      </c>
      <c r="M3089" s="13">
        <f>SUM(M3078:M3088)</f>
        <v>5362</v>
      </c>
    </row>
    <row r="3090" spans="2:14" x14ac:dyDescent="0.15">
      <c r="B3090" s="71" t="s">
        <v>162</v>
      </c>
      <c r="C3090" s="15">
        <v>24</v>
      </c>
      <c r="D3090" s="14">
        <f>SUM(C3090)</f>
        <v>24</v>
      </c>
      <c r="E3090" s="74">
        <v>43579</v>
      </c>
      <c r="F3090" s="74"/>
      <c r="G3090" s="74"/>
      <c r="H3090" s="74"/>
      <c r="I3090" s="74"/>
      <c r="K3090" s="71" t="s">
        <v>31</v>
      </c>
      <c r="L3090" s="15">
        <v>200</v>
      </c>
      <c r="M3090" s="14">
        <f>SUM(L3090)</f>
        <v>200</v>
      </c>
      <c r="N3090" s="74">
        <v>43594</v>
      </c>
    </row>
    <row r="3091" spans="2:14" x14ac:dyDescent="0.15">
      <c r="B3091" s="71" t="s">
        <v>162</v>
      </c>
      <c r="C3091" s="15">
        <v>16</v>
      </c>
      <c r="D3091" s="14">
        <f>SUM(C3091)</f>
        <v>16</v>
      </c>
      <c r="E3091" s="74">
        <v>43580</v>
      </c>
      <c r="F3091" s="74"/>
      <c r="G3091" s="74"/>
      <c r="H3091" s="74"/>
      <c r="I3091" s="74"/>
      <c r="J3091" s="36"/>
      <c r="K3091" s="71" t="s">
        <v>31</v>
      </c>
      <c r="L3091" s="15">
        <v>200</v>
      </c>
      <c r="M3091" s="14">
        <f t="shared" ref="M3091:M3101" si="324">SUM(L3091:L3091)</f>
        <v>200</v>
      </c>
      <c r="N3091" s="74">
        <v>43595</v>
      </c>
    </row>
    <row r="3092" spans="2:14" x14ac:dyDescent="0.15">
      <c r="B3092" s="71" t="s">
        <v>162</v>
      </c>
      <c r="C3092" s="15">
        <v>23</v>
      </c>
      <c r="D3092" s="14">
        <f>SUM(C3092)</f>
        <v>23</v>
      </c>
      <c r="E3092" s="74">
        <v>43581</v>
      </c>
      <c r="F3092" s="74"/>
      <c r="G3092" s="74"/>
      <c r="H3092" s="74"/>
      <c r="I3092" s="74"/>
      <c r="J3092" s="51"/>
      <c r="K3092" s="71" t="s">
        <v>31</v>
      </c>
      <c r="L3092" s="15">
        <v>200</v>
      </c>
      <c r="M3092" s="14">
        <f t="shared" si="324"/>
        <v>200</v>
      </c>
      <c r="N3092" s="74">
        <v>43596</v>
      </c>
    </row>
    <row r="3093" spans="2:14" x14ac:dyDescent="0.15">
      <c r="B3093" s="71" t="s">
        <v>136</v>
      </c>
      <c r="C3093" s="15">
        <v>40</v>
      </c>
      <c r="D3093" s="14">
        <f t="shared" ref="D3093:D3103" si="325">SUM(C3093)</f>
        <v>40</v>
      </c>
      <c r="E3093" s="74">
        <v>43595</v>
      </c>
      <c r="F3093" s="74"/>
      <c r="G3093" s="74"/>
      <c r="H3093" s="74"/>
      <c r="I3093" s="74"/>
      <c r="J3093" s="51"/>
      <c r="K3093" s="71" t="s">
        <v>31</v>
      </c>
      <c r="L3093" s="15">
        <v>200</v>
      </c>
      <c r="M3093" s="14">
        <f t="shared" si="324"/>
        <v>200</v>
      </c>
      <c r="N3093" s="74">
        <v>43599</v>
      </c>
    </row>
    <row r="3094" spans="2:14" x14ac:dyDescent="0.15">
      <c r="B3094" s="71" t="s">
        <v>162</v>
      </c>
      <c r="C3094" s="15">
        <v>41</v>
      </c>
      <c r="D3094" s="14">
        <f t="shared" si="325"/>
        <v>41</v>
      </c>
      <c r="E3094" s="74">
        <v>43588</v>
      </c>
      <c r="F3094" s="74"/>
      <c r="G3094" s="74"/>
      <c r="H3094" s="74"/>
      <c r="I3094" s="74"/>
      <c r="J3094" s="51"/>
      <c r="K3094" s="71" t="s">
        <v>31</v>
      </c>
      <c r="L3094" s="15">
        <v>200</v>
      </c>
      <c r="M3094" s="14">
        <f t="shared" si="324"/>
        <v>200</v>
      </c>
      <c r="N3094" s="74">
        <v>43601</v>
      </c>
    </row>
    <row r="3095" spans="2:14" x14ac:dyDescent="0.15">
      <c r="B3095" s="71" t="s">
        <v>162</v>
      </c>
      <c r="C3095" s="15">
        <v>62</v>
      </c>
      <c r="D3095" s="14">
        <f t="shared" si="325"/>
        <v>62</v>
      </c>
      <c r="E3095" s="74">
        <v>43593</v>
      </c>
      <c r="F3095" s="74"/>
      <c r="G3095" s="74"/>
      <c r="H3095" s="74"/>
      <c r="I3095" s="74"/>
      <c r="J3095" s="51"/>
      <c r="K3095" s="71" t="s">
        <v>31</v>
      </c>
      <c r="L3095" s="15">
        <v>200</v>
      </c>
      <c r="M3095" s="14">
        <f t="shared" si="324"/>
        <v>200</v>
      </c>
      <c r="N3095" s="74">
        <v>43602</v>
      </c>
    </row>
    <row r="3096" spans="2:14" x14ac:dyDescent="0.15">
      <c r="B3096" s="71" t="s">
        <v>136</v>
      </c>
      <c r="C3096" s="15">
        <v>40</v>
      </c>
      <c r="D3096" s="14">
        <f t="shared" si="325"/>
        <v>40</v>
      </c>
      <c r="E3096" s="74">
        <v>43598</v>
      </c>
      <c r="F3096" s="74"/>
      <c r="G3096" s="74"/>
      <c r="H3096" s="74"/>
      <c r="I3096" s="74"/>
      <c r="J3096" s="51"/>
      <c r="K3096" s="4"/>
      <c r="L3096" s="15"/>
      <c r="M3096" s="14">
        <f t="shared" si="324"/>
        <v>0</v>
      </c>
    </row>
    <row r="3097" spans="2:14" x14ac:dyDescent="0.15">
      <c r="B3097" s="71" t="s">
        <v>162</v>
      </c>
      <c r="C3097" s="15">
        <v>14</v>
      </c>
      <c r="D3097" s="14">
        <f t="shared" si="325"/>
        <v>14</v>
      </c>
      <c r="E3097" s="74">
        <v>43593</v>
      </c>
      <c r="F3097" s="74"/>
      <c r="G3097" s="74"/>
      <c r="H3097" s="74"/>
      <c r="I3097" s="74"/>
      <c r="J3097" s="51"/>
      <c r="K3097" s="6"/>
      <c r="L3097" s="15"/>
      <c r="M3097" s="14">
        <f t="shared" si="324"/>
        <v>0</v>
      </c>
    </row>
    <row r="3098" spans="2:14" x14ac:dyDescent="0.15">
      <c r="B3098" s="6" t="s">
        <v>605</v>
      </c>
      <c r="C3098" s="15">
        <v>60</v>
      </c>
      <c r="D3098" s="14">
        <f t="shared" si="325"/>
        <v>60</v>
      </c>
      <c r="E3098" s="74">
        <v>43595</v>
      </c>
      <c r="F3098" s="74"/>
      <c r="G3098" s="74"/>
      <c r="H3098" s="74"/>
      <c r="I3098" s="74"/>
      <c r="J3098" s="51"/>
      <c r="K3098" s="4"/>
      <c r="L3098" s="15"/>
      <c r="M3098" s="14">
        <f t="shared" si="324"/>
        <v>0</v>
      </c>
    </row>
    <row r="3099" spans="2:14" x14ac:dyDescent="0.15">
      <c r="B3099" s="71" t="s">
        <v>531</v>
      </c>
      <c r="C3099" s="15">
        <v>20</v>
      </c>
      <c r="D3099" s="14">
        <f t="shared" si="325"/>
        <v>20</v>
      </c>
      <c r="E3099" s="74">
        <v>43596</v>
      </c>
      <c r="F3099" s="74"/>
      <c r="G3099" s="74"/>
      <c r="H3099" s="74"/>
      <c r="I3099" s="74"/>
      <c r="J3099" s="36"/>
      <c r="K3099" s="4"/>
      <c r="L3099" s="15"/>
      <c r="M3099" s="14">
        <f t="shared" si="324"/>
        <v>0</v>
      </c>
    </row>
    <row r="3100" spans="2:14" x14ac:dyDescent="0.15">
      <c r="B3100" s="71" t="s">
        <v>39</v>
      </c>
      <c r="C3100" s="15">
        <v>200</v>
      </c>
      <c r="D3100" s="14">
        <f t="shared" si="325"/>
        <v>200</v>
      </c>
      <c r="E3100" s="74">
        <v>43595</v>
      </c>
      <c r="F3100" s="74"/>
      <c r="G3100" s="74"/>
      <c r="H3100" s="74"/>
      <c r="I3100" s="74"/>
      <c r="J3100" s="51"/>
      <c r="K3100" s="4"/>
      <c r="L3100" s="15"/>
      <c r="M3100" s="14">
        <f t="shared" si="324"/>
        <v>0</v>
      </c>
    </row>
    <row r="3101" spans="2:14" x14ac:dyDescent="0.15">
      <c r="B3101" s="71" t="s">
        <v>162</v>
      </c>
      <c r="C3101" s="15">
        <v>16</v>
      </c>
      <c r="D3101" s="14">
        <f t="shared" si="325"/>
        <v>16</v>
      </c>
      <c r="E3101" s="74">
        <v>43594</v>
      </c>
      <c r="F3101" s="74"/>
      <c r="G3101" s="74"/>
      <c r="H3101" s="74"/>
      <c r="I3101" s="74"/>
      <c r="J3101" s="51"/>
      <c r="K3101" s="4"/>
      <c r="L3101" s="15"/>
      <c r="M3101" s="14">
        <f t="shared" si="324"/>
        <v>0</v>
      </c>
    </row>
    <row r="3102" spans="2:14" x14ac:dyDescent="0.15">
      <c r="B3102" s="6" t="s">
        <v>606</v>
      </c>
      <c r="C3102" s="15">
        <v>70</v>
      </c>
      <c r="D3102" s="14">
        <f t="shared" si="325"/>
        <v>70</v>
      </c>
      <c r="E3102" s="74">
        <v>43596</v>
      </c>
      <c r="F3102" s="74"/>
      <c r="G3102" s="74"/>
      <c r="H3102" s="74"/>
      <c r="I3102" s="74"/>
      <c r="J3102" s="36"/>
      <c r="K3102" s="172"/>
      <c r="L3102" s="15"/>
      <c r="M3102" s="14">
        <f>SUM(L3102)</f>
        <v>0</v>
      </c>
      <c r="N3102" s="75"/>
    </row>
    <row r="3103" spans="2:14" x14ac:dyDescent="0.15">
      <c r="B3103" s="71" t="s">
        <v>162</v>
      </c>
      <c r="C3103" s="15">
        <v>5</v>
      </c>
      <c r="D3103" s="14">
        <f t="shared" si="325"/>
        <v>5</v>
      </c>
      <c r="E3103" s="74">
        <v>43595</v>
      </c>
      <c r="F3103" s="74"/>
      <c r="G3103" s="74"/>
      <c r="H3103" s="74"/>
      <c r="I3103" s="74"/>
      <c r="J3103" s="51"/>
      <c r="K3103" s="173"/>
      <c r="L3103" s="15"/>
      <c r="M3103" s="14">
        <f>SUM(L3103:L3103)</f>
        <v>0</v>
      </c>
      <c r="N3103" s="75"/>
    </row>
    <row r="3104" spans="2:14" x14ac:dyDescent="0.15">
      <c r="B3104" s="71" t="s">
        <v>162</v>
      </c>
      <c r="C3104" s="15">
        <v>11</v>
      </c>
      <c r="D3104" s="14">
        <f>SUM(C3104)</f>
        <v>11</v>
      </c>
      <c r="E3104" s="74">
        <v>43596</v>
      </c>
      <c r="F3104" s="74"/>
      <c r="G3104" s="74"/>
      <c r="H3104" s="74"/>
      <c r="I3104" s="74"/>
      <c r="J3104" s="51"/>
      <c r="K3104" s="4"/>
      <c r="L3104" s="15"/>
      <c r="M3104" s="14">
        <f>SUM(L3104:L3104)</f>
        <v>0</v>
      </c>
      <c r="N3104" s="75"/>
    </row>
    <row r="3105" spans="1:15" x14ac:dyDescent="0.15">
      <c r="B3105" s="71" t="s">
        <v>162</v>
      </c>
      <c r="C3105" s="15">
        <v>63</v>
      </c>
      <c r="D3105" s="14">
        <f>SUM(C3105)</f>
        <v>63</v>
      </c>
      <c r="E3105" s="48">
        <v>43598</v>
      </c>
      <c r="F3105" s="48"/>
      <c r="G3105" s="48"/>
      <c r="H3105" s="48"/>
      <c r="I3105" s="48"/>
      <c r="J3105" s="51"/>
      <c r="K3105" s="6"/>
      <c r="L3105" s="15"/>
      <c r="M3105" s="14">
        <f>SUM(L3105:L3105)</f>
        <v>0</v>
      </c>
      <c r="N3105" s="75"/>
    </row>
    <row r="3106" spans="1:15" x14ac:dyDescent="0.15">
      <c r="B3106" s="71" t="s">
        <v>607</v>
      </c>
      <c r="C3106" s="15">
        <v>16</v>
      </c>
      <c r="D3106" s="14">
        <f>SUM(C3106)</f>
        <v>16</v>
      </c>
      <c r="E3106" s="74">
        <v>43602</v>
      </c>
      <c r="F3106" s="74"/>
      <c r="G3106" s="74"/>
      <c r="H3106" s="74"/>
      <c r="I3106" s="74"/>
      <c r="J3106" s="51"/>
      <c r="K3106" s="6"/>
      <c r="L3106" s="15"/>
      <c r="M3106" s="14">
        <f>SUM(L3106:L3106)</f>
        <v>0</v>
      </c>
      <c r="N3106" s="75"/>
    </row>
    <row r="3107" spans="1:15" x14ac:dyDescent="0.15">
      <c r="B3107" s="71" t="s">
        <v>162</v>
      </c>
      <c r="C3107" s="15">
        <v>50</v>
      </c>
      <c r="D3107" s="14">
        <f t="shared" ref="D3107:D3113" si="326">SUM(C3107)</f>
        <v>50</v>
      </c>
      <c r="E3107" s="74">
        <v>43599</v>
      </c>
      <c r="F3107" s="74"/>
      <c r="G3107" s="74"/>
      <c r="H3107" s="74"/>
      <c r="I3107" s="74"/>
      <c r="J3107" s="51"/>
      <c r="K3107" s="172"/>
      <c r="L3107" s="15"/>
      <c r="M3107" s="14">
        <f>SUM(L3107)</f>
        <v>0</v>
      </c>
      <c r="N3107" s="75"/>
    </row>
    <row r="3108" spans="1:15" x14ac:dyDescent="0.15">
      <c r="B3108" s="71" t="s">
        <v>39</v>
      </c>
      <c r="C3108" s="15">
        <v>100</v>
      </c>
      <c r="D3108" s="14">
        <f t="shared" si="326"/>
        <v>100</v>
      </c>
      <c r="E3108" s="48">
        <v>43600</v>
      </c>
      <c r="F3108" s="48"/>
      <c r="G3108" s="48"/>
      <c r="H3108" s="48"/>
      <c r="I3108" s="48"/>
      <c r="J3108" s="51"/>
      <c r="K3108" s="173"/>
      <c r="L3108" s="15"/>
      <c r="M3108" s="14">
        <f>SUM(L3108:L3108)</f>
        <v>0</v>
      </c>
      <c r="N3108" s="75"/>
    </row>
    <row r="3109" spans="1:15" x14ac:dyDescent="0.15">
      <c r="B3109" s="71" t="s">
        <v>162</v>
      </c>
      <c r="C3109" s="15">
        <v>43</v>
      </c>
      <c r="D3109" s="14">
        <f t="shared" si="326"/>
        <v>43</v>
      </c>
      <c r="E3109" s="48">
        <v>43600</v>
      </c>
      <c r="F3109" s="48"/>
      <c r="G3109" s="48"/>
      <c r="H3109" s="48"/>
      <c r="I3109" s="48"/>
      <c r="J3109" s="51"/>
      <c r="K3109" s="4"/>
      <c r="L3109" s="15"/>
      <c r="M3109" s="14">
        <f>SUM(L3109)</f>
        <v>0</v>
      </c>
      <c r="N3109" s="75"/>
    </row>
    <row r="3110" spans="1:15" x14ac:dyDescent="0.15">
      <c r="B3110" s="71" t="s">
        <v>39</v>
      </c>
      <c r="C3110" s="15">
        <v>100</v>
      </c>
      <c r="D3110" s="14">
        <f t="shared" si="326"/>
        <v>100</v>
      </c>
      <c r="E3110" s="48">
        <v>43601</v>
      </c>
      <c r="F3110" s="48"/>
      <c r="G3110" s="48"/>
      <c r="H3110" s="48"/>
      <c r="I3110" s="48"/>
      <c r="J3110" s="51"/>
      <c r="K3110" s="6"/>
      <c r="L3110" s="15"/>
      <c r="M3110" s="14">
        <f>SUM(L3110:L3110)</f>
        <v>0</v>
      </c>
      <c r="N3110" s="75"/>
      <c r="O3110" s="75"/>
    </row>
    <row r="3111" spans="1:15" x14ac:dyDescent="0.15">
      <c r="B3111" s="71" t="s">
        <v>39</v>
      </c>
      <c r="C3111" s="15">
        <v>100</v>
      </c>
      <c r="D3111" s="14">
        <f t="shared" si="326"/>
        <v>100</v>
      </c>
      <c r="E3111" s="48">
        <v>43602</v>
      </c>
      <c r="F3111" s="48"/>
      <c r="G3111" s="48"/>
      <c r="H3111" s="48"/>
      <c r="I3111" s="48"/>
      <c r="J3111" s="51"/>
      <c r="K3111" s="6"/>
      <c r="L3111" s="15"/>
      <c r="M3111" s="14">
        <f>SUM(L3111:L3111)</f>
        <v>0</v>
      </c>
      <c r="N3111" s="75"/>
      <c r="O3111" s="75"/>
    </row>
    <row r="3112" spans="1:15" x14ac:dyDescent="0.15">
      <c r="B3112" s="71" t="s">
        <v>162</v>
      </c>
      <c r="C3112" s="15">
        <v>60</v>
      </c>
      <c r="D3112" s="14">
        <f t="shared" si="326"/>
        <v>60</v>
      </c>
      <c r="E3112" s="48">
        <v>43601</v>
      </c>
      <c r="F3112" s="48"/>
      <c r="G3112" s="48"/>
      <c r="H3112" s="48"/>
      <c r="I3112" s="48"/>
      <c r="J3112" s="51"/>
      <c r="K3112" s="6"/>
      <c r="L3112" s="15"/>
      <c r="M3112" s="14">
        <f>SUM(L3112:L3112)</f>
        <v>0</v>
      </c>
      <c r="N3112" s="75"/>
      <c r="O3112" s="75"/>
    </row>
    <row r="3113" spans="1:15" ht="14.25" thickBot="1" x14ac:dyDescent="0.2">
      <c r="B3113" s="71" t="s">
        <v>162</v>
      </c>
      <c r="C3113" s="15">
        <v>36</v>
      </c>
      <c r="D3113" s="14">
        <f t="shared" si="326"/>
        <v>36</v>
      </c>
      <c r="E3113" s="48">
        <v>43602</v>
      </c>
      <c r="F3113" s="48"/>
      <c r="G3113" s="48"/>
      <c r="H3113" s="48"/>
      <c r="I3113" s="48"/>
      <c r="J3113" s="51"/>
      <c r="K3113" s="6" t="s">
        <v>588</v>
      </c>
      <c r="L3113" s="15"/>
      <c r="M3113" s="14">
        <f>SUM(L3113:L3113)</f>
        <v>0</v>
      </c>
      <c r="N3113" s="75" t="s">
        <v>587</v>
      </c>
    </row>
    <row r="3114" spans="1:15" ht="14.25" thickBot="1" x14ac:dyDescent="0.2">
      <c r="B3114" s="3" t="s">
        <v>5</v>
      </c>
      <c r="C3114" s="16">
        <f>SUM(C3090:C3113)</f>
        <v>1210</v>
      </c>
      <c r="D3114" s="17">
        <f>SUM(D3090:D3113)</f>
        <v>1210</v>
      </c>
      <c r="K3114" s="3" t="s">
        <v>5</v>
      </c>
      <c r="L3114" s="16">
        <f>SUM(L3090:L3113)</f>
        <v>1200</v>
      </c>
      <c r="M3114" s="17">
        <f>SUM(M3090:M3113)</f>
        <v>1200</v>
      </c>
    </row>
    <row r="3115" spans="1:15" ht="14.25" thickBot="1" x14ac:dyDescent="0.2">
      <c r="B3115" s="18" t="s">
        <v>6</v>
      </c>
      <c r="C3115" s="19">
        <f>C3089-C3114</f>
        <v>492</v>
      </c>
      <c r="D3115" s="13">
        <f>D3089-D3114</f>
        <v>492</v>
      </c>
      <c r="K3115" s="18" t="s">
        <v>6</v>
      </c>
      <c r="L3115" s="19">
        <f>L3089-L3114</f>
        <v>4162</v>
      </c>
      <c r="M3115" s="13">
        <f>M3089-M3114</f>
        <v>4162</v>
      </c>
    </row>
    <row r="3117" spans="1:15" ht="18" thickBot="1" x14ac:dyDescent="0.25">
      <c r="A3117" s="27" t="s">
        <v>8</v>
      </c>
      <c r="B3117" s="28"/>
      <c r="C3117" s="28"/>
      <c r="D3117" s="28"/>
      <c r="J3117" s="139" t="s">
        <v>218</v>
      </c>
      <c r="K3117" s="140"/>
      <c r="L3117" s="140"/>
      <c r="M3117" s="140"/>
    </row>
    <row r="3118" spans="1:15" ht="14.25" thickBot="1" x14ac:dyDescent="0.2">
      <c r="B3118" s="2"/>
      <c r="C3118" s="3" t="s">
        <v>0</v>
      </c>
      <c r="D3118" s="2" t="s">
        <v>1</v>
      </c>
      <c r="K3118" s="2"/>
      <c r="L3118" s="3" t="s">
        <v>0</v>
      </c>
      <c r="M3118" s="2" t="s">
        <v>1</v>
      </c>
    </row>
    <row r="3119" spans="1:15" x14ac:dyDescent="0.15">
      <c r="B3119" s="43" t="s">
        <v>26</v>
      </c>
      <c r="C3119" s="38">
        <f>C3115</f>
        <v>492</v>
      </c>
      <c r="D3119" s="39">
        <f t="shared" ref="D3119:D3129" si="327">SUM(C3119:C3119)</f>
        <v>492</v>
      </c>
      <c r="K3119" s="43" t="s">
        <v>26</v>
      </c>
      <c r="L3119" s="38">
        <f>L3115</f>
        <v>4162</v>
      </c>
      <c r="M3119" s="39">
        <f t="shared" ref="M3119:M3129" si="328">SUM(L3119:L3119)</f>
        <v>4162</v>
      </c>
    </row>
    <row r="3120" spans="1:15" x14ac:dyDescent="0.15">
      <c r="B3120" s="6" t="s">
        <v>3</v>
      </c>
      <c r="C3120" s="7">
        <v>200</v>
      </c>
      <c r="D3120" s="5">
        <f t="shared" si="327"/>
        <v>200</v>
      </c>
      <c r="E3120" s="74">
        <v>43609</v>
      </c>
      <c r="F3120" s="74"/>
      <c r="G3120" s="74"/>
      <c r="H3120" s="74"/>
      <c r="I3120" s="74"/>
      <c r="J3120" s="75"/>
      <c r="K3120" s="6" t="s">
        <v>3</v>
      </c>
      <c r="L3120" s="7"/>
      <c r="M3120" s="5">
        <f t="shared" si="328"/>
        <v>0</v>
      </c>
    </row>
    <row r="3121" spans="1:15" x14ac:dyDescent="0.15">
      <c r="A3121" s="75"/>
      <c r="B3121" s="6" t="s">
        <v>3</v>
      </c>
      <c r="C3121" s="7">
        <v>400</v>
      </c>
      <c r="D3121" s="5">
        <f t="shared" si="327"/>
        <v>400</v>
      </c>
      <c r="E3121" s="74">
        <v>43612</v>
      </c>
      <c r="F3121" s="74"/>
      <c r="G3121" s="74"/>
      <c r="H3121" s="74"/>
      <c r="I3121" s="74"/>
      <c r="J3121" s="75"/>
      <c r="K3121" s="6" t="s">
        <v>3</v>
      </c>
      <c r="L3121" s="7"/>
      <c r="M3121" s="5">
        <f t="shared" si="328"/>
        <v>0</v>
      </c>
      <c r="N3121" s="74"/>
    </row>
    <row r="3122" spans="1:15" x14ac:dyDescent="0.15">
      <c r="A3122" s="75"/>
      <c r="B3122" s="6" t="s">
        <v>3</v>
      </c>
      <c r="C3122" s="7">
        <v>200</v>
      </c>
      <c r="D3122" s="5">
        <f t="shared" si="327"/>
        <v>200</v>
      </c>
      <c r="E3122" s="74">
        <v>43613</v>
      </c>
      <c r="F3122" s="74"/>
      <c r="G3122" s="74"/>
      <c r="H3122" s="74"/>
      <c r="I3122" s="74"/>
      <c r="J3122" s="75"/>
      <c r="K3122" s="6" t="s">
        <v>3</v>
      </c>
      <c r="L3122" s="7"/>
      <c r="M3122" s="5">
        <f t="shared" si="328"/>
        <v>0</v>
      </c>
      <c r="N3122" s="75"/>
    </row>
    <row r="3123" spans="1:15" x14ac:dyDescent="0.15">
      <c r="B3123" s="6" t="s">
        <v>3</v>
      </c>
      <c r="C3123" s="7">
        <v>200</v>
      </c>
      <c r="D3123" s="5">
        <f t="shared" si="327"/>
        <v>200</v>
      </c>
      <c r="E3123" s="74">
        <v>43614</v>
      </c>
      <c r="F3123" s="74"/>
      <c r="G3123" s="74"/>
      <c r="H3123" s="74"/>
      <c r="I3123" s="74"/>
      <c r="K3123" s="6" t="s">
        <v>3</v>
      </c>
      <c r="L3123" s="7"/>
      <c r="M3123" s="5">
        <f t="shared" si="328"/>
        <v>0</v>
      </c>
    </row>
    <row r="3124" spans="1:15" x14ac:dyDescent="0.15">
      <c r="B3124" s="6" t="s">
        <v>3</v>
      </c>
      <c r="C3124" s="7">
        <v>400</v>
      </c>
      <c r="D3124" s="5">
        <f t="shared" si="327"/>
        <v>400</v>
      </c>
      <c r="E3124" s="74">
        <v>43615</v>
      </c>
      <c r="F3124" s="74"/>
      <c r="G3124" s="74"/>
      <c r="H3124" s="74"/>
      <c r="I3124" s="74"/>
      <c r="K3124" s="6" t="s">
        <v>3</v>
      </c>
      <c r="L3124" s="7"/>
      <c r="M3124" s="5">
        <f t="shared" si="328"/>
        <v>0</v>
      </c>
    </row>
    <row r="3125" spans="1:15" x14ac:dyDescent="0.15">
      <c r="B3125" s="6" t="s">
        <v>3</v>
      </c>
      <c r="C3125" s="7">
        <v>200</v>
      </c>
      <c r="D3125" s="5">
        <f t="shared" si="327"/>
        <v>200</v>
      </c>
      <c r="E3125" s="74">
        <v>43616</v>
      </c>
      <c r="F3125" s="74"/>
      <c r="G3125" s="74"/>
      <c r="H3125" s="74"/>
      <c r="I3125" s="74"/>
      <c r="K3125" s="6" t="s">
        <v>3</v>
      </c>
      <c r="L3125" s="7"/>
      <c r="M3125" s="5">
        <f t="shared" si="328"/>
        <v>0</v>
      </c>
    </row>
    <row r="3126" spans="1:15" x14ac:dyDescent="0.15">
      <c r="B3126" s="6" t="s">
        <v>521</v>
      </c>
      <c r="C3126" s="54">
        <v>1</v>
      </c>
      <c r="D3126" s="5">
        <f t="shared" si="327"/>
        <v>1</v>
      </c>
      <c r="E3126" s="48">
        <v>43615</v>
      </c>
      <c r="F3126" s="48"/>
      <c r="G3126" s="48"/>
      <c r="H3126" s="48"/>
      <c r="I3126" s="48"/>
      <c r="K3126" s="6" t="s">
        <v>3</v>
      </c>
      <c r="L3126" s="7"/>
      <c r="M3126" s="5">
        <f t="shared" si="328"/>
        <v>0</v>
      </c>
    </row>
    <row r="3127" spans="1:15" x14ac:dyDescent="0.15">
      <c r="B3127" s="6" t="s">
        <v>3</v>
      </c>
      <c r="C3127" s="54">
        <v>200</v>
      </c>
      <c r="D3127" s="5">
        <f t="shared" si="327"/>
        <v>200</v>
      </c>
      <c r="E3127" s="74">
        <v>43620</v>
      </c>
      <c r="F3127" s="74"/>
      <c r="G3127" s="74"/>
      <c r="H3127" s="74"/>
      <c r="I3127" s="74"/>
      <c r="K3127" s="6" t="s">
        <v>3</v>
      </c>
      <c r="L3127" s="7"/>
      <c r="M3127" s="5">
        <f t="shared" si="328"/>
        <v>0</v>
      </c>
      <c r="N3127" s="74"/>
    </row>
    <row r="3128" spans="1:15" x14ac:dyDescent="0.15">
      <c r="B3128" s="6" t="s">
        <v>71</v>
      </c>
      <c r="C3128" s="54">
        <v>1</v>
      </c>
      <c r="D3128" s="5">
        <f t="shared" si="327"/>
        <v>1</v>
      </c>
      <c r="E3128" s="48">
        <v>43619</v>
      </c>
      <c r="F3128" s="48"/>
      <c r="G3128" s="48"/>
      <c r="H3128" s="48"/>
      <c r="I3128" s="48"/>
      <c r="K3128" s="6" t="s">
        <v>3</v>
      </c>
      <c r="L3128" s="7"/>
      <c r="M3128" s="5">
        <f t="shared" si="328"/>
        <v>0</v>
      </c>
    </row>
    <row r="3129" spans="1:15" ht="14.25" thickBot="1" x14ac:dyDescent="0.2">
      <c r="B3129" s="9" t="s">
        <v>521</v>
      </c>
      <c r="C3129" s="101">
        <v>1</v>
      </c>
      <c r="D3129" s="5">
        <f t="shared" si="327"/>
        <v>1</v>
      </c>
      <c r="E3129" s="48">
        <v>43622</v>
      </c>
      <c r="F3129" s="48"/>
      <c r="G3129" s="48"/>
      <c r="H3129" s="48"/>
      <c r="I3129" s="48"/>
      <c r="K3129" s="9" t="s">
        <v>3</v>
      </c>
      <c r="L3129" s="10"/>
      <c r="M3129" s="5">
        <f t="shared" si="328"/>
        <v>0</v>
      </c>
    </row>
    <row r="3130" spans="1:15" ht="14.25" thickBot="1" x14ac:dyDescent="0.2">
      <c r="B3130" s="11" t="s">
        <v>4</v>
      </c>
      <c r="C3130" s="12">
        <f>SUM(C3119:C3129)</f>
        <v>2295</v>
      </c>
      <c r="D3130" s="13">
        <f>SUM(D3119:D3129)</f>
        <v>2295</v>
      </c>
      <c r="K3130" s="11" t="s">
        <v>4</v>
      </c>
      <c r="L3130" s="12">
        <f>SUM(L3119:L3129)</f>
        <v>4162</v>
      </c>
      <c r="M3130" s="13">
        <f>SUM(M3119:M3129)</f>
        <v>4162</v>
      </c>
    </row>
    <row r="3131" spans="1:15" x14ac:dyDescent="0.15">
      <c r="B3131" s="71" t="s">
        <v>162</v>
      </c>
      <c r="C3131" s="15">
        <v>44</v>
      </c>
      <c r="D3131" s="14">
        <f>SUM(C3131)</f>
        <v>44</v>
      </c>
      <c r="E3131" s="74">
        <v>43603</v>
      </c>
      <c r="F3131" s="74"/>
      <c r="G3131" s="74"/>
      <c r="H3131" s="74"/>
      <c r="I3131" s="74"/>
      <c r="K3131" s="71" t="s">
        <v>31</v>
      </c>
      <c r="L3131" s="15">
        <v>200</v>
      </c>
      <c r="M3131" s="14">
        <f>SUM(L3131)</f>
        <v>200</v>
      </c>
      <c r="N3131" s="74">
        <v>43609</v>
      </c>
    </row>
    <row r="3132" spans="1:15" x14ac:dyDescent="0.15">
      <c r="B3132" s="71" t="s">
        <v>608</v>
      </c>
      <c r="C3132" s="15">
        <v>48</v>
      </c>
      <c r="D3132" s="14">
        <f>SUM(C3132)</f>
        <v>48</v>
      </c>
      <c r="E3132" s="74">
        <v>43609</v>
      </c>
      <c r="F3132" s="74"/>
      <c r="G3132" s="74"/>
      <c r="H3132" s="74"/>
      <c r="I3132" s="74"/>
      <c r="J3132" s="36"/>
      <c r="K3132" s="6" t="s">
        <v>611</v>
      </c>
      <c r="L3132" s="15">
        <v>100</v>
      </c>
      <c r="M3132" s="14">
        <f t="shared" ref="M3132:M3142" si="329">SUM(L3132:L3132)</f>
        <v>100</v>
      </c>
      <c r="N3132" s="74">
        <v>43619</v>
      </c>
    </row>
    <row r="3133" spans="1:15" x14ac:dyDescent="0.15">
      <c r="B3133" s="71" t="s">
        <v>609</v>
      </c>
      <c r="C3133" s="15">
        <v>-1</v>
      </c>
      <c r="D3133" s="14">
        <f>SUM(C3133)</f>
        <v>-1</v>
      </c>
      <c r="E3133" s="74">
        <v>43605</v>
      </c>
      <c r="F3133" s="74"/>
      <c r="G3133" s="74"/>
      <c r="H3133" s="74"/>
      <c r="I3133" s="74"/>
      <c r="J3133" s="51"/>
      <c r="K3133" s="71" t="s">
        <v>31</v>
      </c>
      <c r="L3133" s="15">
        <v>400</v>
      </c>
      <c r="M3133" s="14">
        <f t="shared" si="329"/>
        <v>400</v>
      </c>
      <c r="N3133" s="74">
        <v>43612</v>
      </c>
    </row>
    <row r="3134" spans="1:15" x14ac:dyDescent="0.15">
      <c r="B3134" s="71" t="s">
        <v>162</v>
      </c>
      <c r="C3134" s="15">
        <v>74</v>
      </c>
      <c r="D3134" s="14">
        <f t="shared" ref="D3134:D3144" si="330">SUM(C3134)</f>
        <v>74</v>
      </c>
      <c r="E3134" s="74">
        <v>43605</v>
      </c>
      <c r="F3134" s="74"/>
      <c r="G3134" s="74"/>
      <c r="H3134" s="74"/>
      <c r="I3134" s="74"/>
      <c r="J3134" s="51"/>
      <c r="K3134" s="71" t="s">
        <v>31</v>
      </c>
      <c r="L3134" s="15">
        <v>200</v>
      </c>
      <c r="M3134" s="14">
        <f t="shared" si="329"/>
        <v>200</v>
      </c>
      <c r="N3134" s="74">
        <v>43613</v>
      </c>
    </row>
    <row r="3135" spans="1:15" x14ac:dyDescent="0.15">
      <c r="B3135" s="71" t="s">
        <v>486</v>
      </c>
      <c r="C3135" s="15">
        <v>15</v>
      </c>
      <c r="D3135" s="14">
        <f t="shared" si="330"/>
        <v>15</v>
      </c>
      <c r="E3135" s="74">
        <v>43609</v>
      </c>
      <c r="F3135" s="74"/>
      <c r="G3135" s="74"/>
      <c r="H3135" s="74"/>
      <c r="I3135" s="74"/>
      <c r="J3135" s="51"/>
      <c r="K3135" s="71" t="s">
        <v>31</v>
      </c>
      <c r="L3135" s="15">
        <v>200</v>
      </c>
      <c r="M3135" s="14">
        <f t="shared" si="329"/>
        <v>200</v>
      </c>
      <c r="N3135" s="74">
        <v>43614</v>
      </c>
      <c r="O3135" s="75"/>
    </row>
    <row r="3136" spans="1:15" x14ac:dyDescent="0.15">
      <c r="B3136" s="71" t="s">
        <v>610</v>
      </c>
      <c r="C3136" s="15">
        <v>40</v>
      </c>
      <c r="D3136" s="14">
        <f t="shared" si="330"/>
        <v>40</v>
      </c>
      <c r="E3136" s="74">
        <v>43612</v>
      </c>
      <c r="F3136" s="74"/>
      <c r="G3136" s="74"/>
      <c r="H3136" s="74"/>
      <c r="I3136" s="74"/>
      <c r="J3136" s="51"/>
      <c r="K3136" s="71" t="s">
        <v>31</v>
      </c>
      <c r="L3136" s="15">
        <v>400</v>
      </c>
      <c r="M3136" s="14">
        <f t="shared" si="329"/>
        <v>400</v>
      </c>
      <c r="N3136" s="74">
        <v>43615</v>
      </c>
    </row>
    <row r="3137" spans="2:15" x14ac:dyDescent="0.15">
      <c r="B3137" s="71" t="s">
        <v>162</v>
      </c>
      <c r="C3137" s="15">
        <v>46</v>
      </c>
      <c r="D3137" s="14">
        <f t="shared" si="330"/>
        <v>46</v>
      </c>
      <c r="E3137" s="74">
        <v>43606</v>
      </c>
      <c r="F3137" s="74"/>
      <c r="G3137" s="74"/>
      <c r="H3137" s="74"/>
      <c r="I3137" s="74"/>
      <c r="J3137" s="51"/>
      <c r="K3137" s="71" t="s">
        <v>31</v>
      </c>
      <c r="L3137" s="15">
        <v>200</v>
      </c>
      <c r="M3137" s="14">
        <f t="shared" si="329"/>
        <v>200</v>
      </c>
      <c r="N3137" s="74">
        <v>43616</v>
      </c>
      <c r="O3137" s="75"/>
    </row>
    <row r="3138" spans="2:15" x14ac:dyDescent="0.15">
      <c r="B3138" s="71" t="s">
        <v>162</v>
      </c>
      <c r="C3138" s="15">
        <v>49</v>
      </c>
      <c r="D3138" s="14">
        <f t="shared" si="330"/>
        <v>49</v>
      </c>
      <c r="E3138" s="74">
        <v>43607</v>
      </c>
      <c r="F3138" s="74"/>
      <c r="G3138" s="74"/>
      <c r="H3138" s="74"/>
      <c r="I3138" s="74"/>
      <c r="J3138" s="51"/>
      <c r="K3138" s="71" t="s">
        <v>31</v>
      </c>
      <c r="L3138" s="15">
        <v>200</v>
      </c>
      <c r="M3138" s="14">
        <f t="shared" si="329"/>
        <v>200</v>
      </c>
      <c r="N3138" s="74">
        <v>43620</v>
      </c>
    </row>
    <row r="3139" spans="2:15" x14ac:dyDescent="0.15">
      <c r="B3139" s="71" t="s">
        <v>162</v>
      </c>
      <c r="C3139" s="15">
        <v>53</v>
      </c>
      <c r="D3139" s="14">
        <f t="shared" si="330"/>
        <v>53</v>
      </c>
      <c r="E3139" s="74">
        <v>43608</v>
      </c>
      <c r="F3139" s="74"/>
      <c r="G3139" s="74"/>
      <c r="H3139" s="74"/>
      <c r="I3139" s="74"/>
      <c r="J3139" s="51"/>
      <c r="K3139" s="4"/>
      <c r="L3139" s="15"/>
      <c r="M3139" s="14">
        <f t="shared" si="329"/>
        <v>0</v>
      </c>
    </row>
    <row r="3140" spans="2:15" x14ac:dyDescent="0.15">
      <c r="B3140" s="71" t="s">
        <v>90</v>
      </c>
      <c r="C3140" s="15">
        <v>40</v>
      </c>
      <c r="D3140" s="14">
        <f t="shared" si="330"/>
        <v>40</v>
      </c>
      <c r="E3140" s="74">
        <v>43615</v>
      </c>
      <c r="F3140" s="74"/>
      <c r="G3140" s="74"/>
      <c r="H3140" s="74"/>
      <c r="I3140" s="74"/>
      <c r="J3140" s="36"/>
      <c r="K3140" s="4"/>
      <c r="L3140" s="15"/>
      <c r="M3140" s="14">
        <f t="shared" si="329"/>
        <v>0</v>
      </c>
    </row>
    <row r="3141" spans="2:15" x14ac:dyDescent="0.15">
      <c r="B3141" s="71" t="s">
        <v>39</v>
      </c>
      <c r="C3141" s="15">
        <v>200</v>
      </c>
      <c r="D3141" s="14">
        <f t="shared" si="330"/>
        <v>200</v>
      </c>
      <c r="E3141" s="74">
        <v>43610</v>
      </c>
      <c r="F3141" s="74"/>
      <c r="G3141" s="74"/>
      <c r="H3141" s="74"/>
      <c r="I3141" s="74"/>
      <c r="J3141" s="51"/>
      <c r="K3141" s="4"/>
      <c r="L3141" s="15"/>
      <c r="M3141" s="14">
        <f t="shared" si="329"/>
        <v>0</v>
      </c>
    </row>
    <row r="3142" spans="2:15" x14ac:dyDescent="0.15">
      <c r="B3142" s="71" t="s">
        <v>162</v>
      </c>
      <c r="C3142" s="15">
        <v>58</v>
      </c>
      <c r="D3142" s="14">
        <f t="shared" si="330"/>
        <v>58</v>
      </c>
      <c r="E3142" s="74">
        <v>43609</v>
      </c>
      <c r="F3142" s="74"/>
      <c r="G3142" s="74"/>
      <c r="H3142" s="74"/>
      <c r="I3142" s="74"/>
      <c r="J3142" s="51"/>
      <c r="K3142" s="4"/>
      <c r="L3142" s="15"/>
      <c r="M3142" s="14">
        <f t="shared" si="329"/>
        <v>0</v>
      </c>
    </row>
    <row r="3143" spans="2:15" x14ac:dyDescent="0.15">
      <c r="B3143" s="71" t="s">
        <v>162</v>
      </c>
      <c r="C3143" s="15">
        <v>382</v>
      </c>
      <c r="D3143" s="14">
        <f t="shared" si="330"/>
        <v>382</v>
      </c>
      <c r="E3143" s="74">
        <v>43612</v>
      </c>
      <c r="F3143" s="74"/>
      <c r="G3143" s="74"/>
      <c r="H3143" s="74"/>
      <c r="I3143" s="74"/>
      <c r="J3143" s="36"/>
      <c r="K3143" s="172"/>
      <c r="L3143" s="15"/>
      <c r="M3143" s="14">
        <f>SUM(L3143)</f>
        <v>0</v>
      </c>
      <c r="N3143" s="75"/>
    </row>
    <row r="3144" spans="2:15" x14ac:dyDescent="0.15">
      <c r="B3144" s="71" t="s">
        <v>612</v>
      </c>
      <c r="C3144" s="15">
        <v>44</v>
      </c>
      <c r="D3144" s="14">
        <f t="shared" si="330"/>
        <v>44</v>
      </c>
      <c r="E3144" s="74">
        <v>43615</v>
      </c>
      <c r="F3144" s="74"/>
      <c r="G3144" s="74"/>
      <c r="H3144" s="74"/>
      <c r="I3144" s="74"/>
      <c r="J3144" s="36"/>
      <c r="K3144" s="173"/>
      <c r="L3144" s="15"/>
      <c r="M3144" s="14">
        <f>SUM(L3144:L3144)</f>
        <v>0</v>
      </c>
      <c r="N3144" s="75"/>
    </row>
    <row r="3145" spans="2:15" x14ac:dyDescent="0.15">
      <c r="B3145" s="71" t="s">
        <v>162</v>
      </c>
      <c r="C3145" s="15">
        <v>76</v>
      </c>
      <c r="D3145" s="14">
        <f>SUM(C3145)</f>
        <v>76</v>
      </c>
      <c r="E3145" s="74">
        <v>43613</v>
      </c>
      <c r="F3145" s="74"/>
      <c r="G3145" s="74"/>
      <c r="H3145" s="74"/>
      <c r="I3145" s="74"/>
      <c r="J3145" s="51"/>
      <c r="K3145" s="4"/>
      <c r="L3145" s="15"/>
      <c r="M3145" s="14">
        <f>SUM(L3145:L3145)</f>
        <v>0</v>
      </c>
      <c r="N3145" s="75"/>
    </row>
    <row r="3146" spans="2:15" x14ac:dyDescent="0.15">
      <c r="B3146" s="71" t="s">
        <v>39</v>
      </c>
      <c r="C3146" s="15">
        <v>150</v>
      </c>
      <c r="D3146" s="14">
        <f>SUM(C3146)</f>
        <v>150</v>
      </c>
      <c r="E3146" s="48">
        <v>43615</v>
      </c>
      <c r="F3146" s="48"/>
      <c r="G3146" s="48"/>
      <c r="H3146" s="48"/>
      <c r="I3146" s="48"/>
      <c r="J3146" s="51"/>
      <c r="K3146" s="6"/>
      <c r="L3146" s="15"/>
      <c r="M3146" s="14">
        <f>SUM(L3146:L3146)</f>
        <v>0</v>
      </c>
      <c r="N3146" s="75"/>
    </row>
    <row r="3147" spans="2:15" x14ac:dyDescent="0.15">
      <c r="B3147" s="71" t="s">
        <v>162</v>
      </c>
      <c r="C3147" s="15">
        <v>36</v>
      </c>
      <c r="D3147" s="14">
        <f>SUM(C3147)</f>
        <v>36</v>
      </c>
      <c r="E3147" s="74">
        <v>43614</v>
      </c>
      <c r="F3147" s="74"/>
      <c r="G3147" s="74"/>
      <c r="H3147" s="74"/>
      <c r="I3147" s="74"/>
      <c r="J3147" s="51"/>
      <c r="K3147" s="6"/>
      <c r="L3147" s="15"/>
      <c r="M3147" s="14">
        <f>SUM(L3147:L3147)</f>
        <v>0</v>
      </c>
      <c r="N3147" s="75"/>
    </row>
    <row r="3148" spans="2:15" x14ac:dyDescent="0.15">
      <c r="B3148" s="71" t="s">
        <v>39</v>
      </c>
      <c r="C3148" s="15">
        <v>200</v>
      </c>
      <c r="D3148" s="14">
        <f t="shared" ref="D3148:D3154" si="331">SUM(C3148)</f>
        <v>200</v>
      </c>
      <c r="E3148" s="74">
        <v>43616</v>
      </c>
      <c r="F3148" s="74"/>
      <c r="G3148" s="74"/>
      <c r="H3148" s="74"/>
      <c r="I3148" s="74"/>
      <c r="J3148" s="51"/>
      <c r="K3148" s="172"/>
      <c r="L3148" s="15"/>
      <c r="M3148" s="14">
        <f>SUM(L3148)</f>
        <v>0</v>
      </c>
      <c r="N3148" s="75"/>
    </row>
    <row r="3149" spans="2:15" x14ac:dyDescent="0.15">
      <c r="B3149" s="71" t="s">
        <v>162</v>
      </c>
      <c r="C3149" s="15">
        <v>49</v>
      </c>
      <c r="D3149" s="14">
        <f t="shared" si="331"/>
        <v>49</v>
      </c>
      <c r="E3149" s="48">
        <v>43615</v>
      </c>
      <c r="F3149" s="48"/>
      <c r="G3149" s="48"/>
      <c r="H3149" s="48"/>
      <c r="I3149" s="48"/>
      <c r="J3149" s="51"/>
      <c r="K3149" s="173"/>
      <c r="L3149" s="15"/>
      <c r="M3149" s="14">
        <f>SUM(L3149:L3149)</f>
        <v>0</v>
      </c>
      <c r="N3149" s="75"/>
    </row>
    <row r="3150" spans="2:15" x14ac:dyDescent="0.15">
      <c r="B3150" s="71" t="s">
        <v>162</v>
      </c>
      <c r="C3150" s="15">
        <v>51</v>
      </c>
      <c r="D3150" s="14">
        <f t="shared" si="331"/>
        <v>51</v>
      </c>
      <c r="E3150" s="48">
        <v>43616</v>
      </c>
      <c r="F3150" s="48"/>
      <c r="G3150" s="48"/>
      <c r="H3150" s="48"/>
      <c r="I3150" s="48"/>
      <c r="J3150" s="51"/>
      <c r="K3150" s="4"/>
      <c r="L3150" s="15"/>
      <c r="M3150" s="14">
        <f>SUM(L3150)</f>
        <v>0</v>
      </c>
      <c r="N3150" s="75"/>
    </row>
    <row r="3151" spans="2:15" x14ac:dyDescent="0.15">
      <c r="B3151" s="71" t="s">
        <v>162</v>
      </c>
      <c r="C3151" s="15">
        <v>8</v>
      </c>
      <c r="D3151" s="14">
        <f t="shared" si="331"/>
        <v>8</v>
      </c>
      <c r="E3151" s="48">
        <v>43617</v>
      </c>
      <c r="F3151" s="48"/>
      <c r="G3151" s="48"/>
      <c r="H3151" s="48"/>
      <c r="I3151" s="48"/>
      <c r="J3151" s="51"/>
      <c r="K3151" s="6"/>
      <c r="L3151" s="15"/>
      <c r="M3151" s="14">
        <f>SUM(L3151:L3151)</f>
        <v>0</v>
      </c>
      <c r="N3151" s="75"/>
    </row>
    <row r="3152" spans="2:15" x14ac:dyDescent="0.15">
      <c r="B3152" s="71" t="s">
        <v>162</v>
      </c>
      <c r="C3152" s="15">
        <v>69</v>
      </c>
      <c r="D3152" s="14">
        <f t="shared" si="331"/>
        <v>69</v>
      </c>
      <c r="E3152" s="48">
        <v>43619</v>
      </c>
      <c r="F3152" s="48"/>
      <c r="G3152" s="48"/>
      <c r="H3152" s="48"/>
      <c r="I3152" s="48"/>
      <c r="J3152" s="51"/>
      <c r="K3152" s="6"/>
      <c r="L3152" s="15"/>
      <c r="M3152" s="14">
        <f>SUM(L3152:L3152)</f>
        <v>0</v>
      </c>
      <c r="N3152" s="75"/>
    </row>
    <row r="3153" spans="1:14" x14ac:dyDescent="0.15">
      <c r="B3153" s="71" t="s">
        <v>613</v>
      </c>
      <c r="C3153" s="15">
        <v>40</v>
      </c>
      <c r="D3153" s="14">
        <f t="shared" si="331"/>
        <v>40</v>
      </c>
      <c r="E3153" s="74">
        <v>43626</v>
      </c>
      <c r="F3153" s="74"/>
      <c r="G3153" s="74"/>
      <c r="H3153" s="74"/>
      <c r="I3153" s="74"/>
      <c r="J3153" s="51"/>
      <c r="K3153" s="6"/>
      <c r="L3153" s="15"/>
      <c r="M3153" s="14">
        <f>SUM(L3153:L3153)</f>
        <v>0</v>
      </c>
      <c r="N3153" s="75"/>
    </row>
    <row r="3154" spans="1:14" ht="14.25" thickBot="1" x14ac:dyDescent="0.2">
      <c r="B3154" s="71" t="s">
        <v>190</v>
      </c>
      <c r="C3154" s="15">
        <v>5</v>
      </c>
      <c r="D3154" s="14">
        <f t="shared" si="331"/>
        <v>5</v>
      </c>
      <c r="E3154" s="48">
        <v>43620</v>
      </c>
      <c r="F3154" s="48"/>
      <c r="G3154" s="48"/>
      <c r="H3154" s="48"/>
      <c r="I3154" s="48"/>
      <c r="J3154" s="51"/>
      <c r="K3154" s="6"/>
      <c r="L3154" s="15"/>
      <c r="M3154" s="14">
        <f>SUM(L3154:L3154)</f>
        <v>0</v>
      </c>
      <c r="N3154" s="75"/>
    </row>
    <row r="3155" spans="1:14" ht="14.25" thickBot="1" x14ac:dyDescent="0.2">
      <c r="B3155" s="3" t="s">
        <v>5</v>
      </c>
      <c r="C3155" s="16">
        <f>SUM(C3131:C3154)</f>
        <v>1776</v>
      </c>
      <c r="D3155" s="17">
        <f>SUM(D3131:D3154)</f>
        <v>1776</v>
      </c>
      <c r="K3155" s="3" t="s">
        <v>5</v>
      </c>
      <c r="L3155" s="16">
        <f>SUM(L3131:L3154)</f>
        <v>1900</v>
      </c>
      <c r="M3155" s="17">
        <f>SUM(M3131:M3154)</f>
        <v>1900</v>
      </c>
    </row>
    <row r="3156" spans="1:14" ht="14.25" thickBot="1" x14ac:dyDescent="0.2">
      <c r="B3156" s="18" t="s">
        <v>6</v>
      </c>
      <c r="C3156" s="19">
        <f>C3130-C3155</f>
        <v>519</v>
      </c>
      <c r="D3156" s="13">
        <f>D3130-D3155</f>
        <v>519</v>
      </c>
      <c r="K3156" s="18" t="s">
        <v>6</v>
      </c>
      <c r="L3156" s="19">
        <f>L3130-L3155</f>
        <v>2262</v>
      </c>
      <c r="M3156" s="13">
        <f>M3130-M3155</f>
        <v>2262</v>
      </c>
    </row>
    <row r="3158" spans="1:14" ht="18" thickBot="1" x14ac:dyDescent="0.25">
      <c r="A3158" s="27" t="s">
        <v>8</v>
      </c>
      <c r="B3158" s="28"/>
      <c r="C3158" s="28"/>
      <c r="D3158" s="28"/>
      <c r="J3158" s="139" t="s">
        <v>218</v>
      </c>
      <c r="K3158" s="140"/>
      <c r="L3158" s="140"/>
      <c r="M3158" s="140"/>
    </row>
    <row r="3159" spans="1:14" ht="14.25" thickBot="1" x14ac:dyDescent="0.2">
      <c r="B3159" s="2"/>
      <c r="C3159" s="3" t="s">
        <v>0</v>
      </c>
      <c r="D3159" s="2" t="s">
        <v>1</v>
      </c>
      <c r="K3159" s="2"/>
      <c r="L3159" s="3" t="s">
        <v>0</v>
      </c>
      <c r="M3159" s="2" t="s">
        <v>1</v>
      </c>
    </row>
    <row r="3160" spans="1:14" x14ac:dyDescent="0.15">
      <c r="B3160" s="43" t="s">
        <v>26</v>
      </c>
      <c r="C3160" s="38">
        <f>C3156</f>
        <v>519</v>
      </c>
      <c r="D3160" s="39">
        <f t="shared" ref="D3160:D3170" si="332">SUM(C3160:C3160)</f>
        <v>519</v>
      </c>
      <c r="K3160" s="43" t="s">
        <v>26</v>
      </c>
      <c r="L3160" s="38">
        <f>L3156</f>
        <v>2262</v>
      </c>
      <c r="M3160" s="39">
        <f t="shared" ref="M3160:M3170" si="333">SUM(L3160:L3160)</f>
        <v>2262</v>
      </c>
    </row>
    <row r="3161" spans="1:14" x14ac:dyDescent="0.15">
      <c r="B3161" s="6" t="s">
        <v>3</v>
      </c>
      <c r="C3161" s="7">
        <v>200</v>
      </c>
      <c r="D3161" s="5">
        <f t="shared" si="332"/>
        <v>200</v>
      </c>
      <c r="E3161" s="74">
        <v>43626</v>
      </c>
      <c r="F3161" s="74"/>
      <c r="G3161" s="74"/>
      <c r="H3161" s="74"/>
      <c r="I3161" s="74"/>
      <c r="J3161" s="75"/>
      <c r="K3161" s="6" t="s">
        <v>3</v>
      </c>
      <c r="L3161" s="7"/>
      <c r="M3161" s="5">
        <f t="shared" si="333"/>
        <v>0</v>
      </c>
    </row>
    <row r="3162" spans="1:14" x14ac:dyDescent="0.15">
      <c r="A3162" s="75"/>
      <c r="B3162" s="6" t="s">
        <v>3</v>
      </c>
      <c r="C3162" s="7">
        <v>200</v>
      </c>
      <c r="D3162" s="5">
        <f t="shared" si="332"/>
        <v>200</v>
      </c>
      <c r="E3162" s="74">
        <v>43628</v>
      </c>
      <c r="F3162" s="74"/>
      <c r="G3162" s="74"/>
      <c r="H3162" s="74"/>
      <c r="I3162" s="74"/>
      <c r="K3162" s="6" t="s">
        <v>3</v>
      </c>
      <c r="L3162" s="7">
        <v>5000</v>
      </c>
      <c r="M3162" s="5">
        <f t="shared" si="333"/>
        <v>5000</v>
      </c>
      <c r="N3162" s="74">
        <v>43630</v>
      </c>
    </row>
    <row r="3163" spans="1:14" x14ac:dyDescent="0.15">
      <c r="A3163" s="75"/>
      <c r="B3163" s="171" t="s">
        <v>3</v>
      </c>
      <c r="C3163" s="7">
        <v>200</v>
      </c>
      <c r="D3163" s="5">
        <f t="shared" si="332"/>
        <v>200</v>
      </c>
      <c r="E3163" s="74">
        <v>43631</v>
      </c>
      <c r="F3163" s="74"/>
      <c r="G3163" s="74"/>
      <c r="H3163" s="74"/>
      <c r="I3163" s="74"/>
      <c r="J3163" s="100"/>
      <c r="K3163" s="6" t="s">
        <v>3</v>
      </c>
      <c r="L3163" s="7"/>
      <c r="M3163" s="5">
        <f t="shared" si="333"/>
        <v>0</v>
      </c>
    </row>
    <row r="3164" spans="1:14" x14ac:dyDescent="0.15">
      <c r="B3164" s="6" t="s">
        <v>3</v>
      </c>
      <c r="C3164" s="7">
        <v>200</v>
      </c>
      <c r="D3164" s="5">
        <f t="shared" si="332"/>
        <v>200</v>
      </c>
      <c r="E3164" s="74">
        <v>43634</v>
      </c>
      <c r="F3164" s="74"/>
      <c r="G3164" s="74"/>
      <c r="H3164" s="74"/>
      <c r="I3164" s="74"/>
      <c r="K3164" s="6" t="s">
        <v>3</v>
      </c>
      <c r="L3164" s="7"/>
      <c r="M3164" s="5">
        <f t="shared" si="333"/>
        <v>0</v>
      </c>
    </row>
    <row r="3165" spans="1:14" x14ac:dyDescent="0.15">
      <c r="B3165" s="6" t="s">
        <v>3</v>
      </c>
      <c r="C3165" s="7">
        <v>200</v>
      </c>
      <c r="D3165" s="5">
        <f t="shared" si="332"/>
        <v>200</v>
      </c>
      <c r="E3165" s="74">
        <v>43635</v>
      </c>
      <c r="F3165" s="74"/>
      <c r="G3165" s="74"/>
      <c r="H3165" s="74"/>
      <c r="I3165" s="74"/>
      <c r="K3165" s="6" t="s">
        <v>3</v>
      </c>
      <c r="L3165" s="7"/>
      <c r="M3165" s="5">
        <f t="shared" si="333"/>
        <v>0</v>
      </c>
    </row>
    <row r="3166" spans="1:14" x14ac:dyDescent="0.15">
      <c r="B3166" s="6" t="s">
        <v>3</v>
      </c>
      <c r="C3166" s="7">
        <v>200</v>
      </c>
      <c r="D3166" s="5">
        <f t="shared" si="332"/>
        <v>200</v>
      </c>
      <c r="E3166" s="74">
        <v>43637</v>
      </c>
      <c r="F3166" s="74"/>
      <c r="G3166" s="74"/>
      <c r="H3166" s="74"/>
      <c r="I3166" s="74"/>
      <c r="K3166" s="6" t="s">
        <v>3</v>
      </c>
      <c r="L3166" s="7"/>
      <c r="M3166" s="5">
        <f t="shared" si="333"/>
        <v>0</v>
      </c>
    </row>
    <row r="3167" spans="1:14" x14ac:dyDescent="0.15">
      <c r="B3167" s="6" t="s">
        <v>122</v>
      </c>
      <c r="C3167" s="54">
        <v>2</v>
      </c>
      <c r="D3167" s="5">
        <f t="shared" si="332"/>
        <v>2</v>
      </c>
      <c r="E3167" s="48">
        <v>43637</v>
      </c>
      <c r="F3167" s="48"/>
      <c r="G3167" s="48"/>
      <c r="H3167" s="48"/>
      <c r="I3167" s="48"/>
      <c r="K3167" s="6" t="s">
        <v>3</v>
      </c>
      <c r="L3167" s="7"/>
      <c r="M3167" s="5">
        <f t="shared" si="333"/>
        <v>0</v>
      </c>
    </row>
    <row r="3168" spans="1:14" x14ac:dyDescent="0.15">
      <c r="B3168" s="6" t="s">
        <v>3</v>
      </c>
      <c r="C3168" s="54"/>
      <c r="D3168" s="5">
        <f t="shared" si="332"/>
        <v>0</v>
      </c>
      <c r="K3168" s="6" t="s">
        <v>3</v>
      </c>
      <c r="L3168" s="7"/>
      <c r="M3168" s="5">
        <f t="shared" si="333"/>
        <v>0</v>
      </c>
      <c r="N3168" s="74"/>
    </row>
    <row r="3169" spans="2:14" x14ac:dyDescent="0.15">
      <c r="B3169" s="6" t="s">
        <v>3</v>
      </c>
      <c r="C3169" s="54"/>
      <c r="D3169" s="5">
        <f t="shared" si="332"/>
        <v>0</v>
      </c>
      <c r="K3169" s="6" t="s">
        <v>3</v>
      </c>
      <c r="L3169" s="7"/>
      <c r="M3169" s="5">
        <f t="shared" si="333"/>
        <v>0</v>
      </c>
    </row>
    <row r="3170" spans="2:14" ht="14.25" thickBot="1" x14ac:dyDescent="0.2">
      <c r="B3170" s="9" t="s">
        <v>3</v>
      </c>
      <c r="C3170" s="101"/>
      <c r="D3170" s="5">
        <f t="shared" si="332"/>
        <v>0</v>
      </c>
      <c r="K3170" s="9" t="s">
        <v>3</v>
      </c>
      <c r="L3170" s="10"/>
      <c r="M3170" s="5">
        <f t="shared" si="333"/>
        <v>0</v>
      </c>
    </row>
    <row r="3171" spans="2:14" ht="14.25" thickBot="1" x14ac:dyDescent="0.2">
      <c r="B3171" s="11" t="s">
        <v>4</v>
      </c>
      <c r="C3171" s="12">
        <f>SUM(C3160:C3170)</f>
        <v>1721</v>
      </c>
      <c r="D3171" s="13">
        <f>SUM(D3160:D3170)</f>
        <v>1721</v>
      </c>
      <c r="K3171" s="11" t="s">
        <v>4</v>
      </c>
      <c r="L3171" s="12">
        <f>SUM(L3160:L3170)</f>
        <v>7262</v>
      </c>
      <c r="M3171" s="13">
        <f>SUM(M3160:M3170)</f>
        <v>7262</v>
      </c>
    </row>
    <row r="3172" spans="2:14" x14ac:dyDescent="0.15">
      <c r="B3172" s="71" t="s">
        <v>612</v>
      </c>
      <c r="C3172" s="15">
        <v>26</v>
      </c>
      <c r="D3172" s="14">
        <f>SUM(C3172)</f>
        <v>26</v>
      </c>
      <c r="E3172" s="74">
        <v>43622</v>
      </c>
      <c r="F3172" s="74"/>
      <c r="G3172" s="74"/>
      <c r="H3172" s="74"/>
      <c r="I3172" s="74"/>
      <c r="K3172" s="71" t="s">
        <v>31</v>
      </c>
      <c r="L3172" s="15">
        <v>200</v>
      </c>
      <c r="M3172" s="14">
        <f>SUM(L3172)</f>
        <v>200</v>
      </c>
      <c r="N3172" s="74">
        <v>43626</v>
      </c>
    </row>
    <row r="3173" spans="2:14" x14ac:dyDescent="0.15">
      <c r="B3173" s="71" t="s">
        <v>162</v>
      </c>
      <c r="C3173" s="15">
        <v>28</v>
      </c>
      <c r="D3173" s="14">
        <f>SUM(C3173)</f>
        <v>28</v>
      </c>
      <c r="E3173" s="74">
        <v>43620</v>
      </c>
      <c r="F3173" s="74"/>
      <c r="G3173" s="74"/>
      <c r="H3173" s="74"/>
      <c r="I3173" s="74"/>
      <c r="J3173" s="36"/>
      <c r="K3173" s="71" t="s">
        <v>31</v>
      </c>
      <c r="L3173" s="15">
        <v>200</v>
      </c>
      <c r="M3173" s="14">
        <f t="shared" ref="M3173:M3183" si="334">SUM(L3173:L3173)</f>
        <v>200</v>
      </c>
      <c r="N3173" s="74">
        <v>43628</v>
      </c>
    </row>
    <row r="3174" spans="2:14" x14ac:dyDescent="0.15">
      <c r="B3174" s="6" t="s">
        <v>614</v>
      </c>
      <c r="C3174" s="15">
        <v>35</v>
      </c>
      <c r="D3174" s="14">
        <f>SUM(C3174)</f>
        <v>35</v>
      </c>
      <c r="E3174" s="74">
        <v>43624</v>
      </c>
      <c r="F3174" s="74"/>
      <c r="G3174" s="74"/>
      <c r="H3174" s="74"/>
      <c r="I3174" s="74"/>
      <c r="J3174" s="51"/>
      <c r="K3174" s="6" t="s">
        <v>617</v>
      </c>
      <c r="L3174" s="15">
        <v>1000</v>
      </c>
      <c r="M3174" s="14">
        <f t="shared" si="334"/>
        <v>1000</v>
      </c>
      <c r="N3174" s="74">
        <v>43629</v>
      </c>
    </row>
    <row r="3175" spans="2:14" x14ac:dyDescent="0.15">
      <c r="B3175" s="71" t="s">
        <v>162</v>
      </c>
      <c r="C3175" s="15">
        <v>89</v>
      </c>
      <c r="D3175" s="14">
        <f t="shared" ref="D3175:D3185" si="335">SUM(C3175)</f>
        <v>89</v>
      </c>
      <c r="E3175" s="74">
        <v>43621</v>
      </c>
      <c r="F3175" s="74"/>
      <c r="G3175" s="74"/>
      <c r="H3175" s="74"/>
      <c r="I3175" s="74"/>
      <c r="J3175" s="51"/>
      <c r="K3175" s="6" t="s">
        <v>618</v>
      </c>
      <c r="L3175" s="15">
        <v>233</v>
      </c>
      <c r="M3175" s="14">
        <f t="shared" si="334"/>
        <v>233</v>
      </c>
      <c r="N3175" s="74">
        <v>43629</v>
      </c>
    </row>
    <row r="3176" spans="2:14" x14ac:dyDescent="0.15">
      <c r="B3176" s="71" t="s">
        <v>162</v>
      </c>
      <c r="C3176" s="15">
        <v>87</v>
      </c>
      <c r="D3176" s="14">
        <f t="shared" si="335"/>
        <v>87</v>
      </c>
      <c r="E3176" s="74">
        <v>43622</v>
      </c>
      <c r="F3176" s="74"/>
      <c r="G3176" s="74"/>
      <c r="H3176" s="74"/>
      <c r="I3176" s="74"/>
      <c r="J3176" s="51"/>
      <c r="K3176" s="6" t="s">
        <v>619</v>
      </c>
      <c r="L3176" s="15">
        <v>400</v>
      </c>
      <c r="M3176" s="14">
        <f t="shared" si="334"/>
        <v>400</v>
      </c>
      <c r="N3176" s="74">
        <v>43630</v>
      </c>
    </row>
    <row r="3177" spans="2:14" x14ac:dyDescent="0.15">
      <c r="B3177" s="71" t="s">
        <v>162</v>
      </c>
      <c r="C3177" s="15">
        <v>64</v>
      </c>
      <c r="D3177" s="14">
        <f t="shared" si="335"/>
        <v>64</v>
      </c>
      <c r="E3177" s="74">
        <v>43623</v>
      </c>
      <c r="F3177" s="74"/>
      <c r="G3177" s="74"/>
      <c r="H3177" s="74"/>
      <c r="I3177" s="74"/>
      <c r="J3177" s="51"/>
      <c r="K3177" s="6" t="s">
        <v>620</v>
      </c>
      <c r="L3177" s="15">
        <v>100</v>
      </c>
      <c r="M3177" s="14">
        <f t="shared" si="334"/>
        <v>100</v>
      </c>
      <c r="N3177" s="74">
        <v>43631</v>
      </c>
    </row>
    <row r="3178" spans="2:14" x14ac:dyDescent="0.15">
      <c r="B3178" s="71" t="s">
        <v>162</v>
      </c>
      <c r="C3178" s="15">
        <v>153</v>
      </c>
      <c r="D3178" s="14">
        <f t="shared" si="335"/>
        <v>153</v>
      </c>
      <c r="E3178" s="74">
        <v>43626</v>
      </c>
      <c r="F3178" s="74"/>
      <c r="G3178" s="74"/>
      <c r="H3178" s="74"/>
      <c r="I3178" s="74"/>
      <c r="J3178" s="51"/>
      <c r="K3178" s="71" t="s">
        <v>31</v>
      </c>
      <c r="L3178" s="15">
        <v>200</v>
      </c>
      <c r="M3178" s="14">
        <f t="shared" si="334"/>
        <v>200</v>
      </c>
      <c r="N3178" s="74">
        <v>43631</v>
      </c>
    </row>
    <row r="3179" spans="2:14" x14ac:dyDescent="0.15">
      <c r="B3179" s="71" t="s">
        <v>612</v>
      </c>
      <c r="C3179" s="15">
        <v>11</v>
      </c>
      <c r="D3179" s="14">
        <f t="shared" si="335"/>
        <v>11</v>
      </c>
      <c r="E3179" s="74">
        <v>43629</v>
      </c>
      <c r="F3179" s="74"/>
      <c r="G3179" s="74"/>
      <c r="H3179" s="74"/>
      <c r="I3179" s="74"/>
      <c r="J3179" s="51"/>
      <c r="K3179" s="71" t="s">
        <v>31</v>
      </c>
      <c r="L3179" s="15">
        <v>200</v>
      </c>
      <c r="M3179" s="14">
        <f t="shared" si="334"/>
        <v>200</v>
      </c>
      <c r="N3179" s="74">
        <v>43634</v>
      </c>
    </row>
    <row r="3180" spans="2:14" x14ac:dyDescent="0.15">
      <c r="B3180" s="6" t="s">
        <v>190</v>
      </c>
      <c r="C3180" s="15">
        <v>4</v>
      </c>
      <c r="D3180" s="14">
        <f t="shared" si="335"/>
        <v>4</v>
      </c>
      <c r="E3180" s="74">
        <v>43629</v>
      </c>
      <c r="F3180" s="74"/>
      <c r="G3180" s="74"/>
      <c r="H3180" s="74"/>
      <c r="I3180" s="74"/>
      <c r="J3180" s="51"/>
      <c r="K3180" s="71" t="s">
        <v>31</v>
      </c>
      <c r="L3180" s="15">
        <v>200</v>
      </c>
      <c r="M3180" s="14">
        <f t="shared" si="334"/>
        <v>200</v>
      </c>
      <c r="N3180" s="74">
        <v>43635</v>
      </c>
    </row>
    <row r="3181" spans="2:14" x14ac:dyDescent="0.15">
      <c r="B3181" s="71" t="s">
        <v>162</v>
      </c>
      <c r="C3181" s="15">
        <v>87</v>
      </c>
      <c r="D3181" s="14">
        <f t="shared" si="335"/>
        <v>87</v>
      </c>
      <c r="E3181" s="74">
        <v>43627</v>
      </c>
      <c r="F3181" s="74"/>
      <c r="G3181" s="74"/>
      <c r="H3181" s="74"/>
      <c r="I3181" s="74"/>
      <c r="J3181" s="36"/>
      <c r="K3181" s="71" t="s">
        <v>31</v>
      </c>
      <c r="L3181" s="15">
        <v>200</v>
      </c>
      <c r="M3181" s="14">
        <f t="shared" si="334"/>
        <v>200</v>
      </c>
      <c r="N3181" s="74">
        <v>43637</v>
      </c>
    </row>
    <row r="3182" spans="2:14" x14ac:dyDescent="0.15">
      <c r="B3182" s="71" t="s">
        <v>162</v>
      </c>
      <c r="C3182" s="15">
        <v>36</v>
      </c>
      <c r="D3182" s="14">
        <f t="shared" si="335"/>
        <v>36</v>
      </c>
      <c r="E3182" s="74">
        <v>43628</v>
      </c>
      <c r="F3182" s="74"/>
      <c r="G3182" s="74"/>
      <c r="H3182" s="74"/>
      <c r="I3182" s="74"/>
      <c r="J3182" s="51"/>
      <c r="K3182" s="4"/>
      <c r="L3182" s="15"/>
      <c r="M3182" s="14">
        <f t="shared" si="334"/>
        <v>0</v>
      </c>
    </row>
    <row r="3183" spans="2:14" x14ac:dyDescent="0.15">
      <c r="B3183" s="71" t="s">
        <v>162</v>
      </c>
      <c r="C3183" s="15">
        <v>23</v>
      </c>
      <c r="D3183" s="14">
        <f t="shared" si="335"/>
        <v>23</v>
      </c>
      <c r="E3183" s="74">
        <v>43629</v>
      </c>
      <c r="F3183" s="74"/>
      <c r="G3183" s="74"/>
      <c r="H3183" s="74"/>
      <c r="I3183" s="74"/>
      <c r="J3183" s="51"/>
      <c r="K3183" s="4"/>
      <c r="L3183" s="15"/>
      <c r="M3183" s="14">
        <f t="shared" si="334"/>
        <v>0</v>
      </c>
    </row>
    <row r="3184" spans="2:14" x14ac:dyDescent="0.15">
      <c r="B3184" s="6" t="s">
        <v>621</v>
      </c>
      <c r="C3184" s="15">
        <v>1</v>
      </c>
      <c r="D3184" s="14">
        <f t="shared" si="335"/>
        <v>1</v>
      </c>
      <c r="E3184" s="74">
        <v>43629</v>
      </c>
      <c r="F3184" s="74"/>
      <c r="G3184" s="74"/>
      <c r="H3184" s="74"/>
      <c r="I3184" s="74"/>
      <c r="J3184" s="36"/>
      <c r="K3184" s="172"/>
      <c r="L3184" s="15"/>
      <c r="M3184" s="14">
        <f>SUM(L3184)</f>
        <v>0</v>
      </c>
      <c r="N3184" s="75"/>
    </row>
    <row r="3185" spans="1:16" x14ac:dyDescent="0.15">
      <c r="B3185" s="6" t="s">
        <v>622</v>
      </c>
      <c r="C3185" s="15">
        <v>20</v>
      </c>
      <c r="D3185" s="14">
        <f t="shared" si="335"/>
        <v>20</v>
      </c>
      <c r="E3185" s="74">
        <v>43631</v>
      </c>
      <c r="F3185" s="74"/>
      <c r="G3185" s="74"/>
      <c r="H3185" s="74"/>
      <c r="I3185" s="74"/>
      <c r="J3185" s="51"/>
      <c r="K3185" s="173"/>
      <c r="L3185" s="15"/>
      <c r="M3185" s="14">
        <f>SUM(L3185:L3185)</f>
        <v>0</v>
      </c>
      <c r="N3185" s="75"/>
    </row>
    <row r="3186" spans="1:16" x14ac:dyDescent="0.15">
      <c r="B3186" s="71" t="s">
        <v>162</v>
      </c>
      <c r="C3186" s="15">
        <v>23</v>
      </c>
      <c r="D3186" s="14">
        <f>SUM(C3186)</f>
        <v>23</v>
      </c>
      <c r="E3186" s="74">
        <v>43630</v>
      </c>
      <c r="F3186" s="74"/>
      <c r="G3186" s="74"/>
      <c r="H3186" s="74"/>
      <c r="I3186" s="74"/>
      <c r="J3186" s="51"/>
      <c r="K3186" s="4"/>
      <c r="L3186" s="15"/>
      <c r="M3186" s="14">
        <f>SUM(L3186:L3186)</f>
        <v>0</v>
      </c>
      <c r="N3186" s="75"/>
    </row>
    <row r="3187" spans="1:16" x14ac:dyDescent="0.15">
      <c r="B3187" s="71" t="s">
        <v>39</v>
      </c>
      <c r="C3187" s="15">
        <v>200</v>
      </c>
      <c r="D3187" s="14">
        <f>SUM(C3187)</f>
        <v>200</v>
      </c>
      <c r="E3187" s="48">
        <v>43632</v>
      </c>
      <c r="F3187" s="48"/>
      <c r="G3187" s="48"/>
      <c r="H3187" s="48"/>
      <c r="I3187" s="48"/>
      <c r="J3187" s="51"/>
      <c r="K3187" s="6"/>
      <c r="L3187" s="15"/>
      <c r="M3187" s="14">
        <f>SUM(L3187:L3187)</f>
        <v>0</v>
      </c>
      <c r="N3187" s="75"/>
    </row>
    <row r="3188" spans="1:16" x14ac:dyDescent="0.15">
      <c r="B3188" s="71" t="s">
        <v>162</v>
      </c>
      <c r="C3188" s="15">
        <v>21</v>
      </c>
      <c r="D3188" s="14">
        <f>SUM(C3188)</f>
        <v>21</v>
      </c>
      <c r="E3188" s="74">
        <v>43631</v>
      </c>
      <c r="F3188" s="74"/>
      <c r="G3188" s="74"/>
      <c r="H3188" s="74"/>
      <c r="I3188" s="74"/>
      <c r="J3188" s="51"/>
      <c r="K3188" s="6"/>
      <c r="L3188" s="15"/>
      <c r="M3188" s="14">
        <f>SUM(L3188:L3188)</f>
        <v>0</v>
      </c>
      <c r="N3188" s="75"/>
    </row>
    <row r="3189" spans="1:16" x14ac:dyDescent="0.15">
      <c r="B3189" s="6" t="s">
        <v>623</v>
      </c>
      <c r="C3189" s="15">
        <v>53</v>
      </c>
      <c r="D3189" s="14">
        <f t="shared" ref="D3189:D3195" si="336">SUM(C3189)</f>
        <v>53</v>
      </c>
      <c r="E3189" s="74">
        <v>43635</v>
      </c>
      <c r="F3189" s="74"/>
      <c r="G3189" s="74"/>
      <c r="H3189" s="74"/>
      <c r="I3189" s="74"/>
      <c r="J3189" s="51"/>
      <c r="K3189" s="172"/>
      <c r="L3189" s="15"/>
      <c r="M3189" s="14">
        <f>SUM(L3189)</f>
        <v>0</v>
      </c>
      <c r="N3189" s="75"/>
    </row>
    <row r="3190" spans="1:16" x14ac:dyDescent="0.15">
      <c r="B3190" s="71" t="s">
        <v>162</v>
      </c>
      <c r="C3190" s="15">
        <v>57</v>
      </c>
      <c r="D3190" s="14">
        <f t="shared" si="336"/>
        <v>57</v>
      </c>
      <c r="E3190" s="74">
        <v>43633</v>
      </c>
      <c r="F3190" s="74"/>
      <c r="G3190" s="74"/>
      <c r="H3190" s="74"/>
      <c r="I3190" s="74"/>
      <c r="J3190" s="51"/>
      <c r="K3190" s="173"/>
      <c r="L3190" s="15"/>
      <c r="M3190" s="14">
        <f>SUM(L3190:L3190)</f>
        <v>0</v>
      </c>
      <c r="N3190" s="75"/>
    </row>
    <row r="3191" spans="1:16" x14ac:dyDescent="0.15">
      <c r="B3191" s="71" t="s">
        <v>612</v>
      </c>
      <c r="C3191" s="15">
        <v>5</v>
      </c>
      <c r="D3191" s="14">
        <f t="shared" si="336"/>
        <v>5</v>
      </c>
      <c r="E3191" s="74">
        <v>43636</v>
      </c>
      <c r="F3191" s="74"/>
      <c r="G3191" s="74"/>
      <c r="H3191" s="74"/>
      <c r="I3191" s="74"/>
      <c r="J3191" s="51"/>
      <c r="K3191" s="4"/>
      <c r="L3191" s="15"/>
      <c r="M3191" s="14">
        <f>SUM(L3191)</f>
        <v>0</v>
      </c>
      <c r="N3191" s="75"/>
    </row>
    <row r="3192" spans="1:16" x14ac:dyDescent="0.15">
      <c r="B3192" s="71" t="s">
        <v>162</v>
      </c>
      <c r="C3192" s="15">
        <v>40</v>
      </c>
      <c r="D3192" s="14">
        <f t="shared" si="336"/>
        <v>40</v>
      </c>
      <c r="E3192" s="48">
        <v>43634</v>
      </c>
      <c r="F3192" s="48"/>
      <c r="G3192" s="48"/>
      <c r="H3192" s="48"/>
      <c r="I3192" s="48"/>
      <c r="J3192" s="51"/>
      <c r="K3192" s="6"/>
      <c r="L3192" s="15"/>
      <c r="M3192" s="14">
        <f>SUM(L3192:L3192)</f>
        <v>0</v>
      </c>
      <c r="N3192" s="75"/>
    </row>
    <row r="3193" spans="1:16" x14ac:dyDescent="0.15">
      <c r="B3193" s="71" t="s">
        <v>162</v>
      </c>
      <c r="C3193" s="15">
        <v>36</v>
      </c>
      <c r="D3193" s="14">
        <f t="shared" si="336"/>
        <v>36</v>
      </c>
      <c r="E3193" s="48">
        <v>43635</v>
      </c>
      <c r="F3193" s="48"/>
      <c r="G3193" s="48"/>
      <c r="H3193" s="48"/>
      <c r="I3193" s="48"/>
      <c r="J3193" s="51"/>
      <c r="K3193" s="6" t="s">
        <v>595</v>
      </c>
      <c r="L3193" s="15"/>
      <c r="M3193" s="14">
        <f>SUM(L3193:L3193)</f>
        <v>0</v>
      </c>
      <c r="N3193" s="75" t="s">
        <v>596</v>
      </c>
      <c r="O3193" s="75"/>
    </row>
    <row r="3194" spans="1:16" x14ac:dyDescent="0.15">
      <c r="B3194" s="71" t="s">
        <v>490</v>
      </c>
      <c r="C3194" s="15">
        <v>10</v>
      </c>
      <c r="D3194" s="14">
        <f t="shared" si="336"/>
        <v>10</v>
      </c>
      <c r="E3194" s="74">
        <v>43637</v>
      </c>
      <c r="F3194" s="74"/>
      <c r="G3194" s="74"/>
      <c r="H3194" s="74"/>
      <c r="I3194" s="74"/>
      <c r="J3194" s="51"/>
      <c r="K3194" s="6" t="s">
        <v>592</v>
      </c>
      <c r="L3194" s="15"/>
      <c r="M3194" s="14">
        <f>SUM(L3194:L3194)</f>
        <v>0</v>
      </c>
      <c r="N3194" s="75" t="s">
        <v>593</v>
      </c>
      <c r="O3194" s="75"/>
      <c r="P3194" s="75"/>
    </row>
    <row r="3195" spans="1:16" ht="14.25" thickBot="1" x14ac:dyDescent="0.2">
      <c r="B3195" s="71" t="s">
        <v>162</v>
      </c>
      <c r="C3195" s="15">
        <v>46</v>
      </c>
      <c r="D3195" s="14">
        <f t="shared" si="336"/>
        <v>46</v>
      </c>
      <c r="E3195" s="48">
        <v>43636</v>
      </c>
      <c r="F3195" s="48"/>
      <c r="G3195" s="48"/>
      <c r="H3195" s="48"/>
      <c r="I3195" s="48"/>
      <c r="J3195" s="51"/>
      <c r="K3195" s="6"/>
      <c r="L3195" s="15"/>
      <c r="M3195" s="14">
        <f>SUM(L3195:L3195)</f>
        <v>0</v>
      </c>
      <c r="N3195" s="100"/>
    </row>
    <row r="3196" spans="1:16" ht="14.25" thickBot="1" x14ac:dyDescent="0.2">
      <c r="B3196" s="3" t="s">
        <v>5</v>
      </c>
      <c r="C3196" s="16">
        <f>SUM(C3172:C3195)</f>
        <v>1155</v>
      </c>
      <c r="D3196" s="17">
        <f>SUM(D3172:D3195)</f>
        <v>1155</v>
      </c>
      <c r="K3196" s="3" t="s">
        <v>5</v>
      </c>
      <c r="L3196" s="16">
        <f>SUM(L3172:L3195)</f>
        <v>2933</v>
      </c>
      <c r="M3196" s="17">
        <f>SUM(M3172:M3195)</f>
        <v>2933</v>
      </c>
    </row>
    <row r="3197" spans="1:16" ht="14.25" thickBot="1" x14ac:dyDescent="0.2">
      <c r="B3197" s="18" t="s">
        <v>6</v>
      </c>
      <c r="C3197" s="19">
        <f>C3171-C3196</f>
        <v>566</v>
      </c>
      <c r="D3197" s="13">
        <f>D3171-D3196</f>
        <v>566</v>
      </c>
      <c r="K3197" s="18" t="s">
        <v>6</v>
      </c>
      <c r="L3197" s="19">
        <f>L3171-L3196</f>
        <v>4329</v>
      </c>
      <c r="M3197" s="13">
        <f>M3171-M3196</f>
        <v>4329</v>
      </c>
    </row>
    <row r="3199" spans="1:16" ht="18" thickBot="1" x14ac:dyDescent="0.25">
      <c r="A3199" s="27" t="s">
        <v>8</v>
      </c>
      <c r="B3199" s="28"/>
      <c r="C3199" s="28"/>
      <c r="D3199" s="28"/>
      <c r="J3199" s="139" t="s">
        <v>218</v>
      </c>
      <c r="K3199" s="140"/>
      <c r="L3199" s="140"/>
      <c r="M3199" s="140"/>
    </row>
    <row r="3200" spans="1:16" ht="14.25" thickBot="1" x14ac:dyDescent="0.2">
      <c r="B3200" s="2"/>
      <c r="C3200" s="3" t="s">
        <v>0</v>
      </c>
      <c r="D3200" s="2" t="s">
        <v>1</v>
      </c>
      <c r="K3200" s="2"/>
      <c r="L3200" s="3" t="s">
        <v>0</v>
      </c>
      <c r="M3200" s="2" t="s">
        <v>1</v>
      </c>
    </row>
    <row r="3201" spans="1:14" x14ac:dyDescent="0.15">
      <c r="B3201" s="43" t="s">
        <v>26</v>
      </c>
      <c r="C3201" s="38">
        <f>C3197</f>
        <v>566</v>
      </c>
      <c r="D3201" s="39">
        <f t="shared" ref="D3201:D3211" si="337">SUM(C3201:C3201)</f>
        <v>566</v>
      </c>
      <c r="K3201" s="43" t="s">
        <v>26</v>
      </c>
      <c r="L3201" s="38">
        <f>L3197</f>
        <v>4329</v>
      </c>
      <c r="M3201" s="39">
        <f t="shared" ref="M3201:M3211" si="338">SUM(L3201:L3201)</f>
        <v>4329</v>
      </c>
    </row>
    <row r="3202" spans="1:14" x14ac:dyDescent="0.15">
      <c r="B3202" s="6" t="s">
        <v>3</v>
      </c>
      <c r="C3202" s="7">
        <v>200</v>
      </c>
      <c r="D3202" s="5">
        <f t="shared" si="337"/>
        <v>200</v>
      </c>
      <c r="E3202" s="74">
        <v>43642</v>
      </c>
      <c r="F3202" s="74"/>
      <c r="G3202" s="74"/>
      <c r="H3202" s="74"/>
      <c r="I3202" s="74"/>
      <c r="J3202" s="75"/>
      <c r="K3202" s="6" t="s">
        <v>3</v>
      </c>
      <c r="L3202" s="7"/>
      <c r="M3202" s="5">
        <f t="shared" si="338"/>
        <v>0</v>
      </c>
    </row>
    <row r="3203" spans="1:14" x14ac:dyDescent="0.15">
      <c r="A3203" s="75"/>
      <c r="B3203" s="6" t="s">
        <v>3</v>
      </c>
      <c r="C3203" s="7">
        <v>200</v>
      </c>
      <c r="D3203" s="5">
        <f t="shared" si="337"/>
        <v>200</v>
      </c>
      <c r="E3203" s="74">
        <v>43645</v>
      </c>
      <c r="F3203" s="74"/>
      <c r="G3203" s="74"/>
      <c r="H3203" s="74"/>
      <c r="I3203" s="74"/>
      <c r="K3203" s="6" t="s">
        <v>3</v>
      </c>
      <c r="L3203" s="7"/>
      <c r="M3203" s="5">
        <f t="shared" si="338"/>
        <v>0</v>
      </c>
      <c r="N3203" s="75"/>
    </row>
    <row r="3204" spans="1:14" x14ac:dyDescent="0.15">
      <c r="A3204" s="75"/>
      <c r="B3204" s="6" t="s">
        <v>3</v>
      </c>
      <c r="C3204" s="7">
        <v>200</v>
      </c>
      <c r="D3204" s="5">
        <f t="shared" si="337"/>
        <v>200</v>
      </c>
      <c r="E3204" s="74">
        <v>43648</v>
      </c>
      <c r="F3204" s="74"/>
      <c r="G3204" s="74"/>
      <c r="H3204" s="74"/>
      <c r="I3204" s="74"/>
      <c r="J3204" s="100"/>
      <c r="K3204" s="6" t="s">
        <v>3</v>
      </c>
      <c r="L3204" s="7"/>
      <c r="M3204" s="5">
        <f t="shared" si="338"/>
        <v>0</v>
      </c>
      <c r="N3204" s="74"/>
    </row>
    <row r="3205" spans="1:14" x14ac:dyDescent="0.15">
      <c r="B3205" s="6" t="s">
        <v>3</v>
      </c>
      <c r="C3205" s="7">
        <v>200</v>
      </c>
      <c r="D3205" s="5">
        <f t="shared" si="337"/>
        <v>200</v>
      </c>
      <c r="E3205" s="74">
        <v>43656</v>
      </c>
      <c r="F3205" s="74"/>
      <c r="G3205" s="74"/>
      <c r="H3205" s="74"/>
      <c r="I3205" s="74"/>
      <c r="K3205" s="6" t="s">
        <v>3</v>
      </c>
      <c r="L3205" s="7"/>
      <c r="M3205" s="5">
        <f t="shared" si="338"/>
        <v>0</v>
      </c>
    </row>
    <row r="3206" spans="1:14" x14ac:dyDescent="0.15">
      <c r="B3206" s="6" t="s">
        <v>3</v>
      </c>
      <c r="C3206" s="7">
        <v>200</v>
      </c>
      <c r="D3206" s="5">
        <f t="shared" si="337"/>
        <v>200</v>
      </c>
      <c r="E3206" s="74">
        <v>43663</v>
      </c>
      <c r="F3206" s="74"/>
      <c r="G3206" s="74"/>
      <c r="H3206" s="74"/>
      <c r="I3206" s="74"/>
      <c r="K3206" s="6" t="s">
        <v>3</v>
      </c>
      <c r="L3206" s="7"/>
      <c r="M3206" s="5">
        <f t="shared" si="338"/>
        <v>0</v>
      </c>
    </row>
    <row r="3207" spans="1:14" x14ac:dyDescent="0.15">
      <c r="B3207" s="6" t="s">
        <v>3</v>
      </c>
      <c r="C3207" s="7"/>
      <c r="D3207" s="5">
        <f t="shared" si="337"/>
        <v>0</v>
      </c>
      <c r="E3207" s="74"/>
      <c r="F3207" s="74"/>
      <c r="G3207" s="74"/>
      <c r="H3207" s="74"/>
      <c r="I3207" s="74"/>
      <c r="K3207" s="6" t="s">
        <v>3</v>
      </c>
      <c r="L3207" s="7"/>
      <c r="M3207" s="5">
        <f t="shared" si="338"/>
        <v>0</v>
      </c>
    </row>
    <row r="3208" spans="1:14" x14ac:dyDescent="0.15">
      <c r="B3208" s="6" t="s">
        <v>3</v>
      </c>
      <c r="C3208" s="54"/>
      <c r="D3208" s="5">
        <f t="shared" si="337"/>
        <v>0</v>
      </c>
      <c r="K3208" s="6" t="s">
        <v>3</v>
      </c>
      <c r="L3208" s="7"/>
      <c r="M3208" s="5">
        <f t="shared" si="338"/>
        <v>0</v>
      </c>
    </row>
    <row r="3209" spans="1:14" x14ac:dyDescent="0.15">
      <c r="B3209" s="6" t="s">
        <v>3</v>
      </c>
      <c r="C3209" s="54"/>
      <c r="D3209" s="5">
        <f t="shared" si="337"/>
        <v>0</v>
      </c>
      <c r="K3209" s="6" t="s">
        <v>3</v>
      </c>
      <c r="L3209" s="7"/>
      <c r="M3209" s="5">
        <f t="shared" si="338"/>
        <v>0</v>
      </c>
    </row>
    <row r="3210" spans="1:14" x14ac:dyDescent="0.15">
      <c r="B3210" s="6" t="s">
        <v>3</v>
      </c>
      <c r="C3210" s="54"/>
      <c r="D3210" s="5">
        <f t="shared" si="337"/>
        <v>0</v>
      </c>
      <c r="K3210" s="6" t="s">
        <v>3</v>
      </c>
      <c r="L3210" s="7"/>
      <c r="M3210" s="5">
        <f t="shared" si="338"/>
        <v>0</v>
      </c>
    </row>
    <row r="3211" spans="1:14" ht="14.25" thickBot="1" x14ac:dyDescent="0.2">
      <c r="B3211" s="9" t="s">
        <v>3</v>
      </c>
      <c r="C3211" s="101"/>
      <c r="D3211" s="5">
        <f t="shared" si="337"/>
        <v>0</v>
      </c>
      <c r="K3211" s="9" t="s">
        <v>3</v>
      </c>
      <c r="L3211" s="10"/>
      <c r="M3211" s="5">
        <f t="shared" si="338"/>
        <v>0</v>
      </c>
    </row>
    <row r="3212" spans="1:14" ht="14.25" thickBot="1" x14ac:dyDescent="0.2">
      <c r="B3212" s="11" t="s">
        <v>4</v>
      </c>
      <c r="C3212" s="12">
        <f>SUM(C3201:C3211)</f>
        <v>1566</v>
      </c>
      <c r="D3212" s="13">
        <f>SUM(D3201:D3211)</f>
        <v>1566</v>
      </c>
      <c r="K3212" s="11" t="s">
        <v>4</v>
      </c>
      <c r="L3212" s="12">
        <f>SUM(L3201:L3211)</f>
        <v>4329</v>
      </c>
      <c r="M3212" s="13">
        <f>SUM(M3201:M3211)</f>
        <v>4329</v>
      </c>
    </row>
    <row r="3213" spans="1:14" x14ac:dyDescent="0.15">
      <c r="B3213" s="71" t="s">
        <v>162</v>
      </c>
      <c r="C3213" s="15">
        <v>37</v>
      </c>
      <c r="D3213" s="14">
        <f>SUM(C3213)</f>
        <v>37</v>
      </c>
      <c r="E3213" s="74">
        <v>43637</v>
      </c>
      <c r="F3213" s="74"/>
      <c r="G3213" s="74"/>
      <c r="H3213" s="74"/>
      <c r="I3213" s="74"/>
      <c r="K3213" s="71" t="s">
        <v>31</v>
      </c>
      <c r="L3213" s="15">
        <v>200</v>
      </c>
      <c r="M3213" s="14">
        <f>SUM(L3213)</f>
        <v>200</v>
      </c>
      <c r="N3213" s="74">
        <v>43642</v>
      </c>
    </row>
    <row r="3214" spans="1:14" x14ac:dyDescent="0.15">
      <c r="B3214" s="71" t="s">
        <v>162</v>
      </c>
      <c r="C3214" s="15">
        <v>130</v>
      </c>
      <c r="D3214" s="14">
        <f>SUM(C3214)</f>
        <v>130</v>
      </c>
      <c r="E3214" s="74">
        <v>43640</v>
      </c>
      <c r="F3214" s="74"/>
      <c r="G3214" s="74"/>
      <c r="H3214" s="74"/>
      <c r="I3214" s="74"/>
      <c r="J3214" s="36"/>
      <c r="K3214" s="71" t="s">
        <v>31</v>
      </c>
      <c r="L3214" s="15">
        <v>200</v>
      </c>
      <c r="M3214" s="14">
        <f t="shared" ref="M3214:M3224" si="339">SUM(L3214:L3214)</f>
        <v>200</v>
      </c>
      <c r="N3214" s="74">
        <v>43645</v>
      </c>
    </row>
    <row r="3215" spans="1:14" x14ac:dyDescent="0.15">
      <c r="B3215" s="71" t="s">
        <v>612</v>
      </c>
      <c r="C3215" s="15">
        <v>6</v>
      </c>
      <c r="D3215" s="14">
        <f>SUM(C3215)</f>
        <v>6</v>
      </c>
      <c r="E3215" s="74">
        <v>43643</v>
      </c>
      <c r="F3215" s="74"/>
      <c r="G3215" s="74"/>
      <c r="H3215" s="74"/>
      <c r="I3215" s="74"/>
      <c r="J3215" s="51"/>
      <c r="K3215" s="71" t="s">
        <v>31</v>
      </c>
      <c r="L3215" s="15">
        <v>200</v>
      </c>
      <c r="M3215" s="14">
        <f t="shared" si="339"/>
        <v>200</v>
      </c>
      <c r="N3215" s="74">
        <v>43648</v>
      </c>
    </row>
    <row r="3216" spans="1:14" x14ac:dyDescent="0.15">
      <c r="B3216" s="71" t="s">
        <v>162</v>
      </c>
      <c r="C3216" s="15">
        <v>41</v>
      </c>
      <c r="D3216" s="14">
        <f t="shared" ref="D3216:D3226" si="340">SUM(C3216)</f>
        <v>41</v>
      </c>
      <c r="E3216" s="74">
        <v>43641</v>
      </c>
      <c r="F3216" s="74"/>
      <c r="G3216" s="74"/>
      <c r="H3216" s="74"/>
      <c r="I3216" s="74"/>
      <c r="J3216" s="51"/>
      <c r="K3216" s="71" t="s">
        <v>31</v>
      </c>
      <c r="L3216" s="15">
        <v>200</v>
      </c>
      <c r="M3216" s="14">
        <f t="shared" si="339"/>
        <v>200</v>
      </c>
      <c r="N3216" s="74">
        <v>43656</v>
      </c>
    </row>
    <row r="3217" spans="2:15" x14ac:dyDescent="0.15">
      <c r="B3217" s="71" t="s">
        <v>39</v>
      </c>
      <c r="C3217" s="15">
        <v>100</v>
      </c>
      <c r="D3217" s="14">
        <f t="shared" si="340"/>
        <v>100</v>
      </c>
      <c r="E3217" s="74">
        <v>43643</v>
      </c>
      <c r="F3217" s="74"/>
      <c r="G3217" s="74"/>
      <c r="H3217" s="74"/>
      <c r="I3217" s="74"/>
      <c r="J3217" s="51"/>
      <c r="K3217" s="71" t="s">
        <v>31</v>
      </c>
      <c r="L3217" s="15">
        <v>200</v>
      </c>
      <c r="M3217" s="14">
        <f t="shared" si="339"/>
        <v>200</v>
      </c>
      <c r="N3217" s="74">
        <v>43663</v>
      </c>
    </row>
    <row r="3218" spans="2:15" x14ac:dyDescent="0.15">
      <c r="B3218" s="71" t="s">
        <v>162</v>
      </c>
      <c r="C3218" s="15">
        <v>61</v>
      </c>
      <c r="D3218" s="14">
        <f t="shared" si="340"/>
        <v>61</v>
      </c>
      <c r="E3218" s="74">
        <v>43642</v>
      </c>
      <c r="F3218" s="74"/>
      <c r="G3218" s="74"/>
      <c r="H3218" s="74"/>
      <c r="I3218" s="74"/>
      <c r="J3218" s="51"/>
      <c r="K3218" s="6" t="s">
        <v>624</v>
      </c>
      <c r="L3218" s="15">
        <v>1230</v>
      </c>
      <c r="M3218" s="14">
        <f t="shared" si="339"/>
        <v>1230</v>
      </c>
      <c r="N3218" s="74">
        <v>43683</v>
      </c>
      <c r="O3218" s="75"/>
    </row>
    <row r="3219" spans="2:15" x14ac:dyDescent="0.15">
      <c r="B3219" s="71" t="s">
        <v>162</v>
      </c>
      <c r="C3219" s="15">
        <v>24</v>
      </c>
      <c r="D3219" s="14">
        <f t="shared" si="340"/>
        <v>24</v>
      </c>
      <c r="E3219" s="74">
        <v>43643</v>
      </c>
      <c r="F3219" s="74"/>
      <c r="G3219" s="74"/>
      <c r="H3219" s="74"/>
      <c r="I3219" s="74"/>
      <c r="J3219" s="51"/>
      <c r="K3219" s="4"/>
      <c r="L3219" s="15"/>
      <c r="M3219" s="14">
        <f t="shared" si="339"/>
        <v>0</v>
      </c>
      <c r="N3219" s="74"/>
    </row>
    <row r="3220" spans="2:15" x14ac:dyDescent="0.15">
      <c r="B3220" s="71" t="s">
        <v>162</v>
      </c>
      <c r="C3220" s="15">
        <v>11</v>
      </c>
      <c r="D3220" s="14">
        <f t="shared" si="340"/>
        <v>11</v>
      </c>
      <c r="E3220" s="74">
        <v>43644</v>
      </c>
      <c r="F3220" s="74"/>
      <c r="G3220" s="74"/>
      <c r="H3220" s="74"/>
      <c r="I3220" s="74"/>
      <c r="J3220" s="51"/>
      <c r="K3220" s="6"/>
      <c r="L3220" s="15"/>
      <c r="M3220" s="14">
        <f t="shared" si="339"/>
        <v>0</v>
      </c>
    </row>
    <row r="3221" spans="2:15" x14ac:dyDescent="0.15">
      <c r="B3221" s="71" t="s">
        <v>162</v>
      </c>
      <c r="C3221" s="15">
        <v>9</v>
      </c>
      <c r="D3221" s="14">
        <f t="shared" si="340"/>
        <v>9</v>
      </c>
      <c r="E3221" s="74">
        <v>43645</v>
      </c>
      <c r="F3221" s="74"/>
      <c r="G3221" s="74"/>
      <c r="H3221" s="74"/>
      <c r="I3221" s="74"/>
      <c r="J3221" s="51"/>
      <c r="K3221" s="4"/>
      <c r="L3221" s="15"/>
      <c r="M3221" s="14">
        <f t="shared" si="339"/>
        <v>0</v>
      </c>
    </row>
    <row r="3222" spans="2:15" x14ac:dyDescent="0.15">
      <c r="B3222" s="71" t="s">
        <v>39</v>
      </c>
      <c r="C3222" s="15">
        <v>100</v>
      </c>
      <c r="D3222" s="14">
        <f t="shared" si="340"/>
        <v>100</v>
      </c>
      <c r="E3222" s="74">
        <v>43648</v>
      </c>
      <c r="F3222" s="74"/>
      <c r="G3222" s="74"/>
      <c r="H3222" s="74"/>
      <c r="I3222" s="74"/>
      <c r="J3222" s="36"/>
      <c r="K3222" s="4"/>
      <c r="L3222" s="15"/>
      <c r="M3222" s="14">
        <f t="shared" si="339"/>
        <v>0</v>
      </c>
    </row>
    <row r="3223" spans="2:15" x14ac:dyDescent="0.15">
      <c r="B3223" s="71" t="s">
        <v>162</v>
      </c>
      <c r="C3223" s="15">
        <v>54</v>
      </c>
      <c r="D3223" s="14">
        <f t="shared" si="340"/>
        <v>54</v>
      </c>
      <c r="E3223" s="74">
        <v>43647</v>
      </c>
      <c r="F3223" s="74"/>
      <c r="G3223" s="74"/>
      <c r="H3223" s="74"/>
      <c r="I3223" s="74"/>
      <c r="J3223" s="51"/>
      <c r="K3223" s="4"/>
      <c r="L3223" s="15"/>
      <c r="M3223" s="14">
        <f t="shared" si="339"/>
        <v>0</v>
      </c>
    </row>
    <row r="3224" spans="2:15" x14ac:dyDescent="0.15">
      <c r="B3224" s="71" t="s">
        <v>612</v>
      </c>
      <c r="C3224" s="15">
        <v>3</v>
      </c>
      <c r="D3224" s="14">
        <f t="shared" si="340"/>
        <v>3</v>
      </c>
      <c r="E3224" s="74">
        <v>43650</v>
      </c>
      <c r="F3224" s="74"/>
      <c r="G3224" s="74"/>
      <c r="H3224" s="74"/>
      <c r="I3224" s="74"/>
      <c r="J3224" s="51"/>
      <c r="K3224" s="4"/>
      <c r="L3224" s="15"/>
      <c r="M3224" s="14">
        <f t="shared" si="339"/>
        <v>0</v>
      </c>
    </row>
    <row r="3225" spans="2:15" x14ac:dyDescent="0.15">
      <c r="B3225" s="71" t="s">
        <v>162</v>
      </c>
      <c r="C3225" s="15">
        <v>17</v>
      </c>
      <c r="D3225" s="14">
        <f t="shared" si="340"/>
        <v>17</v>
      </c>
      <c r="E3225" s="74">
        <v>43648</v>
      </c>
      <c r="F3225" s="74"/>
      <c r="G3225" s="74"/>
      <c r="H3225" s="74"/>
      <c r="I3225" s="74"/>
      <c r="J3225" s="36"/>
      <c r="K3225" s="172"/>
      <c r="L3225" s="15"/>
      <c r="M3225" s="14">
        <f>SUM(L3225)</f>
        <v>0</v>
      </c>
    </row>
    <row r="3226" spans="2:15" x14ac:dyDescent="0.15">
      <c r="B3226" s="71" t="s">
        <v>162</v>
      </c>
      <c r="C3226" s="15">
        <v>20</v>
      </c>
      <c r="D3226" s="14">
        <f t="shared" si="340"/>
        <v>20</v>
      </c>
      <c r="E3226" s="74">
        <v>43649</v>
      </c>
      <c r="F3226" s="74"/>
      <c r="G3226" s="74"/>
      <c r="H3226" s="74"/>
      <c r="I3226" s="74"/>
      <c r="J3226" s="51"/>
      <c r="K3226" s="173"/>
      <c r="L3226" s="15"/>
      <c r="M3226" s="14">
        <f>SUM(L3226:L3226)</f>
        <v>0</v>
      </c>
    </row>
    <row r="3227" spans="2:15" x14ac:dyDescent="0.15">
      <c r="B3227" s="71" t="s">
        <v>162</v>
      </c>
      <c r="C3227" s="15">
        <v>13</v>
      </c>
      <c r="D3227" s="14">
        <f>SUM(C3227)</f>
        <v>13</v>
      </c>
      <c r="E3227" s="74">
        <v>43650</v>
      </c>
      <c r="F3227" s="74"/>
      <c r="G3227" s="74"/>
      <c r="H3227" s="74"/>
      <c r="I3227" s="74"/>
      <c r="J3227" s="51"/>
      <c r="K3227" s="4"/>
      <c r="L3227" s="15"/>
      <c r="M3227" s="14">
        <f>SUM(L3227:L3227)</f>
        <v>0</v>
      </c>
    </row>
    <row r="3228" spans="2:15" x14ac:dyDescent="0.15">
      <c r="B3228" s="71" t="s">
        <v>162</v>
      </c>
      <c r="C3228" s="15">
        <v>48</v>
      </c>
      <c r="D3228" s="14">
        <f>SUM(C3228)</f>
        <v>48</v>
      </c>
      <c r="E3228" s="48">
        <v>43651</v>
      </c>
      <c r="F3228" s="48"/>
      <c r="G3228" s="48"/>
      <c r="H3228" s="48"/>
      <c r="I3228" s="48"/>
      <c r="J3228" s="51"/>
      <c r="K3228" s="6"/>
      <c r="L3228" s="15"/>
      <c r="M3228" s="14">
        <f>SUM(L3228:L3228)</f>
        <v>0</v>
      </c>
    </row>
    <row r="3229" spans="2:15" x14ac:dyDescent="0.15">
      <c r="B3229" s="71" t="s">
        <v>162</v>
      </c>
      <c r="C3229" s="15">
        <v>53</v>
      </c>
      <c r="D3229" s="14">
        <f>SUM(C3229)</f>
        <v>53</v>
      </c>
      <c r="E3229" s="74">
        <v>43652</v>
      </c>
      <c r="F3229" s="74"/>
      <c r="G3229" s="74"/>
      <c r="H3229" s="74"/>
      <c r="I3229" s="74"/>
      <c r="J3229" s="51"/>
      <c r="K3229" s="6"/>
      <c r="L3229" s="15"/>
      <c r="M3229" s="14">
        <f>SUM(L3229:L3229)</f>
        <v>0</v>
      </c>
    </row>
    <row r="3230" spans="2:15" x14ac:dyDescent="0.15">
      <c r="B3230" s="71" t="s">
        <v>39</v>
      </c>
      <c r="C3230" s="15">
        <v>100</v>
      </c>
      <c r="D3230" s="14">
        <f>SUM(C3230)</f>
        <v>100</v>
      </c>
      <c r="E3230" s="74">
        <v>43653</v>
      </c>
      <c r="F3230" s="74"/>
      <c r="G3230" s="74"/>
      <c r="H3230" s="74"/>
      <c r="I3230" s="74"/>
      <c r="J3230" s="51"/>
      <c r="K3230" s="4"/>
      <c r="L3230" s="15"/>
      <c r="M3230" s="14"/>
    </row>
    <row r="3231" spans="2:15" x14ac:dyDescent="0.15">
      <c r="B3231" s="71" t="s">
        <v>162</v>
      </c>
      <c r="C3231" s="15">
        <v>67</v>
      </c>
      <c r="D3231" s="14">
        <f t="shared" ref="D3231:D3237" si="341">SUM(C3231)</f>
        <v>67</v>
      </c>
      <c r="E3231" s="74">
        <v>43654</v>
      </c>
      <c r="F3231" s="74"/>
      <c r="G3231" s="74"/>
      <c r="H3231" s="74"/>
      <c r="I3231" s="74"/>
      <c r="J3231" s="51"/>
      <c r="K3231" s="172"/>
      <c r="L3231" s="15"/>
      <c r="M3231" s="14">
        <f>SUM(L3231)</f>
        <v>0</v>
      </c>
    </row>
    <row r="3232" spans="2:15" x14ac:dyDescent="0.15">
      <c r="B3232" s="71" t="s">
        <v>612</v>
      </c>
      <c r="C3232" s="15">
        <v>5</v>
      </c>
      <c r="D3232" s="14">
        <f t="shared" si="341"/>
        <v>5</v>
      </c>
      <c r="E3232" s="74">
        <v>43657</v>
      </c>
      <c r="F3232" s="74"/>
      <c r="G3232" s="74"/>
      <c r="H3232" s="74"/>
      <c r="I3232" s="74"/>
      <c r="J3232" s="51"/>
      <c r="K3232" s="173"/>
      <c r="L3232" s="15"/>
      <c r="M3232" s="14">
        <f>SUM(L3232:L3232)</f>
        <v>0</v>
      </c>
    </row>
    <row r="3233" spans="1:16" x14ac:dyDescent="0.15">
      <c r="B3233" s="71" t="s">
        <v>162</v>
      </c>
      <c r="C3233" s="15">
        <v>31</v>
      </c>
      <c r="D3233" s="14">
        <f t="shared" si="341"/>
        <v>31</v>
      </c>
      <c r="E3233" s="48">
        <v>43655</v>
      </c>
      <c r="F3233" s="48"/>
      <c r="G3233" s="48"/>
      <c r="H3233" s="48"/>
      <c r="I3233" s="48"/>
      <c r="J3233" s="51"/>
      <c r="K3233" s="4"/>
      <c r="L3233" s="15"/>
      <c r="M3233" s="14">
        <f>SUM(L3233)</f>
        <v>0</v>
      </c>
    </row>
    <row r="3234" spans="1:16" x14ac:dyDescent="0.15">
      <c r="B3234" s="71" t="s">
        <v>162</v>
      </c>
      <c r="C3234" s="15">
        <v>31</v>
      </c>
      <c r="D3234" s="14">
        <f t="shared" si="341"/>
        <v>31</v>
      </c>
      <c r="E3234" s="48">
        <v>43656</v>
      </c>
      <c r="F3234" s="48"/>
      <c r="G3234" s="48"/>
      <c r="H3234" s="48"/>
      <c r="I3234" s="48"/>
      <c r="J3234" s="51"/>
      <c r="K3234" s="6"/>
      <c r="L3234" s="15"/>
      <c r="M3234" s="14">
        <f>SUM(L3234:L3234)</f>
        <v>0</v>
      </c>
    </row>
    <row r="3235" spans="1:16" x14ac:dyDescent="0.15">
      <c r="B3235" s="71" t="s">
        <v>162</v>
      </c>
      <c r="C3235" s="15">
        <v>52</v>
      </c>
      <c r="D3235" s="14">
        <f t="shared" si="341"/>
        <v>52</v>
      </c>
      <c r="E3235" s="48">
        <v>43657</v>
      </c>
      <c r="F3235" s="48"/>
      <c r="G3235" s="48"/>
      <c r="H3235" s="48"/>
      <c r="I3235" s="48"/>
      <c r="J3235" s="51"/>
      <c r="K3235" s="6"/>
      <c r="L3235" s="15"/>
      <c r="M3235" s="14">
        <f>SUM(L3235:L3235)</f>
        <v>0</v>
      </c>
    </row>
    <row r="3236" spans="1:16" x14ac:dyDescent="0.15">
      <c r="B3236" s="71" t="s">
        <v>162</v>
      </c>
      <c r="C3236" s="15">
        <v>22</v>
      </c>
      <c r="D3236" s="14">
        <f t="shared" si="341"/>
        <v>22</v>
      </c>
      <c r="E3236" s="48">
        <v>43658</v>
      </c>
      <c r="F3236" s="48"/>
      <c r="G3236" s="48"/>
      <c r="H3236" s="48"/>
      <c r="I3236" s="48"/>
      <c r="J3236" s="51"/>
      <c r="K3236" s="6"/>
      <c r="L3236" s="15"/>
      <c r="M3236" s="14">
        <f>SUM(L3236:L3236)</f>
        <v>0</v>
      </c>
      <c r="N3236" s="75"/>
    </row>
    <row r="3237" spans="1:16" ht="14.25" thickBot="1" x14ac:dyDescent="0.2">
      <c r="B3237" s="71" t="s">
        <v>162</v>
      </c>
      <c r="C3237" s="15">
        <v>4</v>
      </c>
      <c r="D3237" s="14">
        <f t="shared" si="341"/>
        <v>4</v>
      </c>
      <c r="E3237" s="74">
        <v>43659</v>
      </c>
      <c r="F3237" s="74"/>
      <c r="G3237" s="74"/>
      <c r="H3237" s="74"/>
      <c r="I3237" s="74"/>
      <c r="J3237" s="51"/>
      <c r="K3237" s="6" t="s">
        <v>615</v>
      </c>
      <c r="L3237" s="15">
        <v>0</v>
      </c>
      <c r="M3237" s="14">
        <f>SUM(L3237:L3237)</f>
        <v>0</v>
      </c>
      <c r="N3237" s="75" t="s">
        <v>616</v>
      </c>
      <c r="O3237" s="75"/>
      <c r="P3237" s="75"/>
    </row>
    <row r="3238" spans="1:16" ht="14.25" thickBot="1" x14ac:dyDescent="0.2">
      <c r="B3238" s="3" t="s">
        <v>5</v>
      </c>
      <c r="C3238" s="16">
        <f>SUM(C3213:C3237)</f>
        <v>1039</v>
      </c>
      <c r="D3238" s="17">
        <f>SUM(D3213:D3237)</f>
        <v>1039</v>
      </c>
      <c r="K3238" s="3" t="s">
        <v>5</v>
      </c>
      <c r="L3238" s="16">
        <f>SUM(L3213:L3237)</f>
        <v>2230</v>
      </c>
      <c r="M3238" s="17">
        <f>SUM(M3213:M3237)</f>
        <v>2230</v>
      </c>
    </row>
    <row r="3239" spans="1:16" ht="14.25" thickBot="1" x14ac:dyDescent="0.2">
      <c r="B3239" s="18" t="s">
        <v>6</v>
      </c>
      <c r="C3239" s="19">
        <f>C3212-C3238</f>
        <v>527</v>
      </c>
      <c r="D3239" s="13">
        <f>D3212-D3238</f>
        <v>527</v>
      </c>
      <c r="K3239" s="18" t="s">
        <v>6</v>
      </c>
      <c r="L3239" s="19">
        <f>L3212-L3238</f>
        <v>2099</v>
      </c>
      <c r="M3239" s="13">
        <f>M3212-M3238</f>
        <v>2099</v>
      </c>
    </row>
    <row r="3241" spans="1:16" ht="18" thickBot="1" x14ac:dyDescent="0.25">
      <c r="A3241" s="27" t="s">
        <v>8</v>
      </c>
      <c r="B3241" s="28"/>
      <c r="C3241" s="28"/>
      <c r="D3241" s="28"/>
      <c r="J3241" s="139" t="s">
        <v>218</v>
      </c>
      <c r="K3241" s="140"/>
      <c r="L3241" s="140"/>
      <c r="M3241" s="140"/>
    </row>
    <row r="3242" spans="1:16" ht="14.25" thickBot="1" x14ac:dyDescent="0.2">
      <c r="B3242" s="2"/>
      <c r="C3242" s="3" t="s">
        <v>0</v>
      </c>
      <c r="D3242" s="2" t="s">
        <v>1</v>
      </c>
      <c r="K3242" s="2"/>
      <c r="L3242" s="3" t="s">
        <v>0</v>
      </c>
      <c r="M3242" s="2" t="s">
        <v>1</v>
      </c>
    </row>
    <row r="3243" spans="1:16" x14ac:dyDescent="0.15">
      <c r="B3243" s="43" t="s">
        <v>26</v>
      </c>
      <c r="C3243" s="38">
        <f>C3239</f>
        <v>527</v>
      </c>
      <c r="D3243" s="39">
        <f t="shared" ref="D3243:D3253" si="342">SUM(C3243:C3243)</f>
        <v>527</v>
      </c>
      <c r="K3243" s="43" t="s">
        <v>26</v>
      </c>
      <c r="L3243" s="38">
        <f>L3239</f>
        <v>2099</v>
      </c>
      <c r="M3243" s="39">
        <f t="shared" ref="M3243:M3253" si="343">SUM(L3243:L3243)</f>
        <v>2099</v>
      </c>
    </row>
    <row r="3244" spans="1:16" x14ac:dyDescent="0.15">
      <c r="B3244" s="6" t="s">
        <v>3</v>
      </c>
      <c r="C3244" s="7">
        <v>200</v>
      </c>
      <c r="D3244" s="5">
        <f t="shared" si="342"/>
        <v>200</v>
      </c>
      <c r="E3244" s="74">
        <v>43672</v>
      </c>
      <c r="F3244" s="74"/>
      <c r="G3244" s="74"/>
      <c r="H3244" s="74"/>
      <c r="I3244" s="74"/>
      <c r="J3244" s="75"/>
      <c r="K3244" s="6" t="s">
        <v>3</v>
      </c>
      <c r="L3244" s="7"/>
      <c r="M3244" s="5">
        <f t="shared" si="343"/>
        <v>0</v>
      </c>
    </row>
    <row r="3245" spans="1:16" x14ac:dyDescent="0.15">
      <c r="A3245" s="75"/>
      <c r="B3245" s="6" t="s">
        <v>3</v>
      </c>
      <c r="C3245" s="7">
        <v>200</v>
      </c>
      <c r="D3245" s="5">
        <f t="shared" si="342"/>
        <v>200</v>
      </c>
      <c r="E3245" s="74">
        <v>43676</v>
      </c>
      <c r="F3245" s="74"/>
      <c r="G3245" s="74"/>
      <c r="H3245" s="74"/>
      <c r="I3245" s="74"/>
      <c r="K3245" s="6" t="s">
        <v>3</v>
      </c>
      <c r="L3245" s="7"/>
      <c r="M3245" s="5">
        <f t="shared" si="343"/>
        <v>0</v>
      </c>
    </row>
    <row r="3246" spans="1:16" x14ac:dyDescent="0.15">
      <c r="A3246" s="75"/>
      <c r="B3246" s="6" t="s">
        <v>3</v>
      </c>
      <c r="C3246" s="7">
        <v>200</v>
      </c>
      <c r="D3246" s="5">
        <f t="shared" si="342"/>
        <v>200</v>
      </c>
      <c r="E3246" s="74">
        <v>43677</v>
      </c>
      <c r="F3246" s="74"/>
      <c r="G3246" s="74"/>
      <c r="H3246" s="74"/>
      <c r="I3246" s="74"/>
      <c r="J3246" s="100"/>
      <c r="K3246" s="6" t="s">
        <v>3</v>
      </c>
      <c r="L3246" s="7"/>
      <c r="M3246" s="5">
        <f t="shared" si="343"/>
        <v>0</v>
      </c>
      <c r="N3246" s="74"/>
      <c r="O3246" s="75"/>
    </row>
    <row r="3247" spans="1:16" x14ac:dyDescent="0.15">
      <c r="B3247" s="6" t="s">
        <v>377</v>
      </c>
      <c r="C3247" s="7">
        <v>8</v>
      </c>
      <c r="D3247" s="5">
        <f t="shared" si="342"/>
        <v>8</v>
      </c>
      <c r="E3247" s="74">
        <v>43676</v>
      </c>
      <c r="F3247" s="74"/>
      <c r="G3247" s="74"/>
      <c r="H3247" s="74"/>
      <c r="I3247" s="74"/>
      <c r="K3247" s="6" t="s">
        <v>3</v>
      </c>
      <c r="L3247" s="7"/>
      <c r="M3247" s="5">
        <f t="shared" si="343"/>
        <v>0</v>
      </c>
      <c r="N3247" s="75"/>
      <c r="O3247" s="75"/>
    </row>
    <row r="3248" spans="1:16" x14ac:dyDescent="0.15">
      <c r="B3248" s="6" t="s">
        <v>3</v>
      </c>
      <c r="C3248" s="7">
        <v>200</v>
      </c>
      <c r="D3248" s="5">
        <f t="shared" si="342"/>
        <v>200</v>
      </c>
      <c r="E3248" s="74">
        <v>43678</v>
      </c>
      <c r="F3248" s="74"/>
      <c r="G3248" s="74"/>
      <c r="H3248" s="74"/>
      <c r="I3248" s="74"/>
      <c r="K3248" s="6" t="s">
        <v>3</v>
      </c>
      <c r="L3248" s="7"/>
      <c r="M3248" s="5">
        <f t="shared" si="343"/>
        <v>0</v>
      </c>
      <c r="N3248" s="75"/>
      <c r="O3248" s="75"/>
    </row>
    <row r="3249" spans="2:15" x14ac:dyDescent="0.15">
      <c r="B3249" s="6" t="s">
        <v>3</v>
      </c>
      <c r="C3249" s="7">
        <v>200</v>
      </c>
      <c r="D3249" s="5">
        <f t="shared" si="342"/>
        <v>200</v>
      </c>
      <c r="E3249" s="74">
        <v>43679</v>
      </c>
      <c r="F3249" s="74"/>
      <c r="G3249" s="74"/>
      <c r="H3249" s="74"/>
      <c r="I3249" s="74"/>
      <c r="K3249" s="6" t="s">
        <v>3</v>
      </c>
      <c r="L3249" s="7"/>
      <c r="M3249" s="5">
        <f t="shared" si="343"/>
        <v>0</v>
      </c>
      <c r="N3249" s="75"/>
      <c r="O3249" s="75"/>
    </row>
    <row r="3250" spans="2:15" x14ac:dyDescent="0.15">
      <c r="B3250" s="6" t="s">
        <v>3</v>
      </c>
      <c r="C3250" s="54"/>
      <c r="D3250" s="5">
        <f t="shared" si="342"/>
        <v>0</v>
      </c>
      <c r="K3250" s="6" t="s">
        <v>3</v>
      </c>
      <c r="L3250" s="7"/>
      <c r="M3250" s="5">
        <f t="shared" si="343"/>
        <v>0</v>
      </c>
    </row>
    <row r="3251" spans="2:15" x14ac:dyDescent="0.15">
      <c r="B3251" s="6" t="s">
        <v>3</v>
      </c>
      <c r="C3251" s="54"/>
      <c r="D3251" s="5">
        <f t="shared" si="342"/>
        <v>0</v>
      </c>
      <c r="K3251" s="6" t="s">
        <v>3</v>
      </c>
      <c r="L3251" s="7"/>
      <c r="M3251" s="5">
        <f t="shared" si="343"/>
        <v>0</v>
      </c>
    </row>
    <row r="3252" spans="2:15" x14ac:dyDescent="0.15">
      <c r="B3252" s="6" t="s">
        <v>3</v>
      </c>
      <c r="C3252" s="54"/>
      <c r="D3252" s="5">
        <f t="shared" si="342"/>
        <v>0</v>
      </c>
      <c r="K3252" s="6" t="s">
        <v>3</v>
      </c>
      <c r="L3252" s="7"/>
      <c r="M3252" s="5">
        <f t="shared" si="343"/>
        <v>0</v>
      </c>
    </row>
    <row r="3253" spans="2:15" ht="14.25" thickBot="1" x14ac:dyDescent="0.2">
      <c r="B3253" s="9" t="s">
        <v>3</v>
      </c>
      <c r="C3253" s="101"/>
      <c r="D3253" s="5">
        <f t="shared" si="342"/>
        <v>0</v>
      </c>
      <c r="K3253" s="9" t="s">
        <v>3</v>
      </c>
      <c r="L3253" s="10"/>
      <c r="M3253" s="5">
        <f t="shared" si="343"/>
        <v>0</v>
      </c>
    </row>
    <row r="3254" spans="2:15" ht="14.25" thickBot="1" x14ac:dyDescent="0.2">
      <c r="B3254" s="11" t="s">
        <v>4</v>
      </c>
      <c r="C3254" s="12">
        <f>SUM(C3243:C3253)</f>
        <v>1535</v>
      </c>
      <c r="D3254" s="13">
        <f>SUM(D3243:D3253)</f>
        <v>1535</v>
      </c>
      <c r="K3254" s="11" t="s">
        <v>4</v>
      </c>
      <c r="L3254" s="12">
        <f>SUM(L3243:L3253)</f>
        <v>2099</v>
      </c>
      <c r="M3254" s="13">
        <f>SUM(M3243:M3253)</f>
        <v>2099</v>
      </c>
    </row>
    <row r="3255" spans="2:15" x14ac:dyDescent="0.15">
      <c r="B3255" s="71" t="s">
        <v>612</v>
      </c>
      <c r="C3255" s="15">
        <v>3</v>
      </c>
      <c r="D3255" s="14">
        <f>SUM(C3255)</f>
        <v>3</v>
      </c>
      <c r="E3255" s="74">
        <v>43664</v>
      </c>
      <c r="F3255" s="74"/>
      <c r="G3255" s="74"/>
      <c r="H3255" s="74"/>
      <c r="I3255" s="74"/>
      <c r="J3255" s="75"/>
      <c r="K3255" s="71" t="s">
        <v>31</v>
      </c>
      <c r="L3255" s="15">
        <v>200</v>
      </c>
      <c r="M3255" s="14">
        <f>SUM(L3255)</f>
        <v>200</v>
      </c>
      <c r="N3255" s="74">
        <v>43672</v>
      </c>
    </row>
    <row r="3256" spans="2:15" x14ac:dyDescent="0.15">
      <c r="B3256" s="71" t="s">
        <v>162</v>
      </c>
      <c r="C3256" s="15">
        <v>80</v>
      </c>
      <c r="D3256" s="14">
        <f>SUM(C3256)</f>
        <v>80</v>
      </c>
      <c r="E3256" s="74">
        <v>43662</v>
      </c>
      <c r="F3256" s="74"/>
      <c r="G3256" s="74"/>
      <c r="H3256" s="74"/>
      <c r="I3256" s="74"/>
      <c r="J3256" s="36"/>
      <c r="K3256" s="71" t="s">
        <v>31</v>
      </c>
      <c r="L3256" s="15">
        <v>200</v>
      </c>
      <c r="M3256" s="14">
        <f t="shared" ref="M3256:M3266" si="344">SUM(L3256:L3256)</f>
        <v>200</v>
      </c>
      <c r="N3256" s="74">
        <v>43676</v>
      </c>
    </row>
    <row r="3257" spans="2:15" x14ac:dyDescent="0.15">
      <c r="B3257" s="71" t="s">
        <v>162</v>
      </c>
      <c r="C3257" s="15">
        <v>19</v>
      </c>
      <c r="D3257" s="14">
        <f>SUM(C3257)</f>
        <v>19</v>
      </c>
      <c r="E3257" s="74">
        <v>43663</v>
      </c>
      <c r="F3257" s="74"/>
      <c r="G3257" s="74"/>
      <c r="H3257" s="74"/>
      <c r="I3257" s="74"/>
      <c r="J3257" s="51"/>
      <c r="K3257" s="71" t="s">
        <v>31</v>
      </c>
      <c r="L3257" s="15">
        <v>200</v>
      </c>
      <c r="M3257" s="14">
        <f t="shared" si="344"/>
        <v>200</v>
      </c>
      <c r="N3257" s="74">
        <v>43677</v>
      </c>
    </row>
    <row r="3258" spans="2:15" x14ac:dyDescent="0.15">
      <c r="B3258" s="71" t="s">
        <v>39</v>
      </c>
      <c r="C3258" s="15">
        <v>100</v>
      </c>
      <c r="D3258" s="14">
        <f t="shared" ref="D3258:D3268" si="345">SUM(C3258)</f>
        <v>100</v>
      </c>
      <c r="E3258" s="74">
        <v>43664</v>
      </c>
      <c r="F3258" s="74"/>
      <c r="G3258" s="74"/>
      <c r="H3258" s="74"/>
      <c r="I3258" s="74"/>
      <c r="J3258" s="51"/>
      <c r="K3258" s="71" t="s">
        <v>31</v>
      </c>
      <c r="L3258" s="15">
        <v>200</v>
      </c>
      <c r="M3258" s="14">
        <f t="shared" si="344"/>
        <v>200</v>
      </c>
      <c r="N3258" s="74">
        <v>43678</v>
      </c>
    </row>
    <row r="3259" spans="2:15" x14ac:dyDescent="0.15">
      <c r="B3259" s="71" t="s">
        <v>162</v>
      </c>
      <c r="C3259" s="15">
        <v>35</v>
      </c>
      <c r="D3259" s="14">
        <f t="shared" si="345"/>
        <v>35</v>
      </c>
      <c r="E3259" s="74">
        <v>43664</v>
      </c>
      <c r="F3259" s="74"/>
      <c r="G3259" s="74"/>
      <c r="H3259" s="74"/>
      <c r="I3259" s="74"/>
      <c r="J3259" s="51"/>
      <c r="K3259" s="71" t="s">
        <v>31</v>
      </c>
      <c r="L3259" s="15">
        <v>200</v>
      </c>
      <c r="M3259" s="14">
        <f t="shared" si="344"/>
        <v>200</v>
      </c>
      <c r="N3259" s="74">
        <v>43679</v>
      </c>
    </row>
    <row r="3260" spans="2:15" x14ac:dyDescent="0.15">
      <c r="B3260" s="71" t="s">
        <v>162</v>
      </c>
      <c r="C3260" s="15">
        <v>8</v>
      </c>
      <c r="D3260" s="14">
        <f t="shared" si="345"/>
        <v>8</v>
      </c>
      <c r="E3260" s="74">
        <v>43665</v>
      </c>
      <c r="F3260" s="74"/>
      <c r="G3260" s="74"/>
      <c r="H3260" s="74"/>
      <c r="I3260" s="74"/>
      <c r="J3260" s="51"/>
      <c r="K3260" s="4"/>
      <c r="L3260" s="15"/>
      <c r="M3260" s="14">
        <f t="shared" si="344"/>
        <v>0</v>
      </c>
      <c r="N3260" s="75"/>
    </row>
    <row r="3261" spans="2:15" x14ac:dyDescent="0.15">
      <c r="B3261" s="71" t="s">
        <v>162</v>
      </c>
      <c r="C3261" s="15">
        <v>21</v>
      </c>
      <c r="D3261" s="14">
        <f t="shared" si="345"/>
        <v>21</v>
      </c>
      <c r="E3261" s="74">
        <v>43666</v>
      </c>
      <c r="F3261" s="74"/>
      <c r="G3261" s="74"/>
      <c r="H3261" s="74"/>
      <c r="I3261" s="74"/>
      <c r="J3261" s="51"/>
      <c r="K3261" s="4"/>
      <c r="L3261" s="15"/>
      <c r="M3261" s="14">
        <f t="shared" si="344"/>
        <v>0</v>
      </c>
    </row>
    <row r="3262" spans="2:15" x14ac:dyDescent="0.15">
      <c r="B3262" s="71" t="s">
        <v>162</v>
      </c>
      <c r="C3262" s="15">
        <v>64</v>
      </c>
      <c r="D3262" s="14">
        <f t="shared" si="345"/>
        <v>64</v>
      </c>
      <c r="E3262" s="74">
        <v>43668</v>
      </c>
      <c r="F3262" s="74"/>
      <c r="G3262" s="74"/>
      <c r="H3262" s="74"/>
      <c r="I3262" s="74"/>
      <c r="J3262" s="51"/>
      <c r="K3262" s="6"/>
      <c r="L3262" s="15"/>
      <c r="M3262" s="14">
        <f t="shared" si="344"/>
        <v>0</v>
      </c>
    </row>
    <row r="3263" spans="2:15" x14ac:dyDescent="0.15">
      <c r="B3263" s="71" t="s">
        <v>612</v>
      </c>
      <c r="C3263" s="15">
        <v>1</v>
      </c>
      <c r="D3263" s="14">
        <f t="shared" si="345"/>
        <v>1</v>
      </c>
      <c r="E3263" s="74">
        <v>43671</v>
      </c>
      <c r="F3263" s="74"/>
      <c r="G3263" s="74"/>
      <c r="H3263" s="74"/>
      <c r="I3263" s="74"/>
      <c r="J3263" s="36"/>
      <c r="K3263" s="4"/>
      <c r="L3263" s="15"/>
      <c r="M3263" s="14">
        <f t="shared" si="344"/>
        <v>0</v>
      </c>
    </row>
    <row r="3264" spans="2:15" x14ac:dyDescent="0.15">
      <c r="B3264" s="71" t="s">
        <v>162</v>
      </c>
      <c r="C3264" s="15">
        <v>17</v>
      </c>
      <c r="D3264" s="14">
        <f t="shared" si="345"/>
        <v>17</v>
      </c>
      <c r="E3264" s="74">
        <v>43669</v>
      </c>
      <c r="F3264" s="74"/>
      <c r="G3264" s="74"/>
      <c r="H3264" s="74"/>
      <c r="I3264" s="74"/>
      <c r="J3264" s="36"/>
      <c r="K3264" s="4"/>
      <c r="L3264" s="15"/>
      <c r="M3264" s="14">
        <f t="shared" si="344"/>
        <v>0</v>
      </c>
    </row>
    <row r="3265" spans="2:15" x14ac:dyDescent="0.15">
      <c r="B3265" s="71" t="s">
        <v>162</v>
      </c>
      <c r="C3265" s="15">
        <v>23</v>
      </c>
      <c r="D3265" s="14">
        <f t="shared" si="345"/>
        <v>23</v>
      </c>
      <c r="E3265" s="74">
        <v>43670</v>
      </c>
      <c r="F3265" s="74"/>
      <c r="G3265" s="74"/>
      <c r="H3265" s="74"/>
      <c r="I3265" s="74"/>
      <c r="J3265" s="51"/>
      <c r="K3265" s="4"/>
      <c r="L3265" s="15"/>
      <c r="M3265" s="14">
        <f t="shared" si="344"/>
        <v>0</v>
      </c>
    </row>
    <row r="3266" spans="2:15" x14ac:dyDescent="0.15">
      <c r="B3266" s="71" t="s">
        <v>162</v>
      </c>
      <c r="C3266" s="15">
        <v>53</v>
      </c>
      <c r="D3266" s="14">
        <f t="shared" si="345"/>
        <v>53</v>
      </c>
      <c r="E3266" s="74">
        <v>43671</v>
      </c>
      <c r="F3266" s="74"/>
      <c r="G3266" s="74"/>
      <c r="H3266" s="74"/>
      <c r="I3266" s="74"/>
      <c r="J3266" s="51"/>
      <c r="K3266" s="4"/>
      <c r="L3266" s="15"/>
      <c r="M3266" s="14">
        <f t="shared" si="344"/>
        <v>0</v>
      </c>
    </row>
    <row r="3267" spans="2:15" x14ac:dyDescent="0.15">
      <c r="B3267" s="71" t="s">
        <v>162</v>
      </c>
      <c r="C3267" s="15">
        <v>80</v>
      </c>
      <c r="D3267" s="14">
        <f t="shared" si="345"/>
        <v>80</v>
      </c>
      <c r="E3267" s="74">
        <v>43672</v>
      </c>
      <c r="F3267" s="74"/>
      <c r="G3267" s="74"/>
      <c r="H3267" s="74"/>
      <c r="I3267" s="74"/>
      <c r="J3267" s="36"/>
      <c r="K3267" s="172"/>
      <c r="L3267" s="15"/>
      <c r="M3267" s="14">
        <f>SUM(L3267)</f>
        <v>0</v>
      </c>
    </row>
    <row r="3268" spans="2:15" x14ac:dyDescent="0.15">
      <c r="B3268" s="71" t="s">
        <v>39</v>
      </c>
      <c r="C3268" s="15">
        <v>100</v>
      </c>
      <c r="D3268" s="14">
        <f t="shared" si="345"/>
        <v>100</v>
      </c>
      <c r="E3268" s="74">
        <v>43676</v>
      </c>
      <c r="F3268" s="74"/>
      <c r="G3268" s="74"/>
      <c r="H3268" s="74"/>
      <c r="I3268" s="74"/>
      <c r="J3268" s="51"/>
      <c r="K3268" s="173"/>
      <c r="L3268" s="15"/>
      <c r="M3268" s="14">
        <f>SUM(L3268:L3268)</f>
        <v>0</v>
      </c>
    </row>
    <row r="3269" spans="2:15" x14ac:dyDescent="0.15">
      <c r="B3269" s="71" t="s">
        <v>162</v>
      </c>
      <c r="C3269" s="15">
        <v>134</v>
      </c>
      <c r="D3269" s="14">
        <f>SUM(C3269)</f>
        <v>134</v>
      </c>
      <c r="E3269" s="74">
        <v>43675</v>
      </c>
      <c r="F3269" s="74"/>
      <c r="G3269" s="74"/>
      <c r="H3269" s="74"/>
      <c r="I3269" s="74"/>
      <c r="J3269" s="51"/>
      <c r="K3269" s="4"/>
      <c r="L3269" s="15"/>
      <c r="M3269" s="14">
        <f>SUM(L3269:L3269)</f>
        <v>0</v>
      </c>
    </row>
    <row r="3270" spans="2:15" x14ac:dyDescent="0.15">
      <c r="B3270" s="71" t="s">
        <v>612</v>
      </c>
      <c r="C3270" s="15">
        <v>2</v>
      </c>
      <c r="D3270" s="14">
        <f>SUM(C3270)</f>
        <v>2</v>
      </c>
      <c r="E3270" s="74">
        <v>43678</v>
      </c>
      <c r="F3270" s="74"/>
      <c r="G3270" s="74"/>
      <c r="H3270" s="74"/>
      <c r="I3270" s="74"/>
      <c r="J3270" s="51"/>
      <c r="K3270" s="6"/>
      <c r="L3270" s="15"/>
      <c r="M3270" s="14">
        <f>SUM(L3270:L3270)</f>
        <v>0</v>
      </c>
    </row>
    <row r="3271" spans="2:15" x14ac:dyDescent="0.15">
      <c r="B3271" s="71" t="s">
        <v>162</v>
      </c>
      <c r="C3271" s="15">
        <v>51</v>
      </c>
      <c r="D3271" s="14">
        <f>SUM(C3271)</f>
        <v>51</v>
      </c>
      <c r="E3271" s="74">
        <v>43676</v>
      </c>
      <c r="F3271" s="74"/>
      <c r="G3271" s="74"/>
      <c r="H3271" s="74"/>
      <c r="I3271" s="74"/>
      <c r="J3271" s="51"/>
      <c r="K3271" s="6"/>
      <c r="L3271" s="15"/>
      <c r="M3271" s="14">
        <f>SUM(L3271:L3271)</f>
        <v>0</v>
      </c>
    </row>
    <row r="3272" spans="2:15" x14ac:dyDescent="0.15">
      <c r="B3272" s="71" t="s">
        <v>162</v>
      </c>
      <c r="C3272" s="15">
        <v>84</v>
      </c>
      <c r="D3272" s="14">
        <f t="shared" ref="D3272:D3278" si="346">SUM(C3272)</f>
        <v>84</v>
      </c>
      <c r="E3272" s="74">
        <v>43677</v>
      </c>
      <c r="F3272" s="74"/>
      <c r="G3272" s="74"/>
      <c r="H3272" s="74"/>
      <c r="I3272" s="74"/>
      <c r="J3272" s="51"/>
      <c r="K3272" s="172"/>
      <c r="L3272" s="15"/>
      <c r="M3272" s="14">
        <f>SUM(L3272)</f>
        <v>0</v>
      </c>
    </row>
    <row r="3273" spans="2:15" x14ac:dyDescent="0.15">
      <c r="B3273" s="71" t="s">
        <v>39</v>
      </c>
      <c r="C3273" s="15">
        <v>100</v>
      </c>
      <c r="D3273" s="14">
        <f t="shared" si="346"/>
        <v>100</v>
      </c>
      <c r="E3273" s="74">
        <v>43679</v>
      </c>
      <c r="F3273" s="74"/>
      <c r="G3273" s="74"/>
      <c r="H3273" s="74"/>
      <c r="I3273" s="74"/>
      <c r="J3273" s="51"/>
      <c r="K3273" s="173"/>
      <c r="L3273" s="15"/>
      <c r="M3273" s="14">
        <f>SUM(L3273:L3273)</f>
        <v>0</v>
      </c>
    </row>
    <row r="3274" spans="2:15" x14ac:dyDescent="0.15">
      <c r="B3274" s="71" t="s">
        <v>162</v>
      </c>
      <c r="C3274" s="15">
        <v>87</v>
      </c>
      <c r="D3274" s="14">
        <f t="shared" si="346"/>
        <v>87</v>
      </c>
      <c r="E3274" s="48">
        <v>43678</v>
      </c>
      <c r="F3274" s="48"/>
      <c r="G3274" s="48"/>
      <c r="H3274" s="48"/>
      <c r="I3274" s="48"/>
      <c r="J3274" s="51"/>
      <c r="K3274" s="4"/>
      <c r="L3274" s="15"/>
      <c r="M3274" s="14">
        <f>SUM(L3274)</f>
        <v>0</v>
      </c>
    </row>
    <row r="3275" spans="2:15" x14ac:dyDescent="0.15">
      <c r="B3275" s="71" t="s">
        <v>136</v>
      </c>
      <c r="C3275" s="15">
        <v>40</v>
      </c>
      <c r="D3275" s="14">
        <f t="shared" si="346"/>
        <v>40</v>
      </c>
      <c r="E3275" s="74">
        <v>43685</v>
      </c>
      <c r="F3275" s="74"/>
      <c r="G3275" s="74"/>
      <c r="H3275" s="74"/>
      <c r="I3275" s="74"/>
      <c r="J3275" s="51"/>
      <c r="K3275" s="6"/>
      <c r="L3275" s="15"/>
      <c r="M3275" s="14">
        <f>SUM(L3275:L3275)</f>
        <v>0</v>
      </c>
    </row>
    <row r="3276" spans="2:15" x14ac:dyDescent="0.15">
      <c r="B3276" s="71" t="s">
        <v>39</v>
      </c>
      <c r="C3276" s="15">
        <v>100</v>
      </c>
      <c r="D3276" s="14">
        <f t="shared" si="346"/>
        <v>100</v>
      </c>
      <c r="E3276" s="48">
        <v>43680</v>
      </c>
      <c r="F3276" s="48"/>
      <c r="G3276" s="48"/>
      <c r="H3276" s="48"/>
      <c r="I3276" s="48"/>
      <c r="J3276" s="51"/>
      <c r="K3276" s="6"/>
      <c r="L3276" s="15"/>
      <c r="M3276" s="14">
        <f>SUM(L3276:L3276)</f>
        <v>0</v>
      </c>
    </row>
    <row r="3277" spans="2:15" x14ac:dyDescent="0.15">
      <c r="B3277" s="71" t="s">
        <v>625</v>
      </c>
      <c r="C3277" s="15">
        <v>3</v>
      </c>
      <c r="D3277" s="14">
        <f t="shared" si="346"/>
        <v>3</v>
      </c>
      <c r="E3277" s="74">
        <v>43683</v>
      </c>
      <c r="F3277" s="74"/>
      <c r="G3277" s="74"/>
      <c r="H3277" s="74"/>
      <c r="I3277" s="74"/>
      <c r="J3277" s="51"/>
      <c r="K3277" s="6"/>
      <c r="L3277" s="15"/>
      <c r="M3277" s="14">
        <f>SUM(L3277:L3277)</f>
        <v>0</v>
      </c>
      <c r="N3277" s="75"/>
    </row>
    <row r="3278" spans="2:15" ht="14.25" thickBot="1" x14ac:dyDescent="0.2">
      <c r="B3278" s="71" t="s">
        <v>626</v>
      </c>
      <c r="C3278" s="15">
        <v>67</v>
      </c>
      <c r="D3278" s="14">
        <f t="shared" si="346"/>
        <v>67</v>
      </c>
      <c r="E3278" s="48">
        <v>43679</v>
      </c>
      <c r="F3278" s="48"/>
      <c r="G3278" s="48"/>
      <c r="H3278" s="48"/>
      <c r="I3278" s="48"/>
      <c r="J3278" s="51"/>
      <c r="K3278" s="6"/>
      <c r="L3278" s="15"/>
      <c r="M3278" s="14">
        <f>SUM(L3278:L3278)</f>
        <v>0</v>
      </c>
      <c r="N3278" s="75"/>
      <c r="O3278" s="75"/>
    </row>
    <row r="3279" spans="2:15" ht="14.25" thickBot="1" x14ac:dyDescent="0.2">
      <c r="B3279" s="3" t="s">
        <v>5</v>
      </c>
      <c r="C3279" s="16">
        <f>SUM(C3255:C3278)</f>
        <v>1272</v>
      </c>
      <c r="D3279" s="17">
        <f>SUM(D3255:D3278)</f>
        <v>1272</v>
      </c>
      <c r="K3279" s="3" t="s">
        <v>5</v>
      </c>
      <c r="L3279" s="16">
        <f>SUM(L3255:L3278)</f>
        <v>1000</v>
      </c>
      <c r="M3279" s="17">
        <f>SUM(M3255:M3278)</f>
        <v>1000</v>
      </c>
    </row>
    <row r="3280" spans="2:15" ht="14.25" thickBot="1" x14ac:dyDescent="0.2">
      <c r="B3280" s="18" t="s">
        <v>6</v>
      </c>
      <c r="C3280" s="19">
        <f>C3254-C3279</f>
        <v>263</v>
      </c>
      <c r="D3280" s="13">
        <f>D3254-D3279</f>
        <v>263</v>
      </c>
      <c r="K3280" s="18" t="s">
        <v>6</v>
      </c>
      <c r="L3280" s="19">
        <f>L3254-L3279</f>
        <v>1099</v>
      </c>
      <c r="M3280" s="13">
        <f>M3254-M3279</f>
        <v>1099</v>
      </c>
    </row>
    <row r="3282" spans="1:15" ht="18" thickBot="1" x14ac:dyDescent="0.25">
      <c r="A3282" s="27" t="s">
        <v>8</v>
      </c>
      <c r="B3282" s="28"/>
      <c r="C3282" s="28"/>
      <c r="D3282" s="28"/>
      <c r="J3282" s="139" t="s">
        <v>218</v>
      </c>
      <c r="K3282" s="140"/>
      <c r="L3282" s="140"/>
      <c r="M3282" s="140"/>
    </row>
    <row r="3283" spans="1:15" ht="14.25" thickBot="1" x14ac:dyDescent="0.2">
      <c r="B3283" s="2"/>
      <c r="C3283" s="3" t="s">
        <v>0</v>
      </c>
      <c r="D3283" s="2" t="s">
        <v>1</v>
      </c>
      <c r="K3283" s="2"/>
      <c r="L3283" s="3" t="s">
        <v>0</v>
      </c>
      <c r="M3283" s="2" t="s">
        <v>1</v>
      </c>
    </row>
    <row r="3284" spans="1:15" x14ac:dyDescent="0.15">
      <c r="B3284" s="43" t="s">
        <v>26</v>
      </c>
      <c r="C3284" s="38">
        <f>C3280</f>
        <v>263</v>
      </c>
      <c r="D3284" s="39">
        <f t="shared" ref="D3284:D3294" si="347">SUM(C3284:C3284)</f>
        <v>263</v>
      </c>
      <c r="K3284" s="43" t="s">
        <v>26</v>
      </c>
      <c r="L3284" s="38">
        <f>L3280</f>
        <v>1099</v>
      </c>
      <c r="M3284" s="39">
        <f t="shared" ref="M3284:M3294" si="348">SUM(L3284:L3284)</f>
        <v>1099</v>
      </c>
    </row>
    <row r="3285" spans="1:15" x14ac:dyDescent="0.15">
      <c r="B3285" s="6" t="s">
        <v>3</v>
      </c>
      <c r="C3285" s="7">
        <v>200</v>
      </c>
      <c r="D3285" s="5">
        <f t="shared" si="347"/>
        <v>200</v>
      </c>
      <c r="E3285" s="74">
        <v>43683</v>
      </c>
      <c r="F3285" s="74"/>
      <c r="G3285" s="74"/>
      <c r="H3285" s="74"/>
      <c r="I3285" s="74"/>
      <c r="J3285" s="75"/>
      <c r="K3285" s="6" t="s">
        <v>3</v>
      </c>
      <c r="L3285" s="7"/>
      <c r="M3285" s="5">
        <f t="shared" si="348"/>
        <v>0</v>
      </c>
    </row>
    <row r="3286" spans="1:15" x14ac:dyDescent="0.15">
      <c r="A3286" s="75"/>
      <c r="B3286" s="6" t="s">
        <v>3</v>
      </c>
      <c r="C3286" s="7">
        <v>200</v>
      </c>
      <c r="D3286" s="5">
        <f t="shared" si="347"/>
        <v>200</v>
      </c>
      <c r="E3286" s="74">
        <v>43684</v>
      </c>
      <c r="F3286" s="74"/>
      <c r="G3286" s="74"/>
      <c r="H3286" s="74"/>
      <c r="I3286" s="74"/>
      <c r="K3286" s="6" t="s">
        <v>3</v>
      </c>
      <c r="L3286" s="7"/>
      <c r="M3286" s="5">
        <f t="shared" si="348"/>
        <v>0</v>
      </c>
    </row>
    <row r="3287" spans="1:15" x14ac:dyDescent="0.15">
      <c r="A3287" s="75"/>
      <c r="B3287" s="6" t="s">
        <v>3</v>
      </c>
      <c r="C3287" s="7">
        <v>200</v>
      </c>
      <c r="D3287" s="5">
        <f t="shared" si="347"/>
        <v>200</v>
      </c>
      <c r="E3287" s="74">
        <v>43686</v>
      </c>
      <c r="F3287" s="74"/>
      <c r="G3287" s="74"/>
      <c r="H3287" s="74"/>
      <c r="I3287" s="74"/>
      <c r="J3287" s="100"/>
      <c r="K3287" s="6" t="s">
        <v>3</v>
      </c>
      <c r="L3287" s="7">
        <v>3000</v>
      </c>
      <c r="M3287" s="5">
        <f t="shared" si="348"/>
        <v>3000</v>
      </c>
      <c r="N3287" s="74">
        <v>43685</v>
      </c>
      <c r="O3287" s="1" t="s">
        <v>629</v>
      </c>
    </row>
    <row r="3288" spans="1:15" x14ac:dyDescent="0.15">
      <c r="B3288" s="6" t="s">
        <v>3</v>
      </c>
      <c r="C3288" s="7">
        <v>200</v>
      </c>
      <c r="D3288" s="5">
        <f t="shared" si="347"/>
        <v>200</v>
      </c>
      <c r="E3288" s="74">
        <v>43693</v>
      </c>
      <c r="F3288" s="74"/>
      <c r="G3288" s="74"/>
      <c r="H3288" s="74"/>
      <c r="I3288" s="74"/>
      <c r="K3288" s="6" t="s">
        <v>3</v>
      </c>
      <c r="L3288" s="7"/>
      <c r="M3288" s="5">
        <f t="shared" si="348"/>
        <v>0</v>
      </c>
    </row>
    <row r="3289" spans="1:15" x14ac:dyDescent="0.15">
      <c r="B3289" s="6" t="s">
        <v>3</v>
      </c>
      <c r="C3289" s="7">
        <v>400</v>
      </c>
      <c r="D3289" s="5">
        <f t="shared" si="347"/>
        <v>400</v>
      </c>
      <c r="E3289" s="74">
        <v>43696</v>
      </c>
      <c r="F3289" s="74"/>
      <c r="G3289" s="74"/>
      <c r="H3289" s="74"/>
      <c r="I3289" s="74"/>
      <c r="K3289" s="6" t="s">
        <v>3</v>
      </c>
      <c r="L3289" s="7"/>
      <c r="M3289" s="5">
        <f t="shared" si="348"/>
        <v>0</v>
      </c>
    </row>
    <row r="3290" spans="1:15" x14ac:dyDescent="0.15">
      <c r="B3290" s="6" t="s">
        <v>3</v>
      </c>
      <c r="C3290" s="7"/>
      <c r="D3290" s="5">
        <f t="shared" si="347"/>
        <v>0</v>
      </c>
      <c r="E3290" s="74"/>
      <c r="F3290" s="74"/>
      <c r="G3290" s="74"/>
      <c r="H3290" s="74"/>
      <c r="I3290" s="74"/>
      <c r="K3290" s="6" t="s">
        <v>3</v>
      </c>
      <c r="L3290" s="7"/>
      <c r="M3290" s="5">
        <f t="shared" si="348"/>
        <v>0</v>
      </c>
    </row>
    <row r="3291" spans="1:15" x14ac:dyDescent="0.15">
      <c r="B3291" s="6" t="s">
        <v>3</v>
      </c>
      <c r="C3291" s="54"/>
      <c r="D3291" s="5">
        <f t="shared" si="347"/>
        <v>0</v>
      </c>
      <c r="K3291" s="6" t="s">
        <v>3</v>
      </c>
      <c r="L3291" s="7"/>
      <c r="M3291" s="5">
        <f t="shared" si="348"/>
        <v>0</v>
      </c>
    </row>
    <row r="3292" spans="1:15" x14ac:dyDescent="0.15">
      <c r="B3292" s="6" t="s">
        <v>3</v>
      </c>
      <c r="C3292" s="54"/>
      <c r="D3292" s="5">
        <f t="shared" si="347"/>
        <v>0</v>
      </c>
      <c r="K3292" s="6" t="s">
        <v>3</v>
      </c>
      <c r="L3292" s="7"/>
      <c r="M3292" s="5">
        <f t="shared" si="348"/>
        <v>0</v>
      </c>
    </row>
    <row r="3293" spans="1:15" x14ac:dyDescent="0.15">
      <c r="B3293" s="6" t="s">
        <v>3</v>
      </c>
      <c r="C3293" s="54"/>
      <c r="D3293" s="5">
        <f t="shared" si="347"/>
        <v>0</v>
      </c>
      <c r="K3293" s="6" t="s">
        <v>3</v>
      </c>
      <c r="L3293" s="7"/>
      <c r="M3293" s="5">
        <f t="shared" si="348"/>
        <v>0</v>
      </c>
    </row>
    <row r="3294" spans="1:15" ht="14.25" thickBot="1" x14ac:dyDescent="0.2">
      <c r="B3294" s="9" t="s">
        <v>3</v>
      </c>
      <c r="C3294" s="101"/>
      <c r="D3294" s="5">
        <f t="shared" si="347"/>
        <v>0</v>
      </c>
      <c r="K3294" s="9" t="s">
        <v>3</v>
      </c>
      <c r="L3294" s="10"/>
      <c r="M3294" s="5">
        <f t="shared" si="348"/>
        <v>0</v>
      </c>
    </row>
    <row r="3295" spans="1:15" ht="14.25" thickBot="1" x14ac:dyDescent="0.2">
      <c r="B3295" s="11" t="s">
        <v>4</v>
      </c>
      <c r="C3295" s="12">
        <f>SUM(C3284:C3294)</f>
        <v>1463</v>
      </c>
      <c r="D3295" s="13">
        <f>SUM(D3284:D3294)</f>
        <v>1463</v>
      </c>
      <c r="K3295" s="11" t="s">
        <v>4</v>
      </c>
      <c r="L3295" s="12">
        <f>SUM(L3284:L3294)</f>
        <v>4099</v>
      </c>
      <c r="M3295" s="13">
        <f>SUM(M3284:M3294)</f>
        <v>4099</v>
      </c>
    </row>
    <row r="3296" spans="1:15" x14ac:dyDescent="0.15">
      <c r="B3296" s="71" t="s">
        <v>162</v>
      </c>
      <c r="C3296" s="15">
        <v>31</v>
      </c>
      <c r="D3296" s="14">
        <f>SUM(C3296)</f>
        <v>31</v>
      </c>
      <c r="E3296" s="74">
        <v>43680</v>
      </c>
      <c r="F3296" s="74"/>
      <c r="G3296" s="74"/>
      <c r="H3296" s="74"/>
      <c r="I3296" s="74"/>
      <c r="J3296" s="75"/>
      <c r="K3296" s="71" t="s">
        <v>31</v>
      </c>
      <c r="L3296" s="15">
        <v>200</v>
      </c>
      <c r="M3296" s="14">
        <f>SUM(L3296)</f>
        <v>200</v>
      </c>
      <c r="N3296" s="74">
        <v>43683</v>
      </c>
    </row>
    <row r="3297" spans="2:14" x14ac:dyDescent="0.15">
      <c r="B3297" s="71" t="s">
        <v>162</v>
      </c>
      <c r="C3297" s="15">
        <v>147</v>
      </c>
      <c r="D3297" s="14">
        <f>SUM(C3297)</f>
        <v>147</v>
      </c>
      <c r="E3297" s="74">
        <v>43682</v>
      </c>
      <c r="F3297" s="74"/>
      <c r="G3297" s="74"/>
      <c r="H3297" s="74"/>
      <c r="I3297" s="74"/>
      <c r="J3297" s="36"/>
      <c r="K3297" s="71" t="s">
        <v>31</v>
      </c>
      <c r="L3297" s="15">
        <v>200</v>
      </c>
      <c r="M3297" s="14">
        <f t="shared" ref="M3297:M3307" si="349">SUM(L3297:L3297)</f>
        <v>200</v>
      </c>
      <c r="N3297" s="74">
        <v>43684</v>
      </c>
    </row>
    <row r="3298" spans="2:14" x14ac:dyDescent="0.15">
      <c r="B3298" s="71" t="s">
        <v>627</v>
      </c>
      <c r="C3298" s="15">
        <v>20</v>
      </c>
      <c r="D3298" s="14">
        <f>SUM(C3298)</f>
        <v>20</v>
      </c>
      <c r="E3298" s="74">
        <v>43697</v>
      </c>
      <c r="F3298" s="74"/>
      <c r="G3298" s="74"/>
      <c r="H3298" s="74"/>
      <c r="I3298" s="74"/>
      <c r="J3298" s="51"/>
      <c r="K3298" s="71" t="s">
        <v>31</v>
      </c>
      <c r="L3298" s="15">
        <v>200</v>
      </c>
      <c r="M3298" s="14">
        <f t="shared" si="349"/>
        <v>200</v>
      </c>
      <c r="N3298" s="74">
        <v>43686</v>
      </c>
    </row>
    <row r="3299" spans="2:14" x14ac:dyDescent="0.15">
      <c r="B3299" s="71" t="s">
        <v>628</v>
      </c>
      <c r="C3299" s="15">
        <v>11</v>
      </c>
      <c r="D3299" s="14">
        <f t="shared" ref="D3299:D3309" si="350">SUM(C3299)</f>
        <v>11</v>
      </c>
      <c r="E3299" s="74">
        <v>43685</v>
      </c>
      <c r="F3299" s="74"/>
      <c r="G3299" s="74"/>
      <c r="H3299" s="74"/>
      <c r="I3299" s="74"/>
      <c r="J3299" s="51"/>
      <c r="K3299" s="71" t="s">
        <v>31</v>
      </c>
      <c r="L3299" s="15">
        <v>200</v>
      </c>
      <c r="M3299" s="14">
        <f t="shared" si="349"/>
        <v>200</v>
      </c>
      <c r="N3299" s="74">
        <v>43693</v>
      </c>
    </row>
    <row r="3300" spans="2:14" x14ac:dyDescent="0.15">
      <c r="B3300" s="71" t="s">
        <v>162</v>
      </c>
      <c r="C3300" s="15">
        <v>89</v>
      </c>
      <c r="D3300" s="14">
        <f t="shared" si="350"/>
        <v>89</v>
      </c>
      <c r="E3300" s="74">
        <v>43683</v>
      </c>
      <c r="F3300" s="74"/>
      <c r="G3300" s="74"/>
      <c r="H3300" s="74"/>
      <c r="I3300" s="74"/>
      <c r="J3300" s="51"/>
      <c r="K3300" s="4" t="s">
        <v>630</v>
      </c>
      <c r="L3300" s="15">
        <v>820</v>
      </c>
      <c r="M3300" s="14">
        <f t="shared" si="349"/>
        <v>820</v>
      </c>
      <c r="N3300" s="74">
        <v>43694</v>
      </c>
    </row>
    <row r="3301" spans="2:14" x14ac:dyDescent="0.15">
      <c r="B3301" s="71" t="s">
        <v>39</v>
      </c>
      <c r="C3301" s="15">
        <v>100</v>
      </c>
      <c r="D3301" s="14">
        <f t="shared" si="350"/>
        <v>100</v>
      </c>
      <c r="E3301" s="74">
        <v>43684</v>
      </c>
      <c r="F3301" s="74"/>
      <c r="G3301" s="74"/>
      <c r="H3301" s="74"/>
      <c r="I3301" s="74"/>
      <c r="J3301" s="51"/>
      <c r="K3301" s="71" t="s">
        <v>31</v>
      </c>
      <c r="L3301" s="15">
        <v>400</v>
      </c>
      <c r="M3301" s="14">
        <f t="shared" si="349"/>
        <v>400</v>
      </c>
      <c r="N3301" s="74">
        <v>43696</v>
      </c>
    </row>
    <row r="3302" spans="2:14" x14ac:dyDescent="0.15">
      <c r="B3302" s="71" t="s">
        <v>162</v>
      </c>
      <c r="C3302" s="15">
        <v>63</v>
      </c>
      <c r="D3302" s="14">
        <f t="shared" si="350"/>
        <v>63</v>
      </c>
      <c r="E3302" s="74">
        <v>43684</v>
      </c>
      <c r="F3302" s="74"/>
      <c r="G3302" s="74"/>
      <c r="H3302" s="74"/>
      <c r="I3302" s="74"/>
      <c r="J3302" s="51"/>
      <c r="K3302" s="4"/>
      <c r="L3302" s="15"/>
      <c r="M3302" s="14">
        <f t="shared" si="349"/>
        <v>0</v>
      </c>
    </row>
    <row r="3303" spans="2:14" x14ac:dyDescent="0.15">
      <c r="B3303" s="71" t="s">
        <v>162</v>
      </c>
      <c r="C3303" s="15">
        <v>75</v>
      </c>
      <c r="D3303" s="14">
        <f t="shared" si="350"/>
        <v>75</v>
      </c>
      <c r="E3303" s="74">
        <v>43685</v>
      </c>
      <c r="F3303" s="74"/>
      <c r="G3303" s="74"/>
      <c r="H3303" s="74"/>
      <c r="I3303" s="74"/>
      <c r="J3303" s="51"/>
      <c r="K3303" s="6"/>
      <c r="L3303" s="15"/>
      <c r="M3303" s="14">
        <f t="shared" si="349"/>
        <v>0</v>
      </c>
    </row>
    <row r="3304" spans="2:14" x14ac:dyDescent="0.15">
      <c r="B3304" s="71" t="s">
        <v>39</v>
      </c>
      <c r="C3304" s="15">
        <v>100</v>
      </c>
      <c r="D3304" s="14">
        <f t="shared" si="350"/>
        <v>100</v>
      </c>
      <c r="E3304" s="74">
        <v>43686</v>
      </c>
      <c r="F3304" s="74"/>
      <c r="G3304" s="74"/>
      <c r="H3304" s="74"/>
      <c r="I3304" s="74"/>
      <c r="J3304" s="36"/>
      <c r="K3304" s="4"/>
      <c r="L3304" s="15"/>
      <c r="M3304" s="14">
        <f t="shared" si="349"/>
        <v>0</v>
      </c>
    </row>
    <row r="3305" spans="2:14" x14ac:dyDescent="0.15">
      <c r="B3305" s="71" t="s">
        <v>162</v>
      </c>
      <c r="C3305" s="15">
        <v>42</v>
      </c>
      <c r="D3305" s="14">
        <f t="shared" si="350"/>
        <v>42</v>
      </c>
      <c r="E3305" s="74">
        <v>43686</v>
      </c>
      <c r="F3305" s="74"/>
      <c r="G3305" s="74"/>
      <c r="H3305" s="74"/>
      <c r="I3305" s="74"/>
      <c r="J3305" s="36"/>
      <c r="K3305" s="4"/>
      <c r="L3305" s="15"/>
      <c r="M3305" s="14">
        <f t="shared" si="349"/>
        <v>0</v>
      </c>
    </row>
    <row r="3306" spans="2:14" x14ac:dyDescent="0.15">
      <c r="B3306" s="71" t="s">
        <v>162</v>
      </c>
      <c r="C3306" s="15">
        <v>57</v>
      </c>
      <c r="D3306" s="14">
        <f t="shared" si="350"/>
        <v>57</v>
      </c>
      <c r="E3306" s="74">
        <v>43686</v>
      </c>
      <c r="F3306" s="74"/>
      <c r="G3306" s="74"/>
      <c r="H3306" s="74"/>
      <c r="I3306" s="74"/>
      <c r="J3306" s="51"/>
      <c r="K3306" s="4"/>
      <c r="L3306" s="15"/>
      <c r="M3306" s="14">
        <f t="shared" si="349"/>
        <v>0</v>
      </c>
    </row>
    <row r="3307" spans="2:14" x14ac:dyDescent="0.15">
      <c r="B3307" s="71" t="s">
        <v>162</v>
      </c>
      <c r="C3307" s="15">
        <v>165</v>
      </c>
      <c r="D3307" s="14">
        <f t="shared" si="350"/>
        <v>165</v>
      </c>
      <c r="E3307" s="74">
        <v>43692</v>
      </c>
      <c r="F3307" s="74"/>
      <c r="G3307" s="74"/>
      <c r="H3307" s="74"/>
      <c r="I3307" s="74"/>
      <c r="J3307" s="51"/>
      <c r="K3307" s="4"/>
      <c r="L3307" s="15"/>
      <c r="M3307" s="14">
        <f t="shared" si="349"/>
        <v>0</v>
      </c>
    </row>
    <row r="3308" spans="2:14" x14ac:dyDescent="0.15">
      <c r="B3308" s="71" t="s">
        <v>162</v>
      </c>
      <c r="C3308" s="15">
        <v>116</v>
      </c>
      <c r="D3308" s="14">
        <f t="shared" si="350"/>
        <v>116</v>
      </c>
      <c r="E3308" s="74">
        <v>43693</v>
      </c>
      <c r="F3308" s="74"/>
      <c r="G3308" s="74"/>
      <c r="H3308" s="74"/>
      <c r="I3308" s="74"/>
      <c r="J3308" s="36"/>
      <c r="K3308" s="172"/>
      <c r="L3308" s="15"/>
      <c r="M3308" s="14">
        <f>SUM(L3308)</f>
        <v>0</v>
      </c>
    </row>
    <row r="3309" spans="2:14" x14ac:dyDescent="0.15">
      <c r="B3309" s="71" t="s">
        <v>162</v>
      </c>
      <c r="C3309" s="15">
        <v>110</v>
      </c>
      <c r="D3309" s="14">
        <f t="shared" si="350"/>
        <v>110</v>
      </c>
      <c r="E3309" s="74">
        <v>43696</v>
      </c>
      <c r="F3309" s="74"/>
      <c r="G3309" s="74"/>
      <c r="H3309" s="74"/>
      <c r="I3309" s="74"/>
      <c r="J3309" s="51"/>
      <c r="K3309" s="173"/>
      <c r="L3309" s="15"/>
      <c r="M3309" s="14">
        <f>SUM(L3309:L3309)</f>
        <v>0</v>
      </c>
    </row>
    <row r="3310" spans="2:14" x14ac:dyDescent="0.15">
      <c r="B3310" s="71" t="s">
        <v>627</v>
      </c>
      <c r="C3310" s="15">
        <v>18</v>
      </c>
      <c r="D3310" s="14">
        <f>SUM(C3310)</f>
        <v>18</v>
      </c>
      <c r="E3310" s="74">
        <v>43703</v>
      </c>
      <c r="F3310" s="74"/>
      <c r="G3310" s="74"/>
      <c r="H3310" s="74"/>
      <c r="I3310" s="74"/>
      <c r="J3310" s="51"/>
      <c r="K3310" s="4"/>
      <c r="L3310" s="15"/>
      <c r="M3310" s="14">
        <f>SUM(L3310:L3310)</f>
        <v>0</v>
      </c>
    </row>
    <row r="3311" spans="2:14" x14ac:dyDescent="0.15">
      <c r="B3311" s="71" t="s">
        <v>162</v>
      </c>
      <c r="C3311" s="15">
        <v>24</v>
      </c>
      <c r="D3311" s="14">
        <f>SUM(C3311)</f>
        <v>24</v>
      </c>
      <c r="E3311" s="74">
        <v>43697</v>
      </c>
      <c r="F3311" s="74"/>
      <c r="G3311" s="74"/>
      <c r="H3311" s="74"/>
      <c r="I3311" s="74"/>
      <c r="J3311" s="51"/>
      <c r="K3311" s="6"/>
      <c r="L3311" s="15"/>
      <c r="M3311" s="14">
        <f>SUM(L3311:L3311)</f>
        <v>0</v>
      </c>
    </row>
    <row r="3312" spans="2:14" x14ac:dyDescent="0.15">
      <c r="B3312" s="71" t="s">
        <v>612</v>
      </c>
      <c r="C3312" s="15">
        <v>12</v>
      </c>
      <c r="D3312" s="14">
        <f>SUM(C3312)</f>
        <v>12</v>
      </c>
      <c r="E3312" s="74">
        <v>43699</v>
      </c>
      <c r="F3312" s="74"/>
      <c r="G3312" s="74"/>
      <c r="H3312" s="74"/>
      <c r="I3312" s="74"/>
      <c r="J3312" s="51"/>
      <c r="K3312" s="6"/>
      <c r="L3312" s="15"/>
      <c r="M3312" s="14">
        <f>SUM(L3312:L3312)</f>
        <v>0</v>
      </c>
    </row>
    <row r="3313" spans="1:14" x14ac:dyDescent="0.15">
      <c r="B3313" s="71" t="s">
        <v>162</v>
      </c>
      <c r="C3313" s="15">
        <v>21</v>
      </c>
      <c r="D3313" s="14">
        <f t="shared" ref="D3313:D3319" si="351">SUM(C3313)</f>
        <v>21</v>
      </c>
      <c r="E3313" s="74">
        <v>43698</v>
      </c>
      <c r="F3313" s="74"/>
      <c r="G3313" s="74"/>
      <c r="H3313" s="74"/>
      <c r="I3313" s="74"/>
      <c r="J3313" s="51"/>
      <c r="K3313" s="172"/>
      <c r="L3313" s="15"/>
      <c r="M3313" s="14">
        <f>SUM(L3313)</f>
        <v>0</v>
      </c>
    </row>
    <row r="3314" spans="1:14" x14ac:dyDescent="0.15">
      <c r="B3314" s="71" t="s">
        <v>162</v>
      </c>
      <c r="C3314" s="15">
        <v>18</v>
      </c>
      <c r="D3314" s="14">
        <f t="shared" si="351"/>
        <v>18</v>
      </c>
      <c r="E3314" s="74">
        <v>43699</v>
      </c>
      <c r="F3314" s="74"/>
      <c r="G3314" s="74"/>
      <c r="H3314" s="74"/>
      <c r="I3314" s="74"/>
      <c r="J3314" s="51"/>
      <c r="K3314" s="173"/>
      <c r="L3314" s="15"/>
      <c r="M3314" s="14">
        <f>SUM(L3314:L3314)</f>
        <v>0</v>
      </c>
    </row>
    <row r="3315" spans="1:14" x14ac:dyDescent="0.15">
      <c r="B3315" s="71" t="s">
        <v>162</v>
      </c>
      <c r="C3315" s="15">
        <v>29</v>
      </c>
      <c r="D3315" s="14">
        <f t="shared" si="351"/>
        <v>29</v>
      </c>
      <c r="E3315" s="48">
        <v>43700</v>
      </c>
      <c r="F3315" s="48"/>
      <c r="G3315" s="48"/>
      <c r="H3315" s="48"/>
      <c r="I3315" s="48"/>
      <c r="J3315" s="51"/>
      <c r="K3315" s="4"/>
      <c r="L3315" s="15"/>
      <c r="M3315" s="14">
        <f>SUM(L3315)</f>
        <v>0</v>
      </c>
    </row>
    <row r="3316" spans="1:14" x14ac:dyDescent="0.15">
      <c r="B3316" s="71" t="s">
        <v>162</v>
      </c>
      <c r="C3316" s="15">
        <v>42</v>
      </c>
      <c r="D3316" s="14">
        <f t="shared" si="351"/>
        <v>42</v>
      </c>
      <c r="E3316" s="74">
        <v>43703</v>
      </c>
      <c r="F3316" s="74"/>
      <c r="G3316" s="74"/>
      <c r="H3316" s="74"/>
      <c r="I3316" s="74"/>
      <c r="J3316" s="51"/>
      <c r="K3316" s="6"/>
      <c r="L3316" s="15"/>
      <c r="M3316" s="14">
        <f>SUM(L3316:L3316)</f>
        <v>0</v>
      </c>
    </row>
    <row r="3317" spans="1:14" x14ac:dyDescent="0.15">
      <c r="B3317" s="71" t="s">
        <v>162</v>
      </c>
      <c r="C3317" s="15">
        <v>17</v>
      </c>
      <c r="D3317" s="14">
        <f t="shared" si="351"/>
        <v>17</v>
      </c>
      <c r="E3317" s="48">
        <v>43704</v>
      </c>
      <c r="F3317" s="48"/>
      <c r="G3317" s="48"/>
      <c r="H3317" s="48"/>
      <c r="I3317" s="48"/>
      <c r="J3317" s="51"/>
      <c r="K3317" s="6"/>
      <c r="L3317" s="15"/>
      <c r="M3317" s="14">
        <f>SUM(L3317:L3317)</f>
        <v>0</v>
      </c>
    </row>
    <row r="3318" spans="1:14" x14ac:dyDescent="0.15">
      <c r="B3318" s="71" t="s">
        <v>162</v>
      </c>
      <c r="C3318" s="15">
        <v>8</v>
      </c>
      <c r="D3318" s="14">
        <f t="shared" si="351"/>
        <v>8</v>
      </c>
      <c r="E3318" s="48">
        <v>43705</v>
      </c>
      <c r="F3318" s="48"/>
      <c r="G3318" s="48"/>
      <c r="H3318" s="48"/>
      <c r="I3318" s="48"/>
      <c r="J3318" s="51"/>
      <c r="K3318" s="6"/>
      <c r="L3318" s="15"/>
      <c r="M3318" s="14">
        <f>SUM(L3318:L3318)</f>
        <v>0</v>
      </c>
      <c r="N3318" s="75"/>
    </row>
    <row r="3319" spans="1:14" ht="14.25" thickBot="1" x14ac:dyDescent="0.2">
      <c r="B3319" s="71" t="s">
        <v>162</v>
      </c>
      <c r="C3319" s="15">
        <v>7</v>
      </c>
      <c r="D3319" s="14">
        <f t="shared" si="351"/>
        <v>7</v>
      </c>
      <c r="E3319" s="48">
        <v>43706</v>
      </c>
      <c r="F3319" s="48"/>
      <c r="G3319" s="48"/>
      <c r="H3319" s="48"/>
      <c r="I3319" s="48"/>
      <c r="J3319" s="51"/>
      <c r="K3319" s="6"/>
      <c r="L3319" s="15"/>
      <c r="M3319" s="14">
        <f>SUM(L3319:L3319)</f>
        <v>0</v>
      </c>
      <c r="N3319" s="75"/>
    </row>
    <row r="3320" spans="1:14" ht="14.25" thickBot="1" x14ac:dyDescent="0.2">
      <c r="B3320" s="3" t="s">
        <v>5</v>
      </c>
      <c r="C3320" s="16">
        <f>SUM(C3296:C3319)</f>
        <v>1322</v>
      </c>
      <c r="D3320" s="17">
        <f>SUM(D3296:D3319)</f>
        <v>1322</v>
      </c>
      <c r="K3320" s="3" t="s">
        <v>5</v>
      </c>
      <c r="L3320" s="16">
        <f>SUM(L3296:L3319)</f>
        <v>2020</v>
      </c>
      <c r="M3320" s="17">
        <f>SUM(M3296:M3319)</f>
        <v>2020</v>
      </c>
    </row>
    <row r="3321" spans="1:14" ht="14.25" thickBot="1" x14ac:dyDescent="0.2">
      <c r="B3321" s="18" t="s">
        <v>6</v>
      </c>
      <c r="C3321" s="19">
        <f>C3295-C3320</f>
        <v>141</v>
      </c>
      <c r="D3321" s="13">
        <f>D3295-D3320</f>
        <v>141</v>
      </c>
      <c r="K3321" s="18" t="s">
        <v>6</v>
      </c>
      <c r="L3321" s="19">
        <f>L3295-L3320</f>
        <v>2079</v>
      </c>
      <c r="M3321" s="13">
        <f>M3295-M3320</f>
        <v>2079</v>
      </c>
    </row>
    <row r="3323" spans="1:14" ht="18" thickBot="1" x14ac:dyDescent="0.25">
      <c r="A3323" s="27" t="s">
        <v>8</v>
      </c>
      <c r="B3323" s="28"/>
      <c r="C3323" s="28"/>
      <c r="D3323" s="28"/>
      <c r="J3323" s="139" t="s">
        <v>218</v>
      </c>
      <c r="K3323" s="140"/>
      <c r="L3323" s="140"/>
      <c r="M3323" s="140"/>
    </row>
    <row r="3324" spans="1:14" ht="14.25" thickBot="1" x14ac:dyDescent="0.2">
      <c r="B3324" s="2"/>
      <c r="C3324" s="3" t="s">
        <v>0</v>
      </c>
      <c r="D3324" s="2" t="s">
        <v>1</v>
      </c>
      <c r="K3324" s="2"/>
      <c r="L3324" s="3" t="s">
        <v>0</v>
      </c>
      <c r="M3324" s="2" t="s">
        <v>1</v>
      </c>
    </row>
    <row r="3325" spans="1:14" x14ac:dyDescent="0.15">
      <c r="B3325" s="43" t="s">
        <v>26</v>
      </c>
      <c r="C3325" s="38">
        <f>C3321</f>
        <v>141</v>
      </c>
      <c r="D3325" s="39">
        <f t="shared" ref="D3325:D3335" si="352">SUM(C3325:C3325)</f>
        <v>141</v>
      </c>
      <c r="K3325" s="43" t="s">
        <v>26</v>
      </c>
      <c r="L3325" s="38">
        <f>L3321</f>
        <v>2079</v>
      </c>
      <c r="M3325" s="39">
        <f t="shared" ref="M3325:M3335" si="353">SUM(L3325:L3325)</f>
        <v>2079</v>
      </c>
    </row>
    <row r="3326" spans="1:14" x14ac:dyDescent="0.15">
      <c r="B3326" s="6" t="s">
        <v>3</v>
      </c>
      <c r="C3326" s="7">
        <v>1</v>
      </c>
      <c r="D3326" s="5">
        <f t="shared" si="352"/>
        <v>1</v>
      </c>
      <c r="E3326" s="74">
        <v>43708</v>
      </c>
      <c r="F3326" s="74"/>
      <c r="G3326" s="74"/>
      <c r="H3326" s="74"/>
      <c r="I3326" s="74"/>
      <c r="J3326" s="75"/>
      <c r="K3326" s="6" t="s">
        <v>3</v>
      </c>
      <c r="L3326" s="7"/>
      <c r="M3326" s="5">
        <f t="shared" si="353"/>
        <v>0</v>
      </c>
    </row>
    <row r="3327" spans="1:14" x14ac:dyDescent="0.15">
      <c r="A3327" s="75"/>
      <c r="B3327" s="6" t="s">
        <v>3</v>
      </c>
      <c r="C3327" s="7">
        <v>200</v>
      </c>
      <c r="D3327" s="5">
        <f t="shared" si="352"/>
        <v>200</v>
      </c>
      <c r="E3327" s="74">
        <v>43713</v>
      </c>
      <c r="F3327" s="74"/>
      <c r="G3327" s="74"/>
      <c r="H3327" s="74"/>
      <c r="I3327" s="74"/>
      <c r="K3327" s="6" t="s">
        <v>3</v>
      </c>
      <c r="L3327" s="7"/>
      <c r="M3327" s="5">
        <f t="shared" si="353"/>
        <v>0</v>
      </c>
    </row>
    <row r="3328" spans="1:14" x14ac:dyDescent="0.15">
      <c r="A3328" s="75"/>
      <c r="B3328" s="6" t="s">
        <v>64</v>
      </c>
      <c r="C3328" s="7">
        <v>124</v>
      </c>
      <c r="D3328" s="5">
        <f t="shared" si="352"/>
        <v>124</v>
      </c>
      <c r="E3328" s="74">
        <v>43713</v>
      </c>
      <c r="F3328" s="74"/>
      <c r="G3328" s="74"/>
      <c r="H3328" s="74"/>
      <c r="I3328" s="74"/>
      <c r="J3328" s="100"/>
      <c r="K3328" s="6" t="s">
        <v>3</v>
      </c>
      <c r="L3328" s="7"/>
      <c r="M3328" s="5">
        <f t="shared" si="353"/>
        <v>0</v>
      </c>
    </row>
    <row r="3329" spans="2:14" x14ac:dyDescent="0.15">
      <c r="B3329" s="6" t="s">
        <v>3</v>
      </c>
      <c r="C3329" s="7">
        <v>200</v>
      </c>
      <c r="D3329" s="5">
        <f t="shared" si="352"/>
        <v>200</v>
      </c>
      <c r="E3329" s="74">
        <v>43726</v>
      </c>
      <c r="F3329" s="74"/>
      <c r="G3329" s="74"/>
      <c r="H3329" s="74"/>
      <c r="I3329" s="74"/>
      <c r="K3329" s="6" t="s">
        <v>3</v>
      </c>
      <c r="L3329" s="7"/>
      <c r="M3329" s="5">
        <f t="shared" si="353"/>
        <v>0</v>
      </c>
    </row>
    <row r="3330" spans="2:14" x14ac:dyDescent="0.15">
      <c r="B3330" s="6" t="s">
        <v>3</v>
      </c>
      <c r="C3330" s="7"/>
      <c r="D3330" s="5">
        <f t="shared" si="352"/>
        <v>0</v>
      </c>
      <c r="E3330" s="74"/>
      <c r="F3330" s="74"/>
      <c r="G3330" s="74"/>
      <c r="H3330" s="74"/>
      <c r="I3330" s="74"/>
      <c r="K3330" s="6" t="s">
        <v>3</v>
      </c>
      <c r="L3330" s="7"/>
      <c r="M3330" s="5">
        <f t="shared" si="353"/>
        <v>0</v>
      </c>
    </row>
    <row r="3331" spans="2:14" x14ac:dyDescent="0.15">
      <c r="B3331" s="6" t="s">
        <v>3</v>
      </c>
      <c r="C3331" s="7"/>
      <c r="D3331" s="5">
        <f t="shared" si="352"/>
        <v>0</v>
      </c>
      <c r="E3331" s="74"/>
      <c r="F3331" s="74"/>
      <c r="G3331" s="74"/>
      <c r="H3331" s="74"/>
      <c r="I3331" s="74"/>
      <c r="K3331" s="6" t="s">
        <v>3</v>
      </c>
      <c r="L3331" s="7"/>
      <c r="M3331" s="5">
        <f t="shared" si="353"/>
        <v>0</v>
      </c>
    </row>
    <row r="3332" spans="2:14" x14ac:dyDescent="0.15">
      <c r="B3332" s="6" t="s">
        <v>3</v>
      </c>
      <c r="C3332" s="54"/>
      <c r="D3332" s="5">
        <f t="shared" si="352"/>
        <v>0</v>
      </c>
      <c r="K3332" s="6" t="s">
        <v>3</v>
      </c>
      <c r="L3332" s="7"/>
      <c r="M3332" s="5">
        <f t="shared" si="353"/>
        <v>0</v>
      </c>
    </row>
    <row r="3333" spans="2:14" x14ac:dyDescent="0.15">
      <c r="B3333" s="6" t="s">
        <v>3</v>
      </c>
      <c r="C3333" s="54"/>
      <c r="D3333" s="5">
        <f t="shared" si="352"/>
        <v>0</v>
      </c>
      <c r="K3333" s="6" t="s">
        <v>3</v>
      </c>
      <c r="L3333" s="7"/>
      <c r="M3333" s="5">
        <f t="shared" si="353"/>
        <v>0</v>
      </c>
    </row>
    <row r="3334" spans="2:14" x14ac:dyDescent="0.15">
      <c r="B3334" s="6" t="s">
        <v>3</v>
      </c>
      <c r="C3334" s="54"/>
      <c r="D3334" s="5">
        <f t="shared" si="352"/>
        <v>0</v>
      </c>
      <c r="K3334" s="6" t="s">
        <v>3</v>
      </c>
      <c r="L3334" s="7"/>
      <c r="M3334" s="5">
        <f t="shared" si="353"/>
        <v>0</v>
      </c>
    </row>
    <row r="3335" spans="2:14" ht="14.25" thickBot="1" x14ac:dyDescent="0.2">
      <c r="B3335" s="9" t="s">
        <v>3</v>
      </c>
      <c r="C3335" s="101"/>
      <c r="D3335" s="5">
        <f t="shared" si="352"/>
        <v>0</v>
      </c>
      <c r="K3335" s="9" t="s">
        <v>3</v>
      </c>
      <c r="L3335" s="10"/>
      <c r="M3335" s="5">
        <f t="shared" si="353"/>
        <v>0</v>
      </c>
    </row>
    <row r="3336" spans="2:14" ht="14.25" thickBot="1" x14ac:dyDescent="0.2">
      <c r="B3336" s="11" t="s">
        <v>4</v>
      </c>
      <c r="C3336" s="12">
        <f>SUM(C3325:C3335)</f>
        <v>666</v>
      </c>
      <c r="D3336" s="13">
        <f>SUM(D3325:D3335)</f>
        <v>666</v>
      </c>
      <c r="K3336" s="11" t="s">
        <v>4</v>
      </c>
      <c r="L3336" s="12">
        <f>SUM(L3325:L3335)</f>
        <v>2079</v>
      </c>
      <c r="M3336" s="13">
        <f>SUM(M3325:M3335)</f>
        <v>2079</v>
      </c>
    </row>
    <row r="3337" spans="2:14" x14ac:dyDescent="0.15">
      <c r="B3337" s="71" t="s">
        <v>162</v>
      </c>
      <c r="C3337" s="15">
        <v>14</v>
      </c>
      <c r="D3337" s="14">
        <f>SUM(C3337)</f>
        <v>14</v>
      </c>
      <c r="E3337" s="74">
        <v>43707</v>
      </c>
      <c r="F3337" s="74"/>
      <c r="G3337" s="74"/>
      <c r="H3337" s="74"/>
      <c r="I3337" s="74"/>
      <c r="J3337" s="75"/>
      <c r="K3337" s="71" t="s">
        <v>31</v>
      </c>
      <c r="L3337" s="15">
        <v>200</v>
      </c>
      <c r="M3337" s="14">
        <f>SUM(L3337)</f>
        <v>200</v>
      </c>
      <c r="N3337" s="74">
        <v>43713</v>
      </c>
    </row>
    <row r="3338" spans="2:14" x14ac:dyDescent="0.15">
      <c r="B3338" s="71" t="s">
        <v>162</v>
      </c>
      <c r="C3338" s="15">
        <v>46</v>
      </c>
      <c r="D3338" s="14">
        <f>SUM(C3338)</f>
        <v>46</v>
      </c>
      <c r="E3338" s="74">
        <v>43710</v>
      </c>
      <c r="F3338" s="74"/>
      <c r="G3338" s="74"/>
      <c r="H3338" s="74"/>
      <c r="I3338" s="74"/>
      <c r="J3338" s="36"/>
      <c r="K3338" s="71" t="s">
        <v>31</v>
      </c>
      <c r="L3338" s="15">
        <v>200</v>
      </c>
      <c r="M3338" s="14">
        <f t="shared" ref="M3338:M3348" si="354">SUM(L3338:L3338)</f>
        <v>200</v>
      </c>
      <c r="N3338" s="74">
        <v>43726</v>
      </c>
    </row>
    <row r="3339" spans="2:14" x14ac:dyDescent="0.15">
      <c r="B3339" s="71" t="s">
        <v>612</v>
      </c>
      <c r="C3339" s="15">
        <v>1</v>
      </c>
      <c r="D3339" s="14">
        <f>SUM(C3339)</f>
        <v>1</v>
      </c>
      <c r="E3339" s="74">
        <v>43713</v>
      </c>
      <c r="F3339" s="74"/>
      <c r="G3339" s="74"/>
      <c r="H3339" s="74"/>
      <c r="I3339" s="74"/>
      <c r="J3339" s="51"/>
      <c r="K3339" s="71"/>
      <c r="L3339" s="15"/>
      <c r="M3339" s="14">
        <f t="shared" si="354"/>
        <v>0</v>
      </c>
      <c r="N3339" s="75"/>
    </row>
    <row r="3340" spans="2:14" x14ac:dyDescent="0.15">
      <c r="B3340" s="71" t="s">
        <v>162</v>
      </c>
      <c r="C3340" s="15">
        <v>19</v>
      </c>
      <c r="D3340" s="14">
        <f t="shared" ref="D3340:D3350" si="355">SUM(C3340)</f>
        <v>19</v>
      </c>
      <c r="E3340" s="74">
        <v>43711</v>
      </c>
      <c r="F3340" s="74"/>
      <c r="G3340" s="74"/>
      <c r="H3340" s="74"/>
      <c r="I3340" s="74"/>
      <c r="J3340" s="51"/>
      <c r="K3340" s="71"/>
      <c r="L3340" s="15"/>
      <c r="M3340" s="14">
        <f t="shared" si="354"/>
        <v>0</v>
      </c>
    </row>
    <row r="3341" spans="2:14" x14ac:dyDescent="0.15">
      <c r="B3341" s="71" t="s">
        <v>162</v>
      </c>
      <c r="C3341" s="15">
        <v>8</v>
      </c>
      <c r="D3341" s="14">
        <f t="shared" si="355"/>
        <v>8</v>
      </c>
      <c r="E3341" s="74">
        <v>43712</v>
      </c>
      <c r="F3341" s="74"/>
      <c r="G3341" s="74"/>
      <c r="H3341" s="74"/>
      <c r="I3341" s="74"/>
      <c r="J3341" s="51"/>
      <c r="K3341" s="4"/>
      <c r="L3341" s="15"/>
      <c r="M3341" s="14">
        <f t="shared" si="354"/>
        <v>0</v>
      </c>
    </row>
    <row r="3342" spans="2:14" x14ac:dyDescent="0.15">
      <c r="B3342" s="71" t="s">
        <v>162</v>
      </c>
      <c r="C3342" s="15">
        <v>18</v>
      </c>
      <c r="D3342" s="14">
        <f t="shared" si="355"/>
        <v>18</v>
      </c>
      <c r="E3342" s="74">
        <v>43713</v>
      </c>
      <c r="F3342" s="74"/>
      <c r="G3342" s="74"/>
      <c r="H3342" s="74"/>
      <c r="I3342" s="74"/>
      <c r="J3342" s="51"/>
      <c r="K3342" s="71"/>
      <c r="L3342" s="15"/>
      <c r="M3342" s="14">
        <f t="shared" si="354"/>
        <v>0</v>
      </c>
    </row>
    <row r="3343" spans="2:14" x14ac:dyDescent="0.15">
      <c r="B3343" s="71" t="s">
        <v>162</v>
      </c>
      <c r="C3343" s="15">
        <v>18</v>
      </c>
      <c r="D3343" s="14">
        <f t="shared" si="355"/>
        <v>18</v>
      </c>
      <c r="E3343" s="74">
        <v>43714</v>
      </c>
      <c r="F3343" s="74"/>
      <c r="G3343" s="74"/>
      <c r="H3343" s="74"/>
      <c r="I3343" s="74"/>
      <c r="J3343" s="51"/>
      <c r="K3343" s="4"/>
      <c r="L3343" s="15"/>
      <c r="M3343" s="14">
        <f t="shared" si="354"/>
        <v>0</v>
      </c>
    </row>
    <row r="3344" spans="2:14" x14ac:dyDescent="0.15">
      <c r="B3344" s="71" t="s">
        <v>162</v>
      </c>
      <c r="C3344" s="15">
        <v>16</v>
      </c>
      <c r="D3344" s="14">
        <f t="shared" si="355"/>
        <v>16</v>
      </c>
      <c r="E3344" s="74">
        <v>43715</v>
      </c>
      <c r="F3344" s="74"/>
      <c r="G3344" s="74"/>
      <c r="H3344" s="74"/>
      <c r="I3344" s="74"/>
      <c r="J3344" s="51"/>
      <c r="K3344" s="6"/>
      <c r="L3344" s="15"/>
      <c r="M3344" s="14">
        <f t="shared" si="354"/>
        <v>0</v>
      </c>
    </row>
    <row r="3345" spans="2:15" x14ac:dyDescent="0.15">
      <c r="B3345" s="71" t="s">
        <v>162</v>
      </c>
      <c r="C3345" s="15">
        <v>51</v>
      </c>
      <c r="D3345" s="14">
        <f t="shared" si="355"/>
        <v>51</v>
      </c>
      <c r="E3345" s="74">
        <v>43717</v>
      </c>
      <c r="F3345" s="74"/>
      <c r="G3345" s="74"/>
      <c r="H3345" s="74"/>
      <c r="I3345" s="74"/>
      <c r="J3345" s="36"/>
      <c r="K3345" s="4"/>
      <c r="L3345" s="15"/>
      <c r="M3345" s="14">
        <f t="shared" si="354"/>
        <v>0</v>
      </c>
    </row>
    <row r="3346" spans="2:15" x14ac:dyDescent="0.15">
      <c r="B3346" s="71" t="s">
        <v>162</v>
      </c>
      <c r="C3346" s="15">
        <v>45</v>
      </c>
      <c r="D3346" s="14">
        <f t="shared" si="355"/>
        <v>45</v>
      </c>
      <c r="E3346" s="74">
        <v>43718</v>
      </c>
      <c r="F3346" s="74"/>
      <c r="G3346" s="74"/>
      <c r="H3346" s="74"/>
      <c r="I3346" s="74"/>
      <c r="J3346" s="36"/>
      <c r="K3346" s="4"/>
      <c r="L3346" s="15"/>
      <c r="M3346" s="14">
        <f t="shared" si="354"/>
        <v>0</v>
      </c>
    </row>
    <row r="3347" spans="2:15" x14ac:dyDescent="0.15">
      <c r="B3347" s="71" t="s">
        <v>162</v>
      </c>
      <c r="C3347" s="15">
        <v>48</v>
      </c>
      <c r="D3347" s="14">
        <f t="shared" si="355"/>
        <v>48</v>
      </c>
      <c r="E3347" s="74">
        <v>43719</v>
      </c>
      <c r="F3347" s="74"/>
      <c r="G3347" s="74"/>
      <c r="H3347" s="74"/>
      <c r="I3347" s="74"/>
      <c r="J3347" s="51"/>
      <c r="K3347" s="4"/>
      <c r="L3347" s="15"/>
      <c r="M3347" s="14">
        <f t="shared" si="354"/>
        <v>0</v>
      </c>
    </row>
    <row r="3348" spans="2:15" x14ac:dyDescent="0.15">
      <c r="B3348" s="71" t="s">
        <v>162</v>
      </c>
      <c r="C3348" s="15">
        <v>20</v>
      </c>
      <c r="D3348" s="14">
        <f t="shared" si="355"/>
        <v>20</v>
      </c>
      <c r="E3348" s="74">
        <v>43720</v>
      </c>
      <c r="F3348" s="74"/>
      <c r="G3348" s="74"/>
      <c r="H3348" s="74"/>
      <c r="I3348" s="74"/>
      <c r="J3348" s="51"/>
      <c r="K3348" s="4"/>
      <c r="L3348" s="15"/>
      <c r="M3348" s="14">
        <f t="shared" si="354"/>
        <v>0</v>
      </c>
    </row>
    <row r="3349" spans="2:15" x14ac:dyDescent="0.15">
      <c r="B3349" s="71" t="s">
        <v>162</v>
      </c>
      <c r="C3349" s="15">
        <v>16</v>
      </c>
      <c r="D3349" s="14">
        <f t="shared" si="355"/>
        <v>16</v>
      </c>
      <c r="E3349" s="74">
        <v>43721</v>
      </c>
      <c r="F3349" s="74"/>
      <c r="G3349" s="74"/>
      <c r="H3349" s="74"/>
      <c r="I3349" s="74"/>
      <c r="J3349" s="36"/>
      <c r="K3349" s="172"/>
      <c r="L3349" s="15"/>
      <c r="M3349" s="14">
        <f>SUM(L3349)</f>
        <v>0</v>
      </c>
    </row>
    <row r="3350" spans="2:15" x14ac:dyDescent="0.15">
      <c r="B3350" s="71" t="s">
        <v>631</v>
      </c>
      <c r="C3350" s="15">
        <v>40</v>
      </c>
      <c r="D3350" s="14">
        <f t="shared" si="355"/>
        <v>40</v>
      </c>
      <c r="E3350" s="74">
        <v>43728</v>
      </c>
      <c r="F3350" s="74"/>
      <c r="G3350" s="74"/>
      <c r="H3350" s="74"/>
      <c r="I3350" s="74"/>
      <c r="J3350" s="51"/>
      <c r="K3350" s="173"/>
      <c r="L3350" s="15"/>
      <c r="M3350" s="14">
        <f>SUM(L3350:L3350)</f>
        <v>0</v>
      </c>
    </row>
    <row r="3351" spans="2:15" x14ac:dyDescent="0.15">
      <c r="B3351" s="71" t="s">
        <v>162</v>
      </c>
      <c r="C3351" s="15">
        <v>42</v>
      </c>
      <c r="D3351" s="14">
        <f>SUM(C3351)</f>
        <v>42</v>
      </c>
      <c r="E3351" s="74">
        <v>43724</v>
      </c>
      <c r="F3351" s="74"/>
      <c r="G3351" s="74"/>
      <c r="H3351" s="74"/>
      <c r="I3351" s="74"/>
      <c r="J3351" s="51"/>
      <c r="K3351" s="4"/>
      <c r="L3351" s="15"/>
      <c r="M3351" s="14">
        <f>SUM(L3351:L3351)</f>
        <v>0</v>
      </c>
    </row>
    <row r="3352" spans="2:15" x14ac:dyDescent="0.15">
      <c r="B3352" s="71" t="s">
        <v>612</v>
      </c>
      <c r="C3352" s="15">
        <v>1</v>
      </c>
      <c r="D3352" s="14">
        <f>SUM(C3352)</f>
        <v>1</v>
      </c>
      <c r="E3352" s="74">
        <v>43727</v>
      </c>
      <c r="F3352" s="74"/>
      <c r="G3352" s="74"/>
      <c r="H3352" s="74"/>
      <c r="I3352" s="74"/>
      <c r="J3352" s="51"/>
      <c r="K3352" s="6"/>
      <c r="L3352" s="15"/>
      <c r="M3352" s="14">
        <f>SUM(L3352:L3352)</f>
        <v>0</v>
      </c>
    </row>
    <row r="3353" spans="2:15" x14ac:dyDescent="0.15">
      <c r="B3353" s="71" t="s">
        <v>162</v>
      </c>
      <c r="C3353" s="15">
        <v>10</v>
      </c>
      <c r="D3353" s="14">
        <f>SUM(C3353)</f>
        <v>10</v>
      </c>
      <c r="E3353" s="74">
        <v>43725</v>
      </c>
      <c r="F3353" s="74"/>
      <c r="G3353" s="74"/>
      <c r="H3353" s="74"/>
      <c r="I3353" s="74"/>
      <c r="J3353" s="51"/>
      <c r="K3353" s="6"/>
      <c r="L3353" s="15"/>
      <c r="M3353" s="14">
        <f>SUM(L3353:L3353)</f>
        <v>0</v>
      </c>
    </row>
    <row r="3354" spans="2:15" x14ac:dyDescent="0.15">
      <c r="B3354" s="71" t="s">
        <v>162</v>
      </c>
      <c r="C3354" s="15">
        <v>3</v>
      </c>
      <c r="D3354" s="14">
        <f t="shared" ref="D3354:D3360" si="356">SUM(C3354)</f>
        <v>3</v>
      </c>
      <c r="E3354" s="74">
        <v>43726</v>
      </c>
      <c r="F3354" s="74"/>
      <c r="G3354" s="74"/>
      <c r="H3354" s="74"/>
      <c r="I3354" s="74"/>
      <c r="J3354" s="51"/>
      <c r="K3354" s="172"/>
      <c r="L3354" s="15"/>
      <c r="M3354" s="14">
        <f>SUM(L3354)</f>
        <v>0</v>
      </c>
    </row>
    <row r="3355" spans="2:15" x14ac:dyDescent="0.15">
      <c r="B3355" s="71" t="s">
        <v>162</v>
      </c>
      <c r="C3355" s="15">
        <v>10</v>
      </c>
      <c r="D3355" s="14">
        <f t="shared" si="356"/>
        <v>10</v>
      </c>
      <c r="E3355" s="74">
        <v>43727</v>
      </c>
      <c r="F3355" s="74"/>
      <c r="G3355" s="74"/>
      <c r="H3355" s="74"/>
      <c r="I3355" s="74"/>
      <c r="J3355" s="51"/>
      <c r="K3355" s="173"/>
      <c r="L3355" s="15"/>
      <c r="M3355" s="14">
        <f>SUM(L3355:L3355)</f>
        <v>0</v>
      </c>
    </row>
    <row r="3356" spans="2:15" x14ac:dyDescent="0.15">
      <c r="B3356" s="71" t="s">
        <v>162</v>
      </c>
      <c r="C3356" s="15">
        <v>20</v>
      </c>
      <c r="D3356" s="14">
        <f t="shared" si="356"/>
        <v>20</v>
      </c>
      <c r="E3356" s="48">
        <v>43728</v>
      </c>
      <c r="F3356" s="48"/>
      <c r="G3356" s="48"/>
      <c r="H3356" s="48"/>
      <c r="I3356" s="48"/>
      <c r="J3356" s="51"/>
      <c r="K3356" s="4"/>
      <c r="L3356" s="15"/>
      <c r="M3356" s="14">
        <f>SUM(L3356)</f>
        <v>0</v>
      </c>
    </row>
    <row r="3357" spans="2:15" x14ac:dyDescent="0.15">
      <c r="B3357" s="71" t="s">
        <v>162</v>
      </c>
      <c r="C3357" s="15">
        <v>14</v>
      </c>
      <c r="D3357" s="14">
        <f t="shared" si="356"/>
        <v>14</v>
      </c>
      <c r="E3357" s="74">
        <v>43729</v>
      </c>
      <c r="F3357" s="74"/>
      <c r="G3357" s="74"/>
      <c r="H3357" s="74"/>
      <c r="I3357" s="74"/>
      <c r="J3357" s="51"/>
      <c r="K3357" s="6"/>
      <c r="L3357" s="15"/>
      <c r="M3357" s="14">
        <f>SUM(L3357:L3357)</f>
        <v>0</v>
      </c>
    </row>
    <row r="3358" spans="2:15" x14ac:dyDescent="0.15">
      <c r="B3358" s="71" t="s">
        <v>162</v>
      </c>
      <c r="C3358" s="15">
        <v>21</v>
      </c>
      <c r="D3358" s="14">
        <f t="shared" si="356"/>
        <v>21</v>
      </c>
      <c r="E3358" s="48">
        <v>43732</v>
      </c>
      <c r="F3358" s="48"/>
      <c r="G3358" s="48"/>
      <c r="H3358" s="48"/>
      <c r="I3358" s="48"/>
      <c r="J3358" s="51"/>
      <c r="K3358" s="6"/>
      <c r="L3358" s="15"/>
      <c r="M3358" s="14">
        <f>SUM(L3358:L3358)</f>
        <v>0</v>
      </c>
    </row>
    <row r="3359" spans="2:15" x14ac:dyDescent="0.15">
      <c r="B3359" s="71" t="s">
        <v>162</v>
      </c>
      <c r="C3359" s="15">
        <v>6</v>
      </c>
      <c r="D3359" s="14">
        <f t="shared" si="356"/>
        <v>6</v>
      </c>
      <c r="E3359" s="48">
        <v>43733</v>
      </c>
      <c r="F3359" s="48"/>
      <c r="G3359" s="48"/>
      <c r="H3359" s="48"/>
      <c r="I3359" s="48"/>
      <c r="J3359" s="51"/>
      <c r="K3359" s="6"/>
      <c r="L3359" s="15"/>
      <c r="M3359" s="14">
        <f>SUM(L3359:L3359)</f>
        <v>0</v>
      </c>
    </row>
    <row r="3360" spans="2:15" ht="14.25" thickBot="1" x14ac:dyDescent="0.2">
      <c r="B3360" s="71" t="s">
        <v>162</v>
      </c>
      <c r="C3360" s="15">
        <v>8</v>
      </c>
      <c r="D3360" s="14">
        <f t="shared" si="356"/>
        <v>8</v>
      </c>
      <c r="E3360" s="48">
        <v>43734</v>
      </c>
      <c r="F3360" s="48"/>
      <c r="G3360" s="48"/>
      <c r="H3360" s="48"/>
      <c r="I3360" s="48"/>
      <c r="J3360" s="51"/>
      <c r="K3360" s="6"/>
      <c r="L3360" s="15"/>
      <c r="M3360" s="14">
        <f>SUM(L3360:L3360)</f>
        <v>0</v>
      </c>
      <c r="N3360" s="75"/>
      <c r="O3360" s="75"/>
    </row>
    <row r="3361" spans="1:13" ht="14.25" thickBot="1" x14ac:dyDescent="0.2">
      <c r="B3361" s="3" t="s">
        <v>5</v>
      </c>
      <c r="C3361" s="16">
        <f>SUM(C3337:C3360)</f>
        <v>495</v>
      </c>
      <c r="D3361" s="17">
        <f>SUM(D3337:D3360)</f>
        <v>495</v>
      </c>
      <c r="K3361" s="3" t="s">
        <v>5</v>
      </c>
      <c r="L3361" s="16">
        <f>SUM(L3337:L3360)</f>
        <v>400</v>
      </c>
      <c r="M3361" s="17">
        <f>SUM(M3337:M3360)</f>
        <v>400</v>
      </c>
    </row>
    <row r="3362" spans="1:13" ht="14.25" thickBot="1" x14ac:dyDescent="0.2">
      <c r="B3362" s="18" t="s">
        <v>6</v>
      </c>
      <c r="C3362" s="19">
        <f>C3336-C3361</f>
        <v>171</v>
      </c>
      <c r="D3362" s="13">
        <f>D3336-D3361</f>
        <v>171</v>
      </c>
      <c r="K3362" s="18" t="s">
        <v>6</v>
      </c>
      <c r="L3362" s="19">
        <f>L3336-L3361</f>
        <v>1679</v>
      </c>
      <c r="M3362" s="13">
        <f>M3336-M3361</f>
        <v>1679</v>
      </c>
    </row>
    <row r="3364" spans="1:13" ht="18" thickBot="1" x14ac:dyDescent="0.25">
      <c r="A3364" s="27" t="s">
        <v>8</v>
      </c>
      <c r="B3364" s="28"/>
      <c r="C3364" s="28"/>
      <c r="D3364" s="28"/>
      <c r="J3364" s="139" t="s">
        <v>218</v>
      </c>
      <c r="K3364" s="140"/>
      <c r="L3364" s="140"/>
      <c r="M3364" s="140"/>
    </row>
    <row r="3365" spans="1:13" ht="14.25" thickBot="1" x14ac:dyDescent="0.2">
      <c r="B3365" s="2"/>
      <c r="C3365" s="3" t="s">
        <v>0</v>
      </c>
      <c r="D3365" s="2" t="s">
        <v>1</v>
      </c>
      <c r="K3365" s="2"/>
      <c r="L3365" s="3" t="s">
        <v>0</v>
      </c>
      <c r="M3365" s="2" t="s">
        <v>1</v>
      </c>
    </row>
    <row r="3366" spans="1:13" x14ac:dyDescent="0.15">
      <c r="B3366" s="43" t="s">
        <v>26</v>
      </c>
      <c r="C3366" s="38">
        <f>C3362</f>
        <v>171</v>
      </c>
      <c r="D3366" s="39">
        <f t="shared" ref="D3366:D3376" si="357">SUM(C3366:C3366)</f>
        <v>171</v>
      </c>
      <c r="K3366" s="43" t="s">
        <v>26</v>
      </c>
      <c r="L3366" s="38">
        <f>L3362</f>
        <v>1679</v>
      </c>
      <c r="M3366" s="39">
        <f t="shared" ref="M3366:M3376" si="358">SUM(L3366:L3366)</f>
        <v>1679</v>
      </c>
    </row>
    <row r="3367" spans="1:13" x14ac:dyDescent="0.15">
      <c r="B3367" s="6" t="s">
        <v>3</v>
      </c>
      <c r="C3367" s="7">
        <v>200</v>
      </c>
      <c r="D3367" s="5">
        <f t="shared" si="357"/>
        <v>200</v>
      </c>
      <c r="E3367" s="74">
        <v>43767</v>
      </c>
      <c r="F3367" s="74"/>
      <c r="G3367" s="74"/>
      <c r="H3367" s="74"/>
      <c r="I3367" s="74"/>
      <c r="J3367" s="75"/>
      <c r="K3367" s="6" t="s">
        <v>3</v>
      </c>
      <c r="L3367" s="7"/>
      <c r="M3367" s="5">
        <f t="shared" si="358"/>
        <v>0</v>
      </c>
    </row>
    <row r="3368" spans="1:13" x14ac:dyDescent="0.15">
      <c r="A3368" s="75"/>
      <c r="B3368" s="6" t="s">
        <v>3</v>
      </c>
      <c r="C3368" s="7"/>
      <c r="D3368" s="5">
        <f t="shared" si="357"/>
        <v>0</v>
      </c>
      <c r="E3368" s="74"/>
      <c r="F3368" s="74"/>
      <c r="G3368" s="74"/>
      <c r="H3368" s="74"/>
      <c r="I3368" s="74"/>
      <c r="K3368" s="6" t="s">
        <v>3</v>
      </c>
      <c r="L3368" s="7"/>
      <c r="M3368" s="5">
        <f t="shared" si="358"/>
        <v>0</v>
      </c>
    </row>
    <row r="3369" spans="1:13" x14ac:dyDescent="0.15">
      <c r="A3369" s="75"/>
      <c r="B3369" s="6" t="s">
        <v>3</v>
      </c>
      <c r="C3369" s="7"/>
      <c r="D3369" s="5">
        <f t="shared" si="357"/>
        <v>0</v>
      </c>
      <c r="E3369" s="74"/>
      <c r="F3369" s="74"/>
      <c r="G3369" s="74"/>
      <c r="H3369" s="74"/>
      <c r="I3369" s="74"/>
      <c r="J3369" s="100"/>
      <c r="K3369" s="6" t="s">
        <v>3</v>
      </c>
      <c r="L3369" s="7"/>
      <c r="M3369" s="5">
        <f t="shared" si="358"/>
        <v>0</v>
      </c>
    </row>
    <row r="3370" spans="1:13" x14ac:dyDescent="0.15">
      <c r="B3370" s="6" t="s">
        <v>3</v>
      </c>
      <c r="C3370" s="7"/>
      <c r="D3370" s="5">
        <f t="shared" si="357"/>
        <v>0</v>
      </c>
      <c r="E3370" s="74"/>
      <c r="F3370" s="74"/>
      <c r="G3370" s="74"/>
      <c r="H3370" s="74"/>
      <c r="I3370" s="74"/>
      <c r="K3370" s="6" t="s">
        <v>3</v>
      </c>
      <c r="L3370" s="7"/>
      <c r="M3370" s="5">
        <f t="shared" si="358"/>
        <v>0</v>
      </c>
    </row>
    <row r="3371" spans="1:13" x14ac:dyDescent="0.15">
      <c r="B3371" s="6" t="s">
        <v>3</v>
      </c>
      <c r="C3371" s="7"/>
      <c r="D3371" s="5">
        <f t="shared" si="357"/>
        <v>0</v>
      </c>
      <c r="E3371" s="74"/>
      <c r="F3371" s="74"/>
      <c r="G3371" s="74"/>
      <c r="H3371" s="74"/>
      <c r="I3371" s="74"/>
      <c r="K3371" s="6" t="s">
        <v>3</v>
      </c>
      <c r="L3371" s="7"/>
      <c r="M3371" s="5">
        <f t="shared" si="358"/>
        <v>0</v>
      </c>
    </row>
    <row r="3372" spans="1:13" x14ac:dyDescent="0.15">
      <c r="B3372" s="6" t="s">
        <v>3</v>
      </c>
      <c r="C3372" s="7"/>
      <c r="D3372" s="5">
        <f t="shared" si="357"/>
        <v>0</v>
      </c>
      <c r="E3372" s="74"/>
      <c r="F3372" s="74"/>
      <c r="G3372" s="74"/>
      <c r="H3372" s="74"/>
      <c r="I3372" s="74"/>
      <c r="K3372" s="6" t="s">
        <v>3</v>
      </c>
      <c r="L3372" s="7"/>
      <c r="M3372" s="5">
        <f t="shared" si="358"/>
        <v>0</v>
      </c>
    </row>
    <row r="3373" spans="1:13" x14ac:dyDescent="0.15">
      <c r="B3373" s="6" t="s">
        <v>3</v>
      </c>
      <c r="C3373" s="54"/>
      <c r="D3373" s="5">
        <f t="shared" si="357"/>
        <v>0</v>
      </c>
      <c r="K3373" s="6" t="s">
        <v>3</v>
      </c>
      <c r="L3373" s="7"/>
      <c r="M3373" s="5">
        <f t="shared" si="358"/>
        <v>0</v>
      </c>
    </row>
    <row r="3374" spans="1:13" x14ac:dyDescent="0.15">
      <c r="B3374" s="6" t="s">
        <v>3</v>
      </c>
      <c r="C3374" s="54"/>
      <c r="D3374" s="5">
        <f t="shared" si="357"/>
        <v>0</v>
      </c>
      <c r="K3374" s="6" t="s">
        <v>3</v>
      </c>
      <c r="L3374" s="7"/>
      <c r="M3374" s="5">
        <f t="shared" si="358"/>
        <v>0</v>
      </c>
    </row>
    <row r="3375" spans="1:13" x14ac:dyDescent="0.15">
      <c r="B3375" s="6" t="s">
        <v>3</v>
      </c>
      <c r="C3375" s="54"/>
      <c r="D3375" s="5">
        <f t="shared" si="357"/>
        <v>0</v>
      </c>
      <c r="K3375" s="6" t="s">
        <v>3</v>
      </c>
      <c r="L3375" s="7"/>
      <c r="M3375" s="5">
        <f t="shared" si="358"/>
        <v>0</v>
      </c>
    </row>
    <row r="3376" spans="1:13" ht="14.25" thickBot="1" x14ac:dyDescent="0.2">
      <c r="B3376" s="9" t="s">
        <v>3</v>
      </c>
      <c r="C3376" s="101"/>
      <c r="D3376" s="5">
        <f t="shared" si="357"/>
        <v>0</v>
      </c>
      <c r="K3376" s="9" t="s">
        <v>3</v>
      </c>
      <c r="L3376" s="10"/>
      <c r="M3376" s="5">
        <f t="shared" si="358"/>
        <v>0</v>
      </c>
    </row>
    <row r="3377" spans="2:14" ht="14.25" thickBot="1" x14ac:dyDescent="0.2">
      <c r="B3377" s="11" t="s">
        <v>4</v>
      </c>
      <c r="C3377" s="12">
        <f>SUM(C3366:C3376)</f>
        <v>371</v>
      </c>
      <c r="D3377" s="13">
        <f>SUM(D3366:D3376)</f>
        <v>371</v>
      </c>
      <c r="K3377" s="11" t="s">
        <v>4</v>
      </c>
      <c r="L3377" s="12">
        <f>SUM(L3366:L3376)</f>
        <v>1679</v>
      </c>
      <c r="M3377" s="13">
        <f>SUM(M3366:M3376)</f>
        <v>1679</v>
      </c>
    </row>
    <row r="3378" spans="2:14" x14ac:dyDescent="0.15">
      <c r="B3378" s="71" t="s">
        <v>162</v>
      </c>
      <c r="C3378" s="15">
        <v>10</v>
      </c>
      <c r="D3378" s="14">
        <f>SUM(C3378)</f>
        <v>10</v>
      </c>
      <c r="E3378" s="74">
        <v>43735</v>
      </c>
      <c r="F3378" s="74"/>
      <c r="G3378" s="74"/>
      <c r="H3378" s="74"/>
      <c r="I3378" s="74"/>
      <c r="J3378" s="75"/>
      <c r="K3378" s="71" t="s">
        <v>31</v>
      </c>
      <c r="L3378" s="15">
        <v>200</v>
      </c>
      <c r="M3378" s="14">
        <f>SUM(L3378)</f>
        <v>200</v>
      </c>
      <c r="N3378" s="74">
        <v>43767</v>
      </c>
    </row>
    <row r="3379" spans="2:14" x14ac:dyDescent="0.15">
      <c r="B3379" s="71" t="s">
        <v>162</v>
      </c>
      <c r="C3379" s="15">
        <v>25</v>
      </c>
      <c r="D3379" s="14">
        <f>SUM(C3379)</f>
        <v>25</v>
      </c>
      <c r="E3379" s="74">
        <v>43738</v>
      </c>
      <c r="F3379" s="74"/>
      <c r="G3379" s="74"/>
      <c r="H3379" s="74"/>
      <c r="I3379" s="74"/>
      <c r="J3379" s="36"/>
      <c r="K3379" s="71"/>
      <c r="L3379" s="15"/>
      <c r="M3379" s="14">
        <f t="shared" ref="M3379:M3389" si="359">SUM(L3379:L3379)</f>
        <v>0</v>
      </c>
    </row>
    <row r="3380" spans="2:14" x14ac:dyDescent="0.15">
      <c r="B3380" s="71" t="s">
        <v>162</v>
      </c>
      <c r="C3380" s="15">
        <v>5</v>
      </c>
      <c r="D3380" s="14">
        <f>SUM(C3380)</f>
        <v>5</v>
      </c>
      <c r="E3380" s="74">
        <v>43739</v>
      </c>
      <c r="F3380" s="74"/>
      <c r="G3380" s="74"/>
      <c r="H3380" s="74"/>
      <c r="I3380" s="74"/>
      <c r="J3380" s="51"/>
      <c r="K3380" s="71"/>
      <c r="L3380" s="15"/>
      <c r="M3380" s="14">
        <f t="shared" si="359"/>
        <v>0</v>
      </c>
    </row>
    <row r="3381" spans="2:14" x14ac:dyDescent="0.15">
      <c r="B3381" s="71" t="s">
        <v>39</v>
      </c>
      <c r="C3381" s="15">
        <v>30</v>
      </c>
      <c r="D3381" s="14">
        <f t="shared" ref="D3381:D3391" si="360">SUM(C3381)</f>
        <v>30</v>
      </c>
      <c r="E3381" s="74">
        <v>43740</v>
      </c>
      <c r="F3381" s="74"/>
      <c r="G3381" s="74"/>
      <c r="H3381" s="74"/>
      <c r="I3381" s="74"/>
      <c r="J3381" s="51"/>
      <c r="K3381" s="71"/>
      <c r="L3381" s="15"/>
      <c r="M3381" s="14">
        <f t="shared" si="359"/>
        <v>0</v>
      </c>
    </row>
    <row r="3382" spans="2:14" x14ac:dyDescent="0.15">
      <c r="B3382" s="71" t="s">
        <v>162</v>
      </c>
      <c r="C3382" s="15">
        <v>7</v>
      </c>
      <c r="D3382" s="14">
        <f t="shared" si="360"/>
        <v>7</v>
      </c>
      <c r="E3382" s="74">
        <v>43740</v>
      </c>
      <c r="F3382" s="74"/>
      <c r="G3382" s="74"/>
      <c r="H3382" s="74"/>
      <c r="I3382" s="74"/>
      <c r="J3382" s="51"/>
      <c r="K3382" s="4"/>
      <c r="L3382" s="15"/>
      <c r="M3382" s="14">
        <f t="shared" si="359"/>
        <v>0</v>
      </c>
    </row>
    <row r="3383" spans="2:14" x14ac:dyDescent="0.15">
      <c r="B3383" s="71" t="s">
        <v>162</v>
      </c>
      <c r="C3383" s="15">
        <v>6</v>
      </c>
      <c r="D3383" s="14">
        <f t="shared" si="360"/>
        <v>6</v>
      </c>
      <c r="E3383" s="74">
        <v>43741</v>
      </c>
      <c r="F3383" s="74"/>
      <c r="G3383" s="74"/>
      <c r="H3383" s="74"/>
      <c r="I3383" s="74"/>
      <c r="J3383" s="51"/>
      <c r="K3383" s="71"/>
      <c r="L3383" s="15"/>
      <c r="M3383" s="14">
        <f t="shared" si="359"/>
        <v>0</v>
      </c>
    </row>
    <row r="3384" spans="2:14" x14ac:dyDescent="0.15">
      <c r="B3384" s="71" t="s">
        <v>162</v>
      </c>
      <c r="C3384" s="15">
        <v>5</v>
      </c>
      <c r="D3384" s="14">
        <f t="shared" si="360"/>
        <v>5</v>
      </c>
      <c r="E3384" s="74">
        <v>43742</v>
      </c>
      <c r="F3384" s="74"/>
      <c r="G3384" s="74"/>
      <c r="H3384" s="74"/>
      <c r="I3384" s="74"/>
      <c r="J3384" s="51"/>
      <c r="K3384" s="4"/>
      <c r="L3384" s="15"/>
      <c r="M3384" s="14">
        <f t="shared" si="359"/>
        <v>0</v>
      </c>
    </row>
    <row r="3385" spans="2:14" x14ac:dyDescent="0.15">
      <c r="B3385" s="71" t="s">
        <v>162</v>
      </c>
      <c r="C3385" s="15">
        <v>5</v>
      </c>
      <c r="D3385" s="14">
        <f t="shared" si="360"/>
        <v>5</v>
      </c>
      <c r="E3385" s="74">
        <v>43743</v>
      </c>
      <c r="F3385" s="74"/>
      <c r="G3385" s="74"/>
      <c r="H3385" s="74"/>
      <c r="I3385" s="74"/>
      <c r="J3385" s="51"/>
      <c r="K3385" s="6"/>
      <c r="L3385" s="15"/>
      <c r="M3385" s="14">
        <f t="shared" si="359"/>
        <v>0</v>
      </c>
    </row>
    <row r="3386" spans="2:14" x14ac:dyDescent="0.15">
      <c r="B3386" s="71" t="s">
        <v>162</v>
      </c>
      <c r="C3386" s="15">
        <v>13</v>
      </c>
      <c r="D3386" s="14">
        <f t="shared" si="360"/>
        <v>13</v>
      </c>
      <c r="E3386" s="74">
        <v>43745</v>
      </c>
      <c r="F3386" s="74"/>
      <c r="G3386" s="74"/>
      <c r="H3386" s="74"/>
      <c r="I3386" s="74"/>
      <c r="J3386" s="36"/>
      <c r="K3386" s="4"/>
      <c r="L3386" s="15"/>
      <c r="M3386" s="14">
        <f t="shared" si="359"/>
        <v>0</v>
      </c>
    </row>
    <row r="3387" spans="2:14" x14ac:dyDescent="0.15">
      <c r="B3387" s="71" t="s">
        <v>162</v>
      </c>
      <c r="C3387" s="15">
        <v>2</v>
      </c>
      <c r="D3387" s="14">
        <f t="shared" si="360"/>
        <v>2</v>
      </c>
      <c r="E3387" s="74">
        <v>43746</v>
      </c>
      <c r="F3387" s="74"/>
      <c r="G3387" s="74"/>
      <c r="H3387" s="74"/>
      <c r="I3387" s="74"/>
      <c r="J3387" s="36"/>
      <c r="K3387" s="4"/>
      <c r="L3387" s="15"/>
      <c r="M3387" s="14">
        <f t="shared" si="359"/>
        <v>0</v>
      </c>
    </row>
    <row r="3388" spans="2:14" x14ac:dyDescent="0.15">
      <c r="B3388" s="71" t="s">
        <v>162</v>
      </c>
      <c r="C3388" s="15">
        <v>3</v>
      </c>
      <c r="D3388" s="14">
        <f t="shared" si="360"/>
        <v>3</v>
      </c>
      <c r="E3388" s="74">
        <v>43747</v>
      </c>
      <c r="F3388" s="74"/>
      <c r="G3388" s="74"/>
      <c r="H3388" s="74"/>
      <c r="I3388" s="74"/>
      <c r="J3388" s="51"/>
      <c r="K3388" s="4"/>
      <c r="L3388" s="15"/>
      <c r="M3388" s="14">
        <f t="shared" si="359"/>
        <v>0</v>
      </c>
    </row>
    <row r="3389" spans="2:14" x14ac:dyDescent="0.15">
      <c r="B3389" s="71" t="s">
        <v>162</v>
      </c>
      <c r="C3389" s="15">
        <v>2</v>
      </c>
      <c r="D3389" s="14">
        <f t="shared" si="360"/>
        <v>2</v>
      </c>
      <c r="E3389" s="74">
        <v>43748</v>
      </c>
      <c r="F3389" s="74"/>
      <c r="G3389" s="74"/>
      <c r="H3389" s="74"/>
      <c r="I3389" s="74"/>
      <c r="J3389" s="51"/>
      <c r="K3389" s="4"/>
      <c r="L3389" s="15"/>
      <c r="M3389" s="14">
        <f t="shared" si="359"/>
        <v>0</v>
      </c>
    </row>
    <row r="3390" spans="2:14" x14ac:dyDescent="0.15">
      <c r="B3390" s="71" t="s">
        <v>162</v>
      </c>
      <c r="C3390" s="15">
        <v>6</v>
      </c>
      <c r="D3390" s="14">
        <f t="shared" si="360"/>
        <v>6</v>
      </c>
      <c r="E3390" s="74">
        <v>43749</v>
      </c>
      <c r="F3390" s="74"/>
      <c r="G3390" s="74"/>
      <c r="H3390" s="74"/>
      <c r="I3390" s="74"/>
      <c r="J3390" s="36"/>
      <c r="K3390" s="172"/>
      <c r="L3390" s="15"/>
      <c r="M3390" s="14">
        <f>SUM(L3390)</f>
        <v>0</v>
      </c>
    </row>
    <row r="3391" spans="2:14" x14ac:dyDescent="0.15">
      <c r="B3391" s="71" t="s">
        <v>162</v>
      </c>
      <c r="C3391" s="15">
        <v>4</v>
      </c>
      <c r="D3391" s="14">
        <f t="shared" si="360"/>
        <v>4</v>
      </c>
      <c r="E3391" s="74">
        <v>43753</v>
      </c>
      <c r="F3391" s="74"/>
      <c r="G3391" s="74"/>
      <c r="H3391" s="74"/>
      <c r="I3391" s="74"/>
      <c r="J3391" s="51"/>
      <c r="K3391" s="173"/>
      <c r="L3391" s="15"/>
      <c r="M3391" s="14">
        <f>SUM(L3391:L3391)</f>
        <v>0</v>
      </c>
    </row>
    <row r="3392" spans="2:14" x14ac:dyDescent="0.15">
      <c r="B3392" s="71" t="s">
        <v>162</v>
      </c>
      <c r="C3392" s="15">
        <v>2</v>
      </c>
      <c r="D3392" s="14">
        <f>SUM(C3392)</f>
        <v>2</v>
      </c>
      <c r="E3392" s="74">
        <v>43754</v>
      </c>
      <c r="F3392" s="74"/>
      <c r="G3392" s="74"/>
      <c r="H3392" s="74"/>
      <c r="I3392" s="74"/>
      <c r="J3392" s="51"/>
      <c r="K3392" s="4"/>
      <c r="L3392" s="15"/>
      <c r="M3392" s="14">
        <f>SUM(L3392:L3392)</f>
        <v>0</v>
      </c>
    </row>
    <row r="3393" spans="1:14" x14ac:dyDescent="0.15">
      <c r="B3393" s="71" t="s">
        <v>162</v>
      </c>
      <c r="C3393" s="15">
        <v>1</v>
      </c>
      <c r="D3393" s="14">
        <f>SUM(C3393)</f>
        <v>1</v>
      </c>
      <c r="E3393" s="74">
        <v>43755</v>
      </c>
      <c r="F3393" s="74"/>
      <c r="G3393" s="74"/>
      <c r="H3393" s="74"/>
      <c r="I3393" s="74"/>
      <c r="J3393" s="51"/>
      <c r="K3393" s="6"/>
      <c r="L3393" s="15"/>
      <c r="M3393" s="14">
        <f>SUM(L3393:L3393)</f>
        <v>0</v>
      </c>
    </row>
    <row r="3394" spans="1:14" x14ac:dyDescent="0.15">
      <c r="B3394" s="71" t="s">
        <v>162</v>
      </c>
      <c r="C3394" s="15">
        <v>4</v>
      </c>
      <c r="D3394" s="14">
        <f>SUM(C3394)</f>
        <v>4</v>
      </c>
      <c r="E3394" s="74">
        <v>43756</v>
      </c>
      <c r="F3394" s="74"/>
      <c r="G3394" s="74"/>
      <c r="H3394" s="74"/>
      <c r="I3394" s="74"/>
      <c r="J3394" s="51"/>
      <c r="K3394" s="6"/>
      <c r="L3394" s="15"/>
      <c r="M3394" s="14">
        <f>SUM(L3394:L3394)</f>
        <v>0</v>
      </c>
    </row>
    <row r="3395" spans="1:14" x14ac:dyDescent="0.15">
      <c r="B3395" s="71" t="s">
        <v>162</v>
      </c>
      <c r="C3395" s="15">
        <v>3</v>
      </c>
      <c r="D3395" s="14">
        <f t="shared" ref="D3395:D3401" si="361">SUM(C3395)</f>
        <v>3</v>
      </c>
      <c r="E3395" s="74">
        <v>43757</v>
      </c>
      <c r="F3395" s="74"/>
      <c r="G3395" s="74"/>
      <c r="H3395" s="74"/>
      <c r="I3395" s="74"/>
      <c r="J3395" s="51"/>
      <c r="K3395" s="172"/>
      <c r="L3395" s="15"/>
      <c r="M3395" s="14">
        <f>SUM(L3395)</f>
        <v>0</v>
      </c>
    </row>
    <row r="3396" spans="1:14" x14ac:dyDescent="0.15">
      <c r="B3396" s="71" t="s">
        <v>162</v>
      </c>
      <c r="C3396" s="15">
        <v>5</v>
      </c>
      <c r="D3396" s="14">
        <f t="shared" si="361"/>
        <v>5</v>
      </c>
      <c r="E3396" s="74">
        <v>43759</v>
      </c>
      <c r="F3396" s="74"/>
      <c r="G3396" s="74"/>
      <c r="H3396" s="74"/>
      <c r="I3396" s="74"/>
      <c r="J3396" s="51"/>
      <c r="K3396" s="173"/>
      <c r="L3396" s="15"/>
      <c r="M3396" s="14">
        <f>SUM(L3396:L3396)</f>
        <v>0</v>
      </c>
    </row>
    <row r="3397" spans="1:14" x14ac:dyDescent="0.15">
      <c r="B3397" s="71" t="s">
        <v>162</v>
      </c>
      <c r="C3397" s="15">
        <v>1</v>
      </c>
      <c r="D3397" s="14">
        <f t="shared" si="361"/>
        <v>1</v>
      </c>
      <c r="E3397" s="48">
        <v>43761</v>
      </c>
      <c r="F3397" s="48"/>
      <c r="G3397" s="48"/>
      <c r="H3397" s="48"/>
      <c r="I3397" s="48"/>
      <c r="J3397" s="51"/>
      <c r="K3397" s="4"/>
      <c r="L3397" s="15"/>
      <c r="M3397" s="14">
        <f>SUM(L3397)</f>
        <v>0</v>
      </c>
    </row>
    <row r="3398" spans="1:14" x14ac:dyDescent="0.15">
      <c r="B3398" s="71" t="s">
        <v>162</v>
      </c>
      <c r="C3398" s="15">
        <v>3</v>
      </c>
      <c r="D3398" s="14">
        <f t="shared" si="361"/>
        <v>3</v>
      </c>
      <c r="E3398" s="74">
        <v>43762</v>
      </c>
      <c r="F3398" s="74"/>
      <c r="G3398" s="74"/>
      <c r="H3398" s="74"/>
      <c r="I3398" s="74"/>
      <c r="J3398" s="51"/>
      <c r="K3398" s="6"/>
      <c r="L3398" s="15"/>
      <c r="M3398" s="14">
        <f>SUM(L3398:L3398)</f>
        <v>0</v>
      </c>
    </row>
    <row r="3399" spans="1:14" x14ac:dyDescent="0.15">
      <c r="B3399" s="71" t="s">
        <v>162</v>
      </c>
      <c r="C3399" s="15">
        <v>3</v>
      </c>
      <c r="D3399" s="14">
        <f t="shared" si="361"/>
        <v>3</v>
      </c>
      <c r="E3399" s="48">
        <v>43763</v>
      </c>
      <c r="F3399" s="48"/>
      <c r="G3399" s="48"/>
      <c r="H3399" s="48"/>
      <c r="I3399" s="48"/>
      <c r="J3399" s="51"/>
      <c r="K3399" s="6"/>
      <c r="L3399" s="15"/>
      <c r="M3399" s="14">
        <f>SUM(L3399:L3399)</f>
        <v>0</v>
      </c>
      <c r="N3399" s="75"/>
    </row>
    <row r="3400" spans="1:14" x14ac:dyDescent="0.15">
      <c r="B3400" s="71" t="s">
        <v>162</v>
      </c>
      <c r="C3400" s="15">
        <v>6</v>
      </c>
      <c r="D3400" s="14">
        <f t="shared" si="361"/>
        <v>6</v>
      </c>
      <c r="E3400" s="48">
        <v>43766</v>
      </c>
      <c r="F3400" s="48"/>
      <c r="G3400" s="48"/>
      <c r="H3400" s="48"/>
      <c r="I3400" s="48"/>
      <c r="J3400" s="51"/>
      <c r="K3400" s="6"/>
      <c r="L3400" s="15"/>
      <c r="M3400" s="14">
        <f>SUM(L3400:L3400)</f>
        <v>0</v>
      </c>
      <c r="N3400" s="75"/>
    </row>
    <row r="3401" spans="1:14" ht="14.25" thickBot="1" x14ac:dyDescent="0.2">
      <c r="B3401" s="71" t="s">
        <v>162</v>
      </c>
      <c r="C3401" s="15">
        <v>1</v>
      </c>
      <c r="D3401" s="14">
        <f t="shared" si="361"/>
        <v>1</v>
      </c>
      <c r="E3401" s="48">
        <v>43770</v>
      </c>
      <c r="F3401" s="48"/>
      <c r="G3401" s="48"/>
      <c r="H3401" s="48"/>
      <c r="I3401" s="48"/>
      <c r="J3401" s="51"/>
      <c r="K3401" s="6"/>
      <c r="L3401" s="15"/>
      <c r="M3401" s="14">
        <f>SUM(L3401:L3401)</f>
        <v>0</v>
      </c>
      <c r="N3401" s="75"/>
    </row>
    <row r="3402" spans="1:14" ht="14.25" thickBot="1" x14ac:dyDescent="0.2">
      <c r="B3402" s="3" t="s">
        <v>5</v>
      </c>
      <c r="C3402" s="16">
        <f>SUM(C3378:C3401)</f>
        <v>152</v>
      </c>
      <c r="D3402" s="17">
        <f>SUM(D3378:D3401)</f>
        <v>152</v>
      </c>
      <c r="K3402" s="3" t="s">
        <v>5</v>
      </c>
      <c r="L3402" s="16">
        <f>SUM(L3378:L3401)</f>
        <v>200</v>
      </c>
      <c r="M3402" s="17">
        <f>SUM(M3378:M3401)</f>
        <v>200</v>
      </c>
    </row>
    <row r="3403" spans="1:14" ht="14.25" thickBot="1" x14ac:dyDescent="0.2">
      <c r="B3403" s="18" t="s">
        <v>6</v>
      </c>
      <c r="C3403" s="19">
        <f>C3377-C3402</f>
        <v>219</v>
      </c>
      <c r="D3403" s="13">
        <f>D3377-D3402</f>
        <v>219</v>
      </c>
      <c r="K3403" s="18" t="s">
        <v>6</v>
      </c>
      <c r="L3403" s="19">
        <f>L3377-L3402</f>
        <v>1479</v>
      </c>
      <c r="M3403" s="13">
        <f>M3377-M3402</f>
        <v>1479</v>
      </c>
    </row>
    <row r="3405" spans="1:14" ht="18" thickBot="1" x14ac:dyDescent="0.25">
      <c r="A3405" s="27" t="s">
        <v>8</v>
      </c>
      <c r="B3405" s="28"/>
      <c r="C3405" s="28"/>
      <c r="D3405" s="28"/>
      <c r="J3405" s="139" t="s">
        <v>218</v>
      </c>
      <c r="K3405" s="140"/>
      <c r="L3405" s="140"/>
      <c r="M3405" s="140"/>
    </row>
    <row r="3406" spans="1:14" ht="14.25" thickBot="1" x14ac:dyDescent="0.2">
      <c r="B3406" s="2"/>
      <c r="C3406" s="3" t="s">
        <v>0</v>
      </c>
      <c r="D3406" s="2" t="s">
        <v>1</v>
      </c>
      <c r="K3406" s="2"/>
      <c r="L3406" s="3" t="s">
        <v>0</v>
      </c>
      <c r="M3406" s="2" t="s">
        <v>1</v>
      </c>
    </row>
    <row r="3407" spans="1:14" x14ac:dyDescent="0.15">
      <c r="B3407" s="43" t="s">
        <v>26</v>
      </c>
      <c r="C3407" s="38">
        <f>C3403</f>
        <v>219</v>
      </c>
      <c r="D3407" s="39">
        <f t="shared" ref="D3407:D3417" si="362">SUM(C3407:C3407)</f>
        <v>219</v>
      </c>
      <c r="K3407" s="43" t="s">
        <v>26</v>
      </c>
      <c r="L3407" s="38">
        <f>L3403</f>
        <v>1479</v>
      </c>
      <c r="M3407" s="39">
        <f t="shared" ref="M3407:M3417" si="363">SUM(L3407:L3407)</f>
        <v>1479</v>
      </c>
    </row>
    <row r="3408" spans="1:14" x14ac:dyDescent="0.15">
      <c r="B3408" s="6" t="s">
        <v>3</v>
      </c>
      <c r="C3408" s="7"/>
      <c r="D3408" s="5">
        <f t="shared" si="362"/>
        <v>0</v>
      </c>
      <c r="E3408" s="74"/>
      <c r="F3408" s="74"/>
      <c r="G3408" s="74"/>
      <c r="H3408" s="74"/>
      <c r="I3408" s="74"/>
      <c r="J3408" s="75"/>
      <c r="K3408" s="6" t="s">
        <v>3</v>
      </c>
      <c r="L3408" s="7"/>
      <c r="M3408" s="5">
        <f t="shared" si="363"/>
        <v>0</v>
      </c>
    </row>
    <row r="3409" spans="1:13" x14ac:dyDescent="0.15">
      <c r="A3409" s="75"/>
      <c r="B3409" s="6" t="s">
        <v>3</v>
      </c>
      <c r="C3409" s="7"/>
      <c r="D3409" s="5">
        <f t="shared" si="362"/>
        <v>0</v>
      </c>
      <c r="E3409" s="74"/>
      <c r="F3409" s="74"/>
      <c r="G3409" s="74"/>
      <c r="H3409" s="74"/>
      <c r="I3409" s="74"/>
      <c r="K3409" s="6" t="s">
        <v>3</v>
      </c>
      <c r="L3409" s="7"/>
      <c r="M3409" s="5">
        <f t="shared" si="363"/>
        <v>0</v>
      </c>
    </row>
    <row r="3410" spans="1:13" x14ac:dyDescent="0.15">
      <c r="A3410" s="75"/>
      <c r="B3410" s="6" t="s">
        <v>3</v>
      </c>
      <c r="C3410" s="7"/>
      <c r="D3410" s="5">
        <f t="shared" si="362"/>
        <v>0</v>
      </c>
      <c r="E3410" s="74"/>
      <c r="F3410" s="74"/>
      <c r="G3410" s="74"/>
      <c r="H3410" s="74"/>
      <c r="I3410" s="74"/>
      <c r="J3410" s="100"/>
      <c r="K3410" s="6" t="s">
        <v>3</v>
      </c>
      <c r="L3410" s="7"/>
      <c r="M3410" s="5">
        <f t="shared" si="363"/>
        <v>0</v>
      </c>
    </row>
    <row r="3411" spans="1:13" x14ac:dyDescent="0.15">
      <c r="B3411" s="6" t="s">
        <v>3</v>
      </c>
      <c r="C3411" s="7"/>
      <c r="D3411" s="5">
        <f t="shared" si="362"/>
        <v>0</v>
      </c>
      <c r="E3411" s="74"/>
      <c r="F3411" s="74"/>
      <c r="G3411" s="74"/>
      <c r="H3411" s="74"/>
      <c r="I3411" s="74"/>
      <c r="K3411" s="6" t="s">
        <v>3</v>
      </c>
      <c r="L3411" s="7"/>
      <c r="M3411" s="5">
        <f t="shared" si="363"/>
        <v>0</v>
      </c>
    </row>
    <row r="3412" spans="1:13" x14ac:dyDescent="0.15">
      <c r="B3412" s="6" t="s">
        <v>3</v>
      </c>
      <c r="C3412" s="7"/>
      <c r="D3412" s="5">
        <f t="shared" si="362"/>
        <v>0</v>
      </c>
      <c r="E3412" s="74"/>
      <c r="F3412" s="74"/>
      <c r="G3412" s="74"/>
      <c r="H3412" s="74"/>
      <c r="I3412" s="74"/>
      <c r="K3412" s="6" t="s">
        <v>3</v>
      </c>
      <c r="L3412" s="7"/>
      <c r="M3412" s="5">
        <f t="shared" si="363"/>
        <v>0</v>
      </c>
    </row>
    <row r="3413" spans="1:13" x14ac:dyDescent="0.15">
      <c r="B3413" s="6" t="s">
        <v>3</v>
      </c>
      <c r="C3413" s="7"/>
      <c r="D3413" s="5">
        <f t="shared" si="362"/>
        <v>0</v>
      </c>
      <c r="E3413" s="74"/>
      <c r="F3413" s="74"/>
      <c r="G3413" s="74"/>
      <c r="H3413" s="74"/>
      <c r="I3413" s="74"/>
      <c r="K3413" s="6" t="s">
        <v>3</v>
      </c>
      <c r="L3413" s="7"/>
      <c r="M3413" s="5">
        <f t="shared" si="363"/>
        <v>0</v>
      </c>
    </row>
    <row r="3414" spans="1:13" x14ac:dyDescent="0.15">
      <c r="B3414" s="6" t="s">
        <v>3</v>
      </c>
      <c r="C3414" s="54"/>
      <c r="D3414" s="5">
        <f t="shared" si="362"/>
        <v>0</v>
      </c>
      <c r="K3414" s="6" t="s">
        <v>3</v>
      </c>
      <c r="L3414" s="7"/>
      <c r="M3414" s="5">
        <f t="shared" si="363"/>
        <v>0</v>
      </c>
    </row>
    <row r="3415" spans="1:13" x14ac:dyDescent="0.15">
      <c r="B3415" s="6" t="s">
        <v>3</v>
      </c>
      <c r="C3415" s="54"/>
      <c r="D3415" s="5">
        <f t="shared" si="362"/>
        <v>0</v>
      </c>
      <c r="K3415" s="6" t="s">
        <v>3</v>
      </c>
      <c r="L3415" s="7"/>
      <c r="M3415" s="5">
        <f t="shared" si="363"/>
        <v>0</v>
      </c>
    </row>
    <row r="3416" spans="1:13" x14ac:dyDescent="0.15">
      <c r="B3416" s="6" t="s">
        <v>3</v>
      </c>
      <c r="C3416" s="54"/>
      <c r="D3416" s="5">
        <f t="shared" si="362"/>
        <v>0</v>
      </c>
      <c r="K3416" s="6" t="s">
        <v>3</v>
      </c>
      <c r="L3416" s="7"/>
      <c r="M3416" s="5">
        <f t="shared" si="363"/>
        <v>0</v>
      </c>
    </row>
    <row r="3417" spans="1:13" ht="14.25" thickBot="1" x14ac:dyDescent="0.2">
      <c r="B3417" s="9" t="s">
        <v>3</v>
      </c>
      <c r="C3417" s="101"/>
      <c r="D3417" s="5">
        <f t="shared" si="362"/>
        <v>0</v>
      </c>
      <c r="K3417" s="9" t="s">
        <v>3</v>
      </c>
      <c r="L3417" s="10"/>
      <c r="M3417" s="5">
        <f t="shared" si="363"/>
        <v>0</v>
      </c>
    </row>
    <row r="3418" spans="1:13" ht="14.25" thickBot="1" x14ac:dyDescent="0.2">
      <c r="B3418" s="11" t="s">
        <v>4</v>
      </c>
      <c r="C3418" s="12">
        <f>SUM(C3407:C3417)</f>
        <v>219</v>
      </c>
      <c r="D3418" s="13">
        <f>SUM(D3407:D3417)</f>
        <v>219</v>
      </c>
      <c r="K3418" s="11" t="s">
        <v>4</v>
      </c>
      <c r="L3418" s="12">
        <f>SUM(L3407:L3417)</f>
        <v>1479</v>
      </c>
      <c r="M3418" s="13">
        <f>SUM(M3407:M3417)</f>
        <v>1479</v>
      </c>
    </row>
    <row r="3419" spans="1:13" x14ac:dyDescent="0.15">
      <c r="B3419" s="71" t="s">
        <v>162</v>
      </c>
      <c r="C3419" s="15">
        <v>5</v>
      </c>
      <c r="D3419" s="14">
        <f>SUM(C3419)</f>
        <v>5</v>
      </c>
      <c r="E3419" s="74">
        <v>43774</v>
      </c>
      <c r="F3419" s="74"/>
      <c r="G3419" s="74"/>
      <c r="H3419" s="74"/>
      <c r="I3419" s="74"/>
      <c r="J3419" s="75"/>
      <c r="K3419" s="71"/>
      <c r="L3419" s="15"/>
      <c r="M3419" s="14">
        <f>SUM(L3419)</f>
        <v>0</v>
      </c>
    </row>
    <row r="3420" spans="1:13" x14ac:dyDescent="0.15">
      <c r="B3420" s="71" t="s">
        <v>162</v>
      </c>
      <c r="C3420" s="15">
        <v>3</v>
      </c>
      <c r="D3420" s="14">
        <f>SUM(C3420)</f>
        <v>3</v>
      </c>
      <c r="E3420" s="74">
        <v>43777</v>
      </c>
      <c r="F3420" s="74"/>
      <c r="G3420" s="74"/>
      <c r="H3420" s="74"/>
      <c r="I3420" s="74"/>
      <c r="J3420" s="36"/>
      <c r="K3420" s="71"/>
      <c r="L3420" s="15"/>
      <c r="M3420" s="14">
        <f t="shared" ref="M3420:M3430" si="364">SUM(L3420:L3420)</f>
        <v>0</v>
      </c>
    </row>
    <row r="3421" spans="1:13" x14ac:dyDescent="0.15">
      <c r="B3421" s="71" t="s">
        <v>162</v>
      </c>
      <c r="C3421" s="15">
        <v>1</v>
      </c>
      <c r="D3421" s="14">
        <f>SUM(C3421)</f>
        <v>1</v>
      </c>
      <c r="E3421" s="74">
        <v>43780</v>
      </c>
      <c r="F3421" s="74"/>
      <c r="G3421" s="74"/>
      <c r="H3421" s="74"/>
      <c r="I3421" s="74"/>
      <c r="J3421" s="51"/>
      <c r="K3421" s="71"/>
      <c r="L3421" s="15"/>
      <c r="M3421" s="14">
        <f t="shared" si="364"/>
        <v>0</v>
      </c>
    </row>
    <row r="3422" spans="1:13" x14ac:dyDescent="0.15">
      <c r="B3422" s="71" t="s">
        <v>162</v>
      </c>
      <c r="C3422" s="15">
        <v>2</v>
      </c>
      <c r="D3422" s="14">
        <f t="shared" ref="D3422:D3432" si="365">SUM(C3422)</f>
        <v>2</v>
      </c>
      <c r="E3422" s="74">
        <v>43781</v>
      </c>
      <c r="F3422" s="74"/>
      <c r="G3422" s="74"/>
      <c r="H3422" s="74"/>
      <c r="I3422" s="74"/>
      <c r="J3422" s="51"/>
      <c r="K3422" s="71"/>
      <c r="L3422" s="15"/>
      <c r="M3422" s="14">
        <f t="shared" si="364"/>
        <v>0</v>
      </c>
    </row>
    <row r="3423" spans="1:13" x14ac:dyDescent="0.15">
      <c r="B3423" s="71" t="s">
        <v>162</v>
      </c>
      <c r="C3423" s="15">
        <v>1</v>
      </c>
      <c r="D3423" s="14">
        <f t="shared" si="365"/>
        <v>1</v>
      </c>
      <c r="E3423" s="74">
        <v>43782</v>
      </c>
      <c r="F3423" s="74"/>
      <c r="G3423" s="74"/>
      <c r="H3423" s="74"/>
      <c r="I3423" s="74"/>
      <c r="J3423" s="51"/>
      <c r="K3423" s="4"/>
      <c r="L3423" s="15"/>
      <c r="M3423" s="14">
        <f t="shared" si="364"/>
        <v>0</v>
      </c>
    </row>
    <row r="3424" spans="1:13" x14ac:dyDescent="0.15">
      <c r="B3424" s="71" t="s">
        <v>39</v>
      </c>
      <c r="C3424" s="15">
        <v>30</v>
      </c>
      <c r="D3424" s="14">
        <f t="shared" si="365"/>
        <v>30</v>
      </c>
      <c r="E3424" s="74">
        <v>43782</v>
      </c>
      <c r="F3424" s="74"/>
      <c r="G3424" s="74"/>
      <c r="H3424" s="74"/>
      <c r="I3424" s="74"/>
      <c r="J3424" s="51"/>
      <c r="K3424" s="71"/>
      <c r="L3424" s="15"/>
      <c r="M3424" s="14">
        <f t="shared" si="364"/>
        <v>0</v>
      </c>
    </row>
    <row r="3425" spans="2:15" x14ac:dyDescent="0.15">
      <c r="B3425" s="71" t="s">
        <v>162</v>
      </c>
      <c r="C3425" s="15">
        <v>1</v>
      </c>
      <c r="D3425" s="14">
        <f t="shared" si="365"/>
        <v>1</v>
      </c>
      <c r="E3425" s="74">
        <v>43783</v>
      </c>
      <c r="F3425" s="74"/>
      <c r="G3425" s="74"/>
      <c r="H3425" s="74"/>
      <c r="I3425" s="74"/>
      <c r="J3425" s="51"/>
      <c r="K3425" s="4"/>
      <c r="L3425" s="15"/>
      <c r="M3425" s="14">
        <f t="shared" si="364"/>
        <v>0</v>
      </c>
    </row>
    <row r="3426" spans="2:15" x14ac:dyDescent="0.15">
      <c r="B3426" s="71" t="s">
        <v>162</v>
      </c>
      <c r="C3426" s="15">
        <v>1</v>
      </c>
      <c r="D3426" s="14">
        <f t="shared" si="365"/>
        <v>1</v>
      </c>
      <c r="E3426" s="74">
        <v>43789</v>
      </c>
      <c r="F3426" s="74"/>
      <c r="G3426" s="74"/>
      <c r="H3426" s="74"/>
      <c r="I3426" s="74"/>
      <c r="J3426" s="51"/>
      <c r="K3426" s="6"/>
      <c r="L3426" s="15"/>
      <c r="M3426" s="14">
        <f t="shared" si="364"/>
        <v>0</v>
      </c>
    </row>
    <row r="3427" spans="2:15" x14ac:dyDescent="0.15">
      <c r="B3427" s="71" t="s">
        <v>162</v>
      </c>
      <c r="C3427" s="15">
        <v>1</v>
      </c>
      <c r="D3427" s="14">
        <f t="shared" si="365"/>
        <v>1</v>
      </c>
      <c r="E3427" s="74">
        <v>43790</v>
      </c>
      <c r="F3427" s="74"/>
      <c r="G3427" s="74"/>
      <c r="H3427" s="74"/>
      <c r="I3427" s="74"/>
      <c r="J3427" s="36"/>
      <c r="K3427" s="4"/>
      <c r="L3427" s="15"/>
      <c r="M3427" s="14">
        <f t="shared" si="364"/>
        <v>0</v>
      </c>
    </row>
    <row r="3428" spans="2:15" x14ac:dyDescent="0.15">
      <c r="B3428" s="71" t="s">
        <v>162</v>
      </c>
      <c r="C3428" s="15">
        <v>1</v>
      </c>
      <c r="D3428" s="14">
        <f t="shared" si="365"/>
        <v>1</v>
      </c>
      <c r="E3428" s="74">
        <v>43794</v>
      </c>
      <c r="F3428" s="74"/>
      <c r="G3428" s="74"/>
      <c r="H3428" s="74"/>
      <c r="I3428" s="74"/>
      <c r="J3428" s="36"/>
      <c r="K3428" s="4"/>
      <c r="L3428" s="15"/>
      <c r="M3428" s="14">
        <f t="shared" si="364"/>
        <v>0</v>
      </c>
    </row>
    <row r="3429" spans="2:15" x14ac:dyDescent="0.15">
      <c r="B3429" s="71" t="s">
        <v>162</v>
      </c>
      <c r="C3429" s="15">
        <v>3</v>
      </c>
      <c r="D3429" s="14">
        <f t="shared" si="365"/>
        <v>3</v>
      </c>
      <c r="E3429" s="74">
        <v>43795</v>
      </c>
      <c r="F3429" s="74"/>
      <c r="G3429" s="74"/>
      <c r="H3429" s="74"/>
      <c r="I3429" s="74"/>
      <c r="J3429" s="51"/>
      <c r="K3429" s="4"/>
      <c r="L3429" s="15"/>
      <c r="M3429" s="14">
        <f t="shared" si="364"/>
        <v>0</v>
      </c>
    </row>
    <row r="3430" spans="2:15" x14ac:dyDescent="0.15">
      <c r="B3430" s="71" t="s">
        <v>162</v>
      </c>
      <c r="C3430" s="15">
        <v>1</v>
      </c>
      <c r="D3430" s="14">
        <f t="shared" si="365"/>
        <v>1</v>
      </c>
      <c r="E3430" s="74">
        <v>43796</v>
      </c>
      <c r="F3430" s="74"/>
      <c r="G3430" s="74"/>
      <c r="H3430" s="74"/>
      <c r="I3430" s="74"/>
      <c r="J3430" s="51"/>
      <c r="K3430" s="4"/>
      <c r="L3430" s="15"/>
      <c r="M3430" s="14">
        <f t="shared" si="364"/>
        <v>0</v>
      </c>
    </row>
    <row r="3431" spans="2:15" x14ac:dyDescent="0.15">
      <c r="B3431" s="71" t="s">
        <v>162</v>
      </c>
      <c r="C3431" s="15">
        <v>3</v>
      </c>
      <c r="D3431" s="14">
        <f t="shared" si="365"/>
        <v>3</v>
      </c>
      <c r="E3431" s="74">
        <v>43801</v>
      </c>
      <c r="F3431" s="74"/>
      <c r="G3431" s="74"/>
      <c r="H3431" s="74"/>
      <c r="I3431" s="74"/>
      <c r="J3431" s="36"/>
      <c r="K3431" s="172"/>
      <c r="L3431" s="15"/>
      <c r="M3431" s="14">
        <f>SUM(L3431)</f>
        <v>0</v>
      </c>
    </row>
    <row r="3432" spans="2:15" x14ac:dyDescent="0.15">
      <c r="B3432" s="71" t="s">
        <v>162</v>
      </c>
      <c r="C3432" s="15">
        <v>1</v>
      </c>
      <c r="D3432" s="14">
        <f t="shared" si="365"/>
        <v>1</v>
      </c>
      <c r="E3432" s="74">
        <v>43803</v>
      </c>
      <c r="F3432" s="74"/>
      <c r="G3432" s="74"/>
      <c r="H3432" s="74"/>
      <c r="I3432" s="74"/>
      <c r="J3432" s="51"/>
      <c r="K3432" s="173"/>
      <c r="L3432" s="15"/>
      <c r="M3432" s="14">
        <f>SUM(L3432:L3432)</f>
        <v>0</v>
      </c>
    </row>
    <row r="3433" spans="2:15" x14ac:dyDescent="0.15">
      <c r="B3433" s="71" t="s">
        <v>162</v>
      </c>
      <c r="C3433" s="15">
        <v>7</v>
      </c>
      <c r="D3433" s="14">
        <f>SUM(C3433)</f>
        <v>7</v>
      </c>
      <c r="E3433" s="74">
        <v>43804</v>
      </c>
      <c r="F3433" s="74"/>
      <c r="G3433" s="74"/>
      <c r="H3433" s="74"/>
      <c r="I3433" s="74"/>
      <c r="J3433" s="51"/>
      <c r="K3433" s="4"/>
      <c r="L3433" s="15"/>
      <c r="M3433" s="14">
        <f>SUM(L3433:L3433)</f>
        <v>0</v>
      </c>
    </row>
    <row r="3434" spans="2:15" x14ac:dyDescent="0.15">
      <c r="B3434" s="71" t="s">
        <v>162</v>
      </c>
      <c r="C3434" s="15">
        <v>2</v>
      </c>
      <c r="D3434" s="14">
        <f>SUM(C3434)</f>
        <v>2</v>
      </c>
      <c r="E3434" s="74">
        <v>43805</v>
      </c>
      <c r="F3434" s="74"/>
      <c r="G3434" s="74"/>
      <c r="H3434" s="74"/>
      <c r="I3434" s="74"/>
      <c r="J3434" s="51"/>
      <c r="K3434" s="6"/>
      <c r="L3434" s="15"/>
      <c r="M3434" s="14">
        <f>SUM(L3434:L3434)</f>
        <v>0</v>
      </c>
    </row>
    <row r="3435" spans="2:15" x14ac:dyDescent="0.15">
      <c r="B3435" s="71" t="s">
        <v>162</v>
      </c>
      <c r="C3435" s="15">
        <v>1</v>
      </c>
      <c r="D3435" s="14">
        <f>SUM(C3435)</f>
        <v>1</v>
      </c>
      <c r="E3435" s="74">
        <v>43809</v>
      </c>
      <c r="F3435" s="74"/>
      <c r="G3435" s="74"/>
      <c r="H3435" s="74"/>
      <c r="I3435" s="74"/>
      <c r="J3435" s="51"/>
      <c r="K3435" s="6"/>
      <c r="L3435" s="15"/>
      <c r="M3435" s="14">
        <f>SUM(L3435:L3435)</f>
        <v>0</v>
      </c>
    </row>
    <row r="3436" spans="2:15" x14ac:dyDescent="0.15">
      <c r="B3436" s="71" t="s">
        <v>162</v>
      </c>
      <c r="C3436" s="15">
        <v>1</v>
      </c>
      <c r="D3436" s="14">
        <f t="shared" ref="D3436:D3442" si="366">SUM(C3436)</f>
        <v>1</v>
      </c>
      <c r="E3436" s="74">
        <v>43810</v>
      </c>
      <c r="F3436" s="74"/>
      <c r="G3436" s="74"/>
      <c r="H3436" s="74"/>
      <c r="I3436" s="74"/>
      <c r="J3436" s="51"/>
      <c r="K3436" s="172"/>
      <c r="L3436" s="15"/>
      <c r="M3436" s="14">
        <f>SUM(L3436)</f>
        <v>0</v>
      </c>
    </row>
    <row r="3437" spans="2:15" x14ac:dyDescent="0.15">
      <c r="B3437" s="71" t="s">
        <v>162</v>
      </c>
      <c r="C3437" s="15">
        <v>1</v>
      </c>
      <c r="D3437" s="14">
        <f t="shared" si="366"/>
        <v>1</v>
      </c>
      <c r="E3437" s="74">
        <v>43811</v>
      </c>
      <c r="F3437" s="74"/>
      <c r="G3437" s="74"/>
      <c r="H3437" s="74"/>
      <c r="I3437" s="74"/>
      <c r="J3437" s="51"/>
      <c r="K3437" s="173"/>
      <c r="L3437" s="15"/>
      <c r="M3437" s="14">
        <f>SUM(L3437:L3437)</f>
        <v>0</v>
      </c>
    </row>
    <row r="3438" spans="2:15" x14ac:dyDescent="0.15">
      <c r="B3438" s="71" t="s">
        <v>162</v>
      </c>
      <c r="C3438" s="15">
        <v>2</v>
      </c>
      <c r="D3438" s="14">
        <f t="shared" si="366"/>
        <v>2</v>
      </c>
      <c r="E3438" s="48">
        <v>43815</v>
      </c>
      <c r="F3438" s="48"/>
      <c r="G3438" s="48"/>
      <c r="H3438" s="48"/>
      <c r="I3438" s="48"/>
      <c r="J3438" s="51"/>
      <c r="K3438" s="4"/>
      <c r="L3438" s="15"/>
      <c r="M3438" s="14">
        <f>SUM(L3438)</f>
        <v>0</v>
      </c>
    </row>
    <row r="3439" spans="2:15" x14ac:dyDescent="0.15">
      <c r="B3439" s="71" t="s">
        <v>162</v>
      </c>
      <c r="C3439" s="15">
        <v>1</v>
      </c>
      <c r="D3439" s="14">
        <f t="shared" si="366"/>
        <v>1</v>
      </c>
      <c r="E3439" s="74">
        <v>43816</v>
      </c>
      <c r="F3439" s="74"/>
      <c r="G3439" s="74"/>
      <c r="H3439" s="74"/>
      <c r="I3439" s="74"/>
      <c r="J3439" s="51"/>
      <c r="K3439" s="6"/>
      <c r="L3439" s="15"/>
      <c r="M3439" s="14">
        <f>SUM(L3439:L3439)</f>
        <v>0</v>
      </c>
    </row>
    <row r="3440" spans="2:15" x14ac:dyDescent="0.15">
      <c r="B3440" s="71" t="s">
        <v>635</v>
      </c>
      <c r="C3440" s="15">
        <v>1</v>
      </c>
      <c r="D3440" s="14">
        <f t="shared" si="366"/>
        <v>1</v>
      </c>
      <c r="E3440" s="48">
        <v>43822</v>
      </c>
      <c r="F3440" s="48"/>
      <c r="G3440" s="48"/>
      <c r="H3440" s="48"/>
      <c r="I3440" s="48"/>
      <c r="J3440" s="51"/>
      <c r="K3440" s="6"/>
      <c r="L3440" s="15"/>
      <c r="M3440" s="14">
        <f>SUM(L3440:L3440)</f>
        <v>0</v>
      </c>
      <c r="N3440" s="75"/>
      <c r="O3440" s="75"/>
    </row>
    <row r="3441" spans="1:15" x14ac:dyDescent="0.15">
      <c r="B3441" s="71" t="s">
        <v>162</v>
      </c>
      <c r="C3441" s="15">
        <v>4</v>
      </c>
      <c r="D3441" s="14">
        <f t="shared" si="366"/>
        <v>4</v>
      </c>
      <c r="E3441" s="48">
        <v>43822</v>
      </c>
      <c r="F3441" s="48"/>
      <c r="G3441" s="48"/>
      <c r="H3441" s="48"/>
      <c r="I3441" s="48"/>
      <c r="J3441" s="51"/>
      <c r="K3441" s="6"/>
      <c r="L3441" s="15"/>
      <c r="M3441" s="14">
        <f>SUM(L3441:L3441)</f>
        <v>0</v>
      </c>
      <c r="N3441" s="75"/>
      <c r="O3441" s="75"/>
    </row>
    <row r="3442" spans="1:15" ht="14.25" thickBot="1" x14ac:dyDescent="0.2">
      <c r="B3442" s="71" t="s">
        <v>39</v>
      </c>
      <c r="C3442" s="15">
        <v>30</v>
      </c>
      <c r="D3442" s="14">
        <f t="shared" si="366"/>
        <v>30</v>
      </c>
      <c r="E3442" s="48">
        <v>43825</v>
      </c>
      <c r="F3442" s="48"/>
      <c r="G3442" s="48"/>
      <c r="H3442" s="48"/>
      <c r="I3442" s="48"/>
      <c r="J3442" s="51"/>
      <c r="K3442" s="6"/>
      <c r="L3442" s="15"/>
      <c r="M3442" s="14">
        <f>SUM(L3442:L3442)</f>
        <v>0</v>
      </c>
      <c r="N3442" s="75"/>
      <c r="O3442" s="75"/>
    </row>
    <row r="3443" spans="1:15" ht="14.25" thickBot="1" x14ac:dyDescent="0.2">
      <c r="B3443" s="3" t="s">
        <v>5</v>
      </c>
      <c r="C3443" s="16">
        <f>SUM(C3419:C3442)</f>
        <v>104</v>
      </c>
      <c r="D3443" s="17">
        <f>SUM(D3419:D3442)</f>
        <v>104</v>
      </c>
      <c r="K3443" s="3" t="s">
        <v>5</v>
      </c>
      <c r="L3443" s="16">
        <f>SUM(L3419:L3442)</f>
        <v>0</v>
      </c>
      <c r="M3443" s="17">
        <f>SUM(M3419:M3442)</f>
        <v>0</v>
      </c>
    </row>
    <row r="3444" spans="1:15" ht="14.25" thickBot="1" x14ac:dyDescent="0.2">
      <c r="B3444" s="18" t="s">
        <v>6</v>
      </c>
      <c r="C3444" s="19">
        <f>C3418-C3443</f>
        <v>115</v>
      </c>
      <c r="D3444" s="13">
        <f>D3418-D3443</f>
        <v>115</v>
      </c>
      <c r="K3444" s="18" t="s">
        <v>6</v>
      </c>
      <c r="L3444" s="19">
        <f>L3418-L3443</f>
        <v>1479</v>
      </c>
      <c r="M3444" s="13">
        <f>M3418-M3443</f>
        <v>1479</v>
      </c>
    </row>
    <row r="3446" spans="1:15" ht="18" thickBot="1" x14ac:dyDescent="0.25">
      <c r="A3446" s="27" t="s">
        <v>8</v>
      </c>
      <c r="B3446" s="28"/>
      <c r="C3446" s="28"/>
      <c r="D3446" s="28"/>
      <c r="J3446" s="139" t="s">
        <v>218</v>
      </c>
      <c r="K3446" s="140"/>
      <c r="L3446" s="140"/>
      <c r="M3446" s="140"/>
    </row>
    <row r="3447" spans="1:15" ht="14.25" thickBot="1" x14ac:dyDescent="0.2">
      <c r="B3447" s="2"/>
      <c r="C3447" s="3" t="s">
        <v>0</v>
      </c>
      <c r="D3447" s="2" t="s">
        <v>1</v>
      </c>
      <c r="K3447" s="2"/>
      <c r="L3447" s="3" t="s">
        <v>0</v>
      </c>
      <c r="M3447" s="2" t="s">
        <v>1</v>
      </c>
    </row>
    <row r="3448" spans="1:15" x14ac:dyDescent="0.15">
      <c r="B3448" s="43" t="s">
        <v>26</v>
      </c>
      <c r="C3448" s="38">
        <f>C3444</f>
        <v>115</v>
      </c>
      <c r="D3448" s="39">
        <f t="shared" ref="D3448:D3458" si="367">SUM(C3448:C3448)</f>
        <v>115</v>
      </c>
      <c r="K3448" s="43" t="s">
        <v>26</v>
      </c>
      <c r="L3448" s="38">
        <f>L3444</f>
        <v>1479</v>
      </c>
      <c r="M3448" s="39">
        <f t="shared" ref="M3448:M3458" si="368">SUM(L3448:L3448)</f>
        <v>1479</v>
      </c>
    </row>
    <row r="3449" spans="1:15" x14ac:dyDescent="0.15">
      <c r="B3449" s="6" t="s">
        <v>122</v>
      </c>
      <c r="C3449" s="7">
        <v>1</v>
      </c>
      <c r="D3449" s="5">
        <f t="shared" si="367"/>
        <v>1</v>
      </c>
      <c r="E3449" s="74">
        <v>43861</v>
      </c>
      <c r="F3449" s="74"/>
      <c r="G3449" s="74"/>
      <c r="H3449" s="74"/>
      <c r="I3449" s="74"/>
      <c r="J3449" s="75"/>
      <c r="K3449" s="6" t="s">
        <v>3</v>
      </c>
      <c r="L3449" s="7"/>
      <c r="M3449" s="5">
        <f t="shared" si="368"/>
        <v>0</v>
      </c>
    </row>
    <row r="3450" spans="1:15" x14ac:dyDescent="0.15">
      <c r="A3450" s="75"/>
      <c r="B3450" s="6" t="s">
        <v>172</v>
      </c>
      <c r="C3450" s="7">
        <v>16</v>
      </c>
      <c r="D3450" s="5">
        <f t="shared" si="367"/>
        <v>16</v>
      </c>
      <c r="E3450" s="74">
        <v>43861</v>
      </c>
      <c r="F3450" s="74"/>
      <c r="G3450" s="74"/>
      <c r="H3450" s="74"/>
      <c r="I3450" s="74"/>
      <c r="K3450" s="6" t="s">
        <v>3</v>
      </c>
      <c r="L3450" s="7"/>
      <c r="M3450" s="5">
        <f t="shared" si="368"/>
        <v>0</v>
      </c>
    </row>
    <row r="3451" spans="1:15" x14ac:dyDescent="0.15">
      <c r="A3451" s="75"/>
      <c r="B3451" s="6" t="s">
        <v>3</v>
      </c>
      <c r="C3451" s="7"/>
      <c r="D3451" s="5">
        <f t="shared" si="367"/>
        <v>0</v>
      </c>
      <c r="E3451" s="74"/>
      <c r="F3451" s="74"/>
      <c r="G3451" s="74"/>
      <c r="H3451" s="74"/>
      <c r="I3451" s="74"/>
      <c r="J3451" s="100"/>
      <c r="K3451" s="6" t="s">
        <v>3</v>
      </c>
      <c r="L3451" s="7"/>
      <c r="M3451" s="5">
        <f t="shared" si="368"/>
        <v>0</v>
      </c>
    </row>
    <row r="3452" spans="1:15" x14ac:dyDescent="0.15">
      <c r="B3452" s="6" t="s">
        <v>3</v>
      </c>
      <c r="C3452" s="7"/>
      <c r="D3452" s="5">
        <f t="shared" si="367"/>
        <v>0</v>
      </c>
      <c r="E3452" s="74"/>
      <c r="F3452" s="74"/>
      <c r="G3452" s="74"/>
      <c r="H3452" s="74"/>
      <c r="I3452" s="74"/>
      <c r="K3452" s="6" t="s">
        <v>3</v>
      </c>
      <c r="L3452" s="7"/>
      <c r="M3452" s="5">
        <f t="shared" si="368"/>
        <v>0</v>
      </c>
    </row>
    <row r="3453" spans="1:15" x14ac:dyDescent="0.15">
      <c r="B3453" s="6" t="s">
        <v>3</v>
      </c>
      <c r="C3453" s="7"/>
      <c r="D3453" s="5">
        <f t="shared" si="367"/>
        <v>0</v>
      </c>
      <c r="E3453" s="74"/>
      <c r="F3453" s="74"/>
      <c r="G3453" s="74"/>
      <c r="H3453" s="74"/>
      <c r="I3453" s="74"/>
      <c r="K3453" s="6" t="s">
        <v>3</v>
      </c>
      <c r="L3453" s="7"/>
      <c r="M3453" s="5">
        <f t="shared" si="368"/>
        <v>0</v>
      </c>
    </row>
    <row r="3454" spans="1:15" x14ac:dyDescent="0.15">
      <c r="B3454" s="6" t="s">
        <v>3</v>
      </c>
      <c r="C3454" s="7"/>
      <c r="D3454" s="5">
        <f t="shared" si="367"/>
        <v>0</v>
      </c>
      <c r="E3454" s="74"/>
      <c r="F3454" s="74"/>
      <c r="G3454" s="74"/>
      <c r="H3454" s="74"/>
      <c r="I3454" s="74"/>
      <c r="K3454" s="6" t="s">
        <v>3</v>
      </c>
      <c r="L3454" s="7"/>
      <c r="M3454" s="5">
        <f t="shared" si="368"/>
        <v>0</v>
      </c>
    </row>
    <row r="3455" spans="1:15" x14ac:dyDescent="0.15">
      <c r="B3455" s="6" t="s">
        <v>3</v>
      </c>
      <c r="C3455" s="54"/>
      <c r="D3455" s="5">
        <f t="shared" si="367"/>
        <v>0</v>
      </c>
      <c r="K3455" s="6" t="s">
        <v>3</v>
      </c>
      <c r="L3455" s="7"/>
      <c r="M3455" s="5">
        <f t="shared" si="368"/>
        <v>0</v>
      </c>
    </row>
    <row r="3456" spans="1:15" x14ac:dyDescent="0.15">
      <c r="B3456" s="6" t="s">
        <v>3</v>
      </c>
      <c r="C3456" s="54"/>
      <c r="D3456" s="5">
        <f t="shared" si="367"/>
        <v>0</v>
      </c>
      <c r="K3456" s="6" t="s">
        <v>3</v>
      </c>
      <c r="L3456" s="7"/>
      <c r="M3456" s="5">
        <f t="shared" si="368"/>
        <v>0</v>
      </c>
    </row>
    <row r="3457" spans="2:13" x14ac:dyDescent="0.15">
      <c r="B3457" s="6" t="s">
        <v>3</v>
      </c>
      <c r="C3457" s="54"/>
      <c r="D3457" s="5">
        <f t="shared" si="367"/>
        <v>0</v>
      </c>
      <c r="K3457" s="6" t="s">
        <v>3</v>
      </c>
      <c r="L3457" s="7"/>
      <c r="M3457" s="5">
        <f t="shared" si="368"/>
        <v>0</v>
      </c>
    </row>
    <row r="3458" spans="2:13" ht="14.25" thickBot="1" x14ac:dyDescent="0.2">
      <c r="B3458" s="9" t="s">
        <v>3</v>
      </c>
      <c r="C3458" s="101"/>
      <c r="D3458" s="5">
        <f t="shared" si="367"/>
        <v>0</v>
      </c>
      <c r="K3458" s="9" t="s">
        <v>3</v>
      </c>
      <c r="L3458" s="10"/>
      <c r="M3458" s="5">
        <f t="shared" si="368"/>
        <v>0</v>
      </c>
    </row>
    <row r="3459" spans="2:13" ht="14.25" thickBot="1" x14ac:dyDescent="0.2">
      <c r="B3459" s="11" t="s">
        <v>4</v>
      </c>
      <c r="C3459" s="12">
        <f>SUM(C3448:C3458)</f>
        <v>132</v>
      </c>
      <c r="D3459" s="13">
        <f>SUM(D3448:D3458)</f>
        <v>132</v>
      </c>
      <c r="K3459" s="11" t="s">
        <v>4</v>
      </c>
      <c r="L3459" s="12">
        <f>SUM(L3448:L3458)</f>
        <v>1479</v>
      </c>
      <c r="M3459" s="13">
        <f>SUM(M3448:M3458)</f>
        <v>1479</v>
      </c>
    </row>
    <row r="3460" spans="2:13" x14ac:dyDescent="0.15">
      <c r="B3460" s="71" t="s">
        <v>162</v>
      </c>
      <c r="C3460" s="15">
        <v>1</v>
      </c>
      <c r="D3460" s="14">
        <f>SUM(C3460)</f>
        <v>1</v>
      </c>
      <c r="E3460" s="74">
        <v>43826</v>
      </c>
      <c r="F3460" s="74"/>
      <c r="G3460" s="74"/>
      <c r="H3460" s="74"/>
      <c r="I3460" s="74"/>
      <c r="J3460" s="75"/>
      <c r="K3460" s="71"/>
      <c r="L3460" s="15"/>
      <c r="M3460" s="14">
        <f>SUM(L3460)</f>
        <v>0</v>
      </c>
    </row>
    <row r="3461" spans="2:13" x14ac:dyDescent="0.15">
      <c r="B3461" s="71" t="s">
        <v>162</v>
      </c>
      <c r="C3461" s="15">
        <v>3</v>
      </c>
      <c r="D3461" s="14">
        <f>SUM(C3461)</f>
        <v>3</v>
      </c>
      <c r="E3461" s="74">
        <v>43835</v>
      </c>
      <c r="F3461" s="74"/>
      <c r="G3461" s="74"/>
      <c r="H3461" s="74"/>
      <c r="I3461" s="74"/>
      <c r="J3461" s="36"/>
      <c r="K3461" s="71"/>
      <c r="L3461" s="15"/>
      <c r="M3461" s="14">
        <f t="shared" ref="M3461:M3471" si="369">SUM(L3461:L3461)</f>
        <v>0</v>
      </c>
    </row>
    <row r="3462" spans="2:13" x14ac:dyDescent="0.15">
      <c r="B3462" s="71" t="s">
        <v>162</v>
      </c>
      <c r="C3462" s="15">
        <v>1</v>
      </c>
      <c r="D3462" s="14">
        <f>SUM(C3462)</f>
        <v>1</v>
      </c>
      <c r="E3462" s="74">
        <v>43837</v>
      </c>
      <c r="F3462" s="74"/>
      <c r="G3462" s="74"/>
      <c r="H3462" s="74"/>
      <c r="I3462" s="74"/>
      <c r="J3462" s="51"/>
      <c r="K3462" s="71"/>
      <c r="L3462" s="15"/>
      <c r="M3462" s="14">
        <f t="shared" si="369"/>
        <v>0</v>
      </c>
    </row>
    <row r="3463" spans="2:13" x14ac:dyDescent="0.15">
      <c r="B3463" s="71" t="s">
        <v>162</v>
      </c>
      <c r="C3463" s="15">
        <v>1</v>
      </c>
      <c r="D3463" s="14">
        <f t="shared" ref="D3463:D3473" si="370">SUM(C3463)</f>
        <v>1</v>
      </c>
      <c r="E3463" s="74">
        <v>43838</v>
      </c>
      <c r="F3463" s="74"/>
      <c r="G3463" s="74"/>
      <c r="H3463" s="74"/>
      <c r="I3463" s="74"/>
      <c r="J3463" s="51"/>
      <c r="K3463" s="71"/>
      <c r="L3463" s="15"/>
      <c r="M3463" s="14">
        <f t="shared" si="369"/>
        <v>0</v>
      </c>
    </row>
    <row r="3464" spans="2:13" x14ac:dyDescent="0.15">
      <c r="B3464" s="71" t="s">
        <v>162</v>
      </c>
      <c r="C3464" s="15">
        <v>1</v>
      </c>
      <c r="D3464" s="14">
        <f t="shared" si="370"/>
        <v>1</v>
      </c>
      <c r="E3464" s="74">
        <v>43839</v>
      </c>
      <c r="F3464" s="74"/>
      <c r="G3464" s="74"/>
      <c r="H3464" s="74"/>
      <c r="I3464" s="74"/>
      <c r="J3464" s="51"/>
      <c r="K3464" s="4"/>
      <c r="L3464" s="15"/>
      <c r="M3464" s="14">
        <f t="shared" si="369"/>
        <v>0</v>
      </c>
    </row>
    <row r="3465" spans="2:13" x14ac:dyDescent="0.15">
      <c r="B3465" s="71" t="s">
        <v>162</v>
      </c>
      <c r="C3465" s="15">
        <v>1</v>
      </c>
      <c r="D3465" s="14">
        <f t="shared" si="370"/>
        <v>1</v>
      </c>
      <c r="E3465" s="74">
        <v>43840</v>
      </c>
      <c r="F3465" s="74"/>
      <c r="G3465" s="74"/>
      <c r="H3465" s="74"/>
      <c r="I3465" s="74"/>
      <c r="J3465" s="51"/>
      <c r="K3465" s="71"/>
      <c r="L3465" s="15"/>
      <c r="M3465" s="14">
        <f t="shared" si="369"/>
        <v>0</v>
      </c>
    </row>
    <row r="3466" spans="2:13" x14ac:dyDescent="0.15">
      <c r="B3466" s="71" t="s">
        <v>162</v>
      </c>
      <c r="C3466" s="15">
        <v>3</v>
      </c>
      <c r="D3466" s="14">
        <f t="shared" si="370"/>
        <v>3</v>
      </c>
      <c r="E3466" s="74">
        <v>43841</v>
      </c>
      <c r="F3466" s="74"/>
      <c r="G3466" s="74"/>
      <c r="H3466" s="74"/>
      <c r="I3466" s="74"/>
      <c r="J3466" s="51"/>
      <c r="K3466" s="4"/>
      <c r="L3466" s="15"/>
      <c r="M3466" s="14">
        <f t="shared" si="369"/>
        <v>0</v>
      </c>
    </row>
    <row r="3467" spans="2:13" x14ac:dyDescent="0.15">
      <c r="B3467" s="71" t="s">
        <v>162</v>
      </c>
      <c r="C3467" s="15">
        <v>1</v>
      </c>
      <c r="D3467" s="14">
        <f t="shared" si="370"/>
        <v>1</v>
      </c>
      <c r="E3467" s="74">
        <v>43844</v>
      </c>
      <c r="F3467" s="74"/>
      <c r="G3467" s="74"/>
      <c r="H3467" s="74"/>
      <c r="I3467" s="74"/>
      <c r="J3467" s="51"/>
      <c r="K3467" s="6"/>
      <c r="L3467" s="15"/>
      <c r="M3467" s="14">
        <f t="shared" si="369"/>
        <v>0</v>
      </c>
    </row>
    <row r="3468" spans="2:13" x14ac:dyDescent="0.15">
      <c r="B3468" s="71" t="s">
        <v>162</v>
      </c>
      <c r="C3468" s="15">
        <v>2</v>
      </c>
      <c r="D3468" s="14">
        <f t="shared" si="370"/>
        <v>2</v>
      </c>
      <c r="E3468" s="74">
        <v>43848</v>
      </c>
      <c r="F3468" s="74"/>
      <c r="G3468" s="74"/>
      <c r="H3468" s="74"/>
      <c r="I3468" s="74"/>
      <c r="J3468" s="36"/>
      <c r="K3468" s="4"/>
      <c r="L3468" s="15"/>
      <c r="M3468" s="14">
        <f t="shared" si="369"/>
        <v>0</v>
      </c>
    </row>
    <row r="3469" spans="2:13" x14ac:dyDescent="0.15">
      <c r="B3469" s="71" t="s">
        <v>162</v>
      </c>
      <c r="C3469" s="15">
        <v>4</v>
      </c>
      <c r="D3469" s="14">
        <f t="shared" si="370"/>
        <v>4</v>
      </c>
      <c r="E3469" s="74">
        <v>43850</v>
      </c>
      <c r="F3469" s="74"/>
      <c r="G3469" s="74"/>
      <c r="H3469" s="74"/>
      <c r="I3469" s="74"/>
      <c r="J3469" s="36"/>
      <c r="K3469" s="4"/>
      <c r="L3469" s="15"/>
      <c r="M3469" s="14">
        <f t="shared" si="369"/>
        <v>0</v>
      </c>
    </row>
    <row r="3470" spans="2:13" x14ac:dyDescent="0.15">
      <c r="B3470" s="71" t="s">
        <v>162</v>
      </c>
      <c r="C3470" s="15">
        <v>1</v>
      </c>
      <c r="D3470" s="14">
        <f t="shared" si="370"/>
        <v>1</v>
      </c>
      <c r="E3470" s="74">
        <v>43852</v>
      </c>
      <c r="F3470" s="74"/>
      <c r="G3470" s="74"/>
      <c r="H3470" s="74"/>
      <c r="I3470" s="74"/>
      <c r="J3470" s="51"/>
      <c r="K3470" s="4"/>
      <c r="L3470" s="15"/>
      <c r="M3470" s="14">
        <f t="shared" si="369"/>
        <v>0</v>
      </c>
    </row>
    <row r="3471" spans="2:13" x14ac:dyDescent="0.15">
      <c r="B3471" s="71" t="s">
        <v>162</v>
      </c>
      <c r="C3471" s="15">
        <v>2</v>
      </c>
      <c r="D3471" s="14">
        <f t="shared" si="370"/>
        <v>2</v>
      </c>
      <c r="E3471" s="74">
        <v>43857</v>
      </c>
      <c r="F3471" s="74"/>
      <c r="G3471" s="74"/>
      <c r="H3471" s="74"/>
      <c r="I3471" s="74"/>
      <c r="J3471" s="51"/>
      <c r="K3471" s="4"/>
      <c r="L3471" s="15"/>
      <c r="M3471" s="14">
        <f t="shared" si="369"/>
        <v>0</v>
      </c>
    </row>
    <row r="3472" spans="2:13" x14ac:dyDescent="0.15">
      <c r="B3472" s="71" t="s">
        <v>162</v>
      </c>
      <c r="C3472" s="15">
        <v>2</v>
      </c>
      <c r="D3472" s="14">
        <f t="shared" si="370"/>
        <v>2</v>
      </c>
      <c r="E3472" s="74">
        <v>43858</v>
      </c>
      <c r="F3472" s="74"/>
      <c r="G3472" s="74"/>
      <c r="H3472" s="74"/>
      <c r="I3472" s="74"/>
      <c r="J3472" s="36"/>
      <c r="K3472" s="172"/>
      <c r="L3472" s="15"/>
      <c r="M3472" s="14">
        <f>SUM(L3472)</f>
        <v>0</v>
      </c>
    </row>
    <row r="3473" spans="1:15" x14ac:dyDescent="0.15">
      <c r="B3473" s="71" t="s">
        <v>162</v>
      </c>
      <c r="C3473" s="15">
        <v>5</v>
      </c>
      <c r="D3473" s="14">
        <f t="shared" si="370"/>
        <v>5</v>
      </c>
      <c r="E3473" s="74">
        <v>43861</v>
      </c>
      <c r="F3473" s="74"/>
      <c r="G3473" s="74"/>
      <c r="H3473" s="74"/>
      <c r="I3473" s="74"/>
      <c r="J3473" s="51"/>
      <c r="K3473" s="173"/>
      <c r="L3473" s="15"/>
      <c r="M3473" s="14">
        <f>SUM(L3473:L3473)</f>
        <v>0</v>
      </c>
    </row>
    <row r="3474" spans="1:15" x14ac:dyDescent="0.15">
      <c r="B3474" s="71" t="s">
        <v>162</v>
      </c>
      <c r="C3474" s="15">
        <v>1</v>
      </c>
      <c r="D3474" s="14">
        <f>SUM(C3474)</f>
        <v>1</v>
      </c>
      <c r="E3474" s="74">
        <v>43864</v>
      </c>
      <c r="F3474" s="74"/>
      <c r="G3474" s="74"/>
      <c r="H3474" s="74"/>
      <c r="I3474" s="74"/>
      <c r="J3474" s="51"/>
      <c r="K3474" s="4"/>
      <c r="L3474" s="15"/>
      <c r="M3474" s="14">
        <f>SUM(L3474:L3474)</f>
        <v>0</v>
      </c>
    </row>
    <row r="3475" spans="1:15" x14ac:dyDescent="0.15">
      <c r="B3475" s="71" t="s">
        <v>162</v>
      </c>
      <c r="C3475" s="15">
        <v>2</v>
      </c>
      <c r="D3475" s="14">
        <f>SUM(C3475)</f>
        <v>2</v>
      </c>
      <c r="E3475" s="74">
        <v>43866</v>
      </c>
      <c r="F3475" s="74"/>
      <c r="G3475" s="74"/>
      <c r="H3475" s="74"/>
      <c r="I3475" s="74"/>
      <c r="J3475" s="51"/>
      <c r="K3475" s="6"/>
      <c r="L3475" s="15"/>
      <c r="M3475" s="14">
        <f>SUM(L3475:L3475)</f>
        <v>0</v>
      </c>
    </row>
    <row r="3476" spans="1:15" x14ac:dyDescent="0.15">
      <c r="B3476" s="71" t="s">
        <v>162</v>
      </c>
      <c r="C3476" s="15">
        <v>3</v>
      </c>
      <c r="D3476" s="14">
        <f>SUM(C3476)</f>
        <v>3</v>
      </c>
      <c r="E3476" s="74">
        <v>43867</v>
      </c>
      <c r="F3476" s="74"/>
      <c r="G3476" s="74"/>
      <c r="H3476" s="74"/>
      <c r="I3476" s="74"/>
      <c r="J3476" s="51"/>
      <c r="K3476" s="6"/>
      <c r="L3476" s="15"/>
      <c r="M3476" s="14">
        <f>SUM(L3476:L3476)</f>
        <v>0</v>
      </c>
    </row>
    <row r="3477" spans="1:15" x14ac:dyDescent="0.15">
      <c r="B3477" s="71" t="s">
        <v>162</v>
      </c>
      <c r="C3477" s="15">
        <v>2</v>
      </c>
      <c r="D3477" s="14">
        <f t="shared" ref="D3477:D3483" si="371">SUM(C3477)</f>
        <v>2</v>
      </c>
      <c r="E3477" s="74">
        <v>43868</v>
      </c>
      <c r="F3477" s="74"/>
      <c r="G3477" s="74"/>
      <c r="H3477" s="74"/>
      <c r="I3477" s="74"/>
      <c r="J3477" s="51"/>
      <c r="K3477" s="172"/>
      <c r="L3477" s="15"/>
      <c r="M3477" s="14">
        <f>SUM(L3477)</f>
        <v>0</v>
      </c>
    </row>
    <row r="3478" spans="1:15" x14ac:dyDescent="0.15">
      <c r="B3478" s="71" t="s">
        <v>162</v>
      </c>
      <c r="C3478" s="15">
        <v>4</v>
      </c>
      <c r="D3478" s="14">
        <f t="shared" si="371"/>
        <v>4</v>
      </c>
      <c r="E3478" s="74">
        <v>43871</v>
      </c>
      <c r="F3478" s="74"/>
      <c r="G3478" s="74"/>
      <c r="H3478" s="74"/>
      <c r="I3478" s="74"/>
      <c r="J3478" s="51"/>
      <c r="K3478" s="173"/>
      <c r="L3478" s="15"/>
      <c r="M3478" s="14">
        <f>SUM(L3478:L3478)</f>
        <v>0</v>
      </c>
    </row>
    <row r="3479" spans="1:15" x14ac:dyDescent="0.15">
      <c r="B3479" s="71" t="s">
        <v>162</v>
      </c>
      <c r="C3479" s="15">
        <v>3</v>
      </c>
      <c r="D3479" s="14">
        <f t="shared" si="371"/>
        <v>3</v>
      </c>
      <c r="E3479" s="48">
        <v>43873</v>
      </c>
      <c r="F3479" s="48"/>
      <c r="G3479" s="48"/>
      <c r="H3479" s="48"/>
      <c r="I3479" s="48"/>
      <c r="J3479" s="51"/>
      <c r="K3479" s="4"/>
      <c r="L3479" s="15"/>
      <c r="M3479" s="14">
        <f>SUM(L3479)</f>
        <v>0</v>
      </c>
    </row>
    <row r="3480" spans="1:15" x14ac:dyDescent="0.15">
      <c r="B3480" s="71" t="s">
        <v>162</v>
      </c>
      <c r="C3480" s="15">
        <v>3</v>
      </c>
      <c r="D3480" s="14">
        <f t="shared" si="371"/>
        <v>3</v>
      </c>
      <c r="E3480" s="74">
        <v>43874</v>
      </c>
      <c r="F3480" s="74"/>
      <c r="G3480" s="74"/>
      <c r="H3480" s="74"/>
      <c r="I3480" s="74"/>
      <c r="J3480" s="51"/>
      <c r="K3480" s="6"/>
      <c r="L3480" s="15"/>
      <c r="M3480" s="14">
        <f>SUM(L3480:L3480)</f>
        <v>0</v>
      </c>
      <c r="N3480" s="75"/>
      <c r="O3480" s="75"/>
    </row>
    <row r="3481" spans="1:15" x14ac:dyDescent="0.15">
      <c r="B3481" s="71" t="s">
        <v>162</v>
      </c>
      <c r="C3481" s="15">
        <v>2</v>
      </c>
      <c r="D3481" s="14">
        <f t="shared" si="371"/>
        <v>2</v>
      </c>
      <c r="E3481" s="48">
        <v>43875</v>
      </c>
      <c r="F3481" s="48"/>
      <c r="G3481" s="48"/>
      <c r="H3481" s="48"/>
      <c r="I3481" s="48"/>
      <c r="J3481" s="51"/>
      <c r="K3481" s="6"/>
      <c r="L3481" s="15"/>
      <c r="M3481" s="14">
        <f>SUM(L3481:L3481)</f>
        <v>0</v>
      </c>
      <c r="N3481" s="75"/>
      <c r="O3481" s="75"/>
    </row>
    <row r="3482" spans="1:15" x14ac:dyDescent="0.15">
      <c r="B3482" s="71" t="s">
        <v>162</v>
      </c>
      <c r="C3482" s="15">
        <v>4</v>
      </c>
      <c r="D3482" s="14">
        <f t="shared" si="371"/>
        <v>4</v>
      </c>
      <c r="E3482" s="48">
        <v>43878</v>
      </c>
      <c r="F3482" s="48"/>
      <c r="G3482" s="48"/>
      <c r="H3482" s="48"/>
      <c r="I3482" s="48"/>
      <c r="J3482" s="51"/>
      <c r="K3482" s="6"/>
      <c r="L3482" s="15"/>
      <c r="M3482" s="14">
        <f>SUM(L3482:L3482)</f>
        <v>0</v>
      </c>
      <c r="N3482" s="75"/>
      <c r="O3482" s="75"/>
    </row>
    <row r="3483" spans="1:15" ht="14.25" thickBot="1" x14ac:dyDescent="0.2">
      <c r="B3483" s="71" t="s">
        <v>39</v>
      </c>
      <c r="C3483" s="15">
        <v>30</v>
      </c>
      <c r="D3483" s="14">
        <f t="shared" si="371"/>
        <v>30</v>
      </c>
      <c r="E3483" s="48">
        <v>43878</v>
      </c>
      <c r="F3483" s="48"/>
      <c r="G3483" s="48"/>
      <c r="H3483" s="48"/>
      <c r="I3483" s="48"/>
      <c r="J3483" s="51"/>
      <c r="K3483" s="6"/>
      <c r="L3483" s="15"/>
      <c r="M3483" s="14">
        <f>SUM(L3483:L3483)</f>
        <v>0</v>
      </c>
      <c r="N3483" s="75"/>
      <c r="O3483" s="75"/>
    </row>
    <row r="3484" spans="1:15" ht="14.25" thickBot="1" x14ac:dyDescent="0.2">
      <c r="B3484" s="3" t="s">
        <v>5</v>
      </c>
      <c r="C3484" s="16">
        <f>SUM(C3460:C3483)</f>
        <v>82</v>
      </c>
      <c r="D3484" s="17">
        <f>SUM(D3460:D3483)</f>
        <v>82</v>
      </c>
      <c r="K3484" s="3" t="s">
        <v>5</v>
      </c>
      <c r="L3484" s="16">
        <f>SUM(L3460:L3483)</f>
        <v>0</v>
      </c>
      <c r="M3484" s="17">
        <f>SUM(M3460:M3483)</f>
        <v>0</v>
      </c>
    </row>
    <row r="3485" spans="1:15" ht="14.25" thickBot="1" x14ac:dyDescent="0.2">
      <c r="B3485" s="18" t="s">
        <v>6</v>
      </c>
      <c r="C3485" s="19">
        <f>C3459-C3484</f>
        <v>50</v>
      </c>
      <c r="D3485" s="13">
        <f>D3459-D3484</f>
        <v>50</v>
      </c>
      <c r="K3485" s="18" t="s">
        <v>6</v>
      </c>
      <c r="L3485" s="19">
        <f>L3459-L3484</f>
        <v>1479</v>
      </c>
      <c r="M3485" s="13">
        <f>M3459-M3484</f>
        <v>1479</v>
      </c>
    </row>
    <row r="3487" spans="1:15" ht="18" thickBot="1" x14ac:dyDescent="0.25">
      <c r="A3487" s="27" t="s">
        <v>8</v>
      </c>
      <c r="B3487" s="28"/>
      <c r="C3487" s="28"/>
      <c r="D3487" s="28"/>
      <c r="J3487" s="139" t="s">
        <v>218</v>
      </c>
      <c r="K3487" s="140"/>
      <c r="L3487" s="140"/>
      <c r="M3487" s="140"/>
    </row>
    <row r="3488" spans="1:15" ht="14.25" thickBot="1" x14ac:dyDescent="0.2">
      <c r="B3488" s="2"/>
      <c r="C3488" s="3" t="s">
        <v>0</v>
      </c>
      <c r="D3488" s="2" t="s">
        <v>1</v>
      </c>
      <c r="K3488" s="2"/>
      <c r="L3488" s="3" t="s">
        <v>0</v>
      </c>
      <c r="M3488" s="2" t="s">
        <v>1</v>
      </c>
    </row>
    <row r="3489" spans="1:15" x14ac:dyDescent="0.15">
      <c r="B3489" s="43" t="s">
        <v>26</v>
      </c>
      <c r="C3489" s="38">
        <f>C3485</f>
        <v>50</v>
      </c>
      <c r="D3489" s="39">
        <f t="shared" ref="D3489:D3499" si="372">SUM(C3489:C3489)</f>
        <v>50</v>
      </c>
      <c r="K3489" s="43" t="s">
        <v>26</v>
      </c>
      <c r="L3489" s="38">
        <f>L3485</f>
        <v>1479</v>
      </c>
      <c r="M3489" s="39">
        <f t="shared" ref="M3489:M3499" si="373">SUM(L3489:L3489)</f>
        <v>1479</v>
      </c>
    </row>
    <row r="3490" spans="1:15" x14ac:dyDescent="0.15">
      <c r="B3490" s="6" t="s">
        <v>3</v>
      </c>
      <c r="C3490" s="7">
        <v>200</v>
      </c>
      <c r="D3490" s="5">
        <f t="shared" si="372"/>
        <v>200</v>
      </c>
      <c r="E3490" s="74">
        <v>43897</v>
      </c>
      <c r="F3490" s="74"/>
      <c r="G3490" s="74"/>
      <c r="H3490" s="74"/>
      <c r="I3490" s="74"/>
      <c r="J3490" s="75"/>
      <c r="K3490" s="6" t="s">
        <v>3</v>
      </c>
      <c r="L3490" s="7"/>
      <c r="M3490" s="5">
        <f t="shared" si="373"/>
        <v>0</v>
      </c>
      <c r="N3490" s="75"/>
      <c r="O3490" s="75"/>
    </row>
    <row r="3491" spans="1:15" x14ac:dyDescent="0.15">
      <c r="A3491" s="75"/>
      <c r="B3491" s="6" t="s">
        <v>3</v>
      </c>
      <c r="C3491" s="7"/>
      <c r="D3491" s="5">
        <f t="shared" si="372"/>
        <v>0</v>
      </c>
      <c r="E3491" s="74"/>
      <c r="F3491" s="74"/>
      <c r="G3491" s="74"/>
      <c r="H3491" s="74"/>
      <c r="I3491" s="74"/>
      <c r="K3491" s="6" t="s">
        <v>3</v>
      </c>
      <c r="L3491" s="7"/>
      <c r="M3491" s="5">
        <f t="shared" si="373"/>
        <v>0</v>
      </c>
      <c r="N3491" s="74"/>
      <c r="O3491" s="75"/>
    </row>
    <row r="3492" spans="1:15" x14ac:dyDescent="0.15">
      <c r="A3492" s="75"/>
      <c r="B3492" s="6" t="s">
        <v>3</v>
      </c>
      <c r="C3492" s="7"/>
      <c r="D3492" s="5">
        <f t="shared" si="372"/>
        <v>0</v>
      </c>
      <c r="E3492" s="74"/>
      <c r="F3492" s="74"/>
      <c r="G3492" s="74"/>
      <c r="H3492" s="74"/>
      <c r="I3492" s="74"/>
      <c r="J3492" s="100"/>
      <c r="K3492" s="6" t="s">
        <v>3</v>
      </c>
      <c r="L3492" s="7"/>
      <c r="M3492" s="5">
        <f t="shared" si="373"/>
        <v>0</v>
      </c>
      <c r="N3492" s="75"/>
      <c r="O3492" s="75"/>
    </row>
    <row r="3493" spans="1:15" x14ac:dyDescent="0.15">
      <c r="B3493" s="6" t="s">
        <v>3</v>
      </c>
      <c r="C3493" s="7"/>
      <c r="D3493" s="5">
        <f t="shared" si="372"/>
        <v>0</v>
      </c>
      <c r="E3493" s="74"/>
      <c r="F3493" s="74"/>
      <c r="G3493" s="74"/>
      <c r="H3493" s="74"/>
      <c r="I3493" s="74"/>
      <c r="K3493" s="6" t="s">
        <v>3</v>
      </c>
      <c r="L3493" s="7"/>
      <c r="M3493" s="5">
        <f t="shared" si="373"/>
        <v>0</v>
      </c>
      <c r="N3493" s="75"/>
      <c r="O3493" s="75"/>
    </row>
    <row r="3494" spans="1:15" x14ac:dyDescent="0.15">
      <c r="B3494" s="6" t="s">
        <v>3</v>
      </c>
      <c r="C3494" s="7"/>
      <c r="D3494" s="5">
        <f t="shared" si="372"/>
        <v>0</v>
      </c>
      <c r="E3494" s="74"/>
      <c r="F3494" s="74"/>
      <c r="G3494" s="74"/>
      <c r="H3494" s="74"/>
      <c r="I3494" s="74"/>
      <c r="K3494" s="6" t="s">
        <v>3</v>
      </c>
      <c r="L3494" s="7"/>
      <c r="M3494" s="5">
        <f t="shared" si="373"/>
        <v>0</v>
      </c>
      <c r="N3494" s="75"/>
      <c r="O3494" s="75"/>
    </row>
    <row r="3495" spans="1:15" x14ac:dyDescent="0.15">
      <c r="B3495" s="6" t="s">
        <v>3</v>
      </c>
      <c r="C3495" s="7"/>
      <c r="D3495" s="5">
        <f t="shared" si="372"/>
        <v>0</v>
      </c>
      <c r="E3495" s="74"/>
      <c r="F3495" s="74"/>
      <c r="G3495" s="74"/>
      <c r="H3495" s="74"/>
      <c r="I3495" s="74"/>
      <c r="K3495" s="6" t="s">
        <v>3</v>
      </c>
      <c r="L3495" s="7"/>
      <c r="M3495" s="5">
        <f t="shared" si="373"/>
        <v>0</v>
      </c>
      <c r="N3495" s="75"/>
      <c r="O3495" s="75"/>
    </row>
    <row r="3496" spans="1:15" x14ac:dyDescent="0.15">
      <c r="B3496" s="6" t="s">
        <v>3</v>
      </c>
      <c r="C3496" s="54"/>
      <c r="D3496" s="5">
        <f t="shared" si="372"/>
        <v>0</v>
      </c>
      <c r="K3496" s="6" t="s">
        <v>3</v>
      </c>
      <c r="L3496" s="7"/>
      <c r="M3496" s="5">
        <f t="shared" si="373"/>
        <v>0</v>
      </c>
      <c r="N3496" s="75"/>
      <c r="O3496" s="75"/>
    </row>
    <row r="3497" spans="1:15" x14ac:dyDescent="0.15">
      <c r="B3497" s="6" t="s">
        <v>3</v>
      </c>
      <c r="C3497" s="54"/>
      <c r="D3497" s="5">
        <f t="shared" si="372"/>
        <v>0</v>
      </c>
      <c r="K3497" s="171" t="s">
        <v>3</v>
      </c>
      <c r="L3497" s="7"/>
      <c r="M3497" s="5">
        <f>SUM(L3497:L3497)</f>
        <v>0</v>
      </c>
      <c r="N3497" s="74"/>
      <c r="O3497" s="75"/>
    </row>
    <row r="3498" spans="1:15" x14ac:dyDescent="0.15">
      <c r="B3498" s="6" t="s">
        <v>3</v>
      </c>
      <c r="C3498" s="54"/>
      <c r="D3498" s="5">
        <f t="shared" si="372"/>
        <v>0</v>
      </c>
      <c r="K3498" s="6" t="s">
        <v>3</v>
      </c>
      <c r="L3498" s="7"/>
      <c r="M3498" s="5">
        <f t="shared" si="373"/>
        <v>0</v>
      </c>
    </row>
    <row r="3499" spans="1:15" ht="14.25" thickBot="1" x14ac:dyDescent="0.2">
      <c r="B3499" s="9" t="s">
        <v>3</v>
      </c>
      <c r="C3499" s="101"/>
      <c r="D3499" s="5">
        <f t="shared" si="372"/>
        <v>0</v>
      </c>
      <c r="K3499" s="9" t="s">
        <v>3</v>
      </c>
      <c r="L3499" s="10"/>
      <c r="M3499" s="5">
        <f t="shared" si="373"/>
        <v>0</v>
      </c>
    </row>
    <row r="3500" spans="1:15" ht="14.25" thickBot="1" x14ac:dyDescent="0.2">
      <c r="B3500" s="11" t="s">
        <v>4</v>
      </c>
      <c r="C3500" s="12">
        <f>SUM(C3489:C3499)</f>
        <v>250</v>
      </c>
      <c r="D3500" s="13">
        <f>SUM(D3489:D3499)</f>
        <v>250</v>
      </c>
      <c r="K3500" s="11" t="s">
        <v>4</v>
      </c>
      <c r="L3500" s="12">
        <f>SUM(L3489:L3499)</f>
        <v>1479</v>
      </c>
      <c r="M3500" s="13">
        <f>SUM(M3489:M3499)</f>
        <v>1479</v>
      </c>
    </row>
    <row r="3501" spans="1:15" x14ac:dyDescent="0.15">
      <c r="B3501" s="71" t="s">
        <v>162</v>
      </c>
      <c r="C3501" s="15">
        <v>1</v>
      </c>
      <c r="D3501" s="14">
        <f>SUM(C3501)</f>
        <v>1</v>
      </c>
      <c r="E3501" s="74">
        <v>43879</v>
      </c>
      <c r="F3501" s="74"/>
      <c r="G3501" s="74"/>
      <c r="H3501" s="74"/>
      <c r="I3501" s="74"/>
      <c r="J3501" s="75"/>
      <c r="K3501" s="71" t="s">
        <v>31</v>
      </c>
      <c r="L3501" s="15">
        <v>200</v>
      </c>
      <c r="M3501" s="14">
        <f>SUM(L3501)</f>
        <v>200</v>
      </c>
      <c r="N3501" s="74">
        <v>43897</v>
      </c>
    </row>
    <row r="3502" spans="1:15" x14ac:dyDescent="0.15">
      <c r="B3502" s="71" t="s">
        <v>162</v>
      </c>
      <c r="C3502" s="15">
        <v>4</v>
      </c>
      <c r="D3502" s="14">
        <f>SUM(C3502)</f>
        <v>4</v>
      </c>
      <c r="E3502" s="74">
        <v>43880</v>
      </c>
      <c r="F3502" s="74"/>
      <c r="G3502" s="74"/>
      <c r="H3502" s="74"/>
      <c r="I3502" s="74"/>
      <c r="J3502" s="36"/>
      <c r="K3502" s="6"/>
      <c r="L3502" s="15"/>
      <c r="M3502" s="14">
        <f t="shared" ref="M3502:M3512" si="374">SUM(L3502:L3502)</f>
        <v>0</v>
      </c>
      <c r="N3502" s="74"/>
    </row>
    <row r="3503" spans="1:15" x14ac:dyDescent="0.15">
      <c r="B3503" s="71" t="s">
        <v>162</v>
      </c>
      <c r="C3503" s="15">
        <v>2</v>
      </c>
      <c r="D3503" s="14">
        <f>SUM(C3503)</f>
        <v>2</v>
      </c>
      <c r="E3503" s="74">
        <v>43881</v>
      </c>
      <c r="F3503" s="74"/>
      <c r="G3503" s="74"/>
      <c r="H3503" s="74"/>
      <c r="I3503" s="74"/>
      <c r="J3503" s="51"/>
      <c r="K3503" s="71"/>
      <c r="L3503" s="15"/>
      <c r="M3503" s="14">
        <f t="shared" si="374"/>
        <v>0</v>
      </c>
    </row>
    <row r="3504" spans="1:15" x14ac:dyDescent="0.15">
      <c r="B3504" s="71" t="s">
        <v>162</v>
      </c>
      <c r="C3504" s="15">
        <v>4</v>
      </c>
      <c r="D3504" s="14">
        <f t="shared" ref="D3504:D3514" si="375">SUM(C3504)</f>
        <v>4</v>
      </c>
      <c r="E3504" s="74">
        <v>43886</v>
      </c>
      <c r="F3504" s="74"/>
      <c r="G3504" s="74"/>
      <c r="H3504" s="74"/>
      <c r="I3504" s="74"/>
      <c r="J3504" s="51"/>
      <c r="K3504" s="71"/>
      <c r="L3504" s="15"/>
      <c r="M3504" s="14">
        <f t="shared" si="374"/>
        <v>0</v>
      </c>
    </row>
    <row r="3505" spans="2:14" x14ac:dyDescent="0.15">
      <c r="B3505" s="71" t="s">
        <v>162</v>
      </c>
      <c r="C3505" s="15">
        <v>1</v>
      </c>
      <c r="D3505" s="14">
        <f t="shared" si="375"/>
        <v>1</v>
      </c>
      <c r="E3505" s="74">
        <v>43887</v>
      </c>
      <c r="F3505" s="74"/>
      <c r="G3505" s="74"/>
      <c r="H3505" s="74"/>
      <c r="I3505" s="74"/>
      <c r="J3505" s="51"/>
      <c r="K3505" s="4"/>
      <c r="L3505" s="15"/>
      <c r="M3505" s="14">
        <f t="shared" si="374"/>
        <v>0</v>
      </c>
    </row>
    <row r="3506" spans="2:14" x14ac:dyDescent="0.15">
      <c r="B3506" s="71" t="s">
        <v>162</v>
      </c>
      <c r="C3506" s="15">
        <v>1</v>
      </c>
      <c r="D3506" s="14">
        <f t="shared" si="375"/>
        <v>1</v>
      </c>
      <c r="E3506" s="74">
        <v>43888</v>
      </c>
      <c r="F3506" s="74"/>
      <c r="G3506" s="74"/>
      <c r="H3506" s="74"/>
      <c r="I3506" s="74"/>
      <c r="J3506" s="51"/>
      <c r="K3506" s="71"/>
      <c r="L3506" s="15"/>
      <c r="M3506" s="14">
        <f t="shared" si="374"/>
        <v>0</v>
      </c>
    </row>
    <row r="3507" spans="2:14" x14ac:dyDescent="0.15">
      <c r="B3507" s="71" t="s">
        <v>162</v>
      </c>
      <c r="C3507" s="15">
        <v>3</v>
      </c>
      <c r="D3507" s="14">
        <f t="shared" si="375"/>
        <v>3</v>
      </c>
      <c r="E3507" s="74">
        <v>43889</v>
      </c>
      <c r="F3507" s="74"/>
      <c r="G3507" s="74"/>
      <c r="H3507" s="74"/>
      <c r="I3507" s="74"/>
      <c r="J3507" s="51"/>
      <c r="K3507" s="4"/>
      <c r="L3507" s="15"/>
      <c r="M3507" s="14">
        <f t="shared" si="374"/>
        <v>0</v>
      </c>
    </row>
    <row r="3508" spans="2:14" x14ac:dyDescent="0.15">
      <c r="B3508" s="71" t="s">
        <v>162</v>
      </c>
      <c r="C3508" s="15">
        <v>3</v>
      </c>
      <c r="D3508" s="14">
        <f t="shared" si="375"/>
        <v>3</v>
      </c>
      <c r="E3508" s="74">
        <v>43892</v>
      </c>
      <c r="F3508" s="74"/>
      <c r="G3508" s="74"/>
      <c r="H3508" s="74"/>
      <c r="I3508" s="74"/>
      <c r="J3508" s="51"/>
      <c r="K3508" s="6"/>
      <c r="L3508" s="15"/>
      <c r="M3508" s="14">
        <f t="shared" si="374"/>
        <v>0</v>
      </c>
    </row>
    <row r="3509" spans="2:14" x14ac:dyDescent="0.15">
      <c r="B3509" s="71" t="s">
        <v>162</v>
      </c>
      <c r="C3509" s="15">
        <v>2</v>
      </c>
      <c r="D3509" s="14">
        <f t="shared" si="375"/>
        <v>2</v>
      </c>
      <c r="E3509" s="74">
        <v>43893</v>
      </c>
      <c r="F3509" s="74"/>
      <c r="G3509" s="74"/>
      <c r="H3509" s="74"/>
      <c r="I3509" s="74"/>
      <c r="J3509" s="36"/>
      <c r="K3509" s="4"/>
      <c r="L3509" s="15"/>
      <c r="M3509" s="14">
        <f t="shared" si="374"/>
        <v>0</v>
      </c>
    </row>
    <row r="3510" spans="2:14" x14ac:dyDescent="0.15">
      <c r="B3510" s="71" t="s">
        <v>162</v>
      </c>
      <c r="C3510" s="15">
        <v>2</v>
      </c>
      <c r="D3510" s="14">
        <f t="shared" si="375"/>
        <v>2</v>
      </c>
      <c r="E3510" s="74">
        <v>43895</v>
      </c>
      <c r="F3510" s="74"/>
      <c r="G3510" s="74"/>
      <c r="H3510" s="74"/>
      <c r="I3510" s="74"/>
      <c r="J3510" s="36"/>
      <c r="K3510" s="4"/>
      <c r="L3510" s="15"/>
      <c r="M3510" s="14">
        <f t="shared" si="374"/>
        <v>0</v>
      </c>
    </row>
    <row r="3511" spans="2:14" x14ac:dyDescent="0.15">
      <c r="B3511" s="71" t="s">
        <v>162</v>
      </c>
      <c r="C3511" s="15">
        <v>5</v>
      </c>
      <c r="D3511" s="14">
        <f t="shared" si="375"/>
        <v>5</v>
      </c>
      <c r="E3511" s="74">
        <v>43896</v>
      </c>
      <c r="F3511" s="74"/>
      <c r="G3511" s="74"/>
      <c r="H3511" s="74"/>
      <c r="I3511" s="74"/>
      <c r="J3511" s="51"/>
      <c r="K3511" s="4"/>
      <c r="L3511" s="15"/>
      <c r="M3511" s="14">
        <f t="shared" si="374"/>
        <v>0</v>
      </c>
    </row>
    <row r="3512" spans="2:14" x14ac:dyDescent="0.15">
      <c r="B3512" s="71" t="s">
        <v>39</v>
      </c>
      <c r="C3512" s="15">
        <v>30</v>
      </c>
      <c r="D3512" s="14">
        <f t="shared" si="375"/>
        <v>30</v>
      </c>
      <c r="E3512" s="74">
        <v>43896</v>
      </c>
      <c r="F3512" s="74"/>
      <c r="G3512" s="74"/>
      <c r="H3512" s="74"/>
      <c r="I3512" s="74"/>
      <c r="J3512" s="51"/>
      <c r="K3512" s="4"/>
      <c r="L3512" s="15"/>
      <c r="M3512" s="14">
        <f t="shared" si="374"/>
        <v>0</v>
      </c>
    </row>
    <row r="3513" spans="2:14" x14ac:dyDescent="0.15">
      <c r="B3513" s="71" t="s">
        <v>162</v>
      </c>
      <c r="C3513" s="15">
        <v>16</v>
      </c>
      <c r="D3513" s="14">
        <f t="shared" si="375"/>
        <v>16</v>
      </c>
      <c r="E3513" s="74">
        <v>43899</v>
      </c>
      <c r="F3513" s="74"/>
      <c r="G3513" s="74"/>
      <c r="H3513" s="74"/>
      <c r="I3513" s="74"/>
      <c r="J3513" s="36"/>
      <c r="K3513" s="172"/>
      <c r="L3513" s="15"/>
      <c r="M3513" s="14">
        <f>SUM(L3513)</f>
        <v>0</v>
      </c>
    </row>
    <row r="3514" spans="2:14" x14ac:dyDescent="0.15">
      <c r="B3514" s="71" t="s">
        <v>39</v>
      </c>
      <c r="C3514" s="15">
        <v>30</v>
      </c>
      <c r="D3514" s="14">
        <f t="shared" si="375"/>
        <v>30</v>
      </c>
      <c r="E3514" s="74">
        <v>43901</v>
      </c>
      <c r="F3514" s="74"/>
      <c r="G3514" s="74"/>
      <c r="H3514" s="74"/>
      <c r="I3514" s="74"/>
      <c r="J3514" s="51"/>
      <c r="K3514" s="173"/>
      <c r="L3514" s="15"/>
      <c r="M3514" s="14">
        <f>SUM(L3514:L3514)</f>
        <v>0</v>
      </c>
    </row>
    <row r="3515" spans="2:14" x14ac:dyDescent="0.15">
      <c r="B3515" s="71" t="s">
        <v>162</v>
      </c>
      <c r="C3515" s="15">
        <v>5</v>
      </c>
      <c r="D3515" s="14">
        <f>SUM(C3515)</f>
        <v>5</v>
      </c>
      <c r="E3515" s="74">
        <v>43901</v>
      </c>
      <c r="F3515" s="74"/>
      <c r="G3515" s="74"/>
      <c r="H3515" s="74"/>
      <c r="I3515" s="74"/>
      <c r="J3515" s="51"/>
      <c r="K3515" s="4"/>
      <c r="L3515" s="15"/>
      <c r="M3515" s="14">
        <f>SUM(L3515:L3515)</f>
        <v>0</v>
      </c>
    </row>
    <row r="3516" spans="2:14" x14ac:dyDescent="0.15">
      <c r="B3516" s="71" t="s">
        <v>162</v>
      </c>
      <c r="C3516" s="15">
        <v>1</v>
      </c>
      <c r="D3516" s="14">
        <f>SUM(C3516)</f>
        <v>1</v>
      </c>
      <c r="E3516" s="74">
        <v>43902</v>
      </c>
      <c r="F3516" s="74"/>
      <c r="G3516" s="74"/>
      <c r="H3516" s="74"/>
      <c r="I3516" s="74"/>
      <c r="J3516" s="51"/>
      <c r="K3516" s="6"/>
      <c r="L3516" s="15"/>
      <c r="M3516" s="14">
        <f>SUM(L3516:L3516)</f>
        <v>0</v>
      </c>
    </row>
    <row r="3517" spans="2:14" x14ac:dyDescent="0.15">
      <c r="B3517" s="71" t="s">
        <v>162</v>
      </c>
      <c r="C3517" s="15">
        <v>2</v>
      </c>
      <c r="D3517" s="14">
        <f>SUM(C3517)</f>
        <v>2</v>
      </c>
      <c r="E3517" s="74">
        <v>43906</v>
      </c>
      <c r="F3517" s="74"/>
      <c r="G3517" s="74"/>
      <c r="H3517" s="74"/>
      <c r="I3517" s="74"/>
      <c r="J3517" s="51"/>
      <c r="K3517" s="6"/>
      <c r="L3517" s="15"/>
      <c r="M3517" s="14">
        <f>SUM(L3517:L3517)</f>
        <v>0</v>
      </c>
    </row>
    <row r="3518" spans="2:14" x14ac:dyDescent="0.15">
      <c r="B3518" s="71" t="s">
        <v>162</v>
      </c>
      <c r="C3518" s="15">
        <v>2</v>
      </c>
      <c r="D3518" s="14">
        <f t="shared" ref="D3518:D3524" si="376">SUM(C3518)</f>
        <v>2</v>
      </c>
      <c r="E3518" s="74">
        <v>43907</v>
      </c>
      <c r="F3518" s="74"/>
      <c r="G3518" s="74"/>
      <c r="H3518" s="74"/>
      <c r="I3518" s="74"/>
      <c r="J3518" s="51"/>
      <c r="K3518" s="172"/>
      <c r="L3518" s="15"/>
      <c r="M3518" s="14">
        <f>SUM(L3518)</f>
        <v>0</v>
      </c>
    </row>
    <row r="3519" spans="2:14" x14ac:dyDescent="0.15">
      <c r="B3519" s="71" t="s">
        <v>39</v>
      </c>
      <c r="C3519" s="15">
        <v>24</v>
      </c>
      <c r="D3519" s="14">
        <f t="shared" si="376"/>
        <v>24</v>
      </c>
      <c r="E3519" s="74">
        <v>43908</v>
      </c>
      <c r="F3519" s="74"/>
      <c r="G3519" s="74"/>
      <c r="H3519" s="74"/>
      <c r="I3519" s="74"/>
      <c r="J3519" s="51"/>
      <c r="K3519" s="173"/>
      <c r="L3519" s="15"/>
      <c r="M3519" s="14">
        <f>SUM(L3519:L3519)</f>
        <v>0</v>
      </c>
    </row>
    <row r="3520" spans="2:14" x14ac:dyDescent="0.15">
      <c r="B3520" s="71" t="s">
        <v>162</v>
      </c>
      <c r="C3520" s="15">
        <v>1</v>
      </c>
      <c r="D3520" s="14">
        <f t="shared" si="376"/>
        <v>1</v>
      </c>
      <c r="E3520" s="48">
        <v>43908</v>
      </c>
      <c r="F3520" s="48"/>
      <c r="G3520" s="48"/>
      <c r="H3520" s="48"/>
      <c r="I3520" s="48"/>
      <c r="J3520" s="51"/>
      <c r="K3520" s="4"/>
      <c r="L3520" s="15"/>
      <c r="M3520" s="14">
        <f>SUM(L3520)</f>
        <v>0</v>
      </c>
      <c r="N3520" s="75"/>
    </row>
    <row r="3521" spans="1:15" x14ac:dyDescent="0.15">
      <c r="B3521" s="71" t="s">
        <v>162</v>
      </c>
      <c r="C3521" s="15">
        <v>2</v>
      </c>
      <c r="D3521" s="14">
        <f t="shared" si="376"/>
        <v>2</v>
      </c>
      <c r="E3521" s="74">
        <v>43909</v>
      </c>
      <c r="F3521" s="74"/>
      <c r="G3521" s="74"/>
      <c r="H3521" s="74"/>
      <c r="I3521" s="74"/>
      <c r="J3521" s="51"/>
      <c r="K3521" s="6"/>
      <c r="L3521" s="15"/>
      <c r="M3521" s="14">
        <f>SUM(L3521:L3521)</f>
        <v>0</v>
      </c>
      <c r="N3521" s="75"/>
    </row>
    <row r="3522" spans="1:15" x14ac:dyDescent="0.15">
      <c r="B3522" s="71" t="s">
        <v>162</v>
      </c>
      <c r="C3522" s="15">
        <v>4</v>
      </c>
      <c r="D3522" s="14">
        <f t="shared" si="376"/>
        <v>4</v>
      </c>
      <c r="E3522" s="48">
        <v>43911</v>
      </c>
      <c r="F3522" s="48"/>
      <c r="G3522" s="48"/>
      <c r="H3522" s="48"/>
      <c r="I3522" s="48"/>
      <c r="J3522" s="51"/>
      <c r="K3522" s="6"/>
      <c r="L3522" s="15"/>
      <c r="M3522" s="14">
        <f>SUM(L3522:L3522)</f>
        <v>0</v>
      </c>
      <c r="N3522" s="74"/>
      <c r="O3522" s="75"/>
    </row>
    <row r="3523" spans="1:15" x14ac:dyDescent="0.15">
      <c r="B3523" s="71" t="s">
        <v>162</v>
      </c>
      <c r="C3523" s="15">
        <v>13</v>
      </c>
      <c r="D3523" s="14">
        <f t="shared" si="376"/>
        <v>13</v>
      </c>
      <c r="E3523" s="48">
        <v>43913</v>
      </c>
      <c r="F3523" s="48"/>
      <c r="G3523" s="48"/>
      <c r="H3523" s="48"/>
      <c r="I3523" s="48"/>
      <c r="J3523" s="51"/>
      <c r="K3523" s="6"/>
      <c r="L3523" s="15"/>
      <c r="M3523" s="14">
        <f>SUM(L3523:L3523)</f>
        <v>0</v>
      </c>
      <c r="N3523" s="75"/>
      <c r="O3523" s="75"/>
    </row>
    <row r="3524" spans="1:15" ht="14.25" thickBot="1" x14ac:dyDescent="0.2">
      <c r="B3524" s="71" t="s">
        <v>162</v>
      </c>
      <c r="C3524" s="15">
        <v>7</v>
      </c>
      <c r="D3524" s="14">
        <f t="shared" si="376"/>
        <v>7</v>
      </c>
      <c r="E3524" s="48">
        <v>43914</v>
      </c>
      <c r="F3524" s="48"/>
      <c r="G3524" s="48"/>
      <c r="H3524" s="48"/>
      <c r="I3524" s="48"/>
      <c r="J3524" s="51"/>
      <c r="K3524" s="6"/>
      <c r="L3524" s="15"/>
      <c r="M3524" s="14">
        <f>SUM(L3524:L3524)</f>
        <v>0</v>
      </c>
      <c r="N3524" s="75"/>
      <c r="O3524" s="75"/>
    </row>
    <row r="3525" spans="1:15" ht="14.25" thickBot="1" x14ac:dyDescent="0.2">
      <c r="B3525" s="3" t="s">
        <v>5</v>
      </c>
      <c r="C3525" s="16">
        <f>SUM(C3501:C3524)</f>
        <v>165</v>
      </c>
      <c r="D3525" s="17">
        <f>SUM(D3501:D3524)</f>
        <v>165</v>
      </c>
      <c r="K3525" s="3" t="s">
        <v>5</v>
      </c>
      <c r="L3525" s="16">
        <f>SUM(L3501:L3524)</f>
        <v>200</v>
      </c>
      <c r="M3525" s="17">
        <f>SUM(M3501:M3524)</f>
        <v>200</v>
      </c>
    </row>
    <row r="3526" spans="1:15" ht="14.25" thickBot="1" x14ac:dyDescent="0.2">
      <c r="B3526" s="18" t="s">
        <v>6</v>
      </c>
      <c r="C3526" s="19">
        <f>C3500-C3525</f>
        <v>85</v>
      </c>
      <c r="D3526" s="13">
        <f>D3500-D3525</f>
        <v>85</v>
      </c>
      <c r="K3526" s="18" t="s">
        <v>6</v>
      </c>
      <c r="L3526" s="19">
        <f>L3500-L3525</f>
        <v>1279</v>
      </c>
      <c r="M3526" s="13">
        <f>M3500-M3525</f>
        <v>1279</v>
      </c>
    </row>
    <row r="3528" spans="1:15" ht="18" thickBot="1" x14ac:dyDescent="0.25">
      <c r="A3528" s="27" t="s">
        <v>8</v>
      </c>
      <c r="B3528" s="28"/>
      <c r="C3528" s="28"/>
      <c r="D3528" s="28"/>
      <c r="J3528" s="139" t="s">
        <v>218</v>
      </c>
      <c r="K3528" s="140"/>
      <c r="L3528" s="140"/>
      <c r="M3528" s="140"/>
    </row>
    <row r="3529" spans="1:15" ht="14.25" thickBot="1" x14ac:dyDescent="0.2">
      <c r="B3529" s="2"/>
      <c r="C3529" s="3" t="s">
        <v>0</v>
      </c>
      <c r="D3529" s="2" t="s">
        <v>1</v>
      </c>
      <c r="K3529" s="2"/>
      <c r="L3529" s="3" t="s">
        <v>0</v>
      </c>
      <c r="M3529" s="2" t="s">
        <v>1</v>
      </c>
    </row>
    <row r="3530" spans="1:15" x14ac:dyDescent="0.15">
      <c r="B3530" s="43" t="s">
        <v>26</v>
      </c>
      <c r="C3530" s="38">
        <f>C3526</f>
        <v>85</v>
      </c>
      <c r="D3530" s="39">
        <f t="shared" ref="D3530:D3540" si="377">SUM(C3530:C3530)</f>
        <v>85</v>
      </c>
      <c r="K3530" s="43" t="s">
        <v>26</v>
      </c>
      <c r="L3530" s="38">
        <f>L3526</f>
        <v>1279</v>
      </c>
      <c r="M3530" s="39">
        <f t="shared" ref="M3530:M3537" si="378">SUM(L3530:L3530)</f>
        <v>1279</v>
      </c>
    </row>
    <row r="3531" spans="1:15" x14ac:dyDescent="0.15">
      <c r="B3531" s="6" t="s">
        <v>3</v>
      </c>
      <c r="C3531" s="7">
        <v>200</v>
      </c>
      <c r="D3531" s="5">
        <f t="shared" si="377"/>
        <v>200</v>
      </c>
      <c r="E3531" s="74">
        <v>43920</v>
      </c>
      <c r="F3531" s="74"/>
      <c r="G3531" s="74"/>
      <c r="H3531" s="74"/>
      <c r="I3531" s="74"/>
      <c r="J3531" s="75"/>
      <c r="K3531" s="6" t="s">
        <v>3</v>
      </c>
      <c r="L3531" s="7"/>
      <c r="M3531" s="5">
        <f t="shared" si="378"/>
        <v>0</v>
      </c>
    </row>
    <row r="3532" spans="1:15" x14ac:dyDescent="0.15">
      <c r="A3532" s="75"/>
      <c r="B3532" s="6" t="s">
        <v>3</v>
      </c>
      <c r="C3532" s="7">
        <v>200</v>
      </c>
      <c r="D3532" s="5">
        <f t="shared" si="377"/>
        <v>200</v>
      </c>
      <c r="E3532" s="74">
        <v>43941</v>
      </c>
      <c r="F3532" s="74"/>
      <c r="G3532" s="74"/>
      <c r="H3532" s="74"/>
      <c r="I3532" s="74"/>
      <c r="K3532" s="6" t="s">
        <v>3</v>
      </c>
      <c r="L3532" s="7">
        <v>1400</v>
      </c>
      <c r="M3532" s="5">
        <f t="shared" si="378"/>
        <v>1400</v>
      </c>
      <c r="N3532" s="74" t="s">
        <v>644</v>
      </c>
    </row>
    <row r="3533" spans="1:15" x14ac:dyDescent="0.15">
      <c r="A3533" s="75"/>
      <c r="B3533" s="6" t="s">
        <v>3</v>
      </c>
      <c r="C3533" s="7"/>
      <c r="D3533" s="5">
        <f t="shared" si="377"/>
        <v>0</v>
      </c>
      <c r="E3533" s="74"/>
      <c r="F3533" s="74"/>
      <c r="G3533" s="74"/>
      <c r="H3533" s="74"/>
      <c r="I3533" s="74"/>
      <c r="J3533" s="100"/>
      <c r="K3533" s="6" t="s">
        <v>3</v>
      </c>
      <c r="L3533" s="7"/>
      <c r="M3533" s="5">
        <f t="shared" si="378"/>
        <v>0</v>
      </c>
    </row>
    <row r="3534" spans="1:15" x14ac:dyDescent="0.15">
      <c r="B3534" s="6" t="s">
        <v>3</v>
      </c>
      <c r="C3534" s="7"/>
      <c r="D3534" s="5">
        <f t="shared" si="377"/>
        <v>0</v>
      </c>
      <c r="E3534" s="74"/>
      <c r="F3534" s="74"/>
      <c r="G3534" s="74"/>
      <c r="H3534" s="74"/>
      <c r="I3534" s="74"/>
      <c r="K3534" s="6" t="s">
        <v>3</v>
      </c>
      <c r="L3534" s="7"/>
      <c r="M3534" s="5">
        <f t="shared" si="378"/>
        <v>0</v>
      </c>
    </row>
    <row r="3535" spans="1:15" x14ac:dyDescent="0.15">
      <c r="B3535" s="6" t="s">
        <v>3</v>
      </c>
      <c r="C3535" s="7"/>
      <c r="D3535" s="5">
        <f t="shared" si="377"/>
        <v>0</v>
      </c>
      <c r="E3535" s="74"/>
      <c r="F3535" s="74"/>
      <c r="G3535" s="74"/>
      <c r="H3535" s="74"/>
      <c r="I3535" s="74"/>
      <c r="K3535" s="6" t="s">
        <v>3</v>
      </c>
      <c r="L3535" s="7"/>
      <c r="M3535" s="5">
        <f t="shared" si="378"/>
        <v>0</v>
      </c>
    </row>
    <row r="3536" spans="1:15" x14ac:dyDescent="0.15">
      <c r="B3536" s="6" t="s">
        <v>3</v>
      </c>
      <c r="C3536" s="7"/>
      <c r="D3536" s="5">
        <f t="shared" si="377"/>
        <v>0</v>
      </c>
      <c r="E3536" s="74"/>
      <c r="F3536" s="74"/>
      <c r="G3536" s="74"/>
      <c r="H3536" s="74"/>
      <c r="I3536" s="74"/>
      <c r="K3536" s="6" t="s">
        <v>3</v>
      </c>
      <c r="L3536" s="7"/>
      <c r="M3536" s="5">
        <f t="shared" si="378"/>
        <v>0</v>
      </c>
    </row>
    <row r="3537" spans="2:14" x14ac:dyDescent="0.15">
      <c r="B3537" s="6" t="s">
        <v>3</v>
      </c>
      <c r="C3537" s="54"/>
      <c r="D3537" s="5">
        <f t="shared" si="377"/>
        <v>0</v>
      </c>
      <c r="K3537" s="6" t="s">
        <v>3</v>
      </c>
      <c r="L3537" s="7"/>
      <c r="M3537" s="5">
        <f t="shared" si="378"/>
        <v>0</v>
      </c>
    </row>
    <row r="3538" spans="2:14" x14ac:dyDescent="0.15">
      <c r="B3538" s="6" t="s">
        <v>3</v>
      </c>
      <c r="C3538" s="54"/>
      <c r="D3538" s="5">
        <f t="shared" si="377"/>
        <v>0</v>
      </c>
      <c r="K3538" s="6" t="s">
        <v>3</v>
      </c>
      <c r="L3538" s="7">
        <v>3600</v>
      </c>
      <c r="M3538" s="5">
        <f>SUM(L3538:L3538)</f>
        <v>3600</v>
      </c>
      <c r="N3538" s="74" t="s">
        <v>650</v>
      </c>
    </row>
    <row r="3539" spans="2:14" x14ac:dyDescent="0.15">
      <c r="B3539" s="6" t="s">
        <v>3</v>
      </c>
      <c r="C3539" s="54"/>
      <c r="D3539" s="5">
        <f t="shared" si="377"/>
        <v>0</v>
      </c>
      <c r="K3539" s="6" t="s">
        <v>3</v>
      </c>
      <c r="L3539" s="7"/>
      <c r="M3539" s="5">
        <f>SUM(L3539:L3539)</f>
        <v>0</v>
      </c>
    </row>
    <row r="3540" spans="2:14" ht="14.25" thickBot="1" x14ac:dyDescent="0.2">
      <c r="B3540" s="9" t="s">
        <v>3</v>
      </c>
      <c r="C3540" s="101"/>
      <c r="D3540" s="5">
        <f t="shared" si="377"/>
        <v>0</v>
      </c>
      <c r="K3540" s="9" t="s">
        <v>3</v>
      </c>
      <c r="L3540" s="10"/>
      <c r="M3540" s="5">
        <f>SUM(L3540:L3540)</f>
        <v>0</v>
      </c>
    </row>
    <row r="3541" spans="2:14" ht="14.25" thickBot="1" x14ac:dyDescent="0.2">
      <c r="B3541" s="11" t="s">
        <v>4</v>
      </c>
      <c r="C3541" s="12">
        <f>SUM(C3530:C3540)</f>
        <v>485</v>
      </c>
      <c r="D3541" s="13">
        <f>SUM(D3530:D3540)</f>
        <v>485</v>
      </c>
      <c r="K3541" s="11" t="s">
        <v>4</v>
      </c>
      <c r="L3541" s="12">
        <f>SUM(L3530:L3540)</f>
        <v>6279</v>
      </c>
      <c r="M3541" s="13">
        <f>SUM(M3530:M3540)</f>
        <v>6279</v>
      </c>
    </row>
    <row r="3542" spans="2:14" x14ac:dyDescent="0.15">
      <c r="B3542" s="71" t="s">
        <v>39</v>
      </c>
      <c r="C3542" s="15">
        <v>20</v>
      </c>
      <c r="D3542" s="14">
        <f>SUM(C3542)</f>
        <v>20</v>
      </c>
      <c r="E3542" s="74">
        <v>43915</v>
      </c>
      <c r="F3542" s="74"/>
      <c r="G3542" s="74"/>
      <c r="H3542" s="74"/>
      <c r="I3542" s="74"/>
      <c r="J3542" s="75"/>
      <c r="K3542" s="6" t="s">
        <v>640</v>
      </c>
      <c r="L3542" s="15">
        <v>300</v>
      </c>
      <c r="M3542" s="14">
        <f>SUM(L3542:L3542)</f>
        <v>300</v>
      </c>
      <c r="N3542" s="74">
        <v>43923</v>
      </c>
    </row>
    <row r="3543" spans="2:14" x14ac:dyDescent="0.15">
      <c r="B3543" s="71" t="s">
        <v>162</v>
      </c>
      <c r="C3543" s="15">
        <v>7</v>
      </c>
      <c r="D3543" s="14">
        <f>SUM(C3543)</f>
        <v>7</v>
      </c>
      <c r="E3543" s="74">
        <v>43915</v>
      </c>
      <c r="F3543" s="74"/>
      <c r="G3543" s="74"/>
      <c r="H3543" s="74"/>
      <c r="I3543" s="74"/>
      <c r="J3543" s="36"/>
      <c r="K3543" s="71" t="s">
        <v>31</v>
      </c>
      <c r="L3543" s="15">
        <v>200</v>
      </c>
      <c r="M3543" s="14">
        <f t="shared" ref="M3543:M3553" si="379">SUM(L3543:L3543)</f>
        <v>200</v>
      </c>
      <c r="N3543" s="74">
        <v>43920</v>
      </c>
    </row>
    <row r="3544" spans="2:14" x14ac:dyDescent="0.15">
      <c r="B3544" s="71" t="s">
        <v>162</v>
      </c>
      <c r="C3544" s="15">
        <v>11</v>
      </c>
      <c r="D3544" s="14">
        <f>SUM(C3544)</f>
        <v>11</v>
      </c>
      <c r="E3544" s="74">
        <v>43916</v>
      </c>
      <c r="F3544" s="74"/>
      <c r="G3544" s="74"/>
      <c r="H3544" s="74"/>
      <c r="I3544" s="74"/>
      <c r="J3544" s="51"/>
      <c r="K3544" s="6" t="s">
        <v>645</v>
      </c>
      <c r="L3544" s="15">
        <v>300</v>
      </c>
      <c r="M3544" s="14">
        <f t="shared" si="379"/>
        <v>300</v>
      </c>
      <c r="N3544" s="74">
        <v>43937</v>
      </c>
    </row>
    <row r="3545" spans="2:14" x14ac:dyDescent="0.15">
      <c r="B3545" s="71" t="s">
        <v>162</v>
      </c>
      <c r="C3545" s="15">
        <v>1</v>
      </c>
      <c r="D3545" s="14">
        <f t="shared" ref="D3545:D3555" si="380">SUM(C3545)</f>
        <v>1</v>
      </c>
      <c r="E3545" s="74">
        <v>43917</v>
      </c>
      <c r="F3545" s="74"/>
      <c r="G3545" s="74"/>
      <c r="H3545" s="74"/>
      <c r="I3545" s="74"/>
      <c r="J3545" s="51"/>
      <c r="K3545" s="6" t="s">
        <v>646</v>
      </c>
      <c r="L3545" s="15">
        <v>400</v>
      </c>
      <c r="M3545" s="14">
        <f t="shared" si="379"/>
        <v>400</v>
      </c>
      <c r="N3545" s="74">
        <v>43937</v>
      </c>
    </row>
    <row r="3546" spans="2:14" x14ac:dyDescent="0.15">
      <c r="B3546" s="71" t="s">
        <v>162</v>
      </c>
      <c r="C3546" s="15">
        <v>10</v>
      </c>
      <c r="D3546" s="14">
        <f t="shared" si="380"/>
        <v>10</v>
      </c>
      <c r="E3546" s="74">
        <v>43920</v>
      </c>
      <c r="F3546" s="74"/>
      <c r="G3546" s="74"/>
      <c r="H3546" s="74"/>
      <c r="I3546" s="74"/>
      <c r="J3546" s="51"/>
      <c r="K3546" s="71" t="s">
        <v>31</v>
      </c>
      <c r="L3546" s="15">
        <v>200</v>
      </c>
      <c r="M3546" s="14">
        <f t="shared" si="379"/>
        <v>200</v>
      </c>
      <c r="N3546" s="74">
        <v>43941</v>
      </c>
    </row>
    <row r="3547" spans="2:14" x14ac:dyDescent="0.15">
      <c r="B3547" s="71" t="s">
        <v>162</v>
      </c>
      <c r="C3547" s="15">
        <v>1</v>
      </c>
      <c r="D3547" s="14">
        <f t="shared" si="380"/>
        <v>1</v>
      </c>
      <c r="E3547" s="74">
        <v>43921</v>
      </c>
      <c r="F3547" s="74"/>
      <c r="G3547" s="74"/>
      <c r="H3547" s="74"/>
      <c r="I3547" s="74"/>
      <c r="J3547" s="51"/>
      <c r="K3547" s="71"/>
      <c r="L3547" s="15"/>
      <c r="M3547" s="14">
        <f t="shared" si="379"/>
        <v>0</v>
      </c>
    </row>
    <row r="3548" spans="2:14" x14ac:dyDescent="0.15">
      <c r="B3548" s="71" t="s">
        <v>162</v>
      </c>
      <c r="C3548" s="15">
        <v>5</v>
      </c>
      <c r="D3548" s="14">
        <f t="shared" si="380"/>
        <v>5</v>
      </c>
      <c r="E3548" s="74">
        <v>43924</v>
      </c>
      <c r="F3548" s="74"/>
      <c r="G3548" s="74"/>
      <c r="H3548" s="74"/>
      <c r="I3548" s="74"/>
      <c r="J3548" s="51"/>
      <c r="K3548" s="4"/>
      <c r="L3548" s="15"/>
      <c r="M3548" s="14">
        <f t="shared" si="379"/>
        <v>0</v>
      </c>
    </row>
    <row r="3549" spans="2:14" x14ac:dyDescent="0.15">
      <c r="B3549" s="71" t="s">
        <v>162</v>
      </c>
      <c r="C3549" s="15">
        <v>5</v>
      </c>
      <c r="D3549" s="14">
        <f t="shared" si="380"/>
        <v>5</v>
      </c>
      <c r="E3549" s="74">
        <v>43925</v>
      </c>
      <c r="F3549" s="74"/>
      <c r="G3549" s="74"/>
      <c r="H3549" s="74"/>
      <c r="I3549" s="74"/>
      <c r="J3549" s="51"/>
      <c r="K3549" s="6"/>
      <c r="L3549" s="15"/>
      <c r="M3549" s="14">
        <f t="shared" si="379"/>
        <v>0</v>
      </c>
    </row>
    <row r="3550" spans="2:14" x14ac:dyDescent="0.15">
      <c r="B3550" s="71" t="s">
        <v>162</v>
      </c>
      <c r="C3550" s="15">
        <v>3</v>
      </c>
      <c r="D3550" s="14">
        <f t="shared" si="380"/>
        <v>3</v>
      </c>
      <c r="E3550" s="74">
        <v>43927</v>
      </c>
      <c r="F3550" s="74"/>
      <c r="G3550" s="74"/>
      <c r="H3550" s="74"/>
      <c r="I3550" s="74"/>
      <c r="J3550" s="36"/>
      <c r="K3550" s="4"/>
      <c r="L3550" s="15"/>
      <c r="M3550" s="14">
        <f t="shared" si="379"/>
        <v>0</v>
      </c>
    </row>
    <row r="3551" spans="2:14" x14ac:dyDescent="0.15">
      <c r="B3551" s="71" t="s">
        <v>162</v>
      </c>
      <c r="C3551" s="15">
        <v>4</v>
      </c>
      <c r="D3551" s="14">
        <f t="shared" si="380"/>
        <v>4</v>
      </c>
      <c r="E3551" s="74">
        <v>43928</v>
      </c>
      <c r="F3551" s="74"/>
      <c r="G3551" s="74"/>
      <c r="H3551" s="74"/>
      <c r="I3551" s="74"/>
      <c r="J3551" s="36"/>
      <c r="K3551" s="4"/>
      <c r="L3551" s="15"/>
      <c r="M3551" s="14">
        <f t="shared" si="379"/>
        <v>0</v>
      </c>
    </row>
    <row r="3552" spans="2:14" x14ac:dyDescent="0.15">
      <c r="B3552" s="71" t="s">
        <v>162</v>
      </c>
      <c r="C3552" s="15">
        <v>1</v>
      </c>
      <c r="D3552" s="14">
        <f t="shared" si="380"/>
        <v>1</v>
      </c>
      <c r="E3552" s="74">
        <v>43929</v>
      </c>
      <c r="F3552" s="74"/>
      <c r="G3552" s="74"/>
      <c r="H3552" s="74"/>
      <c r="I3552" s="74"/>
      <c r="J3552" s="51"/>
      <c r="K3552" s="4"/>
      <c r="L3552" s="15"/>
      <c r="M3552" s="14">
        <f t="shared" si="379"/>
        <v>0</v>
      </c>
    </row>
    <row r="3553" spans="2:15" x14ac:dyDescent="0.15">
      <c r="B3553" s="71" t="s">
        <v>643</v>
      </c>
      <c r="C3553" s="15">
        <v>40</v>
      </c>
      <c r="D3553" s="14">
        <f t="shared" si="380"/>
        <v>40</v>
      </c>
      <c r="E3553" s="74">
        <v>43936</v>
      </c>
      <c r="F3553" s="74"/>
      <c r="G3553" s="74"/>
      <c r="H3553" s="74"/>
      <c r="I3553" s="74"/>
      <c r="J3553" s="51"/>
      <c r="K3553" s="4"/>
      <c r="L3553" s="15"/>
      <c r="M3553" s="14">
        <f t="shared" si="379"/>
        <v>0</v>
      </c>
    </row>
    <row r="3554" spans="2:15" x14ac:dyDescent="0.15">
      <c r="B3554" s="71" t="s">
        <v>162</v>
      </c>
      <c r="C3554" s="15">
        <v>2</v>
      </c>
      <c r="D3554" s="14">
        <f t="shared" si="380"/>
        <v>2</v>
      </c>
      <c r="E3554" s="74">
        <v>43931</v>
      </c>
      <c r="F3554" s="74"/>
      <c r="G3554" s="74"/>
      <c r="H3554" s="74"/>
      <c r="I3554" s="74"/>
      <c r="J3554" s="36"/>
      <c r="K3554" s="172"/>
      <c r="L3554" s="15"/>
      <c r="M3554" s="14">
        <f>SUM(L3554)</f>
        <v>0</v>
      </c>
    </row>
    <row r="3555" spans="2:15" x14ac:dyDescent="0.15">
      <c r="B3555" s="71" t="s">
        <v>162</v>
      </c>
      <c r="C3555" s="15">
        <v>4</v>
      </c>
      <c r="D3555" s="14">
        <f t="shared" si="380"/>
        <v>4</v>
      </c>
      <c r="E3555" s="74">
        <v>43932</v>
      </c>
      <c r="F3555" s="74"/>
      <c r="G3555" s="74"/>
      <c r="H3555" s="74"/>
      <c r="I3555" s="74"/>
      <c r="J3555" s="51"/>
      <c r="K3555" s="173"/>
      <c r="L3555" s="15"/>
      <c r="M3555" s="14">
        <f>SUM(L3555:L3555)</f>
        <v>0</v>
      </c>
    </row>
    <row r="3556" spans="2:15" x14ac:dyDescent="0.15">
      <c r="B3556" s="71" t="s">
        <v>162</v>
      </c>
      <c r="C3556" s="15">
        <v>15</v>
      </c>
      <c r="D3556" s="14">
        <f>SUM(C3556)</f>
        <v>15</v>
      </c>
      <c r="E3556" s="74">
        <v>43934</v>
      </c>
      <c r="F3556" s="74"/>
      <c r="G3556" s="74"/>
      <c r="H3556" s="74"/>
      <c r="I3556" s="74"/>
      <c r="J3556" s="51"/>
      <c r="K3556" s="4"/>
      <c r="L3556" s="15"/>
      <c r="M3556" s="14">
        <f>SUM(L3556:L3556)</f>
        <v>0</v>
      </c>
    </row>
    <row r="3557" spans="2:15" x14ac:dyDescent="0.15">
      <c r="B3557" s="71" t="s">
        <v>162</v>
      </c>
      <c r="C3557" s="15">
        <v>1</v>
      </c>
      <c r="D3557" s="14">
        <f>SUM(C3557)</f>
        <v>1</v>
      </c>
      <c r="E3557" s="74">
        <v>43935</v>
      </c>
      <c r="F3557" s="74"/>
      <c r="G3557" s="74"/>
      <c r="H3557" s="74"/>
      <c r="I3557" s="74"/>
      <c r="J3557" s="51"/>
      <c r="K3557" s="6"/>
      <c r="L3557" s="15"/>
      <c r="M3557" s="14">
        <f>SUM(L3557:L3557)</f>
        <v>0</v>
      </c>
    </row>
    <row r="3558" spans="2:15" x14ac:dyDescent="0.15">
      <c r="B3558" s="71" t="s">
        <v>162</v>
      </c>
      <c r="C3558" s="15">
        <v>8</v>
      </c>
      <c r="D3558" s="14">
        <f>SUM(C3558)</f>
        <v>8</v>
      </c>
      <c r="E3558" s="74">
        <v>43936</v>
      </c>
      <c r="F3558" s="74"/>
      <c r="G3558" s="74"/>
      <c r="H3558" s="74"/>
      <c r="I3558" s="74"/>
      <c r="J3558" s="51"/>
      <c r="K3558" s="6"/>
      <c r="L3558" s="15"/>
      <c r="M3558" s="14">
        <f>SUM(L3558:L3558)</f>
        <v>0</v>
      </c>
    </row>
    <row r="3559" spans="2:15" x14ac:dyDescent="0.15">
      <c r="B3559" s="71" t="s">
        <v>162</v>
      </c>
      <c r="C3559" s="15">
        <v>4</v>
      </c>
      <c r="D3559" s="14">
        <f t="shared" ref="D3559:D3565" si="381">SUM(C3559)</f>
        <v>4</v>
      </c>
      <c r="E3559" s="74">
        <v>43937</v>
      </c>
      <c r="F3559" s="74"/>
      <c r="G3559" s="74"/>
      <c r="H3559" s="74"/>
      <c r="I3559" s="74"/>
      <c r="J3559" s="51"/>
      <c r="K3559" s="172"/>
      <c r="L3559" s="15"/>
      <c r="M3559" s="14">
        <f>SUM(L3559)</f>
        <v>0</v>
      </c>
    </row>
    <row r="3560" spans="2:15" x14ac:dyDescent="0.15">
      <c r="B3560" s="71" t="s">
        <v>648</v>
      </c>
      <c r="C3560" s="15">
        <v>40</v>
      </c>
      <c r="D3560" s="14">
        <f t="shared" si="381"/>
        <v>40</v>
      </c>
      <c r="E3560" s="74">
        <v>43944</v>
      </c>
      <c r="F3560" s="74"/>
      <c r="G3560" s="74"/>
      <c r="H3560" s="74"/>
      <c r="I3560" s="74"/>
      <c r="J3560" s="51"/>
      <c r="K3560" s="173"/>
      <c r="L3560" s="15"/>
      <c r="M3560" s="14">
        <f>SUM(L3560:L3560)</f>
        <v>0</v>
      </c>
    </row>
    <row r="3561" spans="2:15" x14ac:dyDescent="0.15">
      <c r="B3561" s="71" t="s">
        <v>649</v>
      </c>
      <c r="C3561" s="15">
        <v>80</v>
      </c>
      <c r="D3561" s="14">
        <f t="shared" si="381"/>
        <v>80</v>
      </c>
      <c r="E3561" s="74">
        <v>43944</v>
      </c>
      <c r="F3561" s="74"/>
      <c r="G3561" s="74"/>
      <c r="H3561" s="74"/>
      <c r="I3561" s="74"/>
      <c r="J3561" s="51"/>
      <c r="K3561" s="4"/>
      <c r="L3561" s="15"/>
      <c r="M3561" s="14">
        <f>SUM(L3561)</f>
        <v>0</v>
      </c>
      <c r="N3561" s="75"/>
      <c r="O3561" s="75"/>
    </row>
    <row r="3562" spans="2:15" x14ac:dyDescent="0.15">
      <c r="B3562" s="71" t="s">
        <v>162</v>
      </c>
      <c r="C3562" s="15">
        <v>9</v>
      </c>
      <c r="D3562" s="14">
        <f t="shared" si="381"/>
        <v>9</v>
      </c>
      <c r="E3562" s="74">
        <v>43938</v>
      </c>
      <c r="F3562" s="74"/>
      <c r="G3562" s="74"/>
      <c r="H3562" s="74"/>
      <c r="I3562" s="74"/>
      <c r="J3562" s="51"/>
      <c r="K3562" s="6"/>
      <c r="L3562" s="15"/>
      <c r="M3562" s="14">
        <f>SUM(L3562:L3562)</f>
        <v>0</v>
      </c>
      <c r="N3562" s="75"/>
      <c r="O3562" s="75"/>
    </row>
    <row r="3563" spans="2:15" x14ac:dyDescent="0.15">
      <c r="B3563" s="71" t="s">
        <v>162</v>
      </c>
      <c r="C3563" s="15">
        <v>1</v>
      </c>
      <c r="D3563" s="14">
        <f t="shared" si="381"/>
        <v>1</v>
      </c>
      <c r="E3563" s="48">
        <v>43939</v>
      </c>
      <c r="F3563" s="48"/>
      <c r="G3563" s="48"/>
      <c r="H3563" s="48"/>
      <c r="I3563" s="48"/>
      <c r="J3563" s="51"/>
      <c r="K3563" s="6" t="s">
        <v>637</v>
      </c>
      <c r="L3563" s="15"/>
      <c r="M3563" s="14">
        <f>SUM(L3563:L3563)</f>
        <v>0</v>
      </c>
      <c r="N3563" s="74" t="s">
        <v>636</v>
      </c>
      <c r="O3563" s="75"/>
    </row>
    <row r="3564" spans="2:15" x14ac:dyDescent="0.15">
      <c r="B3564" s="71" t="s">
        <v>162</v>
      </c>
      <c r="C3564" s="15">
        <v>24</v>
      </c>
      <c r="D3564" s="14">
        <f t="shared" si="381"/>
        <v>24</v>
      </c>
      <c r="E3564" s="48">
        <v>43941</v>
      </c>
      <c r="F3564" s="48"/>
      <c r="G3564" s="48"/>
      <c r="H3564" s="48"/>
      <c r="I3564" s="48"/>
      <c r="J3564" s="51"/>
      <c r="K3564" s="6" t="s">
        <v>632</v>
      </c>
      <c r="L3564" s="15"/>
      <c r="M3564" s="14">
        <f>SUM(L3564:L3564)</f>
        <v>0</v>
      </c>
      <c r="N3564" s="75" t="s">
        <v>634</v>
      </c>
    </row>
    <row r="3565" spans="2:15" ht="14.25" thickBot="1" x14ac:dyDescent="0.2">
      <c r="B3565" s="71" t="s">
        <v>162</v>
      </c>
      <c r="C3565" s="15">
        <v>7</v>
      </c>
      <c r="D3565" s="14">
        <f t="shared" si="381"/>
        <v>7</v>
      </c>
      <c r="E3565" s="48">
        <v>43942</v>
      </c>
      <c r="F3565" s="48"/>
      <c r="G3565" s="48"/>
      <c r="H3565" s="48"/>
      <c r="I3565" s="48"/>
      <c r="J3565" s="51"/>
      <c r="K3565" s="6" t="s">
        <v>633</v>
      </c>
      <c r="L3565" s="15"/>
      <c r="M3565" s="14">
        <f>SUM(L3565:L3565)</f>
        <v>0</v>
      </c>
      <c r="N3565" s="75" t="s">
        <v>634</v>
      </c>
    </row>
    <row r="3566" spans="2:15" ht="14.25" thickBot="1" x14ac:dyDescent="0.2">
      <c r="B3566" s="3" t="s">
        <v>5</v>
      </c>
      <c r="C3566" s="16">
        <f>SUM(C3542:C3565)</f>
        <v>303</v>
      </c>
      <c r="D3566" s="17">
        <f>SUM(D3542:D3565)</f>
        <v>303</v>
      </c>
      <c r="K3566" s="3" t="s">
        <v>5</v>
      </c>
      <c r="L3566" s="16">
        <f>SUM(L3542:L3565)</f>
        <v>1400</v>
      </c>
      <c r="M3566" s="17">
        <f>SUM(M3542:M3565)</f>
        <v>1400</v>
      </c>
    </row>
    <row r="3567" spans="2:15" ht="14.25" thickBot="1" x14ac:dyDescent="0.2">
      <c r="B3567" s="18" t="s">
        <v>6</v>
      </c>
      <c r="C3567" s="19">
        <f>C3541-C3566</f>
        <v>182</v>
      </c>
      <c r="D3567" s="13">
        <f>D3541-D3566</f>
        <v>182</v>
      </c>
      <c r="K3567" s="18" t="s">
        <v>6</v>
      </c>
      <c r="L3567" s="19">
        <f>L3541-L3566</f>
        <v>4879</v>
      </c>
      <c r="M3567" s="13">
        <f>M3541-M3566</f>
        <v>4879</v>
      </c>
    </row>
    <row r="3569" spans="1:14" ht="18" thickBot="1" x14ac:dyDescent="0.25">
      <c r="A3569" s="27" t="s">
        <v>8</v>
      </c>
      <c r="B3569" s="28"/>
      <c r="C3569" s="28"/>
      <c r="D3569" s="28"/>
      <c r="J3569" s="139" t="s">
        <v>218</v>
      </c>
      <c r="K3569" s="140"/>
      <c r="L3569" s="140"/>
      <c r="M3569" s="140"/>
    </row>
    <row r="3570" spans="1:14" ht="14.25" thickBot="1" x14ac:dyDescent="0.2">
      <c r="B3570" s="2"/>
      <c r="C3570" s="3" t="s">
        <v>0</v>
      </c>
      <c r="D3570" s="2" t="s">
        <v>1</v>
      </c>
      <c r="K3570" s="2"/>
      <c r="L3570" s="3" t="s">
        <v>0</v>
      </c>
      <c r="M3570" s="2" t="s">
        <v>1</v>
      </c>
    </row>
    <row r="3571" spans="1:14" x14ac:dyDescent="0.15">
      <c r="B3571" s="43" t="s">
        <v>26</v>
      </c>
      <c r="C3571" s="38">
        <f>C3567</f>
        <v>182</v>
      </c>
      <c r="D3571" s="39">
        <f t="shared" ref="D3571:D3581" si="382">SUM(C3571:C3571)</f>
        <v>182</v>
      </c>
      <c r="K3571" s="43" t="s">
        <v>26</v>
      </c>
      <c r="L3571" s="38">
        <f>L3567</f>
        <v>4879</v>
      </c>
      <c r="M3571" s="39">
        <f t="shared" ref="M3571:M3578" si="383">SUM(L3571:L3571)</f>
        <v>4879</v>
      </c>
    </row>
    <row r="3572" spans="1:14" x14ac:dyDescent="0.15">
      <c r="B3572" s="6" t="s">
        <v>3</v>
      </c>
      <c r="C3572" s="7">
        <v>200</v>
      </c>
      <c r="D3572" s="5">
        <f t="shared" si="382"/>
        <v>200</v>
      </c>
      <c r="E3572" s="74">
        <v>43948</v>
      </c>
      <c r="F3572" s="74"/>
      <c r="G3572" s="74"/>
      <c r="H3572" s="74"/>
      <c r="I3572" s="74"/>
      <c r="J3572" s="75"/>
      <c r="K3572" s="6" t="s">
        <v>3</v>
      </c>
      <c r="L3572" s="7"/>
      <c r="M3572" s="5">
        <f t="shared" si="383"/>
        <v>0</v>
      </c>
    </row>
    <row r="3573" spans="1:14" x14ac:dyDescent="0.15">
      <c r="A3573" s="75"/>
      <c r="B3573" s="6" t="s">
        <v>3</v>
      </c>
      <c r="C3573" s="7">
        <v>200</v>
      </c>
      <c r="D3573" s="5">
        <f t="shared" si="382"/>
        <v>200</v>
      </c>
      <c r="E3573" s="74">
        <v>43953</v>
      </c>
      <c r="F3573" s="74"/>
      <c r="G3573" s="74"/>
      <c r="H3573" s="74"/>
      <c r="I3573" s="74"/>
      <c r="K3573" s="6" t="s">
        <v>3</v>
      </c>
      <c r="L3573" s="7"/>
      <c r="M3573" s="5">
        <f t="shared" si="383"/>
        <v>0</v>
      </c>
      <c r="N3573" s="75"/>
    </row>
    <row r="3574" spans="1:14" x14ac:dyDescent="0.15">
      <c r="A3574" s="75"/>
      <c r="B3574" s="6" t="s">
        <v>3</v>
      </c>
      <c r="C3574" s="7">
        <v>600</v>
      </c>
      <c r="D3574" s="5">
        <f t="shared" si="382"/>
        <v>600</v>
      </c>
      <c r="E3574" s="74">
        <v>43959</v>
      </c>
      <c r="F3574" s="74"/>
      <c r="G3574" s="74"/>
      <c r="H3574" s="74"/>
      <c r="I3574" s="74"/>
      <c r="J3574" s="100"/>
      <c r="K3574" s="6" t="s">
        <v>3</v>
      </c>
      <c r="L3574" s="7"/>
      <c r="M3574" s="5">
        <f t="shared" si="383"/>
        <v>0</v>
      </c>
      <c r="N3574" s="75"/>
    </row>
    <row r="3575" spans="1:14" x14ac:dyDescent="0.15">
      <c r="B3575" s="6" t="s">
        <v>3</v>
      </c>
      <c r="C3575" s="7">
        <v>200</v>
      </c>
      <c r="D3575" s="5">
        <f t="shared" si="382"/>
        <v>200</v>
      </c>
      <c r="E3575" s="74">
        <v>43965</v>
      </c>
      <c r="F3575" s="74"/>
      <c r="G3575" s="74"/>
      <c r="H3575" s="74"/>
      <c r="I3575" s="74"/>
      <c r="K3575" s="6" t="s">
        <v>3</v>
      </c>
      <c r="L3575" s="7"/>
      <c r="M3575" s="5">
        <f t="shared" si="383"/>
        <v>0</v>
      </c>
      <c r="N3575" s="75"/>
    </row>
    <row r="3576" spans="1:14" x14ac:dyDescent="0.15">
      <c r="B3576" s="6" t="s">
        <v>3</v>
      </c>
      <c r="C3576" s="7">
        <v>400</v>
      </c>
      <c r="D3576" s="5">
        <f t="shared" si="382"/>
        <v>400</v>
      </c>
      <c r="E3576" s="74">
        <v>43969</v>
      </c>
      <c r="F3576" s="74"/>
      <c r="G3576" s="74"/>
      <c r="H3576" s="74"/>
      <c r="I3576" s="74"/>
      <c r="K3576" s="6" t="s">
        <v>3</v>
      </c>
      <c r="L3576" s="7"/>
      <c r="M3576" s="5">
        <f t="shared" si="383"/>
        <v>0</v>
      </c>
      <c r="N3576" s="75"/>
    </row>
    <row r="3577" spans="1:14" x14ac:dyDescent="0.15">
      <c r="B3577" s="6" t="s">
        <v>3</v>
      </c>
      <c r="C3577" s="7"/>
      <c r="D3577" s="5">
        <f t="shared" si="382"/>
        <v>0</v>
      </c>
      <c r="E3577" s="74"/>
      <c r="F3577" s="74"/>
      <c r="G3577" s="74"/>
      <c r="H3577" s="74"/>
      <c r="I3577" s="74"/>
      <c r="K3577" s="6" t="s">
        <v>3</v>
      </c>
      <c r="L3577" s="7"/>
      <c r="M3577" s="5">
        <f t="shared" si="383"/>
        <v>0</v>
      </c>
      <c r="N3577" s="75"/>
    </row>
    <row r="3578" spans="1:14" x14ac:dyDescent="0.15">
      <c r="B3578" s="6" t="s">
        <v>3</v>
      </c>
      <c r="C3578" s="54"/>
      <c r="D3578" s="5">
        <f t="shared" si="382"/>
        <v>0</v>
      </c>
      <c r="K3578" s="6" t="s">
        <v>3</v>
      </c>
      <c r="L3578" s="7"/>
      <c r="M3578" s="5">
        <f t="shared" si="383"/>
        <v>0</v>
      </c>
      <c r="N3578" s="75"/>
    </row>
    <row r="3579" spans="1:14" x14ac:dyDescent="0.15">
      <c r="B3579" s="6" t="s">
        <v>3</v>
      </c>
      <c r="C3579" s="54"/>
      <c r="D3579" s="5">
        <f t="shared" si="382"/>
        <v>0</v>
      </c>
      <c r="K3579" s="6" t="s">
        <v>3</v>
      </c>
      <c r="L3579" s="7"/>
      <c r="M3579" s="5">
        <f>SUM(L3579:L3579)</f>
        <v>0</v>
      </c>
      <c r="N3579" s="75"/>
    </row>
    <row r="3580" spans="1:14" x14ac:dyDescent="0.15">
      <c r="B3580" s="6" t="s">
        <v>3</v>
      </c>
      <c r="C3580" s="54"/>
      <c r="D3580" s="5">
        <f t="shared" si="382"/>
        <v>0</v>
      </c>
      <c r="K3580" s="6" t="s">
        <v>3</v>
      </c>
      <c r="L3580" s="7"/>
      <c r="M3580" s="5">
        <f>SUM(L3580:L3580)</f>
        <v>0</v>
      </c>
      <c r="N3580" s="75"/>
    </row>
    <row r="3581" spans="1:14" ht="14.25" thickBot="1" x14ac:dyDescent="0.2">
      <c r="B3581" s="9" t="s">
        <v>3</v>
      </c>
      <c r="C3581" s="101"/>
      <c r="D3581" s="5">
        <f t="shared" si="382"/>
        <v>0</v>
      </c>
      <c r="K3581" s="9" t="s">
        <v>3</v>
      </c>
      <c r="L3581" s="10"/>
      <c r="M3581" s="5">
        <f>SUM(L3581:L3581)</f>
        <v>0</v>
      </c>
    </row>
    <row r="3582" spans="1:14" ht="14.25" thickBot="1" x14ac:dyDescent="0.2">
      <c r="B3582" s="11" t="s">
        <v>4</v>
      </c>
      <c r="C3582" s="12">
        <f>SUM(C3571:C3581)</f>
        <v>1782</v>
      </c>
      <c r="D3582" s="13">
        <f>SUM(D3571:D3581)</f>
        <v>1782</v>
      </c>
      <c r="K3582" s="11" t="s">
        <v>4</v>
      </c>
      <c r="L3582" s="12">
        <f>SUM(L3571:L3581)</f>
        <v>4879</v>
      </c>
      <c r="M3582" s="13">
        <f>SUM(M3571:M3581)</f>
        <v>4879</v>
      </c>
    </row>
    <row r="3583" spans="1:14" x14ac:dyDescent="0.15">
      <c r="B3583" s="71" t="s">
        <v>162</v>
      </c>
      <c r="C3583" s="15">
        <v>2</v>
      </c>
      <c r="D3583" s="14">
        <f>SUM(C3583)</f>
        <v>2</v>
      </c>
      <c r="E3583" s="74">
        <v>43943</v>
      </c>
      <c r="F3583" s="74"/>
      <c r="G3583" s="74"/>
      <c r="H3583" s="74"/>
      <c r="I3583" s="74"/>
      <c r="J3583" s="75"/>
      <c r="K3583" s="71" t="s">
        <v>31</v>
      </c>
      <c r="L3583" s="15">
        <v>200</v>
      </c>
      <c r="M3583" s="14">
        <f>SUM(L3583)</f>
        <v>200</v>
      </c>
      <c r="N3583" s="74">
        <v>43948</v>
      </c>
    </row>
    <row r="3584" spans="1:14" x14ac:dyDescent="0.15">
      <c r="B3584" s="71" t="s">
        <v>39</v>
      </c>
      <c r="C3584" s="15">
        <v>100</v>
      </c>
      <c r="D3584" s="14">
        <f>SUM(C3584)</f>
        <v>100</v>
      </c>
      <c r="E3584" s="74">
        <v>43944</v>
      </c>
      <c r="F3584" s="74"/>
      <c r="G3584" s="74"/>
      <c r="H3584" s="74"/>
      <c r="I3584" s="74"/>
      <c r="J3584" s="36"/>
      <c r="K3584" s="71" t="s">
        <v>31</v>
      </c>
      <c r="L3584" s="15">
        <v>200</v>
      </c>
      <c r="M3584" s="14">
        <f t="shared" ref="M3584:M3594" si="384">SUM(L3584:L3584)</f>
        <v>200</v>
      </c>
      <c r="N3584" s="74">
        <v>43953</v>
      </c>
    </row>
    <row r="3585" spans="2:15" x14ac:dyDescent="0.15">
      <c r="B3585" s="71" t="s">
        <v>162</v>
      </c>
      <c r="C3585" s="15">
        <v>2</v>
      </c>
      <c r="D3585" s="14">
        <f>SUM(C3585)</f>
        <v>2</v>
      </c>
      <c r="E3585" s="74">
        <v>43944</v>
      </c>
      <c r="F3585" s="74"/>
      <c r="G3585" s="74"/>
      <c r="H3585" s="74"/>
      <c r="I3585" s="74"/>
      <c r="J3585" s="51"/>
      <c r="K3585" s="71" t="s">
        <v>31</v>
      </c>
      <c r="L3585" s="15">
        <v>600</v>
      </c>
      <c r="M3585" s="14">
        <f t="shared" si="384"/>
        <v>600</v>
      </c>
      <c r="N3585" s="74">
        <v>43959</v>
      </c>
      <c r="O3585" s="75"/>
    </row>
    <row r="3586" spans="2:15" x14ac:dyDescent="0.15">
      <c r="B3586" s="71" t="s">
        <v>162</v>
      </c>
      <c r="C3586" s="15">
        <v>7</v>
      </c>
      <c r="D3586" s="14">
        <f t="shared" ref="D3586:D3596" si="385">SUM(C3586)</f>
        <v>7</v>
      </c>
      <c r="E3586" s="74">
        <v>43945</v>
      </c>
      <c r="F3586" s="74"/>
      <c r="G3586" s="74"/>
      <c r="H3586" s="74"/>
      <c r="I3586" s="74"/>
      <c r="J3586" s="51"/>
      <c r="K3586" s="4" t="s">
        <v>656</v>
      </c>
      <c r="L3586" s="15">
        <v>500</v>
      </c>
      <c r="M3586" s="14">
        <f t="shared" si="384"/>
        <v>500</v>
      </c>
      <c r="N3586" s="74">
        <v>43965</v>
      </c>
    </row>
    <row r="3587" spans="2:15" x14ac:dyDescent="0.15">
      <c r="B3587" s="71" t="s">
        <v>162</v>
      </c>
      <c r="C3587" s="15">
        <v>5</v>
      </c>
      <c r="D3587" s="14">
        <f t="shared" si="385"/>
        <v>5</v>
      </c>
      <c r="E3587" s="74">
        <v>43946</v>
      </c>
      <c r="F3587" s="74"/>
      <c r="G3587" s="74"/>
      <c r="H3587" s="74"/>
      <c r="I3587" s="74"/>
      <c r="J3587" s="51"/>
      <c r="K3587" s="4" t="s">
        <v>660</v>
      </c>
      <c r="L3587" s="15">
        <v>300</v>
      </c>
      <c r="M3587" s="14">
        <f t="shared" si="384"/>
        <v>300</v>
      </c>
      <c r="N3587" s="74">
        <v>43966</v>
      </c>
    </row>
    <row r="3588" spans="2:15" x14ac:dyDescent="0.15">
      <c r="B3588" s="71" t="s">
        <v>162</v>
      </c>
      <c r="C3588" s="15">
        <v>33</v>
      </c>
      <c r="D3588" s="14">
        <f t="shared" si="385"/>
        <v>33</v>
      </c>
      <c r="E3588" s="74">
        <v>43949</v>
      </c>
      <c r="F3588" s="74"/>
      <c r="G3588" s="74"/>
      <c r="H3588" s="74"/>
      <c r="I3588" s="74"/>
      <c r="J3588" s="51"/>
      <c r="K3588" s="71" t="s">
        <v>31</v>
      </c>
      <c r="L3588" s="15">
        <v>200</v>
      </c>
      <c r="M3588" s="14">
        <f t="shared" si="384"/>
        <v>200</v>
      </c>
      <c r="N3588" s="74">
        <v>43965</v>
      </c>
    </row>
    <row r="3589" spans="2:15" x14ac:dyDescent="0.15">
      <c r="B3589" s="71" t="s">
        <v>39</v>
      </c>
      <c r="C3589" s="15">
        <v>100</v>
      </c>
      <c r="D3589" s="14">
        <f t="shared" si="385"/>
        <v>100</v>
      </c>
      <c r="E3589" s="74">
        <v>43951</v>
      </c>
      <c r="F3589" s="74"/>
      <c r="G3589" s="74"/>
      <c r="H3589" s="74"/>
      <c r="I3589" s="74"/>
      <c r="J3589" s="51"/>
      <c r="K3589" s="4" t="s">
        <v>661</v>
      </c>
      <c r="L3589" s="15">
        <v>200</v>
      </c>
      <c r="M3589" s="14">
        <f t="shared" si="384"/>
        <v>200</v>
      </c>
      <c r="N3589" s="74">
        <v>43966</v>
      </c>
    </row>
    <row r="3590" spans="2:15" x14ac:dyDescent="0.15">
      <c r="B3590" s="71" t="s">
        <v>162</v>
      </c>
      <c r="C3590" s="15">
        <v>29</v>
      </c>
      <c r="D3590" s="14">
        <f t="shared" si="385"/>
        <v>29</v>
      </c>
      <c r="E3590" s="74">
        <v>43951</v>
      </c>
      <c r="F3590" s="74"/>
      <c r="G3590" s="74"/>
      <c r="H3590" s="74"/>
      <c r="I3590" s="74"/>
      <c r="J3590" s="51"/>
      <c r="K3590" s="71" t="s">
        <v>31</v>
      </c>
      <c r="L3590" s="15">
        <v>400</v>
      </c>
      <c r="M3590" s="14">
        <f t="shared" si="384"/>
        <v>400</v>
      </c>
      <c r="N3590" s="74">
        <v>43967</v>
      </c>
    </row>
    <row r="3591" spans="2:15" x14ac:dyDescent="0.15">
      <c r="B3591" s="71" t="s">
        <v>162</v>
      </c>
      <c r="C3591" s="15">
        <v>34</v>
      </c>
      <c r="D3591" s="14">
        <f t="shared" si="385"/>
        <v>34</v>
      </c>
      <c r="E3591" s="74">
        <v>43952</v>
      </c>
      <c r="F3591" s="74"/>
      <c r="G3591" s="74"/>
      <c r="H3591" s="74"/>
      <c r="I3591" s="74"/>
      <c r="J3591" s="36"/>
      <c r="K3591" s="4"/>
      <c r="L3591" s="15"/>
      <c r="M3591" s="14">
        <f t="shared" si="384"/>
        <v>0</v>
      </c>
    </row>
    <row r="3592" spans="2:15" x14ac:dyDescent="0.15">
      <c r="B3592" s="71" t="s">
        <v>162</v>
      </c>
      <c r="C3592" s="15">
        <v>53</v>
      </c>
      <c r="D3592" s="14">
        <f t="shared" si="385"/>
        <v>53</v>
      </c>
      <c r="E3592" s="74">
        <v>43953</v>
      </c>
      <c r="F3592" s="74"/>
      <c r="G3592" s="74"/>
      <c r="H3592" s="74"/>
      <c r="I3592" s="74"/>
      <c r="J3592" s="36"/>
      <c r="K3592" s="4"/>
      <c r="L3592" s="15"/>
      <c r="M3592" s="14">
        <f t="shared" si="384"/>
        <v>0</v>
      </c>
    </row>
    <row r="3593" spans="2:15" x14ac:dyDescent="0.15">
      <c r="B3593" s="71" t="s">
        <v>162</v>
      </c>
      <c r="C3593" s="15">
        <v>126</v>
      </c>
      <c r="D3593" s="14">
        <f t="shared" si="385"/>
        <v>126</v>
      </c>
      <c r="E3593" s="74">
        <v>43957</v>
      </c>
      <c r="F3593" s="74"/>
      <c r="G3593" s="74"/>
      <c r="H3593" s="74"/>
      <c r="I3593" s="74"/>
      <c r="J3593" s="51"/>
      <c r="K3593" s="4"/>
      <c r="L3593" s="15"/>
      <c r="M3593" s="14">
        <f t="shared" si="384"/>
        <v>0</v>
      </c>
    </row>
    <row r="3594" spans="2:15" x14ac:dyDescent="0.15">
      <c r="B3594" s="71" t="s">
        <v>162</v>
      </c>
      <c r="C3594" s="15">
        <v>22</v>
      </c>
      <c r="D3594" s="14">
        <f t="shared" si="385"/>
        <v>22</v>
      </c>
      <c r="E3594" s="74">
        <v>43958</v>
      </c>
      <c r="F3594" s="74"/>
      <c r="G3594" s="74"/>
      <c r="H3594" s="74"/>
      <c r="I3594" s="74"/>
      <c r="J3594" s="51"/>
      <c r="K3594" s="4"/>
      <c r="L3594" s="15"/>
      <c r="M3594" s="14">
        <f t="shared" si="384"/>
        <v>0</v>
      </c>
    </row>
    <row r="3595" spans="2:15" x14ac:dyDescent="0.15">
      <c r="B3595" s="71" t="s">
        <v>655</v>
      </c>
      <c r="C3595" s="15">
        <v>40</v>
      </c>
      <c r="D3595" s="14">
        <f t="shared" si="385"/>
        <v>40</v>
      </c>
      <c r="E3595" s="74">
        <v>43965</v>
      </c>
      <c r="F3595" s="74"/>
      <c r="G3595" s="74"/>
      <c r="H3595" s="74"/>
      <c r="I3595" s="74"/>
      <c r="J3595" s="36"/>
      <c r="K3595" s="172"/>
      <c r="L3595" s="15"/>
      <c r="M3595" s="14">
        <f>SUM(L3595)</f>
        <v>0</v>
      </c>
    </row>
    <row r="3596" spans="2:15" x14ac:dyDescent="0.15">
      <c r="B3596" s="71" t="s">
        <v>39</v>
      </c>
      <c r="C3596" s="15">
        <v>200</v>
      </c>
      <c r="D3596" s="14">
        <f t="shared" si="385"/>
        <v>200</v>
      </c>
      <c r="E3596" s="74">
        <v>43959</v>
      </c>
      <c r="F3596" s="74"/>
      <c r="G3596" s="74"/>
      <c r="H3596" s="74"/>
      <c r="I3596" s="74"/>
      <c r="J3596" s="51"/>
      <c r="K3596" s="173"/>
      <c r="L3596" s="15"/>
      <c r="M3596" s="14">
        <f>SUM(L3596:L3596)</f>
        <v>0</v>
      </c>
    </row>
    <row r="3597" spans="2:15" x14ac:dyDescent="0.15">
      <c r="B3597" s="71" t="s">
        <v>162</v>
      </c>
      <c r="C3597" s="15">
        <v>30</v>
      </c>
      <c r="D3597" s="14">
        <f>SUM(C3597)</f>
        <v>30</v>
      </c>
      <c r="E3597" s="74">
        <v>43959</v>
      </c>
      <c r="F3597" s="74"/>
      <c r="G3597" s="74"/>
      <c r="H3597" s="74"/>
      <c r="I3597" s="74"/>
      <c r="J3597" s="51"/>
      <c r="K3597" s="4"/>
      <c r="L3597" s="15"/>
      <c r="M3597" s="14">
        <f>SUM(L3597:L3597)</f>
        <v>0</v>
      </c>
    </row>
    <row r="3598" spans="2:15" x14ac:dyDescent="0.15">
      <c r="B3598" s="71" t="s">
        <v>162</v>
      </c>
      <c r="C3598" s="15">
        <v>126</v>
      </c>
      <c r="D3598" s="14">
        <f>SUM(C3598)</f>
        <v>126</v>
      </c>
      <c r="E3598" s="74">
        <v>43962</v>
      </c>
      <c r="F3598" s="74"/>
      <c r="G3598" s="74"/>
      <c r="H3598" s="74"/>
      <c r="I3598" s="74"/>
      <c r="J3598" s="51"/>
      <c r="K3598" s="6"/>
      <c r="L3598" s="15"/>
      <c r="M3598" s="14">
        <f>SUM(L3598:L3598)</f>
        <v>0</v>
      </c>
    </row>
    <row r="3599" spans="2:15" x14ac:dyDescent="0.15">
      <c r="B3599" s="71" t="s">
        <v>659</v>
      </c>
      <c r="C3599" s="15">
        <v>40</v>
      </c>
      <c r="D3599" s="14">
        <f>SUM(C3599)</f>
        <v>40</v>
      </c>
      <c r="E3599" s="74">
        <v>43969</v>
      </c>
      <c r="F3599" s="74"/>
      <c r="G3599" s="74"/>
      <c r="H3599" s="74"/>
      <c r="I3599" s="74"/>
      <c r="J3599" s="51"/>
      <c r="K3599" s="6"/>
      <c r="L3599" s="15"/>
      <c r="M3599" s="14">
        <f>SUM(L3599:L3599)</f>
        <v>0</v>
      </c>
    </row>
    <row r="3600" spans="2:15" x14ac:dyDescent="0.15">
      <c r="B3600" s="71" t="s">
        <v>162</v>
      </c>
      <c r="C3600" s="15">
        <v>102</v>
      </c>
      <c r="D3600" s="14">
        <f t="shared" ref="D3600:D3606" si="386">SUM(C3600)</f>
        <v>102</v>
      </c>
      <c r="E3600" s="74">
        <v>43963</v>
      </c>
      <c r="F3600" s="74"/>
      <c r="G3600" s="74"/>
      <c r="H3600" s="74"/>
      <c r="I3600" s="74"/>
      <c r="J3600" s="51"/>
      <c r="K3600" s="172"/>
      <c r="L3600" s="15"/>
      <c r="M3600" s="14">
        <f>SUM(L3600)</f>
        <v>0</v>
      </c>
    </row>
    <row r="3601" spans="1:14" x14ac:dyDescent="0.15">
      <c r="B3601" s="71" t="s">
        <v>162</v>
      </c>
      <c r="C3601" s="15">
        <v>62</v>
      </c>
      <c r="D3601" s="14">
        <f t="shared" si="386"/>
        <v>62</v>
      </c>
      <c r="E3601" s="74">
        <v>43964</v>
      </c>
      <c r="F3601" s="74"/>
      <c r="G3601" s="74"/>
      <c r="H3601" s="74"/>
      <c r="I3601" s="74"/>
      <c r="J3601" s="51"/>
      <c r="K3601" s="173"/>
      <c r="L3601" s="15"/>
      <c r="M3601" s="14">
        <f>SUM(L3601:L3601)</f>
        <v>0</v>
      </c>
    </row>
    <row r="3602" spans="1:14" x14ac:dyDescent="0.15">
      <c r="B3602" s="71" t="s">
        <v>162</v>
      </c>
      <c r="C3602" s="15">
        <v>64</v>
      </c>
      <c r="D3602" s="14">
        <f t="shared" si="386"/>
        <v>64</v>
      </c>
      <c r="E3602" s="48">
        <v>43965</v>
      </c>
      <c r="F3602" s="48"/>
      <c r="G3602" s="48"/>
      <c r="H3602" s="48"/>
      <c r="I3602" s="48"/>
      <c r="J3602" s="51"/>
      <c r="K3602" s="4"/>
      <c r="L3602" s="15"/>
      <c r="M3602" s="14">
        <f>SUM(L3602)</f>
        <v>0</v>
      </c>
      <c r="N3602" s="75"/>
    </row>
    <row r="3603" spans="1:14" x14ac:dyDescent="0.15">
      <c r="B3603" s="71" t="s">
        <v>162</v>
      </c>
      <c r="C3603" s="15">
        <v>65</v>
      </c>
      <c r="D3603" s="14">
        <f t="shared" si="386"/>
        <v>65</v>
      </c>
      <c r="E3603" s="74">
        <v>43966</v>
      </c>
      <c r="F3603" s="74"/>
      <c r="G3603" s="74"/>
      <c r="H3603" s="74"/>
      <c r="I3603" s="74"/>
      <c r="J3603" s="51"/>
      <c r="K3603" s="6"/>
      <c r="L3603" s="15"/>
      <c r="M3603" s="14">
        <f>SUM(L3603:L3603)</f>
        <v>0</v>
      </c>
      <c r="N3603" s="75"/>
    </row>
    <row r="3604" spans="1:14" x14ac:dyDescent="0.15">
      <c r="B3604" s="71" t="s">
        <v>162</v>
      </c>
      <c r="C3604" s="15">
        <v>57</v>
      </c>
      <c r="D3604" s="14">
        <f t="shared" si="386"/>
        <v>57</v>
      </c>
      <c r="E3604" s="48">
        <v>43967</v>
      </c>
      <c r="F3604" s="48"/>
      <c r="G3604" s="48"/>
      <c r="H3604" s="48"/>
      <c r="I3604" s="48"/>
      <c r="J3604" s="51"/>
      <c r="K3604" s="6"/>
      <c r="L3604" s="15"/>
      <c r="M3604" s="14">
        <f>SUM(L3604:L3604)</f>
        <v>0</v>
      </c>
      <c r="N3604" s="75"/>
    </row>
    <row r="3605" spans="1:14" x14ac:dyDescent="0.15">
      <c r="B3605" s="71" t="s">
        <v>162</v>
      </c>
      <c r="C3605" s="15">
        <v>34</v>
      </c>
      <c r="D3605" s="14">
        <f t="shared" si="386"/>
        <v>34</v>
      </c>
      <c r="E3605" s="48">
        <v>43969</v>
      </c>
      <c r="F3605" s="48"/>
      <c r="G3605" s="48"/>
      <c r="H3605" s="48"/>
      <c r="I3605" s="48"/>
      <c r="J3605" s="51"/>
      <c r="K3605" s="4"/>
      <c r="L3605" s="15"/>
      <c r="M3605" s="14">
        <f>SUM(L3605)</f>
        <v>0</v>
      </c>
      <c r="N3605" s="75"/>
    </row>
    <row r="3606" spans="1:14" ht="14.25" thickBot="1" x14ac:dyDescent="0.2">
      <c r="B3606" s="71" t="s">
        <v>162</v>
      </c>
      <c r="C3606" s="15">
        <v>19</v>
      </c>
      <c r="D3606" s="14">
        <f t="shared" si="386"/>
        <v>19</v>
      </c>
      <c r="E3606" s="48">
        <v>43970</v>
      </c>
      <c r="J3606" s="51"/>
      <c r="K3606" s="6"/>
      <c r="L3606" s="15"/>
      <c r="M3606" s="14">
        <f>SUM(L3606:L3606)</f>
        <v>0</v>
      </c>
      <c r="N3606" s="75"/>
    </row>
    <row r="3607" spans="1:14" ht="14.25" thickBot="1" x14ac:dyDescent="0.2">
      <c r="B3607" s="3" t="s">
        <v>5</v>
      </c>
      <c r="C3607" s="16">
        <f>SUM(C3583:C3606)</f>
        <v>1352</v>
      </c>
      <c r="D3607" s="17">
        <f>SUM(D3583:D3606)</f>
        <v>1352</v>
      </c>
      <c r="K3607" s="3" t="s">
        <v>5</v>
      </c>
      <c r="L3607" s="16">
        <f>SUM(L3583:L3606)</f>
        <v>2600</v>
      </c>
      <c r="M3607" s="17">
        <f>SUM(M3583:M3606)</f>
        <v>2600</v>
      </c>
    </row>
    <row r="3608" spans="1:14" ht="14.25" thickBot="1" x14ac:dyDescent="0.2">
      <c r="B3608" s="18" t="s">
        <v>6</v>
      </c>
      <c r="C3608" s="19">
        <f>C3582-C3607</f>
        <v>430</v>
      </c>
      <c r="D3608" s="13">
        <f>D3582-D3607</f>
        <v>430</v>
      </c>
      <c r="K3608" s="18" t="s">
        <v>6</v>
      </c>
      <c r="L3608" s="19">
        <f>L3582-L3607</f>
        <v>2279</v>
      </c>
      <c r="M3608" s="13">
        <f>M3582-M3607</f>
        <v>2279</v>
      </c>
    </row>
    <row r="3610" spans="1:14" ht="18" thickBot="1" x14ac:dyDescent="0.25">
      <c r="A3610" s="27" t="s">
        <v>8</v>
      </c>
      <c r="B3610" s="28"/>
      <c r="C3610" s="28"/>
      <c r="D3610" s="28"/>
      <c r="F3610" s="175" t="s">
        <v>651</v>
      </c>
      <c r="G3610" s="176"/>
      <c r="H3610" s="176"/>
      <c r="K3610" s="139" t="s">
        <v>218</v>
      </c>
      <c r="L3610" s="140"/>
      <c r="M3610" s="140"/>
    </row>
    <row r="3611" spans="1:14" ht="14.25" thickBot="1" x14ac:dyDescent="0.2">
      <c r="B3611" s="2"/>
      <c r="C3611" s="3" t="s">
        <v>0</v>
      </c>
      <c r="D3611" s="2" t="s">
        <v>1</v>
      </c>
      <c r="F3611" s="2"/>
      <c r="G3611" s="3" t="s">
        <v>0</v>
      </c>
      <c r="H3611" s="2" t="s">
        <v>1</v>
      </c>
      <c r="K3611" s="2"/>
      <c r="L3611" s="3" t="s">
        <v>0</v>
      </c>
      <c r="M3611" s="2" t="s">
        <v>1</v>
      </c>
    </row>
    <row r="3612" spans="1:14" x14ac:dyDescent="0.15">
      <c r="B3612" s="43" t="s">
        <v>26</v>
      </c>
      <c r="C3612" s="38">
        <f>C3608</f>
        <v>430</v>
      </c>
      <c r="D3612" s="39">
        <f t="shared" ref="D3612:D3622" si="387">SUM(C3612:C3612)</f>
        <v>430</v>
      </c>
      <c r="F3612" s="4" t="s">
        <v>665</v>
      </c>
      <c r="G3612" s="177">
        <v>500</v>
      </c>
      <c r="H3612" s="5">
        <f t="shared" ref="H3612:H3622" si="388">SUM(G3612:G3612)</f>
        <v>500</v>
      </c>
      <c r="I3612" s="74">
        <v>43970</v>
      </c>
      <c r="K3612" s="43" t="s">
        <v>26</v>
      </c>
      <c r="L3612" s="38">
        <f>L3608</f>
        <v>2279</v>
      </c>
      <c r="M3612" s="39">
        <f t="shared" ref="M3612:M3619" si="389">SUM(L3612:L3612)</f>
        <v>2279</v>
      </c>
    </row>
    <row r="3613" spans="1:14" x14ac:dyDescent="0.15">
      <c r="B3613" s="6" t="s">
        <v>3</v>
      </c>
      <c r="C3613" s="7">
        <v>200</v>
      </c>
      <c r="D3613" s="5">
        <f t="shared" si="387"/>
        <v>200</v>
      </c>
      <c r="E3613" s="74">
        <v>43974</v>
      </c>
      <c r="F3613" s="6" t="s">
        <v>666</v>
      </c>
      <c r="G3613" s="7">
        <v>1779</v>
      </c>
      <c r="H3613" s="5">
        <f t="shared" si="388"/>
        <v>1779</v>
      </c>
      <c r="I3613" s="74">
        <v>43974</v>
      </c>
      <c r="J3613" s="75"/>
      <c r="K3613" s="6" t="s">
        <v>3</v>
      </c>
      <c r="L3613" s="7"/>
      <c r="M3613" s="5">
        <f t="shared" si="389"/>
        <v>0</v>
      </c>
    </row>
    <row r="3614" spans="1:14" x14ac:dyDescent="0.15">
      <c r="A3614" s="75"/>
      <c r="B3614" s="6" t="s">
        <v>3</v>
      </c>
      <c r="C3614" s="7">
        <v>200</v>
      </c>
      <c r="D3614" s="5">
        <f t="shared" si="387"/>
        <v>200</v>
      </c>
      <c r="E3614" s="74">
        <v>43981</v>
      </c>
      <c r="F3614" s="6" t="s">
        <v>3</v>
      </c>
      <c r="G3614" s="7"/>
      <c r="H3614" s="5">
        <f t="shared" si="388"/>
        <v>0</v>
      </c>
      <c r="I3614" s="74"/>
      <c r="K3614" s="6" t="s">
        <v>3</v>
      </c>
      <c r="L3614" s="7"/>
      <c r="M3614" s="5">
        <f t="shared" si="389"/>
        <v>0</v>
      </c>
      <c r="N3614" s="74"/>
    </row>
    <row r="3615" spans="1:14" x14ac:dyDescent="0.15">
      <c r="A3615" s="75"/>
      <c r="B3615" s="6" t="s">
        <v>3</v>
      </c>
      <c r="C3615" s="7">
        <v>200</v>
      </c>
      <c r="D3615" s="5">
        <f t="shared" si="387"/>
        <v>200</v>
      </c>
      <c r="E3615" s="74">
        <v>43987</v>
      </c>
      <c r="F3615" s="6" t="s">
        <v>3</v>
      </c>
      <c r="G3615" s="7"/>
      <c r="H3615" s="5">
        <f t="shared" si="388"/>
        <v>0</v>
      </c>
      <c r="I3615" s="74"/>
      <c r="J3615" s="100"/>
      <c r="K3615" s="6" t="s">
        <v>3</v>
      </c>
      <c r="L3615" s="7"/>
      <c r="M3615" s="5">
        <f t="shared" si="389"/>
        <v>0</v>
      </c>
    </row>
    <row r="3616" spans="1:14" x14ac:dyDescent="0.15">
      <c r="B3616" s="6" t="s">
        <v>3</v>
      </c>
      <c r="C3616" s="7">
        <v>200</v>
      </c>
      <c r="D3616" s="5">
        <f t="shared" si="387"/>
        <v>200</v>
      </c>
      <c r="E3616" s="74">
        <v>43988</v>
      </c>
      <c r="F3616" s="6" t="s">
        <v>3</v>
      </c>
      <c r="G3616" s="7"/>
      <c r="H3616" s="5">
        <f t="shared" si="388"/>
        <v>0</v>
      </c>
      <c r="I3616" s="74"/>
      <c r="K3616" s="6" t="s">
        <v>3</v>
      </c>
      <c r="L3616" s="7"/>
      <c r="M3616" s="5">
        <f t="shared" si="389"/>
        <v>0</v>
      </c>
    </row>
    <row r="3617" spans="2:14" x14ac:dyDescent="0.15">
      <c r="B3617" s="6" t="s">
        <v>64</v>
      </c>
      <c r="C3617" s="7">
        <v>1</v>
      </c>
      <c r="D3617" s="5">
        <f t="shared" si="387"/>
        <v>1</v>
      </c>
      <c r="E3617" s="74">
        <v>43987</v>
      </c>
      <c r="F3617" s="6" t="s">
        <v>3</v>
      </c>
      <c r="G3617" s="7"/>
      <c r="H3617" s="5">
        <f t="shared" si="388"/>
        <v>0</v>
      </c>
      <c r="I3617" s="74"/>
      <c r="K3617" s="6" t="s">
        <v>3</v>
      </c>
      <c r="L3617" s="7"/>
      <c r="M3617" s="5">
        <f t="shared" si="389"/>
        <v>0</v>
      </c>
    </row>
    <row r="3618" spans="2:14" x14ac:dyDescent="0.15">
      <c r="B3618" s="6" t="s">
        <v>3</v>
      </c>
      <c r="C3618" s="7">
        <v>200</v>
      </c>
      <c r="D3618" s="5">
        <f>SUM(C3618:C3618)</f>
        <v>200</v>
      </c>
      <c r="E3618" s="74">
        <v>43991</v>
      </c>
      <c r="F3618" s="6" t="s">
        <v>3</v>
      </c>
      <c r="G3618" s="7"/>
      <c r="H3618" s="5">
        <f t="shared" si="388"/>
        <v>0</v>
      </c>
      <c r="I3618" s="74"/>
      <c r="K3618" s="6" t="s">
        <v>3</v>
      </c>
      <c r="L3618" s="7"/>
      <c r="M3618" s="5">
        <f t="shared" si="389"/>
        <v>0</v>
      </c>
    </row>
    <row r="3619" spans="2:14" x14ac:dyDescent="0.15">
      <c r="B3619" s="6" t="s">
        <v>3</v>
      </c>
      <c r="C3619" s="7">
        <v>400</v>
      </c>
      <c r="D3619" s="5">
        <f>SUM(C3619:C3619)</f>
        <v>400</v>
      </c>
      <c r="E3619" s="74">
        <v>43992</v>
      </c>
      <c r="F3619" s="6" t="s">
        <v>3</v>
      </c>
      <c r="G3619" s="54"/>
      <c r="H3619" s="5">
        <f t="shared" si="388"/>
        <v>0</v>
      </c>
      <c r="K3619" s="6" t="s">
        <v>3</v>
      </c>
      <c r="L3619" s="7"/>
      <c r="M3619" s="5">
        <f t="shared" si="389"/>
        <v>0</v>
      </c>
    </row>
    <row r="3620" spans="2:14" x14ac:dyDescent="0.15">
      <c r="B3620" s="6" t="s">
        <v>3</v>
      </c>
      <c r="C3620" s="54"/>
      <c r="D3620" s="5">
        <f t="shared" si="387"/>
        <v>0</v>
      </c>
      <c r="F3620" s="6" t="s">
        <v>3</v>
      </c>
      <c r="G3620" s="54"/>
      <c r="H3620" s="5">
        <f t="shared" si="388"/>
        <v>0</v>
      </c>
      <c r="K3620" s="6" t="s">
        <v>3</v>
      </c>
      <c r="L3620" s="7"/>
      <c r="M3620" s="5">
        <f>SUM(L3620:L3620)</f>
        <v>0</v>
      </c>
    </row>
    <row r="3621" spans="2:14" x14ac:dyDescent="0.15">
      <c r="B3621" s="6" t="s">
        <v>3</v>
      </c>
      <c r="C3621" s="54"/>
      <c r="D3621" s="5">
        <f t="shared" si="387"/>
        <v>0</v>
      </c>
      <c r="F3621" s="6" t="s">
        <v>3</v>
      </c>
      <c r="G3621" s="54"/>
      <c r="H3621" s="5">
        <f t="shared" si="388"/>
        <v>0</v>
      </c>
      <c r="K3621" s="6" t="s">
        <v>3</v>
      </c>
      <c r="L3621" s="7"/>
      <c r="M3621" s="5">
        <f>SUM(L3621:L3621)</f>
        <v>0</v>
      </c>
    </row>
    <row r="3622" spans="2:14" ht="14.25" thickBot="1" x14ac:dyDescent="0.2">
      <c r="B3622" s="9" t="s">
        <v>3</v>
      </c>
      <c r="C3622" s="101"/>
      <c r="D3622" s="5">
        <f t="shared" si="387"/>
        <v>0</v>
      </c>
      <c r="F3622" s="9" t="s">
        <v>3</v>
      </c>
      <c r="G3622" s="101"/>
      <c r="H3622" s="5">
        <f t="shared" si="388"/>
        <v>0</v>
      </c>
      <c r="K3622" s="9" t="s">
        <v>3</v>
      </c>
      <c r="L3622" s="10"/>
      <c r="M3622" s="5">
        <f>SUM(L3622:L3622)</f>
        <v>0</v>
      </c>
    </row>
    <row r="3623" spans="2:14" ht="14.25" thickBot="1" x14ac:dyDescent="0.2">
      <c r="B3623" s="11" t="s">
        <v>4</v>
      </c>
      <c r="C3623" s="12">
        <f>SUM(C3612:C3622)</f>
        <v>1831</v>
      </c>
      <c r="D3623" s="13">
        <f>SUM(D3612:D3622)</f>
        <v>1831</v>
      </c>
      <c r="F3623" s="11" t="s">
        <v>4</v>
      </c>
      <c r="G3623" s="12">
        <f>SUM(G3612:G3622)</f>
        <v>2279</v>
      </c>
      <c r="H3623" s="13">
        <f>SUM(H3612:H3622)</f>
        <v>2279</v>
      </c>
      <c r="K3623" s="11" t="s">
        <v>4</v>
      </c>
      <c r="L3623" s="12">
        <f>SUM(L3612:L3622)</f>
        <v>2279</v>
      </c>
      <c r="M3623" s="13">
        <f>SUM(M3612:M3622)</f>
        <v>2279</v>
      </c>
    </row>
    <row r="3624" spans="2:14" x14ac:dyDescent="0.15">
      <c r="B3624" s="71" t="s">
        <v>162</v>
      </c>
      <c r="C3624" s="15">
        <v>16</v>
      </c>
      <c r="D3624" s="14">
        <f>SUM(C3624)</f>
        <v>16</v>
      </c>
      <c r="E3624" s="48">
        <v>43971</v>
      </c>
      <c r="F3624" s="6" t="s">
        <v>663</v>
      </c>
      <c r="G3624" s="15">
        <v>251</v>
      </c>
      <c r="H3624" s="14">
        <f>SUM(G3624)</f>
        <v>251</v>
      </c>
      <c r="I3624" s="74">
        <v>43973</v>
      </c>
      <c r="J3624" s="75"/>
      <c r="K3624" s="71" t="s">
        <v>662</v>
      </c>
      <c r="L3624" s="15">
        <v>500</v>
      </c>
      <c r="M3624" s="14">
        <f>SUM(L3624)</f>
        <v>500</v>
      </c>
      <c r="N3624" s="74">
        <v>43970</v>
      </c>
    </row>
    <row r="3625" spans="2:14" x14ac:dyDescent="0.15">
      <c r="B3625" s="71" t="s">
        <v>162</v>
      </c>
      <c r="C3625" s="15">
        <v>23</v>
      </c>
      <c r="D3625" s="14">
        <f>SUM(C3625)</f>
        <v>23</v>
      </c>
      <c r="E3625" s="48">
        <v>43972</v>
      </c>
      <c r="F3625" s="71" t="s">
        <v>31</v>
      </c>
      <c r="G3625" s="15">
        <v>200</v>
      </c>
      <c r="H3625" s="14">
        <f>SUM(G3625)</f>
        <v>200</v>
      </c>
      <c r="I3625" s="74">
        <v>43974</v>
      </c>
      <c r="J3625" s="36"/>
      <c r="K3625" s="71" t="s">
        <v>664</v>
      </c>
      <c r="L3625" s="15">
        <v>1779</v>
      </c>
      <c r="M3625" s="14">
        <f t="shared" ref="M3625:M3635" si="390">SUM(L3625:L3625)</f>
        <v>1779</v>
      </c>
      <c r="N3625" s="48">
        <v>43974</v>
      </c>
    </row>
    <row r="3626" spans="2:14" x14ac:dyDescent="0.15">
      <c r="B3626" s="71" t="s">
        <v>162</v>
      </c>
      <c r="C3626" s="15">
        <v>10</v>
      </c>
      <c r="D3626" s="14">
        <f>SUM(C3626)</f>
        <v>10</v>
      </c>
      <c r="E3626" s="48">
        <v>43973</v>
      </c>
      <c r="F3626" s="6" t="s">
        <v>669</v>
      </c>
      <c r="G3626" s="15">
        <v>120</v>
      </c>
      <c r="H3626" s="14">
        <f>SUM(G3626)</f>
        <v>120</v>
      </c>
      <c r="I3626" s="74">
        <v>43980</v>
      </c>
      <c r="J3626" s="51"/>
      <c r="K3626" s="71"/>
      <c r="L3626" s="15"/>
      <c r="M3626" s="14">
        <f t="shared" si="390"/>
        <v>0</v>
      </c>
    </row>
    <row r="3627" spans="2:14" x14ac:dyDescent="0.15">
      <c r="B3627" s="71" t="s">
        <v>162</v>
      </c>
      <c r="C3627" s="15">
        <v>50</v>
      </c>
      <c r="D3627" s="14">
        <f t="shared" ref="D3627:D3637" si="391">SUM(C3627)</f>
        <v>50</v>
      </c>
      <c r="E3627" s="48">
        <v>43976</v>
      </c>
      <c r="F3627" s="6" t="s">
        <v>670</v>
      </c>
      <c r="G3627" s="15">
        <v>70</v>
      </c>
      <c r="H3627" s="14">
        <f t="shared" ref="H3627:H3637" si="392">SUM(G3627)</f>
        <v>70</v>
      </c>
      <c r="I3627" s="74">
        <v>43981</v>
      </c>
      <c r="J3627" s="51"/>
      <c r="K3627" s="71"/>
      <c r="L3627" s="15"/>
      <c r="M3627" s="14">
        <f t="shared" si="390"/>
        <v>0</v>
      </c>
    </row>
    <row r="3628" spans="2:14" x14ac:dyDescent="0.15">
      <c r="B3628" s="71" t="s">
        <v>162</v>
      </c>
      <c r="C3628" s="15">
        <v>13</v>
      </c>
      <c r="D3628" s="14">
        <f t="shared" si="391"/>
        <v>13</v>
      </c>
      <c r="E3628" s="48">
        <v>43977</v>
      </c>
      <c r="F3628" s="71" t="s">
        <v>31</v>
      </c>
      <c r="G3628" s="15">
        <v>200</v>
      </c>
      <c r="H3628" s="14">
        <f t="shared" si="392"/>
        <v>200</v>
      </c>
      <c r="I3628" s="74">
        <v>43981</v>
      </c>
      <c r="J3628" s="36"/>
      <c r="K3628" s="4"/>
      <c r="L3628" s="15"/>
      <c r="M3628" s="14">
        <f t="shared" si="390"/>
        <v>0</v>
      </c>
    </row>
    <row r="3629" spans="2:14" x14ac:dyDescent="0.15">
      <c r="B3629" s="71" t="s">
        <v>162</v>
      </c>
      <c r="C3629" s="15">
        <v>11</v>
      </c>
      <c r="D3629" s="14">
        <f t="shared" si="391"/>
        <v>11</v>
      </c>
      <c r="E3629" s="48">
        <v>43978</v>
      </c>
      <c r="F3629" s="6" t="s">
        <v>672</v>
      </c>
      <c r="G3629" s="15">
        <v>85</v>
      </c>
      <c r="H3629" s="14">
        <f t="shared" si="392"/>
        <v>85</v>
      </c>
      <c r="I3629" s="74">
        <v>43981</v>
      </c>
      <c r="J3629" s="51"/>
      <c r="K3629" s="71"/>
      <c r="L3629" s="15"/>
      <c r="M3629" s="14">
        <f t="shared" si="390"/>
        <v>0</v>
      </c>
    </row>
    <row r="3630" spans="2:14" x14ac:dyDescent="0.15">
      <c r="B3630" s="71" t="s">
        <v>162</v>
      </c>
      <c r="C3630" s="15">
        <v>15</v>
      </c>
      <c r="D3630" s="14">
        <f t="shared" si="391"/>
        <v>15</v>
      </c>
      <c r="E3630" s="48">
        <v>43979</v>
      </c>
      <c r="F3630" s="71" t="s">
        <v>31</v>
      </c>
      <c r="G3630" s="15">
        <v>200</v>
      </c>
      <c r="H3630" s="14">
        <f t="shared" si="392"/>
        <v>200</v>
      </c>
      <c r="I3630" s="74">
        <v>43987</v>
      </c>
      <c r="J3630" s="51"/>
      <c r="K3630" s="4"/>
      <c r="L3630" s="15"/>
      <c r="M3630" s="14">
        <f t="shared" si="390"/>
        <v>0</v>
      </c>
    </row>
    <row r="3631" spans="2:14" x14ac:dyDescent="0.15">
      <c r="B3631" s="71" t="s">
        <v>671</v>
      </c>
      <c r="C3631" s="15">
        <v>40</v>
      </c>
      <c r="D3631" s="14">
        <f t="shared" si="391"/>
        <v>40</v>
      </c>
      <c r="E3631" s="74">
        <v>43985</v>
      </c>
      <c r="F3631" s="71" t="s">
        <v>31</v>
      </c>
      <c r="G3631" s="15">
        <v>200</v>
      </c>
      <c r="H3631" s="14">
        <f t="shared" si="392"/>
        <v>200</v>
      </c>
      <c r="I3631" s="74">
        <v>43988</v>
      </c>
      <c r="J3631" s="51"/>
      <c r="K3631" s="6"/>
      <c r="L3631" s="15"/>
      <c r="M3631" s="14">
        <f t="shared" si="390"/>
        <v>0</v>
      </c>
    </row>
    <row r="3632" spans="2:14" x14ac:dyDescent="0.15">
      <c r="B3632" s="71" t="s">
        <v>161</v>
      </c>
      <c r="C3632" s="15">
        <v>77</v>
      </c>
      <c r="D3632" s="14">
        <f t="shared" si="391"/>
        <v>77</v>
      </c>
      <c r="E3632" s="48">
        <v>43980</v>
      </c>
      <c r="F3632" s="71" t="s">
        <v>31</v>
      </c>
      <c r="G3632" s="15">
        <v>200</v>
      </c>
      <c r="H3632" s="14">
        <f t="shared" si="392"/>
        <v>200</v>
      </c>
      <c r="I3632" s="74">
        <v>43991</v>
      </c>
      <c r="J3632" s="36"/>
      <c r="K3632" s="4"/>
      <c r="L3632" s="15"/>
      <c r="M3632" s="14">
        <f t="shared" si="390"/>
        <v>0</v>
      </c>
    </row>
    <row r="3633" spans="2:14" x14ac:dyDescent="0.15">
      <c r="B3633" s="71" t="s">
        <v>161</v>
      </c>
      <c r="C3633" s="15">
        <v>22</v>
      </c>
      <c r="D3633" s="14">
        <f t="shared" si="391"/>
        <v>22</v>
      </c>
      <c r="E3633" s="48">
        <v>43981</v>
      </c>
      <c r="F3633" s="71" t="s">
        <v>31</v>
      </c>
      <c r="G3633" s="15">
        <v>400</v>
      </c>
      <c r="H3633" s="14">
        <f t="shared" si="392"/>
        <v>400</v>
      </c>
      <c r="I3633" s="74">
        <v>43992</v>
      </c>
      <c r="J3633" s="36"/>
      <c r="K3633" s="4"/>
      <c r="L3633" s="15"/>
      <c r="M3633" s="14">
        <f t="shared" si="390"/>
        <v>0</v>
      </c>
    </row>
    <row r="3634" spans="2:14" x14ac:dyDescent="0.15">
      <c r="B3634" s="71" t="s">
        <v>161</v>
      </c>
      <c r="C3634" s="15">
        <v>95</v>
      </c>
      <c r="D3634" s="14">
        <f t="shared" si="391"/>
        <v>95</v>
      </c>
      <c r="E3634" s="48">
        <v>43983</v>
      </c>
      <c r="F3634" s="71"/>
      <c r="G3634" s="15"/>
      <c r="H3634" s="14">
        <f t="shared" si="392"/>
        <v>0</v>
      </c>
      <c r="I3634" s="74"/>
      <c r="J3634" s="51"/>
      <c r="K3634" s="4"/>
      <c r="L3634" s="15"/>
      <c r="M3634" s="14">
        <f t="shared" si="390"/>
        <v>0</v>
      </c>
    </row>
    <row r="3635" spans="2:14" x14ac:dyDescent="0.15">
      <c r="B3635" s="71" t="s">
        <v>674</v>
      </c>
      <c r="C3635" s="15">
        <v>40</v>
      </c>
      <c r="D3635" s="14">
        <f t="shared" si="391"/>
        <v>40</v>
      </c>
      <c r="E3635" s="74">
        <v>43987</v>
      </c>
      <c r="F3635" s="71"/>
      <c r="G3635" s="15"/>
      <c r="H3635" s="14">
        <f t="shared" si="392"/>
        <v>0</v>
      </c>
      <c r="I3635" s="74"/>
      <c r="J3635" s="51"/>
      <c r="K3635" s="4"/>
      <c r="L3635" s="15"/>
      <c r="M3635" s="14">
        <f t="shared" si="390"/>
        <v>0</v>
      </c>
    </row>
    <row r="3636" spans="2:14" x14ac:dyDescent="0.15">
      <c r="B3636" s="71" t="s">
        <v>161</v>
      </c>
      <c r="C3636" s="15">
        <v>39</v>
      </c>
      <c r="D3636" s="14">
        <f t="shared" si="391"/>
        <v>39</v>
      </c>
      <c r="E3636" s="74">
        <v>43984</v>
      </c>
      <c r="F3636" s="71"/>
      <c r="G3636" s="15"/>
      <c r="H3636" s="14">
        <f t="shared" si="392"/>
        <v>0</v>
      </c>
      <c r="I3636" s="74"/>
      <c r="J3636" s="36"/>
      <c r="K3636" s="172"/>
      <c r="L3636" s="15"/>
      <c r="M3636" s="14">
        <f>SUM(L3636)</f>
        <v>0</v>
      </c>
    </row>
    <row r="3637" spans="2:14" x14ac:dyDescent="0.15">
      <c r="B3637" s="71" t="s">
        <v>161</v>
      </c>
      <c r="C3637" s="15">
        <v>62</v>
      </c>
      <c r="D3637" s="14">
        <f t="shared" si="391"/>
        <v>62</v>
      </c>
      <c r="E3637" s="48">
        <v>43985</v>
      </c>
      <c r="F3637" s="71"/>
      <c r="G3637" s="15"/>
      <c r="H3637" s="14">
        <f t="shared" si="392"/>
        <v>0</v>
      </c>
      <c r="I3637" s="74"/>
      <c r="J3637" s="51"/>
      <c r="K3637" s="173"/>
      <c r="L3637" s="15"/>
      <c r="M3637" s="14">
        <f>SUM(L3637:L3637)</f>
        <v>0</v>
      </c>
    </row>
    <row r="3638" spans="2:14" x14ac:dyDescent="0.15">
      <c r="B3638" s="71" t="s">
        <v>675</v>
      </c>
      <c r="C3638" s="15">
        <v>100</v>
      </c>
      <c r="D3638" s="14">
        <f>SUM(C3638)</f>
        <v>100</v>
      </c>
      <c r="E3638" s="48">
        <v>43984</v>
      </c>
      <c r="F3638" s="71"/>
      <c r="G3638" s="15"/>
      <c r="H3638" s="14">
        <f t="shared" ref="H3638:H3646" si="393">SUM(G3638)</f>
        <v>0</v>
      </c>
      <c r="I3638" s="74"/>
      <c r="J3638" s="51"/>
      <c r="K3638" s="4"/>
      <c r="L3638" s="15"/>
      <c r="M3638" s="14">
        <f>SUM(L3638:L3638)</f>
        <v>0</v>
      </c>
    </row>
    <row r="3639" spans="2:14" x14ac:dyDescent="0.15">
      <c r="B3639" s="71" t="s">
        <v>161</v>
      </c>
      <c r="C3639" s="15">
        <v>52</v>
      </c>
      <c r="D3639" s="14">
        <f>SUM(C3639)</f>
        <v>52</v>
      </c>
      <c r="E3639" s="48">
        <v>43986</v>
      </c>
      <c r="F3639" s="71"/>
      <c r="G3639" s="15"/>
      <c r="H3639" s="14">
        <f t="shared" si="393"/>
        <v>0</v>
      </c>
      <c r="I3639" s="74"/>
      <c r="J3639" s="51"/>
      <c r="K3639" s="6"/>
      <c r="L3639" s="15"/>
      <c r="M3639" s="14">
        <f>SUM(L3639:L3639)</f>
        <v>0</v>
      </c>
    </row>
    <row r="3640" spans="2:14" x14ac:dyDescent="0.15">
      <c r="B3640" s="71" t="s">
        <v>677</v>
      </c>
      <c r="C3640" s="15">
        <v>40</v>
      </c>
      <c r="D3640" s="14">
        <f>SUM(C3640)</f>
        <v>40</v>
      </c>
      <c r="E3640" s="74">
        <v>43992</v>
      </c>
      <c r="F3640" s="71"/>
      <c r="G3640" s="15"/>
      <c r="H3640" s="14">
        <f t="shared" si="393"/>
        <v>0</v>
      </c>
      <c r="I3640" s="74"/>
      <c r="J3640" s="51"/>
      <c r="K3640" s="6"/>
      <c r="L3640" s="15"/>
      <c r="M3640" s="14">
        <f>SUM(L3640:L3640)</f>
        <v>0</v>
      </c>
    </row>
    <row r="3641" spans="2:14" x14ac:dyDescent="0.15">
      <c r="B3641" s="71" t="s">
        <v>161</v>
      </c>
      <c r="C3641" s="15">
        <v>121</v>
      </c>
      <c r="D3641" s="14">
        <f t="shared" ref="D3641:D3647" si="394">SUM(C3641)</f>
        <v>121</v>
      </c>
      <c r="E3641" s="48">
        <v>43987</v>
      </c>
      <c r="F3641" s="71"/>
      <c r="G3641" s="15"/>
      <c r="H3641" s="14">
        <f t="shared" si="393"/>
        <v>0</v>
      </c>
      <c r="I3641" s="74"/>
      <c r="J3641" s="51"/>
      <c r="K3641" s="172"/>
      <c r="L3641" s="15"/>
      <c r="M3641" s="14">
        <f>SUM(L3641)</f>
        <v>0</v>
      </c>
    </row>
    <row r="3642" spans="2:14" x14ac:dyDescent="0.15">
      <c r="B3642" s="71" t="s">
        <v>161</v>
      </c>
      <c r="C3642" s="15">
        <v>130</v>
      </c>
      <c r="D3642" s="14">
        <f t="shared" si="394"/>
        <v>130</v>
      </c>
      <c r="E3642" s="48">
        <v>43988</v>
      </c>
      <c r="F3642" s="71"/>
      <c r="G3642" s="15"/>
      <c r="H3642" s="14">
        <f t="shared" si="393"/>
        <v>0</v>
      </c>
      <c r="I3642" s="74"/>
      <c r="J3642" s="51"/>
      <c r="K3642" s="173"/>
      <c r="L3642" s="15"/>
      <c r="M3642" s="14">
        <f>SUM(L3642:L3642)</f>
        <v>0</v>
      </c>
    </row>
    <row r="3643" spans="2:14" x14ac:dyDescent="0.15">
      <c r="B3643" s="71" t="s">
        <v>161</v>
      </c>
      <c r="C3643" s="15">
        <v>226</v>
      </c>
      <c r="D3643" s="14">
        <f t="shared" si="394"/>
        <v>226</v>
      </c>
      <c r="E3643" s="48">
        <v>43990</v>
      </c>
      <c r="F3643" s="71"/>
      <c r="G3643" s="15"/>
      <c r="H3643" s="14">
        <f t="shared" si="393"/>
        <v>0</v>
      </c>
      <c r="I3643" s="48"/>
      <c r="J3643" s="51"/>
      <c r="K3643" s="4"/>
      <c r="L3643" s="15"/>
      <c r="M3643" s="14">
        <f>SUM(L3643)</f>
        <v>0</v>
      </c>
    </row>
    <row r="3644" spans="2:14" x14ac:dyDescent="0.15">
      <c r="B3644" s="71" t="s">
        <v>678</v>
      </c>
      <c r="C3644" s="15">
        <v>40</v>
      </c>
      <c r="D3644" s="14">
        <f t="shared" si="394"/>
        <v>40</v>
      </c>
      <c r="E3644" s="74">
        <v>43994</v>
      </c>
      <c r="F3644" s="71"/>
      <c r="G3644" s="15"/>
      <c r="H3644" s="14">
        <f t="shared" si="393"/>
        <v>0</v>
      </c>
      <c r="I3644" s="74"/>
      <c r="J3644" s="51"/>
      <c r="K3644" s="6"/>
      <c r="L3644" s="15"/>
      <c r="M3644" s="14">
        <f>SUM(L3644:L3644)</f>
        <v>0</v>
      </c>
    </row>
    <row r="3645" spans="2:14" x14ac:dyDescent="0.15">
      <c r="B3645" s="71" t="s">
        <v>679</v>
      </c>
      <c r="C3645" s="15">
        <v>20</v>
      </c>
      <c r="D3645" s="14">
        <f t="shared" si="394"/>
        <v>20</v>
      </c>
      <c r="E3645" s="74">
        <v>43994</v>
      </c>
      <c r="F3645" s="71" t="s">
        <v>680</v>
      </c>
      <c r="G3645" s="15"/>
      <c r="H3645" s="14">
        <f t="shared" si="393"/>
        <v>0</v>
      </c>
      <c r="I3645" s="74"/>
      <c r="J3645" s="51"/>
      <c r="K3645" s="4"/>
      <c r="L3645" s="15"/>
      <c r="M3645" s="14">
        <f>SUM(L3645)</f>
        <v>0</v>
      </c>
      <c r="N3645" s="75"/>
    </row>
    <row r="3646" spans="2:14" x14ac:dyDescent="0.15">
      <c r="B3646" s="71" t="s">
        <v>161</v>
      </c>
      <c r="C3646" s="15">
        <v>180</v>
      </c>
      <c r="D3646" s="14">
        <f t="shared" si="394"/>
        <v>180</v>
      </c>
      <c r="E3646" s="48">
        <v>43991</v>
      </c>
      <c r="F3646" s="4" t="s">
        <v>638</v>
      </c>
      <c r="G3646" s="15"/>
      <c r="H3646" s="14">
        <f t="shared" si="393"/>
        <v>0</v>
      </c>
      <c r="I3646" s="75" t="s">
        <v>639</v>
      </c>
      <c r="K3646" s="4"/>
      <c r="L3646" s="15"/>
      <c r="M3646" s="14">
        <f>SUM(L3646)</f>
        <v>0</v>
      </c>
      <c r="N3646" s="75"/>
    </row>
    <row r="3647" spans="2:14" ht="14.25" thickBot="1" x14ac:dyDescent="0.2">
      <c r="B3647" s="71" t="s">
        <v>161</v>
      </c>
      <c r="C3647" s="15">
        <v>180</v>
      </c>
      <c r="D3647" s="14">
        <f t="shared" si="394"/>
        <v>180</v>
      </c>
      <c r="E3647" s="48">
        <v>43992</v>
      </c>
      <c r="F3647" s="6" t="s">
        <v>641</v>
      </c>
      <c r="G3647" s="15">
        <v>0</v>
      </c>
      <c r="H3647" s="14">
        <f>SUM(G3647:G3647)</f>
        <v>0</v>
      </c>
      <c r="I3647" s="75" t="s">
        <v>642</v>
      </c>
      <c r="K3647" s="6"/>
      <c r="L3647" s="15"/>
      <c r="M3647" s="14">
        <f>SUM(L3647:L3647)</f>
        <v>0</v>
      </c>
      <c r="N3647" s="75"/>
    </row>
    <row r="3648" spans="2:14" ht="14.25" thickBot="1" x14ac:dyDescent="0.2">
      <c r="B3648" s="3" t="s">
        <v>5</v>
      </c>
      <c r="C3648" s="16">
        <f>SUM(C3624:C3647)</f>
        <v>1602</v>
      </c>
      <c r="D3648" s="17">
        <f>SUM(D3624:D3647)</f>
        <v>1602</v>
      </c>
      <c r="F3648" s="3" t="s">
        <v>5</v>
      </c>
      <c r="G3648" s="16">
        <f>SUM(G3624:G3647)</f>
        <v>1926</v>
      </c>
      <c r="H3648" s="17">
        <f>SUM(H3624:H3647)</f>
        <v>1926</v>
      </c>
      <c r="K3648" s="3" t="s">
        <v>5</v>
      </c>
      <c r="L3648" s="16">
        <f>SUM(L3624:L3647)</f>
        <v>2279</v>
      </c>
      <c r="M3648" s="17">
        <f>SUM(M3624:M3647)</f>
        <v>2279</v>
      </c>
    </row>
    <row r="3649" spans="1:14" ht="14.25" thickBot="1" x14ac:dyDescent="0.2">
      <c r="B3649" s="18" t="s">
        <v>6</v>
      </c>
      <c r="C3649" s="19">
        <f>C3623-C3648</f>
        <v>229</v>
      </c>
      <c r="D3649" s="13">
        <f>D3623-D3648</f>
        <v>229</v>
      </c>
      <c r="F3649" s="18" t="s">
        <v>6</v>
      </c>
      <c r="G3649" s="19">
        <f>G3623-G3648</f>
        <v>353</v>
      </c>
      <c r="H3649" s="13">
        <f>H3623-H3648</f>
        <v>353</v>
      </c>
      <c r="K3649" s="18" t="s">
        <v>6</v>
      </c>
      <c r="L3649" s="19">
        <f>L3623-L3648</f>
        <v>0</v>
      </c>
      <c r="M3649" s="13">
        <f>M3623-M3648</f>
        <v>0</v>
      </c>
    </row>
    <row r="3651" spans="1:14" ht="18" thickBot="1" x14ac:dyDescent="0.25">
      <c r="A3651" s="27" t="s">
        <v>8</v>
      </c>
      <c r="B3651" s="28"/>
      <c r="C3651" s="28"/>
      <c r="D3651" s="28"/>
      <c r="E3651" s="27"/>
      <c r="F3651" s="175" t="s">
        <v>651</v>
      </c>
      <c r="G3651" s="176"/>
      <c r="H3651" s="176"/>
      <c r="J3651" s="139" t="s">
        <v>218</v>
      </c>
      <c r="K3651" s="140"/>
      <c r="L3651" s="140"/>
      <c r="M3651" s="140"/>
    </row>
    <row r="3652" spans="1:14" ht="14.25" thickBot="1" x14ac:dyDescent="0.2">
      <c r="B3652" s="2"/>
      <c r="C3652" s="3" t="s">
        <v>0</v>
      </c>
      <c r="D3652" s="2" t="s">
        <v>1</v>
      </c>
      <c r="F3652" s="2"/>
      <c r="G3652" s="3" t="s">
        <v>0</v>
      </c>
      <c r="H3652" s="2" t="s">
        <v>1</v>
      </c>
      <c r="K3652" s="2"/>
      <c r="L3652" s="3" t="s">
        <v>0</v>
      </c>
      <c r="M3652" s="2" t="s">
        <v>1</v>
      </c>
    </row>
    <row r="3653" spans="1:14" x14ac:dyDescent="0.15">
      <c r="B3653" s="43" t="s">
        <v>26</v>
      </c>
      <c r="C3653" s="38">
        <f>C3649</f>
        <v>229</v>
      </c>
      <c r="D3653" s="39">
        <f t="shared" ref="D3653:D3663" si="395">SUM(C3653:C3653)</f>
        <v>229</v>
      </c>
      <c r="F3653" s="43" t="s">
        <v>26</v>
      </c>
      <c r="G3653" s="38">
        <f>G3649</f>
        <v>353</v>
      </c>
      <c r="H3653" s="39">
        <f t="shared" ref="H3653:H3663" si="396">SUM(G3653:G3653)</f>
        <v>353</v>
      </c>
      <c r="I3653" s="137"/>
      <c r="K3653" s="43" t="s">
        <v>26</v>
      </c>
      <c r="L3653" s="38">
        <f>L3649</f>
        <v>0</v>
      </c>
      <c r="M3653" s="39">
        <f t="shared" ref="M3653:M3660" si="397">SUM(L3653:L3653)</f>
        <v>0</v>
      </c>
    </row>
    <row r="3654" spans="1:14" x14ac:dyDescent="0.15">
      <c r="B3654" s="6" t="s">
        <v>681</v>
      </c>
      <c r="C3654" s="7">
        <v>1</v>
      </c>
      <c r="D3654" s="5">
        <f t="shared" si="395"/>
        <v>1</v>
      </c>
      <c r="E3654" s="48">
        <v>43992</v>
      </c>
      <c r="F3654" s="6" t="s">
        <v>3</v>
      </c>
      <c r="G3654" s="7"/>
      <c r="H3654" s="5">
        <f t="shared" si="396"/>
        <v>0</v>
      </c>
      <c r="I3654" s="74"/>
      <c r="J3654" s="75"/>
      <c r="K3654" s="6" t="s">
        <v>3</v>
      </c>
      <c r="L3654" s="7"/>
      <c r="M3654" s="5">
        <f t="shared" si="397"/>
        <v>0</v>
      </c>
    </row>
    <row r="3655" spans="1:14" x14ac:dyDescent="0.15">
      <c r="A3655" s="75"/>
      <c r="B3655" s="6" t="s">
        <v>3</v>
      </c>
      <c r="C3655" s="7">
        <v>53</v>
      </c>
      <c r="D3655" s="5">
        <f t="shared" si="395"/>
        <v>53</v>
      </c>
      <c r="E3655" s="74">
        <v>43999</v>
      </c>
      <c r="F3655" s="6" t="s">
        <v>3</v>
      </c>
      <c r="G3655" s="7"/>
      <c r="H3655" s="5">
        <f t="shared" si="396"/>
        <v>0</v>
      </c>
      <c r="I3655" s="74"/>
      <c r="K3655" s="6" t="s">
        <v>3</v>
      </c>
      <c r="L3655" s="7"/>
      <c r="M3655" s="5">
        <f t="shared" si="397"/>
        <v>0</v>
      </c>
      <c r="N3655" s="74"/>
    </row>
    <row r="3656" spans="1:14" x14ac:dyDescent="0.15">
      <c r="A3656" s="75"/>
      <c r="B3656" s="6" t="s">
        <v>3</v>
      </c>
      <c r="C3656" s="7">
        <v>250</v>
      </c>
      <c r="D3656" s="5">
        <f t="shared" si="395"/>
        <v>250</v>
      </c>
      <c r="E3656" s="74">
        <v>44000</v>
      </c>
      <c r="F3656" s="6" t="s">
        <v>3</v>
      </c>
      <c r="G3656" s="7"/>
      <c r="H3656" s="5">
        <f t="shared" si="396"/>
        <v>0</v>
      </c>
      <c r="I3656" s="74"/>
      <c r="J3656" s="100"/>
      <c r="K3656" s="6" t="s">
        <v>3</v>
      </c>
      <c r="L3656" s="7"/>
      <c r="M3656" s="5">
        <f t="shared" si="397"/>
        <v>0</v>
      </c>
      <c r="N3656" s="75"/>
    </row>
    <row r="3657" spans="1:14" x14ac:dyDescent="0.15">
      <c r="B3657" s="6" t="s">
        <v>3</v>
      </c>
      <c r="C3657" s="7">
        <v>600</v>
      </c>
      <c r="D3657" s="5">
        <f t="shared" si="395"/>
        <v>600</v>
      </c>
      <c r="E3657" s="74">
        <v>44004</v>
      </c>
      <c r="F3657" s="6" t="s">
        <v>3</v>
      </c>
      <c r="G3657" s="7"/>
      <c r="H3657" s="5">
        <f t="shared" si="396"/>
        <v>0</v>
      </c>
      <c r="I3657" s="74"/>
      <c r="K3657" s="6" t="s">
        <v>3</v>
      </c>
      <c r="L3657" s="7"/>
      <c r="M3657" s="5">
        <f t="shared" si="397"/>
        <v>0</v>
      </c>
      <c r="N3657" s="74"/>
    </row>
    <row r="3658" spans="1:14" x14ac:dyDescent="0.15">
      <c r="B3658" s="6" t="s">
        <v>3</v>
      </c>
      <c r="C3658" s="7">
        <v>200</v>
      </c>
      <c r="D3658" s="5">
        <f t="shared" si="395"/>
        <v>200</v>
      </c>
      <c r="E3658" s="74">
        <v>44007</v>
      </c>
      <c r="F3658" s="6" t="s">
        <v>3</v>
      </c>
      <c r="G3658" s="7"/>
      <c r="H3658" s="5">
        <f t="shared" si="396"/>
        <v>0</v>
      </c>
      <c r="I3658" s="74"/>
      <c r="K3658" s="6" t="s">
        <v>3</v>
      </c>
      <c r="L3658" s="7"/>
      <c r="M3658" s="5">
        <f t="shared" si="397"/>
        <v>0</v>
      </c>
      <c r="N3658" s="75"/>
    </row>
    <row r="3659" spans="1:14" x14ac:dyDescent="0.15">
      <c r="B3659" s="6" t="s">
        <v>3</v>
      </c>
      <c r="C3659" s="7"/>
      <c r="D3659" s="5">
        <f t="shared" si="395"/>
        <v>0</v>
      </c>
      <c r="E3659" s="75"/>
      <c r="F3659" s="6" t="s">
        <v>3</v>
      </c>
      <c r="G3659" s="7"/>
      <c r="H3659" s="5">
        <f t="shared" si="396"/>
        <v>0</v>
      </c>
      <c r="I3659" s="74"/>
      <c r="K3659" s="6" t="s">
        <v>3</v>
      </c>
      <c r="L3659" s="7"/>
      <c r="M3659" s="5">
        <f t="shared" si="397"/>
        <v>0</v>
      </c>
    </row>
    <row r="3660" spans="1:14" x14ac:dyDescent="0.15">
      <c r="B3660" s="6" t="s">
        <v>3</v>
      </c>
      <c r="C3660" s="54"/>
      <c r="D3660" s="5">
        <f t="shared" si="395"/>
        <v>0</v>
      </c>
      <c r="F3660" s="6" t="s">
        <v>3</v>
      </c>
      <c r="G3660" s="7">
        <v>4000</v>
      </c>
      <c r="H3660" s="5">
        <f t="shared" si="396"/>
        <v>4000</v>
      </c>
      <c r="I3660" s="74">
        <v>44002</v>
      </c>
      <c r="K3660" s="6" t="s">
        <v>3</v>
      </c>
      <c r="L3660" s="7"/>
      <c r="M3660" s="5">
        <f t="shared" si="397"/>
        <v>0</v>
      </c>
    </row>
    <row r="3661" spans="1:14" x14ac:dyDescent="0.15">
      <c r="B3661" s="6" t="s">
        <v>3</v>
      </c>
      <c r="C3661" s="54"/>
      <c r="D3661" s="5">
        <f t="shared" si="395"/>
        <v>0</v>
      </c>
      <c r="F3661" s="6" t="s">
        <v>3</v>
      </c>
      <c r="G3661" s="54"/>
      <c r="H3661" s="5">
        <f t="shared" si="396"/>
        <v>0</v>
      </c>
      <c r="K3661" s="6" t="s">
        <v>3</v>
      </c>
      <c r="L3661" s="7"/>
      <c r="M3661" s="5">
        <f>SUM(L3661:L3661)</f>
        <v>0</v>
      </c>
    </row>
    <row r="3662" spans="1:14" x14ac:dyDescent="0.15">
      <c r="B3662" s="6" t="s">
        <v>3</v>
      </c>
      <c r="C3662" s="54"/>
      <c r="D3662" s="5">
        <f t="shared" si="395"/>
        <v>0</v>
      </c>
      <c r="F3662" s="6" t="s">
        <v>3</v>
      </c>
      <c r="G3662" s="7">
        <v>5000</v>
      </c>
      <c r="H3662" s="5">
        <f>SUM(G3662:G3662)</f>
        <v>5000</v>
      </c>
      <c r="I3662" s="74">
        <v>44012</v>
      </c>
      <c r="K3662" s="6" t="s">
        <v>3</v>
      </c>
      <c r="L3662" s="7"/>
      <c r="M3662" s="5">
        <f>SUM(L3662:L3662)</f>
        <v>0</v>
      </c>
    </row>
    <row r="3663" spans="1:14" ht="14.25" thickBot="1" x14ac:dyDescent="0.2">
      <c r="B3663" s="9" t="s">
        <v>3</v>
      </c>
      <c r="C3663" s="101"/>
      <c r="D3663" s="5">
        <f t="shared" si="395"/>
        <v>0</v>
      </c>
      <c r="F3663" s="9" t="s">
        <v>3</v>
      </c>
      <c r="G3663" s="101"/>
      <c r="H3663" s="5">
        <f t="shared" si="396"/>
        <v>0</v>
      </c>
      <c r="K3663" s="9" t="s">
        <v>3</v>
      </c>
      <c r="L3663" s="10"/>
      <c r="M3663" s="5">
        <f>SUM(L3663:L3663)</f>
        <v>0</v>
      </c>
    </row>
    <row r="3664" spans="1:14" ht="14.25" thickBot="1" x14ac:dyDescent="0.2">
      <c r="B3664" s="11" t="s">
        <v>4</v>
      </c>
      <c r="C3664" s="12">
        <f>SUM(C3653:C3663)</f>
        <v>1333</v>
      </c>
      <c r="D3664" s="13">
        <f>SUM(D3653:D3663)</f>
        <v>1333</v>
      </c>
      <c r="F3664" s="11" t="s">
        <v>4</v>
      </c>
      <c r="G3664" s="12">
        <f>SUM(G3653:G3663)</f>
        <v>9353</v>
      </c>
      <c r="H3664" s="13">
        <f>SUM(H3653:H3663)</f>
        <v>9353</v>
      </c>
      <c r="K3664" s="11" t="s">
        <v>4</v>
      </c>
      <c r="L3664" s="12">
        <f>SUM(L3653:L3663)</f>
        <v>0</v>
      </c>
      <c r="M3664" s="13">
        <f>SUM(M3653:M3663)</f>
        <v>0</v>
      </c>
    </row>
    <row r="3665" spans="2:14" x14ac:dyDescent="0.15">
      <c r="B3665" s="71" t="s">
        <v>161</v>
      </c>
      <c r="C3665" s="15">
        <v>152</v>
      </c>
      <c r="D3665" s="14">
        <v>152</v>
      </c>
      <c r="E3665" s="74">
        <v>43993</v>
      </c>
      <c r="F3665" s="71" t="s">
        <v>31</v>
      </c>
      <c r="G3665" s="15">
        <v>53</v>
      </c>
      <c r="H3665" s="14">
        <f>SUM(G3665)</f>
        <v>53</v>
      </c>
      <c r="I3665" s="74">
        <v>43999</v>
      </c>
      <c r="J3665" s="75"/>
      <c r="K3665" s="71"/>
      <c r="L3665" s="15"/>
      <c r="M3665" s="14">
        <f>SUM(L3665)</f>
        <v>0</v>
      </c>
      <c r="N3665" s="74"/>
    </row>
    <row r="3666" spans="2:14" x14ac:dyDescent="0.15">
      <c r="B3666" s="71" t="s">
        <v>161</v>
      </c>
      <c r="C3666" s="15">
        <v>43</v>
      </c>
      <c r="D3666" s="14">
        <v>43</v>
      </c>
      <c r="E3666" s="74">
        <v>43994</v>
      </c>
      <c r="F3666" s="71" t="s">
        <v>31</v>
      </c>
      <c r="G3666" s="15">
        <v>250</v>
      </c>
      <c r="H3666" s="14">
        <f>SUM(G3666)</f>
        <v>250</v>
      </c>
      <c r="I3666" s="74">
        <v>44000</v>
      </c>
      <c r="J3666" s="36"/>
      <c r="K3666" s="71"/>
      <c r="L3666" s="15"/>
      <c r="M3666" s="14">
        <f t="shared" ref="M3666:M3676" si="398">SUM(L3666:L3666)</f>
        <v>0</v>
      </c>
    </row>
    <row r="3667" spans="2:14" x14ac:dyDescent="0.15">
      <c r="B3667" s="71" t="s">
        <v>161</v>
      </c>
      <c r="C3667" s="15">
        <v>7</v>
      </c>
      <c r="D3667" s="14">
        <f>SUM(C3667)</f>
        <v>7</v>
      </c>
      <c r="E3667" s="48">
        <v>43997</v>
      </c>
      <c r="F3667" s="6" t="s">
        <v>684</v>
      </c>
      <c r="G3667" s="15">
        <v>50</v>
      </c>
      <c r="H3667" s="14">
        <f>SUM(G3667)</f>
        <v>50</v>
      </c>
      <c r="I3667" s="74">
        <v>44001</v>
      </c>
      <c r="J3667" s="51"/>
      <c r="K3667" s="71"/>
      <c r="L3667" s="15"/>
      <c r="M3667" s="14">
        <f t="shared" si="398"/>
        <v>0</v>
      </c>
    </row>
    <row r="3668" spans="2:14" x14ac:dyDescent="0.15">
      <c r="B3668" s="71" t="s">
        <v>161</v>
      </c>
      <c r="C3668" s="15">
        <v>23</v>
      </c>
      <c r="D3668" s="14">
        <f t="shared" ref="D3668:D3678" si="399">SUM(C3668)</f>
        <v>23</v>
      </c>
      <c r="E3668" s="48">
        <v>43998</v>
      </c>
      <c r="F3668" s="71" t="s">
        <v>31</v>
      </c>
      <c r="G3668" s="15">
        <v>600</v>
      </c>
      <c r="H3668" s="14">
        <f t="shared" ref="H3668:H3678" si="400">SUM(G3668)</f>
        <v>600</v>
      </c>
      <c r="I3668" s="74">
        <v>44004</v>
      </c>
      <c r="J3668" s="51"/>
      <c r="K3668" s="71"/>
      <c r="L3668" s="15"/>
      <c r="M3668" s="14">
        <f t="shared" si="398"/>
        <v>0</v>
      </c>
    </row>
    <row r="3669" spans="2:14" x14ac:dyDescent="0.15">
      <c r="B3669" s="71" t="s">
        <v>161</v>
      </c>
      <c r="C3669" s="15">
        <v>51</v>
      </c>
      <c r="D3669" s="14">
        <f t="shared" si="399"/>
        <v>51</v>
      </c>
      <c r="E3669" s="48">
        <v>43999</v>
      </c>
      <c r="F3669" s="71" t="s">
        <v>31</v>
      </c>
      <c r="G3669" s="15">
        <v>200</v>
      </c>
      <c r="H3669" s="14">
        <f t="shared" si="400"/>
        <v>200</v>
      </c>
      <c r="I3669" s="74">
        <v>44007</v>
      </c>
      <c r="J3669" s="51"/>
      <c r="K3669" s="4"/>
      <c r="L3669" s="15"/>
      <c r="M3669" s="14">
        <f t="shared" si="398"/>
        <v>0</v>
      </c>
    </row>
    <row r="3670" spans="2:14" x14ac:dyDescent="0.15">
      <c r="B3670" s="71" t="s">
        <v>161</v>
      </c>
      <c r="C3670" s="15">
        <v>61</v>
      </c>
      <c r="D3670" s="14">
        <f t="shared" si="399"/>
        <v>61</v>
      </c>
      <c r="E3670" s="48">
        <v>44000</v>
      </c>
      <c r="F3670" s="6" t="s">
        <v>688</v>
      </c>
      <c r="G3670" s="15">
        <v>40</v>
      </c>
      <c r="H3670" s="14">
        <f t="shared" si="400"/>
        <v>40</v>
      </c>
      <c r="I3670" s="74">
        <v>44007</v>
      </c>
      <c r="J3670" s="51"/>
      <c r="K3670" s="71"/>
      <c r="L3670" s="15"/>
      <c r="M3670" s="14">
        <f t="shared" si="398"/>
        <v>0</v>
      </c>
    </row>
    <row r="3671" spans="2:14" x14ac:dyDescent="0.15">
      <c r="B3671" s="71" t="s">
        <v>161</v>
      </c>
      <c r="C3671" s="15">
        <v>34</v>
      </c>
      <c r="D3671" s="14">
        <f t="shared" si="399"/>
        <v>34</v>
      </c>
      <c r="E3671" s="48">
        <v>44001</v>
      </c>
      <c r="F3671" s="6" t="s">
        <v>689</v>
      </c>
      <c r="G3671" s="15">
        <v>327</v>
      </c>
      <c r="H3671" s="14">
        <f t="shared" si="400"/>
        <v>327</v>
      </c>
      <c r="I3671" s="74">
        <v>44008</v>
      </c>
      <c r="J3671" s="51"/>
      <c r="K3671" s="4"/>
      <c r="L3671" s="15"/>
      <c r="M3671" s="14">
        <f t="shared" si="398"/>
        <v>0</v>
      </c>
    </row>
    <row r="3672" spans="2:14" x14ac:dyDescent="0.15">
      <c r="B3672" s="71" t="s">
        <v>682</v>
      </c>
      <c r="C3672" s="15">
        <v>40</v>
      </c>
      <c r="D3672" s="14">
        <f t="shared" si="399"/>
        <v>40</v>
      </c>
      <c r="E3672" s="74">
        <v>44007</v>
      </c>
      <c r="F3672" s="6" t="s">
        <v>690</v>
      </c>
      <c r="G3672" s="15">
        <v>65</v>
      </c>
      <c r="H3672" s="14">
        <f t="shared" si="400"/>
        <v>65</v>
      </c>
      <c r="I3672" s="74">
        <v>44009</v>
      </c>
      <c r="J3672" s="51"/>
      <c r="K3672" s="6"/>
      <c r="L3672" s="15"/>
      <c r="M3672" s="14">
        <f t="shared" si="398"/>
        <v>0</v>
      </c>
    </row>
    <row r="3673" spans="2:14" x14ac:dyDescent="0.15">
      <c r="B3673" s="71" t="s">
        <v>683</v>
      </c>
      <c r="C3673" s="15">
        <v>20</v>
      </c>
      <c r="D3673" s="14">
        <f t="shared" si="399"/>
        <v>20</v>
      </c>
      <c r="E3673" s="74">
        <v>44007</v>
      </c>
      <c r="F3673" s="4" t="s">
        <v>691</v>
      </c>
      <c r="G3673" s="15">
        <v>1000</v>
      </c>
      <c r="H3673" s="14">
        <f t="shared" si="400"/>
        <v>1000</v>
      </c>
      <c r="I3673" s="74">
        <v>44013</v>
      </c>
      <c r="J3673" s="36"/>
      <c r="K3673" s="4"/>
      <c r="L3673" s="15"/>
      <c r="M3673" s="14">
        <f t="shared" si="398"/>
        <v>0</v>
      </c>
    </row>
    <row r="3674" spans="2:14" x14ac:dyDescent="0.15">
      <c r="B3674" s="71" t="s">
        <v>685</v>
      </c>
      <c r="C3674" s="15">
        <v>100</v>
      </c>
      <c r="D3674" s="14">
        <f t="shared" si="399"/>
        <v>100</v>
      </c>
      <c r="E3674" s="48">
        <v>44001</v>
      </c>
      <c r="F3674" s="4" t="s">
        <v>692</v>
      </c>
      <c r="G3674" s="15">
        <v>500</v>
      </c>
      <c r="H3674" s="14">
        <f t="shared" si="400"/>
        <v>500</v>
      </c>
      <c r="I3674" s="74">
        <v>44015</v>
      </c>
      <c r="J3674" s="36"/>
      <c r="K3674" s="4"/>
      <c r="L3674" s="15"/>
      <c r="M3674" s="14">
        <f t="shared" si="398"/>
        <v>0</v>
      </c>
    </row>
    <row r="3675" spans="2:14" x14ac:dyDescent="0.15">
      <c r="B3675" s="71" t="s">
        <v>161</v>
      </c>
      <c r="C3675" s="15">
        <v>19</v>
      </c>
      <c r="D3675" s="14">
        <f t="shared" si="399"/>
        <v>19</v>
      </c>
      <c r="E3675" s="48">
        <v>44002</v>
      </c>
      <c r="F3675" s="4" t="s">
        <v>693</v>
      </c>
      <c r="G3675" s="15">
        <v>200</v>
      </c>
      <c r="H3675" s="14">
        <f t="shared" si="400"/>
        <v>200</v>
      </c>
      <c r="I3675" s="74">
        <v>44015</v>
      </c>
      <c r="J3675" s="51"/>
      <c r="K3675" s="4"/>
      <c r="L3675" s="15"/>
      <c r="M3675" s="14">
        <f t="shared" si="398"/>
        <v>0</v>
      </c>
    </row>
    <row r="3676" spans="2:14" x14ac:dyDescent="0.15">
      <c r="B3676" s="71" t="s">
        <v>161</v>
      </c>
      <c r="C3676" s="15">
        <v>63</v>
      </c>
      <c r="D3676" s="14">
        <f t="shared" si="399"/>
        <v>63</v>
      </c>
      <c r="E3676" s="48">
        <v>44004</v>
      </c>
      <c r="F3676" s="71"/>
      <c r="G3676" s="15"/>
      <c r="H3676" s="14">
        <f t="shared" si="400"/>
        <v>0</v>
      </c>
      <c r="I3676" s="74"/>
      <c r="J3676" s="51"/>
      <c r="K3676" s="4"/>
      <c r="L3676" s="15"/>
      <c r="M3676" s="14">
        <f t="shared" si="398"/>
        <v>0</v>
      </c>
    </row>
    <row r="3677" spans="2:14" x14ac:dyDescent="0.15">
      <c r="B3677" s="71" t="s">
        <v>686</v>
      </c>
      <c r="C3677" s="15">
        <v>120</v>
      </c>
      <c r="D3677" s="14">
        <f t="shared" si="399"/>
        <v>120</v>
      </c>
      <c r="E3677" s="74">
        <v>44007</v>
      </c>
      <c r="F3677" s="71"/>
      <c r="G3677" s="15"/>
      <c r="H3677" s="14">
        <f t="shared" si="400"/>
        <v>0</v>
      </c>
      <c r="I3677" s="74"/>
      <c r="J3677" s="36"/>
      <c r="K3677" s="172"/>
      <c r="L3677" s="15"/>
      <c r="M3677" s="14">
        <f>SUM(L3677)</f>
        <v>0</v>
      </c>
    </row>
    <row r="3678" spans="2:14" x14ac:dyDescent="0.15">
      <c r="B3678" s="71" t="s">
        <v>687</v>
      </c>
      <c r="C3678" s="15">
        <v>120</v>
      </c>
      <c r="D3678" s="14">
        <f t="shared" si="399"/>
        <v>120</v>
      </c>
      <c r="E3678" s="74">
        <v>44007</v>
      </c>
      <c r="F3678" s="71"/>
      <c r="G3678" s="15"/>
      <c r="H3678" s="14">
        <f t="shared" si="400"/>
        <v>0</v>
      </c>
      <c r="I3678" s="74"/>
      <c r="J3678" s="51"/>
      <c r="K3678" s="173"/>
      <c r="L3678" s="15"/>
      <c r="M3678" s="14">
        <f>SUM(L3678:L3678)</f>
        <v>0</v>
      </c>
    </row>
    <row r="3679" spans="2:14" x14ac:dyDescent="0.15">
      <c r="B3679" s="71" t="s">
        <v>161</v>
      </c>
      <c r="C3679" s="15">
        <v>22</v>
      </c>
      <c r="D3679" s="14">
        <f>SUM(C3679)</f>
        <v>22</v>
      </c>
      <c r="E3679" s="48">
        <v>44005</v>
      </c>
      <c r="F3679" s="71"/>
      <c r="G3679" s="15"/>
      <c r="H3679" s="14">
        <f t="shared" ref="H3679:H3685" si="401">SUM(G3679)</f>
        <v>0</v>
      </c>
      <c r="I3679" s="74"/>
      <c r="J3679" s="51"/>
      <c r="K3679" s="4"/>
      <c r="L3679" s="15"/>
      <c r="M3679" s="14">
        <f>SUM(L3679:L3679)</f>
        <v>0</v>
      </c>
    </row>
    <row r="3680" spans="2:14" x14ac:dyDescent="0.15">
      <c r="B3680" s="71" t="s">
        <v>39</v>
      </c>
      <c r="C3680" s="15">
        <v>100</v>
      </c>
      <c r="D3680" s="14">
        <f>SUM(C3680)</f>
        <v>100</v>
      </c>
      <c r="E3680" s="48">
        <v>44005</v>
      </c>
      <c r="F3680" s="71"/>
      <c r="G3680" s="15"/>
      <c r="H3680" s="14">
        <f t="shared" si="401"/>
        <v>0</v>
      </c>
      <c r="I3680" s="74"/>
      <c r="J3680" s="51"/>
      <c r="K3680" s="6"/>
      <c r="L3680" s="15"/>
      <c r="M3680" s="14">
        <f>SUM(L3680:L3680)</f>
        <v>0</v>
      </c>
    </row>
    <row r="3681" spans="1:14" x14ac:dyDescent="0.15">
      <c r="B3681" s="71" t="s">
        <v>161</v>
      </c>
      <c r="C3681" s="15">
        <v>31</v>
      </c>
      <c r="D3681" s="14">
        <f>SUM(C3681)</f>
        <v>31</v>
      </c>
      <c r="E3681" s="48">
        <v>44006</v>
      </c>
      <c r="F3681" s="71"/>
      <c r="G3681" s="15"/>
      <c r="H3681" s="14">
        <f t="shared" si="401"/>
        <v>0</v>
      </c>
      <c r="I3681" s="74"/>
      <c r="J3681" s="51"/>
      <c r="K3681" s="6"/>
      <c r="L3681" s="15"/>
      <c r="M3681" s="14">
        <f>SUM(L3681:L3681)</f>
        <v>0</v>
      </c>
    </row>
    <row r="3682" spans="1:14" x14ac:dyDescent="0.15">
      <c r="B3682" s="71" t="s">
        <v>161</v>
      </c>
      <c r="C3682" s="15">
        <v>24</v>
      </c>
      <c r="D3682" s="14">
        <f t="shared" ref="D3682:D3688" si="402">SUM(C3682)</f>
        <v>24</v>
      </c>
      <c r="E3682" s="48">
        <v>44007</v>
      </c>
      <c r="F3682" s="71"/>
      <c r="G3682" s="15"/>
      <c r="H3682" s="14">
        <f t="shared" si="401"/>
        <v>0</v>
      </c>
      <c r="I3682" s="74"/>
      <c r="J3682" s="51"/>
      <c r="K3682" s="172"/>
      <c r="L3682" s="15"/>
      <c r="M3682" s="14">
        <f>SUM(L3682)</f>
        <v>0</v>
      </c>
    </row>
    <row r="3683" spans="1:14" x14ac:dyDescent="0.15">
      <c r="B3683" s="71" t="s">
        <v>161</v>
      </c>
      <c r="C3683" s="15">
        <v>44</v>
      </c>
      <c r="D3683" s="14">
        <f t="shared" si="402"/>
        <v>44</v>
      </c>
      <c r="E3683" s="48">
        <v>44008</v>
      </c>
      <c r="F3683" s="71"/>
      <c r="G3683" s="15"/>
      <c r="H3683" s="14">
        <f t="shared" si="401"/>
        <v>0</v>
      </c>
      <c r="I3683" s="74"/>
      <c r="J3683" s="51"/>
      <c r="K3683" s="173"/>
      <c r="L3683" s="15"/>
      <c r="M3683" s="14">
        <f>SUM(L3683:L3683)</f>
        <v>0</v>
      </c>
    </row>
    <row r="3684" spans="1:14" x14ac:dyDescent="0.15">
      <c r="B3684" s="71" t="s">
        <v>161</v>
      </c>
      <c r="C3684" s="15">
        <v>90</v>
      </c>
      <c r="D3684" s="14">
        <f t="shared" si="402"/>
        <v>90</v>
      </c>
      <c r="E3684" s="48">
        <v>44011</v>
      </c>
      <c r="F3684" s="71"/>
      <c r="G3684" s="15"/>
      <c r="H3684" s="14">
        <f t="shared" si="401"/>
        <v>0</v>
      </c>
      <c r="I3684" s="48"/>
      <c r="J3684" s="51"/>
      <c r="K3684" s="4"/>
      <c r="L3684" s="15"/>
      <c r="M3684" s="14">
        <f>SUM(L3684)</f>
        <v>0</v>
      </c>
    </row>
    <row r="3685" spans="1:14" x14ac:dyDescent="0.15">
      <c r="B3685" s="71" t="s">
        <v>161</v>
      </c>
      <c r="C3685" s="15">
        <v>40</v>
      </c>
      <c r="D3685" s="14">
        <f t="shared" si="402"/>
        <v>40</v>
      </c>
      <c r="E3685" s="48">
        <v>44012</v>
      </c>
      <c r="F3685" s="71"/>
      <c r="G3685" s="15"/>
      <c r="H3685" s="14">
        <f t="shared" si="401"/>
        <v>0</v>
      </c>
      <c r="I3685" s="74"/>
      <c r="J3685" s="51"/>
      <c r="K3685" s="6"/>
      <c r="L3685" s="15"/>
      <c r="M3685" s="14">
        <f>SUM(L3685:L3685)</f>
        <v>0</v>
      </c>
    </row>
    <row r="3686" spans="1:14" x14ac:dyDescent="0.15">
      <c r="B3686" s="71" t="s">
        <v>161</v>
      </c>
      <c r="C3686" s="15">
        <v>36</v>
      </c>
      <c r="D3686" s="14">
        <f t="shared" si="402"/>
        <v>36</v>
      </c>
      <c r="E3686" s="48">
        <v>44013</v>
      </c>
      <c r="F3686" s="6"/>
      <c r="G3686" s="15"/>
      <c r="H3686" s="14">
        <f>SUM(G3686:G3686)</f>
        <v>0</v>
      </c>
      <c r="I3686" s="75"/>
      <c r="K3686" s="6"/>
      <c r="L3686" s="15"/>
      <c r="M3686" s="14">
        <f>SUM(L3686:L3686)</f>
        <v>0</v>
      </c>
      <c r="N3686" s="75"/>
    </row>
    <row r="3687" spans="1:14" x14ac:dyDescent="0.15">
      <c r="B3687" s="71" t="s">
        <v>161</v>
      </c>
      <c r="C3687" s="15">
        <v>15</v>
      </c>
      <c r="D3687" s="14">
        <f t="shared" si="402"/>
        <v>15</v>
      </c>
      <c r="E3687" s="48">
        <v>44014</v>
      </c>
      <c r="F3687" s="6" t="s">
        <v>647</v>
      </c>
      <c r="G3687" s="15"/>
      <c r="H3687" s="14">
        <f>SUM(G3687:G3687)</f>
        <v>0</v>
      </c>
      <c r="I3687" s="75" t="s">
        <v>654</v>
      </c>
      <c r="K3687" s="4"/>
      <c r="L3687" s="15"/>
      <c r="M3687" s="14">
        <f>SUM(L3687)</f>
        <v>0</v>
      </c>
      <c r="N3687" s="75"/>
    </row>
    <row r="3688" spans="1:14" ht="14.25" thickBot="1" x14ac:dyDescent="0.2">
      <c r="B3688" s="71" t="s">
        <v>161</v>
      </c>
      <c r="C3688" s="15">
        <v>15</v>
      </c>
      <c r="D3688" s="14">
        <f t="shared" si="402"/>
        <v>15</v>
      </c>
      <c r="E3688" s="48">
        <v>44015</v>
      </c>
      <c r="F3688" s="4" t="s">
        <v>652</v>
      </c>
      <c r="G3688" s="15"/>
      <c r="H3688" s="14">
        <f>SUM(G3688:G3688)</f>
        <v>0</v>
      </c>
      <c r="I3688" s="75" t="s">
        <v>653</v>
      </c>
      <c r="K3688" s="4"/>
      <c r="L3688" s="15"/>
      <c r="M3688" s="14">
        <f>SUM(L3688:L3688)</f>
        <v>0</v>
      </c>
      <c r="N3688" s="75"/>
    </row>
    <row r="3689" spans="1:14" ht="14.25" thickBot="1" x14ac:dyDescent="0.2">
      <c r="B3689" s="3" t="s">
        <v>5</v>
      </c>
      <c r="C3689" s="16">
        <f>SUM(C3665:C3688)</f>
        <v>1270</v>
      </c>
      <c r="D3689" s="17">
        <f>SUM(D3665:D3688)</f>
        <v>1270</v>
      </c>
      <c r="F3689" s="3" t="s">
        <v>5</v>
      </c>
      <c r="G3689" s="16">
        <f>SUM(G3665:G3688)</f>
        <v>3285</v>
      </c>
      <c r="H3689" s="17">
        <f>SUM(H3665:H3688)</f>
        <v>3285</v>
      </c>
      <c r="K3689" s="3" t="s">
        <v>5</v>
      </c>
      <c r="L3689" s="16">
        <f>SUM(L3665:L3688)</f>
        <v>0</v>
      </c>
      <c r="M3689" s="17">
        <f>SUM(M3665:M3688)</f>
        <v>0</v>
      </c>
    </row>
    <row r="3690" spans="1:14" ht="14.25" thickBot="1" x14ac:dyDescent="0.2">
      <c r="B3690" s="18" t="s">
        <v>6</v>
      </c>
      <c r="C3690" s="19">
        <f>C3664-C3689</f>
        <v>63</v>
      </c>
      <c r="D3690" s="13">
        <f>D3664-D3689</f>
        <v>63</v>
      </c>
      <c r="F3690" s="18" t="s">
        <v>6</v>
      </c>
      <c r="G3690" s="19">
        <f>G3664-G3689</f>
        <v>6068</v>
      </c>
      <c r="H3690" s="13">
        <f>H3664-H3689</f>
        <v>6068</v>
      </c>
      <c r="K3690" s="18" t="s">
        <v>6</v>
      </c>
      <c r="L3690" s="19">
        <f>L3664-L3689</f>
        <v>0</v>
      </c>
      <c r="M3690" s="13">
        <f>M3664-M3689</f>
        <v>0</v>
      </c>
    </row>
    <row r="3692" spans="1:14" ht="18" thickBot="1" x14ac:dyDescent="0.25">
      <c r="A3692" s="27" t="s">
        <v>8</v>
      </c>
      <c r="B3692" s="28"/>
      <c r="C3692" s="28"/>
      <c r="D3692" s="28"/>
      <c r="F3692" s="175" t="s">
        <v>651</v>
      </c>
      <c r="G3692" s="176"/>
      <c r="H3692" s="176"/>
      <c r="J3692" s="139" t="s">
        <v>218</v>
      </c>
      <c r="K3692" s="140"/>
      <c r="L3692" s="140"/>
      <c r="M3692" s="140"/>
    </row>
    <row r="3693" spans="1:14" ht="14.25" thickBot="1" x14ac:dyDescent="0.2">
      <c r="B3693" s="2"/>
      <c r="C3693" s="3" t="s">
        <v>0</v>
      </c>
      <c r="D3693" s="2" t="s">
        <v>1</v>
      </c>
      <c r="F3693" s="2"/>
      <c r="G3693" s="3" t="s">
        <v>0</v>
      </c>
      <c r="H3693" s="2" t="s">
        <v>1</v>
      </c>
      <c r="K3693" s="2"/>
      <c r="L3693" s="3" t="s">
        <v>0</v>
      </c>
      <c r="M3693" s="2" t="s">
        <v>1</v>
      </c>
    </row>
    <row r="3694" spans="1:14" x14ac:dyDescent="0.15">
      <c r="B3694" s="43" t="s">
        <v>26</v>
      </c>
      <c r="C3694" s="38">
        <f>C3690</f>
        <v>63</v>
      </c>
      <c r="D3694" s="39">
        <f t="shared" ref="D3694:D3704" si="403">SUM(C3694:C3694)</f>
        <v>63</v>
      </c>
      <c r="F3694" s="43" t="s">
        <v>26</v>
      </c>
      <c r="G3694" s="38">
        <f>G3690</f>
        <v>6068</v>
      </c>
      <c r="H3694" s="39">
        <f t="shared" ref="H3694:H3704" si="404">SUM(G3694:G3694)</f>
        <v>6068</v>
      </c>
      <c r="K3694" s="43" t="s">
        <v>26</v>
      </c>
      <c r="L3694" s="38">
        <f>L3690</f>
        <v>0</v>
      </c>
      <c r="M3694" s="39">
        <f t="shared" ref="M3694:M3701" si="405">SUM(L3694:L3694)</f>
        <v>0</v>
      </c>
    </row>
    <row r="3695" spans="1:14" x14ac:dyDescent="0.15">
      <c r="B3695" s="6" t="s">
        <v>3</v>
      </c>
      <c r="C3695" s="7">
        <v>400</v>
      </c>
      <c r="D3695" s="5">
        <f t="shared" si="403"/>
        <v>400</v>
      </c>
      <c r="E3695" s="74">
        <v>44016</v>
      </c>
      <c r="F3695" s="6" t="s">
        <v>3</v>
      </c>
      <c r="G3695" s="7"/>
      <c r="H3695" s="5">
        <f t="shared" si="404"/>
        <v>0</v>
      </c>
      <c r="I3695" s="74"/>
      <c r="J3695" s="75"/>
      <c r="K3695" s="6" t="s">
        <v>3</v>
      </c>
      <c r="L3695" s="7"/>
      <c r="M3695" s="5">
        <f t="shared" si="405"/>
        <v>0</v>
      </c>
    </row>
    <row r="3696" spans="1:14" x14ac:dyDescent="0.15">
      <c r="A3696" s="75"/>
      <c r="B3696" s="6" t="s">
        <v>3</v>
      </c>
      <c r="C3696" s="7">
        <v>200</v>
      </c>
      <c r="D3696" s="5">
        <f t="shared" si="403"/>
        <v>200</v>
      </c>
      <c r="E3696" s="74">
        <v>44029</v>
      </c>
      <c r="F3696" s="6" t="s">
        <v>3</v>
      </c>
      <c r="G3696" s="7"/>
      <c r="H3696" s="5">
        <f>SUM(G3696:G3696)</f>
        <v>0</v>
      </c>
      <c r="I3696" s="74"/>
      <c r="K3696" s="6" t="s">
        <v>3</v>
      </c>
      <c r="L3696" s="7"/>
      <c r="M3696" s="5">
        <f t="shared" si="405"/>
        <v>0</v>
      </c>
    </row>
    <row r="3697" spans="1:13" x14ac:dyDescent="0.15">
      <c r="A3697" s="75"/>
      <c r="B3697" s="6" t="s">
        <v>3</v>
      </c>
      <c r="C3697" s="7">
        <v>200</v>
      </c>
      <c r="D3697" s="5">
        <f t="shared" si="403"/>
        <v>200</v>
      </c>
      <c r="E3697" s="74">
        <v>44044</v>
      </c>
      <c r="F3697" s="6" t="s">
        <v>3</v>
      </c>
      <c r="G3697" s="7">
        <v>3000</v>
      </c>
      <c r="H3697" s="5">
        <f>SUM(G3697:G3697)</f>
        <v>3000</v>
      </c>
      <c r="I3697" s="74" t="s">
        <v>698</v>
      </c>
      <c r="J3697" s="100"/>
      <c r="K3697" s="6" t="s">
        <v>3</v>
      </c>
      <c r="L3697" s="7"/>
      <c r="M3697" s="5">
        <f t="shared" si="405"/>
        <v>0</v>
      </c>
    </row>
    <row r="3698" spans="1:13" x14ac:dyDescent="0.15">
      <c r="B3698" s="6" t="s">
        <v>377</v>
      </c>
      <c r="C3698" s="7">
        <v>3</v>
      </c>
      <c r="D3698" s="5">
        <f t="shared" si="403"/>
        <v>3</v>
      </c>
      <c r="E3698" s="74">
        <v>44046</v>
      </c>
      <c r="F3698" s="6" t="s">
        <v>3</v>
      </c>
      <c r="G3698" s="7"/>
      <c r="H3698" s="5">
        <f t="shared" si="404"/>
        <v>0</v>
      </c>
      <c r="I3698" s="74"/>
      <c r="K3698" s="6" t="s">
        <v>3</v>
      </c>
      <c r="L3698" s="7"/>
      <c r="M3698" s="5">
        <f t="shared" si="405"/>
        <v>0</v>
      </c>
    </row>
    <row r="3699" spans="1:13" x14ac:dyDescent="0.15">
      <c r="B3699" s="6" t="s">
        <v>3</v>
      </c>
      <c r="C3699" s="7"/>
      <c r="D3699" s="5">
        <f t="shared" si="403"/>
        <v>0</v>
      </c>
      <c r="E3699" s="74"/>
      <c r="F3699" s="6" t="s">
        <v>3</v>
      </c>
      <c r="G3699" s="7"/>
      <c r="H3699" s="5">
        <f t="shared" si="404"/>
        <v>0</v>
      </c>
      <c r="I3699" s="74"/>
      <c r="K3699" s="6" t="s">
        <v>3</v>
      </c>
      <c r="L3699" s="7"/>
      <c r="M3699" s="5">
        <f t="shared" si="405"/>
        <v>0</v>
      </c>
    </row>
    <row r="3700" spans="1:13" x14ac:dyDescent="0.15">
      <c r="B3700" s="6" t="s">
        <v>3</v>
      </c>
      <c r="C3700" s="7"/>
      <c r="D3700" s="5">
        <f t="shared" si="403"/>
        <v>0</v>
      </c>
      <c r="E3700" s="74"/>
      <c r="F3700" s="6" t="s">
        <v>3</v>
      </c>
      <c r="G3700" s="7"/>
      <c r="H3700" s="5">
        <f t="shared" si="404"/>
        <v>0</v>
      </c>
      <c r="I3700" s="74"/>
      <c r="K3700" s="6" t="s">
        <v>3</v>
      </c>
      <c r="L3700" s="7"/>
      <c r="M3700" s="5">
        <f t="shared" si="405"/>
        <v>0</v>
      </c>
    </row>
    <row r="3701" spans="1:13" x14ac:dyDescent="0.15">
      <c r="B3701" s="6" t="s">
        <v>3</v>
      </c>
      <c r="C3701" s="54"/>
      <c r="D3701" s="5">
        <f t="shared" si="403"/>
        <v>0</v>
      </c>
      <c r="F3701" s="6" t="s">
        <v>3</v>
      </c>
      <c r="G3701" s="54"/>
      <c r="H3701" s="5">
        <f t="shared" si="404"/>
        <v>0</v>
      </c>
      <c r="K3701" s="6" t="s">
        <v>3</v>
      </c>
      <c r="L3701" s="7"/>
      <c r="M3701" s="5">
        <f t="shared" si="405"/>
        <v>0</v>
      </c>
    </row>
    <row r="3702" spans="1:13" x14ac:dyDescent="0.15">
      <c r="B3702" s="6" t="s">
        <v>3</v>
      </c>
      <c r="C3702" s="54"/>
      <c r="D3702" s="5">
        <f t="shared" si="403"/>
        <v>0</v>
      </c>
      <c r="F3702" s="6" t="s">
        <v>3</v>
      </c>
      <c r="G3702" s="54"/>
      <c r="H3702" s="5">
        <f t="shared" si="404"/>
        <v>0</v>
      </c>
      <c r="K3702" s="6" t="s">
        <v>3</v>
      </c>
      <c r="L3702" s="7"/>
      <c r="M3702" s="5">
        <f>SUM(L3702:L3702)</f>
        <v>0</v>
      </c>
    </row>
    <row r="3703" spans="1:13" x14ac:dyDescent="0.15">
      <c r="B3703" s="6" t="s">
        <v>3</v>
      </c>
      <c r="C3703" s="54"/>
      <c r="D3703" s="5">
        <f t="shared" si="403"/>
        <v>0</v>
      </c>
      <c r="F3703" s="6" t="s">
        <v>3</v>
      </c>
      <c r="G3703" s="54"/>
      <c r="H3703" s="5">
        <f t="shared" si="404"/>
        <v>0</v>
      </c>
      <c r="K3703" s="6" t="s">
        <v>3</v>
      </c>
      <c r="L3703" s="7"/>
      <c r="M3703" s="5">
        <f>SUM(L3703:L3703)</f>
        <v>0</v>
      </c>
    </row>
    <row r="3704" spans="1:13" ht="14.25" thickBot="1" x14ac:dyDescent="0.2">
      <c r="B3704" s="9" t="s">
        <v>3</v>
      </c>
      <c r="C3704" s="101"/>
      <c r="D3704" s="5">
        <f t="shared" si="403"/>
        <v>0</v>
      </c>
      <c r="F3704" s="9" t="s">
        <v>3</v>
      </c>
      <c r="G3704" s="101"/>
      <c r="H3704" s="5">
        <f t="shared" si="404"/>
        <v>0</v>
      </c>
      <c r="K3704" s="9" t="s">
        <v>3</v>
      </c>
      <c r="L3704" s="10"/>
      <c r="M3704" s="5">
        <f>SUM(L3704:L3704)</f>
        <v>0</v>
      </c>
    </row>
    <row r="3705" spans="1:13" ht="14.25" thickBot="1" x14ac:dyDescent="0.2">
      <c r="B3705" s="11" t="s">
        <v>4</v>
      </c>
      <c r="C3705" s="12">
        <f>SUM(C3694:C3704)</f>
        <v>866</v>
      </c>
      <c r="D3705" s="13">
        <f>SUM(D3694:D3704)</f>
        <v>866</v>
      </c>
      <c r="F3705" s="11" t="s">
        <v>4</v>
      </c>
      <c r="G3705" s="12">
        <f>SUM(G3694:G3704)</f>
        <v>9068</v>
      </c>
      <c r="H3705" s="13">
        <f>SUM(H3694:H3704)</f>
        <v>9068</v>
      </c>
      <c r="K3705" s="11" t="s">
        <v>4</v>
      </c>
      <c r="L3705" s="12">
        <f>SUM(L3694:L3704)</f>
        <v>0</v>
      </c>
      <c r="M3705" s="13">
        <f>SUM(M3694:M3704)</f>
        <v>0</v>
      </c>
    </row>
    <row r="3706" spans="1:13" x14ac:dyDescent="0.15">
      <c r="B3706" s="71" t="s">
        <v>161</v>
      </c>
      <c r="C3706" s="15">
        <v>8</v>
      </c>
      <c r="D3706" s="14">
        <f>SUM(C3706)</f>
        <v>8</v>
      </c>
      <c r="E3706" s="74">
        <v>44016</v>
      </c>
      <c r="F3706" s="71" t="s">
        <v>31</v>
      </c>
      <c r="G3706" s="15">
        <v>400</v>
      </c>
      <c r="H3706" s="14">
        <f>SUM(G3706)</f>
        <v>400</v>
      </c>
      <c r="I3706" s="74">
        <v>44016</v>
      </c>
      <c r="J3706" s="75"/>
      <c r="K3706" s="71"/>
      <c r="L3706" s="15"/>
      <c r="M3706" s="14">
        <f>SUM(L3706)</f>
        <v>0</v>
      </c>
    </row>
    <row r="3707" spans="1:13" x14ac:dyDescent="0.15">
      <c r="B3707" s="71" t="s">
        <v>161</v>
      </c>
      <c r="C3707" s="15">
        <v>71</v>
      </c>
      <c r="D3707" s="14">
        <f>SUM(C3707)</f>
        <v>71</v>
      </c>
      <c r="E3707" s="74">
        <v>44018</v>
      </c>
      <c r="F3707" s="4" t="s">
        <v>694</v>
      </c>
      <c r="G3707" s="15">
        <v>1800</v>
      </c>
      <c r="H3707" s="14">
        <f>SUM(G3707)</f>
        <v>1800</v>
      </c>
      <c r="I3707" s="74">
        <v>44034</v>
      </c>
      <c r="J3707" s="36"/>
      <c r="K3707" s="71"/>
      <c r="L3707" s="15"/>
      <c r="M3707" s="14">
        <f t="shared" ref="M3707:M3717" si="406">SUM(L3707:L3707)</f>
        <v>0</v>
      </c>
    </row>
    <row r="3708" spans="1:13" x14ac:dyDescent="0.15">
      <c r="B3708" s="71" t="s">
        <v>498</v>
      </c>
      <c r="C3708" s="15">
        <v>5</v>
      </c>
      <c r="D3708" s="14">
        <f>SUM(C3708)</f>
        <v>5</v>
      </c>
      <c r="E3708" s="74">
        <v>44020</v>
      </c>
      <c r="F3708" s="71" t="s">
        <v>31</v>
      </c>
      <c r="G3708" s="15">
        <v>200</v>
      </c>
      <c r="H3708" s="14">
        <f>SUM(G3708)</f>
        <v>200</v>
      </c>
      <c r="I3708" s="74">
        <v>44029</v>
      </c>
      <c r="J3708" s="51"/>
      <c r="K3708" s="71"/>
      <c r="L3708" s="15"/>
      <c r="M3708" s="14">
        <f t="shared" si="406"/>
        <v>0</v>
      </c>
    </row>
    <row r="3709" spans="1:13" x14ac:dyDescent="0.15">
      <c r="B3709" s="71" t="s">
        <v>161</v>
      </c>
      <c r="C3709" s="15">
        <v>14</v>
      </c>
      <c r="D3709" s="14">
        <f t="shared" ref="D3709:D3719" si="407">SUM(C3709)</f>
        <v>14</v>
      </c>
      <c r="E3709" s="74">
        <v>44019</v>
      </c>
      <c r="F3709" s="178" t="s">
        <v>695</v>
      </c>
      <c r="G3709" s="15">
        <v>700</v>
      </c>
      <c r="H3709" s="14">
        <f t="shared" ref="H3709:H3719" si="408">SUM(G3709)</f>
        <v>700</v>
      </c>
      <c r="I3709" s="74">
        <v>44049</v>
      </c>
      <c r="J3709" s="51"/>
      <c r="K3709" s="71"/>
      <c r="L3709" s="15"/>
      <c r="M3709" s="14">
        <f t="shared" si="406"/>
        <v>0</v>
      </c>
    </row>
    <row r="3710" spans="1:13" x14ac:dyDescent="0.15">
      <c r="B3710" s="71" t="s">
        <v>161</v>
      </c>
      <c r="C3710" s="15">
        <v>10</v>
      </c>
      <c r="D3710" s="14">
        <f t="shared" si="407"/>
        <v>10</v>
      </c>
      <c r="E3710" s="74">
        <v>44020</v>
      </c>
      <c r="F3710" s="6" t="s">
        <v>696</v>
      </c>
      <c r="G3710" s="15">
        <v>420</v>
      </c>
      <c r="H3710" s="14">
        <f t="shared" si="408"/>
        <v>420</v>
      </c>
      <c r="I3710" s="74">
        <v>44042</v>
      </c>
      <c r="J3710" s="51"/>
      <c r="K3710" s="4"/>
      <c r="L3710" s="15"/>
      <c r="M3710" s="14">
        <f t="shared" si="406"/>
        <v>0</v>
      </c>
    </row>
    <row r="3711" spans="1:13" x14ac:dyDescent="0.15">
      <c r="B3711" s="71" t="s">
        <v>161</v>
      </c>
      <c r="C3711" s="15">
        <v>23</v>
      </c>
      <c r="D3711" s="14">
        <f t="shared" si="407"/>
        <v>23</v>
      </c>
      <c r="E3711" s="74">
        <v>44021</v>
      </c>
      <c r="F3711" s="71" t="s">
        <v>697</v>
      </c>
      <c r="G3711" s="15">
        <v>100</v>
      </c>
      <c r="H3711" s="14">
        <f t="shared" si="408"/>
        <v>100</v>
      </c>
      <c r="I3711" s="74">
        <v>44044</v>
      </c>
      <c r="J3711" s="51"/>
      <c r="K3711" s="71"/>
      <c r="L3711" s="15"/>
      <c r="M3711" s="14">
        <f t="shared" si="406"/>
        <v>0</v>
      </c>
    </row>
    <row r="3712" spans="1:13" x14ac:dyDescent="0.15">
      <c r="B3712" s="71" t="s">
        <v>161</v>
      </c>
      <c r="C3712" s="15">
        <v>26</v>
      </c>
      <c r="D3712" s="14">
        <f t="shared" si="407"/>
        <v>26</v>
      </c>
      <c r="E3712" s="74">
        <v>44022</v>
      </c>
      <c r="F3712" s="71" t="s">
        <v>31</v>
      </c>
      <c r="G3712" s="15">
        <v>200</v>
      </c>
      <c r="H3712" s="14">
        <f t="shared" si="408"/>
        <v>200</v>
      </c>
      <c r="I3712" s="74">
        <v>44044</v>
      </c>
      <c r="J3712" s="36"/>
      <c r="K3712" s="4"/>
      <c r="L3712" s="15"/>
      <c r="M3712" s="14">
        <f t="shared" si="406"/>
        <v>0</v>
      </c>
    </row>
    <row r="3713" spans="2:13" x14ac:dyDescent="0.15">
      <c r="B3713" s="71" t="s">
        <v>161</v>
      </c>
      <c r="C3713" s="15">
        <v>49</v>
      </c>
      <c r="D3713" s="14">
        <f t="shared" si="407"/>
        <v>49</v>
      </c>
      <c r="E3713" s="74">
        <v>44025</v>
      </c>
      <c r="F3713" s="71"/>
      <c r="G3713" s="15"/>
      <c r="H3713" s="14">
        <f t="shared" si="408"/>
        <v>0</v>
      </c>
      <c r="I3713" s="74"/>
      <c r="J3713" s="51"/>
      <c r="K3713" s="6"/>
      <c r="L3713" s="15"/>
      <c r="M3713" s="14">
        <f t="shared" si="406"/>
        <v>0</v>
      </c>
    </row>
    <row r="3714" spans="2:13" x14ac:dyDescent="0.15">
      <c r="B3714" s="71" t="s">
        <v>161</v>
      </c>
      <c r="C3714" s="15">
        <v>8</v>
      </c>
      <c r="D3714" s="14">
        <f t="shared" si="407"/>
        <v>8</v>
      </c>
      <c r="E3714" s="74">
        <v>44026</v>
      </c>
      <c r="F3714" s="71"/>
      <c r="G3714" s="15"/>
      <c r="H3714" s="14">
        <f t="shared" si="408"/>
        <v>0</v>
      </c>
      <c r="I3714" s="74"/>
      <c r="J3714" s="36"/>
      <c r="K3714" s="4"/>
      <c r="L3714" s="15"/>
      <c r="M3714" s="14">
        <f t="shared" si="406"/>
        <v>0</v>
      </c>
    </row>
    <row r="3715" spans="2:13" x14ac:dyDescent="0.15">
      <c r="B3715" s="71" t="s">
        <v>161</v>
      </c>
      <c r="C3715" s="15">
        <v>11</v>
      </c>
      <c r="D3715" s="14">
        <f t="shared" si="407"/>
        <v>11</v>
      </c>
      <c r="E3715" s="74">
        <v>44027</v>
      </c>
      <c r="F3715" s="71"/>
      <c r="G3715" s="15"/>
      <c r="H3715" s="14">
        <f t="shared" si="408"/>
        <v>0</v>
      </c>
      <c r="I3715" s="74"/>
      <c r="J3715" s="36"/>
      <c r="K3715" s="4"/>
      <c r="L3715" s="15"/>
      <c r="M3715" s="14">
        <f t="shared" si="406"/>
        <v>0</v>
      </c>
    </row>
    <row r="3716" spans="2:13" x14ac:dyDescent="0.15">
      <c r="B3716" s="71" t="s">
        <v>161</v>
      </c>
      <c r="C3716" s="15">
        <v>8</v>
      </c>
      <c r="D3716" s="14">
        <f t="shared" si="407"/>
        <v>8</v>
      </c>
      <c r="E3716" s="74">
        <v>44028</v>
      </c>
      <c r="F3716" s="71"/>
      <c r="G3716" s="15"/>
      <c r="H3716" s="14">
        <f t="shared" si="408"/>
        <v>0</v>
      </c>
      <c r="I3716" s="74"/>
      <c r="J3716" s="51"/>
      <c r="K3716" s="4"/>
      <c r="L3716" s="15"/>
      <c r="M3716" s="14">
        <f t="shared" si="406"/>
        <v>0</v>
      </c>
    </row>
    <row r="3717" spans="2:13" x14ac:dyDescent="0.15">
      <c r="B3717" s="71" t="s">
        <v>161</v>
      </c>
      <c r="C3717" s="15">
        <v>9</v>
      </c>
      <c r="D3717" s="14">
        <f t="shared" si="407"/>
        <v>9</v>
      </c>
      <c r="E3717" s="74">
        <v>44029</v>
      </c>
      <c r="F3717" s="71"/>
      <c r="G3717" s="15"/>
      <c r="H3717" s="14">
        <f t="shared" si="408"/>
        <v>0</v>
      </c>
      <c r="I3717" s="74"/>
      <c r="J3717" s="51"/>
      <c r="K3717" s="4"/>
      <c r="L3717" s="15"/>
      <c r="M3717" s="14">
        <f t="shared" si="406"/>
        <v>0</v>
      </c>
    </row>
    <row r="3718" spans="2:13" x14ac:dyDescent="0.15">
      <c r="B3718" s="71" t="s">
        <v>161</v>
      </c>
      <c r="C3718" s="15">
        <v>24</v>
      </c>
      <c r="D3718" s="14">
        <f t="shared" si="407"/>
        <v>24</v>
      </c>
      <c r="E3718" s="74">
        <v>44032</v>
      </c>
      <c r="F3718" s="71"/>
      <c r="G3718" s="15"/>
      <c r="H3718" s="14">
        <f t="shared" si="408"/>
        <v>0</v>
      </c>
      <c r="I3718" s="74"/>
      <c r="J3718" s="36"/>
      <c r="K3718" s="172"/>
      <c r="L3718" s="15"/>
      <c r="M3718" s="14">
        <f>SUM(L3718)</f>
        <v>0</v>
      </c>
    </row>
    <row r="3719" spans="2:13" x14ac:dyDescent="0.15">
      <c r="B3719" s="71" t="s">
        <v>161</v>
      </c>
      <c r="C3719" s="15">
        <v>31</v>
      </c>
      <c r="D3719" s="14">
        <f t="shared" si="407"/>
        <v>31</v>
      </c>
      <c r="E3719" s="74">
        <v>44033</v>
      </c>
      <c r="F3719" s="71"/>
      <c r="G3719" s="15"/>
      <c r="H3719" s="14">
        <f t="shared" si="408"/>
        <v>0</v>
      </c>
      <c r="I3719" s="74"/>
      <c r="J3719" s="51"/>
      <c r="K3719" s="173"/>
      <c r="L3719" s="15"/>
      <c r="M3719" s="14">
        <f>SUM(L3719:L3719)</f>
        <v>0</v>
      </c>
    </row>
    <row r="3720" spans="2:13" x14ac:dyDescent="0.15">
      <c r="B3720" s="71" t="s">
        <v>161</v>
      </c>
      <c r="C3720" s="15">
        <v>29</v>
      </c>
      <c r="D3720" s="14">
        <f>SUM(C3720)</f>
        <v>29</v>
      </c>
      <c r="E3720" s="74">
        <v>44034</v>
      </c>
      <c r="F3720" s="71"/>
      <c r="G3720" s="15"/>
      <c r="H3720" s="14">
        <f t="shared" ref="H3720:H3727" si="409">SUM(G3720)</f>
        <v>0</v>
      </c>
      <c r="I3720" s="74"/>
      <c r="J3720" s="51"/>
      <c r="K3720" s="4"/>
      <c r="L3720" s="15"/>
      <c r="M3720" s="14">
        <f>SUM(L3720:L3720)</f>
        <v>0</v>
      </c>
    </row>
    <row r="3721" spans="2:13" x14ac:dyDescent="0.15">
      <c r="B3721" s="71" t="s">
        <v>161</v>
      </c>
      <c r="C3721" s="15">
        <v>76</v>
      </c>
      <c r="D3721" s="14">
        <f>SUM(C3721)</f>
        <v>76</v>
      </c>
      <c r="E3721" s="74">
        <v>44039</v>
      </c>
      <c r="F3721" s="71"/>
      <c r="G3721" s="15"/>
      <c r="H3721" s="14">
        <f t="shared" si="409"/>
        <v>0</v>
      </c>
      <c r="I3721" s="74"/>
      <c r="J3721" s="51"/>
      <c r="K3721" s="6"/>
      <c r="L3721" s="15"/>
      <c r="M3721" s="14">
        <f>SUM(L3721:L3721)</f>
        <v>0</v>
      </c>
    </row>
    <row r="3722" spans="2:13" x14ac:dyDescent="0.15">
      <c r="B3722" s="71" t="s">
        <v>161</v>
      </c>
      <c r="C3722" s="15">
        <v>11</v>
      </c>
      <c r="D3722" s="14">
        <f>SUM(C3722)</f>
        <v>11</v>
      </c>
      <c r="E3722" s="74">
        <v>44040</v>
      </c>
      <c r="F3722" s="71"/>
      <c r="G3722" s="15"/>
      <c r="H3722" s="14">
        <f t="shared" si="409"/>
        <v>0</v>
      </c>
      <c r="I3722" s="74"/>
      <c r="J3722" s="51"/>
      <c r="K3722" s="6"/>
      <c r="L3722" s="15"/>
      <c r="M3722" s="14">
        <f>SUM(L3722:L3722)</f>
        <v>0</v>
      </c>
    </row>
    <row r="3723" spans="2:13" x14ac:dyDescent="0.15">
      <c r="B3723" s="71" t="s">
        <v>161</v>
      </c>
      <c r="C3723" s="15">
        <v>14</v>
      </c>
      <c r="D3723" s="14">
        <f t="shared" ref="D3723:D3729" si="410">SUM(C3723)</f>
        <v>14</v>
      </c>
      <c r="E3723" s="74">
        <v>44041</v>
      </c>
      <c r="F3723" s="71"/>
      <c r="G3723" s="15"/>
      <c r="H3723" s="14">
        <f t="shared" si="409"/>
        <v>0</v>
      </c>
      <c r="I3723" s="74"/>
      <c r="J3723" s="51"/>
      <c r="K3723" s="172"/>
      <c r="L3723" s="15"/>
      <c r="M3723" s="14">
        <f>SUM(L3723)</f>
        <v>0</v>
      </c>
    </row>
    <row r="3724" spans="2:13" x14ac:dyDescent="0.15">
      <c r="B3724" s="71" t="s">
        <v>39</v>
      </c>
      <c r="C3724" s="15">
        <v>100</v>
      </c>
      <c r="D3724" s="14">
        <f t="shared" si="410"/>
        <v>100</v>
      </c>
      <c r="E3724" s="74">
        <v>44043</v>
      </c>
      <c r="F3724" s="71"/>
      <c r="G3724" s="15"/>
      <c r="H3724" s="14">
        <f t="shared" si="409"/>
        <v>0</v>
      </c>
      <c r="I3724" s="74"/>
      <c r="J3724" s="51"/>
      <c r="K3724" s="173"/>
      <c r="L3724" s="15"/>
      <c r="M3724" s="14">
        <f>SUM(L3724:L3724)</f>
        <v>0</v>
      </c>
    </row>
    <row r="3725" spans="2:13" x14ac:dyDescent="0.15">
      <c r="B3725" s="71" t="s">
        <v>161</v>
      </c>
      <c r="C3725" s="15">
        <v>5</v>
      </c>
      <c r="D3725" s="14">
        <f t="shared" si="410"/>
        <v>5</v>
      </c>
      <c r="E3725" s="48">
        <v>44042</v>
      </c>
      <c r="F3725" s="71"/>
      <c r="G3725" s="15"/>
      <c r="H3725" s="14">
        <f t="shared" si="409"/>
        <v>0</v>
      </c>
      <c r="I3725" s="48"/>
      <c r="J3725" s="51"/>
      <c r="K3725" s="4"/>
      <c r="L3725" s="15"/>
      <c r="M3725" s="14">
        <f>SUM(L3725)</f>
        <v>0</v>
      </c>
    </row>
    <row r="3726" spans="2:13" x14ac:dyDescent="0.15">
      <c r="B3726" s="71" t="s">
        <v>161</v>
      </c>
      <c r="C3726" s="15">
        <v>11</v>
      </c>
      <c r="D3726" s="14">
        <f t="shared" si="410"/>
        <v>11</v>
      </c>
      <c r="E3726" s="74">
        <v>44043</v>
      </c>
      <c r="F3726" s="71"/>
      <c r="G3726" s="15"/>
      <c r="H3726" s="14">
        <f t="shared" si="409"/>
        <v>0</v>
      </c>
      <c r="I3726" s="74"/>
      <c r="J3726" s="51"/>
      <c r="K3726" s="6"/>
      <c r="L3726" s="15"/>
      <c r="M3726" s="14">
        <f>SUM(L3726:L3726)</f>
        <v>0</v>
      </c>
    </row>
    <row r="3727" spans="2:13" x14ac:dyDescent="0.15">
      <c r="B3727" s="71" t="s">
        <v>161</v>
      </c>
      <c r="C3727" s="15">
        <v>15</v>
      </c>
      <c r="D3727" s="14">
        <f t="shared" si="410"/>
        <v>15</v>
      </c>
      <c r="E3727" s="48">
        <v>44044</v>
      </c>
      <c r="F3727" s="6"/>
      <c r="G3727" s="15"/>
      <c r="H3727" s="14">
        <f t="shared" si="409"/>
        <v>0</v>
      </c>
      <c r="I3727" s="75"/>
      <c r="J3727" s="51"/>
      <c r="K3727" s="6"/>
      <c r="L3727" s="15"/>
      <c r="M3727" s="14">
        <f>SUM(L3727:L3727)</f>
        <v>0</v>
      </c>
    </row>
    <row r="3728" spans="2:13" x14ac:dyDescent="0.15">
      <c r="B3728" s="71" t="s">
        <v>161</v>
      </c>
      <c r="C3728" s="15">
        <v>41</v>
      </c>
      <c r="D3728" s="14">
        <f t="shared" si="410"/>
        <v>41</v>
      </c>
      <c r="E3728" s="48">
        <v>44046</v>
      </c>
      <c r="F3728" s="6" t="s">
        <v>673</v>
      </c>
      <c r="G3728" s="15">
        <v>0</v>
      </c>
      <c r="H3728" s="14">
        <f>SUM(G3728)</f>
        <v>0</v>
      </c>
      <c r="I3728" s="75" t="s">
        <v>676</v>
      </c>
      <c r="J3728" s="51"/>
      <c r="K3728" s="4"/>
      <c r="L3728" s="15"/>
      <c r="M3728" s="14">
        <f>SUM(L3728)</f>
        <v>0</v>
      </c>
    </row>
    <row r="3729" spans="1:14" ht="14.25" thickBot="1" x14ac:dyDescent="0.2">
      <c r="B3729" s="71" t="s">
        <v>161</v>
      </c>
      <c r="C3729" s="15">
        <v>26</v>
      </c>
      <c r="D3729" s="14">
        <f t="shared" si="410"/>
        <v>26</v>
      </c>
      <c r="E3729" s="48">
        <v>44047</v>
      </c>
      <c r="F3729" s="4" t="s">
        <v>657</v>
      </c>
      <c r="G3729" s="15">
        <v>0</v>
      </c>
      <c r="H3729" s="14">
        <f>SUM(G3729)</f>
        <v>0</v>
      </c>
      <c r="I3729" s="75" t="s">
        <v>658</v>
      </c>
      <c r="J3729" s="51"/>
      <c r="K3729" s="4"/>
      <c r="L3729" s="15"/>
      <c r="M3729" s="14">
        <f>SUM(L3729:L3729)</f>
        <v>0</v>
      </c>
      <c r="N3729" s="75"/>
    </row>
    <row r="3730" spans="1:14" ht="14.25" thickBot="1" x14ac:dyDescent="0.2">
      <c r="B3730" s="3" t="s">
        <v>5</v>
      </c>
      <c r="C3730" s="16">
        <f>SUM(C3706:C3729)</f>
        <v>625</v>
      </c>
      <c r="D3730" s="17">
        <f>SUM(D3706:D3729)</f>
        <v>625</v>
      </c>
      <c r="F3730" s="3" t="s">
        <v>5</v>
      </c>
      <c r="G3730" s="16">
        <f>SUM(G3706:G3729)</f>
        <v>3820</v>
      </c>
      <c r="H3730" s="17">
        <f>SUM(H3706:H3729)</f>
        <v>3820</v>
      </c>
      <c r="K3730" s="3" t="s">
        <v>5</v>
      </c>
      <c r="L3730" s="16">
        <f>SUM(L3706:L3729)</f>
        <v>0</v>
      </c>
      <c r="M3730" s="17">
        <f>SUM(M3706:M3729)</f>
        <v>0</v>
      </c>
    </row>
    <row r="3731" spans="1:14" ht="14.25" thickBot="1" x14ac:dyDescent="0.2">
      <c r="B3731" s="18" t="s">
        <v>6</v>
      </c>
      <c r="C3731" s="19">
        <f>C3705-C3730</f>
        <v>241</v>
      </c>
      <c r="D3731" s="13">
        <f>D3705-D3730</f>
        <v>241</v>
      </c>
      <c r="F3731" s="18" t="s">
        <v>6</v>
      </c>
      <c r="G3731" s="19">
        <f>G3705-G3730</f>
        <v>5248</v>
      </c>
      <c r="H3731" s="13">
        <f>H3705-H3730</f>
        <v>5248</v>
      </c>
      <c r="K3731" s="18" t="s">
        <v>6</v>
      </c>
      <c r="L3731" s="19">
        <f>L3705-L3730</f>
        <v>0</v>
      </c>
      <c r="M3731" s="13">
        <f>M3705-M3730</f>
        <v>0</v>
      </c>
    </row>
    <row r="3733" spans="1:14" ht="18" thickBot="1" x14ac:dyDescent="0.25">
      <c r="A3733" s="27" t="s">
        <v>8</v>
      </c>
      <c r="B3733" s="28"/>
      <c r="C3733" s="28"/>
      <c r="D3733" s="28"/>
      <c r="F3733" s="175" t="s">
        <v>651</v>
      </c>
      <c r="G3733" s="176"/>
      <c r="H3733" s="176"/>
      <c r="J3733" s="139" t="s">
        <v>218</v>
      </c>
      <c r="K3733" s="140"/>
      <c r="L3733" s="140"/>
      <c r="M3733" s="140"/>
    </row>
    <row r="3734" spans="1:14" ht="14.25" thickBot="1" x14ac:dyDescent="0.2">
      <c r="B3734" s="2"/>
      <c r="C3734" s="3" t="s">
        <v>0</v>
      </c>
      <c r="D3734" s="2" t="s">
        <v>1</v>
      </c>
      <c r="F3734" s="2"/>
      <c r="G3734" s="3" t="s">
        <v>0</v>
      </c>
      <c r="H3734" s="2" t="s">
        <v>1</v>
      </c>
      <c r="K3734" s="2"/>
      <c r="L3734" s="3" t="s">
        <v>0</v>
      </c>
      <c r="M3734" s="2" t="s">
        <v>1</v>
      </c>
    </row>
    <row r="3735" spans="1:14" x14ac:dyDescent="0.15">
      <c r="B3735" s="43" t="s">
        <v>26</v>
      </c>
      <c r="C3735" s="38">
        <f>C3731</f>
        <v>241</v>
      </c>
      <c r="D3735" s="39">
        <f t="shared" ref="D3735:D3745" si="411">SUM(C3735:C3735)</f>
        <v>241</v>
      </c>
      <c r="F3735" s="43" t="s">
        <v>26</v>
      </c>
      <c r="G3735" s="38">
        <f>G3731</f>
        <v>5248</v>
      </c>
      <c r="H3735" s="39">
        <f t="shared" ref="H3735:H3745" si="412">SUM(G3735:G3735)</f>
        <v>5248</v>
      </c>
      <c r="K3735" s="43" t="s">
        <v>26</v>
      </c>
      <c r="L3735" s="38">
        <f>L3731</f>
        <v>0</v>
      </c>
      <c r="M3735" s="39">
        <f t="shared" ref="M3735:M3742" si="413">SUM(L3735:L3735)</f>
        <v>0</v>
      </c>
    </row>
    <row r="3736" spans="1:14" x14ac:dyDescent="0.15">
      <c r="B3736" s="6" t="s">
        <v>3</v>
      </c>
      <c r="C3736" s="7">
        <v>200</v>
      </c>
      <c r="D3736" s="5">
        <f t="shared" si="411"/>
        <v>200</v>
      </c>
      <c r="E3736" s="74">
        <v>44055</v>
      </c>
      <c r="F3736" s="6" t="s">
        <v>64</v>
      </c>
      <c r="G3736" s="7">
        <v>985</v>
      </c>
      <c r="H3736" s="5">
        <f t="shared" si="412"/>
        <v>985</v>
      </c>
      <c r="I3736" s="74">
        <v>44084</v>
      </c>
      <c r="J3736" s="75"/>
      <c r="K3736" s="6" t="s">
        <v>3</v>
      </c>
      <c r="L3736" s="7"/>
      <c r="M3736" s="5">
        <f t="shared" si="413"/>
        <v>0</v>
      </c>
    </row>
    <row r="3737" spans="1:14" x14ac:dyDescent="0.15">
      <c r="A3737" s="75"/>
      <c r="B3737" s="6" t="s">
        <v>3</v>
      </c>
      <c r="C3737" s="7">
        <v>200</v>
      </c>
      <c r="D3737" s="5">
        <f t="shared" si="411"/>
        <v>200</v>
      </c>
      <c r="E3737" s="74">
        <v>44065</v>
      </c>
      <c r="F3737" s="6" t="s">
        <v>3</v>
      </c>
      <c r="G3737" s="7"/>
      <c r="H3737" s="5">
        <f>SUM(G3737:G3737)</f>
        <v>0</v>
      </c>
      <c r="I3737" s="74"/>
      <c r="K3737" s="6" t="s">
        <v>3</v>
      </c>
      <c r="L3737" s="7"/>
      <c r="M3737" s="5">
        <f t="shared" si="413"/>
        <v>0</v>
      </c>
    </row>
    <row r="3738" spans="1:14" x14ac:dyDescent="0.15">
      <c r="A3738" s="75"/>
      <c r="B3738" s="6" t="s">
        <v>377</v>
      </c>
      <c r="C3738" s="7">
        <v>17</v>
      </c>
      <c r="D3738" s="5">
        <f t="shared" si="411"/>
        <v>17</v>
      </c>
      <c r="E3738" s="74">
        <v>44075</v>
      </c>
      <c r="F3738" s="6" t="s">
        <v>3</v>
      </c>
      <c r="G3738" s="7"/>
      <c r="H3738" s="5">
        <f t="shared" si="412"/>
        <v>0</v>
      </c>
      <c r="I3738" s="74"/>
      <c r="J3738" s="100"/>
      <c r="K3738" s="6" t="s">
        <v>3</v>
      </c>
      <c r="L3738" s="7"/>
      <c r="M3738" s="5">
        <f t="shared" si="413"/>
        <v>0</v>
      </c>
    </row>
    <row r="3739" spans="1:14" x14ac:dyDescent="0.15">
      <c r="B3739" s="6" t="s">
        <v>3</v>
      </c>
      <c r="C3739" s="7"/>
      <c r="D3739" s="5">
        <f t="shared" si="411"/>
        <v>0</v>
      </c>
      <c r="E3739" s="74"/>
      <c r="F3739" s="6" t="s">
        <v>3</v>
      </c>
      <c r="G3739" s="7"/>
      <c r="H3739" s="5">
        <f t="shared" si="412"/>
        <v>0</v>
      </c>
      <c r="I3739" s="74"/>
      <c r="K3739" s="6" t="s">
        <v>3</v>
      </c>
      <c r="L3739" s="7"/>
      <c r="M3739" s="5">
        <f t="shared" si="413"/>
        <v>0</v>
      </c>
    </row>
    <row r="3740" spans="1:14" x14ac:dyDescent="0.15">
      <c r="B3740" s="6" t="s">
        <v>3</v>
      </c>
      <c r="C3740" s="7"/>
      <c r="D3740" s="5">
        <f t="shared" si="411"/>
        <v>0</v>
      </c>
      <c r="E3740" s="74"/>
      <c r="F3740" s="6" t="s">
        <v>3</v>
      </c>
      <c r="G3740" s="7"/>
      <c r="H3740" s="5">
        <f t="shared" si="412"/>
        <v>0</v>
      </c>
      <c r="I3740" s="74"/>
      <c r="K3740" s="6" t="s">
        <v>3</v>
      </c>
      <c r="L3740" s="7"/>
      <c r="M3740" s="5">
        <f t="shared" si="413"/>
        <v>0</v>
      </c>
    </row>
    <row r="3741" spans="1:14" x14ac:dyDescent="0.15">
      <c r="B3741" s="6" t="s">
        <v>3</v>
      </c>
      <c r="C3741" s="7"/>
      <c r="D3741" s="5">
        <f t="shared" si="411"/>
        <v>0</v>
      </c>
      <c r="E3741" s="74"/>
      <c r="F3741" s="6" t="s">
        <v>3</v>
      </c>
      <c r="G3741" s="7"/>
      <c r="H3741" s="5">
        <f t="shared" si="412"/>
        <v>0</v>
      </c>
      <c r="I3741" s="74"/>
      <c r="K3741" s="6" t="s">
        <v>3</v>
      </c>
      <c r="L3741" s="7"/>
      <c r="M3741" s="5">
        <f t="shared" si="413"/>
        <v>0</v>
      </c>
    </row>
    <row r="3742" spans="1:14" x14ac:dyDescent="0.15">
      <c r="B3742" s="6" t="s">
        <v>3</v>
      </c>
      <c r="C3742" s="54"/>
      <c r="D3742" s="5">
        <f t="shared" si="411"/>
        <v>0</v>
      </c>
      <c r="F3742" s="6" t="s">
        <v>3</v>
      </c>
      <c r="G3742" s="54"/>
      <c r="H3742" s="5">
        <f t="shared" si="412"/>
        <v>0</v>
      </c>
      <c r="K3742" s="6" t="s">
        <v>3</v>
      </c>
      <c r="L3742" s="7"/>
      <c r="M3742" s="5">
        <f t="shared" si="413"/>
        <v>0</v>
      </c>
    </row>
    <row r="3743" spans="1:14" x14ac:dyDescent="0.15">
      <c r="B3743" s="6" t="s">
        <v>3</v>
      </c>
      <c r="C3743" s="54"/>
      <c r="D3743" s="5">
        <f t="shared" si="411"/>
        <v>0</v>
      </c>
      <c r="F3743" s="6" t="s">
        <v>3</v>
      </c>
      <c r="G3743" s="54"/>
      <c r="H3743" s="5">
        <f t="shared" si="412"/>
        <v>0</v>
      </c>
      <c r="K3743" s="6" t="s">
        <v>3</v>
      </c>
      <c r="L3743" s="7"/>
      <c r="M3743" s="5">
        <f>SUM(L3743:L3743)</f>
        <v>0</v>
      </c>
    </row>
    <row r="3744" spans="1:14" x14ac:dyDescent="0.15">
      <c r="B3744" s="6" t="s">
        <v>3</v>
      </c>
      <c r="C3744" s="54"/>
      <c r="D3744" s="5">
        <f t="shared" si="411"/>
        <v>0</v>
      </c>
      <c r="F3744" s="6" t="s">
        <v>3</v>
      </c>
      <c r="G3744" s="54"/>
      <c r="H3744" s="5">
        <f t="shared" si="412"/>
        <v>0</v>
      </c>
      <c r="K3744" s="6" t="s">
        <v>3</v>
      </c>
      <c r="L3744" s="7"/>
      <c r="M3744" s="5">
        <f>SUM(L3744:L3744)</f>
        <v>0</v>
      </c>
    </row>
    <row r="3745" spans="2:13" ht="14.25" thickBot="1" x14ac:dyDescent="0.2">
      <c r="B3745" s="9" t="s">
        <v>3</v>
      </c>
      <c r="C3745" s="101"/>
      <c r="D3745" s="5">
        <f t="shared" si="411"/>
        <v>0</v>
      </c>
      <c r="F3745" s="9" t="s">
        <v>3</v>
      </c>
      <c r="G3745" s="101"/>
      <c r="H3745" s="5">
        <f t="shared" si="412"/>
        <v>0</v>
      </c>
      <c r="K3745" s="9" t="s">
        <v>3</v>
      </c>
      <c r="L3745" s="10"/>
      <c r="M3745" s="5">
        <f>SUM(L3745:L3745)</f>
        <v>0</v>
      </c>
    </row>
    <row r="3746" spans="2:13" ht="14.25" thickBot="1" x14ac:dyDescent="0.2">
      <c r="B3746" s="11" t="s">
        <v>4</v>
      </c>
      <c r="C3746" s="12">
        <f>SUM(C3735:C3745)</f>
        <v>658</v>
      </c>
      <c r="D3746" s="13">
        <f>SUM(D3735:D3745)</f>
        <v>658</v>
      </c>
      <c r="F3746" s="11" t="s">
        <v>4</v>
      </c>
      <c r="G3746" s="12">
        <f>SUM(G3735:G3745)</f>
        <v>6233</v>
      </c>
      <c r="H3746" s="13">
        <f>SUM(H3735:H3745)</f>
        <v>6233</v>
      </c>
      <c r="K3746" s="11" t="s">
        <v>4</v>
      </c>
      <c r="L3746" s="12">
        <f>SUM(L3735:L3745)</f>
        <v>0</v>
      </c>
      <c r="M3746" s="13">
        <f>SUM(M3735:M3745)</f>
        <v>0</v>
      </c>
    </row>
    <row r="3747" spans="2:13" x14ac:dyDescent="0.15">
      <c r="B3747" s="71" t="s">
        <v>161</v>
      </c>
      <c r="C3747" s="15">
        <v>26</v>
      </c>
      <c r="D3747" s="14">
        <f>SUM(C3747)</f>
        <v>26</v>
      </c>
      <c r="E3747" s="74">
        <v>44048</v>
      </c>
      <c r="F3747" s="71" t="s">
        <v>31</v>
      </c>
      <c r="G3747" s="15">
        <v>200</v>
      </c>
      <c r="H3747" s="14">
        <f>SUM(G3747)</f>
        <v>200</v>
      </c>
      <c r="I3747" s="74">
        <v>44055</v>
      </c>
      <c r="J3747" s="75"/>
      <c r="K3747" s="71"/>
      <c r="L3747" s="15"/>
      <c r="M3747" s="14">
        <f>SUM(L3747)</f>
        <v>0</v>
      </c>
    </row>
    <row r="3748" spans="2:13" x14ac:dyDescent="0.15">
      <c r="B3748" s="71" t="s">
        <v>161</v>
      </c>
      <c r="C3748" s="15">
        <v>22</v>
      </c>
      <c r="D3748" s="14">
        <f>SUM(C3748)</f>
        <v>22</v>
      </c>
      <c r="E3748" s="74">
        <v>44049</v>
      </c>
      <c r="F3748" s="71" t="s">
        <v>31</v>
      </c>
      <c r="G3748" s="15">
        <v>200</v>
      </c>
      <c r="H3748" s="14">
        <f>SUM(G3748)</f>
        <v>200</v>
      </c>
      <c r="I3748" s="74">
        <v>44065</v>
      </c>
      <c r="J3748" s="36"/>
      <c r="K3748" s="71"/>
      <c r="L3748" s="15"/>
      <c r="M3748" s="14">
        <f t="shared" ref="M3748:M3758" si="414">SUM(L3748:L3748)</f>
        <v>0</v>
      </c>
    </row>
    <row r="3749" spans="2:13" x14ac:dyDescent="0.15">
      <c r="B3749" s="71" t="s">
        <v>161</v>
      </c>
      <c r="C3749" s="15">
        <v>28</v>
      </c>
      <c r="D3749" s="14">
        <f>SUM(C3749)</f>
        <v>28</v>
      </c>
      <c r="E3749" s="74">
        <v>44050</v>
      </c>
      <c r="F3749" s="71"/>
      <c r="G3749" s="15"/>
      <c r="H3749" s="14">
        <f>SUM(G3749)</f>
        <v>0</v>
      </c>
      <c r="I3749" s="74"/>
      <c r="J3749" s="51"/>
      <c r="K3749" s="71"/>
      <c r="L3749" s="15"/>
      <c r="M3749" s="14">
        <f t="shared" si="414"/>
        <v>0</v>
      </c>
    </row>
    <row r="3750" spans="2:13" x14ac:dyDescent="0.15">
      <c r="B3750" s="71" t="s">
        <v>161</v>
      </c>
      <c r="C3750" s="15">
        <v>65</v>
      </c>
      <c r="D3750" s="14">
        <f t="shared" ref="D3750:D3760" si="415">SUM(C3750)</f>
        <v>65</v>
      </c>
      <c r="E3750" s="74">
        <v>44054</v>
      </c>
      <c r="F3750" s="71"/>
      <c r="G3750" s="15"/>
      <c r="H3750" s="14">
        <f t="shared" ref="H3750:H3760" si="416">SUM(G3750)</f>
        <v>0</v>
      </c>
      <c r="I3750" s="74"/>
      <c r="J3750" s="51"/>
      <c r="K3750" s="71"/>
      <c r="L3750" s="15"/>
      <c r="M3750" s="14">
        <f t="shared" si="414"/>
        <v>0</v>
      </c>
    </row>
    <row r="3751" spans="2:13" x14ac:dyDescent="0.15">
      <c r="B3751" s="71" t="s">
        <v>161</v>
      </c>
      <c r="C3751" s="15">
        <v>25</v>
      </c>
      <c r="D3751" s="14">
        <f t="shared" si="415"/>
        <v>25</v>
      </c>
      <c r="E3751" s="74">
        <v>44055</v>
      </c>
      <c r="F3751" s="71"/>
      <c r="G3751" s="15"/>
      <c r="H3751" s="14">
        <f t="shared" si="416"/>
        <v>0</v>
      </c>
      <c r="I3751" s="74"/>
      <c r="J3751" s="51"/>
      <c r="K3751" s="4"/>
      <c r="L3751" s="15"/>
      <c r="M3751" s="14">
        <f t="shared" si="414"/>
        <v>0</v>
      </c>
    </row>
    <row r="3752" spans="2:13" x14ac:dyDescent="0.15">
      <c r="B3752" s="71" t="s">
        <v>161</v>
      </c>
      <c r="C3752" s="15">
        <v>75</v>
      </c>
      <c r="D3752" s="14">
        <f t="shared" si="415"/>
        <v>75</v>
      </c>
      <c r="E3752" s="74">
        <v>44060</v>
      </c>
      <c r="F3752" s="71"/>
      <c r="G3752" s="15"/>
      <c r="H3752" s="14">
        <f t="shared" si="416"/>
        <v>0</v>
      </c>
      <c r="I3752" s="74"/>
      <c r="J3752" s="51"/>
      <c r="K3752" s="71"/>
      <c r="L3752" s="15"/>
      <c r="M3752" s="14">
        <f t="shared" si="414"/>
        <v>0</v>
      </c>
    </row>
    <row r="3753" spans="2:13" x14ac:dyDescent="0.15">
      <c r="B3753" s="71" t="s">
        <v>161</v>
      </c>
      <c r="C3753" s="15">
        <v>26</v>
      </c>
      <c r="D3753" s="14">
        <f t="shared" si="415"/>
        <v>26</v>
      </c>
      <c r="E3753" s="74">
        <v>44061</v>
      </c>
      <c r="F3753" s="71"/>
      <c r="G3753" s="15"/>
      <c r="H3753" s="14">
        <f t="shared" si="416"/>
        <v>0</v>
      </c>
      <c r="I3753" s="74"/>
      <c r="J3753" s="51"/>
      <c r="K3753" s="4"/>
      <c r="L3753" s="15"/>
      <c r="M3753" s="14">
        <f t="shared" si="414"/>
        <v>0</v>
      </c>
    </row>
    <row r="3754" spans="2:13" x14ac:dyDescent="0.15">
      <c r="B3754" s="71" t="s">
        <v>161</v>
      </c>
      <c r="C3754" s="15">
        <v>15</v>
      </c>
      <c r="D3754" s="14">
        <f t="shared" si="415"/>
        <v>15</v>
      </c>
      <c r="E3754" s="74">
        <v>44062</v>
      </c>
      <c r="F3754" s="71"/>
      <c r="G3754" s="15"/>
      <c r="H3754" s="14">
        <f t="shared" si="416"/>
        <v>0</v>
      </c>
      <c r="I3754" s="74"/>
      <c r="J3754" s="51"/>
      <c r="K3754" s="6"/>
      <c r="L3754" s="15"/>
      <c r="M3754" s="14">
        <f t="shared" si="414"/>
        <v>0</v>
      </c>
    </row>
    <row r="3755" spans="2:13" x14ac:dyDescent="0.15">
      <c r="B3755" s="71" t="s">
        <v>161</v>
      </c>
      <c r="C3755" s="15">
        <v>29</v>
      </c>
      <c r="D3755" s="14">
        <f t="shared" si="415"/>
        <v>29</v>
      </c>
      <c r="E3755" s="74">
        <v>44063</v>
      </c>
      <c r="F3755" s="71"/>
      <c r="G3755" s="15"/>
      <c r="H3755" s="14">
        <f t="shared" si="416"/>
        <v>0</v>
      </c>
      <c r="I3755" s="74"/>
      <c r="J3755" s="36"/>
      <c r="K3755" s="4"/>
      <c r="L3755" s="15"/>
      <c r="M3755" s="14">
        <f t="shared" si="414"/>
        <v>0</v>
      </c>
    </row>
    <row r="3756" spans="2:13" x14ac:dyDescent="0.15">
      <c r="B3756" s="71" t="s">
        <v>161</v>
      </c>
      <c r="C3756" s="15">
        <v>24</v>
      </c>
      <c r="D3756" s="14">
        <f t="shared" si="415"/>
        <v>24</v>
      </c>
      <c r="E3756" s="74">
        <v>44064</v>
      </c>
      <c r="F3756" s="71"/>
      <c r="G3756" s="15"/>
      <c r="H3756" s="14">
        <f t="shared" si="416"/>
        <v>0</v>
      </c>
      <c r="I3756" s="74"/>
      <c r="J3756" s="36"/>
      <c r="K3756" s="4"/>
      <c r="L3756" s="15"/>
      <c r="M3756" s="14">
        <f t="shared" si="414"/>
        <v>0</v>
      </c>
    </row>
    <row r="3757" spans="2:13" x14ac:dyDescent="0.15">
      <c r="B3757" s="71" t="s">
        <v>161</v>
      </c>
      <c r="C3757" s="15">
        <v>31</v>
      </c>
      <c r="D3757" s="14">
        <f t="shared" si="415"/>
        <v>31</v>
      </c>
      <c r="E3757" s="74">
        <v>44067</v>
      </c>
      <c r="F3757" s="71"/>
      <c r="G3757" s="15"/>
      <c r="H3757" s="14">
        <f t="shared" si="416"/>
        <v>0</v>
      </c>
      <c r="I3757" s="74"/>
      <c r="J3757" s="51"/>
      <c r="K3757" s="4"/>
      <c r="L3757" s="15"/>
      <c r="M3757" s="14">
        <f t="shared" si="414"/>
        <v>0</v>
      </c>
    </row>
    <row r="3758" spans="2:13" x14ac:dyDescent="0.15">
      <c r="B3758" s="71" t="s">
        <v>161</v>
      </c>
      <c r="C3758" s="15">
        <v>18</v>
      </c>
      <c r="D3758" s="14">
        <f t="shared" si="415"/>
        <v>18</v>
      </c>
      <c r="E3758" s="74">
        <v>44068</v>
      </c>
      <c r="F3758" s="71"/>
      <c r="G3758" s="15"/>
      <c r="H3758" s="14">
        <f t="shared" si="416"/>
        <v>0</v>
      </c>
      <c r="I3758" s="74"/>
      <c r="J3758" s="51"/>
      <c r="K3758" s="4"/>
      <c r="L3758" s="15"/>
      <c r="M3758" s="14">
        <f t="shared" si="414"/>
        <v>0</v>
      </c>
    </row>
    <row r="3759" spans="2:13" x14ac:dyDescent="0.15">
      <c r="B3759" s="71" t="s">
        <v>161</v>
      </c>
      <c r="C3759" s="15">
        <v>14</v>
      </c>
      <c r="D3759" s="14">
        <f t="shared" si="415"/>
        <v>14</v>
      </c>
      <c r="E3759" s="74">
        <v>44069</v>
      </c>
      <c r="F3759" s="71"/>
      <c r="G3759" s="15"/>
      <c r="H3759" s="14">
        <f t="shared" si="416"/>
        <v>0</v>
      </c>
      <c r="I3759" s="74"/>
      <c r="J3759" s="36"/>
      <c r="K3759" s="172"/>
      <c r="L3759" s="15"/>
      <c r="M3759" s="14">
        <f>SUM(L3759)</f>
        <v>0</v>
      </c>
    </row>
    <row r="3760" spans="2:13" x14ac:dyDescent="0.15">
      <c r="B3760" s="71" t="s">
        <v>161</v>
      </c>
      <c r="C3760" s="15">
        <v>9</v>
      </c>
      <c r="D3760" s="14">
        <f t="shared" si="415"/>
        <v>9</v>
      </c>
      <c r="E3760" s="74">
        <v>44070</v>
      </c>
      <c r="F3760" s="71"/>
      <c r="G3760" s="15"/>
      <c r="H3760" s="14">
        <f t="shared" si="416"/>
        <v>0</v>
      </c>
      <c r="I3760" s="74"/>
      <c r="J3760" s="51"/>
      <c r="K3760" s="173"/>
      <c r="L3760" s="15"/>
      <c r="M3760" s="14">
        <f>SUM(L3760:L3760)</f>
        <v>0</v>
      </c>
    </row>
    <row r="3761" spans="1:13" x14ac:dyDescent="0.15">
      <c r="B3761" s="71" t="s">
        <v>161</v>
      </c>
      <c r="C3761" s="15">
        <v>8</v>
      </c>
      <c r="D3761" s="14">
        <f>SUM(C3761)</f>
        <v>8</v>
      </c>
      <c r="E3761" s="74">
        <v>44071</v>
      </c>
      <c r="F3761" s="71"/>
      <c r="G3761" s="15"/>
      <c r="H3761" s="14">
        <f>SUM(G3761)</f>
        <v>0</v>
      </c>
      <c r="I3761" s="74"/>
      <c r="J3761" s="51"/>
      <c r="K3761" s="4"/>
      <c r="L3761" s="15"/>
      <c r="M3761" s="14">
        <f>SUM(L3761:L3761)</f>
        <v>0</v>
      </c>
    </row>
    <row r="3762" spans="1:13" x14ac:dyDescent="0.15">
      <c r="B3762" s="71" t="s">
        <v>161</v>
      </c>
      <c r="C3762" s="15">
        <v>2</v>
      </c>
      <c r="D3762" s="14">
        <f>SUM(C3762)</f>
        <v>2</v>
      </c>
      <c r="E3762" s="74">
        <v>44072</v>
      </c>
      <c r="F3762" s="71"/>
      <c r="G3762" s="15"/>
      <c r="H3762" s="14">
        <f>SUM(G3762)</f>
        <v>0</v>
      </c>
      <c r="I3762" s="74"/>
      <c r="J3762" s="51"/>
      <c r="K3762" s="6"/>
      <c r="L3762" s="15"/>
      <c r="M3762" s="14">
        <f>SUM(L3762:L3762)</f>
        <v>0</v>
      </c>
    </row>
    <row r="3763" spans="1:13" x14ac:dyDescent="0.15">
      <c r="B3763" s="71" t="s">
        <v>161</v>
      </c>
      <c r="C3763" s="15">
        <v>17</v>
      </c>
      <c r="D3763" s="14">
        <f>SUM(C3763)</f>
        <v>17</v>
      </c>
      <c r="E3763" s="74">
        <v>44074</v>
      </c>
      <c r="F3763" s="71"/>
      <c r="G3763" s="15"/>
      <c r="H3763" s="14">
        <f>SUM(G3763)</f>
        <v>0</v>
      </c>
      <c r="I3763" s="74"/>
      <c r="J3763" s="51"/>
      <c r="K3763" s="6"/>
      <c r="L3763" s="15"/>
      <c r="M3763" s="14">
        <f>SUM(L3763:L3763)</f>
        <v>0</v>
      </c>
    </row>
    <row r="3764" spans="1:13" x14ac:dyDescent="0.15">
      <c r="B3764" s="71" t="s">
        <v>161</v>
      </c>
      <c r="C3764" s="15">
        <v>16</v>
      </c>
      <c r="D3764" s="14">
        <f t="shared" ref="D3764:D3770" si="417">SUM(C3764)</f>
        <v>16</v>
      </c>
      <c r="E3764" s="74">
        <v>44075</v>
      </c>
      <c r="F3764" s="71"/>
      <c r="G3764" s="15"/>
      <c r="H3764" s="14">
        <f t="shared" ref="H3764:H3769" si="418">SUM(G3764)</f>
        <v>0</v>
      </c>
      <c r="I3764" s="74"/>
      <c r="J3764" s="51"/>
      <c r="K3764" s="172"/>
      <c r="L3764" s="15"/>
      <c r="M3764" s="14">
        <f>SUM(L3764)</f>
        <v>0</v>
      </c>
    </row>
    <row r="3765" spans="1:13" x14ac:dyDescent="0.15">
      <c r="B3765" s="71" t="s">
        <v>161</v>
      </c>
      <c r="C3765" s="15">
        <v>5</v>
      </c>
      <c r="D3765" s="14">
        <f t="shared" si="417"/>
        <v>5</v>
      </c>
      <c r="E3765" s="74">
        <v>44076</v>
      </c>
      <c r="F3765" s="71"/>
      <c r="G3765" s="15"/>
      <c r="H3765" s="14">
        <f t="shared" si="418"/>
        <v>0</v>
      </c>
      <c r="I3765" s="74"/>
      <c r="J3765" s="51"/>
      <c r="K3765" s="173"/>
      <c r="L3765" s="15"/>
      <c r="M3765" s="14">
        <f>SUM(L3765:L3765)</f>
        <v>0</v>
      </c>
    </row>
    <row r="3766" spans="1:13" x14ac:dyDescent="0.15">
      <c r="B3766" s="71" t="s">
        <v>161</v>
      </c>
      <c r="C3766" s="15">
        <v>4</v>
      </c>
      <c r="D3766" s="14">
        <f t="shared" si="417"/>
        <v>4</v>
      </c>
      <c r="E3766" s="48">
        <v>44077</v>
      </c>
      <c r="F3766" s="71"/>
      <c r="G3766" s="15"/>
      <c r="H3766" s="14">
        <f t="shared" si="418"/>
        <v>0</v>
      </c>
      <c r="I3766" s="48"/>
      <c r="J3766" s="51"/>
      <c r="K3766" s="4"/>
      <c r="L3766" s="15"/>
      <c r="M3766" s="14">
        <f>SUM(L3766)</f>
        <v>0</v>
      </c>
    </row>
    <row r="3767" spans="1:13" x14ac:dyDescent="0.15">
      <c r="B3767" s="71" t="s">
        <v>161</v>
      </c>
      <c r="C3767" s="15">
        <v>2</v>
      </c>
      <c r="D3767" s="14">
        <f t="shared" si="417"/>
        <v>2</v>
      </c>
      <c r="E3767" s="74">
        <v>44078</v>
      </c>
      <c r="F3767" s="71"/>
      <c r="G3767" s="15"/>
      <c r="H3767" s="14">
        <f t="shared" si="418"/>
        <v>0</v>
      </c>
      <c r="I3767" s="74"/>
      <c r="J3767" s="51"/>
      <c r="K3767" s="6"/>
      <c r="L3767" s="15"/>
      <c r="M3767" s="14">
        <f>SUM(L3767:L3767)</f>
        <v>0</v>
      </c>
    </row>
    <row r="3768" spans="1:13" x14ac:dyDescent="0.15">
      <c r="B3768" s="71" t="s">
        <v>161</v>
      </c>
      <c r="C3768" s="15">
        <v>8</v>
      </c>
      <c r="D3768" s="14">
        <f t="shared" si="417"/>
        <v>8</v>
      </c>
      <c r="E3768" s="48">
        <v>44079</v>
      </c>
      <c r="F3768" s="71"/>
      <c r="G3768" s="15"/>
      <c r="H3768" s="14">
        <f t="shared" si="418"/>
        <v>0</v>
      </c>
      <c r="I3768" s="48"/>
      <c r="J3768" s="51"/>
      <c r="K3768" s="6"/>
      <c r="L3768" s="15"/>
      <c r="M3768" s="14">
        <f>SUM(L3768:L3768)</f>
        <v>0</v>
      </c>
    </row>
    <row r="3769" spans="1:13" x14ac:dyDescent="0.15">
      <c r="B3769" s="71" t="s">
        <v>161</v>
      </c>
      <c r="C3769" s="15">
        <v>10</v>
      </c>
      <c r="D3769" s="14">
        <f t="shared" si="417"/>
        <v>10</v>
      </c>
      <c r="E3769" s="48">
        <v>44081</v>
      </c>
      <c r="F3769" s="71"/>
      <c r="G3769" s="15"/>
      <c r="H3769" s="14">
        <f t="shared" si="418"/>
        <v>0</v>
      </c>
      <c r="I3769" s="48"/>
      <c r="J3769" s="51"/>
      <c r="K3769" s="4"/>
      <c r="L3769" s="15"/>
      <c r="M3769" s="14">
        <f>SUM(L3769)</f>
        <v>0</v>
      </c>
    </row>
    <row r="3770" spans="1:13" ht="14.25" thickBot="1" x14ac:dyDescent="0.2">
      <c r="B3770" s="71" t="s">
        <v>161</v>
      </c>
      <c r="C3770" s="15">
        <v>8</v>
      </c>
      <c r="D3770" s="14">
        <f t="shared" si="417"/>
        <v>8</v>
      </c>
      <c r="E3770" s="48">
        <v>44082</v>
      </c>
      <c r="F3770" s="4" t="s">
        <v>668</v>
      </c>
      <c r="G3770" s="15"/>
      <c r="H3770" s="14">
        <f>SUM(G3770:G3770)</f>
        <v>0</v>
      </c>
      <c r="I3770" s="75" t="s">
        <v>667</v>
      </c>
      <c r="J3770" s="51"/>
      <c r="K3770" s="6"/>
      <c r="L3770" s="15"/>
      <c r="M3770" s="14">
        <f>SUM(L3770:L3770)</f>
        <v>0</v>
      </c>
    </row>
    <row r="3771" spans="1:13" ht="14.25" thickBot="1" x14ac:dyDescent="0.2">
      <c r="B3771" s="3" t="s">
        <v>5</v>
      </c>
      <c r="C3771" s="16">
        <f>SUM(C3747:C3770)</f>
        <v>487</v>
      </c>
      <c r="D3771" s="17">
        <f>SUM(D3747:D3770)</f>
        <v>487</v>
      </c>
      <c r="F3771" s="3" t="s">
        <v>5</v>
      </c>
      <c r="G3771" s="16">
        <f>SUM(G3747:G3770)</f>
        <v>400</v>
      </c>
      <c r="H3771" s="17">
        <f>SUM(H3747:H3770)</f>
        <v>400</v>
      </c>
      <c r="K3771" s="3" t="s">
        <v>5</v>
      </c>
      <c r="L3771" s="16">
        <f>SUM(L3747:L3770)</f>
        <v>0</v>
      </c>
      <c r="M3771" s="17">
        <f>SUM(M3747:M3770)</f>
        <v>0</v>
      </c>
    </row>
    <row r="3772" spans="1:13" ht="14.25" thickBot="1" x14ac:dyDescent="0.2">
      <c r="B3772" s="18" t="s">
        <v>6</v>
      </c>
      <c r="C3772" s="19">
        <f>C3746-C3771</f>
        <v>171</v>
      </c>
      <c r="D3772" s="13">
        <f>D3746-D3771</f>
        <v>171</v>
      </c>
      <c r="F3772" s="18" t="s">
        <v>6</v>
      </c>
      <c r="G3772" s="19">
        <f>G3746-G3771</f>
        <v>5833</v>
      </c>
      <c r="H3772" s="13">
        <f>H3746-H3771</f>
        <v>5833</v>
      </c>
      <c r="K3772" s="18" t="s">
        <v>6</v>
      </c>
      <c r="L3772" s="19">
        <f>L3746-L3771</f>
        <v>0</v>
      </c>
      <c r="M3772" s="13">
        <f>M3746-M3771</f>
        <v>0</v>
      </c>
    </row>
    <row r="3774" spans="1:13" ht="18" thickBot="1" x14ac:dyDescent="0.25">
      <c r="A3774" s="27" t="s">
        <v>8</v>
      </c>
      <c r="B3774" s="28"/>
      <c r="C3774" s="28"/>
      <c r="D3774" s="28"/>
      <c r="F3774" s="175" t="s">
        <v>651</v>
      </c>
      <c r="G3774" s="176"/>
      <c r="H3774" s="176"/>
      <c r="J3774" s="139" t="s">
        <v>218</v>
      </c>
      <c r="K3774" s="140"/>
      <c r="L3774" s="140"/>
      <c r="M3774" s="140"/>
    </row>
    <row r="3775" spans="1:13" ht="14.25" thickBot="1" x14ac:dyDescent="0.2">
      <c r="B3775" s="2"/>
      <c r="C3775" s="3" t="s">
        <v>0</v>
      </c>
      <c r="D3775" s="2" t="s">
        <v>1</v>
      </c>
      <c r="F3775" s="2"/>
      <c r="G3775" s="3" t="s">
        <v>0</v>
      </c>
      <c r="H3775" s="2" t="s">
        <v>1</v>
      </c>
      <c r="K3775" s="2"/>
      <c r="L3775" s="3" t="s">
        <v>0</v>
      </c>
      <c r="M3775" s="2" t="s">
        <v>1</v>
      </c>
    </row>
    <row r="3776" spans="1:13" x14ac:dyDescent="0.15">
      <c r="B3776" s="43" t="s">
        <v>26</v>
      </c>
      <c r="C3776" s="38">
        <f>C3772</f>
        <v>171</v>
      </c>
      <c r="D3776" s="39">
        <f t="shared" ref="D3776:D3786" si="419">SUM(C3776:C3776)</f>
        <v>171</v>
      </c>
      <c r="F3776" s="43" t="s">
        <v>26</v>
      </c>
      <c r="G3776" s="38">
        <f>G3772</f>
        <v>5833</v>
      </c>
      <c r="H3776" s="39">
        <f>SUM(G3776:G3776)</f>
        <v>5833</v>
      </c>
      <c r="K3776" s="43" t="s">
        <v>26</v>
      </c>
      <c r="L3776" s="38">
        <f>L3772</f>
        <v>0</v>
      </c>
      <c r="M3776" s="39">
        <f t="shared" ref="M3776:M3783" si="420">SUM(L3776:L3776)</f>
        <v>0</v>
      </c>
    </row>
    <row r="3777" spans="1:13" x14ac:dyDescent="0.15">
      <c r="B3777" s="6" t="s">
        <v>71</v>
      </c>
      <c r="C3777" s="7">
        <v>17</v>
      </c>
      <c r="D3777" s="5">
        <f t="shared" si="419"/>
        <v>17</v>
      </c>
      <c r="E3777" s="74">
        <v>44084</v>
      </c>
      <c r="F3777" s="6" t="s">
        <v>3</v>
      </c>
      <c r="G3777" s="7"/>
      <c r="H3777" s="5">
        <f>SUM(G3777:G3777)</f>
        <v>0</v>
      </c>
      <c r="I3777" s="74"/>
      <c r="J3777" s="75"/>
      <c r="K3777" s="6" t="s">
        <v>3</v>
      </c>
      <c r="L3777" s="7"/>
      <c r="M3777" s="5">
        <f t="shared" si="420"/>
        <v>0</v>
      </c>
    </row>
    <row r="3778" spans="1:13" x14ac:dyDescent="0.15">
      <c r="A3778" s="75"/>
      <c r="B3778" s="6" t="s">
        <v>377</v>
      </c>
      <c r="C3778" s="7">
        <v>8</v>
      </c>
      <c r="D3778" s="5">
        <f t="shared" si="419"/>
        <v>8</v>
      </c>
      <c r="E3778" s="74">
        <v>44102</v>
      </c>
      <c r="F3778" s="6" t="s">
        <v>3</v>
      </c>
      <c r="G3778" s="7"/>
      <c r="H3778" s="5">
        <f>SUM(G3778:G3778)</f>
        <v>0</v>
      </c>
      <c r="I3778" s="74"/>
      <c r="K3778" s="6" t="s">
        <v>3</v>
      </c>
      <c r="L3778" s="7"/>
      <c r="M3778" s="5">
        <f t="shared" si="420"/>
        <v>0</v>
      </c>
    </row>
    <row r="3779" spans="1:13" x14ac:dyDescent="0.15">
      <c r="A3779" s="75"/>
      <c r="B3779" s="6" t="s">
        <v>3</v>
      </c>
      <c r="C3779" s="7"/>
      <c r="D3779" s="5">
        <f t="shared" si="419"/>
        <v>0</v>
      </c>
      <c r="E3779" s="74"/>
      <c r="F3779" s="6" t="s">
        <v>3</v>
      </c>
      <c r="G3779" s="7"/>
      <c r="H3779" s="5">
        <f t="shared" ref="H3779:H3786" si="421">SUM(G3779:G3779)</f>
        <v>0</v>
      </c>
      <c r="I3779" s="74"/>
      <c r="J3779" s="100"/>
      <c r="K3779" s="6" t="s">
        <v>3</v>
      </c>
      <c r="L3779" s="7"/>
      <c r="M3779" s="5">
        <f t="shared" si="420"/>
        <v>0</v>
      </c>
    </row>
    <row r="3780" spans="1:13" x14ac:dyDescent="0.15">
      <c r="B3780" s="6" t="s">
        <v>3</v>
      </c>
      <c r="C3780" s="7"/>
      <c r="D3780" s="5">
        <f t="shared" si="419"/>
        <v>0</v>
      </c>
      <c r="E3780" s="74"/>
      <c r="F3780" s="6" t="s">
        <v>3</v>
      </c>
      <c r="G3780" s="7"/>
      <c r="H3780" s="5">
        <f t="shared" si="421"/>
        <v>0</v>
      </c>
      <c r="I3780" s="74"/>
      <c r="K3780" s="6" t="s">
        <v>3</v>
      </c>
      <c r="L3780" s="7"/>
      <c r="M3780" s="5">
        <f t="shared" si="420"/>
        <v>0</v>
      </c>
    </row>
    <row r="3781" spans="1:13" x14ac:dyDescent="0.15">
      <c r="B3781" s="6" t="s">
        <v>3</v>
      </c>
      <c r="C3781" s="7"/>
      <c r="D3781" s="5">
        <f t="shared" si="419"/>
        <v>0</v>
      </c>
      <c r="E3781" s="74"/>
      <c r="F3781" s="6" t="s">
        <v>3</v>
      </c>
      <c r="G3781" s="7"/>
      <c r="H3781" s="5">
        <f t="shared" si="421"/>
        <v>0</v>
      </c>
      <c r="I3781" s="74"/>
      <c r="K3781" s="6" t="s">
        <v>3</v>
      </c>
      <c r="L3781" s="7"/>
      <c r="M3781" s="5">
        <f t="shared" si="420"/>
        <v>0</v>
      </c>
    </row>
    <row r="3782" spans="1:13" x14ac:dyDescent="0.15">
      <c r="B3782" s="6" t="s">
        <v>3</v>
      </c>
      <c r="C3782" s="7"/>
      <c r="D3782" s="5">
        <f t="shared" si="419"/>
        <v>0</v>
      </c>
      <c r="E3782" s="74"/>
      <c r="F3782" s="6" t="s">
        <v>3</v>
      </c>
      <c r="G3782" s="7"/>
      <c r="H3782" s="5">
        <f t="shared" si="421"/>
        <v>0</v>
      </c>
      <c r="I3782" s="74"/>
      <c r="K3782" s="6" t="s">
        <v>3</v>
      </c>
      <c r="L3782" s="7"/>
      <c r="M3782" s="5">
        <f t="shared" si="420"/>
        <v>0</v>
      </c>
    </row>
    <row r="3783" spans="1:13" x14ac:dyDescent="0.15">
      <c r="B3783" s="6" t="s">
        <v>3</v>
      </c>
      <c r="C3783" s="54"/>
      <c r="D3783" s="5">
        <f t="shared" si="419"/>
        <v>0</v>
      </c>
      <c r="F3783" s="6" t="s">
        <v>3</v>
      </c>
      <c r="G3783" s="54"/>
      <c r="H3783" s="5">
        <f t="shared" si="421"/>
        <v>0</v>
      </c>
      <c r="K3783" s="6" t="s">
        <v>3</v>
      </c>
      <c r="L3783" s="7"/>
      <c r="M3783" s="5">
        <f t="shared" si="420"/>
        <v>0</v>
      </c>
    </row>
    <row r="3784" spans="1:13" x14ac:dyDescent="0.15">
      <c r="B3784" s="6" t="s">
        <v>3</v>
      </c>
      <c r="C3784" s="54"/>
      <c r="D3784" s="5">
        <f t="shared" si="419"/>
        <v>0</v>
      </c>
      <c r="F3784" s="6" t="s">
        <v>3</v>
      </c>
      <c r="G3784" s="54"/>
      <c r="H3784" s="5">
        <f t="shared" si="421"/>
        <v>0</v>
      </c>
      <c r="K3784" s="6" t="s">
        <v>3</v>
      </c>
      <c r="L3784" s="7"/>
      <c r="M3784" s="5">
        <f>SUM(L3784:L3784)</f>
        <v>0</v>
      </c>
    </row>
    <row r="3785" spans="1:13" x14ac:dyDescent="0.15">
      <c r="B3785" s="6" t="s">
        <v>3</v>
      </c>
      <c r="C3785" s="54"/>
      <c r="D3785" s="5">
        <f t="shared" si="419"/>
        <v>0</v>
      </c>
      <c r="F3785" s="6" t="s">
        <v>3</v>
      </c>
      <c r="G3785" s="54"/>
      <c r="H3785" s="5">
        <f t="shared" si="421"/>
        <v>0</v>
      </c>
      <c r="K3785" s="6" t="s">
        <v>3</v>
      </c>
      <c r="L3785" s="7"/>
      <c r="M3785" s="5">
        <f>SUM(L3785:L3785)</f>
        <v>0</v>
      </c>
    </row>
    <row r="3786" spans="1:13" ht="14.25" thickBot="1" x14ac:dyDescent="0.2">
      <c r="B3786" s="9" t="s">
        <v>3</v>
      </c>
      <c r="C3786" s="101"/>
      <c r="D3786" s="5">
        <f t="shared" si="419"/>
        <v>0</v>
      </c>
      <c r="F3786" s="9" t="s">
        <v>3</v>
      </c>
      <c r="G3786" s="101"/>
      <c r="H3786" s="5">
        <f t="shared" si="421"/>
        <v>0</v>
      </c>
      <c r="K3786" s="9" t="s">
        <v>3</v>
      </c>
      <c r="L3786" s="10"/>
      <c r="M3786" s="5">
        <f>SUM(L3786:L3786)</f>
        <v>0</v>
      </c>
    </row>
    <row r="3787" spans="1:13" ht="14.25" thickBot="1" x14ac:dyDescent="0.2">
      <c r="B3787" s="11" t="s">
        <v>4</v>
      </c>
      <c r="C3787" s="12">
        <f>SUM(C3776:C3786)</f>
        <v>196</v>
      </c>
      <c r="D3787" s="13">
        <f>SUM(D3776:D3786)</f>
        <v>196</v>
      </c>
      <c r="F3787" s="11" t="s">
        <v>4</v>
      </c>
      <c r="G3787" s="12">
        <f>SUM(G3776:G3786)</f>
        <v>5833</v>
      </c>
      <c r="H3787" s="13">
        <f>SUM(H3776:H3786)</f>
        <v>5833</v>
      </c>
      <c r="K3787" s="11" t="s">
        <v>4</v>
      </c>
      <c r="L3787" s="12">
        <f>SUM(L3776:L3786)</f>
        <v>0</v>
      </c>
      <c r="M3787" s="13">
        <f>SUM(M3776:M3786)</f>
        <v>0</v>
      </c>
    </row>
    <row r="3788" spans="1:13" x14ac:dyDescent="0.15">
      <c r="B3788" s="71" t="s">
        <v>161</v>
      </c>
      <c r="C3788" s="15">
        <v>4</v>
      </c>
      <c r="D3788" s="14">
        <f>SUM(C3788)</f>
        <v>4</v>
      </c>
      <c r="E3788" s="74">
        <v>44083</v>
      </c>
      <c r="F3788" s="71"/>
      <c r="G3788" s="15"/>
      <c r="H3788" s="14">
        <f>SUM(G3788)</f>
        <v>0</v>
      </c>
      <c r="I3788" s="74"/>
      <c r="J3788" s="75"/>
      <c r="K3788" s="71"/>
      <c r="L3788" s="15"/>
      <c r="M3788" s="14">
        <f>SUM(L3788)</f>
        <v>0</v>
      </c>
    </row>
    <row r="3789" spans="1:13" x14ac:dyDescent="0.15">
      <c r="B3789" s="71" t="s">
        <v>265</v>
      </c>
      <c r="C3789" s="15">
        <v>2</v>
      </c>
      <c r="D3789" s="14">
        <f>SUM(C3789)</f>
        <v>2</v>
      </c>
      <c r="E3789" s="74">
        <v>44083</v>
      </c>
      <c r="F3789" s="71"/>
      <c r="G3789" s="15"/>
      <c r="H3789" s="14">
        <f>SUM(G3789)</f>
        <v>0</v>
      </c>
      <c r="I3789" s="74"/>
      <c r="J3789" s="36"/>
      <c r="K3789" s="71"/>
      <c r="L3789" s="15"/>
      <c r="M3789" s="14">
        <f t="shared" ref="M3789:M3799" si="422">SUM(L3789:L3789)</f>
        <v>0</v>
      </c>
    </row>
    <row r="3790" spans="1:13" x14ac:dyDescent="0.15">
      <c r="B3790" s="71" t="s">
        <v>161</v>
      </c>
      <c r="C3790" s="15">
        <v>8</v>
      </c>
      <c r="D3790" s="14">
        <f>SUM(C3790)</f>
        <v>8</v>
      </c>
      <c r="E3790" s="74">
        <v>44084</v>
      </c>
      <c r="F3790" s="71"/>
      <c r="G3790" s="15"/>
      <c r="H3790" s="14">
        <f>SUM(G3790)</f>
        <v>0</v>
      </c>
      <c r="I3790" s="74"/>
      <c r="J3790" s="51"/>
      <c r="K3790" s="71"/>
      <c r="L3790" s="15"/>
      <c r="M3790" s="14">
        <f t="shared" si="422"/>
        <v>0</v>
      </c>
    </row>
    <row r="3791" spans="1:13" x14ac:dyDescent="0.15">
      <c r="B3791" s="71" t="s">
        <v>161</v>
      </c>
      <c r="C3791" s="15">
        <v>5</v>
      </c>
      <c r="D3791" s="14">
        <f t="shared" ref="D3791:D3801" si="423">SUM(C3791)</f>
        <v>5</v>
      </c>
      <c r="E3791" s="74">
        <v>44085</v>
      </c>
      <c r="F3791" s="71"/>
      <c r="G3791" s="15"/>
      <c r="H3791" s="14">
        <f t="shared" ref="H3791:H3801" si="424">SUM(G3791)</f>
        <v>0</v>
      </c>
      <c r="I3791" s="74"/>
      <c r="J3791" s="51"/>
      <c r="K3791" s="71"/>
      <c r="L3791" s="15"/>
      <c r="M3791" s="14">
        <f t="shared" si="422"/>
        <v>0</v>
      </c>
    </row>
    <row r="3792" spans="1:13" x14ac:dyDescent="0.15">
      <c r="B3792" s="71" t="s">
        <v>161</v>
      </c>
      <c r="C3792" s="15">
        <v>4</v>
      </c>
      <c r="D3792" s="14">
        <f t="shared" si="423"/>
        <v>4</v>
      </c>
      <c r="E3792" s="74">
        <v>44088</v>
      </c>
      <c r="F3792" s="71"/>
      <c r="G3792" s="15"/>
      <c r="H3792" s="14">
        <f t="shared" si="424"/>
        <v>0</v>
      </c>
      <c r="I3792" s="74"/>
      <c r="J3792" s="51"/>
      <c r="K3792" s="4"/>
      <c r="L3792" s="15"/>
      <c r="M3792" s="14">
        <f t="shared" si="422"/>
        <v>0</v>
      </c>
    </row>
    <row r="3793" spans="2:13" x14ac:dyDescent="0.15">
      <c r="B3793" s="71" t="s">
        <v>161</v>
      </c>
      <c r="C3793" s="15">
        <v>4</v>
      </c>
      <c r="D3793" s="14">
        <f t="shared" si="423"/>
        <v>4</v>
      </c>
      <c r="E3793" s="74">
        <v>44089</v>
      </c>
      <c r="F3793" s="71"/>
      <c r="G3793" s="15"/>
      <c r="H3793" s="14">
        <f t="shared" si="424"/>
        <v>0</v>
      </c>
      <c r="I3793" s="74"/>
      <c r="J3793" s="51"/>
      <c r="K3793" s="71"/>
      <c r="L3793" s="15"/>
      <c r="M3793" s="14">
        <f t="shared" si="422"/>
        <v>0</v>
      </c>
    </row>
    <row r="3794" spans="2:13" x14ac:dyDescent="0.15">
      <c r="B3794" s="71" t="s">
        <v>161</v>
      </c>
      <c r="C3794" s="15">
        <v>5</v>
      </c>
      <c r="D3794" s="14">
        <f t="shared" si="423"/>
        <v>5</v>
      </c>
      <c r="E3794" s="74">
        <v>44090</v>
      </c>
      <c r="F3794" s="71"/>
      <c r="G3794" s="15"/>
      <c r="H3794" s="14">
        <f t="shared" si="424"/>
        <v>0</v>
      </c>
      <c r="I3794" s="74"/>
      <c r="J3794" s="51"/>
      <c r="K3794" s="4"/>
      <c r="L3794" s="15"/>
      <c r="M3794" s="14">
        <f t="shared" si="422"/>
        <v>0</v>
      </c>
    </row>
    <row r="3795" spans="2:13" x14ac:dyDescent="0.15">
      <c r="B3795" s="71" t="s">
        <v>161</v>
      </c>
      <c r="C3795" s="15">
        <v>3</v>
      </c>
      <c r="D3795" s="14">
        <f t="shared" si="423"/>
        <v>3</v>
      </c>
      <c r="E3795" s="74">
        <v>44091</v>
      </c>
      <c r="F3795" s="71"/>
      <c r="G3795" s="15"/>
      <c r="H3795" s="14">
        <f t="shared" si="424"/>
        <v>0</v>
      </c>
      <c r="I3795" s="74"/>
      <c r="J3795" s="51"/>
      <c r="K3795" s="6"/>
      <c r="L3795" s="15"/>
      <c r="M3795" s="14">
        <f t="shared" si="422"/>
        <v>0</v>
      </c>
    </row>
    <row r="3796" spans="2:13" x14ac:dyDescent="0.15">
      <c r="B3796" s="71" t="s">
        <v>161</v>
      </c>
      <c r="C3796" s="15">
        <v>8</v>
      </c>
      <c r="D3796" s="14">
        <f t="shared" si="423"/>
        <v>8</v>
      </c>
      <c r="E3796" s="74">
        <v>44097</v>
      </c>
      <c r="F3796" s="71"/>
      <c r="G3796" s="15"/>
      <c r="H3796" s="14">
        <f t="shared" si="424"/>
        <v>0</v>
      </c>
      <c r="I3796" s="74"/>
      <c r="J3796" s="36"/>
      <c r="K3796" s="4"/>
      <c r="L3796" s="15"/>
      <c r="M3796" s="14">
        <f t="shared" si="422"/>
        <v>0</v>
      </c>
    </row>
    <row r="3797" spans="2:13" x14ac:dyDescent="0.15">
      <c r="B3797" s="71" t="s">
        <v>161</v>
      </c>
      <c r="C3797" s="15">
        <v>3</v>
      </c>
      <c r="D3797" s="14">
        <f t="shared" si="423"/>
        <v>3</v>
      </c>
      <c r="E3797" s="74">
        <v>44098</v>
      </c>
      <c r="F3797" s="71"/>
      <c r="G3797" s="15"/>
      <c r="H3797" s="14">
        <f t="shared" si="424"/>
        <v>0</v>
      </c>
      <c r="I3797" s="74"/>
      <c r="J3797" s="36"/>
      <c r="K3797" s="4"/>
      <c r="L3797" s="15"/>
      <c r="M3797" s="14">
        <f t="shared" si="422"/>
        <v>0</v>
      </c>
    </row>
    <row r="3798" spans="2:13" x14ac:dyDescent="0.15">
      <c r="B3798" s="71" t="s">
        <v>161</v>
      </c>
      <c r="C3798" s="15">
        <v>2</v>
      </c>
      <c r="D3798" s="14">
        <f t="shared" si="423"/>
        <v>2</v>
      </c>
      <c r="E3798" s="74">
        <v>44099</v>
      </c>
      <c r="F3798" s="71"/>
      <c r="G3798" s="15"/>
      <c r="H3798" s="14">
        <f t="shared" si="424"/>
        <v>0</v>
      </c>
      <c r="I3798" s="74"/>
      <c r="J3798" s="51"/>
      <c r="K3798" s="4"/>
      <c r="L3798" s="15"/>
      <c r="M3798" s="14">
        <f t="shared" si="422"/>
        <v>0</v>
      </c>
    </row>
    <row r="3799" spans="2:13" x14ac:dyDescent="0.15">
      <c r="B3799" s="71" t="s">
        <v>161</v>
      </c>
      <c r="C3799" s="15">
        <v>1</v>
      </c>
      <c r="D3799" s="14">
        <f t="shared" si="423"/>
        <v>1</v>
      </c>
      <c r="E3799" s="74">
        <v>44100</v>
      </c>
      <c r="F3799" s="71"/>
      <c r="G3799" s="15"/>
      <c r="H3799" s="14">
        <f t="shared" si="424"/>
        <v>0</v>
      </c>
      <c r="I3799" s="74"/>
      <c r="J3799" s="51"/>
      <c r="K3799" s="4"/>
      <c r="L3799" s="15"/>
      <c r="M3799" s="14">
        <f t="shared" si="422"/>
        <v>0</v>
      </c>
    </row>
    <row r="3800" spans="2:13" x14ac:dyDescent="0.15">
      <c r="B3800" s="71" t="s">
        <v>161</v>
      </c>
      <c r="C3800" s="15">
        <v>3</v>
      </c>
      <c r="D3800" s="14">
        <f t="shared" si="423"/>
        <v>3</v>
      </c>
      <c r="E3800" s="74">
        <v>44102</v>
      </c>
      <c r="F3800" s="71"/>
      <c r="G3800" s="15"/>
      <c r="H3800" s="14">
        <f t="shared" si="424"/>
        <v>0</v>
      </c>
      <c r="I3800" s="74"/>
      <c r="J3800" s="36"/>
      <c r="K3800" s="172"/>
      <c r="L3800" s="15"/>
      <c r="M3800" s="14">
        <f>SUM(L3800)</f>
        <v>0</v>
      </c>
    </row>
    <row r="3801" spans="2:13" x14ac:dyDescent="0.15">
      <c r="B3801" s="71" t="s">
        <v>161</v>
      </c>
      <c r="C3801" s="15">
        <v>1</v>
      </c>
      <c r="D3801" s="14">
        <f t="shared" si="423"/>
        <v>1</v>
      </c>
      <c r="E3801" s="74">
        <v>44103</v>
      </c>
      <c r="F3801" s="71"/>
      <c r="G3801" s="15"/>
      <c r="H3801" s="14">
        <f t="shared" si="424"/>
        <v>0</v>
      </c>
      <c r="I3801" s="74"/>
      <c r="J3801" s="51"/>
      <c r="K3801" s="173"/>
      <c r="L3801" s="15"/>
      <c r="M3801" s="14">
        <f>SUM(L3801:L3801)</f>
        <v>0</v>
      </c>
    </row>
    <row r="3802" spans="2:13" x14ac:dyDescent="0.15">
      <c r="B3802" s="71" t="s">
        <v>161</v>
      </c>
      <c r="C3802" s="15">
        <v>1</v>
      </c>
      <c r="D3802" s="14">
        <f>SUM(C3802)</f>
        <v>1</v>
      </c>
      <c r="E3802" s="74">
        <v>44105</v>
      </c>
      <c r="F3802" s="71"/>
      <c r="G3802" s="15"/>
      <c r="H3802" s="14">
        <f>SUM(G3802)</f>
        <v>0</v>
      </c>
      <c r="I3802" s="74"/>
      <c r="J3802" s="51"/>
      <c r="K3802" s="4"/>
      <c r="L3802" s="15"/>
      <c r="M3802" s="14">
        <f>SUM(L3802:L3802)</f>
        <v>0</v>
      </c>
    </row>
    <row r="3803" spans="2:13" x14ac:dyDescent="0.15">
      <c r="B3803" s="71" t="s">
        <v>161</v>
      </c>
      <c r="C3803" s="15">
        <v>3</v>
      </c>
      <c r="D3803" s="14">
        <f>SUM(C3803)</f>
        <v>3</v>
      </c>
      <c r="E3803" s="74">
        <v>44106</v>
      </c>
      <c r="F3803" s="71"/>
      <c r="G3803" s="15"/>
      <c r="H3803" s="14">
        <f>SUM(G3803)</f>
        <v>0</v>
      </c>
      <c r="I3803" s="74"/>
      <c r="J3803" s="51"/>
      <c r="K3803" s="6"/>
      <c r="L3803" s="15"/>
      <c r="M3803" s="14">
        <f>SUM(L3803:L3803)</f>
        <v>0</v>
      </c>
    </row>
    <row r="3804" spans="2:13" x14ac:dyDescent="0.15">
      <c r="B3804" s="71" t="s">
        <v>161</v>
      </c>
      <c r="C3804" s="15">
        <v>2</v>
      </c>
      <c r="D3804" s="14">
        <f>SUM(C3804)</f>
        <v>2</v>
      </c>
      <c r="E3804" s="74">
        <v>44109</v>
      </c>
      <c r="F3804" s="71"/>
      <c r="G3804" s="15"/>
      <c r="H3804" s="14">
        <f>SUM(G3804)</f>
        <v>0</v>
      </c>
      <c r="I3804" s="74"/>
      <c r="J3804" s="51"/>
      <c r="K3804" s="6"/>
      <c r="L3804" s="15"/>
      <c r="M3804" s="14">
        <f>SUM(L3804:L3804)</f>
        <v>0</v>
      </c>
    </row>
    <row r="3805" spans="2:13" x14ac:dyDescent="0.15">
      <c r="B3805" s="71" t="s">
        <v>161</v>
      </c>
      <c r="C3805" s="15">
        <v>2</v>
      </c>
      <c r="D3805" s="14">
        <f t="shared" ref="D3805:D3811" si="425">SUM(C3805)</f>
        <v>2</v>
      </c>
      <c r="E3805" s="74">
        <v>44110</v>
      </c>
      <c r="F3805" s="71"/>
      <c r="G3805" s="15"/>
      <c r="H3805" s="14">
        <f t="shared" ref="H3805:H3810" si="426">SUM(G3805)</f>
        <v>0</v>
      </c>
      <c r="I3805" s="74"/>
      <c r="J3805" s="51"/>
      <c r="K3805" s="172"/>
      <c r="L3805" s="15"/>
      <c r="M3805" s="14">
        <f>SUM(L3805)</f>
        <v>0</v>
      </c>
    </row>
    <row r="3806" spans="2:13" x14ac:dyDescent="0.15">
      <c r="B3806" s="71" t="s">
        <v>161</v>
      </c>
      <c r="C3806" s="15">
        <v>4</v>
      </c>
      <c r="D3806" s="14">
        <f t="shared" si="425"/>
        <v>4</v>
      </c>
      <c r="E3806" s="74">
        <v>44111</v>
      </c>
      <c r="F3806" s="71"/>
      <c r="G3806" s="15"/>
      <c r="H3806" s="14">
        <f t="shared" si="426"/>
        <v>0</v>
      </c>
      <c r="I3806" s="74"/>
      <c r="J3806" s="51"/>
      <c r="K3806" s="173"/>
      <c r="L3806" s="15"/>
      <c r="M3806" s="14">
        <f>SUM(L3806:L3806)</f>
        <v>0</v>
      </c>
    </row>
    <row r="3807" spans="2:13" x14ac:dyDescent="0.15">
      <c r="B3807" s="71" t="s">
        <v>161</v>
      </c>
      <c r="C3807" s="15">
        <v>2</v>
      </c>
      <c r="D3807" s="14">
        <f t="shared" si="425"/>
        <v>2</v>
      </c>
      <c r="E3807" s="48">
        <v>44112</v>
      </c>
      <c r="F3807" s="71"/>
      <c r="G3807" s="15"/>
      <c r="H3807" s="14">
        <f t="shared" si="426"/>
        <v>0</v>
      </c>
      <c r="I3807" s="48"/>
      <c r="J3807" s="51"/>
      <c r="K3807" s="4"/>
      <c r="L3807" s="15"/>
      <c r="M3807" s="14">
        <f>SUM(L3807)</f>
        <v>0</v>
      </c>
    </row>
    <row r="3808" spans="2:13" x14ac:dyDescent="0.15">
      <c r="B3808" s="71" t="s">
        <v>161</v>
      </c>
      <c r="C3808" s="15">
        <v>1</v>
      </c>
      <c r="D3808" s="14">
        <f t="shared" si="425"/>
        <v>1</v>
      </c>
      <c r="E3808" s="74">
        <v>44113</v>
      </c>
      <c r="F3808" s="71"/>
      <c r="G3808" s="15"/>
      <c r="H3808" s="14">
        <f t="shared" si="426"/>
        <v>0</v>
      </c>
      <c r="I3808" s="74"/>
      <c r="J3808" s="51"/>
      <c r="K3808" s="6"/>
      <c r="L3808" s="15"/>
      <c r="M3808" s="14">
        <f>SUM(L3808:L3808)</f>
        <v>0</v>
      </c>
    </row>
    <row r="3809" spans="1:13" x14ac:dyDescent="0.15">
      <c r="B3809" s="71" t="s">
        <v>161</v>
      </c>
      <c r="C3809" s="15">
        <v>1</v>
      </c>
      <c r="D3809" s="14">
        <f t="shared" si="425"/>
        <v>1</v>
      </c>
      <c r="E3809" s="48">
        <v>44116</v>
      </c>
      <c r="F3809" s="71"/>
      <c r="G3809" s="15"/>
      <c r="H3809" s="14">
        <f t="shared" si="426"/>
        <v>0</v>
      </c>
      <c r="I3809" s="48"/>
      <c r="J3809" s="51"/>
      <c r="K3809" s="6"/>
      <c r="L3809" s="15"/>
      <c r="M3809" s="14">
        <f>SUM(L3809:L3809)</f>
        <v>0</v>
      </c>
    </row>
    <row r="3810" spans="1:13" x14ac:dyDescent="0.15">
      <c r="B3810" s="71" t="s">
        <v>161</v>
      </c>
      <c r="C3810" s="15">
        <v>1</v>
      </c>
      <c r="D3810" s="14">
        <f t="shared" si="425"/>
        <v>1</v>
      </c>
      <c r="E3810" s="48">
        <v>44117</v>
      </c>
      <c r="F3810" s="71"/>
      <c r="G3810" s="15"/>
      <c r="H3810" s="14">
        <f t="shared" si="426"/>
        <v>0</v>
      </c>
      <c r="I3810" s="48"/>
      <c r="J3810" s="51"/>
      <c r="K3810" s="4"/>
      <c r="L3810" s="15"/>
      <c r="M3810" s="14">
        <f>SUM(L3810)</f>
        <v>0</v>
      </c>
    </row>
    <row r="3811" spans="1:13" ht="14.25" thickBot="1" x14ac:dyDescent="0.2">
      <c r="B3811" s="71" t="s">
        <v>161</v>
      </c>
      <c r="C3811" s="15">
        <v>5</v>
      </c>
      <c r="D3811" s="14">
        <f t="shared" si="425"/>
        <v>5</v>
      </c>
      <c r="E3811" s="48">
        <v>44123</v>
      </c>
      <c r="F3811" s="4"/>
      <c r="G3811" s="15"/>
      <c r="H3811" s="14">
        <f>SUM(G3811:G3811)</f>
        <v>0</v>
      </c>
      <c r="I3811" s="75"/>
      <c r="J3811" s="51"/>
      <c r="K3811" s="6"/>
      <c r="L3811" s="15"/>
      <c r="M3811" s="14">
        <f>SUM(L3811:L3811)</f>
        <v>0</v>
      </c>
    </row>
    <row r="3812" spans="1:13" ht="14.25" thickBot="1" x14ac:dyDescent="0.2">
      <c r="B3812" s="3" t="s">
        <v>5</v>
      </c>
      <c r="C3812" s="16">
        <f>SUM(C3788:C3811)</f>
        <v>75</v>
      </c>
      <c r="D3812" s="17">
        <f>SUM(D3788:D3811)</f>
        <v>75</v>
      </c>
      <c r="F3812" s="3" t="s">
        <v>5</v>
      </c>
      <c r="G3812" s="16">
        <f>SUM(G3788:G3811)</f>
        <v>0</v>
      </c>
      <c r="H3812" s="17">
        <f>SUM(H3788:H3811)</f>
        <v>0</v>
      </c>
      <c r="K3812" s="3" t="s">
        <v>5</v>
      </c>
      <c r="L3812" s="16">
        <f>SUM(L3788:L3811)</f>
        <v>0</v>
      </c>
      <c r="M3812" s="17">
        <f>SUM(M3788:M3811)</f>
        <v>0</v>
      </c>
    </row>
    <row r="3813" spans="1:13" ht="14.25" thickBot="1" x14ac:dyDescent="0.2">
      <c r="B3813" s="18" t="s">
        <v>6</v>
      </c>
      <c r="C3813" s="19">
        <f>C3787-C3812</f>
        <v>121</v>
      </c>
      <c r="D3813" s="13">
        <f>D3787-D3812</f>
        <v>121</v>
      </c>
      <c r="F3813" s="18" t="s">
        <v>6</v>
      </c>
      <c r="G3813" s="19">
        <f>G3787-G3812</f>
        <v>5833</v>
      </c>
      <c r="H3813" s="13">
        <f>H3787-H3812</f>
        <v>5833</v>
      </c>
      <c r="K3813" s="18" t="s">
        <v>6</v>
      </c>
      <c r="L3813" s="19">
        <f>L3787-L3812</f>
        <v>0</v>
      </c>
      <c r="M3813" s="13">
        <f>M3787-M3812</f>
        <v>0</v>
      </c>
    </row>
    <row r="3815" spans="1:13" ht="18" thickBot="1" x14ac:dyDescent="0.25">
      <c r="A3815" s="27" t="s">
        <v>8</v>
      </c>
      <c r="B3815" s="28"/>
      <c r="C3815" s="28"/>
      <c r="D3815" s="28"/>
      <c r="F3815" s="175" t="s">
        <v>651</v>
      </c>
      <c r="G3815" s="176"/>
      <c r="H3815" s="176"/>
      <c r="J3815" s="139" t="s">
        <v>218</v>
      </c>
      <c r="K3815" s="140"/>
      <c r="L3815" s="140"/>
      <c r="M3815" s="140"/>
    </row>
    <row r="3816" spans="1:13" ht="14.25" thickBot="1" x14ac:dyDescent="0.2">
      <c r="B3816" s="2"/>
      <c r="C3816" s="3" t="s">
        <v>0</v>
      </c>
      <c r="D3816" s="2" t="s">
        <v>1</v>
      </c>
      <c r="F3816" s="2"/>
      <c r="G3816" s="3" t="s">
        <v>0</v>
      </c>
      <c r="H3816" s="2" t="s">
        <v>1</v>
      </c>
      <c r="K3816" s="2"/>
      <c r="L3816" s="3" t="s">
        <v>0</v>
      </c>
      <c r="M3816" s="2" t="s">
        <v>1</v>
      </c>
    </row>
    <row r="3817" spans="1:13" x14ac:dyDescent="0.15">
      <c r="B3817" s="43" t="s">
        <v>26</v>
      </c>
      <c r="C3817" s="38">
        <f>C3813</f>
        <v>121</v>
      </c>
      <c r="D3817" s="39">
        <f t="shared" ref="D3817:D3827" si="427">SUM(C3817:C3817)</f>
        <v>121</v>
      </c>
      <c r="F3817" s="43" t="s">
        <v>26</v>
      </c>
      <c r="G3817" s="38">
        <f>G3813</f>
        <v>5833</v>
      </c>
      <c r="H3817" s="39">
        <f>SUM(G3817:G3817)</f>
        <v>5833</v>
      </c>
      <c r="K3817" s="43" t="s">
        <v>26</v>
      </c>
      <c r="L3817" s="38">
        <f>L3813</f>
        <v>0</v>
      </c>
      <c r="M3817" s="39">
        <f t="shared" ref="M3817:M3824" si="428">SUM(L3817:L3817)</f>
        <v>0</v>
      </c>
    </row>
    <row r="3818" spans="1:13" x14ac:dyDescent="0.15">
      <c r="B3818" s="6" t="s">
        <v>377</v>
      </c>
      <c r="C3818" s="7">
        <v>2</v>
      </c>
      <c r="D3818" s="5">
        <f t="shared" si="427"/>
        <v>2</v>
      </c>
      <c r="E3818" s="74">
        <v>44155</v>
      </c>
      <c r="F3818" s="6" t="s">
        <v>3</v>
      </c>
      <c r="G3818" s="7"/>
      <c r="H3818" s="5">
        <f>SUM(G3818:G3818)</f>
        <v>0</v>
      </c>
      <c r="I3818" s="74"/>
      <c r="J3818" s="75"/>
      <c r="K3818" s="6" t="s">
        <v>3</v>
      </c>
      <c r="L3818" s="7"/>
      <c r="M3818" s="5">
        <f t="shared" si="428"/>
        <v>0</v>
      </c>
    </row>
    <row r="3819" spans="1:13" x14ac:dyDescent="0.15">
      <c r="A3819" s="75"/>
      <c r="B3819" s="6" t="s">
        <v>3</v>
      </c>
      <c r="C3819" s="7">
        <v>200</v>
      </c>
      <c r="D3819" s="5">
        <f t="shared" si="427"/>
        <v>200</v>
      </c>
      <c r="E3819" s="74">
        <v>44261</v>
      </c>
      <c r="F3819" s="6" t="s">
        <v>3</v>
      </c>
      <c r="G3819" s="7"/>
      <c r="H3819" s="5">
        <f>SUM(G3819:G3819)</f>
        <v>0</v>
      </c>
      <c r="I3819" s="74"/>
      <c r="K3819" s="6" t="s">
        <v>3</v>
      </c>
      <c r="L3819" s="7"/>
      <c r="M3819" s="5">
        <f t="shared" si="428"/>
        <v>0</v>
      </c>
    </row>
    <row r="3820" spans="1:13" x14ac:dyDescent="0.15">
      <c r="A3820" s="75"/>
      <c r="B3820" s="6" t="s">
        <v>3</v>
      </c>
      <c r="C3820" s="7"/>
      <c r="D3820" s="5">
        <f t="shared" si="427"/>
        <v>0</v>
      </c>
      <c r="E3820" s="74"/>
      <c r="F3820" s="6" t="s">
        <v>3</v>
      </c>
      <c r="G3820" s="7"/>
      <c r="H3820" s="5">
        <f t="shared" ref="H3820:H3827" si="429">SUM(G3820:G3820)</f>
        <v>0</v>
      </c>
      <c r="I3820" s="74"/>
      <c r="J3820" s="100"/>
      <c r="K3820" s="6" t="s">
        <v>3</v>
      </c>
      <c r="L3820" s="7"/>
      <c r="M3820" s="5">
        <f t="shared" si="428"/>
        <v>0</v>
      </c>
    </row>
    <row r="3821" spans="1:13" x14ac:dyDescent="0.15">
      <c r="B3821" s="6" t="s">
        <v>3</v>
      </c>
      <c r="C3821" s="7"/>
      <c r="D3821" s="5">
        <f t="shared" si="427"/>
        <v>0</v>
      </c>
      <c r="E3821" s="74"/>
      <c r="F3821" s="6" t="s">
        <v>3</v>
      </c>
      <c r="G3821" s="7"/>
      <c r="H3821" s="5">
        <f t="shared" si="429"/>
        <v>0</v>
      </c>
      <c r="I3821" s="74"/>
      <c r="K3821" s="6" t="s">
        <v>3</v>
      </c>
      <c r="L3821" s="7"/>
      <c r="M3821" s="5">
        <f t="shared" si="428"/>
        <v>0</v>
      </c>
    </row>
    <row r="3822" spans="1:13" x14ac:dyDescent="0.15">
      <c r="B3822" s="6" t="s">
        <v>3</v>
      </c>
      <c r="C3822" s="7"/>
      <c r="D3822" s="5">
        <f t="shared" si="427"/>
        <v>0</v>
      </c>
      <c r="E3822" s="74"/>
      <c r="F3822" s="6" t="s">
        <v>3</v>
      </c>
      <c r="G3822" s="7"/>
      <c r="H3822" s="5">
        <f t="shared" si="429"/>
        <v>0</v>
      </c>
      <c r="I3822" s="74"/>
      <c r="K3822" s="6" t="s">
        <v>3</v>
      </c>
      <c r="L3822" s="7"/>
      <c r="M3822" s="5">
        <f t="shared" si="428"/>
        <v>0</v>
      </c>
    </row>
    <row r="3823" spans="1:13" x14ac:dyDescent="0.15">
      <c r="B3823" s="6" t="s">
        <v>3</v>
      </c>
      <c r="C3823" s="7"/>
      <c r="D3823" s="5">
        <f t="shared" si="427"/>
        <v>0</v>
      </c>
      <c r="E3823" s="74"/>
      <c r="F3823" s="6" t="s">
        <v>3</v>
      </c>
      <c r="G3823" s="7"/>
      <c r="H3823" s="5">
        <f t="shared" si="429"/>
        <v>0</v>
      </c>
      <c r="I3823" s="74"/>
      <c r="K3823" s="6" t="s">
        <v>3</v>
      </c>
      <c r="L3823" s="7"/>
      <c r="M3823" s="5">
        <f t="shared" si="428"/>
        <v>0</v>
      </c>
    </row>
    <row r="3824" spans="1:13" x14ac:dyDescent="0.15">
      <c r="B3824" s="6" t="s">
        <v>3</v>
      </c>
      <c r="C3824" s="54"/>
      <c r="D3824" s="5">
        <f t="shared" si="427"/>
        <v>0</v>
      </c>
      <c r="F3824" s="6" t="s">
        <v>3</v>
      </c>
      <c r="G3824" s="54"/>
      <c r="H3824" s="5">
        <f t="shared" si="429"/>
        <v>0</v>
      </c>
      <c r="K3824" s="6" t="s">
        <v>3</v>
      </c>
      <c r="L3824" s="7"/>
      <c r="M3824" s="5">
        <f t="shared" si="428"/>
        <v>0</v>
      </c>
    </row>
    <row r="3825" spans="2:13" x14ac:dyDescent="0.15">
      <c r="B3825" s="6" t="s">
        <v>3</v>
      </c>
      <c r="C3825" s="54"/>
      <c r="D3825" s="5">
        <f t="shared" si="427"/>
        <v>0</v>
      </c>
      <c r="F3825" s="6" t="s">
        <v>3</v>
      </c>
      <c r="G3825" s="54"/>
      <c r="H3825" s="5">
        <f t="shared" si="429"/>
        <v>0</v>
      </c>
      <c r="K3825" s="6" t="s">
        <v>3</v>
      </c>
      <c r="L3825" s="7"/>
      <c r="M3825" s="5">
        <f>SUM(L3825:L3825)</f>
        <v>0</v>
      </c>
    </row>
    <row r="3826" spans="2:13" x14ac:dyDescent="0.15">
      <c r="B3826" s="6" t="s">
        <v>3</v>
      </c>
      <c r="C3826" s="54"/>
      <c r="D3826" s="5">
        <f t="shared" si="427"/>
        <v>0</v>
      </c>
      <c r="F3826" s="6" t="s">
        <v>3</v>
      </c>
      <c r="G3826" s="54"/>
      <c r="H3826" s="5">
        <f t="shared" si="429"/>
        <v>0</v>
      </c>
      <c r="K3826" s="6" t="s">
        <v>3</v>
      </c>
      <c r="L3826" s="7"/>
      <c r="M3826" s="5">
        <f>SUM(L3826:L3826)</f>
        <v>0</v>
      </c>
    </row>
    <row r="3827" spans="2:13" ht="14.25" thickBot="1" x14ac:dyDescent="0.2">
      <c r="B3827" s="9" t="s">
        <v>3</v>
      </c>
      <c r="C3827" s="101"/>
      <c r="D3827" s="5">
        <f t="shared" si="427"/>
        <v>0</v>
      </c>
      <c r="F3827" s="9" t="s">
        <v>3</v>
      </c>
      <c r="G3827" s="101"/>
      <c r="H3827" s="5">
        <f t="shared" si="429"/>
        <v>0</v>
      </c>
      <c r="K3827" s="9" t="s">
        <v>3</v>
      </c>
      <c r="L3827" s="10"/>
      <c r="M3827" s="5">
        <f>SUM(L3827:L3827)</f>
        <v>0</v>
      </c>
    </row>
    <row r="3828" spans="2:13" ht="14.25" thickBot="1" x14ac:dyDescent="0.2">
      <c r="B3828" s="11" t="s">
        <v>4</v>
      </c>
      <c r="C3828" s="12">
        <f>SUM(C3817:C3827)</f>
        <v>323</v>
      </c>
      <c r="D3828" s="13">
        <f>SUM(D3817:D3827)</f>
        <v>323</v>
      </c>
      <c r="F3828" s="11" t="s">
        <v>4</v>
      </c>
      <c r="G3828" s="12">
        <f>SUM(G3817:G3827)</f>
        <v>5833</v>
      </c>
      <c r="H3828" s="13">
        <f>SUM(H3817:H3827)</f>
        <v>5833</v>
      </c>
      <c r="K3828" s="11" t="s">
        <v>4</v>
      </c>
      <c r="L3828" s="12">
        <f>SUM(L3817:L3827)</f>
        <v>0</v>
      </c>
      <c r="M3828" s="13">
        <f>SUM(M3817:M3827)</f>
        <v>0</v>
      </c>
    </row>
    <row r="3829" spans="2:13" x14ac:dyDescent="0.15">
      <c r="B3829" s="71" t="s">
        <v>161</v>
      </c>
      <c r="C3829" s="15">
        <v>1</v>
      </c>
      <c r="D3829" s="14">
        <f>SUM(C3829)</f>
        <v>1</v>
      </c>
      <c r="E3829" s="74">
        <v>44137</v>
      </c>
      <c r="F3829" s="71" t="s">
        <v>705</v>
      </c>
      <c r="G3829" s="15">
        <v>200</v>
      </c>
      <c r="H3829" s="14">
        <f>SUM(G3829)</f>
        <v>200</v>
      </c>
      <c r="I3829" s="74">
        <v>44261</v>
      </c>
      <c r="J3829" s="75"/>
      <c r="K3829" s="71"/>
      <c r="L3829" s="15"/>
      <c r="M3829" s="14">
        <f>SUM(L3829)</f>
        <v>0</v>
      </c>
    </row>
    <row r="3830" spans="2:13" x14ac:dyDescent="0.15">
      <c r="B3830" s="71" t="s">
        <v>161</v>
      </c>
      <c r="C3830" s="15">
        <v>1</v>
      </c>
      <c r="D3830" s="14">
        <f>SUM(C3830)</f>
        <v>1</v>
      </c>
      <c r="E3830" s="74">
        <v>44148</v>
      </c>
      <c r="F3830" s="71"/>
      <c r="G3830" s="15"/>
      <c r="H3830" s="14">
        <f>SUM(G3830)</f>
        <v>0</v>
      </c>
      <c r="I3830" s="74"/>
      <c r="J3830" s="36"/>
      <c r="K3830" s="71"/>
      <c r="L3830" s="15"/>
      <c r="M3830" s="14">
        <f t="shared" ref="M3830:M3840" si="430">SUM(L3830:L3830)</f>
        <v>0</v>
      </c>
    </row>
    <row r="3831" spans="2:13" x14ac:dyDescent="0.15">
      <c r="B3831" s="71" t="s">
        <v>161</v>
      </c>
      <c r="C3831" s="15">
        <v>1</v>
      </c>
      <c r="D3831" s="14">
        <f>SUM(C3831)</f>
        <v>1</v>
      </c>
      <c r="E3831" s="74">
        <v>44159</v>
      </c>
      <c r="F3831" s="71"/>
      <c r="G3831" s="15"/>
      <c r="H3831" s="14">
        <f>SUM(G3831)</f>
        <v>0</v>
      </c>
      <c r="I3831" s="74"/>
      <c r="J3831" s="51"/>
      <c r="K3831" s="71"/>
      <c r="L3831" s="15"/>
      <c r="M3831" s="14">
        <f t="shared" si="430"/>
        <v>0</v>
      </c>
    </row>
    <row r="3832" spans="2:13" x14ac:dyDescent="0.15">
      <c r="B3832" s="71" t="s">
        <v>161</v>
      </c>
      <c r="C3832" s="15">
        <v>1</v>
      </c>
      <c r="D3832" s="14">
        <f t="shared" ref="D3832:D3842" si="431">SUM(C3832)</f>
        <v>1</v>
      </c>
      <c r="E3832" s="74">
        <v>44165</v>
      </c>
      <c r="F3832" s="71"/>
      <c r="G3832" s="15"/>
      <c r="H3832" s="14">
        <f t="shared" ref="H3832:H3842" si="432">SUM(G3832)</f>
        <v>0</v>
      </c>
      <c r="I3832" s="74"/>
      <c r="J3832" s="51"/>
      <c r="K3832" s="71"/>
      <c r="L3832" s="15"/>
      <c r="M3832" s="14">
        <f t="shared" si="430"/>
        <v>0</v>
      </c>
    </row>
    <row r="3833" spans="2:13" x14ac:dyDescent="0.15">
      <c r="B3833" s="71" t="s">
        <v>161</v>
      </c>
      <c r="C3833" s="15">
        <v>1</v>
      </c>
      <c r="D3833" s="14">
        <f t="shared" si="431"/>
        <v>1</v>
      </c>
      <c r="E3833" s="74">
        <v>44172</v>
      </c>
      <c r="F3833" s="71"/>
      <c r="G3833" s="15"/>
      <c r="H3833" s="14">
        <f t="shared" si="432"/>
        <v>0</v>
      </c>
      <c r="I3833" s="74"/>
      <c r="J3833" s="51"/>
      <c r="K3833" s="4"/>
      <c r="L3833" s="15"/>
      <c r="M3833" s="14">
        <f t="shared" si="430"/>
        <v>0</v>
      </c>
    </row>
    <row r="3834" spans="2:13" x14ac:dyDescent="0.15">
      <c r="B3834" s="71" t="s">
        <v>161</v>
      </c>
      <c r="C3834" s="15">
        <v>3</v>
      </c>
      <c r="D3834" s="14">
        <f t="shared" si="431"/>
        <v>3</v>
      </c>
      <c r="E3834" s="74">
        <v>44179</v>
      </c>
      <c r="F3834" s="71"/>
      <c r="G3834" s="15"/>
      <c r="H3834" s="14">
        <f t="shared" si="432"/>
        <v>0</v>
      </c>
      <c r="I3834" s="74"/>
      <c r="J3834" s="51"/>
      <c r="K3834" s="71"/>
      <c r="L3834" s="15"/>
      <c r="M3834" s="14">
        <f t="shared" si="430"/>
        <v>0</v>
      </c>
    </row>
    <row r="3835" spans="2:13" x14ac:dyDescent="0.15">
      <c r="B3835" s="71" t="s">
        <v>161</v>
      </c>
      <c r="C3835" s="15">
        <v>1</v>
      </c>
      <c r="D3835" s="14">
        <f t="shared" si="431"/>
        <v>1</v>
      </c>
      <c r="E3835" s="74">
        <v>44186</v>
      </c>
      <c r="F3835" s="71"/>
      <c r="G3835" s="15"/>
      <c r="H3835" s="14">
        <f t="shared" si="432"/>
        <v>0</v>
      </c>
      <c r="I3835" s="74"/>
      <c r="J3835" s="51"/>
      <c r="K3835" s="4"/>
      <c r="L3835" s="15"/>
      <c r="M3835" s="14">
        <f t="shared" si="430"/>
        <v>0</v>
      </c>
    </row>
    <row r="3836" spans="2:13" x14ac:dyDescent="0.15">
      <c r="B3836" s="71" t="s">
        <v>161</v>
      </c>
      <c r="C3836" s="15">
        <v>1</v>
      </c>
      <c r="D3836" s="14">
        <f t="shared" si="431"/>
        <v>1</v>
      </c>
      <c r="E3836" s="74">
        <v>44210</v>
      </c>
      <c r="F3836" s="71"/>
      <c r="G3836" s="15"/>
      <c r="H3836" s="14">
        <f t="shared" si="432"/>
        <v>0</v>
      </c>
      <c r="I3836" s="74"/>
      <c r="J3836" s="51"/>
      <c r="K3836" s="6"/>
      <c r="L3836" s="15"/>
      <c r="M3836" s="14">
        <f t="shared" si="430"/>
        <v>0</v>
      </c>
    </row>
    <row r="3837" spans="2:13" x14ac:dyDescent="0.15">
      <c r="B3837" s="71" t="s">
        <v>161</v>
      </c>
      <c r="C3837" s="15">
        <v>1</v>
      </c>
      <c r="D3837" s="14">
        <f t="shared" si="431"/>
        <v>1</v>
      </c>
      <c r="E3837" s="74">
        <v>44221</v>
      </c>
      <c r="F3837" s="71"/>
      <c r="G3837" s="15"/>
      <c r="H3837" s="14">
        <f t="shared" si="432"/>
        <v>0</v>
      </c>
      <c r="I3837" s="74"/>
      <c r="J3837" s="36"/>
      <c r="K3837" s="4"/>
      <c r="L3837" s="15"/>
      <c r="M3837" s="14">
        <f t="shared" si="430"/>
        <v>0</v>
      </c>
    </row>
    <row r="3838" spans="2:13" x14ac:dyDescent="0.15">
      <c r="B3838" s="71" t="s">
        <v>161</v>
      </c>
      <c r="C3838" s="15">
        <v>2</v>
      </c>
      <c r="D3838" s="14">
        <f t="shared" si="431"/>
        <v>2</v>
      </c>
      <c r="E3838" s="74">
        <v>44224</v>
      </c>
      <c r="F3838" s="71"/>
      <c r="G3838" s="15"/>
      <c r="H3838" s="14">
        <f t="shared" si="432"/>
        <v>0</v>
      </c>
      <c r="I3838" s="74"/>
      <c r="J3838" s="36"/>
      <c r="K3838" s="4"/>
      <c r="L3838" s="15"/>
      <c r="M3838" s="14">
        <f t="shared" si="430"/>
        <v>0</v>
      </c>
    </row>
    <row r="3839" spans="2:13" x14ac:dyDescent="0.15">
      <c r="B3839" s="71" t="s">
        <v>161</v>
      </c>
      <c r="C3839" s="15">
        <v>3</v>
      </c>
      <c r="D3839" s="14">
        <f t="shared" si="431"/>
        <v>3</v>
      </c>
      <c r="E3839" s="74">
        <v>44229</v>
      </c>
      <c r="F3839" s="71"/>
      <c r="G3839" s="15"/>
      <c r="H3839" s="14">
        <f t="shared" si="432"/>
        <v>0</v>
      </c>
      <c r="I3839" s="74"/>
      <c r="J3839" s="51"/>
      <c r="K3839" s="4"/>
      <c r="L3839" s="15"/>
      <c r="M3839" s="14">
        <f t="shared" si="430"/>
        <v>0</v>
      </c>
    </row>
    <row r="3840" spans="2:13" x14ac:dyDescent="0.15">
      <c r="B3840" s="71" t="s">
        <v>161</v>
      </c>
      <c r="C3840" s="15">
        <v>2</v>
      </c>
      <c r="D3840" s="14">
        <f t="shared" si="431"/>
        <v>2</v>
      </c>
      <c r="E3840" s="74">
        <v>44231</v>
      </c>
      <c r="F3840" s="71"/>
      <c r="G3840" s="15"/>
      <c r="H3840" s="14">
        <f t="shared" si="432"/>
        <v>0</v>
      </c>
      <c r="I3840" s="74"/>
      <c r="J3840" s="51"/>
      <c r="K3840" s="4"/>
      <c r="L3840" s="15"/>
      <c r="M3840" s="14">
        <f t="shared" si="430"/>
        <v>0</v>
      </c>
    </row>
    <row r="3841" spans="1:13" x14ac:dyDescent="0.15">
      <c r="B3841" s="71" t="s">
        <v>161</v>
      </c>
      <c r="C3841" s="15">
        <v>2</v>
      </c>
      <c r="D3841" s="14">
        <f t="shared" si="431"/>
        <v>2</v>
      </c>
      <c r="E3841" s="74">
        <v>44239</v>
      </c>
      <c r="F3841" s="71"/>
      <c r="G3841" s="15"/>
      <c r="H3841" s="14">
        <f t="shared" si="432"/>
        <v>0</v>
      </c>
      <c r="I3841" s="74"/>
      <c r="J3841" s="36"/>
      <c r="K3841" s="172"/>
      <c r="L3841" s="15"/>
      <c r="M3841" s="14">
        <f>SUM(L3841)</f>
        <v>0</v>
      </c>
    </row>
    <row r="3842" spans="1:13" x14ac:dyDescent="0.15">
      <c r="B3842" s="71" t="s">
        <v>161</v>
      </c>
      <c r="C3842" s="15">
        <v>3</v>
      </c>
      <c r="D3842" s="14">
        <f t="shared" si="431"/>
        <v>3</v>
      </c>
      <c r="E3842" s="74">
        <v>44242</v>
      </c>
      <c r="F3842" s="71"/>
      <c r="G3842" s="15"/>
      <c r="H3842" s="14">
        <f t="shared" si="432"/>
        <v>0</v>
      </c>
      <c r="I3842" s="74"/>
      <c r="J3842" s="51"/>
      <c r="K3842" s="173"/>
      <c r="L3842" s="15"/>
      <c r="M3842" s="14">
        <f>SUM(L3842:L3842)</f>
        <v>0</v>
      </c>
    </row>
    <row r="3843" spans="1:13" x14ac:dyDescent="0.15">
      <c r="B3843" s="71" t="s">
        <v>161</v>
      </c>
      <c r="C3843" s="15">
        <v>2</v>
      </c>
      <c r="D3843" s="14">
        <f>SUM(C3843)</f>
        <v>2</v>
      </c>
      <c r="E3843" s="74">
        <v>44243</v>
      </c>
      <c r="F3843" s="71"/>
      <c r="G3843" s="15"/>
      <c r="H3843" s="14">
        <f t="shared" ref="H3843:H3850" si="433">SUM(G3843)</f>
        <v>0</v>
      </c>
      <c r="I3843" s="74"/>
      <c r="J3843" s="51"/>
      <c r="K3843" s="4"/>
      <c r="L3843" s="15"/>
      <c r="M3843" s="14">
        <f>SUM(L3843:L3843)</f>
        <v>0</v>
      </c>
    </row>
    <row r="3844" spans="1:13" x14ac:dyDescent="0.15">
      <c r="B3844" s="71" t="s">
        <v>161</v>
      </c>
      <c r="C3844" s="15">
        <v>1</v>
      </c>
      <c r="D3844" s="14">
        <f>SUM(C3844)</f>
        <v>1</v>
      </c>
      <c r="E3844" s="74">
        <v>44244</v>
      </c>
      <c r="F3844" s="71"/>
      <c r="G3844" s="15"/>
      <c r="H3844" s="14">
        <f t="shared" si="433"/>
        <v>0</v>
      </c>
      <c r="I3844" s="74"/>
      <c r="J3844" s="51"/>
      <c r="K3844" s="6"/>
      <c r="L3844" s="15"/>
      <c r="M3844" s="14">
        <f>SUM(L3844:L3844)</f>
        <v>0</v>
      </c>
    </row>
    <row r="3845" spans="1:13" x14ac:dyDescent="0.15">
      <c r="B3845" s="71" t="s">
        <v>703</v>
      </c>
      <c r="C3845" s="15">
        <v>30</v>
      </c>
      <c r="D3845" s="14">
        <f>SUM(C3845)</f>
        <v>30</v>
      </c>
      <c r="E3845" s="74">
        <v>44250</v>
      </c>
      <c r="F3845" s="71"/>
      <c r="G3845" s="15"/>
      <c r="H3845" s="14">
        <f t="shared" si="433"/>
        <v>0</v>
      </c>
      <c r="I3845" s="74"/>
      <c r="J3845" s="51"/>
      <c r="K3845" s="6"/>
      <c r="L3845" s="15"/>
      <c r="M3845" s="14">
        <f>SUM(L3845:L3845)</f>
        <v>0</v>
      </c>
    </row>
    <row r="3846" spans="1:13" x14ac:dyDescent="0.15">
      <c r="B3846" s="71" t="s">
        <v>161</v>
      </c>
      <c r="C3846" s="15">
        <v>6</v>
      </c>
      <c r="D3846" s="14">
        <f t="shared" ref="D3846:D3852" si="434">SUM(C3846)</f>
        <v>6</v>
      </c>
      <c r="E3846" s="74">
        <v>44249</v>
      </c>
      <c r="F3846" s="71"/>
      <c r="G3846" s="15"/>
      <c r="H3846" s="14">
        <f t="shared" si="433"/>
        <v>0</v>
      </c>
      <c r="I3846" s="74"/>
      <c r="J3846" s="51"/>
      <c r="K3846" s="172"/>
      <c r="L3846" s="15"/>
      <c r="M3846" s="14">
        <f>SUM(L3846)</f>
        <v>0</v>
      </c>
    </row>
    <row r="3847" spans="1:13" x14ac:dyDescent="0.15">
      <c r="B3847" s="71" t="s">
        <v>161</v>
      </c>
      <c r="C3847" s="15">
        <v>2</v>
      </c>
      <c r="D3847" s="14">
        <f t="shared" si="434"/>
        <v>2</v>
      </c>
      <c r="E3847" s="74">
        <v>44260</v>
      </c>
      <c r="F3847" s="71"/>
      <c r="G3847" s="15"/>
      <c r="H3847" s="14">
        <f t="shared" si="433"/>
        <v>0</v>
      </c>
      <c r="I3847" s="74"/>
      <c r="J3847" s="51"/>
      <c r="K3847" s="173"/>
      <c r="L3847" s="15"/>
      <c r="M3847" s="14">
        <f>SUM(L3847:L3847)</f>
        <v>0</v>
      </c>
    </row>
    <row r="3848" spans="1:13" x14ac:dyDescent="0.15">
      <c r="B3848" s="71" t="s">
        <v>161</v>
      </c>
      <c r="C3848" s="15">
        <v>1</v>
      </c>
      <c r="D3848" s="14">
        <f t="shared" si="434"/>
        <v>1</v>
      </c>
      <c r="E3848" s="48">
        <v>44261</v>
      </c>
      <c r="F3848" s="71"/>
      <c r="G3848" s="15"/>
      <c r="H3848" s="14">
        <f t="shared" si="433"/>
        <v>0</v>
      </c>
      <c r="I3848" s="48"/>
      <c r="J3848" s="51"/>
      <c r="K3848" s="4"/>
      <c r="L3848" s="15"/>
      <c r="M3848" s="14">
        <f>SUM(L3848)</f>
        <v>0</v>
      </c>
    </row>
    <row r="3849" spans="1:13" x14ac:dyDescent="0.15">
      <c r="B3849" s="71" t="s">
        <v>161</v>
      </c>
      <c r="C3849" s="15">
        <v>4</v>
      </c>
      <c r="D3849" s="14">
        <f t="shared" si="434"/>
        <v>4</v>
      </c>
      <c r="E3849" s="74">
        <v>44263</v>
      </c>
      <c r="F3849" s="71"/>
      <c r="G3849" s="15"/>
      <c r="H3849" s="14">
        <f t="shared" si="433"/>
        <v>0</v>
      </c>
      <c r="I3849" s="74"/>
      <c r="J3849" s="51"/>
      <c r="K3849" s="6"/>
      <c r="L3849" s="15"/>
      <c r="M3849" s="14">
        <f>SUM(L3849:L3849)</f>
        <v>0</v>
      </c>
    </row>
    <row r="3850" spans="1:13" x14ac:dyDescent="0.15">
      <c r="B3850" s="71" t="s">
        <v>161</v>
      </c>
      <c r="C3850" s="15">
        <v>1</v>
      </c>
      <c r="D3850" s="14">
        <f t="shared" si="434"/>
        <v>1</v>
      </c>
      <c r="E3850" s="48">
        <v>44264</v>
      </c>
      <c r="F3850" s="71"/>
      <c r="G3850" s="15"/>
      <c r="H3850" s="14">
        <f t="shared" si="433"/>
        <v>0</v>
      </c>
      <c r="I3850" s="75"/>
      <c r="J3850" s="51"/>
      <c r="K3850" s="6"/>
      <c r="L3850" s="15"/>
      <c r="M3850" s="14">
        <f>SUM(L3850:L3850)</f>
        <v>0</v>
      </c>
    </row>
    <row r="3851" spans="1:13" x14ac:dyDescent="0.15">
      <c r="B3851" s="71" t="s">
        <v>161</v>
      </c>
      <c r="C3851" s="15">
        <f>2+2</f>
        <v>4</v>
      </c>
      <c r="D3851" s="14">
        <f t="shared" si="434"/>
        <v>4</v>
      </c>
      <c r="E3851" s="48">
        <v>44265</v>
      </c>
      <c r="F3851" s="6"/>
      <c r="G3851" s="15"/>
      <c r="H3851" s="14">
        <f>SUM(G3851:G3851)</f>
        <v>0</v>
      </c>
      <c r="I3851" s="75"/>
      <c r="J3851" s="51"/>
      <c r="K3851" s="4"/>
      <c r="L3851" s="15"/>
      <c r="M3851" s="14">
        <f>SUM(L3851)</f>
        <v>0</v>
      </c>
    </row>
    <row r="3852" spans="1:13" ht="14.25" thickBot="1" x14ac:dyDescent="0.2">
      <c r="B3852" s="71" t="s">
        <v>161</v>
      </c>
      <c r="C3852" s="15">
        <f>1+2</f>
        <v>3</v>
      </c>
      <c r="D3852" s="14">
        <f t="shared" si="434"/>
        <v>3</v>
      </c>
      <c r="E3852" s="48">
        <v>44266</v>
      </c>
      <c r="F3852" s="6"/>
      <c r="G3852" s="15"/>
      <c r="H3852" s="14">
        <f>SUM(G3852:G3852)</f>
        <v>0</v>
      </c>
      <c r="I3852" s="75"/>
      <c r="J3852" s="51"/>
      <c r="K3852" s="6"/>
      <c r="L3852" s="15"/>
      <c r="M3852" s="14">
        <f>SUM(L3852:L3852)</f>
        <v>0</v>
      </c>
    </row>
    <row r="3853" spans="1:13" ht="14.25" thickBot="1" x14ac:dyDescent="0.2">
      <c r="B3853" s="3" t="s">
        <v>5</v>
      </c>
      <c r="C3853" s="16">
        <f>SUM(C3829:C3852)</f>
        <v>77</v>
      </c>
      <c r="D3853" s="17">
        <f>SUM(D3829:D3852)</f>
        <v>77</v>
      </c>
      <c r="F3853" s="3" t="s">
        <v>5</v>
      </c>
      <c r="G3853" s="16">
        <f>SUM(G3829:G3852)</f>
        <v>200</v>
      </c>
      <c r="H3853" s="17">
        <f>SUM(H3829:H3852)</f>
        <v>200</v>
      </c>
      <c r="K3853" s="3" t="s">
        <v>5</v>
      </c>
      <c r="L3853" s="16">
        <f>SUM(L3829:L3852)</f>
        <v>0</v>
      </c>
      <c r="M3853" s="17">
        <f>SUM(M3829:M3852)</f>
        <v>0</v>
      </c>
    </row>
    <row r="3854" spans="1:13" ht="14.25" thickBot="1" x14ac:dyDescent="0.2">
      <c r="B3854" s="18" t="s">
        <v>6</v>
      </c>
      <c r="C3854" s="19">
        <f>C3828-C3853</f>
        <v>246</v>
      </c>
      <c r="D3854" s="13">
        <f>D3828-D3853</f>
        <v>246</v>
      </c>
      <c r="F3854" s="18" t="s">
        <v>6</v>
      </c>
      <c r="G3854" s="19">
        <f>G3828-G3853</f>
        <v>5633</v>
      </c>
      <c r="H3854" s="13">
        <f>H3828-H3853</f>
        <v>5633</v>
      </c>
      <c r="K3854" s="18" t="s">
        <v>6</v>
      </c>
      <c r="L3854" s="19">
        <f>L3828-L3853</f>
        <v>0</v>
      </c>
      <c r="M3854" s="13">
        <f>M3828-M3853</f>
        <v>0</v>
      </c>
    </row>
    <row r="3856" spans="1:13" ht="18" thickBot="1" x14ac:dyDescent="0.25">
      <c r="A3856" s="27" t="s">
        <v>8</v>
      </c>
      <c r="B3856" s="28"/>
      <c r="C3856" s="28"/>
      <c r="D3856" s="28"/>
      <c r="F3856" s="175" t="s">
        <v>651</v>
      </c>
      <c r="G3856" s="176"/>
      <c r="H3856" s="176"/>
      <c r="J3856" s="139" t="s">
        <v>218</v>
      </c>
      <c r="K3856" s="140"/>
      <c r="L3856" s="140"/>
      <c r="M3856" s="140"/>
    </row>
    <row r="3857" spans="1:13" ht="14.25" thickBot="1" x14ac:dyDescent="0.2">
      <c r="B3857" s="2"/>
      <c r="C3857" s="3" t="s">
        <v>0</v>
      </c>
      <c r="D3857" s="2" t="s">
        <v>1</v>
      </c>
      <c r="F3857" s="2"/>
      <c r="G3857" s="3" t="s">
        <v>0</v>
      </c>
      <c r="H3857" s="2" t="s">
        <v>1</v>
      </c>
      <c r="K3857" s="2"/>
      <c r="L3857" s="3" t="s">
        <v>0</v>
      </c>
      <c r="M3857" s="2" t="s">
        <v>1</v>
      </c>
    </row>
    <row r="3858" spans="1:13" x14ac:dyDescent="0.15">
      <c r="B3858" s="43" t="s">
        <v>26</v>
      </c>
      <c r="C3858" s="38">
        <f>C3854</f>
        <v>246</v>
      </c>
      <c r="D3858" s="39">
        <f t="shared" ref="D3858:D3868" si="435">SUM(C3858:C3858)</f>
        <v>246</v>
      </c>
      <c r="F3858" s="43" t="s">
        <v>26</v>
      </c>
      <c r="G3858" s="38">
        <f>G3854</f>
        <v>5633</v>
      </c>
      <c r="H3858" s="39">
        <f>SUM(G3858:G3858)</f>
        <v>5633</v>
      </c>
      <c r="K3858" s="43" t="s">
        <v>26</v>
      </c>
      <c r="L3858" s="38">
        <f>L3854</f>
        <v>0</v>
      </c>
      <c r="M3858" s="39">
        <f t="shared" ref="M3858:M3865" si="436">SUM(L3858:L3858)</f>
        <v>0</v>
      </c>
    </row>
    <row r="3859" spans="1:13" x14ac:dyDescent="0.15">
      <c r="B3859" s="6" t="s">
        <v>3</v>
      </c>
      <c r="C3859" s="7">
        <v>200</v>
      </c>
      <c r="D3859" s="5">
        <f t="shared" si="435"/>
        <v>200</v>
      </c>
      <c r="E3859" s="74">
        <v>44273</v>
      </c>
      <c r="F3859" s="6" t="s">
        <v>3</v>
      </c>
      <c r="G3859" s="7"/>
      <c r="H3859" s="5">
        <f>SUM(G3859:G3859)</f>
        <v>0</v>
      </c>
      <c r="I3859" s="74"/>
      <c r="J3859" s="75"/>
      <c r="K3859" s="6" t="s">
        <v>3</v>
      </c>
      <c r="L3859" s="7"/>
      <c r="M3859" s="5">
        <f t="shared" si="436"/>
        <v>0</v>
      </c>
    </row>
    <row r="3860" spans="1:13" x14ac:dyDescent="0.15">
      <c r="A3860" s="75"/>
      <c r="B3860" s="6" t="s">
        <v>714</v>
      </c>
      <c r="C3860" s="7">
        <v>1</v>
      </c>
      <c r="D3860" s="5">
        <f t="shared" si="435"/>
        <v>1</v>
      </c>
      <c r="E3860" s="74">
        <v>44281</v>
      </c>
      <c r="F3860" s="6" t="s">
        <v>3</v>
      </c>
      <c r="G3860" s="7"/>
      <c r="H3860" s="5">
        <f>SUM(G3860:G3860)</f>
        <v>0</v>
      </c>
      <c r="I3860" s="74"/>
      <c r="K3860" s="6" t="s">
        <v>3</v>
      </c>
      <c r="L3860" s="7"/>
      <c r="M3860" s="5">
        <f t="shared" si="436"/>
        <v>0</v>
      </c>
    </row>
    <row r="3861" spans="1:13" x14ac:dyDescent="0.15">
      <c r="A3861" s="75"/>
      <c r="B3861" s="6" t="s">
        <v>3</v>
      </c>
      <c r="C3861" s="7">
        <v>200</v>
      </c>
      <c r="D3861" s="5">
        <f t="shared" si="435"/>
        <v>200</v>
      </c>
      <c r="E3861" s="74">
        <v>44299</v>
      </c>
      <c r="F3861" s="6" t="s">
        <v>3</v>
      </c>
      <c r="G3861" s="7"/>
      <c r="H3861" s="5">
        <f t="shared" ref="H3861:H3868" si="437">SUM(G3861:G3861)</f>
        <v>0</v>
      </c>
      <c r="I3861" s="74"/>
      <c r="J3861" s="100"/>
      <c r="K3861" s="6" t="s">
        <v>3</v>
      </c>
      <c r="L3861" s="7"/>
      <c r="M3861" s="5">
        <f t="shared" si="436"/>
        <v>0</v>
      </c>
    </row>
    <row r="3862" spans="1:13" x14ac:dyDescent="0.15">
      <c r="B3862" s="6" t="s">
        <v>3</v>
      </c>
      <c r="C3862" s="7"/>
      <c r="D3862" s="5">
        <f t="shared" si="435"/>
        <v>0</v>
      </c>
      <c r="E3862" s="74"/>
      <c r="F3862" s="6" t="s">
        <v>3</v>
      </c>
      <c r="G3862" s="7"/>
      <c r="H3862" s="5">
        <f t="shared" si="437"/>
        <v>0</v>
      </c>
      <c r="I3862" s="74"/>
      <c r="K3862" s="6" t="s">
        <v>3</v>
      </c>
      <c r="L3862" s="7"/>
      <c r="M3862" s="5">
        <f t="shared" si="436"/>
        <v>0</v>
      </c>
    </row>
    <row r="3863" spans="1:13" x14ac:dyDescent="0.15">
      <c r="B3863" s="6" t="s">
        <v>3</v>
      </c>
      <c r="C3863" s="7"/>
      <c r="D3863" s="5">
        <f t="shared" si="435"/>
        <v>0</v>
      </c>
      <c r="E3863" s="74"/>
      <c r="F3863" s="6" t="s">
        <v>3</v>
      </c>
      <c r="G3863" s="7"/>
      <c r="H3863" s="5">
        <f t="shared" si="437"/>
        <v>0</v>
      </c>
      <c r="I3863" s="74"/>
      <c r="K3863" s="6" t="s">
        <v>3</v>
      </c>
      <c r="L3863" s="7"/>
      <c r="M3863" s="5">
        <f t="shared" si="436"/>
        <v>0</v>
      </c>
    </row>
    <row r="3864" spans="1:13" x14ac:dyDescent="0.15">
      <c r="B3864" s="6" t="s">
        <v>3</v>
      </c>
      <c r="C3864" s="7"/>
      <c r="D3864" s="5">
        <f t="shared" si="435"/>
        <v>0</v>
      </c>
      <c r="E3864" s="74"/>
      <c r="F3864" s="6" t="s">
        <v>3</v>
      </c>
      <c r="G3864" s="7"/>
      <c r="H3864" s="5">
        <f t="shared" si="437"/>
        <v>0</v>
      </c>
      <c r="I3864" s="74"/>
      <c r="K3864" s="6" t="s">
        <v>3</v>
      </c>
      <c r="L3864" s="7"/>
      <c r="M3864" s="5">
        <f t="shared" si="436"/>
        <v>0</v>
      </c>
    </row>
    <row r="3865" spans="1:13" x14ac:dyDescent="0.15">
      <c r="B3865" s="6" t="s">
        <v>3</v>
      </c>
      <c r="C3865" s="54"/>
      <c r="D3865" s="5">
        <f t="shared" si="435"/>
        <v>0</v>
      </c>
      <c r="F3865" s="6" t="s">
        <v>3</v>
      </c>
      <c r="G3865" s="54"/>
      <c r="H3865" s="5">
        <f t="shared" si="437"/>
        <v>0</v>
      </c>
      <c r="K3865" s="6" t="s">
        <v>3</v>
      </c>
      <c r="L3865" s="7"/>
      <c r="M3865" s="5">
        <f t="shared" si="436"/>
        <v>0</v>
      </c>
    </row>
    <row r="3866" spans="1:13" x14ac:dyDescent="0.15">
      <c r="B3866" s="6" t="s">
        <v>3</v>
      </c>
      <c r="C3866" s="54"/>
      <c r="D3866" s="5">
        <f t="shared" si="435"/>
        <v>0</v>
      </c>
      <c r="F3866" s="6" t="s">
        <v>3</v>
      </c>
      <c r="G3866" s="54"/>
      <c r="H3866" s="5">
        <f t="shared" si="437"/>
        <v>0</v>
      </c>
      <c r="K3866" s="6" t="s">
        <v>3</v>
      </c>
      <c r="L3866" s="7"/>
      <c r="M3866" s="5">
        <f>SUM(L3866:L3866)</f>
        <v>0</v>
      </c>
    </row>
    <row r="3867" spans="1:13" x14ac:dyDescent="0.15">
      <c r="B3867" s="6" t="s">
        <v>3</v>
      </c>
      <c r="C3867" s="54"/>
      <c r="D3867" s="5">
        <f t="shared" si="435"/>
        <v>0</v>
      </c>
      <c r="F3867" s="6" t="s">
        <v>3</v>
      </c>
      <c r="G3867" s="54"/>
      <c r="H3867" s="5">
        <f t="shared" si="437"/>
        <v>0</v>
      </c>
      <c r="K3867" s="6" t="s">
        <v>3</v>
      </c>
      <c r="L3867" s="7"/>
      <c r="M3867" s="5">
        <f>SUM(L3867:L3867)</f>
        <v>0</v>
      </c>
    </row>
    <row r="3868" spans="1:13" ht="14.25" thickBot="1" x14ac:dyDescent="0.2">
      <c r="B3868" s="9" t="s">
        <v>3</v>
      </c>
      <c r="C3868" s="101"/>
      <c r="D3868" s="5">
        <f t="shared" si="435"/>
        <v>0</v>
      </c>
      <c r="F3868" s="9" t="s">
        <v>3</v>
      </c>
      <c r="G3868" s="101"/>
      <c r="H3868" s="5">
        <f t="shared" si="437"/>
        <v>0</v>
      </c>
      <c r="K3868" s="9" t="s">
        <v>3</v>
      </c>
      <c r="L3868" s="10"/>
      <c r="M3868" s="5">
        <f>SUM(L3868:L3868)</f>
        <v>0</v>
      </c>
    </row>
    <row r="3869" spans="1:13" ht="14.25" thickBot="1" x14ac:dyDescent="0.2">
      <c r="B3869" s="11" t="s">
        <v>4</v>
      </c>
      <c r="C3869" s="12">
        <f>SUM(C3858:C3868)</f>
        <v>647</v>
      </c>
      <c r="D3869" s="13">
        <f>SUM(D3858:D3868)</f>
        <v>647</v>
      </c>
      <c r="F3869" s="11" t="s">
        <v>4</v>
      </c>
      <c r="G3869" s="12">
        <f>SUM(G3858:G3868)</f>
        <v>5633</v>
      </c>
      <c r="H3869" s="13">
        <f>SUM(H3858:H3868)</f>
        <v>5633</v>
      </c>
      <c r="K3869" s="11" t="s">
        <v>4</v>
      </c>
      <c r="L3869" s="12">
        <f>SUM(L3858:L3868)</f>
        <v>0</v>
      </c>
      <c r="M3869" s="13">
        <f>SUM(M3858:M3868)</f>
        <v>0</v>
      </c>
    </row>
    <row r="3870" spans="1:13" x14ac:dyDescent="0.15">
      <c r="B3870" s="71" t="s">
        <v>161</v>
      </c>
      <c r="C3870" s="15">
        <v>2</v>
      </c>
      <c r="D3870" s="14">
        <f>SUM(C3870)</f>
        <v>2</v>
      </c>
      <c r="E3870" s="74">
        <v>44270</v>
      </c>
      <c r="F3870" s="71" t="s">
        <v>707</v>
      </c>
      <c r="G3870" s="15">
        <v>300</v>
      </c>
      <c r="H3870" s="14">
        <f>SUM(G3870)</f>
        <v>300</v>
      </c>
      <c r="I3870" s="74">
        <v>44273</v>
      </c>
      <c r="J3870" s="75"/>
      <c r="K3870" s="71"/>
      <c r="L3870" s="15"/>
      <c r="M3870" s="14">
        <f>SUM(L3870)</f>
        <v>0</v>
      </c>
    </row>
    <row r="3871" spans="1:13" x14ac:dyDescent="0.15">
      <c r="B3871" s="6" t="s">
        <v>710</v>
      </c>
      <c r="C3871" s="15">
        <v>40</v>
      </c>
      <c r="D3871" s="14">
        <f>SUM(C3871)</f>
        <v>40</v>
      </c>
      <c r="E3871" s="74">
        <v>44277</v>
      </c>
      <c r="F3871" s="71" t="s">
        <v>712</v>
      </c>
      <c r="G3871" s="15">
        <v>200</v>
      </c>
      <c r="H3871" s="14">
        <f>SUM(G3871)</f>
        <v>200</v>
      </c>
      <c r="I3871" s="74">
        <v>44273</v>
      </c>
      <c r="J3871" s="36"/>
      <c r="K3871" s="71"/>
      <c r="L3871" s="15"/>
      <c r="M3871" s="14">
        <f t="shared" ref="M3871:M3881" si="438">SUM(L3871:L3871)</f>
        <v>0</v>
      </c>
    </row>
    <row r="3872" spans="1:13" x14ac:dyDescent="0.15">
      <c r="B3872" s="6" t="s">
        <v>711</v>
      </c>
      <c r="C3872" s="15">
        <v>80</v>
      </c>
      <c r="D3872" s="14">
        <f>SUM(C3872)</f>
        <v>80</v>
      </c>
      <c r="E3872" s="74">
        <v>44277</v>
      </c>
      <c r="F3872" s="71" t="s">
        <v>715</v>
      </c>
      <c r="G3872" s="15">
        <v>200</v>
      </c>
      <c r="H3872" s="14">
        <f>SUM(G3872)</f>
        <v>200</v>
      </c>
      <c r="I3872" s="74">
        <v>44286</v>
      </c>
      <c r="J3872" s="51"/>
      <c r="K3872" s="71"/>
      <c r="L3872" s="15"/>
      <c r="M3872" s="14">
        <f t="shared" si="438"/>
        <v>0</v>
      </c>
    </row>
    <row r="3873" spans="2:13" x14ac:dyDescent="0.15">
      <c r="B3873" s="71" t="s">
        <v>161</v>
      </c>
      <c r="C3873" s="15">
        <v>2</v>
      </c>
      <c r="D3873" s="14">
        <f t="shared" ref="D3873:D3883" si="439">SUM(C3873)</f>
        <v>2</v>
      </c>
      <c r="E3873" s="74">
        <v>44272</v>
      </c>
      <c r="F3873" s="71" t="s">
        <v>718</v>
      </c>
      <c r="G3873" s="15">
        <v>100</v>
      </c>
      <c r="H3873" s="14">
        <f t="shared" ref="H3873:H3883" si="440">SUM(G3873)</f>
        <v>100</v>
      </c>
      <c r="I3873" s="74">
        <v>44288</v>
      </c>
      <c r="J3873" s="51"/>
      <c r="K3873" s="71"/>
      <c r="L3873" s="15"/>
      <c r="M3873" s="14">
        <f t="shared" si="438"/>
        <v>0</v>
      </c>
    </row>
    <row r="3874" spans="2:13" x14ac:dyDescent="0.15">
      <c r="B3874" s="71" t="s">
        <v>161</v>
      </c>
      <c r="C3874" s="15">
        <f>2+2</f>
        <v>4</v>
      </c>
      <c r="D3874" s="14">
        <f t="shared" si="439"/>
        <v>4</v>
      </c>
      <c r="E3874" s="74">
        <v>44274</v>
      </c>
      <c r="F3874" s="71" t="s">
        <v>720</v>
      </c>
      <c r="G3874" s="15">
        <v>200</v>
      </c>
      <c r="H3874" s="14">
        <f t="shared" si="440"/>
        <v>200</v>
      </c>
      <c r="I3874" s="74">
        <v>44301</v>
      </c>
      <c r="J3874" s="51"/>
      <c r="K3874" s="4"/>
      <c r="L3874" s="15"/>
      <c r="M3874" s="14">
        <f t="shared" si="438"/>
        <v>0</v>
      </c>
    </row>
    <row r="3875" spans="2:13" x14ac:dyDescent="0.15">
      <c r="B3875" s="71" t="s">
        <v>161</v>
      </c>
      <c r="C3875" s="15">
        <f>2+13+1+2</f>
        <v>18</v>
      </c>
      <c r="D3875" s="14">
        <f t="shared" si="439"/>
        <v>18</v>
      </c>
      <c r="E3875" s="74">
        <v>44277</v>
      </c>
      <c r="F3875" s="71" t="s">
        <v>31</v>
      </c>
      <c r="G3875" s="15">
        <v>200</v>
      </c>
      <c r="H3875" s="14">
        <f t="shared" si="440"/>
        <v>200</v>
      </c>
      <c r="I3875" s="74">
        <v>44299</v>
      </c>
      <c r="J3875" s="51"/>
      <c r="K3875" s="71"/>
      <c r="L3875" s="15"/>
      <c r="M3875" s="14">
        <f t="shared" si="438"/>
        <v>0</v>
      </c>
    </row>
    <row r="3876" spans="2:13" x14ac:dyDescent="0.15">
      <c r="B3876" s="71" t="s">
        <v>161</v>
      </c>
      <c r="C3876" s="15">
        <v>3</v>
      </c>
      <c r="D3876" s="14">
        <f t="shared" si="439"/>
        <v>3</v>
      </c>
      <c r="E3876" s="74">
        <v>44278</v>
      </c>
      <c r="F3876" s="71" t="s">
        <v>727</v>
      </c>
      <c r="G3876" s="15">
        <v>2400</v>
      </c>
      <c r="H3876" s="14">
        <f t="shared" si="440"/>
        <v>2400</v>
      </c>
      <c r="I3876" s="74">
        <v>44312</v>
      </c>
      <c r="J3876" s="51"/>
      <c r="K3876" s="4"/>
      <c r="L3876" s="15"/>
      <c r="M3876" s="14">
        <f t="shared" si="438"/>
        <v>0</v>
      </c>
    </row>
    <row r="3877" spans="2:13" x14ac:dyDescent="0.15">
      <c r="B3877" s="71" t="s">
        <v>161</v>
      </c>
      <c r="C3877" s="15">
        <f>3+2</f>
        <v>5</v>
      </c>
      <c r="D3877" s="14">
        <f t="shared" si="439"/>
        <v>5</v>
      </c>
      <c r="E3877" s="74">
        <v>44279</v>
      </c>
      <c r="F3877" s="71"/>
      <c r="G3877" s="15"/>
      <c r="H3877" s="14">
        <f t="shared" si="440"/>
        <v>0</v>
      </c>
      <c r="I3877" s="74"/>
      <c r="J3877" s="51"/>
      <c r="K3877" s="6"/>
      <c r="L3877" s="15"/>
      <c r="M3877" s="14">
        <f t="shared" si="438"/>
        <v>0</v>
      </c>
    </row>
    <row r="3878" spans="2:13" x14ac:dyDescent="0.15">
      <c r="B3878" s="71" t="s">
        <v>161</v>
      </c>
      <c r="C3878" s="15">
        <v>4</v>
      </c>
      <c r="D3878" s="14">
        <f t="shared" si="439"/>
        <v>4</v>
      </c>
      <c r="E3878" s="74">
        <v>44280</v>
      </c>
      <c r="F3878" s="71"/>
      <c r="G3878" s="15"/>
      <c r="H3878" s="14">
        <f t="shared" si="440"/>
        <v>0</v>
      </c>
      <c r="I3878" s="74"/>
      <c r="J3878" s="36"/>
      <c r="K3878" s="4"/>
      <c r="L3878" s="15"/>
      <c r="M3878" s="14">
        <f t="shared" si="438"/>
        <v>0</v>
      </c>
    </row>
    <row r="3879" spans="2:13" x14ac:dyDescent="0.15">
      <c r="B3879" s="71" t="s">
        <v>161</v>
      </c>
      <c r="C3879" s="15">
        <f>2+3</f>
        <v>5</v>
      </c>
      <c r="D3879" s="14">
        <f t="shared" si="439"/>
        <v>5</v>
      </c>
      <c r="E3879" s="74">
        <v>44281</v>
      </c>
      <c r="F3879" s="71"/>
      <c r="G3879" s="15"/>
      <c r="H3879" s="14">
        <f t="shared" si="440"/>
        <v>0</v>
      </c>
      <c r="I3879" s="74"/>
      <c r="J3879" s="36"/>
      <c r="K3879" s="4"/>
      <c r="L3879" s="15"/>
      <c r="M3879" s="14">
        <f t="shared" si="438"/>
        <v>0</v>
      </c>
    </row>
    <row r="3880" spans="2:13" x14ac:dyDescent="0.15">
      <c r="B3880" s="71" t="s">
        <v>526</v>
      </c>
      <c r="C3880" s="15">
        <v>50</v>
      </c>
      <c r="D3880" s="14">
        <f t="shared" si="439"/>
        <v>50</v>
      </c>
      <c r="E3880" s="74">
        <v>44285</v>
      </c>
      <c r="F3880" s="71"/>
      <c r="G3880" s="15"/>
      <c r="H3880" s="14">
        <f t="shared" si="440"/>
        <v>0</v>
      </c>
      <c r="I3880" s="74"/>
      <c r="J3880" s="51"/>
      <c r="K3880" s="4"/>
      <c r="L3880" s="15"/>
      <c r="M3880" s="14">
        <f t="shared" si="438"/>
        <v>0</v>
      </c>
    </row>
    <row r="3881" spans="2:13" x14ac:dyDescent="0.15">
      <c r="B3881" s="71" t="s">
        <v>161</v>
      </c>
      <c r="C3881" s="15">
        <f>5+6</f>
        <v>11</v>
      </c>
      <c r="D3881" s="14">
        <f t="shared" si="439"/>
        <v>11</v>
      </c>
      <c r="E3881" s="74">
        <v>44284</v>
      </c>
      <c r="F3881" s="71"/>
      <c r="G3881" s="15"/>
      <c r="H3881" s="14">
        <f t="shared" si="440"/>
        <v>0</v>
      </c>
      <c r="I3881" s="74"/>
      <c r="J3881" s="51"/>
      <c r="K3881" s="4"/>
      <c r="L3881" s="15"/>
      <c r="M3881" s="14">
        <f t="shared" si="438"/>
        <v>0</v>
      </c>
    </row>
    <row r="3882" spans="2:13" x14ac:dyDescent="0.15">
      <c r="B3882" s="71" t="s">
        <v>161</v>
      </c>
      <c r="C3882" s="15">
        <f>3+1</f>
        <v>4</v>
      </c>
      <c r="D3882" s="14">
        <f t="shared" si="439"/>
        <v>4</v>
      </c>
      <c r="E3882" s="74">
        <v>44285</v>
      </c>
      <c r="F3882" s="71"/>
      <c r="G3882" s="15"/>
      <c r="H3882" s="14">
        <f t="shared" si="440"/>
        <v>0</v>
      </c>
      <c r="I3882" s="74"/>
      <c r="J3882" s="36"/>
      <c r="K3882" s="172"/>
      <c r="L3882" s="15"/>
      <c r="M3882" s="14">
        <f>SUM(L3882)</f>
        <v>0</v>
      </c>
    </row>
    <row r="3883" spans="2:13" x14ac:dyDescent="0.15">
      <c r="B3883" s="71" t="s">
        <v>161</v>
      </c>
      <c r="C3883" s="15">
        <v>10</v>
      </c>
      <c r="D3883" s="14">
        <f t="shared" si="439"/>
        <v>10</v>
      </c>
      <c r="E3883" s="74">
        <v>44286</v>
      </c>
      <c r="F3883" s="71"/>
      <c r="G3883" s="15"/>
      <c r="H3883" s="14">
        <f t="shared" si="440"/>
        <v>0</v>
      </c>
      <c r="I3883" s="74"/>
      <c r="J3883" s="51"/>
      <c r="K3883" s="173"/>
      <c r="L3883" s="15"/>
      <c r="M3883" s="14">
        <f>SUM(L3883:L3883)</f>
        <v>0</v>
      </c>
    </row>
    <row r="3884" spans="2:13" x14ac:dyDescent="0.15">
      <c r="B3884" s="71" t="s">
        <v>719</v>
      </c>
      <c r="C3884" s="15">
        <v>1</v>
      </c>
      <c r="D3884" s="14">
        <f>SUM(C3884)</f>
        <v>1</v>
      </c>
      <c r="E3884" s="74">
        <v>44287</v>
      </c>
      <c r="F3884" s="71"/>
      <c r="G3884" s="15"/>
      <c r="H3884" s="14">
        <f t="shared" ref="H3884:H3888" si="441">SUM(G3884)</f>
        <v>0</v>
      </c>
      <c r="I3884" s="74"/>
      <c r="J3884" s="51"/>
      <c r="K3884" s="4"/>
      <c r="L3884" s="15"/>
      <c r="M3884" s="14">
        <f>SUM(L3884:L3884)</f>
        <v>0</v>
      </c>
    </row>
    <row r="3885" spans="2:13" x14ac:dyDescent="0.15">
      <c r="B3885" s="71" t="s">
        <v>161</v>
      </c>
      <c r="C3885" s="15">
        <v>1</v>
      </c>
      <c r="D3885" s="14">
        <f>SUM(C3885)</f>
        <v>1</v>
      </c>
      <c r="E3885" s="74">
        <v>44287</v>
      </c>
      <c r="F3885" s="71"/>
      <c r="G3885" s="15"/>
      <c r="H3885" s="14">
        <f t="shared" si="441"/>
        <v>0</v>
      </c>
      <c r="I3885" s="74"/>
      <c r="J3885" s="51"/>
      <c r="K3885" s="6"/>
      <c r="L3885" s="15"/>
      <c r="M3885" s="14">
        <f>SUM(L3885:L3885)</f>
        <v>0</v>
      </c>
    </row>
    <row r="3886" spans="2:13" x14ac:dyDescent="0.15">
      <c r="B3886" s="71" t="s">
        <v>161</v>
      </c>
      <c r="C3886" s="15">
        <v>2</v>
      </c>
      <c r="D3886" s="14">
        <f>SUM(C3886)</f>
        <v>2</v>
      </c>
      <c r="E3886" s="74">
        <v>44288</v>
      </c>
      <c r="F3886" s="71"/>
      <c r="G3886" s="15"/>
      <c r="H3886" s="14">
        <f t="shared" si="441"/>
        <v>0</v>
      </c>
      <c r="I3886" s="74"/>
      <c r="J3886" s="51"/>
      <c r="K3886" s="6"/>
      <c r="L3886" s="15"/>
      <c r="M3886" s="14">
        <f>SUM(L3886:L3886)</f>
        <v>0</v>
      </c>
    </row>
    <row r="3887" spans="2:13" x14ac:dyDescent="0.15">
      <c r="B3887" s="71" t="s">
        <v>161</v>
      </c>
      <c r="C3887" s="15">
        <v>2</v>
      </c>
      <c r="D3887" s="14">
        <f t="shared" ref="D3887:D3893" si="442">SUM(C3887)</f>
        <v>2</v>
      </c>
      <c r="E3887" s="74">
        <v>44289</v>
      </c>
      <c r="F3887" s="71"/>
      <c r="G3887" s="15"/>
      <c r="H3887" s="14">
        <f t="shared" si="441"/>
        <v>0</v>
      </c>
      <c r="I3887" s="74"/>
      <c r="J3887" s="51"/>
      <c r="K3887" s="172"/>
      <c r="L3887" s="15"/>
      <c r="M3887" s="14">
        <f>SUM(L3887)</f>
        <v>0</v>
      </c>
    </row>
    <row r="3888" spans="2:13" x14ac:dyDescent="0.15">
      <c r="B3888" s="71" t="s">
        <v>161</v>
      </c>
      <c r="C3888" s="15">
        <v>1</v>
      </c>
      <c r="D3888" s="14">
        <f t="shared" si="442"/>
        <v>1</v>
      </c>
      <c r="E3888" s="74">
        <v>44291</v>
      </c>
      <c r="F3888" s="71"/>
      <c r="G3888" s="15"/>
      <c r="H3888" s="14">
        <f t="shared" si="441"/>
        <v>0</v>
      </c>
      <c r="I3888" s="74"/>
      <c r="J3888" s="51"/>
      <c r="K3888" s="173"/>
      <c r="L3888" s="15"/>
      <c r="M3888" s="14">
        <f>SUM(L3888:L3888)</f>
        <v>0</v>
      </c>
    </row>
    <row r="3889" spans="1:13" x14ac:dyDescent="0.15">
      <c r="B3889" s="71" t="s">
        <v>161</v>
      </c>
      <c r="C3889" s="15">
        <v>2</v>
      </c>
      <c r="D3889" s="14">
        <f t="shared" si="442"/>
        <v>2</v>
      </c>
      <c r="E3889" s="74">
        <v>44292</v>
      </c>
      <c r="F3889" s="71"/>
      <c r="G3889" s="15"/>
      <c r="H3889" s="14">
        <f t="shared" ref="H3889" si="443">SUM(G3889)</f>
        <v>0</v>
      </c>
      <c r="I3889" s="75"/>
      <c r="J3889" s="51"/>
      <c r="K3889" s="4"/>
      <c r="L3889" s="15"/>
      <c r="M3889" s="14">
        <f>SUM(L3889)</f>
        <v>0</v>
      </c>
    </row>
    <row r="3890" spans="1:13" x14ac:dyDescent="0.15">
      <c r="B3890" s="71" t="s">
        <v>731</v>
      </c>
      <c r="C3890" s="15">
        <v>30</v>
      </c>
      <c r="D3890" s="14">
        <f t="shared" si="442"/>
        <v>30</v>
      </c>
      <c r="E3890" s="74">
        <v>44293</v>
      </c>
      <c r="F3890" s="71" t="s">
        <v>701</v>
      </c>
      <c r="G3890" s="15"/>
      <c r="H3890" s="14">
        <f t="shared" ref="H3890:H3891" si="444">SUM(G3890)</f>
        <v>0</v>
      </c>
      <c r="I3890" s="75" t="s">
        <v>702</v>
      </c>
      <c r="J3890" s="51"/>
      <c r="K3890" s="6"/>
      <c r="L3890" s="15"/>
      <c r="M3890" s="14">
        <f>SUM(L3890:L3890)</f>
        <v>0</v>
      </c>
    </row>
    <row r="3891" spans="1:13" x14ac:dyDescent="0.15">
      <c r="B3891" s="71" t="s">
        <v>161</v>
      </c>
      <c r="C3891" s="15">
        <v>1</v>
      </c>
      <c r="D3891" s="14">
        <f t="shared" si="442"/>
        <v>1</v>
      </c>
      <c r="E3891" s="48">
        <v>44293</v>
      </c>
      <c r="F3891" s="71" t="s">
        <v>704</v>
      </c>
      <c r="G3891" s="15"/>
      <c r="H3891" s="14">
        <f t="shared" si="444"/>
        <v>0</v>
      </c>
      <c r="I3891" s="75" t="s">
        <v>709</v>
      </c>
      <c r="J3891" s="51"/>
      <c r="K3891" s="6"/>
      <c r="L3891" s="15"/>
      <c r="M3891" s="14">
        <f>SUM(L3891:L3891)</f>
        <v>0</v>
      </c>
    </row>
    <row r="3892" spans="1:13" x14ac:dyDescent="0.15">
      <c r="B3892" s="71" t="s">
        <v>161</v>
      </c>
      <c r="C3892" s="15">
        <f>7+2+2+1+1</f>
        <v>13</v>
      </c>
      <c r="D3892" s="14">
        <f t="shared" si="442"/>
        <v>13</v>
      </c>
      <c r="E3892" s="48">
        <v>44298</v>
      </c>
      <c r="F3892" s="6" t="s">
        <v>699</v>
      </c>
      <c r="G3892" s="15"/>
      <c r="H3892" s="14">
        <f>SUM(G3892:G3892)</f>
        <v>0</v>
      </c>
      <c r="I3892" s="75" t="s">
        <v>634</v>
      </c>
      <c r="J3892" s="51"/>
      <c r="K3892" s="4"/>
      <c r="L3892" s="15"/>
      <c r="M3892" s="14">
        <f>SUM(L3892)</f>
        <v>0</v>
      </c>
    </row>
    <row r="3893" spans="1:13" ht="14.25" thickBot="1" x14ac:dyDescent="0.2">
      <c r="B3893" s="71" t="s">
        <v>723</v>
      </c>
      <c r="C3893" s="15">
        <v>50</v>
      </c>
      <c r="D3893" s="14">
        <f t="shared" si="442"/>
        <v>50</v>
      </c>
      <c r="E3893" s="74">
        <v>44300</v>
      </c>
      <c r="F3893" s="6" t="s">
        <v>700</v>
      </c>
      <c r="G3893" s="15"/>
      <c r="H3893" s="14">
        <f>SUM(G3893:G3893)</f>
        <v>0</v>
      </c>
      <c r="I3893" s="75" t="s">
        <v>634</v>
      </c>
      <c r="J3893" s="51"/>
      <c r="K3893" s="6"/>
      <c r="L3893" s="15"/>
      <c r="M3893" s="14">
        <f>SUM(L3893:L3893)</f>
        <v>0</v>
      </c>
    </row>
    <row r="3894" spans="1:13" ht="14.25" thickBot="1" x14ac:dyDescent="0.2">
      <c r="B3894" s="3" t="s">
        <v>5</v>
      </c>
      <c r="C3894" s="16">
        <f>SUM(C3870:C3893)</f>
        <v>341</v>
      </c>
      <c r="D3894" s="17">
        <f>SUM(D3870:D3893)</f>
        <v>341</v>
      </c>
      <c r="F3894" s="3" t="s">
        <v>5</v>
      </c>
      <c r="G3894" s="16">
        <f>SUM(G3870:G3893)</f>
        <v>3600</v>
      </c>
      <c r="H3894" s="17">
        <f>SUM(H3870:H3893)</f>
        <v>3600</v>
      </c>
      <c r="K3894" s="3" t="s">
        <v>5</v>
      </c>
      <c r="L3894" s="16">
        <f>SUM(L3870:L3893)</f>
        <v>0</v>
      </c>
      <c r="M3894" s="17">
        <f>SUM(M3870:M3893)</f>
        <v>0</v>
      </c>
    </row>
    <row r="3895" spans="1:13" ht="14.25" thickBot="1" x14ac:dyDescent="0.2">
      <c r="B3895" s="18" t="s">
        <v>6</v>
      </c>
      <c r="C3895" s="19">
        <f>C3869-C3894</f>
        <v>306</v>
      </c>
      <c r="D3895" s="13">
        <f>D3869-D3894</f>
        <v>306</v>
      </c>
      <c r="F3895" s="18" t="s">
        <v>6</v>
      </c>
      <c r="G3895" s="19">
        <f>G3869-G3894</f>
        <v>2033</v>
      </c>
      <c r="H3895" s="13">
        <f>H3869-H3894</f>
        <v>2033</v>
      </c>
      <c r="K3895" s="18" t="s">
        <v>6</v>
      </c>
      <c r="L3895" s="19">
        <f>L3869-L3894</f>
        <v>0</v>
      </c>
      <c r="M3895" s="13">
        <f>M3869-M3894</f>
        <v>0</v>
      </c>
    </row>
    <row r="3897" spans="1:13" ht="18" thickBot="1" x14ac:dyDescent="0.25">
      <c r="A3897" s="27" t="s">
        <v>8</v>
      </c>
      <c r="B3897" s="28"/>
      <c r="C3897" s="28"/>
      <c r="D3897" s="28"/>
      <c r="F3897" s="175" t="s">
        <v>651</v>
      </c>
      <c r="G3897" s="176"/>
      <c r="H3897" s="176"/>
      <c r="J3897" s="139" t="s">
        <v>218</v>
      </c>
      <c r="K3897" s="140"/>
      <c r="L3897" s="140"/>
      <c r="M3897" s="140"/>
    </row>
    <row r="3898" spans="1:13" ht="14.25" thickBot="1" x14ac:dyDescent="0.2">
      <c r="B3898" s="2"/>
      <c r="C3898" s="3" t="s">
        <v>0</v>
      </c>
      <c r="D3898" s="2" t="s">
        <v>1</v>
      </c>
      <c r="F3898" s="2"/>
      <c r="G3898" s="3" t="s">
        <v>0</v>
      </c>
      <c r="H3898" s="2" t="s">
        <v>1</v>
      </c>
      <c r="K3898" s="2"/>
      <c r="L3898" s="3" t="s">
        <v>0</v>
      </c>
      <c r="M3898" s="2" t="s">
        <v>1</v>
      </c>
    </row>
    <row r="3899" spans="1:13" x14ac:dyDescent="0.15">
      <c r="B3899" s="43" t="s">
        <v>26</v>
      </c>
      <c r="C3899" s="38">
        <f>C3895</f>
        <v>306</v>
      </c>
      <c r="D3899" s="39">
        <f t="shared" ref="D3899:D3909" si="445">SUM(C3899:C3899)</f>
        <v>306</v>
      </c>
      <c r="F3899" s="43" t="s">
        <v>26</v>
      </c>
      <c r="G3899" s="38">
        <f>G3895</f>
        <v>2033</v>
      </c>
      <c r="H3899" s="39">
        <f>SUM(G3899:G3899)</f>
        <v>2033</v>
      </c>
      <c r="K3899" s="43" t="s">
        <v>26</v>
      </c>
      <c r="L3899" s="38">
        <f>L3895</f>
        <v>0</v>
      </c>
      <c r="M3899" s="39">
        <f t="shared" ref="M3899:M3906" si="446">SUM(L3899:L3899)</f>
        <v>0</v>
      </c>
    </row>
    <row r="3900" spans="1:13" x14ac:dyDescent="0.15">
      <c r="B3900" s="6" t="s">
        <v>3</v>
      </c>
      <c r="C3900" s="7">
        <v>100</v>
      </c>
      <c r="D3900" s="5">
        <f t="shared" si="445"/>
        <v>100</v>
      </c>
      <c r="E3900" s="74">
        <v>44314</v>
      </c>
      <c r="F3900" s="6" t="s">
        <v>3</v>
      </c>
      <c r="G3900" s="7"/>
      <c r="H3900" s="5">
        <f>SUM(G3900:G3900)</f>
        <v>0</v>
      </c>
      <c r="I3900" s="74"/>
      <c r="J3900" s="75"/>
      <c r="K3900" s="6" t="s">
        <v>3</v>
      </c>
      <c r="L3900" s="7"/>
      <c r="M3900" s="5">
        <f t="shared" si="446"/>
        <v>0</v>
      </c>
    </row>
    <row r="3901" spans="1:13" x14ac:dyDescent="0.15">
      <c r="A3901" s="75"/>
      <c r="B3901" s="6" t="s">
        <v>3</v>
      </c>
      <c r="C3901" s="7">
        <v>600</v>
      </c>
      <c r="D3901" s="5">
        <f t="shared" si="445"/>
        <v>600</v>
      </c>
      <c r="E3901" s="74">
        <v>44317</v>
      </c>
      <c r="F3901" s="6" t="s">
        <v>3</v>
      </c>
      <c r="G3901" s="7"/>
      <c r="H3901" s="5">
        <f>SUM(G3901:G3901)</f>
        <v>0</v>
      </c>
      <c r="I3901" s="74"/>
      <c r="K3901" s="6" t="s">
        <v>3</v>
      </c>
      <c r="L3901" s="7"/>
      <c r="M3901" s="5">
        <f t="shared" si="446"/>
        <v>0</v>
      </c>
    </row>
    <row r="3902" spans="1:13" x14ac:dyDescent="0.15">
      <c r="A3902" s="75"/>
      <c r="B3902" s="6" t="s">
        <v>3</v>
      </c>
      <c r="C3902" s="7"/>
      <c r="D3902" s="5">
        <f t="shared" si="445"/>
        <v>0</v>
      </c>
      <c r="E3902" s="75"/>
      <c r="F3902" s="6" t="s">
        <v>3</v>
      </c>
      <c r="G3902" s="7"/>
      <c r="H3902" s="5">
        <f t="shared" ref="H3902:H3909" si="447">SUM(G3902:G3902)</f>
        <v>0</v>
      </c>
      <c r="I3902" s="74"/>
      <c r="J3902" s="100"/>
      <c r="K3902" s="6" t="s">
        <v>3</v>
      </c>
      <c r="L3902" s="7"/>
      <c r="M3902" s="5">
        <f t="shared" si="446"/>
        <v>0</v>
      </c>
    </row>
    <row r="3903" spans="1:13" x14ac:dyDescent="0.15">
      <c r="B3903" s="6" t="s">
        <v>3</v>
      </c>
      <c r="C3903" s="7"/>
      <c r="D3903" s="5">
        <f t="shared" si="445"/>
        <v>0</v>
      </c>
      <c r="F3903" s="6" t="s">
        <v>3</v>
      </c>
      <c r="G3903" s="7"/>
      <c r="H3903" s="5">
        <f t="shared" si="447"/>
        <v>0</v>
      </c>
      <c r="I3903" s="74"/>
      <c r="K3903" s="6" t="s">
        <v>3</v>
      </c>
      <c r="L3903" s="7"/>
      <c r="M3903" s="5">
        <f t="shared" si="446"/>
        <v>0</v>
      </c>
    </row>
    <row r="3904" spans="1:13" x14ac:dyDescent="0.15">
      <c r="B3904" s="6" t="s">
        <v>3</v>
      </c>
      <c r="C3904" s="7"/>
      <c r="D3904" s="5">
        <f t="shared" si="445"/>
        <v>0</v>
      </c>
      <c r="F3904" s="6" t="s">
        <v>3</v>
      </c>
      <c r="G3904" s="7"/>
      <c r="H3904" s="5">
        <f t="shared" si="447"/>
        <v>0</v>
      </c>
      <c r="I3904" s="74"/>
      <c r="K3904" s="6" t="s">
        <v>3</v>
      </c>
      <c r="L3904" s="7"/>
      <c r="M3904" s="5">
        <f t="shared" si="446"/>
        <v>0</v>
      </c>
    </row>
    <row r="3905" spans="2:13" x14ac:dyDescent="0.15">
      <c r="B3905" s="6" t="s">
        <v>3</v>
      </c>
      <c r="C3905" s="7"/>
      <c r="D3905" s="5">
        <f t="shared" si="445"/>
        <v>0</v>
      </c>
      <c r="F3905" s="6" t="s">
        <v>3</v>
      </c>
      <c r="G3905" s="7"/>
      <c r="H3905" s="5">
        <f t="shared" si="447"/>
        <v>0</v>
      </c>
      <c r="I3905" s="74"/>
      <c r="K3905" s="6" t="s">
        <v>3</v>
      </c>
      <c r="L3905" s="7"/>
      <c r="M3905" s="5">
        <f t="shared" si="446"/>
        <v>0</v>
      </c>
    </row>
    <row r="3906" spans="2:13" x14ac:dyDescent="0.15">
      <c r="B3906" s="6" t="s">
        <v>3</v>
      </c>
      <c r="C3906" s="54"/>
      <c r="D3906" s="5">
        <f t="shared" si="445"/>
        <v>0</v>
      </c>
      <c r="F3906" s="6" t="s">
        <v>3</v>
      </c>
      <c r="G3906" s="54"/>
      <c r="H3906" s="5">
        <f t="shared" si="447"/>
        <v>0</v>
      </c>
      <c r="K3906" s="6" t="s">
        <v>3</v>
      </c>
      <c r="L3906" s="7"/>
      <c r="M3906" s="5">
        <f t="shared" si="446"/>
        <v>0</v>
      </c>
    </row>
    <row r="3907" spans="2:13" x14ac:dyDescent="0.15">
      <c r="B3907" s="6" t="s">
        <v>3</v>
      </c>
      <c r="C3907" s="54"/>
      <c r="D3907" s="5">
        <f t="shared" si="445"/>
        <v>0</v>
      </c>
      <c r="F3907" s="6" t="s">
        <v>3</v>
      </c>
      <c r="G3907" s="54"/>
      <c r="H3907" s="5">
        <f t="shared" si="447"/>
        <v>0</v>
      </c>
      <c r="K3907" s="6" t="s">
        <v>3</v>
      </c>
      <c r="L3907" s="7"/>
      <c r="M3907" s="5">
        <f>SUM(L3907:L3907)</f>
        <v>0</v>
      </c>
    </row>
    <row r="3908" spans="2:13" x14ac:dyDescent="0.15">
      <c r="B3908" s="6" t="s">
        <v>3</v>
      </c>
      <c r="C3908" s="54"/>
      <c r="D3908" s="5">
        <f t="shared" si="445"/>
        <v>0</v>
      </c>
      <c r="F3908" s="6" t="s">
        <v>3</v>
      </c>
      <c r="G3908" s="54"/>
      <c r="H3908" s="5">
        <f t="shared" si="447"/>
        <v>0</v>
      </c>
      <c r="K3908" s="6" t="s">
        <v>3</v>
      </c>
      <c r="L3908" s="7"/>
      <c r="M3908" s="5">
        <f>SUM(L3908:L3908)</f>
        <v>0</v>
      </c>
    </row>
    <row r="3909" spans="2:13" ht="14.25" thickBot="1" x14ac:dyDescent="0.2">
      <c r="B3909" s="9" t="s">
        <v>3</v>
      </c>
      <c r="C3909" s="101"/>
      <c r="D3909" s="5">
        <f t="shared" si="445"/>
        <v>0</v>
      </c>
      <c r="F3909" s="9" t="s">
        <v>3</v>
      </c>
      <c r="G3909" s="101"/>
      <c r="H3909" s="5">
        <f t="shared" si="447"/>
        <v>0</v>
      </c>
      <c r="K3909" s="9" t="s">
        <v>3</v>
      </c>
      <c r="L3909" s="10"/>
      <c r="M3909" s="5">
        <f>SUM(L3909:L3909)</f>
        <v>0</v>
      </c>
    </row>
    <row r="3910" spans="2:13" ht="14.25" thickBot="1" x14ac:dyDescent="0.2">
      <c r="B3910" s="11" t="s">
        <v>4</v>
      </c>
      <c r="C3910" s="12">
        <f>SUM(C3899:C3909)</f>
        <v>1006</v>
      </c>
      <c r="D3910" s="13">
        <f>SUM(D3899:D3909)</f>
        <v>1006</v>
      </c>
      <c r="F3910" s="11" t="s">
        <v>4</v>
      </c>
      <c r="G3910" s="12">
        <f>SUM(G3899:G3909)</f>
        <v>2033</v>
      </c>
      <c r="H3910" s="13">
        <f>SUM(H3899:H3909)</f>
        <v>2033</v>
      </c>
      <c r="K3910" s="11" t="s">
        <v>4</v>
      </c>
      <c r="L3910" s="12">
        <f>SUM(L3899:L3909)</f>
        <v>0</v>
      </c>
      <c r="M3910" s="13">
        <f>SUM(M3899:M3909)</f>
        <v>0</v>
      </c>
    </row>
    <row r="3911" spans="2:13" x14ac:dyDescent="0.15">
      <c r="B3911" s="71" t="s">
        <v>161</v>
      </c>
      <c r="C3911" s="15">
        <v>1</v>
      </c>
      <c r="D3911" s="14">
        <f>SUM(C3911)</f>
        <v>1</v>
      </c>
      <c r="E3911" s="48">
        <v>44299</v>
      </c>
      <c r="F3911" s="71" t="s">
        <v>730</v>
      </c>
      <c r="G3911" s="15">
        <v>100</v>
      </c>
      <c r="H3911" s="14">
        <f>SUM(G3911)</f>
        <v>100</v>
      </c>
      <c r="I3911" s="74">
        <v>44314</v>
      </c>
      <c r="J3911" s="75"/>
      <c r="K3911" s="71"/>
      <c r="L3911" s="15"/>
      <c r="M3911" s="14">
        <f>SUM(L3911)</f>
        <v>0</v>
      </c>
    </row>
    <row r="3912" spans="2:13" x14ac:dyDescent="0.15">
      <c r="B3912" s="6" t="s">
        <v>724</v>
      </c>
      <c r="C3912" s="15">
        <v>40</v>
      </c>
      <c r="D3912" s="14">
        <f>SUM(C3912)</f>
        <v>40</v>
      </c>
      <c r="E3912" s="74">
        <v>44305</v>
      </c>
      <c r="F3912" s="71" t="s">
        <v>31</v>
      </c>
      <c r="G3912" s="15">
        <v>600</v>
      </c>
      <c r="H3912" s="14">
        <f>SUM(G3912)</f>
        <v>600</v>
      </c>
      <c r="I3912" s="74">
        <v>44317</v>
      </c>
      <c r="J3912" s="36"/>
      <c r="K3912" s="71"/>
      <c r="L3912" s="15"/>
      <c r="M3912" s="14">
        <f t="shared" ref="M3912:M3922" si="448">SUM(L3912:L3912)</f>
        <v>0</v>
      </c>
    </row>
    <row r="3913" spans="2:13" x14ac:dyDescent="0.15">
      <c r="B3913" s="6" t="s">
        <v>725</v>
      </c>
      <c r="C3913" s="15">
        <v>40</v>
      </c>
      <c r="D3913" s="14">
        <f>SUM(C3913)</f>
        <v>40</v>
      </c>
      <c r="E3913" s="74">
        <v>44305</v>
      </c>
      <c r="F3913" s="71"/>
      <c r="G3913" s="15"/>
      <c r="H3913" s="14">
        <f>SUM(G3913)</f>
        <v>0</v>
      </c>
      <c r="I3913" s="74"/>
      <c r="J3913" s="51"/>
      <c r="K3913" s="71"/>
      <c r="L3913" s="15"/>
      <c r="M3913" s="14">
        <f t="shared" si="448"/>
        <v>0</v>
      </c>
    </row>
    <row r="3914" spans="2:13" x14ac:dyDescent="0.15">
      <c r="B3914" s="71" t="s">
        <v>161</v>
      </c>
      <c r="C3914" s="15">
        <v>2</v>
      </c>
      <c r="D3914" s="14">
        <f t="shared" ref="D3914:D3924" si="449">SUM(C3914)</f>
        <v>2</v>
      </c>
      <c r="E3914" s="48">
        <v>44300</v>
      </c>
      <c r="F3914" s="71"/>
      <c r="G3914" s="15"/>
      <c r="H3914" s="14">
        <f t="shared" ref="H3914:H3924" si="450">SUM(G3914)</f>
        <v>0</v>
      </c>
      <c r="I3914" s="74"/>
      <c r="J3914" s="51"/>
      <c r="K3914" s="71"/>
      <c r="L3914" s="15"/>
      <c r="M3914" s="14">
        <f t="shared" si="448"/>
        <v>0</v>
      </c>
    </row>
    <row r="3915" spans="2:13" x14ac:dyDescent="0.15">
      <c r="B3915" s="71" t="s">
        <v>161</v>
      </c>
      <c r="C3915" s="15">
        <v>3</v>
      </c>
      <c r="D3915" s="14">
        <f t="shared" si="449"/>
        <v>3</v>
      </c>
      <c r="E3915" s="48">
        <v>44301</v>
      </c>
      <c r="F3915" s="71"/>
      <c r="G3915" s="15"/>
      <c r="H3915" s="14">
        <f t="shared" si="450"/>
        <v>0</v>
      </c>
      <c r="I3915" s="74"/>
      <c r="J3915" s="51"/>
      <c r="K3915" s="4"/>
      <c r="L3915" s="15"/>
      <c r="M3915" s="14">
        <f t="shared" si="448"/>
        <v>0</v>
      </c>
    </row>
    <row r="3916" spans="2:13" x14ac:dyDescent="0.15">
      <c r="B3916" s="71" t="s">
        <v>161</v>
      </c>
      <c r="C3916" s="15">
        <f>2+3</f>
        <v>5</v>
      </c>
      <c r="D3916" s="14">
        <f t="shared" si="449"/>
        <v>5</v>
      </c>
      <c r="E3916" s="48">
        <v>44302</v>
      </c>
      <c r="F3916" s="71"/>
      <c r="G3916" s="15"/>
      <c r="H3916" s="14">
        <f t="shared" si="450"/>
        <v>0</v>
      </c>
      <c r="I3916" s="74"/>
      <c r="J3916" s="51"/>
      <c r="K3916" s="71"/>
      <c r="L3916" s="15"/>
      <c r="M3916" s="14">
        <f t="shared" si="448"/>
        <v>0</v>
      </c>
    </row>
    <row r="3917" spans="2:13" x14ac:dyDescent="0.15">
      <c r="B3917" s="71" t="s">
        <v>161</v>
      </c>
      <c r="C3917" s="15">
        <v>2</v>
      </c>
      <c r="D3917" s="14">
        <f t="shared" si="449"/>
        <v>2</v>
      </c>
      <c r="E3917" s="48">
        <v>44303</v>
      </c>
      <c r="F3917" s="71"/>
      <c r="G3917" s="15"/>
      <c r="H3917" s="14">
        <f t="shared" si="450"/>
        <v>0</v>
      </c>
      <c r="I3917" s="74"/>
      <c r="J3917" s="51"/>
      <c r="K3917" s="4"/>
      <c r="L3917" s="15"/>
      <c r="M3917" s="14">
        <f t="shared" si="448"/>
        <v>0</v>
      </c>
    </row>
    <row r="3918" spans="2:13" x14ac:dyDescent="0.15">
      <c r="B3918" s="71" t="s">
        <v>161</v>
      </c>
      <c r="C3918" s="15">
        <v>3</v>
      </c>
      <c r="D3918" s="14">
        <f t="shared" si="449"/>
        <v>3</v>
      </c>
      <c r="E3918" s="48">
        <v>44305</v>
      </c>
      <c r="F3918" s="71"/>
      <c r="G3918" s="15"/>
      <c r="H3918" s="14">
        <f t="shared" si="450"/>
        <v>0</v>
      </c>
      <c r="I3918" s="74"/>
      <c r="J3918" s="51"/>
      <c r="K3918" s="6"/>
      <c r="L3918" s="15"/>
      <c r="M3918" s="14">
        <f t="shared" si="448"/>
        <v>0</v>
      </c>
    </row>
    <row r="3919" spans="2:13" x14ac:dyDescent="0.15">
      <c r="B3919" s="71" t="s">
        <v>161</v>
      </c>
      <c r="C3919" s="15">
        <f>6+1+1</f>
        <v>8</v>
      </c>
      <c r="D3919" s="14">
        <f t="shared" si="449"/>
        <v>8</v>
      </c>
      <c r="E3919" s="48">
        <v>44306</v>
      </c>
      <c r="F3919" s="71"/>
      <c r="G3919" s="15"/>
      <c r="H3919" s="14">
        <f t="shared" si="450"/>
        <v>0</v>
      </c>
      <c r="I3919" s="74"/>
      <c r="J3919" s="36"/>
      <c r="K3919" s="4"/>
      <c r="L3919" s="15"/>
      <c r="M3919" s="14">
        <f t="shared" si="448"/>
        <v>0</v>
      </c>
    </row>
    <row r="3920" spans="2:13" x14ac:dyDescent="0.15">
      <c r="B3920" s="71" t="s">
        <v>161</v>
      </c>
      <c r="C3920" s="15">
        <f>1+4</f>
        <v>5</v>
      </c>
      <c r="D3920" s="14">
        <f t="shared" si="449"/>
        <v>5</v>
      </c>
      <c r="E3920" s="48">
        <v>44307</v>
      </c>
      <c r="F3920" s="71"/>
      <c r="G3920" s="15"/>
      <c r="H3920" s="14">
        <f t="shared" si="450"/>
        <v>0</v>
      </c>
      <c r="I3920" s="74"/>
      <c r="J3920" s="36"/>
      <c r="K3920" s="4"/>
      <c r="L3920" s="15"/>
      <c r="M3920" s="14">
        <f t="shared" si="448"/>
        <v>0</v>
      </c>
    </row>
    <row r="3921" spans="2:13" x14ac:dyDescent="0.15">
      <c r="B3921" s="71" t="s">
        <v>161</v>
      </c>
      <c r="C3921" s="15">
        <f>1+3+3+1</f>
        <v>8</v>
      </c>
      <c r="D3921" s="14">
        <f t="shared" si="449"/>
        <v>8</v>
      </c>
      <c r="E3921" s="48">
        <v>44308</v>
      </c>
      <c r="F3921" s="71"/>
      <c r="G3921" s="15"/>
      <c r="H3921" s="14">
        <f t="shared" si="450"/>
        <v>0</v>
      </c>
      <c r="I3921" s="74"/>
      <c r="J3921" s="51"/>
      <c r="K3921" s="4"/>
      <c r="L3921" s="15"/>
      <c r="M3921" s="14">
        <f t="shared" si="448"/>
        <v>0</v>
      </c>
    </row>
    <row r="3922" spans="2:13" x14ac:dyDescent="0.15">
      <c r="B3922" s="71" t="s">
        <v>161</v>
      </c>
      <c r="C3922" s="15">
        <f>2+1</f>
        <v>3</v>
      </c>
      <c r="D3922" s="14">
        <f t="shared" si="449"/>
        <v>3</v>
      </c>
      <c r="E3922" s="48">
        <v>44309</v>
      </c>
      <c r="F3922" s="71"/>
      <c r="G3922" s="15"/>
      <c r="H3922" s="14">
        <f t="shared" si="450"/>
        <v>0</v>
      </c>
      <c r="I3922" s="74"/>
      <c r="J3922" s="51"/>
      <c r="K3922" s="4"/>
      <c r="L3922" s="15"/>
      <c r="M3922" s="14">
        <f t="shared" si="448"/>
        <v>0</v>
      </c>
    </row>
    <row r="3923" spans="2:13" x14ac:dyDescent="0.15">
      <c r="B3923" s="71" t="s">
        <v>161</v>
      </c>
      <c r="C3923" s="15">
        <f>3+4+17+6+21+3+1+1</f>
        <v>56</v>
      </c>
      <c r="D3923" s="14">
        <f t="shared" si="449"/>
        <v>56</v>
      </c>
      <c r="E3923" s="74">
        <v>44312</v>
      </c>
      <c r="F3923" s="71"/>
      <c r="G3923" s="15"/>
      <c r="H3923" s="14">
        <f t="shared" si="450"/>
        <v>0</v>
      </c>
      <c r="I3923" s="74"/>
      <c r="J3923" s="36"/>
      <c r="K3923" s="172"/>
      <c r="L3923" s="15"/>
      <c r="M3923" s="14">
        <f>SUM(L3923)</f>
        <v>0</v>
      </c>
    </row>
    <row r="3924" spans="2:13" ht="12.75" customHeight="1" x14ac:dyDescent="0.15">
      <c r="B3924" s="71" t="s">
        <v>39</v>
      </c>
      <c r="C3924" s="15">
        <v>70</v>
      </c>
      <c r="D3924" s="14">
        <f t="shared" si="449"/>
        <v>70</v>
      </c>
      <c r="E3924" s="74">
        <v>44313</v>
      </c>
      <c r="F3924" s="71"/>
      <c r="G3924" s="15"/>
      <c r="H3924" s="14">
        <f t="shared" si="450"/>
        <v>0</v>
      </c>
      <c r="I3924" s="74"/>
      <c r="J3924" s="51"/>
      <c r="K3924" s="173"/>
      <c r="L3924" s="15"/>
      <c r="M3924" s="14">
        <f>SUM(L3924:L3924)</f>
        <v>0</v>
      </c>
    </row>
    <row r="3925" spans="2:13" x14ac:dyDescent="0.15">
      <c r="B3925" s="71" t="s">
        <v>161</v>
      </c>
      <c r="C3925" s="15">
        <f>1+6+1</f>
        <v>8</v>
      </c>
      <c r="D3925" s="14">
        <f>SUM(C3925)</f>
        <v>8</v>
      </c>
      <c r="E3925" s="48">
        <v>44313</v>
      </c>
      <c r="F3925" s="71"/>
      <c r="G3925" s="15"/>
      <c r="H3925" s="14">
        <f t="shared" ref="H3925:H3929" si="451">SUM(G3925)</f>
        <v>0</v>
      </c>
      <c r="I3925" s="74"/>
      <c r="J3925" s="51"/>
      <c r="K3925" s="4"/>
      <c r="L3925" s="15"/>
      <c r="M3925" s="14">
        <f>SUM(L3925:L3925)</f>
        <v>0</v>
      </c>
    </row>
    <row r="3926" spans="2:13" x14ac:dyDescent="0.15">
      <c r="B3926" s="6" t="s">
        <v>732</v>
      </c>
      <c r="C3926" s="15">
        <v>40</v>
      </c>
      <c r="D3926" s="14">
        <f>SUM(C3926)</f>
        <v>40</v>
      </c>
      <c r="E3926" s="74">
        <v>44323</v>
      </c>
      <c r="F3926" s="71"/>
      <c r="G3926" s="15"/>
      <c r="H3926" s="14">
        <f t="shared" si="451"/>
        <v>0</v>
      </c>
      <c r="I3926" s="74"/>
      <c r="J3926" s="51"/>
      <c r="K3926" s="6"/>
      <c r="L3926" s="15"/>
      <c r="M3926" s="14">
        <f>SUM(L3926:L3926)</f>
        <v>0</v>
      </c>
    </row>
    <row r="3927" spans="2:13" x14ac:dyDescent="0.15">
      <c r="B3927" s="71" t="s">
        <v>161</v>
      </c>
      <c r="C3927" s="15">
        <f>3+3+1</f>
        <v>7</v>
      </c>
      <c r="D3927" s="14">
        <f>SUM(C3927)</f>
        <v>7</v>
      </c>
      <c r="E3927" s="48">
        <v>44314</v>
      </c>
      <c r="F3927" s="71"/>
      <c r="G3927" s="15"/>
      <c r="H3927" s="14">
        <f t="shared" si="451"/>
        <v>0</v>
      </c>
      <c r="I3927" s="74"/>
      <c r="J3927" s="51"/>
      <c r="K3927" s="6"/>
      <c r="L3927" s="15"/>
      <c r="M3927" s="14">
        <f>SUM(L3927:L3927)</f>
        <v>0</v>
      </c>
    </row>
    <row r="3928" spans="2:13" x14ac:dyDescent="0.15">
      <c r="B3928" s="71" t="s">
        <v>161</v>
      </c>
      <c r="C3928" s="15">
        <f>1+11</f>
        <v>12</v>
      </c>
      <c r="D3928" s="14">
        <f t="shared" ref="D3928:D3934" si="452">SUM(C3928)</f>
        <v>12</v>
      </c>
      <c r="E3928" s="48">
        <v>44316</v>
      </c>
      <c r="F3928" s="71"/>
      <c r="G3928" s="15"/>
      <c r="H3928" s="14">
        <f t="shared" si="451"/>
        <v>0</v>
      </c>
      <c r="I3928" s="74"/>
      <c r="J3928" s="51"/>
      <c r="K3928" s="172"/>
      <c r="L3928" s="15"/>
      <c r="M3928" s="14">
        <f>SUM(L3928)</f>
        <v>0</v>
      </c>
    </row>
    <row r="3929" spans="2:13" x14ac:dyDescent="0.15">
      <c r="B3929" s="71" t="s">
        <v>736</v>
      </c>
      <c r="C3929" s="15">
        <v>50</v>
      </c>
      <c r="D3929" s="14">
        <f t="shared" si="452"/>
        <v>50</v>
      </c>
      <c r="E3929" s="74">
        <v>44316</v>
      </c>
      <c r="F3929" s="71"/>
      <c r="G3929" s="15"/>
      <c r="H3929" s="14">
        <f t="shared" si="451"/>
        <v>0</v>
      </c>
      <c r="I3929" s="74"/>
      <c r="J3929" s="51"/>
      <c r="K3929" s="173"/>
      <c r="L3929" s="15"/>
      <c r="M3929" s="14">
        <f>SUM(L3929:L3929)</f>
        <v>0</v>
      </c>
    </row>
    <row r="3930" spans="2:13" x14ac:dyDescent="0.15">
      <c r="B3930" s="71" t="s">
        <v>738</v>
      </c>
      <c r="C3930" s="15">
        <v>2</v>
      </c>
      <c r="D3930" s="14">
        <f t="shared" si="452"/>
        <v>2</v>
      </c>
      <c r="E3930" s="48">
        <v>44316</v>
      </c>
      <c r="F3930" s="71"/>
      <c r="G3930" s="15"/>
      <c r="H3930" s="14">
        <f t="shared" ref="H3930:H3931" si="453">SUM(G3930)</f>
        <v>0</v>
      </c>
      <c r="I3930" s="75"/>
      <c r="J3930" s="51"/>
      <c r="K3930" s="4"/>
      <c r="L3930" s="15"/>
      <c r="M3930" s="14">
        <f>SUM(L3930)</f>
        <v>0</v>
      </c>
    </row>
    <row r="3931" spans="2:13" x14ac:dyDescent="0.15">
      <c r="B3931" s="71" t="s">
        <v>161</v>
      </c>
      <c r="C3931" s="15">
        <f>3+1</f>
        <v>4</v>
      </c>
      <c r="D3931" s="14">
        <f t="shared" si="452"/>
        <v>4</v>
      </c>
      <c r="E3931" s="48">
        <v>44317</v>
      </c>
      <c r="F3931" s="71"/>
      <c r="G3931" s="15"/>
      <c r="H3931" s="14">
        <f t="shared" si="453"/>
        <v>0</v>
      </c>
      <c r="I3931" s="75"/>
      <c r="J3931" s="51"/>
      <c r="K3931" s="6"/>
      <c r="L3931" s="15"/>
      <c r="M3931" s="14">
        <f>SUM(L3931:L3931)</f>
        <v>0</v>
      </c>
    </row>
    <row r="3932" spans="2:13" x14ac:dyDescent="0.15">
      <c r="B3932" s="71" t="s">
        <v>161</v>
      </c>
      <c r="C3932" s="15">
        <f>4+12+1</f>
        <v>17</v>
      </c>
      <c r="D3932" s="14">
        <f t="shared" si="452"/>
        <v>17</v>
      </c>
      <c r="E3932" s="48">
        <v>44322</v>
      </c>
      <c r="F3932" s="71"/>
      <c r="G3932" s="15"/>
      <c r="H3932" s="14">
        <f t="shared" ref="H3932" si="454">SUM(G3932)</f>
        <v>0</v>
      </c>
      <c r="I3932" s="75"/>
      <c r="J3932" s="51"/>
      <c r="K3932" s="6"/>
      <c r="L3932" s="15"/>
      <c r="M3932" s="14">
        <f>SUM(L3932:L3932)</f>
        <v>0</v>
      </c>
    </row>
    <row r="3933" spans="2:13" x14ac:dyDescent="0.15">
      <c r="B3933" s="71" t="s">
        <v>161</v>
      </c>
      <c r="C3933" s="15">
        <f>1+1</f>
        <v>2</v>
      </c>
      <c r="D3933" s="14">
        <f t="shared" si="452"/>
        <v>2</v>
      </c>
      <c r="E3933" s="48">
        <v>44323</v>
      </c>
      <c r="F3933" s="6"/>
      <c r="G3933" s="15"/>
      <c r="H3933" s="14">
        <f>SUM(G3933:G3933)</f>
        <v>0</v>
      </c>
      <c r="I3933" s="75"/>
      <c r="J3933" s="51"/>
      <c r="K3933" s="4"/>
      <c r="L3933" s="15"/>
      <c r="M3933" s="14">
        <f>SUM(L3933)</f>
        <v>0</v>
      </c>
    </row>
    <row r="3934" spans="2:13" ht="14.25" thickBot="1" x14ac:dyDescent="0.2">
      <c r="B3934" s="6" t="s">
        <v>741</v>
      </c>
      <c r="C3934" s="15">
        <v>30</v>
      </c>
      <c r="D3934" s="14">
        <f t="shared" si="452"/>
        <v>30</v>
      </c>
      <c r="E3934" s="74">
        <v>44330</v>
      </c>
      <c r="F3934" s="6"/>
      <c r="G3934" s="15"/>
      <c r="H3934" s="14">
        <f>SUM(G3934:G3934)</f>
        <v>0</v>
      </c>
      <c r="I3934" s="75"/>
      <c r="J3934" s="51"/>
      <c r="K3934" s="6"/>
      <c r="L3934" s="15"/>
      <c r="M3934" s="14">
        <f>SUM(L3934:L3934)</f>
        <v>0</v>
      </c>
    </row>
    <row r="3935" spans="2:13" ht="14.25" thickBot="1" x14ac:dyDescent="0.2">
      <c r="B3935" s="3" t="s">
        <v>5</v>
      </c>
      <c r="C3935" s="16">
        <f>SUM(C3911:C3934)</f>
        <v>418</v>
      </c>
      <c r="D3935" s="17">
        <f>SUM(D3911:D3934)</f>
        <v>418</v>
      </c>
      <c r="F3935" s="3" t="s">
        <v>5</v>
      </c>
      <c r="G3935" s="16">
        <f>SUM(G3911:G3934)</f>
        <v>700</v>
      </c>
      <c r="H3935" s="17">
        <f>SUM(H3911:H3934)</f>
        <v>700</v>
      </c>
      <c r="K3935" s="3" t="s">
        <v>5</v>
      </c>
      <c r="L3935" s="16">
        <f>SUM(L3911:L3934)</f>
        <v>0</v>
      </c>
      <c r="M3935" s="17">
        <f>SUM(M3911:M3934)</f>
        <v>0</v>
      </c>
    </row>
    <row r="3936" spans="2:13" ht="14.25" thickBot="1" x14ac:dyDescent="0.2">
      <c r="B3936" s="18" t="s">
        <v>6</v>
      </c>
      <c r="C3936" s="19">
        <f>C3910-C3935</f>
        <v>588</v>
      </c>
      <c r="D3936" s="13">
        <f>D3910-D3935</f>
        <v>588</v>
      </c>
      <c r="F3936" s="18" t="s">
        <v>6</v>
      </c>
      <c r="G3936" s="19">
        <f>G3910-G3935</f>
        <v>1333</v>
      </c>
      <c r="H3936" s="13">
        <f>H3910-H3935</f>
        <v>1333</v>
      </c>
      <c r="K3936" s="18" t="s">
        <v>6</v>
      </c>
      <c r="L3936" s="19">
        <f>L3910-L3935</f>
        <v>0</v>
      </c>
      <c r="M3936" s="13">
        <f>M3910-M3935</f>
        <v>0</v>
      </c>
    </row>
    <row r="3938" spans="1:13" ht="18" thickBot="1" x14ac:dyDescent="0.25">
      <c r="A3938" s="27" t="s">
        <v>8</v>
      </c>
      <c r="B3938" s="28"/>
      <c r="C3938" s="28"/>
      <c r="D3938" s="28"/>
      <c r="F3938" s="175" t="s">
        <v>651</v>
      </c>
      <c r="G3938" s="176"/>
      <c r="H3938" s="176"/>
      <c r="J3938" s="139" t="s">
        <v>218</v>
      </c>
      <c r="K3938" s="140"/>
      <c r="L3938" s="140"/>
      <c r="M3938" s="140"/>
    </row>
    <row r="3939" spans="1:13" ht="14.25" thickBot="1" x14ac:dyDescent="0.2">
      <c r="B3939" s="2"/>
      <c r="C3939" s="3" t="s">
        <v>0</v>
      </c>
      <c r="D3939" s="2" t="s">
        <v>1</v>
      </c>
      <c r="F3939" s="2"/>
      <c r="G3939" s="3" t="s">
        <v>0</v>
      </c>
      <c r="H3939" s="2" t="s">
        <v>1</v>
      </c>
      <c r="K3939" s="2"/>
      <c r="L3939" s="3" t="s">
        <v>0</v>
      </c>
      <c r="M3939" s="2" t="s">
        <v>1</v>
      </c>
    </row>
    <row r="3940" spans="1:13" x14ac:dyDescent="0.15">
      <c r="B3940" s="43" t="s">
        <v>26</v>
      </c>
      <c r="C3940" s="38">
        <f>C3936</f>
        <v>588</v>
      </c>
      <c r="D3940" s="39">
        <f t="shared" ref="D3940:D3950" si="455">SUM(C3940:C3940)</f>
        <v>588</v>
      </c>
      <c r="F3940" s="43" t="s">
        <v>26</v>
      </c>
      <c r="G3940" s="38">
        <f>G3936</f>
        <v>1333</v>
      </c>
      <c r="H3940" s="39">
        <f>SUM(G3940:G3940)</f>
        <v>1333</v>
      </c>
      <c r="K3940" s="43" t="s">
        <v>26</v>
      </c>
      <c r="L3940" s="38">
        <f>L3936</f>
        <v>0</v>
      </c>
      <c r="M3940" s="39">
        <f t="shared" ref="M3940:M3947" si="456">SUM(L3940:L3940)</f>
        <v>0</v>
      </c>
    </row>
    <row r="3941" spans="1:13" x14ac:dyDescent="0.15">
      <c r="B3941" s="6" t="s">
        <v>3</v>
      </c>
      <c r="C3941" s="7">
        <v>600</v>
      </c>
      <c r="D3941" s="5">
        <f t="shared" si="455"/>
        <v>600</v>
      </c>
      <c r="E3941" s="74">
        <v>44331</v>
      </c>
      <c r="F3941" s="6" t="s">
        <v>3</v>
      </c>
      <c r="G3941" s="7"/>
      <c r="H3941" s="5">
        <f>SUM(G3941:G3941)</f>
        <v>0</v>
      </c>
      <c r="I3941" s="74"/>
      <c r="J3941" s="75"/>
      <c r="K3941" s="6" t="s">
        <v>3</v>
      </c>
      <c r="L3941" s="7"/>
      <c r="M3941" s="5">
        <f t="shared" si="456"/>
        <v>0</v>
      </c>
    </row>
    <row r="3942" spans="1:13" x14ac:dyDescent="0.15">
      <c r="A3942" s="75"/>
      <c r="B3942" s="6" t="s">
        <v>71</v>
      </c>
      <c r="C3942" s="7">
        <v>2</v>
      </c>
      <c r="D3942" s="5">
        <f t="shared" si="455"/>
        <v>2</v>
      </c>
      <c r="E3942" s="48">
        <v>44340</v>
      </c>
      <c r="F3942" s="6" t="s">
        <v>3</v>
      </c>
      <c r="G3942" s="7"/>
      <c r="H3942" s="5">
        <f>SUM(G3942:G3942)</f>
        <v>0</v>
      </c>
      <c r="I3942" s="74"/>
      <c r="K3942" s="6" t="s">
        <v>3</v>
      </c>
      <c r="L3942" s="7"/>
      <c r="M3942" s="5">
        <f t="shared" si="456"/>
        <v>0</v>
      </c>
    </row>
    <row r="3943" spans="1:13" x14ac:dyDescent="0.15">
      <c r="A3943" s="75"/>
      <c r="B3943" s="6" t="s">
        <v>3</v>
      </c>
      <c r="C3943" s="7">
        <v>733</v>
      </c>
      <c r="D3943" s="5">
        <f t="shared" si="455"/>
        <v>733</v>
      </c>
      <c r="E3943" s="48">
        <v>44345</v>
      </c>
      <c r="F3943" s="6" t="s">
        <v>3</v>
      </c>
      <c r="G3943" s="7"/>
      <c r="H3943" s="5">
        <f t="shared" ref="H3943:H3950" si="457">SUM(G3943:G3943)</f>
        <v>0</v>
      </c>
      <c r="I3943" s="74"/>
      <c r="J3943" s="100"/>
      <c r="K3943" s="6" t="s">
        <v>3</v>
      </c>
      <c r="L3943" s="7"/>
      <c r="M3943" s="5">
        <f t="shared" si="456"/>
        <v>0</v>
      </c>
    </row>
    <row r="3944" spans="1:13" x14ac:dyDescent="0.15">
      <c r="B3944" s="6" t="s">
        <v>762</v>
      </c>
      <c r="C3944" s="7">
        <v>-9</v>
      </c>
      <c r="D3944" s="5">
        <f t="shared" si="455"/>
        <v>-9</v>
      </c>
      <c r="E3944" s="48">
        <v>44345</v>
      </c>
      <c r="F3944" s="6" t="s">
        <v>3</v>
      </c>
      <c r="G3944" s="7"/>
      <c r="H3944" s="5">
        <f t="shared" si="457"/>
        <v>0</v>
      </c>
      <c r="I3944" s="74"/>
      <c r="K3944" s="6" t="s">
        <v>3</v>
      </c>
      <c r="L3944" s="7"/>
      <c r="M3944" s="5">
        <f t="shared" si="456"/>
        <v>0</v>
      </c>
    </row>
    <row r="3945" spans="1:13" x14ac:dyDescent="0.15">
      <c r="B3945" s="6" t="s">
        <v>3</v>
      </c>
      <c r="C3945" s="7"/>
      <c r="D3945" s="5">
        <f t="shared" si="455"/>
        <v>0</v>
      </c>
      <c r="F3945" s="6" t="s">
        <v>3</v>
      </c>
      <c r="G3945" s="7"/>
      <c r="H3945" s="5">
        <f t="shared" si="457"/>
        <v>0</v>
      </c>
      <c r="I3945" s="74"/>
      <c r="K3945" s="6" t="s">
        <v>3</v>
      </c>
      <c r="L3945" s="7"/>
      <c r="M3945" s="5">
        <f t="shared" si="456"/>
        <v>0</v>
      </c>
    </row>
    <row r="3946" spans="1:13" x14ac:dyDescent="0.15">
      <c r="B3946" s="6" t="s">
        <v>3</v>
      </c>
      <c r="C3946" s="7"/>
      <c r="D3946" s="5">
        <f t="shared" si="455"/>
        <v>0</v>
      </c>
      <c r="F3946" s="6" t="s">
        <v>3</v>
      </c>
      <c r="G3946" s="7"/>
      <c r="H3946" s="5">
        <f t="shared" si="457"/>
        <v>0</v>
      </c>
      <c r="I3946" s="74"/>
      <c r="K3946" s="6" t="s">
        <v>3</v>
      </c>
      <c r="L3946" s="7"/>
      <c r="M3946" s="5">
        <f t="shared" si="456"/>
        <v>0</v>
      </c>
    </row>
    <row r="3947" spans="1:13" x14ac:dyDescent="0.15">
      <c r="B3947" s="6" t="s">
        <v>3</v>
      </c>
      <c r="C3947" s="54"/>
      <c r="D3947" s="5">
        <f t="shared" si="455"/>
        <v>0</v>
      </c>
      <c r="F3947" s="6" t="s">
        <v>3</v>
      </c>
      <c r="G3947" s="54"/>
      <c r="H3947" s="5">
        <f t="shared" si="457"/>
        <v>0</v>
      </c>
      <c r="K3947" s="6" t="s">
        <v>3</v>
      </c>
      <c r="L3947" s="7"/>
      <c r="M3947" s="5">
        <f t="shared" si="456"/>
        <v>0</v>
      </c>
    </row>
    <row r="3948" spans="1:13" x14ac:dyDescent="0.15">
      <c r="B3948" s="6" t="s">
        <v>3</v>
      </c>
      <c r="C3948" s="54"/>
      <c r="D3948" s="5">
        <f t="shared" si="455"/>
        <v>0</v>
      </c>
      <c r="F3948" s="6" t="s">
        <v>3</v>
      </c>
      <c r="G3948" s="54"/>
      <c r="H3948" s="5">
        <f t="shared" si="457"/>
        <v>0</v>
      </c>
      <c r="K3948" s="6" t="s">
        <v>3</v>
      </c>
      <c r="L3948" s="7"/>
      <c r="M3948" s="5">
        <f>SUM(L3948:L3948)</f>
        <v>0</v>
      </c>
    </row>
    <row r="3949" spans="1:13" x14ac:dyDescent="0.15">
      <c r="B3949" s="6" t="s">
        <v>3</v>
      </c>
      <c r="C3949" s="54"/>
      <c r="D3949" s="5">
        <f t="shared" si="455"/>
        <v>0</v>
      </c>
      <c r="F3949" s="6" t="s">
        <v>3</v>
      </c>
      <c r="G3949" s="54"/>
      <c r="H3949" s="5">
        <f t="shared" si="457"/>
        <v>0</v>
      </c>
      <c r="K3949" s="6" t="s">
        <v>3</v>
      </c>
      <c r="L3949" s="7"/>
      <c r="M3949" s="5">
        <f>SUM(L3949:L3949)</f>
        <v>0</v>
      </c>
    </row>
    <row r="3950" spans="1:13" ht="14.25" thickBot="1" x14ac:dyDescent="0.2">
      <c r="B3950" s="9" t="s">
        <v>3</v>
      </c>
      <c r="C3950" s="101"/>
      <c r="D3950" s="5">
        <f t="shared" si="455"/>
        <v>0</v>
      </c>
      <c r="F3950" s="9" t="s">
        <v>3</v>
      </c>
      <c r="G3950" s="101"/>
      <c r="H3950" s="5">
        <f t="shared" si="457"/>
        <v>0</v>
      </c>
      <c r="K3950" s="9" t="s">
        <v>3</v>
      </c>
      <c r="L3950" s="10"/>
      <c r="M3950" s="5">
        <f>SUM(L3950:L3950)</f>
        <v>0</v>
      </c>
    </row>
    <row r="3951" spans="1:13" ht="14.25" thickBot="1" x14ac:dyDescent="0.2">
      <c r="B3951" s="11" t="s">
        <v>4</v>
      </c>
      <c r="C3951" s="12">
        <f>SUM(C3940:C3950)</f>
        <v>1914</v>
      </c>
      <c r="D3951" s="13">
        <f>SUM(D3940:D3950)</f>
        <v>1914</v>
      </c>
      <c r="F3951" s="11" t="s">
        <v>4</v>
      </c>
      <c r="G3951" s="12">
        <f>SUM(G3940:G3950)</f>
        <v>1333</v>
      </c>
      <c r="H3951" s="13">
        <f>SUM(H3940:H3950)</f>
        <v>1333</v>
      </c>
      <c r="K3951" s="11" t="s">
        <v>4</v>
      </c>
      <c r="L3951" s="12">
        <f>SUM(L3940:L3950)</f>
        <v>0</v>
      </c>
      <c r="M3951" s="13">
        <f>SUM(M3940:M3950)</f>
        <v>0</v>
      </c>
    </row>
    <row r="3952" spans="1:13" x14ac:dyDescent="0.15">
      <c r="B3952" s="71" t="s">
        <v>161</v>
      </c>
      <c r="C3952" s="15">
        <f>14+1+3+2+10+2</f>
        <v>32</v>
      </c>
      <c r="D3952" s="14">
        <f>SUM(C3952)</f>
        <v>32</v>
      </c>
      <c r="E3952" s="48">
        <v>44326</v>
      </c>
      <c r="F3952" s="71" t="s">
        <v>742</v>
      </c>
      <c r="G3952" s="15">
        <v>600</v>
      </c>
      <c r="H3952" s="14">
        <f>SUM(G3952)</f>
        <v>600</v>
      </c>
      <c r="I3952" s="74">
        <v>44331</v>
      </c>
      <c r="J3952" s="75"/>
      <c r="K3952" s="71"/>
      <c r="L3952" s="15"/>
      <c r="M3952" s="14">
        <f>SUM(L3952)</f>
        <v>0</v>
      </c>
    </row>
    <row r="3953" spans="2:13" x14ac:dyDescent="0.15">
      <c r="B3953" s="71" t="s">
        <v>161</v>
      </c>
      <c r="C3953" s="15">
        <f>14+8+4+2+1</f>
        <v>29</v>
      </c>
      <c r="D3953" s="14">
        <f>SUM(C3953)</f>
        <v>29</v>
      </c>
      <c r="E3953" s="74">
        <v>44327</v>
      </c>
      <c r="F3953" s="71" t="s">
        <v>31</v>
      </c>
      <c r="G3953" s="15">
        <v>733</v>
      </c>
      <c r="H3953" s="14">
        <f>SUM(G3953)</f>
        <v>733</v>
      </c>
      <c r="I3953" s="74">
        <v>44345</v>
      </c>
      <c r="J3953" s="36"/>
      <c r="K3953" s="71"/>
      <c r="L3953" s="15"/>
      <c r="M3953" s="14">
        <f t="shared" ref="M3953:M3976" si="458">SUM(L3953:L3953)</f>
        <v>0</v>
      </c>
    </row>
    <row r="3954" spans="2:13" x14ac:dyDescent="0.15">
      <c r="B3954" s="71" t="s">
        <v>161</v>
      </c>
      <c r="C3954" s="15">
        <v>21</v>
      </c>
      <c r="D3954" s="14">
        <f>SUM(C3954)</f>
        <v>21</v>
      </c>
      <c r="E3954" s="74">
        <v>44328</v>
      </c>
      <c r="F3954" s="71"/>
      <c r="G3954" s="15"/>
      <c r="H3954" s="14">
        <f>SUM(G3954)</f>
        <v>0</v>
      </c>
      <c r="I3954" s="74"/>
      <c r="J3954" s="51"/>
      <c r="K3954" s="71"/>
      <c r="L3954" s="15"/>
      <c r="M3954" s="14">
        <f t="shared" si="458"/>
        <v>0</v>
      </c>
    </row>
    <row r="3955" spans="2:13" x14ac:dyDescent="0.15">
      <c r="B3955" s="71" t="s">
        <v>161</v>
      </c>
      <c r="C3955" s="15">
        <v>6</v>
      </c>
      <c r="D3955" s="14">
        <f t="shared" ref="D3955:D3965" si="459">SUM(C3955)</f>
        <v>6</v>
      </c>
      <c r="E3955" s="74">
        <v>44329</v>
      </c>
      <c r="F3955" s="71"/>
      <c r="G3955" s="15"/>
      <c r="H3955" s="14">
        <f t="shared" ref="H3955:H3965" si="460">SUM(G3955)</f>
        <v>0</v>
      </c>
      <c r="I3955" s="74"/>
      <c r="J3955" s="51"/>
      <c r="K3955" s="71"/>
      <c r="L3955" s="15"/>
      <c r="M3955" s="14">
        <f t="shared" si="458"/>
        <v>0</v>
      </c>
    </row>
    <row r="3956" spans="2:13" x14ac:dyDescent="0.15">
      <c r="B3956" s="71" t="s">
        <v>746</v>
      </c>
      <c r="C3956" s="15">
        <v>70</v>
      </c>
      <c r="D3956" s="14">
        <f t="shared" si="459"/>
        <v>70</v>
      </c>
      <c r="E3956" s="48">
        <v>44330</v>
      </c>
      <c r="F3956" s="71"/>
      <c r="G3956" s="15"/>
      <c r="H3956" s="14">
        <f t="shared" si="460"/>
        <v>0</v>
      </c>
      <c r="I3956" s="74"/>
      <c r="J3956" s="51"/>
      <c r="K3956" s="4"/>
      <c r="L3956" s="15"/>
      <c r="M3956" s="14">
        <f t="shared" si="458"/>
        <v>0</v>
      </c>
    </row>
    <row r="3957" spans="2:13" x14ac:dyDescent="0.15">
      <c r="B3957" s="71" t="s">
        <v>161</v>
      </c>
      <c r="C3957" s="15">
        <f>1+3+1</f>
        <v>5</v>
      </c>
      <c r="D3957" s="14">
        <f t="shared" si="459"/>
        <v>5</v>
      </c>
      <c r="E3957" s="48">
        <v>44330</v>
      </c>
      <c r="F3957" s="71"/>
      <c r="G3957" s="15"/>
      <c r="H3957" s="14">
        <f t="shared" si="460"/>
        <v>0</v>
      </c>
      <c r="I3957" s="74"/>
      <c r="J3957" s="51"/>
      <c r="K3957" s="71"/>
      <c r="L3957" s="15"/>
      <c r="M3957" s="14">
        <f t="shared" si="458"/>
        <v>0</v>
      </c>
    </row>
    <row r="3958" spans="2:13" x14ac:dyDescent="0.15">
      <c r="B3958" s="71" t="s">
        <v>161</v>
      </c>
      <c r="C3958" s="15">
        <f>6+10+20+1</f>
        <v>37</v>
      </c>
      <c r="D3958" s="14">
        <f t="shared" si="459"/>
        <v>37</v>
      </c>
      <c r="E3958" s="48">
        <v>44331</v>
      </c>
      <c r="F3958" s="71"/>
      <c r="G3958" s="15"/>
      <c r="H3958" s="14">
        <f t="shared" si="460"/>
        <v>0</v>
      </c>
      <c r="I3958" s="74"/>
      <c r="J3958" s="51"/>
      <c r="K3958" s="4"/>
      <c r="L3958" s="15"/>
      <c r="M3958" s="14">
        <f t="shared" si="458"/>
        <v>0</v>
      </c>
    </row>
    <row r="3959" spans="2:13" x14ac:dyDescent="0.15">
      <c r="B3959" s="71" t="s">
        <v>161</v>
      </c>
      <c r="C3959" s="15">
        <f>1+1+28+4+1+2</f>
        <v>37</v>
      </c>
      <c r="D3959" s="14">
        <f t="shared" si="459"/>
        <v>37</v>
      </c>
      <c r="E3959" s="48">
        <v>44333</v>
      </c>
      <c r="F3959" s="71"/>
      <c r="G3959" s="15"/>
      <c r="H3959" s="14">
        <f t="shared" si="460"/>
        <v>0</v>
      </c>
      <c r="I3959" s="74"/>
      <c r="J3959" s="51"/>
      <c r="K3959" s="6"/>
      <c r="L3959" s="15"/>
      <c r="M3959" s="14">
        <f t="shared" si="458"/>
        <v>0</v>
      </c>
    </row>
    <row r="3960" spans="2:13" x14ac:dyDescent="0.15">
      <c r="B3960" s="71" t="s">
        <v>161</v>
      </c>
      <c r="C3960" s="15">
        <f>2+3+2+2+5+1</f>
        <v>15</v>
      </c>
      <c r="D3960" s="14">
        <f t="shared" si="459"/>
        <v>15</v>
      </c>
      <c r="E3960" s="48">
        <v>44334</v>
      </c>
      <c r="F3960" s="71"/>
      <c r="G3960" s="15"/>
      <c r="H3960" s="14">
        <f t="shared" si="460"/>
        <v>0</v>
      </c>
      <c r="I3960" s="74"/>
      <c r="J3960" s="36"/>
      <c r="K3960" s="4"/>
      <c r="L3960" s="15"/>
      <c r="M3960" s="14">
        <f t="shared" si="458"/>
        <v>0</v>
      </c>
    </row>
    <row r="3961" spans="2:13" x14ac:dyDescent="0.15">
      <c r="B3961" s="6" t="s">
        <v>743</v>
      </c>
      <c r="C3961" s="15">
        <v>40</v>
      </c>
      <c r="D3961" s="14">
        <f t="shared" si="459"/>
        <v>40</v>
      </c>
      <c r="E3961" s="74">
        <v>44341</v>
      </c>
      <c r="F3961" s="71"/>
      <c r="G3961" s="15"/>
      <c r="H3961" s="14">
        <f t="shared" si="460"/>
        <v>0</v>
      </c>
      <c r="I3961" s="74"/>
      <c r="J3961" s="36"/>
      <c r="K3961" s="4"/>
      <c r="L3961" s="15"/>
      <c r="M3961" s="14">
        <f t="shared" si="458"/>
        <v>0</v>
      </c>
    </row>
    <row r="3962" spans="2:13" x14ac:dyDescent="0.15">
      <c r="B3962" s="71" t="s">
        <v>161</v>
      </c>
      <c r="C3962" s="15">
        <f>1+1+10+3</f>
        <v>15</v>
      </c>
      <c r="D3962" s="14">
        <f t="shared" si="459"/>
        <v>15</v>
      </c>
      <c r="E3962" s="48">
        <v>44335</v>
      </c>
      <c r="F3962" s="71"/>
      <c r="G3962" s="15"/>
      <c r="H3962" s="14">
        <f t="shared" si="460"/>
        <v>0</v>
      </c>
      <c r="I3962" s="74"/>
      <c r="J3962" s="51"/>
      <c r="K3962" s="4"/>
      <c r="L3962" s="15"/>
      <c r="M3962" s="14">
        <f t="shared" si="458"/>
        <v>0</v>
      </c>
    </row>
    <row r="3963" spans="2:13" x14ac:dyDescent="0.15">
      <c r="B3963" s="71" t="s">
        <v>161</v>
      </c>
      <c r="C3963" s="15">
        <f>4+4</f>
        <v>8</v>
      </c>
      <c r="D3963" s="14">
        <f t="shared" si="459"/>
        <v>8</v>
      </c>
      <c r="E3963" s="48">
        <v>44336</v>
      </c>
      <c r="F3963" s="71"/>
      <c r="G3963" s="15"/>
      <c r="H3963" s="14">
        <f t="shared" si="460"/>
        <v>0</v>
      </c>
      <c r="I3963" s="74"/>
      <c r="J3963" s="51"/>
      <c r="K3963" s="4"/>
      <c r="L3963" s="15"/>
      <c r="M3963" s="14">
        <f t="shared" si="458"/>
        <v>0</v>
      </c>
    </row>
    <row r="3964" spans="2:13" x14ac:dyDescent="0.15">
      <c r="B3964" s="71" t="s">
        <v>161</v>
      </c>
      <c r="C3964" s="15">
        <f>2+7+2</f>
        <v>11</v>
      </c>
      <c r="D3964" s="14">
        <f t="shared" si="459"/>
        <v>11</v>
      </c>
      <c r="E3964" s="48">
        <v>44337</v>
      </c>
      <c r="F3964" s="71"/>
      <c r="G3964" s="15"/>
      <c r="H3964" s="14">
        <f t="shared" si="460"/>
        <v>0</v>
      </c>
      <c r="I3964" s="74"/>
      <c r="J3964" s="36"/>
      <c r="K3964" s="172"/>
      <c r="L3964" s="15"/>
      <c r="M3964" s="14">
        <f t="shared" si="458"/>
        <v>0</v>
      </c>
    </row>
    <row r="3965" spans="2:13" x14ac:dyDescent="0.15">
      <c r="B3965" s="71" t="s">
        <v>747</v>
      </c>
      <c r="C3965" s="15">
        <v>70</v>
      </c>
      <c r="D3965" s="14">
        <f t="shared" si="459"/>
        <v>70</v>
      </c>
      <c r="E3965" s="48">
        <v>44338</v>
      </c>
      <c r="F3965" s="71"/>
      <c r="G3965" s="15"/>
      <c r="H3965" s="14">
        <f t="shared" si="460"/>
        <v>0</v>
      </c>
      <c r="I3965" s="74"/>
      <c r="J3965" s="51"/>
      <c r="K3965" s="173"/>
      <c r="L3965" s="15"/>
      <c r="M3965" s="14">
        <f t="shared" si="458"/>
        <v>0</v>
      </c>
    </row>
    <row r="3966" spans="2:13" x14ac:dyDescent="0.15">
      <c r="B3966" s="71" t="s">
        <v>161</v>
      </c>
      <c r="C3966" s="15">
        <f>3+3+1+16+2+1+10+10+4+1+3+1+1+1+1</f>
        <v>58</v>
      </c>
      <c r="D3966" s="14">
        <f>SUM(C3966)</f>
        <v>58</v>
      </c>
      <c r="E3966" s="48">
        <v>44340</v>
      </c>
      <c r="F3966" s="71"/>
      <c r="G3966" s="15"/>
      <c r="H3966" s="14">
        <f t="shared" ref="H3966:H3970" si="461">SUM(G3966)</f>
        <v>0</v>
      </c>
      <c r="I3966" s="74"/>
      <c r="J3966" s="51"/>
      <c r="K3966" s="4"/>
      <c r="L3966" s="15"/>
      <c r="M3966" s="14">
        <f t="shared" si="458"/>
        <v>0</v>
      </c>
    </row>
    <row r="3967" spans="2:13" x14ac:dyDescent="0.15">
      <c r="B3967" s="71" t="s">
        <v>161</v>
      </c>
      <c r="C3967" s="15">
        <f>15+1+13+4+1+1+5+1+1+3</f>
        <v>45</v>
      </c>
      <c r="D3967" s="14">
        <f>SUM(C3967)</f>
        <v>45</v>
      </c>
      <c r="E3967" s="48">
        <v>44341</v>
      </c>
      <c r="F3967" s="71"/>
      <c r="G3967" s="15"/>
      <c r="H3967" s="14">
        <f t="shared" si="461"/>
        <v>0</v>
      </c>
      <c r="I3967" s="74"/>
      <c r="J3967" s="51"/>
      <c r="K3967" s="6"/>
      <c r="L3967" s="15"/>
      <c r="M3967" s="14">
        <f t="shared" si="458"/>
        <v>0</v>
      </c>
    </row>
    <row r="3968" spans="2:13" x14ac:dyDescent="0.15">
      <c r="B3968" s="71" t="s">
        <v>161</v>
      </c>
      <c r="C3968" s="15">
        <f>1+1+1+18+18+24+10+2+2+1+1+3</f>
        <v>82</v>
      </c>
      <c r="D3968" s="14">
        <f>SUM(C3968)</f>
        <v>82</v>
      </c>
      <c r="E3968" s="48">
        <v>44342</v>
      </c>
      <c r="F3968" s="71"/>
      <c r="G3968" s="15"/>
      <c r="H3968" s="14">
        <f t="shared" si="461"/>
        <v>0</v>
      </c>
      <c r="I3968" s="74"/>
      <c r="J3968" s="51"/>
      <c r="K3968" s="6"/>
      <c r="L3968" s="15"/>
      <c r="M3968" s="14">
        <f t="shared" si="458"/>
        <v>0</v>
      </c>
    </row>
    <row r="3969" spans="1:13" x14ac:dyDescent="0.15">
      <c r="B3969" s="71" t="s">
        <v>751</v>
      </c>
      <c r="C3969" s="15">
        <v>50</v>
      </c>
      <c r="D3969" s="14">
        <f t="shared" ref="D3969:D3975" si="462">SUM(C3969)</f>
        <v>50</v>
      </c>
      <c r="E3969" s="74">
        <v>44344</v>
      </c>
      <c r="F3969" s="71"/>
      <c r="G3969" s="15"/>
      <c r="H3969" s="14">
        <f t="shared" si="461"/>
        <v>0</v>
      </c>
      <c r="I3969" s="74"/>
      <c r="J3969" s="51"/>
      <c r="K3969" s="172"/>
      <c r="L3969" s="15"/>
      <c r="M3969" s="14">
        <f t="shared" si="458"/>
        <v>0</v>
      </c>
    </row>
    <row r="3970" spans="1:13" x14ac:dyDescent="0.15">
      <c r="B3970" s="71" t="s">
        <v>161</v>
      </c>
      <c r="C3970" s="15">
        <f>2+1+19+9+1+1+10+2+3+1+1</f>
        <v>50</v>
      </c>
      <c r="D3970" s="14">
        <f t="shared" si="462"/>
        <v>50</v>
      </c>
      <c r="E3970" s="48">
        <v>44343</v>
      </c>
      <c r="F3970" s="71"/>
      <c r="G3970" s="15"/>
      <c r="H3970" s="14">
        <f t="shared" si="461"/>
        <v>0</v>
      </c>
      <c r="I3970" s="74"/>
      <c r="J3970" s="51"/>
      <c r="K3970" s="173"/>
      <c r="L3970" s="15"/>
      <c r="M3970" s="14">
        <f t="shared" si="458"/>
        <v>0</v>
      </c>
    </row>
    <row r="3971" spans="1:13" x14ac:dyDescent="0.15">
      <c r="B3971" s="71" t="s">
        <v>161</v>
      </c>
      <c r="C3971" s="15">
        <f>18+1+2+1</f>
        <v>22</v>
      </c>
      <c r="D3971" s="14">
        <f t="shared" si="462"/>
        <v>22</v>
      </c>
      <c r="E3971" s="48">
        <v>44344</v>
      </c>
      <c r="F3971" s="71"/>
      <c r="G3971" s="15"/>
      <c r="H3971" s="14">
        <f t="shared" ref="H3971:H3973" si="463">SUM(G3971)</f>
        <v>0</v>
      </c>
      <c r="I3971" s="75"/>
      <c r="J3971" s="51"/>
      <c r="K3971" s="4"/>
      <c r="L3971" s="15"/>
      <c r="M3971" s="14">
        <f t="shared" si="458"/>
        <v>0</v>
      </c>
    </row>
    <row r="3972" spans="1:13" x14ac:dyDescent="0.15">
      <c r="B3972" s="71" t="s">
        <v>161</v>
      </c>
      <c r="C3972" s="15">
        <f>2+7+3+1</f>
        <v>13</v>
      </c>
      <c r="D3972" s="14">
        <f t="shared" si="462"/>
        <v>13</v>
      </c>
      <c r="E3972" s="48">
        <v>44345</v>
      </c>
      <c r="F3972" s="71"/>
      <c r="G3972" s="15"/>
      <c r="H3972" s="14">
        <f t="shared" si="463"/>
        <v>0</v>
      </c>
      <c r="I3972" s="75"/>
      <c r="J3972" s="51"/>
      <c r="K3972" s="6"/>
      <c r="L3972" s="15"/>
      <c r="M3972" s="14">
        <f t="shared" si="458"/>
        <v>0</v>
      </c>
    </row>
    <row r="3973" spans="1:13" x14ac:dyDescent="0.15">
      <c r="B3973" s="71" t="s">
        <v>161</v>
      </c>
      <c r="C3973" s="15">
        <f>10+5+20+2+30+23+9</f>
        <v>99</v>
      </c>
      <c r="D3973" s="14">
        <f t="shared" si="462"/>
        <v>99</v>
      </c>
      <c r="E3973" s="48">
        <v>44347</v>
      </c>
      <c r="F3973" s="71"/>
      <c r="G3973" s="15"/>
      <c r="H3973" s="14">
        <f t="shared" si="463"/>
        <v>0</v>
      </c>
      <c r="I3973" s="75"/>
      <c r="J3973" s="51"/>
      <c r="K3973" s="6"/>
      <c r="L3973" s="15"/>
      <c r="M3973" s="14">
        <f t="shared" si="458"/>
        <v>0</v>
      </c>
    </row>
    <row r="3974" spans="1:13" x14ac:dyDescent="0.15">
      <c r="B3974" s="71"/>
      <c r="C3974" s="15"/>
      <c r="D3974" s="14">
        <f t="shared" si="462"/>
        <v>0</v>
      </c>
      <c r="F3974" s="6"/>
      <c r="G3974" s="15"/>
      <c r="H3974" s="14">
        <f>SUM(G3974:G3974)</f>
        <v>0</v>
      </c>
      <c r="I3974" s="75"/>
      <c r="J3974" s="51"/>
      <c r="K3974" s="4"/>
      <c r="L3974" s="15"/>
      <c r="M3974" s="14">
        <f t="shared" si="458"/>
        <v>0</v>
      </c>
    </row>
    <row r="3975" spans="1:13" ht="14.25" thickBot="1" x14ac:dyDescent="0.2">
      <c r="B3975" s="71"/>
      <c r="C3975" s="15"/>
      <c r="D3975" s="14">
        <f t="shared" si="462"/>
        <v>0</v>
      </c>
      <c r="F3975" s="71"/>
      <c r="G3975" s="15"/>
      <c r="H3975" s="14">
        <f t="shared" ref="H3975" si="464">SUM(G3975)</f>
        <v>0</v>
      </c>
      <c r="I3975" s="75"/>
      <c r="J3975" s="51"/>
      <c r="K3975" s="6"/>
      <c r="L3975" s="15"/>
      <c r="M3975" s="14">
        <f t="shared" si="458"/>
        <v>0</v>
      </c>
    </row>
    <row r="3976" spans="1:13" ht="14.25" thickBot="1" x14ac:dyDescent="0.2">
      <c r="B3976" s="3" t="s">
        <v>5</v>
      </c>
      <c r="C3976" s="16">
        <f>SUM(C3952:C3975)</f>
        <v>815</v>
      </c>
      <c r="D3976" s="17">
        <f>SUM(D3952:D3975)</f>
        <v>815</v>
      </c>
      <c r="F3976" s="3" t="s">
        <v>5</v>
      </c>
      <c r="G3976" s="16">
        <f>SUM(G3952:G3975)</f>
        <v>1333</v>
      </c>
      <c r="H3976" s="17">
        <f>SUM(H3952:H3975)</f>
        <v>1333</v>
      </c>
      <c r="K3976" s="3" t="s">
        <v>5</v>
      </c>
      <c r="L3976" s="16">
        <f>SUM(L3952:L3975)</f>
        <v>0</v>
      </c>
      <c r="M3976" s="17">
        <f t="shared" si="458"/>
        <v>0</v>
      </c>
    </row>
    <row r="3977" spans="1:13" ht="14.25" thickBot="1" x14ac:dyDescent="0.2">
      <c r="B3977" s="18" t="s">
        <v>6</v>
      </c>
      <c r="C3977" s="19">
        <f>C3951-C3976</f>
        <v>1099</v>
      </c>
      <c r="D3977" s="13">
        <f>D3951-D3976</f>
        <v>1099</v>
      </c>
      <c r="F3977" s="18" t="s">
        <v>6</v>
      </c>
      <c r="G3977" s="19">
        <f>G3951-G3976</f>
        <v>0</v>
      </c>
      <c r="H3977" s="13">
        <f>H3951-H3976</f>
        <v>0</v>
      </c>
      <c r="K3977" s="18" t="s">
        <v>6</v>
      </c>
      <c r="L3977" s="19">
        <f>L3951-L3976</f>
        <v>0</v>
      </c>
      <c r="M3977" s="13">
        <f>SUM(L3977:L3977)</f>
        <v>0</v>
      </c>
    </row>
    <row r="3979" spans="1:13" ht="18" thickBot="1" x14ac:dyDescent="0.25">
      <c r="A3979" s="27" t="s">
        <v>8</v>
      </c>
      <c r="B3979" s="28"/>
      <c r="C3979" s="28"/>
      <c r="D3979" s="28"/>
      <c r="F3979" s="175" t="s">
        <v>651</v>
      </c>
      <c r="G3979" s="176"/>
      <c r="H3979" s="176"/>
      <c r="J3979" s="139" t="s">
        <v>218</v>
      </c>
      <c r="K3979" s="140"/>
      <c r="L3979" s="140"/>
      <c r="M3979" s="140"/>
    </row>
    <row r="3980" spans="1:13" ht="14.25" thickBot="1" x14ac:dyDescent="0.2">
      <c r="B3980" s="2"/>
      <c r="C3980" s="3" t="s">
        <v>0</v>
      </c>
      <c r="D3980" s="2" t="s">
        <v>1</v>
      </c>
      <c r="F3980" s="2"/>
      <c r="G3980" s="3" t="s">
        <v>0</v>
      </c>
      <c r="H3980" s="2" t="s">
        <v>1</v>
      </c>
      <c r="K3980" s="2"/>
      <c r="L3980" s="3" t="s">
        <v>0</v>
      </c>
      <c r="M3980" s="2" t="s">
        <v>1</v>
      </c>
    </row>
    <row r="3981" spans="1:13" x14ac:dyDescent="0.15">
      <c r="B3981" s="43" t="s">
        <v>26</v>
      </c>
      <c r="C3981" s="38">
        <f>C3977</f>
        <v>1099</v>
      </c>
      <c r="D3981" s="39">
        <f t="shared" ref="D3981:D3991" si="465">SUM(C3981:C3981)</f>
        <v>1099</v>
      </c>
      <c r="F3981" s="43" t="s">
        <v>26</v>
      </c>
      <c r="G3981" s="38">
        <f>G3977</f>
        <v>0</v>
      </c>
      <c r="H3981" s="39">
        <f>SUM(G3981:G3981)</f>
        <v>0</v>
      </c>
      <c r="K3981" s="43" t="s">
        <v>26</v>
      </c>
      <c r="L3981" s="38">
        <f>L3977</f>
        <v>0</v>
      </c>
      <c r="M3981" s="39">
        <f t="shared" ref="M3981:M3988" si="466">SUM(L3981:L3981)</f>
        <v>0</v>
      </c>
    </row>
    <row r="3982" spans="1:13" x14ac:dyDescent="0.15">
      <c r="B3982" s="6" t="s">
        <v>529</v>
      </c>
      <c r="C3982" s="7">
        <v>1</v>
      </c>
      <c r="D3982" s="5">
        <f t="shared" si="465"/>
        <v>1</v>
      </c>
      <c r="E3982" s="74">
        <v>44363</v>
      </c>
      <c r="F3982" s="6" t="s">
        <v>64</v>
      </c>
      <c r="G3982" s="7">
        <v>2</v>
      </c>
      <c r="H3982" s="5">
        <f>SUM(G3982:G3982)</f>
        <v>2</v>
      </c>
      <c r="I3982" s="74">
        <v>44428</v>
      </c>
      <c r="J3982" s="75"/>
      <c r="K3982" s="6" t="s">
        <v>3</v>
      </c>
      <c r="L3982" s="7"/>
      <c r="M3982" s="5">
        <f t="shared" si="466"/>
        <v>0</v>
      </c>
    </row>
    <row r="3983" spans="1:13" x14ac:dyDescent="0.15">
      <c r="A3983" s="75"/>
      <c r="B3983" s="6" t="s">
        <v>791</v>
      </c>
      <c r="C3983" s="7">
        <v>10</v>
      </c>
      <c r="D3983" s="5">
        <f t="shared" si="465"/>
        <v>10</v>
      </c>
      <c r="E3983" s="48">
        <v>44376</v>
      </c>
      <c r="F3983" s="6" t="s">
        <v>3</v>
      </c>
      <c r="G3983" s="7"/>
      <c r="H3983" s="5">
        <f>SUM(G3983:G3983)</f>
        <v>0</v>
      </c>
      <c r="I3983" s="74"/>
      <c r="K3983" s="6" t="s">
        <v>3</v>
      </c>
      <c r="L3983" s="7"/>
      <c r="M3983" s="5">
        <f t="shared" si="466"/>
        <v>0</v>
      </c>
    </row>
    <row r="3984" spans="1:13" x14ac:dyDescent="0.15">
      <c r="A3984" s="75"/>
      <c r="B3984" s="6" t="s">
        <v>791</v>
      </c>
      <c r="C3984" s="7">
        <v>20</v>
      </c>
      <c r="D3984" s="5">
        <f t="shared" si="465"/>
        <v>20</v>
      </c>
      <c r="E3984" s="48">
        <v>44383</v>
      </c>
      <c r="F3984" s="6" t="s">
        <v>3</v>
      </c>
      <c r="G3984" s="7"/>
      <c r="H3984" s="5">
        <f t="shared" ref="H3984:H3991" si="467">SUM(G3984:G3984)</f>
        <v>0</v>
      </c>
      <c r="I3984" s="74"/>
      <c r="J3984" s="100"/>
      <c r="K3984" s="6" t="s">
        <v>3</v>
      </c>
      <c r="L3984" s="7"/>
      <c r="M3984" s="5">
        <f t="shared" si="466"/>
        <v>0</v>
      </c>
    </row>
    <row r="3985" spans="2:13" x14ac:dyDescent="0.15">
      <c r="B3985" s="6" t="s">
        <v>791</v>
      </c>
      <c r="C3985" s="7">
        <v>40</v>
      </c>
      <c r="D3985" s="5">
        <f t="shared" si="465"/>
        <v>40</v>
      </c>
      <c r="E3985" s="48">
        <v>44391</v>
      </c>
      <c r="F3985" s="6" t="s">
        <v>3</v>
      </c>
      <c r="G3985" s="7"/>
      <c r="H3985" s="5">
        <f t="shared" si="467"/>
        <v>0</v>
      </c>
      <c r="I3985" s="74"/>
      <c r="K3985" s="6" t="s">
        <v>3</v>
      </c>
      <c r="L3985" s="7"/>
      <c r="M3985" s="5">
        <f t="shared" si="466"/>
        <v>0</v>
      </c>
    </row>
    <row r="3986" spans="2:13" x14ac:dyDescent="0.15">
      <c r="B3986" s="6" t="s">
        <v>791</v>
      </c>
      <c r="C3986" s="7">
        <v>20</v>
      </c>
      <c r="D3986" s="5">
        <f t="shared" si="465"/>
        <v>20</v>
      </c>
      <c r="E3986" s="48">
        <v>44405</v>
      </c>
      <c r="F3986" s="6" t="s">
        <v>3</v>
      </c>
      <c r="G3986" s="7"/>
      <c r="H3986" s="5">
        <f t="shared" si="467"/>
        <v>0</v>
      </c>
      <c r="I3986" s="74"/>
      <c r="K3986" s="6" t="s">
        <v>3</v>
      </c>
      <c r="L3986" s="7"/>
      <c r="M3986" s="5">
        <f t="shared" si="466"/>
        <v>0</v>
      </c>
    </row>
    <row r="3987" spans="2:13" x14ac:dyDescent="0.15">
      <c r="B3987" s="6" t="s">
        <v>3</v>
      </c>
      <c r="C3987" s="7"/>
      <c r="D3987" s="5">
        <f t="shared" si="465"/>
        <v>0</v>
      </c>
      <c r="F3987" s="6" t="s">
        <v>3</v>
      </c>
      <c r="G3987" s="7"/>
      <c r="H3987" s="5">
        <f t="shared" si="467"/>
        <v>0</v>
      </c>
      <c r="I3987" s="74"/>
      <c r="K3987" s="6" t="s">
        <v>3</v>
      </c>
      <c r="L3987" s="7"/>
      <c r="M3987" s="5">
        <f t="shared" si="466"/>
        <v>0</v>
      </c>
    </row>
    <row r="3988" spans="2:13" x14ac:dyDescent="0.15">
      <c r="B3988" s="6" t="s">
        <v>3</v>
      </c>
      <c r="C3988" s="54"/>
      <c r="D3988" s="5">
        <f t="shared" si="465"/>
        <v>0</v>
      </c>
      <c r="F3988" s="6" t="s">
        <v>3</v>
      </c>
      <c r="G3988" s="54"/>
      <c r="H3988" s="5">
        <f t="shared" si="467"/>
        <v>0</v>
      </c>
      <c r="K3988" s="6" t="s">
        <v>3</v>
      </c>
      <c r="L3988" s="7"/>
      <c r="M3988" s="5">
        <f t="shared" si="466"/>
        <v>0</v>
      </c>
    </row>
    <row r="3989" spans="2:13" x14ac:dyDescent="0.15">
      <c r="B3989" s="6" t="s">
        <v>3</v>
      </c>
      <c r="C3989" s="54"/>
      <c r="D3989" s="5">
        <f t="shared" si="465"/>
        <v>0</v>
      </c>
      <c r="F3989" s="6" t="s">
        <v>3</v>
      </c>
      <c r="G3989" s="54"/>
      <c r="H3989" s="5">
        <f t="shared" si="467"/>
        <v>0</v>
      </c>
      <c r="K3989" s="6" t="s">
        <v>3</v>
      </c>
      <c r="L3989" s="7"/>
      <c r="M3989" s="5">
        <f>SUM(L3989:L3989)</f>
        <v>0</v>
      </c>
    </row>
    <row r="3990" spans="2:13" x14ac:dyDescent="0.15">
      <c r="B3990" s="6" t="s">
        <v>3</v>
      </c>
      <c r="C3990" s="54"/>
      <c r="D3990" s="5">
        <f t="shared" si="465"/>
        <v>0</v>
      </c>
      <c r="F3990" s="6" t="s">
        <v>3</v>
      </c>
      <c r="G3990" s="54"/>
      <c r="H3990" s="5">
        <f t="shared" si="467"/>
        <v>0</v>
      </c>
      <c r="K3990" s="6" t="s">
        <v>3</v>
      </c>
      <c r="L3990" s="7"/>
      <c r="M3990" s="5">
        <f>SUM(L3990:L3990)</f>
        <v>0</v>
      </c>
    </row>
    <row r="3991" spans="2:13" ht="14.25" thickBot="1" x14ac:dyDescent="0.2">
      <c r="B3991" s="9" t="s">
        <v>3</v>
      </c>
      <c r="C3991" s="101"/>
      <c r="D3991" s="5">
        <f t="shared" si="465"/>
        <v>0</v>
      </c>
      <c r="F3991" s="9" t="s">
        <v>3</v>
      </c>
      <c r="G3991" s="101"/>
      <c r="H3991" s="5">
        <f t="shared" si="467"/>
        <v>0</v>
      </c>
      <c r="K3991" s="9" t="s">
        <v>3</v>
      </c>
      <c r="L3991" s="10"/>
      <c r="M3991" s="5">
        <f>SUM(L3991:L3991)</f>
        <v>0</v>
      </c>
    </row>
    <row r="3992" spans="2:13" ht="14.25" thickBot="1" x14ac:dyDescent="0.2">
      <c r="B3992" s="11" t="s">
        <v>4</v>
      </c>
      <c r="C3992" s="12">
        <f>SUM(C3981:C3991)</f>
        <v>1190</v>
      </c>
      <c r="D3992" s="13">
        <f>SUM(D3981:D3991)</f>
        <v>1190</v>
      </c>
      <c r="F3992" s="11" t="s">
        <v>4</v>
      </c>
      <c r="G3992" s="12">
        <f>SUM(G3981:G3991)</f>
        <v>2</v>
      </c>
      <c r="H3992" s="13">
        <f>SUM(H3981:H3991)</f>
        <v>2</v>
      </c>
      <c r="K3992" s="11" t="s">
        <v>4</v>
      </c>
      <c r="L3992" s="12">
        <f>SUM(L3981:L3991)</f>
        <v>0</v>
      </c>
      <c r="M3992" s="13">
        <f>SUM(M3981:M3991)</f>
        <v>0</v>
      </c>
    </row>
    <row r="3993" spans="2:13" x14ac:dyDescent="0.15">
      <c r="B3993" s="71" t="s">
        <v>755</v>
      </c>
      <c r="C3993" s="15">
        <f>12+1+13+1+2+8+6</f>
        <v>43</v>
      </c>
      <c r="D3993" s="14">
        <f>SUM(C3993)</f>
        <v>43</v>
      </c>
      <c r="E3993" s="48">
        <v>44348</v>
      </c>
      <c r="F3993" s="71" t="s">
        <v>841</v>
      </c>
      <c r="G3993" s="15">
        <v>2</v>
      </c>
      <c r="H3993" s="14">
        <f>SUM(G3993)</f>
        <v>2</v>
      </c>
      <c r="I3993" s="74">
        <v>44429</v>
      </c>
      <c r="J3993" s="75"/>
      <c r="K3993" s="71"/>
      <c r="L3993" s="15"/>
      <c r="M3993" s="14">
        <f>SUM(L3993)</f>
        <v>0</v>
      </c>
    </row>
    <row r="3994" spans="2:13" x14ac:dyDescent="0.15">
      <c r="B3994" s="6" t="s">
        <v>754</v>
      </c>
      <c r="C3994" s="15">
        <v>40</v>
      </c>
      <c r="D3994" s="14">
        <f>SUM(C3994)</f>
        <v>40</v>
      </c>
      <c r="E3994" s="74">
        <v>44355</v>
      </c>
      <c r="F3994" s="71"/>
      <c r="G3994" s="15"/>
      <c r="H3994" s="14">
        <f>SUM(G3994)</f>
        <v>0</v>
      </c>
      <c r="I3994" s="74"/>
      <c r="J3994" s="36"/>
      <c r="K3994" s="71"/>
      <c r="L3994" s="15"/>
      <c r="M3994" s="14">
        <f t="shared" ref="M3994:M4017" si="468">SUM(L3994:L3994)</f>
        <v>0</v>
      </c>
    </row>
    <row r="3995" spans="2:13" x14ac:dyDescent="0.15">
      <c r="B3995" s="71" t="s">
        <v>756</v>
      </c>
      <c r="C3995" s="15">
        <v>100</v>
      </c>
      <c r="D3995" s="14">
        <f>SUM(C3995)</f>
        <v>100</v>
      </c>
      <c r="E3995" s="74">
        <v>44350</v>
      </c>
      <c r="F3995" s="71"/>
      <c r="G3995" s="15"/>
      <c r="H3995" s="14">
        <f>SUM(G3995)</f>
        <v>0</v>
      </c>
      <c r="I3995" s="74"/>
      <c r="J3995" s="51"/>
      <c r="K3995" s="71"/>
      <c r="L3995" s="15"/>
      <c r="M3995" s="14">
        <f t="shared" si="468"/>
        <v>0</v>
      </c>
    </row>
    <row r="3996" spans="2:13" x14ac:dyDescent="0.15">
      <c r="B3996" s="71" t="s">
        <v>161</v>
      </c>
      <c r="C3996" s="15">
        <f>21+3+28+4</f>
        <v>56</v>
      </c>
      <c r="D3996" s="14">
        <f t="shared" ref="D3996:D4006" si="469">SUM(C3996)</f>
        <v>56</v>
      </c>
      <c r="E3996" s="74">
        <v>44349</v>
      </c>
      <c r="F3996" s="71"/>
      <c r="G3996" s="15"/>
      <c r="H3996" s="14">
        <f t="shared" ref="H3996:H4006" si="470">SUM(G3996)</f>
        <v>0</v>
      </c>
      <c r="I3996" s="74"/>
      <c r="J3996" s="51"/>
      <c r="K3996" s="71"/>
      <c r="L3996" s="15"/>
      <c r="M3996" s="14">
        <f t="shared" si="468"/>
        <v>0</v>
      </c>
    </row>
    <row r="3997" spans="2:13" x14ac:dyDescent="0.15">
      <c r="B3997" s="71" t="s">
        <v>161</v>
      </c>
      <c r="C3997" s="15">
        <f>1+1+28+4+1+1</f>
        <v>36</v>
      </c>
      <c r="D3997" s="14">
        <f t="shared" si="469"/>
        <v>36</v>
      </c>
      <c r="E3997" s="74">
        <v>44350</v>
      </c>
      <c r="F3997" s="71"/>
      <c r="G3997" s="15"/>
      <c r="H3997" s="14">
        <f t="shared" si="470"/>
        <v>0</v>
      </c>
      <c r="I3997" s="74"/>
      <c r="J3997" s="51"/>
      <c r="K3997" s="4"/>
      <c r="L3997" s="15"/>
      <c r="M3997" s="14">
        <f t="shared" si="468"/>
        <v>0</v>
      </c>
    </row>
    <row r="3998" spans="2:13" x14ac:dyDescent="0.15">
      <c r="B3998" s="71" t="s">
        <v>161</v>
      </c>
      <c r="C3998" s="15">
        <f>5+15+10+2+38+10+2</f>
        <v>82</v>
      </c>
      <c r="D3998" s="14">
        <f t="shared" si="469"/>
        <v>82</v>
      </c>
      <c r="E3998" s="74">
        <v>44351</v>
      </c>
      <c r="F3998" s="71"/>
      <c r="G3998" s="15"/>
      <c r="H3998" s="14">
        <f t="shared" si="470"/>
        <v>0</v>
      </c>
      <c r="I3998" s="74"/>
      <c r="J3998" s="51"/>
      <c r="K3998" s="71"/>
      <c r="L3998" s="15"/>
      <c r="M3998" s="14">
        <f t="shared" si="468"/>
        <v>0</v>
      </c>
    </row>
    <row r="3999" spans="2:13" x14ac:dyDescent="0.15">
      <c r="B3999" s="71" t="s">
        <v>161</v>
      </c>
      <c r="C3999" s="15">
        <f>69+34+2+7+1</f>
        <v>113</v>
      </c>
      <c r="D3999" s="14">
        <f t="shared" si="469"/>
        <v>113</v>
      </c>
      <c r="E3999" s="48">
        <v>44352</v>
      </c>
      <c r="F3999" s="71"/>
      <c r="G3999" s="15"/>
      <c r="H3999" s="14">
        <f t="shared" si="470"/>
        <v>0</v>
      </c>
      <c r="I3999" s="74"/>
      <c r="J3999" s="51"/>
      <c r="K3999" s="4"/>
      <c r="L3999" s="15"/>
      <c r="M3999" s="14">
        <f t="shared" si="468"/>
        <v>0</v>
      </c>
    </row>
    <row r="4000" spans="2:13" x14ac:dyDescent="0.15">
      <c r="B4000" s="6" t="s">
        <v>779</v>
      </c>
      <c r="C4000" s="15">
        <v>20</v>
      </c>
      <c r="D4000" s="14">
        <f t="shared" si="469"/>
        <v>20</v>
      </c>
      <c r="E4000" s="74">
        <v>44376</v>
      </c>
      <c r="F4000" s="71"/>
      <c r="G4000" s="15"/>
      <c r="H4000" s="14">
        <f t="shared" si="470"/>
        <v>0</v>
      </c>
      <c r="I4000" s="74"/>
      <c r="J4000" s="51"/>
      <c r="K4000" s="6"/>
      <c r="L4000" s="15"/>
      <c r="M4000" s="14">
        <f t="shared" si="468"/>
        <v>0</v>
      </c>
    </row>
    <row r="4001" spans="2:13" x14ac:dyDescent="0.15">
      <c r="B4001" s="71" t="s">
        <v>778</v>
      </c>
      <c r="C4001" s="15">
        <v>500</v>
      </c>
      <c r="D4001" s="14">
        <f t="shared" si="469"/>
        <v>500</v>
      </c>
      <c r="E4001" s="74">
        <v>44372</v>
      </c>
      <c r="F4001" s="71"/>
      <c r="G4001" s="15"/>
      <c r="H4001" s="14">
        <f t="shared" si="470"/>
        <v>0</v>
      </c>
      <c r="I4001" s="74"/>
      <c r="J4001" s="36"/>
      <c r="K4001" s="4"/>
      <c r="L4001" s="15"/>
      <c r="M4001" s="14">
        <f t="shared" si="468"/>
        <v>0</v>
      </c>
    </row>
    <row r="4002" spans="2:13" x14ac:dyDescent="0.15">
      <c r="B4002" s="71" t="s">
        <v>783</v>
      </c>
      <c r="C4002" s="15">
        <v>100</v>
      </c>
      <c r="D4002" s="14">
        <f t="shared" si="469"/>
        <v>100</v>
      </c>
      <c r="E4002" s="74">
        <v>44373</v>
      </c>
      <c r="F4002" s="71"/>
      <c r="G4002" s="15"/>
      <c r="H4002" s="14">
        <f t="shared" si="470"/>
        <v>0</v>
      </c>
      <c r="I4002" s="74"/>
      <c r="J4002" s="36"/>
      <c r="K4002" s="4"/>
      <c r="L4002" s="15"/>
      <c r="M4002" s="14">
        <f t="shared" si="468"/>
        <v>0</v>
      </c>
    </row>
    <row r="4003" spans="2:13" x14ac:dyDescent="0.15">
      <c r="B4003" s="6" t="s">
        <v>789</v>
      </c>
      <c r="C4003" s="15">
        <v>20</v>
      </c>
      <c r="D4003" s="14">
        <f t="shared" si="469"/>
        <v>20</v>
      </c>
      <c r="E4003" s="74">
        <v>44383</v>
      </c>
      <c r="F4003" s="71"/>
      <c r="G4003" s="15"/>
      <c r="H4003" s="14">
        <f t="shared" si="470"/>
        <v>0</v>
      </c>
      <c r="I4003" s="74"/>
      <c r="J4003" s="51"/>
      <c r="K4003" s="4"/>
      <c r="L4003" s="15"/>
      <c r="M4003" s="14">
        <f t="shared" si="468"/>
        <v>0</v>
      </c>
    </row>
    <row r="4004" spans="2:13" x14ac:dyDescent="0.15">
      <c r="B4004" s="6" t="s">
        <v>799</v>
      </c>
      <c r="C4004" s="15">
        <v>20</v>
      </c>
      <c r="D4004" s="14">
        <f t="shared" si="469"/>
        <v>20</v>
      </c>
      <c r="E4004" s="74">
        <v>44386</v>
      </c>
      <c r="F4004" s="71"/>
      <c r="G4004" s="15"/>
      <c r="H4004" s="14">
        <f t="shared" si="470"/>
        <v>0</v>
      </c>
      <c r="I4004" s="74"/>
      <c r="J4004" s="51"/>
      <c r="K4004" s="4"/>
      <c r="L4004" s="15"/>
      <c r="M4004" s="14">
        <f t="shared" si="468"/>
        <v>0</v>
      </c>
    </row>
    <row r="4005" spans="2:13" x14ac:dyDescent="0.15">
      <c r="B4005" s="71" t="s">
        <v>809</v>
      </c>
      <c r="C4005" s="15">
        <v>40</v>
      </c>
      <c r="D4005" s="14">
        <f t="shared" si="469"/>
        <v>40</v>
      </c>
      <c r="E4005" s="74">
        <v>44398</v>
      </c>
      <c r="F4005" s="71"/>
      <c r="G4005" s="15"/>
      <c r="H4005" s="14">
        <f t="shared" si="470"/>
        <v>0</v>
      </c>
      <c r="I4005" s="74"/>
      <c r="J4005" s="36"/>
      <c r="K4005" s="172"/>
      <c r="L4005" s="15"/>
      <c r="M4005" s="14">
        <f t="shared" si="468"/>
        <v>0</v>
      </c>
    </row>
    <row r="4006" spans="2:13" x14ac:dyDescent="0.15">
      <c r="B4006" s="6" t="s">
        <v>821</v>
      </c>
      <c r="C4006" s="15">
        <v>20</v>
      </c>
      <c r="D4006" s="14">
        <f t="shared" si="469"/>
        <v>20</v>
      </c>
      <c r="E4006" s="74">
        <v>44407</v>
      </c>
      <c r="F4006" s="71"/>
      <c r="G4006" s="15"/>
      <c r="H4006" s="14">
        <f t="shared" si="470"/>
        <v>0</v>
      </c>
      <c r="I4006" s="74"/>
      <c r="J4006" s="51"/>
      <c r="K4006" s="173"/>
      <c r="L4006" s="15"/>
      <c r="M4006" s="14">
        <f t="shared" si="468"/>
        <v>0</v>
      </c>
    </row>
    <row r="4007" spans="2:13" x14ac:dyDescent="0.15">
      <c r="B4007" s="71"/>
      <c r="C4007" s="15"/>
      <c r="D4007" s="14">
        <f>SUM(C4007)</f>
        <v>0</v>
      </c>
      <c r="E4007" s="48"/>
      <c r="F4007" s="71"/>
      <c r="G4007" s="15"/>
      <c r="H4007" s="14">
        <f t="shared" ref="H4007:H4011" si="471">SUM(G4007)</f>
        <v>0</v>
      </c>
      <c r="I4007" s="74"/>
      <c r="J4007" s="51"/>
      <c r="K4007" s="4"/>
      <c r="L4007" s="15"/>
      <c r="M4007" s="14">
        <f t="shared" si="468"/>
        <v>0</v>
      </c>
    </row>
    <row r="4008" spans="2:13" x14ac:dyDescent="0.15">
      <c r="B4008" s="71"/>
      <c r="C4008" s="15"/>
      <c r="D4008" s="14">
        <f>SUM(C4008)</f>
        <v>0</v>
      </c>
      <c r="E4008" s="48"/>
      <c r="F4008" s="71"/>
      <c r="G4008" s="15"/>
      <c r="H4008" s="14">
        <f t="shared" si="471"/>
        <v>0</v>
      </c>
      <c r="I4008" s="74"/>
      <c r="J4008" s="51"/>
      <c r="K4008" s="6"/>
      <c r="L4008" s="15"/>
      <c r="M4008" s="14">
        <f t="shared" si="468"/>
        <v>0</v>
      </c>
    </row>
    <row r="4009" spans="2:13" x14ac:dyDescent="0.15">
      <c r="B4009" s="71"/>
      <c r="C4009" s="15"/>
      <c r="D4009" s="14">
        <f>SUM(C4009)</f>
        <v>0</v>
      </c>
      <c r="E4009" s="48"/>
      <c r="F4009" s="71"/>
      <c r="G4009" s="15"/>
      <c r="H4009" s="14">
        <f t="shared" si="471"/>
        <v>0</v>
      </c>
      <c r="I4009" s="74"/>
      <c r="J4009" s="51"/>
      <c r="K4009" s="6"/>
      <c r="L4009" s="15"/>
      <c r="M4009" s="14">
        <f t="shared" si="468"/>
        <v>0</v>
      </c>
    </row>
    <row r="4010" spans="2:13" x14ac:dyDescent="0.15">
      <c r="B4010" s="71"/>
      <c r="C4010" s="15"/>
      <c r="D4010" s="14">
        <f t="shared" ref="D4010:D4016" si="472">SUM(C4010)</f>
        <v>0</v>
      </c>
      <c r="E4010" s="74"/>
      <c r="F4010" s="71"/>
      <c r="G4010" s="15"/>
      <c r="H4010" s="14">
        <f t="shared" si="471"/>
        <v>0</v>
      </c>
      <c r="I4010" s="74"/>
      <c r="J4010" s="51"/>
      <c r="K4010" s="172"/>
      <c r="L4010" s="15"/>
      <c r="M4010" s="14">
        <f t="shared" si="468"/>
        <v>0</v>
      </c>
    </row>
    <row r="4011" spans="2:13" x14ac:dyDescent="0.15">
      <c r="B4011" s="71"/>
      <c r="C4011" s="15"/>
      <c r="D4011" s="14">
        <f t="shared" si="472"/>
        <v>0</v>
      </c>
      <c r="E4011" s="48"/>
      <c r="F4011" s="71"/>
      <c r="G4011" s="15"/>
      <c r="H4011" s="14">
        <f t="shared" si="471"/>
        <v>0</v>
      </c>
      <c r="I4011" s="74"/>
      <c r="J4011" s="51"/>
      <c r="K4011" s="173"/>
      <c r="L4011" s="15"/>
      <c r="M4011" s="14">
        <f t="shared" si="468"/>
        <v>0</v>
      </c>
    </row>
    <row r="4012" spans="2:13" x14ac:dyDescent="0.15">
      <c r="B4012" s="71"/>
      <c r="C4012" s="15"/>
      <c r="D4012" s="14">
        <f t="shared" si="472"/>
        <v>0</v>
      </c>
      <c r="F4012" s="71"/>
      <c r="G4012" s="15"/>
      <c r="H4012" s="14">
        <f t="shared" ref="H4012:H4014" si="473">SUM(G4012)</f>
        <v>0</v>
      </c>
      <c r="I4012" s="75"/>
      <c r="J4012" s="51"/>
      <c r="K4012" s="4"/>
      <c r="L4012" s="15"/>
      <c r="M4012" s="14">
        <f t="shared" si="468"/>
        <v>0</v>
      </c>
    </row>
    <row r="4013" spans="2:13" x14ac:dyDescent="0.15">
      <c r="B4013" s="71"/>
      <c r="C4013" s="15"/>
      <c r="D4013" s="14">
        <f t="shared" si="472"/>
        <v>0</v>
      </c>
      <c r="F4013" s="71"/>
      <c r="G4013" s="15"/>
      <c r="H4013" s="14">
        <f t="shared" si="473"/>
        <v>0</v>
      </c>
      <c r="I4013" s="75"/>
      <c r="J4013" s="51"/>
      <c r="K4013" s="6"/>
      <c r="L4013" s="15"/>
      <c r="M4013" s="14">
        <f t="shared" si="468"/>
        <v>0</v>
      </c>
    </row>
    <row r="4014" spans="2:13" x14ac:dyDescent="0.15">
      <c r="B4014" s="71"/>
      <c r="C4014" s="15"/>
      <c r="D4014" s="14">
        <f t="shared" si="472"/>
        <v>0</v>
      </c>
      <c r="F4014" s="71"/>
      <c r="G4014" s="15"/>
      <c r="H4014" s="14">
        <f t="shared" si="473"/>
        <v>0</v>
      </c>
      <c r="I4014" s="75"/>
      <c r="J4014" s="51"/>
      <c r="K4014" s="6"/>
      <c r="L4014" s="15"/>
      <c r="M4014" s="14">
        <f t="shared" si="468"/>
        <v>0</v>
      </c>
    </row>
    <row r="4015" spans="2:13" x14ac:dyDescent="0.15">
      <c r="B4015" s="71"/>
      <c r="C4015" s="15"/>
      <c r="D4015" s="14">
        <f t="shared" si="472"/>
        <v>0</v>
      </c>
      <c r="F4015" s="6"/>
      <c r="G4015" s="15"/>
      <c r="H4015" s="14">
        <f>SUM(G4015:G4015)</f>
        <v>0</v>
      </c>
      <c r="I4015" s="75"/>
      <c r="J4015" s="51"/>
      <c r="K4015" s="4"/>
      <c r="L4015" s="15"/>
      <c r="M4015" s="14">
        <f t="shared" si="468"/>
        <v>0</v>
      </c>
    </row>
    <row r="4016" spans="2:13" ht="14.25" thickBot="1" x14ac:dyDescent="0.2">
      <c r="B4016" s="71"/>
      <c r="C4016" s="15"/>
      <c r="D4016" s="14">
        <f t="shared" si="472"/>
        <v>0</v>
      </c>
      <c r="F4016" s="71" t="s">
        <v>708</v>
      </c>
      <c r="G4016" s="15"/>
      <c r="H4016" s="14">
        <f t="shared" ref="H4016" si="474">SUM(G4016)</f>
        <v>0</v>
      </c>
      <c r="I4016" s="75" t="s">
        <v>729</v>
      </c>
      <c r="J4016" s="51"/>
      <c r="K4016" s="6"/>
      <c r="L4016" s="15"/>
      <c r="M4016" s="14">
        <f t="shared" si="468"/>
        <v>0</v>
      </c>
    </row>
    <row r="4017" spans="2:13" ht="14.25" thickBot="1" x14ac:dyDescent="0.2">
      <c r="B4017" s="3" t="s">
        <v>5</v>
      </c>
      <c r="C4017" s="16">
        <f>SUM(C3993:C4016)</f>
        <v>1190</v>
      </c>
      <c r="D4017" s="17">
        <f>SUM(D3993:D4016)</f>
        <v>1190</v>
      </c>
      <c r="F4017" s="3" t="s">
        <v>5</v>
      </c>
      <c r="G4017" s="16">
        <f>SUM(G3993:G4016)</f>
        <v>2</v>
      </c>
      <c r="H4017" s="17">
        <f>SUM(H3993:H4016)</f>
        <v>2</v>
      </c>
      <c r="K4017" s="3" t="s">
        <v>5</v>
      </c>
      <c r="L4017" s="16">
        <f>SUM(L3993:L4016)</f>
        <v>0</v>
      </c>
      <c r="M4017" s="17">
        <f t="shared" si="468"/>
        <v>0</v>
      </c>
    </row>
    <row r="4018" spans="2:13" ht="14.25" thickBot="1" x14ac:dyDescent="0.2">
      <c r="B4018" s="18" t="s">
        <v>6</v>
      </c>
      <c r="C4018" s="19">
        <f>C3992-C4017</f>
        <v>0</v>
      </c>
      <c r="D4018" s="13">
        <f>D3992-D4017</f>
        <v>0</v>
      </c>
      <c r="F4018" s="18" t="s">
        <v>6</v>
      </c>
      <c r="G4018" s="19">
        <f>G3992-G4017</f>
        <v>0</v>
      </c>
      <c r="H4018" s="13">
        <f>H3992-H4017</f>
        <v>0</v>
      </c>
      <c r="K4018" s="18" t="s">
        <v>6</v>
      </c>
      <c r="L4018" s="19">
        <f>L3992-L4017</f>
        <v>0</v>
      </c>
      <c r="M4018" s="13">
        <f>SUM(L4018:L4018)</f>
        <v>0</v>
      </c>
    </row>
    <row r="4019" spans="2:13" x14ac:dyDescent="0.15">
      <c r="C4019" s="1">
        <f>C4017+C3976+C3935+C3894</f>
        <v>2764</v>
      </c>
      <c r="D4019" s="231" t="s">
        <v>842</v>
      </c>
    </row>
  </sheetData>
  <phoneticPr fontId="2"/>
  <pageMargins left="0.7" right="0.7" top="0.75" bottom="0.75" header="0.3" footer="0.3"/>
  <pageSetup paperSize="9" orientation="portrait" r:id="rId1"/>
  <ignoredErrors>
    <ignoredError sqref="M3923 M3928:M3929 M3930 M3933 M3882 M3887:M3889 M3892 H3889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50"/>
  <sheetViews>
    <sheetView tabSelected="1" topLeftCell="B2317" zoomScaleNormal="100" workbookViewId="0">
      <selection activeCell="B2325" sqref="B2325"/>
    </sheetView>
  </sheetViews>
  <sheetFormatPr defaultRowHeight="13.5" x14ac:dyDescent="0.15"/>
  <cols>
    <col min="1" max="1" width="5" customWidth="1"/>
    <col min="2" max="2" width="22.875" customWidth="1"/>
    <col min="3" max="5" width="10.75" customWidth="1"/>
    <col min="6" max="6" width="12.125" style="224" customWidth="1"/>
    <col min="7" max="7" width="11.375" style="209" customWidth="1"/>
    <col min="8" max="8" width="30.5" customWidth="1"/>
    <col min="9" max="11" width="10.75" customWidth="1"/>
    <col min="12" max="12" width="12.125" style="224" customWidth="1"/>
    <col min="13" max="13" width="18.75" style="209" customWidth="1"/>
    <col min="14" max="14" width="7.625" customWidth="1"/>
    <col min="15" max="15" width="20.75" customWidth="1"/>
    <col min="16" max="16" width="11.5" customWidth="1"/>
    <col min="17" max="17" width="13.875" customWidth="1"/>
    <col min="18" max="18" width="10.75" customWidth="1"/>
    <col min="19" max="19" width="36" customWidth="1"/>
    <col min="20" max="20" width="11.5" customWidth="1"/>
    <col min="21" max="21" width="13.875" customWidth="1"/>
    <col min="22" max="22" width="18" customWidth="1"/>
  </cols>
  <sheetData>
    <row r="1" spans="1:22" ht="27.75" customHeight="1" thickBot="1" x14ac:dyDescent="0.25">
      <c r="A1" s="27" t="s">
        <v>739</v>
      </c>
      <c r="B1" s="28"/>
      <c r="C1" s="28"/>
      <c r="D1" s="28"/>
      <c r="E1" s="28"/>
      <c r="F1" s="218"/>
      <c r="H1" s="27" t="s">
        <v>740</v>
      </c>
      <c r="I1" s="28"/>
      <c r="J1" s="28"/>
      <c r="K1" s="28"/>
      <c r="L1" s="218"/>
      <c r="O1" s="181" t="s">
        <v>737</v>
      </c>
      <c r="P1" s="182"/>
      <c r="Q1" s="182"/>
      <c r="R1" s="183"/>
      <c r="S1" s="181" t="s">
        <v>733</v>
      </c>
      <c r="T1" s="182"/>
      <c r="U1" s="182"/>
      <c r="V1" s="183"/>
    </row>
    <row r="2" spans="1:22" ht="24" customHeight="1" thickBot="1" x14ac:dyDescent="0.2">
      <c r="A2" s="1"/>
      <c r="B2" s="2"/>
      <c r="C2" s="194" t="s">
        <v>734</v>
      </c>
      <c r="D2" s="195" t="s">
        <v>706</v>
      </c>
      <c r="E2" s="2" t="s">
        <v>735</v>
      </c>
      <c r="F2" s="219" t="s">
        <v>1</v>
      </c>
      <c r="H2" s="2"/>
      <c r="I2" s="197" t="s">
        <v>734</v>
      </c>
      <c r="J2" s="195" t="s">
        <v>706</v>
      </c>
      <c r="K2" s="2" t="s">
        <v>735</v>
      </c>
      <c r="L2" s="219" t="s">
        <v>1</v>
      </c>
      <c r="N2" s="1"/>
      <c r="O2" s="2"/>
      <c r="P2" s="213" t="s">
        <v>722</v>
      </c>
      <c r="Q2" s="2" t="s">
        <v>1</v>
      </c>
      <c r="S2" s="2"/>
      <c r="T2" s="213" t="s">
        <v>722</v>
      </c>
      <c r="U2" s="2" t="s">
        <v>1</v>
      </c>
    </row>
    <row r="3" spans="1:22" x14ac:dyDescent="0.15">
      <c r="A3" s="1"/>
      <c r="B3" s="6" t="s">
        <v>2</v>
      </c>
      <c r="C3" s="4"/>
      <c r="D3" s="4">
        <v>100</v>
      </c>
      <c r="E3" s="4">
        <v>100</v>
      </c>
      <c r="F3" s="220">
        <f>SUM(C3:E3)</f>
        <v>200</v>
      </c>
      <c r="G3" s="211">
        <v>44340</v>
      </c>
      <c r="H3" s="4" t="s">
        <v>2</v>
      </c>
      <c r="I3" s="177">
        <v>6000</v>
      </c>
      <c r="J3" s="4">
        <v>3500</v>
      </c>
      <c r="K3" s="4">
        <v>3500</v>
      </c>
      <c r="L3" s="220">
        <f t="shared" ref="L3:L13" si="0">SUM(I3:K3)</f>
        <v>13000</v>
      </c>
      <c r="M3" s="211" t="s">
        <v>748</v>
      </c>
      <c r="N3" s="1"/>
      <c r="O3" s="171" t="s">
        <v>2</v>
      </c>
      <c r="P3" s="200"/>
      <c r="Q3" s="180">
        <f>SUM(P3:P3)</f>
        <v>0</v>
      </c>
      <c r="R3" s="184"/>
      <c r="S3" s="41" t="s">
        <v>2</v>
      </c>
      <c r="T3" s="38">
        <v>3000</v>
      </c>
      <c r="U3" s="39">
        <f t="shared" ref="U3:U13" si="1">SUM(T3:T3)</f>
        <v>3000</v>
      </c>
      <c r="V3" s="184">
        <v>44337</v>
      </c>
    </row>
    <row r="4" spans="1:22" x14ac:dyDescent="0.15">
      <c r="A4" s="1"/>
      <c r="B4" s="6" t="s">
        <v>3</v>
      </c>
      <c r="C4" s="6">
        <v>5</v>
      </c>
      <c r="D4" s="6"/>
      <c r="E4" s="4"/>
      <c r="F4" s="220">
        <f t="shared" ref="F4:F13" si="2">SUM(C4:E4)</f>
        <v>5</v>
      </c>
      <c r="G4" s="211">
        <v>44341</v>
      </c>
      <c r="H4" s="6" t="s">
        <v>3</v>
      </c>
      <c r="I4" s="188"/>
      <c r="J4" s="6"/>
      <c r="K4" s="4"/>
      <c r="L4" s="220">
        <f t="shared" si="0"/>
        <v>0</v>
      </c>
      <c r="M4" s="211"/>
      <c r="N4" s="1"/>
      <c r="O4" s="6" t="s">
        <v>3</v>
      </c>
      <c r="P4" s="7"/>
      <c r="Q4" s="5">
        <f t="shared" ref="Q4:Q13" si="3">SUM(P4:P4)</f>
        <v>0</v>
      </c>
      <c r="R4" s="186"/>
      <c r="S4" s="6" t="s">
        <v>3</v>
      </c>
      <c r="T4" s="7"/>
      <c r="U4" s="5">
        <f t="shared" si="1"/>
        <v>0</v>
      </c>
      <c r="V4" s="186"/>
    </row>
    <row r="5" spans="1:22" x14ac:dyDescent="0.15">
      <c r="A5" s="75"/>
      <c r="B5" s="6" t="s">
        <v>3</v>
      </c>
      <c r="C5" s="6"/>
      <c r="D5" s="6">
        <v>100</v>
      </c>
      <c r="E5" s="4">
        <v>100</v>
      </c>
      <c r="F5" s="220">
        <f t="shared" si="2"/>
        <v>200</v>
      </c>
      <c r="G5" s="211">
        <v>44345</v>
      </c>
      <c r="H5" s="6" t="s">
        <v>3</v>
      </c>
      <c r="I5" s="188"/>
      <c r="J5" s="6"/>
      <c r="K5" s="4"/>
      <c r="L5" s="220">
        <f t="shared" si="0"/>
        <v>0</v>
      </c>
      <c r="N5" s="1"/>
      <c r="O5" s="6" t="s">
        <v>3</v>
      </c>
      <c r="P5" s="7"/>
      <c r="Q5" s="5">
        <f t="shared" si="3"/>
        <v>0</v>
      </c>
      <c r="R5" s="186"/>
      <c r="S5" s="6" t="s">
        <v>3</v>
      </c>
      <c r="T5" s="7"/>
      <c r="U5" s="5">
        <f t="shared" si="1"/>
        <v>0</v>
      </c>
      <c r="V5" s="186"/>
    </row>
    <row r="6" spans="1:22" x14ac:dyDescent="0.15">
      <c r="A6" s="1"/>
      <c r="B6" s="6" t="s">
        <v>3</v>
      </c>
      <c r="C6" s="6">
        <v>400</v>
      </c>
      <c r="D6" s="6">
        <v>100</v>
      </c>
      <c r="E6" s="4">
        <v>100</v>
      </c>
      <c r="F6" s="220">
        <f t="shared" si="2"/>
        <v>600</v>
      </c>
      <c r="G6" s="211">
        <v>44352</v>
      </c>
      <c r="H6" s="6" t="s">
        <v>3</v>
      </c>
      <c r="I6" s="188"/>
      <c r="J6" s="6"/>
      <c r="K6" s="4"/>
      <c r="L6" s="220">
        <f t="shared" si="0"/>
        <v>0</v>
      </c>
      <c r="N6" s="1"/>
      <c r="O6" s="6" t="s">
        <v>3</v>
      </c>
      <c r="P6" s="7"/>
      <c r="Q6" s="5">
        <f t="shared" si="3"/>
        <v>0</v>
      </c>
      <c r="R6" s="186"/>
      <c r="S6" s="6" t="s">
        <v>3</v>
      </c>
      <c r="T6" s="7"/>
      <c r="U6" s="5">
        <f t="shared" si="1"/>
        <v>0</v>
      </c>
      <c r="V6" s="186"/>
    </row>
    <row r="7" spans="1:22" x14ac:dyDescent="0.15">
      <c r="A7" s="1"/>
      <c r="B7" s="6" t="s">
        <v>3</v>
      </c>
      <c r="C7" s="6">
        <v>200</v>
      </c>
      <c r="D7" s="6"/>
      <c r="E7" s="4"/>
      <c r="F7" s="220">
        <f t="shared" si="2"/>
        <v>200</v>
      </c>
      <c r="G7" s="211">
        <v>44356</v>
      </c>
      <c r="H7" s="6" t="s">
        <v>3</v>
      </c>
      <c r="I7" s="188"/>
      <c r="J7" s="6"/>
      <c r="K7" s="4"/>
      <c r="L7" s="220">
        <f t="shared" si="0"/>
        <v>0</v>
      </c>
      <c r="N7" s="1"/>
      <c r="O7" s="6" t="s">
        <v>3</v>
      </c>
      <c r="P7" s="7"/>
      <c r="Q7" s="5">
        <f t="shared" si="3"/>
        <v>0</v>
      </c>
      <c r="R7" s="186"/>
      <c r="S7" s="6" t="s">
        <v>3</v>
      </c>
      <c r="T7" s="7"/>
      <c r="U7" s="5">
        <f t="shared" si="1"/>
        <v>0</v>
      </c>
      <c r="V7" s="186"/>
    </row>
    <row r="8" spans="1:22" x14ac:dyDescent="0.15">
      <c r="A8" s="1"/>
      <c r="B8" s="6" t="s">
        <v>3</v>
      </c>
      <c r="C8" s="6">
        <v>200</v>
      </c>
      <c r="D8" s="6"/>
      <c r="E8" s="4"/>
      <c r="F8" s="220">
        <f t="shared" si="2"/>
        <v>200</v>
      </c>
      <c r="G8" s="211">
        <v>44357</v>
      </c>
      <c r="H8" s="6" t="s">
        <v>3</v>
      </c>
      <c r="I8" s="188"/>
      <c r="J8" s="6"/>
      <c r="K8" s="4"/>
      <c r="L8" s="220">
        <f t="shared" si="0"/>
        <v>0</v>
      </c>
      <c r="N8" s="1"/>
      <c r="O8" s="6" t="s">
        <v>3</v>
      </c>
      <c r="P8" s="7"/>
      <c r="Q8" s="5">
        <f t="shared" si="3"/>
        <v>0</v>
      </c>
      <c r="R8" s="186"/>
      <c r="S8" s="6" t="s">
        <v>3</v>
      </c>
      <c r="T8" s="7"/>
      <c r="U8" s="5">
        <f t="shared" si="1"/>
        <v>0</v>
      </c>
      <c r="V8" s="186"/>
    </row>
    <row r="9" spans="1:22" x14ac:dyDescent="0.15">
      <c r="A9" s="1"/>
      <c r="B9" s="6" t="s">
        <v>3</v>
      </c>
      <c r="C9" s="6">
        <v>400</v>
      </c>
      <c r="D9" s="6">
        <v>100</v>
      </c>
      <c r="E9" s="4"/>
      <c r="F9" s="220">
        <f t="shared" si="2"/>
        <v>500</v>
      </c>
      <c r="G9" s="211">
        <v>44358</v>
      </c>
      <c r="H9" s="6" t="s">
        <v>3</v>
      </c>
      <c r="I9" s="188"/>
      <c r="J9" s="6"/>
      <c r="K9" s="4"/>
      <c r="L9" s="220">
        <f t="shared" si="0"/>
        <v>0</v>
      </c>
      <c r="N9" s="1"/>
      <c r="O9" s="6" t="s">
        <v>3</v>
      </c>
      <c r="P9" s="7"/>
      <c r="Q9" s="5">
        <f t="shared" si="3"/>
        <v>0</v>
      </c>
      <c r="R9" s="186"/>
      <c r="S9" s="6" t="s">
        <v>3</v>
      </c>
      <c r="T9" s="7"/>
      <c r="U9" s="5">
        <f t="shared" si="1"/>
        <v>0</v>
      </c>
      <c r="V9" s="186"/>
    </row>
    <row r="10" spans="1:22" x14ac:dyDescent="0.15">
      <c r="A10" s="1"/>
      <c r="B10" s="6" t="s">
        <v>3</v>
      </c>
      <c r="C10" s="6">
        <v>200</v>
      </c>
      <c r="D10" s="189"/>
      <c r="E10" s="190"/>
      <c r="F10" s="220">
        <f t="shared" si="2"/>
        <v>200</v>
      </c>
      <c r="G10" s="211">
        <v>44361</v>
      </c>
      <c r="H10" s="6" t="s">
        <v>3</v>
      </c>
      <c r="I10" s="188"/>
      <c r="J10" s="189"/>
      <c r="K10" s="190"/>
      <c r="L10" s="220">
        <f t="shared" si="0"/>
        <v>0</v>
      </c>
      <c r="N10" s="1"/>
      <c r="O10" s="6" t="s">
        <v>3</v>
      </c>
      <c r="P10" s="8"/>
      <c r="Q10" s="5">
        <f t="shared" si="3"/>
        <v>0</v>
      </c>
      <c r="R10" s="186"/>
      <c r="S10" s="6" t="s">
        <v>3</v>
      </c>
      <c r="T10" s="8"/>
      <c r="U10" s="5">
        <f t="shared" si="1"/>
        <v>0</v>
      </c>
      <c r="V10" s="186"/>
    </row>
    <row r="11" spans="1:22" x14ac:dyDescent="0.15">
      <c r="A11" s="1"/>
      <c r="B11" s="4" t="s">
        <v>766</v>
      </c>
      <c r="C11" s="6">
        <v>50</v>
      </c>
      <c r="D11" s="225">
        <v>50</v>
      </c>
      <c r="E11" s="226">
        <v>50</v>
      </c>
      <c r="F11" s="220">
        <f t="shared" si="2"/>
        <v>150</v>
      </c>
      <c r="G11" s="211">
        <v>44361</v>
      </c>
      <c r="H11" s="6" t="s">
        <v>3</v>
      </c>
      <c r="I11" s="188"/>
      <c r="J11" s="189"/>
      <c r="K11" s="190"/>
      <c r="L11" s="220">
        <f t="shared" si="0"/>
        <v>0</v>
      </c>
      <c r="N11" s="1"/>
      <c r="O11" s="6" t="s">
        <v>3</v>
      </c>
      <c r="P11" s="8"/>
      <c r="Q11" s="5">
        <f t="shared" si="3"/>
        <v>0</v>
      </c>
      <c r="R11" s="186"/>
      <c r="S11" s="6" t="s">
        <v>3</v>
      </c>
      <c r="T11" s="8"/>
      <c r="U11" s="5">
        <f t="shared" si="1"/>
        <v>0</v>
      </c>
      <c r="V11" s="186"/>
    </row>
    <row r="12" spans="1:22" x14ac:dyDescent="0.15">
      <c r="A12" s="1"/>
      <c r="B12" s="4" t="s">
        <v>766</v>
      </c>
      <c r="C12" s="6">
        <v>36</v>
      </c>
      <c r="D12" s="225">
        <v>36</v>
      </c>
      <c r="E12" s="226">
        <v>36</v>
      </c>
      <c r="F12" s="220">
        <f t="shared" si="2"/>
        <v>108</v>
      </c>
      <c r="G12" s="211">
        <v>44363</v>
      </c>
      <c r="H12" s="6" t="s">
        <v>3</v>
      </c>
      <c r="I12" s="188"/>
      <c r="J12" s="189"/>
      <c r="K12" s="190"/>
      <c r="L12" s="220">
        <f t="shared" si="0"/>
        <v>0</v>
      </c>
      <c r="N12" s="1"/>
      <c r="O12" s="6" t="s">
        <v>3</v>
      </c>
      <c r="P12" s="8"/>
      <c r="Q12" s="5">
        <f t="shared" si="3"/>
        <v>0</v>
      </c>
      <c r="R12" s="186"/>
      <c r="S12" s="6" t="s">
        <v>3</v>
      </c>
      <c r="T12" s="8"/>
      <c r="U12" s="5">
        <f t="shared" si="1"/>
        <v>0</v>
      </c>
      <c r="V12" s="186"/>
    </row>
    <row r="13" spans="1:22" ht="14.25" thickBot="1" x14ac:dyDescent="0.2">
      <c r="A13" s="1"/>
      <c r="B13" s="6" t="s">
        <v>3</v>
      </c>
      <c r="C13" s="6">
        <v>200</v>
      </c>
      <c r="D13" s="191"/>
      <c r="E13" s="192"/>
      <c r="F13" s="220">
        <f t="shared" si="2"/>
        <v>200</v>
      </c>
      <c r="G13" s="211">
        <v>44363</v>
      </c>
      <c r="H13" s="9" t="s">
        <v>3</v>
      </c>
      <c r="I13" s="198"/>
      <c r="J13" s="199"/>
      <c r="K13" s="192"/>
      <c r="L13" s="220">
        <f t="shared" si="0"/>
        <v>0</v>
      </c>
      <c r="N13" s="1"/>
      <c r="O13" s="9" t="s">
        <v>3</v>
      </c>
      <c r="P13" s="10"/>
      <c r="Q13" s="5">
        <f t="shared" si="3"/>
        <v>0</v>
      </c>
      <c r="R13" s="186"/>
      <c r="S13" s="9" t="s">
        <v>3</v>
      </c>
      <c r="T13" s="10"/>
      <c r="U13" s="5">
        <f t="shared" si="1"/>
        <v>0</v>
      </c>
      <c r="V13" s="186"/>
    </row>
    <row r="14" spans="1:22" ht="14.25" thickBot="1" x14ac:dyDescent="0.2">
      <c r="A14" s="1"/>
      <c r="B14" s="11" t="s">
        <v>4</v>
      </c>
      <c r="C14" s="193">
        <f>SUM(C3:C13)</f>
        <v>1691</v>
      </c>
      <c r="D14" s="193">
        <f>SUM(D3:D13)</f>
        <v>486</v>
      </c>
      <c r="E14" s="193">
        <f>SUM(E3:E13)</f>
        <v>386</v>
      </c>
      <c r="F14" s="221">
        <f>SUM(F3:F13)</f>
        <v>2563</v>
      </c>
      <c r="H14" s="11" t="s">
        <v>4</v>
      </c>
      <c r="I14" s="193">
        <f>SUM(I3:I13)</f>
        <v>6000</v>
      </c>
      <c r="J14" s="193">
        <f>SUM(J3:J13)</f>
        <v>3500</v>
      </c>
      <c r="K14" s="193">
        <f t="shared" ref="K14" si="4">SUM(K3:K13)</f>
        <v>3500</v>
      </c>
      <c r="L14" s="221">
        <f>SUM(L3:L13)</f>
        <v>13000</v>
      </c>
      <c r="N14" s="1"/>
      <c r="O14" s="11" t="s">
        <v>4</v>
      </c>
      <c r="P14" s="12">
        <f>SUM(P3:P13)</f>
        <v>0</v>
      </c>
      <c r="Q14" s="13">
        <f>SUM(Q3:Q13)</f>
        <v>0</v>
      </c>
      <c r="S14" s="11" t="s">
        <v>4</v>
      </c>
      <c r="T14" s="12">
        <f>SUM(T3:T13)</f>
        <v>3000</v>
      </c>
      <c r="U14" s="13">
        <f>SUM(U3:U13)</f>
        <v>3000</v>
      </c>
    </row>
    <row r="15" spans="1:22" x14ac:dyDescent="0.15">
      <c r="A15" s="1"/>
      <c r="B15" s="6" t="s">
        <v>749</v>
      </c>
      <c r="C15" s="6"/>
      <c r="D15" s="215">
        <f>1+3+1+3+2+2+10+4+1+1+1</f>
        <v>29</v>
      </c>
      <c r="E15" s="216">
        <f>3+1+1+5+2+3+10+4+1</f>
        <v>30</v>
      </c>
      <c r="F15" s="220">
        <f t="shared" ref="F15:F38" si="5">SUM(C15:E15)</f>
        <v>59</v>
      </c>
      <c r="G15" s="211">
        <v>44340</v>
      </c>
      <c r="H15" s="6" t="s">
        <v>713</v>
      </c>
      <c r="I15" s="217">
        <v>3000</v>
      </c>
      <c r="J15" s="205">
        <v>3000</v>
      </c>
      <c r="K15" s="207">
        <v>3000</v>
      </c>
      <c r="L15" s="220">
        <f>SUM(I15:K15)</f>
        <v>9000</v>
      </c>
      <c r="M15" s="211">
        <v>44337</v>
      </c>
      <c r="N15" s="1"/>
      <c r="O15" s="4"/>
      <c r="P15" s="44"/>
      <c r="Q15" s="14">
        <f>SUM(P15:P15)</f>
        <v>0</v>
      </c>
      <c r="R15" s="185"/>
      <c r="S15" s="4" t="s">
        <v>752</v>
      </c>
      <c r="T15" s="44">
        <v>7</v>
      </c>
      <c r="U15" s="14">
        <f t="shared" ref="U15:U37" si="6">SUM(T15:T15)</f>
        <v>7</v>
      </c>
      <c r="V15" s="185">
        <v>44348</v>
      </c>
    </row>
    <row r="16" spans="1:22" x14ac:dyDescent="0.15">
      <c r="A16" s="1"/>
      <c r="B16" s="4" t="s">
        <v>750</v>
      </c>
      <c r="C16" s="4">
        <v>1</v>
      </c>
      <c r="D16" s="189">
        <v>1</v>
      </c>
      <c r="E16" s="189">
        <v>1</v>
      </c>
      <c r="F16" s="220">
        <f t="shared" si="5"/>
        <v>3</v>
      </c>
      <c r="G16" s="248">
        <v>44341</v>
      </c>
      <c r="H16" s="4" t="s">
        <v>745</v>
      </c>
      <c r="I16" s="207"/>
      <c r="J16" s="205">
        <v>100</v>
      </c>
      <c r="K16" s="205">
        <v>100</v>
      </c>
      <c r="L16" s="220">
        <f>SUM(I16:K16)</f>
        <v>200</v>
      </c>
      <c r="M16" s="211">
        <v>44340</v>
      </c>
      <c r="N16" s="1"/>
      <c r="O16" s="4"/>
      <c r="P16" s="15"/>
      <c r="Q16" s="14">
        <f t="shared" ref="Q16:Q38" si="7">SUM(P16:P16)</f>
        <v>0</v>
      </c>
      <c r="R16" s="186"/>
      <c r="S16" s="4" t="s">
        <v>753</v>
      </c>
      <c r="T16" s="15">
        <v>14</v>
      </c>
      <c r="U16" s="14">
        <f t="shared" si="6"/>
        <v>14</v>
      </c>
      <c r="V16" s="185">
        <v>44349</v>
      </c>
    </row>
    <row r="17" spans="1:23" x14ac:dyDescent="0.15">
      <c r="A17" s="1"/>
      <c r="B17" s="4" t="s">
        <v>161</v>
      </c>
      <c r="C17" s="4"/>
      <c r="D17" s="189">
        <f>2+1+3+4+1+1+1+1+1</f>
        <v>15</v>
      </c>
      <c r="E17" s="189">
        <f>1+1+4+1+1+1+1</f>
        <v>10</v>
      </c>
      <c r="F17" s="220">
        <f t="shared" si="5"/>
        <v>25</v>
      </c>
      <c r="G17" s="248">
        <v>44341</v>
      </c>
      <c r="H17" s="4" t="s">
        <v>745</v>
      </c>
      <c r="I17" s="207">
        <v>5</v>
      </c>
      <c r="J17" s="205"/>
      <c r="K17" s="205"/>
      <c r="L17" s="220">
        <f t="shared" ref="L17:L36" si="8">SUM(I17:K17)</f>
        <v>5</v>
      </c>
      <c r="M17" s="211">
        <v>44341</v>
      </c>
      <c r="N17" s="1"/>
      <c r="O17" s="4"/>
      <c r="P17" s="15"/>
      <c r="Q17" s="14">
        <f t="shared" si="7"/>
        <v>0</v>
      </c>
      <c r="R17" s="186"/>
      <c r="S17" s="4" t="s">
        <v>757</v>
      </c>
      <c r="T17" s="15">
        <v>13</v>
      </c>
      <c r="U17" s="14">
        <f t="shared" si="6"/>
        <v>13</v>
      </c>
      <c r="V17" s="185">
        <v>44350</v>
      </c>
    </row>
    <row r="18" spans="1:23" x14ac:dyDescent="0.15">
      <c r="A18" s="1"/>
      <c r="B18" s="4" t="s">
        <v>161</v>
      </c>
      <c r="C18" s="187"/>
      <c r="D18" s="15">
        <f>1+1+3+3+2+10+2</f>
        <v>22</v>
      </c>
      <c r="E18" s="15">
        <f>1+1+1+1+1+10+2</f>
        <v>17</v>
      </c>
      <c r="F18" s="220">
        <f t="shared" si="5"/>
        <v>39</v>
      </c>
      <c r="G18" s="248">
        <v>44342</v>
      </c>
      <c r="H18" s="4" t="s">
        <v>745</v>
      </c>
      <c r="I18" s="208"/>
      <c r="J18" s="206">
        <v>100</v>
      </c>
      <c r="K18" s="206">
        <v>100</v>
      </c>
      <c r="L18" s="220">
        <f t="shared" si="8"/>
        <v>200</v>
      </c>
      <c r="M18" s="211">
        <v>44345</v>
      </c>
      <c r="N18" s="1"/>
      <c r="O18" s="4"/>
      <c r="P18" s="15"/>
      <c r="Q18" s="14">
        <f t="shared" si="7"/>
        <v>0</v>
      </c>
      <c r="R18" s="186"/>
      <c r="S18" s="4" t="s">
        <v>758</v>
      </c>
      <c r="T18" s="15">
        <v>31</v>
      </c>
      <c r="U18" s="14">
        <f t="shared" si="6"/>
        <v>31</v>
      </c>
      <c r="V18" s="185">
        <v>44351</v>
      </c>
    </row>
    <row r="19" spans="1:23" x14ac:dyDescent="0.15">
      <c r="A19" s="1"/>
      <c r="B19" s="4" t="s">
        <v>161</v>
      </c>
      <c r="C19" s="187"/>
      <c r="D19" s="15">
        <f>1+2+1+2+1+1</f>
        <v>8</v>
      </c>
      <c r="E19" s="15">
        <f>1+1+1+2+1+1</f>
        <v>7</v>
      </c>
      <c r="F19" s="220">
        <f t="shared" si="5"/>
        <v>15</v>
      </c>
      <c r="G19" s="248">
        <v>44343</v>
      </c>
      <c r="H19" s="4" t="s">
        <v>745</v>
      </c>
      <c r="I19" s="208">
        <v>400</v>
      </c>
      <c r="J19" s="206">
        <v>100</v>
      </c>
      <c r="K19" s="206">
        <v>100</v>
      </c>
      <c r="L19" s="220">
        <f t="shared" si="8"/>
        <v>600</v>
      </c>
      <c r="M19" s="211">
        <v>44352</v>
      </c>
      <c r="N19" s="1"/>
      <c r="O19" s="4"/>
      <c r="P19" s="15"/>
      <c r="Q19" s="14">
        <f t="shared" si="7"/>
        <v>0</v>
      </c>
      <c r="R19" s="186"/>
      <c r="S19" s="4" t="s">
        <v>759</v>
      </c>
      <c r="T19" s="15">
        <v>18</v>
      </c>
      <c r="U19" s="14">
        <f t="shared" si="6"/>
        <v>18</v>
      </c>
      <c r="V19" s="185">
        <v>44352</v>
      </c>
    </row>
    <row r="20" spans="1:23" x14ac:dyDescent="0.15">
      <c r="A20" s="1"/>
      <c r="B20" s="4" t="s">
        <v>161</v>
      </c>
      <c r="C20" s="187"/>
      <c r="D20" s="15">
        <f>1+1+1+1</f>
        <v>4</v>
      </c>
      <c r="E20" s="15">
        <f>1+1</f>
        <v>2</v>
      </c>
      <c r="F20" s="220">
        <f t="shared" si="5"/>
        <v>6</v>
      </c>
      <c r="G20" s="248">
        <v>44344</v>
      </c>
      <c r="H20" s="4" t="s">
        <v>745</v>
      </c>
      <c r="I20" s="208">
        <v>200</v>
      </c>
      <c r="J20" s="206"/>
      <c r="K20" s="206"/>
      <c r="L20" s="220">
        <f>SUM(I20:K20)</f>
        <v>200</v>
      </c>
      <c r="M20" s="211">
        <v>44356</v>
      </c>
      <c r="N20" s="1"/>
      <c r="O20" s="4"/>
      <c r="P20" s="15"/>
      <c r="Q20" s="14">
        <f t="shared" si="7"/>
        <v>0</v>
      </c>
      <c r="R20" s="186"/>
      <c r="S20" s="4" t="s">
        <v>766</v>
      </c>
      <c r="T20" s="15">
        <v>50</v>
      </c>
      <c r="U20" s="14">
        <f t="shared" si="6"/>
        <v>50</v>
      </c>
      <c r="V20" s="185">
        <v>44361</v>
      </c>
      <c r="W20" s="186"/>
    </row>
    <row r="21" spans="1:23" x14ac:dyDescent="0.15">
      <c r="A21" s="1"/>
      <c r="B21" s="4" t="s">
        <v>161</v>
      </c>
      <c r="C21" s="187"/>
      <c r="D21" s="15">
        <f>5+2+1</f>
        <v>8</v>
      </c>
      <c r="E21" s="15">
        <v>1</v>
      </c>
      <c r="F21" s="220">
        <f t="shared" si="5"/>
        <v>9</v>
      </c>
      <c r="G21" s="248">
        <v>44345</v>
      </c>
      <c r="H21" s="4" t="s">
        <v>745</v>
      </c>
      <c r="I21" s="205">
        <v>200</v>
      </c>
      <c r="J21" s="6"/>
      <c r="K21" s="4"/>
      <c r="L21" s="220">
        <f>SUM(I21:K21)</f>
        <v>200</v>
      </c>
      <c r="M21" s="211">
        <v>44357</v>
      </c>
      <c r="N21" s="1"/>
      <c r="O21" s="4"/>
      <c r="P21" s="15"/>
      <c r="Q21" s="14">
        <f t="shared" si="7"/>
        <v>0</v>
      </c>
      <c r="R21" s="186"/>
      <c r="S21" s="4" t="s">
        <v>766</v>
      </c>
      <c r="T21" s="15">
        <v>36</v>
      </c>
      <c r="U21" s="14">
        <f t="shared" ref="U21" si="9">SUM(T21:T21)</f>
        <v>36</v>
      </c>
      <c r="V21" s="185">
        <v>44363</v>
      </c>
    </row>
    <row r="22" spans="1:23" x14ac:dyDescent="0.15">
      <c r="A22" s="1"/>
      <c r="B22" s="4" t="s">
        <v>161</v>
      </c>
      <c r="C22" s="187"/>
      <c r="D22" s="15">
        <f>1+5+5+1+2+1</f>
        <v>15</v>
      </c>
      <c r="E22" s="15">
        <f>2+1+3+2</f>
        <v>8</v>
      </c>
      <c r="F22" s="220">
        <f t="shared" si="5"/>
        <v>23</v>
      </c>
      <c r="G22" s="248">
        <v>44347</v>
      </c>
      <c r="H22" s="4" t="s">
        <v>763</v>
      </c>
      <c r="I22" s="208">
        <v>50</v>
      </c>
      <c r="J22" s="206">
        <v>50</v>
      </c>
      <c r="K22" s="206">
        <v>50</v>
      </c>
      <c r="L22" s="220">
        <f t="shared" si="8"/>
        <v>150</v>
      </c>
      <c r="M22" s="211">
        <v>44361</v>
      </c>
      <c r="N22" s="1"/>
      <c r="O22" s="4"/>
      <c r="P22" s="15"/>
      <c r="Q22" s="14">
        <f t="shared" si="7"/>
        <v>0</v>
      </c>
      <c r="R22" s="186"/>
      <c r="S22" s="4"/>
      <c r="T22" s="15"/>
      <c r="U22" s="14">
        <f t="shared" si="6"/>
        <v>0</v>
      </c>
    </row>
    <row r="23" spans="1:23" x14ac:dyDescent="0.15">
      <c r="A23" s="1"/>
      <c r="B23" s="4" t="s">
        <v>161</v>
      </c>
      <c r="C23" s="187"/>
      <c r="D23" s="15">
        <f>1+1+1+1</f>
        <v>4</v>
      </c>
      <c r="E23" s="15">
        <f>1+1+1+2</f>
        <v>5</v>
      </c>
      <c r="F23" s="220">
        <f t="shared" si="5"/>
        <v>9</v>
      </c>
      <c r="G23" s="248">
        <v>44348</v>
      </c>
      <c r="H23" s="6" t="s">
        <v>745</v>
      </c>
      <c r="I23" s="215">
        <v>400</v>
      </c>
      <c r="J23" s="215">
        <v>100</v>
      </c>
      <c r="K23" s="216"/>
      <c r="L23" s="220">
        <f>SUM(I23:K23)</f>
        <v>500</v>
      </c>
      <c r="M23" s="211">
        <v>44358</v>
      </c>
      <c r="N23" s="1"/>
      <c r="O23" s="4"/>
      <c r="P23" s="15"/>
      <c r="Q23" s="14">
        <f t="shared" si="7"/>
        <v>0</v>
      </c>
      <c r="R23" s="186"/>
      <c r="S23" s="4"/>
      <c r="T23" s="15"/>
      <c r="U23" s="14">
        <f t="shared" si="6"/>
        <v>0</v>
      </c>
    </row>
    <row r="24" spans="1:23" x14ac:dyDescent="0.15">
      <c r="A24" s="1"/>
      <c r="B24" s="4" t="s">
        <v>161</v>
      </c>
      <c r="C24" s="187"/>
      <c r="D24" s="15">
        <f>5+7</f>
        <v>12</v>
      </c>
      <c r="E24" s="15">
        <f>2+1</f>
        <v>3</v>
      </c>
      <c r="F24" s="220">
        <f t="shared" si="5"/>
        <v>15</v>
      </c>
      <c r="G24" s="248">
        <v>44349</v>
      </c>
      <c r="H24" s="6" t="s">
        <v>745</v>
      </c>
      <c r="I24" s="205">
        <v>200</v>
      </c>
      <c r="J24" s="189"/>
      <c r="K24" s="190"/>
      <c r="L24" s="220">
        <f>SUM(I24:K24)</f>
        <v>200</v>
      </c>
      <c r="M24" s="211">
        <v>44361</v>
      </c>
      <c r="N24" s="1"/>
      <c r="O24" s="4"/>
      <c r="P24" s="15"/>
      <c r="Q24" s="14">
        <f t="shared" si="7"/>
        <v>0</v>
      </c>
      <c r="R24" s="186"/>
      <c r="S24" s="4"/>
      <c r="T24" s="15"/>
      <c r="U24" s="14">
        <f t="shared" si="6"/>
        <v>0</v>
      </c>
    </row>
    <row r="25" spans="1:23" x14ac:dyDescent="0.15">
      <c r="A25" s="1"/>
      <c r="B25" s="4" t="s">
        <v>161</v>
      </c>
      <c r="C25" s="187"/>
      <c r="D25" s="15">
        <f>1+3</f>
        <v>4</v>
      </c>
      <c r="E25" s="15">
        <f>1+2</f>
        <v>3</v>
      </c>
      <c r="F25" s="220">
        <f t="shared" si="5"/>
        <v>7</v>
      </c>
      <c r="G25" s="248">
        <v>44350</v>
      </c>
      <c r="H25" s="6" t="s">
        <v>745</v>
      </c>
      <c r="I25" s="205">
        <v>200</v>
      </c>
      <c r="J25" s="206"/>
      <c r="K25" s="206"/>
      <c r="L25" s="220">
        <f t="shared" si="8"/>
        <v>200</v>
      </c>
      <c r="M25" s="211">
        <v>44363</v>
      </c>
      <c r="N25" s="1"/>
      <c r="O25" s="4"/>
      <c r="P25" s="15"/>
      <c r="Q25" s="14">
        <f t="shared" si="7"/>
        <v>0</v>
      </c>
      <c r="R25" s="186"/>
      <c r="S25" s="4"/>
      <c r="T25" s="15"/>
      <c r="U25" s="14">
        <f t="shared" si="6"/>
        <v>0</v>
      </c>
    </row>
    <row r="26" spans="1:23" x14ac:dyDescent="0.15">
      <c r="A26" s="1"/>
      <c r="B26" s="4" t="s">
        <v>161</v>
      </c>
      <c r="C26" s="188"/>
      <c r="D26" s="15">
        <f>1+1+2+1+2+1+1+1</f>
        <v>10</v>
      </c>
      <c r="E26" s="15">
        <f>6+1+1+1+2+1+1+1</f>
        <v>14</v>
      </c>
      <c r="F26" s="220">
        <f t="shared" si="5"/>
        <v>24</v>
      </c>
      <c r="G26" s="248">
        <v>44351</v>
      </c>
      <c r="H26" s="6"/>
      <c r="I26" s="206"/>
      <c r="J26" s="206"/>
      <c r="K26" s="206"/>
      <c r="L26" s="220">
        <f t="shared" si="8"/>
        <v>0</v>
      </c>
      <c r="N26" s="1"/>
      <c r="O26" s="6"/>
      <c r="P26" s="15"/>
      <c r="Q26" s="14">
        <f t="shared" si="7"/>
        <v>0</v>
      </c>
      <c r="R26" s="186"/>
      <c r="S26" s="6"/>
      <c r="T26" s="15"/>
      <c r="U26" s="14">
        <f t="shared" si="6"/>
        <v>0</v>
      </c>
    </row>
    <row r="27" spans="1:23" x14ac:dyDescent="0.15">
      <c r="A27" s="1"/>
      <c r="B27" s="4" t="s">
        <v>161</v>
      </c>
      <c r="C27" s="188"/>
      <c r="D27" s="15">
        <f>5+4+7+1</f>
        <v>17</v>
      </c>
      <c r="E27" s="15">
        <f>2+1+7</f>
        <v>10</v>
      </c>
      <c r="F27" s="220">
        <f t="shared" si="5"/>
        <v>27</v>
      </c>
      <c r="G27" s="248">
        <v>44352</v>
      </c>
      <c r="H27" s="6"/>
      <c r="I27" s="206"/>
      <c r="J27" s="206"/>
      <c r="K27" s="206"/>
      <c r="L27" s="220">
        <f t="shared" si="8"/>
        <v>0</v>
      </c>
      <c r="N27" s="1"/>
      <c r="O27" s="6"/>
      <c r="P27" s="15"/>
      <c r="Q27" s="14">
        <f t="shared" si="7"/>
        <v>0</v>
      </c>
      <c r="R27" s="186"/>
      <c r="S27" s="6"/>
      <c r="T27" s="15"/>
      <c r="U27" s="14">
        <f t="shared" si="6"/>
        <v>0</v>
      </c>
    </row>
    <row r="28" spans="1:23" x14ac:dyDescent="0.15">
      <c r="A28" s="1"/>
      <c r="B28" s="4" t="s">
        <v>161</v>
      </c>
      <c r="C28" s="187">
        <f>195+3+3+2+15+5+2+1+13+2</f>
        <v>241</v>
      </c>
      <c r="D28" s="15">
        <f>4+12+3+2+2+5+1+1+2+2</f>
        <v>34</v>
      </c>
      <c r="E28" s="15">
        <f>8+5+2+3+2+5+1+2+2</f>
        <v>30</v>
      </c>
      <c r="F28" s="220">
        <f t="shared" si="5"/>
        <v>305</v>
      </c>
      <c r="G28" s="248">
        <v>44354</v>
      </c>
      <c r="H28" s="4"/>
      <c r="I28" s="208"/>
      <c r="J28" s="206"/>
      <c r="K28" s="206"/>
      <c r="L28" s="220">
        <f t="shared" si="8"/>
        <v>0</v>
      </c>
      <c r="N28" s="1"/>
      <c r="O28" s="4"/>
      <c r="P28" s="15"/>
      <c r="Q28" s="14">
        <f t="shared" si="7"/>
        <v>0</v>
      </c>
      <c r="R28" s="186"/>
      <c r="S28" s="4"/>
      <c r="T28" s="15"/>
      <c r="U28" s="14">
        <f t="shared" si="6"/>
        <v>0</v>
      </c>
    </row>
    <row r="29" spans="1:23" x14ac:dyDescent="0.15">
      <c r="A29" s="1"/>
      <c r="B29" s="4" t="s">
        <v>161</v>
      </c>
      <c r="C29" s="187">
        <f>6+3+16+42+17+4+1+1+1</f>
        <v>91</v>
      </c>
      <c r="D29" s="15">
        <f>1+3+2+3+4+1</f>
        <v>14</v>
      </c>
      <c r="E29" s="15">
        <f>3+1+2+1</f>
        <v>7</v>
      </c>
      <c r="F29" s="220">
        <f t="shared" si="5"/>
        <v>112</v>
      </c>
      <c r="G29" s="248">
        <v>44355</v>
      </c>
      <c r="H29" s="4"/>
      <c r="I29" s="208"/>
      <c r="J29" s="206"/>
      <c r="K29" s="206"/>
      <c r="L29" s="220">
        <f t="shared" si="8"/>
        <v>0</v>
      </c>
      <c r="N29" s="1"/>
      <c r="O29" s="4"/>
      <c r="P29" s="15"/>
      <c r="Q29" s="14">
        <f t="shared" si="7"/>
        <v>0</v>
      </c>
      <c r="R29" s="186"/>
      <c r="S29" s="4"/>
      <c r="T29" s="15"/>
      <c r="U29" s="14">
        <f t="shared" si="6"/>
        <v>0</v>
      </c>
    </row>
    <row r="30" spans="1:23" x14ac:dyDescent="0.15">
      <c r="A30" s="1"/>
      <c r="B30" s="4" t="s">
        <v>161</v>
      </c>
      <c r="C30" s="187">
        <f>27+12+5+1+54+1+1+24+4+3+1</f>
        <v>133</v>
      </c>
      <c r="D30" s="15">
        <f>1+7+1+5+11+2+2</f>
        <v>29</v>
      </c>
      <c r="E30" s="15">
        <f>1+5+1+1+1</f>
        <v>9</v>
      </c>
      <c r="F30" s="220">
        <f>SUM(C30:E30)</f>
        <v>171</v>
      </c>
      <c r="G30" s="248">
        <v>44356</v>
      </c>
      <c r="H30" s="4"/>
      <c r="I30" s="208"/>
      <c r="J30" s="206"/>
      <c r="K30" s="206"/>
      <c r="L30" s="220">
        <f t="shared" si="8"/>
        <v>0</v>
      </c>
      <c r="N30" s="1"/>
      <c r="O30" s="4"/>
      <c r="P30" s="15"/>
      <c r="Q30" s="14">
        <f t="shared" si="7"/>
        <v>0</v>
      </c>
      <c r="R30" s="186"/>
      <c r="S30" s="4"/>
      <c r="T30" s="15"/>
      <c r="U30" s="14">
        <f t="shared" si="6"/>
        <v>0</v>
      </c>
    </row>
    <row r="31" spans="1:23" x14ac:dyDescent="0.15">
      <c r="A31" s="1"/>
      <c r="B31" s="4" t="s">
        <v>161</v>
      </c>
      <c r="C31" s="188">
        <f>1+62+1+86+6+8+4+2+1+9+21+2+3+14+2</f>
        <v>222</v>
      </c>
      <c r="D31" s="15">
        <f>11+1+10+3+8+2+2+1+2+1+3</f>
        <v>44</v>
      </c>
      <c r="E31" s="15">
        <f>2+1+4+8+2+2+1+3+2</f>
        <v>25</v>
      </c>
      <c r="F31" s="220">
        <f t="shared" si="5"/>
        <v>291</v>
      </c>
      <c r="G31" s="248">
        <v>44357</v>
      </c>
      <c r="H31" s="6"/>
      <c r="I31" s="206"/>
      <c r="J31" s="206"/>
      <c r="K31" s="206"/>
      <c r="L31" s="220">
        <f t="shared" si="8"/>
        <v>0</v>
      </c>
      <c r="N31" s="1"/>
      <c r="O31" s="6"/>
      <c r="P31" s="15"/>
      <c r="Q31" s="14">
        <f t="shared" si="7"/>
        <v>0</v>
      </c>
      <c r="R31" s="186"/>
      <c r="S31" s="6"/>
      <c r="T31" s="15"/>
      <c r="U31" s="14">
        <f t="shared" si="6"/>
        <v>0</v>
      </c>
    </row>
    <row r="32" spans="1:23" x14ac:dyDescent="0.15">
      <c r="A32" s="1"/>
      <c r="B32" s="4" t="s">
        <v>764</v>
      </c>
      <c r="C32" s="187">
        <v>70</v>
      </c>
      <c r="D32" s="15">
        <v>10</v>
      </c>
      <c r="E32" s="15">
        <v>10</v>
      </c>
      <c r="F32" s="220">
        <f t="shared" si="5"/>
        <v>90</v>
      </c>
      <c r="G32" s="211">
        <v>44358</v>
      </c>
      <c r="H32" s="4"/>
      <c r="I32" s="208"/>
      <c r="J32" s="206"/>
      <c r="K32" s="206"/>
      <c r="L32" s="220">
        <f t="shared" si="8"/>
        <v>0</v>
      </c>
      <c r="N32" s="1"/>
      <c r="O32" s="4"/>
      <c r="P32" s="15"/>
      <c r="Q32" s="14">
        <f t="shared" si="7"/>
        <v>0</v>
      </c>
      <c r="R32" s="186"/>
      <c r="S32" s="4"/>
      <c r="T32" s="15"/>
      <c r="U32" s="14">
        <f t="shared" si="6"/>
        <v>0</v>
      </c>
    </row>
    <row r="33" spans="1:22" x14ac:dyDescent="0.15">
      <c r="A33" s="1"/>
      <c r="B33" s="4" t="s">
        <v>764</v>
      </c>
      <c r="C33" s="188">
        <v>10</v>
      </c>
      <c r="D33" s="15">
        <v>10</v>
      </c>
      <c r="E33" s="15">
        <v>10</v>
      </c>
      <c r="F33" s="220">
        <f t="shared" si="5"/>
        <v>30</v>
      </c>
      <c r="G33" s="211">
        <v>44358</v>
      </c>
      <c r="H33" s="6"/>
      <c r="I33" s="206"/>
      <c r="J33" s="206"/>
      <c r="K33" s="206"/>
      <c r="L33" s="220">
        <f t="shared" si="8"/>
        <v>0</v>
      </c>
      <c r="N33" s="1"/>
      <c r="O33" s="6"/>
      <c r="P33" s="15"/>
      <c r="Q33" s="14">
        <f t="shared" si="7"/>
        <v>0</v>
      </c>
      <c r="R33" s="186"/>
      <c r="S33" s="6"/>
      <c r="T33" s="15"/>
      <c r="U33" s="14">
        <f t="shared" si="6"/>
        <v>0</v>
      </c>
    </row>
    <row r="34" spans="1:22" x14ac:dyDescent="0.15">
      <c r="A34" s="1"/>
      <c r="B34" s="4" t="s">
        <v>161</v>
      </c>
      <c r="C34" s="187">
        <v>329</v>
      </c>
      <c r="D34" s="15">
        <v>47</v>
      </c>
      <c r="E34" s="15">
        <v>12</v>
      </c>
      <c r="F34" s="220">
        <f t="shared" si="5"/>
        <v>388</v>
      </c>
      <c r="G34" s="248">
        <v>44358</v>
      </c>
      <c r="H34" s="4"/>
      <c r="I34" s="208"/>
      <c r="J34" s="206"/>
      <c r="K34" s="206"/>
      <c r="L34" s="220">
        <f t="shared" si="8"/>
        <v>0</v>
      </c>
      <c r="N34" s="1"/>
      <c r="O34" s="4"/>
      <c r="P34" s="15"/>
      <c r="Q34" s="14">
        <f t="shared" si="7"/>
        <v>0</v>
      </c>
      <c r="R34" s="186"/>
      <c r="S34" s="4"/>
      <c r="T34" s="15"/>
      <c r="U34" s="14">
        <f t="shared" si="6"/>
        <v>0</v>
      </c>
    </row>
    <row r="35" spans="1:22" x14ac:dyDescent="0.15">
      <c r="A35" s="75"/>
      <c r="B35" s="4" t="s">
        <v>161</v>
      </c>
      <c r="C35" s="187">
        <v>217</v>
      </c>
      <c r="D35" s="15">
        <v>26</v>
      </c>
      <c r="E35" s="15">
        <v>8</v>
      </c>
      <c r="F35" s="220">
        <f t="shared" si="5"/>
        <v>251</v>
      </c>
      <c r="G35" s="211">
        <v>44361</v>
      </c>
      <c r="H35" s="4"/>
      <c r="I35" s="208"/>
      <c r="J35" s="206"/>
      <c r="K35" s="206"/>
      <c r="L35" s="220">
        <f t="shared" si="8"/>
        <v>0</v>
      </c>
      <c r="M35" s="212"/>
      <c r="N35" s="1"/>
      <c r="O35" s="4"/>
      <c r="P35" s="15"/>
      <c r="Q35" s="14">
        <f t="shared" si="7"/>
        <v>0</v>
      </c>
      <c r="R35" s="186"/>
      <c r="S35" s="4"/>
      <c r="T35" s="15"/>
      <c r="U35" s="14">
        <f t="shared" si="6"/>
        <v>0</v>
      </c>
    </row>
    <row r="36" spans="1:22" x14ac:dyDescent="0.15">
      <c r="A36" s="1"/>
      <c r="B36" s="4" t="s">
        <v>161</v>
      </c>
      <c r="C36" s="187">
        <f>25+1+1+39+6+1+18+1+10+4</f>
        <v>106</v>
      </c>
      <c r="D36" s="15">
        <f>4+1+1+4+1+1+3+1+2</f>
        <v>18</v>
      </c>
      <c r="E36" s="15">
        <f>1+1+3+1+2+1</f>
        <v>9</v>
      </c>
      <c r="F36" s="220">
        <f t="shared" si="5"/>
        <v>133</v>
      </c>
      <c r="G36" s="211">
        <v>44362</v>
      </c>
      <c r="H36" s="4"/>
      <c r="I36" s="208"/>
      <c r="J36" s="206"/>
      <c r="K36" s="206"/>
      <c r="L36" s="220">
        <f t="shared" si="8"/>
        <v>0</v>
      </c>
      <c r="N36" s="1"/>
      <c r="O36" s="4"/>
      <c r="P36" s="15"/>
      <c r="Q36" s="14">
        <f t="shared" si="7"/>
        <v>0</v>
      </c>
      <c r="R36" s="186"/>
      <c r="S36" s="4"/>
      <c r="T36" s="15"/>
      <c r="U36" s="14">
        <f t="shared" si="6"/>
        <v>0</v>
      </c>
    </row>
    <row r="37" spans="1:22" x14ac:dyDescent="0.15">
      <c r="A37" s="1"/>
      <c r="B37" s="4" t="s">
        <v>161</v>
      </c>
      <c r="C37" s="187">
        <f>2+6+60+20+3+4+4+5</f>
        <v>104</v>
      </c>
      <c r="D37" s="15">
        <f>1+2+2+3+3+1</f>
        <v>12</v>
      </c>
      <c r="E37" s="15">
        <f>2+1+3+1</f>
        <v>7</v>
      </c>
      <c r="F37" s="220">
        <f t="shared" si="5"/>
        <v>123</v>
      </c>
      <c r="G37" s="211">
        <v>44363</v>
      </c>
      <c r="H37" s="4"/>
      <c r="I37" s="206"/>
      <c r="J37" s="206"/>
      <c r="K37" s="206"/>
      <c r="L37" s="220">
        <f>SUM(I37:K37)</f>
        <v>0</v>
      </c>
      <c r="M37" s="212"/>
      <c r="N37" s="1"/>
      <c r="O37" s="6"/>
      <c r="P37" s="15"/>
      <c r="Q37" s="14">
        <f t="shared" si="7"/>
        <v>0</v>
      </c>
      <c r="R37" s="186"/>
      <c r="S37" s="6"/>
      <c r="T37" s="15"/>
      <c r="U37" s="14">
        <f t="shared" si="6"/>
        <v>0</v>
      </c>
      <c r="V37" s="186"/>
    </row>
    <row r="38" spans="1:22" ht="14.25" thickBot="1" x14ac:dyDescent="0.2">
      <c r="A38" s="1"/>
      <c r="B38" s="6"/>
      <c r="C38" s="188"/>
      <c r="D38" s="15"/>
      <c r="E38" s="15"/>
      <c r="F38" s="220">
        <f t="shared" si="5"/>
        <v>0</v>
      </c>
      <c r="H38" s="4" t="s">
        <v>716</v>
      </c>
      <c r="I38" s="206"/>
      <c r="J38" s="206"/>
      <c r="K38" s="206"/>
      <c r="L38" s="220">
        <f>SUM(I38:K38)</f>
        <v>0</v>
      </c>
      <c r="M38" s="212" t="s">
        <v>717</v>
      </c>
      <c r="N38" s="1"/>
      <c r="O38" s="6"/>
      <c r="P38" s="15"/>
      <c r="Q38" s="14">
        <f t="shared" si="7"/>
        <v>0</v>
      </c>
      <c r="R38" s="186"/>
      <c r="S38" s="6" t="s">
        <v>728</v>
      </c>
      <c r="T38" s="15"/>
      <c r="U38" s="14">
        <f t="shared" ref="U38" si="10">SUM(T38:T38)</f>
        <v>0</v>
      </c>
      <c r="V38" s="186" t="s">
        <v>721</v>
      </c>
    </row>
    <row r="39" spans="1:22" ht="14.25" thickBot="1" x14ac:dyDescent="0.2">
      <c r="A39" s="1"/>
      <c r="B39" s="3" t="s">
        <v>5</v>
      </c>
      <c r="C39" s="16">
        <f>SUM(C15:C38)</f>
        <v>1524</v>
      </c>
      <c r="D39" s="16">
        <f>SUM(D15:D38)</f>
        <v>393</v>
      </c>
      <c r="E39" s="16">
        <f>SUM(E15:E38)</f>
        <v>238</v>
      </c>
      <c r="F39" s="223">
        <f>SUM(F15:F38)</f>
        <v>2155</v>
      </c>
      <c r="H39" s="3" t="s">
        <v>5</v>
      </c>
      <c r="I39" s="16">
        <f>SUM(I15:I38)</f>
        <v>4655</v>
      </c>
      <c r="J39" s="16">
        <f>SUM(J15:J38)</f>
        <v>3450</v>
      </c>
      <c r="K39" s="16">
        <f t="shared" ref="K39" si="11">SUM(K15:K38)</f>
        <v>3350</v>
      </c>
      <c r="L39" s="223">
        <f>SUM(L15:L38)</f>
        <v>11455</v>
      </c>
      <c r="N39" s="1"/>
      <c r="O39" s="3" t="s">
        <v>5</v>
      </c>
      <c r="P39" s="16">
        <f>SUM(P15:P38)</f>
        <v>0</v>
      </c>
      <c r="Q39" s="17">
        <f>SUM(Q15:Q38)</f>
        <v>0</v>
      </c>
      <c r="S39" s="3" t="s">
        <v>5</v>
      </c>
      <c r="T39" s="16">
        <f>SUM(T15:T38)</f>
        <v>169</v>
      </c>
      <c r="U39" s="17">
        <f>SUM(U15:U38)</f>
        <v>169</v>
      </c>
    </row>
    <row r="40" spans="1:22" ht="14.25" thickBot="1" x14ac:dyDescent="0.2">
      <c r="A40" s="1"/>
      <c r="B40" s="18" t="s">
        <v>6</v>
      </c>
      <c r="C40" s="19">
        <f>C14-C39</f>
        <v>167</v>
      </c>
      <c r="D40" s="19">
        <f>D14-D39</f>
        <v>93</v>
      </c>
      <c r="E40" s="19">
        <f t="shared" ref="E40" si="12">E14-E39</f>
        <v>148</v>
      </c>
      <c r="F40" s="221">
        <f>F14-F39</f>
        <v>408</v>
      </c>
      <c r="H40" s="18" t="s">
        <v>6</v>
      </c>
      <c r="I40" s="19">
        <f>I14-I39</f>
        <v>1345</v>
      </c>
      <c r="J40" s="19">
        <f>J14-J39</f>
        <v>50</v>
      </c>
      <c r="K40" s="19">
        <f>K14-K39</f>
        <v>150</v>
      </c>
      <c r="L40" s="221">
        <f>L14-L39</f>
        <v>1545</v>
      </c>
      <c r="N40" s="1"/>
      <c r="O40" s="18" t="s">
        <v>6</v>
      </c>
      <c r="P40" s="19">
        <f>P14-P39</f>
        <v>0</v>
      </c>
      <c r="Q40" s="13">
        <f>Q14-Q39</f>
        <v>0</v>
      </c>
      <c r="S40" s="18" t="s">
        <v>6</v>
      </c>
      <c r="T40" s="19">
        <f>T14-T39</f>
        <v>2831</v>
      </c>
      <c r="U40" s="13">
        <f>U14-U39</f>
        <v>2831</v>
      </c>
    </row>
    <row r="43" spans="1:22" ht="27.75" customHeight="1" thickBot="1" x14ac:dyDescent="0.25">
      <c r="A43" s="27" t="s">
        <v>739</v>
      </c>
      <c r="B43" s="28"/>
      <c r="C43" s="28"/>
      <c r="D43" s="28"/>
      <c r="E43" s="28"/>
      <c r="F43" s="218"/>
      <c r="H43" s="27" t="s">
        <v>740</v>
      </c>
      <c r="I43" s="28"/>
      <c r="J43" s="28"/>
      <c r="K43" s="28"/>
      <c r="L43" s="218"/>
      <c r="O43" s="181" t="s">
        <v>737</v>
      </c>
      <c r="P43" s="182"/>
      <c r="Q43" s="182"/>
      <c r="R43" s="183"/>
      <c r="S43" s="181" t="s">
        <v>733</v>
      </c>
      <c r="T43" s="182"/>
      <c r="U43" s="182"/>
      <c r="V43" s="183"/>
    </row>
    <row r="44" spans="1:22" ht="24" customHeight="1" thickBot="1" x14ac:dyDescent="0.2">
      <c r="A44" s="1"/>
      <c r="B44" s="2"/>
      <c r="C44" s="194" t="s">
        <v>734</v>
      </c>
      <c r="D44" s="195" t="s">
        <v>706</v>
      </c>
      <c r="E44" s="2" t="s">
        <v>735</v>
      </c>
      <c r="F44" s="219" t="s">
        <v>1</v>
      </c>
      <c r="H44" s="2"/>
      <c r="I44" s="197" t="s">
        <v>734</v>
      </c>
      <c r="J44" s="195" t="s">
        <v>706</v>
      </c>
      <c r="K44" s="201" t="s">
        <v>735</v>
      </c>
      <c r="L44" s="219" t="s">
        <v>1</v>
      </c>
      <c r="N44" s="1"/>
      <c r="O44" s="2"/>
      <c r="P44" s="3" t="s">
        <v>722</v>
      </c>
      <c r="Q44" s="2" t="s">
        <v>1</v>
      </c>
      <c r="S44" s="2"/>
      <c r="T44" s="3" t="s">
        <v>722</v>
      </c>
      <c r="U44" s="2" t="s">
        <v>1</v>
      </c>
    </row>
    <row r="45" spans="1:22" x14ac:dyDescent="0.15">
      <c r="A45" s="1"/>
      <c r="B45" s="164" t="s">
        <v>26</v>
      </c>
      <c r="C45" s="200">
        <f>C40</f>
        <v>167</v>
      </c>
      <c r="D45" s="164">
        <f t="shared" ref="D45:E45" si="13">D40</f>
        <v>93</v>
      </c>
      <c r="E45" s="164">
        <f t="shared" si="13"/>
        <v>148</v>
      </c>
      <c r="F45" s="222">
        <f>SUM(C45:E45)</f>
        <v>408</v>
      </c>
      <c r="G45" s="210"/>
      <c r="H45" s="164" t="s">
        <v>26</v>
      </c>
      <c r="I45" s="200">
        <f>I40</f>
        <v>1345</v>
      </c>
      <c r="J45" s="164">
        <f t="shared" ref="J45:K45" si="14">J40</f>
        <v>50</v>
      </c>
      <c r="K45" s="200">
        <f t="shared" si="14"/>
        <v>150</v>
      </c>
      <c r="L45" s="222">
        <f t="shared" ref="L45:L55" si="15">SUM(I45:K45)</f>
        <v>1545</v>
      </c>
      <c r="M45" s="210"/>
      <c r="N45" s="1"/>
      <c r="O45" s="171" t="s">
        <v>26</v>
      </c>
      <c r="P45" s="200">
        <f>P40</f>
        <v>0</v>
      </c>
      <c r="Q45" s="180">
        <f t="shared" ref="Q45:Q55" si="16">SUM(P45:P45)</f>
        <v>0</v>
      </c>
      <c r="R45" s="185"/>
      <c r="S45" s="43" t="s">
        <v>26</v>
      </c>
      <c r="T45" s="38">
        <f>T40</f>
        <v>2831</v>
      </c>
      <c r="U45" s="39">
        <f t="shared" ref="U45:U55" si="17">SUM(T45:T45)</f>
        <v>2831</v>
      </c>
      <c r="V45" s="184"/>
    </row>
    <row r="46" spans="1:22" x14ac:dyDescent="0.15">
      <c r="A46" s="1"/>
      <c r="B46" s="6" t="s">
        <v>3</v>
      </c>
      <c r="C46" s="6"/>
      <c r="D46" s="6">
        <v>50</v>
      </c>
      <c r="E46" s="4"/>
      <c r="F46" s="220">
        <f t="shared" ref="F46:F55" si="18">SUM(C46:E46)</f>
        <v>50</v>
      </c>
      <c r="G46" s="211">
        <v>44363</v>
      </c>
      <c r="H46" s="6" t="s">
        <v>745</v>
      </c>
      <c r="I46" s="188"/>
      <c r="J46" s="6"/>
      <c r="K46" s="202">
        <v>100</v>
      </c>
      <c r="L46" s="220">
        <f t="shared" si="15"/>
        <v>100</v>
      </c>
      <c r="M46" s="211">
        <v>44366</v>
      </c>
      <c r="N46" s="1"/>
      <c r="O46" s="6" t="s">
        <v>3</v>
      </c>
      <c r="P46" s="7"/>
      <c r="Q46" s="5">
        <f t="shared" si="16"/>
        <v>0</v>
      </c>
      <c r="R46" s="186"/>
      <c r="S46" s="6" t="s">
        <v>3</v>
      </c>
      <c r="T46" s="7"/>
      <c r="U46" s="5">
        <f t="shared" si="17"/>
        <v>0</v>
      </c>
      <c r="V46" s="186"/>
    </row>
    <row r="47" spans="1:22" x14ac:dyDescent="0.15">
      <c r="A47" s="1"/>
      <c r="B47" s="6" t="s">
        <v>766</v>
      </c>
      <c r="C47" s="6">
        <v>64</v>
      </c>
      <c r="D47" s="6">
        <v>64</v>
      </c>
      <c r="E47" s="4">
        <v>64</v>
      </c>
      <c r="F47" s="220">
        <f t="shared" si="18"/>
        <v>192</v>
      </c>
      <c r="G47" s="211">
        <v>44364</v>
      </c>
      <c r="H47" s="6" t="s">
        <v>3</v>
      </c>
      <c r="I47" s="188"/>
      <c r="J47" s="6"/>
      <c r="K47" s="202"/>
      <c r="L47" s="220">
        <f t="shared" si="15"/>
        <v>0</v>
      </c>
      <c r="N47" s="1"/>
      <c r="O47" s="6" t="s">
        <v>3</v>
      </c>
      <c r="P47" s="7"/>
      <c r="Q47" s="5">
        <f t="shared" si="16"/>
        <v>0</v>
      </c>
      <c r="R47" s="186"/>
      <c r="S47" s="6" t="s">
        <v>3</v>
      </c>
      <c r="T47" s="7"/>
      <c r="U47" s="5">
        <f t="shared" si="17"/>
        <v>0</v>
      </c>
      <c r="V47" s="186"/>
    </row>
    <row r="48" spans="1:22" x14ac:dyDescent="0.15">
      <c r="A48" s="1"/>
      <c r="B48" s="6" t="s">
        <v>3</v>
      </c>
      <c r="C48" s="6">
        <v>200</v>
      </c>
      <c r="D48" s="6"/>
      <c r="E48" s="4"/>
      <c r="F48" s="220">
        <f t="shared" si="18"/>
        <v>200</v>
      </c>
      <c r="G48" s="211">
        <v>44364</v>
      </c>
      <c r="H48" s="6" t="s">
        <v>3</v>
      </c>
      <c r="I48" s="188"/>
      <c r="J48" s="6"/>
      <c r="K48" s="202"/>
      <c r="L48" s="220">
        <f t="shared" si="15"/>
        <v>0</v>
      </c>
      <c r="N48" s="1"/>
      <c r="O48" s="6" t="s">
        <v>3</v>
      </c>
      <c r="P48" s="7"/>
      <c r="Q48" s="5">
        <f t="shared" si="16"/>
        <v>0</v>
      </c>
      <c r="R48" s="186"/>
      <c r="S48" s="6" t="s">
        <v>3</v>
      </c>
      <c r="T48" s="7"/>
      <c r="U48" s="5">
        <f t="shared" si="17"/>
        <v>0</v>
      </c>
      <c r="V48" s="186"/>
    </row>
    <row r="49" spans="1:23" x14ac:dyDescent="0.15">
      <c r="A49" s="1"/>
      <c r="B49" s="6" t="s">
        <v>3</v>
      </c>
      <c r="C49" s="6">
        <v>400</v>
      </c>
      <c r="D49" s="6"/>
      <c r="E49" s="4"/>
      <c r="F49" s="220">
        <f t="shared" si="18"/>
        <v>400</v>
      </c>
      <c r="G49" s="211">
        <v>44366</v>
      </c>
      <c r="H49" s="6" t="s">
        <v>3</v>
      </c>
      <c r="I49" s="188"/>
      <c r="J49" s="6"/>
      <c r="K49" s="202"/>
      <c r="L49" s="220">
        <f t="shared" si="15"/>
        <v>0</v>
      </c>
      <c r="N49" s="1"/>
      <c r="O49" s="6" t="s">
        <v>3</v>
      </c>
      <c r="P49" s="7"/>
      <c r="Q49" s="5">
        <f t="shared" si="16"/>
        <v>0</v>
      </c>
      <c r="R49" s="186"/>
      <c r="S49" s="6" t="s">
        <v>3</v>
      </c>
      <c r="T49" s="7"/>
      <c r="U49" s="5">
        <f t="shared" si="17"/>
        <v>0</v>
      </c>
      <c r="V49" s="186"/>
    </row>
    <row r="50" spans="1:23" x14ac:dyDescent="0.15">
      <c r="A50" s="1"/>
      <c r="B50" s="6" t="s">
        <v>766</v>
      </c>
      <c r="C50" s="6">
        <v>64</v>
      </c>
      <c r="D50" s="6">
        <v>64</v>
      </c>
      <c r="E50" s="4">
        <v>64</v>
      </c>
      <c r="F50" s="220">
        <f t="shared" si="18"/>
        <v>192</v>
      </c>
      <c r="G50" s="211">
        <v>44366</v>
      </c>
      <c r="H50" s="6" t="s">
        <v>3</v>
      </c>
      <c r="I50" s="188"/>
      <c r="J50" s="6"/>
      <c r="K50" s="202"/>
      <c r="L50" s="220">
        <f t="shared" si="15"/>
        <v>0</v>
      </c>
      <c r="N50" s="1"/>
      <c r="O50" s="6" t="s">
        <v>3</v>
      </c>
      <c r="P50" s="7"/>
      <c r="Q50" s="5">
        <f t="shared" si="16"/>
        <v>0</v>
      </c>
      <c r="R50" s="186"/>
      <c r="S50" s="6" t="s">
        <v>3</v>
      </c>
      <c r="T50" s="7"/>
      <c r="U50" s="5">
        <f t="shared" si="17"/>
        <v>0</v>
      </c>
      <c r="V50" s="186"/>
    </row>
    <row r="51" spans="1:23" x14ac:dyDescent="0.15">
      <c r="A51" s="1"/>
      <c r="B51" s="6" t="s">
        <v>766</v>
      </c>
      <c r="C51" s="6">
        <v>64</v>
      </c>
      <c r="D51" s="6">
        <v>64</v>
      </c>
      <c r="E51" s="4">
        <v>64</v>
      </c>
      <c r="F51" s="220">
        <f t="shared" si="18"/>
        <v>192</v>
      </c>
      <c r="G51" s="211">
        <v>44371</v>
      </c>
      <c r="H51" s="6" t="s">
        <v>3</v>
      </c>
      <c r="I51" s="188"/>
      <c r="J51" s="6"/>
      <c r="K51" s="202"/>
      <c r="L51" s="220">
        <f t="shared" si="15"/>
        <v>0</v>
      </c>
      <c r="N51" s="1"/>
      <c r="O51" s="6" t="s">
        <v>3</v>
      </c>
      <c r="P51" s="7"/>
      <c r="Q51" s="5">
        <f t="shared" si="16"/>
        <v>0</v>
      </c>
      <c r="R51" s="186"/>
      <c r="S51" s="6" t="s">
        <v>3</v>
      </c>
      <c r="T51" s="7"/>
      <c r="U51" s="5">
        <f t="shared" si="17"/>
        <v>0</v>
      </c>
      <c r="V51" s="186"/>
    </row>
    <row r="52" spans="1:23" x14ac:dyDescent="0.15">
      <c r="A52" s="1"/>
      <c r="B52" s="6" t="s">
        <v>766</v>
      </c>
      <c r="C52" s="6">
        <v>128</v>
      </c>
      <c r="D52" s="6">
        <v>128</v>
      </c>
      <c r="E52" s="4">
        <v>128</v>
      </c>
      <c r="F52" s="220">
        <f t="shared" si="18"/>
        <v>384</v>
      </c>
      <c r="G52" s="211">
        <v>44372</v>
      </c>
      <c r="H52" s="6" t="s">
        <v>3</v>
      </c>
      <c r="I52" s="188"/>
      <c r="J52" s="189"/>
      <c r="K52" s="203"/>
      <c r="L52" s="220">
        <f t="shared" si="15"/>
        <v>0</v>
      </c>
      <c r="M52" s="211"/>
      <c r="N52" s="1"/>
      <c r="O52" s="6" t="s">
        <v>3</v>
      </c>
      <c r="P52" s="8"/>
      <c r="Q52" s="5">
        <f t="shared" si="16"/>
        <v>0</v>
      </c>
      <c r="R52" s="186"/>
      <c r="S52" s="6" t="s">
        <v>3</v>
      </c>
      <c r="T52" s="8"/>
      <c r="U52" s="5">
        <f t="shared" si="17"/>
        <v>0</v>
      </c>
      <c r="V52" s="186"/>
    </row>
    <row r="53" spans="1:23" x14ac:dyDescent="0.15">
      <c r="A53" s="1"/>
      <c r="B53" s="6" t="s">
        <v>785</v>
      </c>
      <c r="C53" s="6"/>
      <c r="D53" s="189"/>
      <c r="E53" s="226">
        <v>-2</v>
      </c>
      <c r="F53" s="220">
        <f t="shared" si="18"/>
        <v>-2</v>
      </c>
      <c r="G53" s="211">
        <v>44371</v>
      </c>
      <c r="H53" s="6" t="s">
        <v>3</v>
      </c>
      <c r="I53" s="188"/>
      <c r="J53" s="189"/>
      <c r="K53" s="203"/>
      <c r="L53" s="220">
        <f t="shared" si="15"/>
        <v>0</v>
      </c>
      <c r="N53" s="1"/>
      <c r="O53" s="6" t="s">
        <v>3</v>
      </c>
      <c r="P53" s="8"/>
      <c r="Q53" s="5">
        <f t="shared" si="16"/>
        <v>0</v>
      </c>
      <c r="R53" s="186"/>
      <c r="S53" s="6" t="s">
        <v>3</v>
      </c>
      <c r="T53" s="8"/>
      <c r="U53" s="5">
        <f t="shared" si="17"/>
        <v>0</v>
      </c>
      <c r="V53" s="186"/>
    </row>
    <row r="54" spans="1:23" x14ac:dyDescent="0.15">
      <c r="A54" s="1"/>
      <c r="B54" s="6" t="s">
        <v>3</v>
      </c>
      <c r="C54" s="6">
        <v>100</v>
      </c>
      <c r="D54" s="189"/>
      <c r="E54" s="190"/>
      <c r="F54" s="220">
        <f t="shared" si="18"/>
        <v>100</v>
      </c>
      <c r="G54" s="211">
        <v>44375</v>
      </c>
      <c r="H54" s="6" t="s">
        <v>3</v>
      </c>
      <c r="I54" s="188"/>
      <c r="J54" s="189"/>
      <c r="K54" s="203"/>
      <c r="L54" s="220">
        <f t="shared" si="15"/>
        <v>0</v>
      </c>
      <c r="N54" s="1"/>
      <c r="O54" s="6" t="s">
        <v>3</v>
      </c>
      <c r="P54" s="8"/>
      <c r="Q54" s="5">
        <f t="shared" si="16"/>
        <v>0</v>
      </c>
      <c r="R54" s="186"/>
      <c r="S54" s="6" t="s">
        <v>3</v>
      </c>
      <c r="T54" s="8"/>
      <c r="U54" s="5">
        <f t="shared" si="17"/>
        <v>0</v>
      </c>
      <c r="V54" s="186"/>
    </row>
    <row r="55" spans="1:23" ht="14.25" thickBot="1" x14ac:dyDescent="0.2">
      <c r="A55" s="75"/>
      <c r="B55" s="6" t="s">
        <v>766</v>
      </c>
      <c r="C55" s="9">
        <v>128</v>
      </c>
      <c r="D55" s="191">
        <v>128</v>
      </c>
      <c r="E55" s="192">
        <v>128</v>
      </c>
      <c r="F55" s="220">
        <f t="shared" si="18"/>
        <v>384</v>
      </c>
      <c r="G55" s="211">
        <v>44377</v>
      </c>
      <c r="H55" s="9" t="s">
        <v>3</v>
      </c>
      <c r="I55" s="198"/>
      <c r="J55" s="199"/>
      <c r="K55" s="204"/>
      <c r="L55" s="220">
        <f t="shared" si="15"/>
        <v>0</v>
      </c>
      <c r="N55" s="1"/>
      <c r="O55" s="9" t="s">
        <v>3</v>
      </c>
      <c r="P55" s="10"/>
      <c r="Q55" s="5">
        <f t="shared" si="16"/>
        <v>0</v>
      </c>
      <c r="R55" s="186"/>
      <c r="S55" s="9" t="s">
        <v>3</v>
      </c>
      <c r="T55" s="10"/>
      <c r="U55" s="5">
        <f t="shared" si="17"/>
        <v>0</v>
      </c>
      <c r="V55" s="186"/>
    </row>
    <row r="56" spans="1:23" ht="14.25" thickBot="1" x14ac:dyDescent="0.2">
      <c r="A56" s="1"/>
      <c r="B56" s="11" t="s">
        <v>4</v>
      </c>
      <c r="C56" s="193">
        <f>SUM(C45:C55)</f>
        <v>1315</v>
      </c>
      <c r="D56" s="193">
        <f>SUM(D45:D55)</f>
        <v>591</v>
      </c>
      <c r="E56" s="193">
        <f>SUM(E45:E55)</f>
        <v>594</v>
      </c>
      <c r="F56" s="221">
        <f>SUM(F45:F55)</f>
        <v>2500</v>
      </c>
      <c r="H56" s="11" t="s">
        <v>4</v>
      </c>
      <c r="I56" s="193">
        <f>SUM(I45:I55)</f>
        <v>1345</v>
      </c>
      <c r="J56" s="193">
        <f>SUM(J45:J55)</f>
        <v>50</v>
      </c>
      <c r="K56" s="193">
        <f t="shared" ref="K56" si="19">SUM(K45:K55)</f>
        <v>250</v>
      </c>
      <c r="L56" s="221">
        <f>SUM(L45:L55)</f>
        <v>1645</v>
      </c>
      <c r="N56" s="1"/>
      <c r="O56" s="11" t="s">
        <v>4</v>
      </c>
      <c r="P56" s="12">
        <f>SUM(P45:P55)</f>
        <v>0</v>
      </c>
      <c r="Q56" s="13">
        <f>SUM(Q45:Q55)</f>
        <v>0</v>
      </c>
      <c r="S56" s="11" t="s">
        <v>4</v>
      </c>
      <c r="T56" s="12">
        <f>SUM(T45:T55)</f>
        <v>2831</v>
      </c>
      <c r="U56" s="13">
        <f>SUM(U45:U55)</f>
        <v>2831</v>
      </c>
    </row>
    <row r="57" spans="1:23" x14ac:dyDescent="0.15">
      <c r="A57" s="1"/>
      <c r="B57" s="178" t="s">
        <v>767</v>
      </c>
      <c r="C57" s="205">
        <v>60</v>
      </c>
      <c r="D57" s="205">
        <v>100</v>
      </c>
      <c r="E57" s="207">
        <v>10</v>
      </c>
      <c r="F57" s="220">
        <f t="shared" ref="F57:F80" si="20">SUM(C57:E57)</f>
        <v>170</v>
      </c>
      <c r="G57" s="211">
        <v>44364</v>
      </c>
      <c r="H57" s="6" t="s">
        <v>768</v>
      </c>
      <c r="I57" s="217"/>
      <c r="J57" s="205">
        <v>50</v>
      </c>
      <c r="K57" s="207"/>
      <c r="L57" s="220">
        <f t="shared" ref="L57:L78" si="21">SUM(I57:K57)</f>
        <v>50</v>
      </c>
      <c r="M57" s="211">
        <v>44363</v>
      </c>
      <c r="N57" s="1"/>
      <c r="O57" s="4"/>
      <c r="P57" s="44"/>
      <c r="Q57" s="14">
        <f t="shared" ref="Q57:Q80" si="22">SUM(P57:P57)</f>
        <v>0</v>
      </c>
      <c r="R57" s="186"/>
      <c r="S57" s="4" t="s">
        <v>769</v>
      </c>
      <c r="T57" s="44">
        <v>64</v>
      </c>
      <c r="U57" s="14">
        <f t="shared" ref="U57:U80" si="23">SUM(T57:T57)</f>
        <v>64</v>
      </c>
      <c r="V57" s="185">
        <v>44364</v>
      </c>
      <c r="W57" s="186"/>
    </row>
    <row r="58" spans="1:23" x14ac:dyDescent="0.15">
      <c r="A58" s="1"/>
      <c r="B58" s="178" t="s">
        <v>161</v>
      </c>
      <c r="C58" s="207">
        <f>25+9+15+1</f>
        <v>50</v>
      </c>
      <c r="D58" s="189">
        <f>9+3+1</f>
        <v>13</v>
      </c>
      <c r="E58" s="189">
        <f>3+2+1</f>
        <v>6</v>
      </c>
      <c r="F58" s="220">
        <f t="shared" si="20"/>
        <v>69</v>
      </c>
      <c r="G58" s="248">
        <v>44364</v>
      </c>
      <c r="H58" s="6" t="s">
        <v>745</v>
      </c>
      <c r="I58" s="205">
        <v>200</v>
      </c>
      <c r="J58" s="205"/>
      <c r="K58" s="207"/>
      <c r="L58" s="220">
        <f t="shared" si="21"/>
        <v>200</v>
      </c>
      <c r="M58" s="211">
        <v>44364</v>
      </c>
      <c r="N58" s="1"/>
      <c r="O58" s="4"/>
      <c r="P58" s="15"/>
      <c r="Q58" s="14">
        <f t="shared" si="22"/>
        <v>0</v>
      </c>
      <c r="R58" s="186"/>
      <c r="S58" s="4" t="s">
        <v>745</v>
      </c>
      <c r="T58" s="15">
        <v>64</v>
      </c>
      <c r="U58" s="14">
        <f t="shared" si="23"/>
        <v>64</v>
      </c>
      <c r="V58" s="185">
        <v>44366</v>
      </c>
    </row>
    <row r="59" spans="1:23" x14ac:dyDescent="0.15">
      <c r="A59" s="1"/>
      <c r="B59" s="178" t="s">
        <v>773</v>
      </c>
      <c r="C59" s="207">
        <v>50</v>
      </c>
      <c r="D59" s="189">
        <v>30</v>
      </c>
      <c r="E59" s="189"/>
      <c r="F59" s="220">
        <f t="shared" si="20"/>
        <v>80</v>
      </c>
      <c r="G59" s="211">
        <v>44366</v>
      </c>
      <c r="H59" s="6" t="s">
        <v>745</v>
      </c>
      <c r="I59" s="207">
        <v>400</v>
      </c>
      <c r="J59" s="189"/>
      <c r="K59" s="189"/>
      <c r="L59" s="220">
        <f t="shared" si="21"/>
        <v>400</v>
      </c>
      <c r="M59" s="211">
        <v>44366</v>
      </c>
      <c r="N59" s="1"/>
      <c r="O59" s="4"/>
      <c r="P59" s="15"/>
      <c r="Q59" s="14">
        <f t="shared" si="22"/>
        <v>0</v>
      </c>
      <c r="R59" s="186"/>
      <c r="S59" s="4" t="s">
        <v>775</v>
      </c>
      <c r="T59" s="15">
        <v>2</v>
      </c>
      <c r="U59" s="14">
        <f t="shared" si="23"/>
        <v>2</v>
      </c>
      <c r="V59" s="185">
        <v>44370</v>
      </c>
    </row>
    <row r="60" spans="1:23" x14ac:dyDescent="0.15">
      <c r="A60" s="1"/>
      <c r="B60" s="178" t="s">
        <v>776</v>
      </c>
      <c r="C60" s="208">
        <v>100</v>
      </c>
      <c r="D60" s="15"/>
      <c r="E60" s="15">
        <v>30</v>
      </c>
      <c r="F60" s="220">
        <f t="shared" si="20"/>
        <v>130</v>
      </c>
      <c r="G60" s="211">
        <v>44366</v>
      </c>
      <c r="H60" s="4" t="s">
        <v>780</v>
      </c>
      <c r="I60" s="208">
        <v>100</v>
      </c>
      <c r="J60" s="15"/>
      <c r="K60" s="15"/>
      <c r="L60" s="220">
        <f t="shared" si="21"/>
        <v>100</v>
      </c>
      <c r="M60" s="211">
        <v>44375</v>
      </c>
      <c r="N60" s="1"/>
      <c r="O60" s="4"/>
      <c r="P60" s="15"/>
      <c r="Q60" s="14">
        <f t="shared" si="22"/>
        <v>0</v>
      </c>
      <c r="R60" s="186"/>
      <c r="S60" s="4" t="s">
        <v>745</v>
      </c>
      <c r="T60" s="15">
        <v>64</v>
      </c>
      <c r="U60" s="14">
        <f t="shared" ref="U60" si="24">SUM(T60:T60)</f>
        <v>64</v>
      </c>
      <c r="V60" s="185">
        <v>44371</v>
      </c>
    </row>
    <row r="61" spans="1:23" x14ac:dyDescent="0.15">
      <c r="A61" s="1"/>
      <c r="B61" s="178" t="s">
        <v>161</v>
      </c>
      <c r="C61" s="208">
        <f>3+33+11+3</f>
        <v>50</v>
      </c>
      <c r="D61" s="15">
        <f>1+5+1+2</f>
        <v>9</v>
      </c>
      <c r="E61" s="15"/>
      <c r="F61" s="220">
        <f t="shared" si="20"/>
        <v>59</v>
      </c>
      <c r="G61" s="248">
        <v>44365</v>
      </c>
      <c r="H61" s="6" t="s">
        <v>745</v>
      </c>
      <c r="I61" s="208">
        <v>100</v>
      </c>
      <c r="J61" s="15"/>
      <c r="K61" s="15"/>
      <c r="L61" s="220">
        <f t="shared" si="21"/>
        <v>100</v>
      </c>
      <c r="M61" s="211">
        <v>44375</v>
      </c>
      <c r="N61" s="1"/>
      <c r="O61" s="4"/>
      <c r="P61" s="15"/>
      <c r="Q61" s="14">
        <f t="shared" si="22"/>
        <v>0</v>
      </c>
      <c r="R61" s="186"/>
      <c r="S61" s="4" t="s">
        <v>745</v>
      </c>
      <c r="T61" s="15">
        <v>128</v>
      </c>
      <c r="U61" s="14">
        <f t="shared" si="23"/>
        <v>128</v>
      </c>
      <c r="V61" s="185">
        <v>44372</v>
      </c>
    </row>
    <row r="62" spans="1:23" x14ac:dyDescent="0.15">
      <c r="A62" s="1"/>
      <c r="B62" s="178" t="s">
        <v>774</v>
      </c>
      <c r="C62" s="208"/>
      <c r="D62" s="15"/>
      <c r="E62" s="15">
        <v>100</v>
      </c>
      <c r="F62" s="220">
        <f t="shared" si="20"/>
        <v>100</v>
      </c>
      <c r="G62" s="248">
        <v>44366</v>
      </c>
      <c r="H62" s="4" t="s">
        <v>786</v>
      </c>
      <c r="I62" s="208">
        <v>146</v>
      </c>
      <c r="J62" s="15"/>
      <c r="K62" s="15"/>
      <c r="L62" s="220">
        <f t="shared" si="21"/>
        <v>146</v>
      </c>
      <c r="M62" s="211">
        <v>44377</v>
      </c>
      <c r="N62" s="1"/>
      <c r="O62" s="4"/>
      <c r="P62" s="15"/>
      <c r="Q62" s="14">
        <f t="shared" si="22"/>
        <v>0</v>
      </c>
      <c r="R62" s="186"/>
      <c r="S62" s="4" t="s">
        <v>745</v>
      </c>
      <c r="T62" s="15">
        <v>128</v>
      </c>
      <c r="U62" s="14">
        <f t="shared" si="23"/>
        <v>128</v>
      </c>
      <c r="V62" s="185">
        <v>44377</v>
      </c>
    </row>
    <row r="63" spans="1:23" x14ac:dyDescent="0.15">
      <c r="A63" s="1"/>
      <c r="B63" s="178" t="s">
        <v>161</v>
      </c>
      <c r="C63" s="208">
        <f>5+6+1+12</f>
        <v>24</v>
      </c>
      <c r="D63" s="15">
        <f>1+1+4</f>
        <v>6</v>
      </c>
      <c r="E63" s="15">
        <f>1+1+2</f>
        <v>4</v>
      </c>
      <c r="F63" s="220">
        <f t="shared" si="20"/>
        <v>34</v>
      </c>
      <c r="G63" s="248">
        <v>44366</v>
      </c>
      <c r="H63" s="4"/>
      <c r="I63" s="208"/>
      <c r="J63" s="15"/>
      <c r="K63" s="15"/>
      <c r="L63" s="220">
        <f t="shared" si="21"/>
        <v>0</v>
      </c>
      <c r="N63" s="1"/>
      <c r="O63" s="4"/>
      <c r="P63" s="15"/>
      <c r="Q63" s="14">
        <f t="shared" si="22"/>
        <v>0</v>
      </c>
      <c r="R63" s="186"/>
      <c r="S63" s="4" t="s">
        <v>792</v>
      </c>
      <c r="T63" s="15">
        <v>1</v>
      </c>
      <c r="U63" s="14">
        <f t="shared" si="23"/>
        <v>1</v>
      </c>
      <c r="V63" s="185">
        <v>44378</v>
      </c>
    </row>
    <row r="64" spans="1:23" x14ac:dyDescent="0.15">
      <c r="A64" s="75"/>
      <c r="B64" s="178" t="s">
        <v>781</v>
      </c>
      <c r="C64" s="208"/>
      <c r="D64" s="15">
        <v>20</v>
      </c>
      <c r="E64" s="15"/>
      <c r="F64" s="220">
        <f t="shared" si="20"/>
        <v>20</v>
      </c>
      <c r="G64" s="211">
        <v>44368</v>
      </c>
      <c r="H64" s="4"/>
      <c r="I64" s="208"/>
      <c r="J64" s="15"/>
      <c r="K64" s="15"/>
      <c r="L64" s="220">
        <f t="shared" si="21"/>
        <v>0</v>
      </c>
      <c r="N64" s="1"/>
      <c r="O64" s="4"/>
      <c r="P64" s="15"/>
      <c r="Q64" s="14">
        <f t="shared" si="22"/>
        <v>0</v>
      </c>
      <c r="R64" s="186"/>
      <c r="S64" s="4"/>
      <c r="T64" s="15"/>
      <c r="U64" s="14">
        <f t="shared" si="23"/>
        <v>0</v>
      </c>
    </row>
    <row r="65" spans="1:22" x14ac:dyDescent="0.15">
      <c r="A65" s="1"/>
      <c r="B65" s="178" t="s">
        <v>161</v>
      </c>
      <c r="C65" s="208">
        <f>63+27+1+2+11+1+2+1+2</f>
        <v>110</v>
      </c>
      <c r="D65" s="15">
        <f>4+10+3+1+1+1+1</f>
        <v>21</v>
      </c>
      <c r="E65" s="15">
        <f>3+5+1</f>
        <v>9</v>
      </c>
      <c r="F65" s="220">
        <f t="shared" si="20"/>
        <v>140</v>
      </c>
      <c r="G65" s="248">
        <v>44368</v>
      </c>
      <c r="H65" s="4"/>
      <c r="I65" s="208"/>
      <c r="J65" s="15"/>
      <c r="K65" s="15"/>
      <c r="L65" s="220">
        <f t="shared" si="21"/>
        <v>0</v>
      </c>
      <c r="N65" s="1"/>
      <c r="O65" s="4"/>
      <c r="P65" s="15"/>
      <c r="Q65" s="14">
        <f t="shared" si="22"/>
        <v>0</v>
      </c>
      <c r="R65" s="186"/>
      <c r="S65" s="4"/>
      <c r="T65" s="15"/>
      <c r="U65" s="14">
        <f t="shared" si="23"/>
        <v>0</v>
      </c>
    </row>
    <row r="66" spans="1:22" x14ac:dyDescent="0.15">
      <c r="A66" s="1"/>
      <c r="B66" s="178" t="s">
        <v>777</v>
      </c>
      <c r="C66" s="208"/>
      <c r="D66" s="15">
        <v>1</v>
      </c>
      <c r="E66" s="15">
        <v>-1</v>
      </c>
      <c r="F66" s="220">
        <f t="shared" si="20"/>
        <v>0</v>
      </c>
      <c r="G66" s="248">
        <v>44368</v>
      </c>
      <c r="H66" s="4"/>
      <c r="I66" s="208"/>
      <c r="J66" s="15"/>
      <c r="K66" s="15"/>
      <c r="L66" s="220">
        <f t="shared" si="21"/>
        <v>0</v>
      </c>
      <c r="N66" s="1"/>
      <c r="O66" s="4"/>
      <c r="P66" s="15"/>
      <c r="Q66" s="14">
        <f t="shared" si="22"/>
        <v>0</v>
      </c>
      <c r="R66" s="186"/>
      <c r="S66" s="4"/>
      <c r="T66" s="15"/>
      <c r="U66" s="14">
        <f t="shared" si="23"/>
        <v>0</v>
      </c>
    </row>
    <row r="67" spans="1:22" x14ac:dyDescent="0.15">
      <c r="A67" s="1"/>
      <c r="B67" s="178" t="s">
        <v>161</v>
      </c>
      <c r="C67" s="208">
        <f>1+1+4+1+23+10+2</f>
        <v>42</v>
      </c>
      <c r="D67" s="15">
        <f>1+5+3+1</f>
        <v>10</v>
      </c>
      <c r="E67" s="15">
        <f>1+1</f>
        <v>2</v>
      </c>
      <c r="F67" s="220">
        <f t="shared" si="20"/>
        <v>54</v>
      </c>
      <c r="G67" s="248">
        <v>44369</v>
      </c>
      <c r="H67" s="4"/>
      <c r="I67" s="208"/>
      <c r="J67" s="15"/>
      <c r="K67" s="15"/>
      <c r="L67" s="220">
        <f t="shared" si="21"/>
        <v>0</v>
      </c>
      <c r="N67" s="1"/>
      <c r="O67" s="4"/>
      <c r="P67" s="15"/>
      <c r="Q67" s="14">
        <f t="shared" si="22"/>
        <v>0</v>
      </c>
      <c r="R67" s="186"/>
      <c r="S67" s="4"/>
      <c r="T67" s="15"/>
      <c r="U67" s="14">
        <f t="shared" si="23"/>
        <v>0</v>
      </c>
    </row>
    <row r="68" spans="1:22" x14ac:dyDescent="0.15">
      <c r="A68" s="1"/>
      <c r="B68" s="178" t="s">
        <v>161</v>
      </c>
      <c r="C68" s="206">
        <f>6+45+4+1+2+1+1</f>
        <v>60</v>
      </c>
      <c r="D68" s="15">
        <f>1+4+3+8+1+1</f>
        <v>18</v>
      </c>
      <c r="E68" s="15">
        <f>3+3+3+1</f>
        <v>10</v>
      </c>
      <c r="F68" s="220">
        <f t="shared" si="20"/>
        <v>88</v>
      </c>
      <c r="G68" s="248">
        <v>44370</v>
      </c>
      <c r="H68" s="6"/>
      <c r="I68" s="206"/>
      <c r="J68" s="15"/>
      <c r="K68" s="15"/>
      <c r="L68" s="220">
        <f t="shared" si="21"/>
        <v>0</v>
      </c>
      <c r="N68" s="1"/>
      <c r="O68" s="6"/>
      <c r="P68" s="15"/>
      <c r="Q68" s="14">
        <f t="shared" si="22"/>
        <v>0</v>
      </c>
      <c r="R68" s="186"/>
      <c r="S68" s="6"/>
      <c r="T68" s="15"/>
      <c r="U68" s="14">
        <f t="shared" si="23"/>
        <v>0</v>
      </c>
    </row>
    <row r="69" spans="1:22" x14ac:dyDescent="0.15">
      <c r="A69" s="1"/>
      <c r="B69" s="71" t="s">
        <v>782</v>
      </c>
      <c r="C69" s="206">
        <v>10</v>
      </c>
      <c r="D69" s="15">
        <v>10</v>
      </c>
      <c r="E69" s="15">
        <v>10</v>
      </c>
      <c r="F69" s="220">
        <f t="shared" si="20"/>
        <v>30</v>
      </c>
      <c r="G69" s="211">
        <v>44372</v>
      </c>
      <c r="H69" s="6"/>
      <c r="I69" s="206"/>
      <c r="J69" s="15"/>
      <c r="K69" s="15"/>
      <c r="L69" s="220">
        <f t="shared" si="21"/>
        <v>0</v>
      </c>
      <c r="N69" s="1"/>
      <c r="O69" s="6"/>
      <c r="P69" s="15"/>
      <c r="Q69" s="14">
        <f t="shared" si="22"/>
        <v>0</v>
      </c>
      <c r="R69" s="186"/>
      <c r="S69" s="6"/>
      <c r="T69" s="15"/>
      <c r="U69" s="14">
        <f t="shared" si="23"/>
        <v>0</v>
      </c>
    </row>
    <row r="70" spans="1:22" x14ac:dyDescent="0.15">
      <c r="A70" s="1"/>
      <c r="B70" s="178" t="s">
        <v>161</v>
      </c>
      <c r="C70" s="208">
        <f>14+2+40+1+3+1+3</f>
        <v>64</v>
      </c>
      <c r="D70" s="15">
        <f>4+2+6+1</f>
        <v>13</v>
      </c>
      <c r="E70" s="15">
        <f>1+2+1</f>
        <v>4</v>
      </c>
      <c r="F70" s="220">
        <f t="shared" si="20"/>
        <v>81</v>
      </c>
      <c r="G70" s="248">
        <v>44371</v>
      </c>
      <c r="H70" s="4"/>
      <c r="I70" s="208"/>
      <c r="J70" s="15"/>
      <c r="K70" s="15"/>
      <c r="L70" s="220">
        <f t="shared" si="21"/>
        <v>0</v>
      </c>
      <c r="N70" s="1"/>
      <c r="O70" s="4"/>
      <c r="P70" s="15"/>
      <c r="Q70" s="14">
        <f t="shared" si="22"/>
        <v>0</v>
      </c>
      <c r="R70" s="186"/>
      <c r="S70" s="4"/>
      <c r="T70" s="15"/>
      <c r="U70" s="14">
        <f t="shared" si="23"/>
        <v>0</v>
      </c>
    </row>
    <row r="71" spans="1:22" x14ac:dyDescent="0.15">
      <c r="A71" s="1"/>
      <c r="B71" s="178" t="s">
        <v>784</v>
      </c>
      <c r="C71" s="208"/>
      <c r="D71" s="15"/>
      <c r="E71" s="15">
        <v>1</v>
      </c>
      <c r="F71" s="220">
        <f t="shared" si="20"/>
        <v>1</v>
      </c>
      <c r="G71" s="248">
        <v>44372</v>
      </c>
      <c r="H71" s="4"/>
      <c r="I71" s="208"/>
      <c r="J71" s="15"/>
      <c r="K71" s="15"/>
      <c r="L71" s="220">
        <f t="shared" si="21"/>
        <v>0</v>
      </c>
      <c r="N71" s="1"/>
      <c r="O71" s="4"/>
      <c r="P71" s="15"/>
      <c r="Q71" s="14">
        <f t="shared" si="22"/>
        <v>0</v>
      </c>
      <c r="R71" s="186"/>
      <c r="S71" s="4"/>
      <c r="T71" s="15"/>
      <c r="U71" s="14">
        <f t="shared" si="23"/>
        <v>0</v>
      </c>
    </row>
    <row r="72" spans="1:22" x14ac:dyDescent="0.15">
      <c r="A72" s="1"/>
      <c r="B72" s="178" t="s">
        <v>161</v>
      </c>
      <c r="C72" s="208">
        <f>23+6+2+2+2+4+43+6+1+10+4+1+4+1+8+5</f>
        <v>122</v>
      </c>
      <c r="D72" s="15">
        <f>3+2+1+2+4+4+1+3+2+1+1+1</f>
        <v>25</v>
      </c>
      <c r="E72" s="15">
        <f>1+2+2+2+4+1+1+2+1+1</f>
        <v>17</v>
      </c>
      <c r="F72" s="220">
        <f t="shared" si="20"/>
        <v>164</v>
      </c>
      <c r="G72" s="248">
        <v>44372</v>
      </c>
      <c r="H72" s="4"/>
      <c r="I72" s="208"/>
      <c r="J72" s="15"/>
      <c r="K72" s="15"/>
      <c r="L72" s="220">
        <f t="shared" si="21"/>
        <v>0</v>
      </c>
      <c r="N72" s="1"/>
      <c r="O72" s="4"/>
      <c r="P72" s="15"/>
      <c r="Q72" s="14">
        <f t="shared" si="22"/>
        <v>0</v>
      </c>
      <c r="R72" s="186"/>
      <c r="S72" s="4"/>
      <c r="T72" s="15"/>
      <c r="U72" s="14">
        <f t="shared" si="23"/>
        <v>0</v>
      </c>
    </row>
    <row r="73" spans="1:22" x14ac:dyDescent="0.15">
      <c r="A73" s="1"/>
      <c r="B73" s="178" t="s">
        <v>161</v>
      </c>
      <c r="C73" s="206">
        <v>205</v>
      </c>
      <c r="D73" s="15">
        <v>30</v>
      </c>
      <c r="E73" s="15">
        <v>13</v>
      </c>
      <c r="F73" s="220">
        <f t="shared" si="20"/>
        <v>248</v>
      </c>
      <c r="G73" s="248">
        <v>44375</v>
      </c>
      <c r="H73" s="6"/>
      <c r="I73" s="206"/>
      <c r="J73" s="15"/>
      <c r="K73" s="15"/>
      <c r="L73" s="220">
        <f t="shared" si="21"/>
        <v>0</v>
      </c>
      <c r="N73" s="1"/>
      <c r="O73" s="6"/>
      <c r="P73" s="15"/>
      <c r="Q73" s="14">
        <f t="shared" si="22"/>
        <v>0</v>
      </c>
      <c r="R73" s="186"/>
      <c r="S73" s="6"/>
      <c r="T73" s="15"/>
      <c r="U73" s="14">
        <f t="shared" si="23"/>
        <v>0</v>
      </c>
    </row>
    <row r="74" spans="1:22" x14ac:dyDescent="0.15">
      <c r="A74" s="1"/>
      <c r="B74" s="178" t="s">
        <v>787</v>
      </c>
      <c r="C74" s="208">
        <v>20</v>
      </c>
      <c r="D74" s="15">
        <v>20</v>
      </c>
      <c r="E74" s="15">
        <v>20</v>
      </c>
      <c r="F74" s="220">
        <f t="shared" si="20"/>
        <v>60</v>
      </c>
      <c r="G74" s="211">
        <v>44376</v>
      </c>
      <c r="H74" s="4"/>
      <c r="I74" s="208"/>
      <c r="J74" s="15"/>
      <c r="K74" s="15"/>
      <c r="L74" s="220">
        <f t="shared" si="21"/>
        <v>0</v>
      </c>
      <c r="N74" s="1"/>
      <c r="O74" s="4"/>
      <c r="P74" s="15"/>
      <c r="Q74" s="14">
        <f t="shared" si="22"/>
        <v>0</v>
      </c>
      <c r="R74" s="186"/>
      <c r="S74" s="4"/>
      <c r="T74" s="15"/>
      <c r="U74" s="14">
        <f t="shared" si="23"/>
        <v>0</v>
      </c>
    </row>
    <row r="75" spans="1:22" x14ac:dyDescent="0.15">
      <c r="A75" s="1"/>
      <c r="B75" s="71" t="s">
        <v>788</v>
      </c>
      <c r="C75" s="206">
        <v>50</v>
      </c>
      <c r="D75" s="15">
        <v>30</v>
      </c>
      <c r="E75" s="15"/>
      <c r="F75" s="220">
        <f t="shared" si="20"/>
        <v>80</v>
      </c>
      <c r="G75" s="211">
        <v>44376</v>
      </c>
      <c r="H75" s="6"/>
      <c r="I75" s="206"/>
      <c r="J75" s="15"/>
      <c r="K75" s="15"/>
      <c r="L75" s="220">
        <f t="shared" si="21"/>
        <v>0</v>
      </c>
      <c r="N75" s="1"/>
      <c r="O75" s="6"/>
      <c r="P75" s="15"/>
      <c r="Q75" s="14">
        <f t="shared" si="22"/>
        <v>0</v>
      </c>
      <c r="R75" s="186"/>
      <c r="S75" s="6"/>
      <c r="T75" s="15"/>
      <c r="U75" s="14">
        <f t="shared" si="23"/>
        <v>0</v>
      </c>
    </row>
    <row r="76" spans="1:22" x14ac:dyDescent="0.15">
      <c r="A76" s="1"/>
      <c r="B76" s="178" t="s">
        <v>161</v>
      </c>
      <c r="C76" s="208">
        <f>1+3+20+5+12+3</f>
        <v>44</v>
      </c>
      <c r="D76" s="15">
        <f>4+3+3</f>
        <v>10</v>
      </c>
      <c r="E76" s="15">
        <f>2+3</f>
        <v>5</v>
      </c>
      <c r="F76" s="220">
        <f t="shared" si="20"/>
        <v>59</v>
      </c>
      <c r="G76" s="248">
        <v>44376</v>
      </c>
      <c r="H76" s="4"/>
      <c r="I76" s="208"/>
      <c r="J76" s="15"/>
      <c r="K76" s="15"/>
      <c r="L76" s="220">
        <f t="shared" si="21"/>
        <v>0</v>
      </c>
      <c r="N76" s="1"/>
      <c r="O76" s="4"/>
      <c r="P76" s="15"/>
      <c r="Q76" s="14">
        <f t="shared" si="22"/>
        <v>0</v>
      </c>
      <c r="R76" s="186"/>
      <c r="S76" s="4"/>
      <c r="T76" s="15"/>
      <c r="U76" s="14">
        <f t="shared" si="23"/>
        <v>0</v>
      </c>
      <c r="V76" s="186"/>
    </row>
    <row r="77" spans="1:22" x14ac:dyDescent="0.15">
      <c r="A77" s="75"/>
      <c r="B77" s="178" t="s">
        <v>790</v>
      </c>
      <c r="C77" s="208">
        <v>10</v>
      </c>
      <c r="D77" s="15"/>
      <c r="E77" s="15"/>
      <c r="F77" s="220">
        <f t="shared" si="20"/>
        <v>10</v>
      </c>
      <c r="G77" s="211">
        <v>44376</v>
      </c>
      <c r="H77" s="4"/>
      <c r="I77" s="208"/>
      <c r="J77" s="15"/>
      <c r="K77" s="15"/>
      <c r="L77" s="220">
        <f t="shared" si="21"/>
        <v>0</v>
      </c>
      <c r="M77" s="212"/>
      <c r="N77" s="1"/>
      <c r="O77" s="4"/>
      <c r="P77" s="15"/>
      <c r="Q77" s="14">
        <f t="shared" si="22"/>
        <v>0</v>
      </c>
      <c r="R77" s="186"/>
      <c r="S77" s="4"/>
      <c r="T77" s="15"/>
      <c r="U77" s="14">
        <f t="shared" si="23"/>
        <v>0</v>
      </c>
      <c r="V77" s="186"/>
    </row>
    <row r="78" spans="1:22" x14ac:dyDescent="0.15">
      <c r="A78" s="1"/>
      <c r="B78" s="178" t="s">
        <v>161</v>
      </c>
      <c r="C78" s="208">
        <f>35+6+1+18+6+2+2</f>
        <v>70</v>
      </c>
      <c r="D78" s="15">
        <f>5+2+1+1+1</f>
        <v>10</v>
      </c>
      <c r="E78" s="15">
        <f>3+1+1</f>
        <v>5</v>
      </c>
      <c r="F78" s="220">
        <f t="shared" si="20"/>
        <v>85</v>
      </c>
      <c r="G78" s="248">
        <v>44377</v>
      </c>
      <c r="H78" s="4"/>
      <c r="I78" s="208"/>
      <c r="J78" s="15"/>
      <c r="K78" s="15"/>
      <c r="L78" s="220">
        <f t="shared" si="21"/>
        <v>0</v>
      </c>
      <c r="M78" s="212"/>
      <c r="N78" s="1"/>
      <c r="O78" s="4"/>
      <c r="P78" s="15"/>
      <c r="Q78" s="14">
        <f t="shared" si="22"/>
        <v>0</v>
      </c>
      <c r="R78" s="186"/>
      <c r="S78" s="4"/>
      <c r="T78" s="15"/>
      <c r="U78" s="14">
        <f t="shared" si="23"/>
        <v>0</v>
      </c>
      <c r="V78" s="186"/>
    </row>
    <row r="79" spans="1:22" x14ac:dyDescent="0.15">
      <c r="A79" s="1"/>
      <c r="B79" s="178"/>
      <c r="C79" s="208"/>
      <c r="D79" s="15"/>
      <c r="E79" s="15"/>
      <c r="F79" s="220">
        <f t="shared" si="20"/>
        <v>0</v>
      </c>
      <c r="G79" s="210"/>
      <c r="H79" s="4"/>
      <c r="I79" s="206"/>
      <c r="J79" s="206"/>
      <c r="K79" s="206"/>
      <c r="L79" s="220">
        <f>SUM(I79:K79)</f>
        <v>0</v>
      </c>
      <c r="M79" s="212"/>
      <c r="N79" s="1"/>
      <c r="O79" s="6"/>
      <c r="P79" s="15"/>
      <c r="Q79" s="14">
        <f t="shared" si="22"/>
        <v>0</v>
      </c>
      <c r="R79" s="186"/>
      <c r="S79" s="6"/>
      <c r="T79" s="15"/>
      <c r="U79" s="14">
        <f t="shared" si="23"/>
        <v>0</v>
      </c>
      <c r="V79" s="186"/>
    </row>
    <row r="80" spans="1:22" ht="14.25" thickBot="1" x14ac:dyDescent="0.2">
      <c r="A80" s="1"/>
      <c r="B80" s="71"/>
      <c r="C80" s="206"/>
      <c r="D80" s="15"/>
      <c r="E80" s="15"/>
      <c r="F80" s="220">
        <f t="shared" si="20"/>
        <v>0</v>
      </c>
      <c r="H80" s="6" t="s">
        <v>726</v>
      </c>
      <c r="I80" s="206"/>
      <c r="J80" s="206"/>
      <c r="K80" s="206"/>
      <c r="L80" s="220">
        <f t="shared" ref="L80" si="25">SUM(I80:K80)</f>
        <v>0</v>
      </c>
      <c r="M80" s="212" t="s">
        <v>744</v>
      </c>
      <c r="N80" s="75"/>
      <c r="O80" s="6"/>
      <c r="P80" s="15"/>
      <c r="Q80" s="14">
        <f t="shared" si="22"/>
        <v>0</v>
      </c>
      <c r="R80" s="186"/>
      <c r="S80" s="6"/>
      <c r="T80" s="15"/>
      <c r="U80" s="14">
        <f t="shared" si="23"/>
        <v>0</v>
      </c>
      <c r="V80" s="186"/>
    </row>
    <row r="81" spans="1:22" ht="14.25" thickBot="1" x14ac:dyDescent="0.2">
      <c r="A81" s="1"/>
      <c r="B81" s="3" t="s">
        <v>5</v>
      </c>
      <c r="C81" s="16">
        <f>SUM(C57:C80)</f>
        <v>1141</v>
      </c>
      <c r="D81" s="16">
        <f>SUM(D57:D80)</f>
        <v>376</v>
      </c>
      <c r="E81" s="16">
        <f>SUM(E57:E80)</f>
        <v>245</v>
      </c>
      <c r="F81" s="223">
        <f>SUM(F57:F80)</f>
        <v>1762</v>
      </c>
      <c r="H81" s="3" t="s">
        <v>5</v>
      </c>
      <c r="I81" s="16">
        <f>SUM(I57:I80)</f>
        <v>946</v>
      </c>
      <c r="J81" s="16">
        <f>SUM(J57:J80)</f>
        <v>50</v>
      </c>
      <c r="K81" s="16">
        <f>SUM(K57:K80)</f>
        <v>0</v>
      </c>
      <c r="L81" s="223">
        <f>SUM(L57:L80)</f>
        <v>996</v>
      </c>
      <c r="N81" s="1"/>
      <c r="O81" s="3" t="s">
        <v>5</v>
      </c>
      <c r="P81" s="16">
        <f>SUM(P57:P80)</f>
        <v>0</v>
      </c>
      <c r="Q81" s="17">
        <f>SUM(Q57:Q80)</f>
        <v>0</v>
      </c>
      <c r="S81" s="3" t="s">
        <v>5</v>
      </c>
      <c r="T81" s="16">
        <f>SUM(T57:T80)</f>
        <v>451</v>
      </c>
      <c r="U81" s="17">
        <f>SUM(U57:U80)</f>
        <v>451</v>
      </c>
    </row>
    <row r="82" spans="1:22" ht="14.25" thickBot="1" x14ac:dyDescent="0.2">
      <c r="A82" s="1"/>
      <c r="B82" s="18" t="s">
        <v>6</v>
      </c>
      <c r="C82" s="19">
        <f>C56-C81</f>
        <v>174</v>
      </c>
      <c r="D82" s="19">
        <f>D56-D81</f>
        <v>215</v>
      </c>
      <c r="E82" s="19">
        <f t="shared" ref="E82" si="26">E56-E81</f>
        <v>349</v>
      </c>
      <c r="F82" s="221">
        <f>F56-F81</f>
        <v>738</v>
      </c>
      <c r="H82" s="18" t="s">
        <v>6</v>
      </c>
      <c r="I82" s="19">
        <f>I56-I81</f>
        <v>399</v>
      </c>
      <c r="J82" s="19">
        <f>J56-J81</f>
        <v>0</v>
      </c>
      <c r="K82" s="19">
        <f t="shared" ref="K82" si="27">K56-K81</f>
        <v>250</v>
      </c>
      <c r="L82" s="221">
        <f>L56-L81</f>
        <v>649</v>
      </c>
      <c r="N82" s="1"/>
      <c r="O82" s="18" t="s">
        <v>6</v>
      </c>
      <c r="P82" s="19">
        <f>P56-P81</f>
        <v>0</v>
      </c>
      <c r="Q82" s="13">
        <f>Q56-Q81</f>
        <v>0</v>
      </c>
      <c r="S82" s="18" t="s">
        <v>6</v>
      </c>
      <c r="T82" s="19">
        <f>T56-T81</f>
        <v>2380</v>
      </c>
      <c r="U82" s="13">
        <f>U56-U81</f>
        <v>2380</v>
      </c>
    </row>
    <row r="85" spans="1:22" ht="18" thickBot="1" x14ac:dyDescent="0.25">
      <c r="A85" s="27" t="s">
        <v>739</v>
      </c>
      <c r="B85" s="28"/>
      <c r="C85" s="28"/>
      <c r="D85" s="28"/>
      <c r="E85" s="28"/>
      <c r="F85" s="218"/>
      <c r="H85" s="27" t="s">
        <v>740</v>
      </c>
      <c r="I85" s="28"/>
      <c r="J85" s="28"/>
      <c r="K85" s="28"/>
      <c r="L85" s="218"/>
      <c r="O85" s="181" t="s">
        <v>737</v>
      </c>
      <c r="P85" s="182"/>
      <c r="Q85" s="182"/>
      <c r="R85" s="183"/>
      <c r="S85" s="181" t="s">
        <v>733</v>
      </c>
      <c r="T85" s="182"/>
      <c r="U85" s="182"/>
      <c r="V85" s="183"/>
    </row>
    <row r="86" spans="1:22" ht="14.25" thickBot="1" x14ac:dyDescent="0.2">
      <c r="A86" s="1"/>
      <c r="B86" s="2"/>
      <c r="C86" s="194" t="s">
        <v>734</v>
      </c>
      <c r="D86" s="195" t="s">
        <v>706</v>
      </c>
      <c r="E86" s="2" t="s">
        <v>735</v>
      </c>
      <c r="F86" s="219" t="s">
        <v>1</v>
      </c>
      <c r="H86" s="2"/>
      <c r="I86" s="197" t="s">
        <v>734</v>
      </c>
      <c r="J86" s="195" t="s">
        <v>706</v>
      </c>
      <c r="K86" s="201" t="s">
        <v>735</v>
      </c>
      <c r="L86" s="219" t="s">
        <v>1</v>
      </c>
      <c r="N86" s="1"/>
      <c r="O86" s="2"/>
      <c r="P86" s="3" t="s">
        <v>722</v>
      </c>
      <c r="Q86" s="2" t="s">
        <v>1</v>
      </c>
      <c r="S86" s="2"/>
      <c r="T86" s="3" t="s">
        <v>722</v>
      </c>
      <c r="U86" s="2" t="s">
        <v>1</v>
      </c>
    </row>
    <row r="87" spans="1:22" x14ac:dyDescent="0.15">
      <c r="A87" s="1"/>
      <c r="B87" s="164" t="s">
        <v>26</v>
      </c>
      <c r="C87" s="200">
        <f>C82</f>
        <v>174</v>
      </c>
      <c r="D87" s="164">
        <f t="shared" ref="D87:E87" si="28">D82</f>
        <v>215</v>
      </c>
      <c r="E87" s="164">
        <f t="shared" si="28"/>
        <v>349</v>
      </c>
      <c r="F87" s="222">
        <f>SUM(C87:E87)</f>
        <v>738</v>
      </c>
      <c r="G87" s="210"/>
      <c r="H87" s="164" t="s">
        <v>26</v>
      </c>
      <c r="I87" s="200">
        <f>I82</f>
        <v>399</v>
      </c>
      <c r="J87" s="164">
        <f t="shared" ref="J87:K87" si="29">J82</f>
        <v>0</v>
      </c>
      <c r="K87" s="200">
        <f t="shared" si="29"/>
        <v>250</v>
      </c>
      <c r="L87" s="222">
        <f t="shared" ref="L87:L97" si="30">SUM(I87:K87)</f>
        <v>649</v>
      </c>
      <c r="M87" s="210"/>
      <c r="N87" s="1"/>
      <c r="O87" s="171" t="s">
        <v>26</v>
      </c>
      <c r="P87" s="200">
        <f>P82</f>
        <v>0</v>
      </c>
      <c r="Q87" s="180">
        <f t="shared" ref="Q87:Q97" si="31">SUM(P87:P87)</f>
        <v>0</v>
      </c>
      <c r="R87" s="185"/>
      <c r="S87" s="43" t="s">
        <v>26</v>
      </c>
      <c r="T87" s="38">
        <f>T82</f>
        <v>2380</v>
      </c>
      <c r="U87" s="39">
        <f t="shared" ref="U87:U97" si="32">SUM(T87:T87)</f>
        <v>2380</v>
      </c>
      <c r="V87" s="184"/>
    </row>
    <row r="88" spans="1:22" x14ac:dyDescent="0.15">
      <c r="A88" s="1"/>
      <c r="B88" s="6" t="s">
        <v>3</v>
      </c>
      <c r="C88" s="6">
        <v>128</v>
      </c>
      <c r="D88" s="6">
        <v>128</v>
      </c>
      <c r="E88" s="4">
        <v>128</v>
      </c>
      <c r="F88" s="220">
        <f t="shared" ref="F88:F97" si="33">SUM(C88:E88)</f>
        <v>384</v>
      </c>
      <c r="G88" s="211">
        <v>44378</v>
      </c>
      <c r="H88" s="6" t="s">
        <v>3</v>
      </c>
      <c r="I88" s="188"/>
      <c r="J88" s="6"/>
      <c r="K88" s="202">
        <v>200</v>
      </c>
      <c r="L88" s="220">
        <f t="shared" si="30"/>
        <v>200</v>
      </c>
      <c r="M88" s="211">
        <v>44380</v>
      </c>
      <c r="N88" s="1"/>
      <c r="O88" s="6" t="s">
        <v>3</v>
      </c>
      <c r="P88" s="7"/>
      <c r="Q88" s="5">
        <f t="shared" si="31"/>
        <v>0</v>
      </c>
      <c r="R88" s="186"/>
      <c r="S88" s="6" t="s">
        <v>3</v>
      </c>
      <c r="T88" s="7"/>
      <c r="U88" s="5">
        <f t="shared" si="32"/>
        <v>0</v>
      </c>
      <c r="V88" s="186"/>
    </row>
    <row r="89" spans="1:22" x14ac:dyDescent="0.15">
      <c r="A89" s="1"/>
      <c r="B89" s="6" t="s">
        <v>3</v>
      </c>
      <c r="C89" s="6">
        <v>200</v>
      </c>
      <c r="D89" s="6"/>
      <c r="E89" s="4"/>
      <c r="F89" s="220">
        <f t="shared" si="33"/>
        <v>200</v>
      </c>
      <c r="G89" s="211">
        <v>44380</v>
      </c>
      <c r="H89" s="6" t="s">
        <v>3</v>
      </c>
      <c r="I89" s="188"/>
      <c r="J89" s="6"/>
      <c r="K89" s="202"/>
      <c r="L89" s="220">
        <f t="shared" si="30"/>
        <v>0</v>
      </c>
      <c r="N89" s="1"/>
      <c r="O89" s="6" t="s">
        <v>3</v>
      </c>
      <c r="P89" s="7"/>
      <c r="Q89" s="5">
        <f t="shared" si="31"/>
        <v>0</v>
      </c>
      <c r="R89" s="186"/>
      <c r="S89" s="6" t="s">
        <v>3</v>
      </c>
      <c r="T89" s="7"/>
      <c r="U89" s="5">
        <f t="shared" si="32"/>
        <v>0</v>
      </c>
      <c r="V89" s="186"/>
    </row>
    <row r="90" spans="1:22" x14ac:dyDescent="0.15">
      <c r="A90" s="1"/>
      <c r="B90" s="6" t="s">
        <v>766</v>
      </c>
      <c r="C90" s="6">
        <v>128</v>
      </c>
      <c r="D90" s="6">
        <v>128</v>
      </c>
      <c r="E90" s="4">
        <v>128</v>
      </c>
      <c r="F90" s="220">
        <f t="shared" si="33"/>
        <v>384</v>
      </c>
      <c r="G90" s="211">
        <v>44380</v>
      </c>
      <c r="H90" s="6" t="s">
        <v>3</v>
      </c>
      <c r="I90" s="188"/>
      <c r="J90" s="6"/>
      <c r="K90" s="202"/>
      <c r="L90" s="220">
        <f t="shared" si="30"/>
        <v>0</v>
      </c>
      <c r="N90" s="1"/>
      <c r="O90" s="6" t="s">
        <v>3</v>
      </c>
      <c r="P90" s="7"/>
      <c r="Q90" s="5">
        <f t="shared" si="31"/>
        <v>0</v>
      </c>
      <c r="R90" s="186"/>
      <c r="S90" s="6" t="s">
        <v>3</v>
      </c>
      <c r="T90" s="7"/>
      <c r="U90" s="5">
        <f t="shared" si="32"/>
        <v>0</v>
      </c>
      <c r="V90" s="186"/>
    </row>
    <row r="91" spans="1:22" x14ac:dyDescent="0.15">
      <c r="A91" s="1"/>
      <c r="B91" s="6" t="s">
        <v>3</v>
      </c>
      <c r="C91" s="6">
        <v>199</v>
      </c>
      <c r="D91" s="6"/>
      <c r="E91" s="4"/>
      <c r="F91" s="220">
        <f t="shared" si="33"/>
        <v>199</v>
      </c>
      <c r="G91" s="211">
        <v>44384</v>
      </c>
      <c r="H91" s="6" t="s">
        <v>3</v>
      </c>
      <c r="I91" s="188"/>
      <c r="J91" s="6"/>
      <c r="K91" s="202"/>
      <c r="L91" s="220">
        <f t="shared" si="30"/>
        <v>0</v>
      </c>
      <c r="N91" s="1"/>
      <c r="O91" s="6" t="s">
        <v>3</v>
      </c>
      <c r="P91" s="7"/>
      <c r="Q91" s="5">
        <f t="shared" si="31"/>
        <v>0</v>
      </c>
      <c r="R91" s="186"/>
      <c r="S91" s="6" t="s">
        <v>3</v>
      </c>
      <c r="T91" s="7"/>
      <c r="U91" s="5">
        <f t="shared" si="32"/>
        <v>0</v>
      </c>
      <c r="V91" s="186"/>
    </row>
    <row r="92" spans="1:22" x14ac:dyDescent="0.15">
      <c r="A92" s="1"/>
      <c r="B92" s="6" t="s">
        <v>801</v>
      </c>
      <c r="C92" s="6">
        <v>1</v>
      </c>
      <c r="D92" s="6">
        <v>1</v>
      </c>
      <c r="E92" s="4">
        <v>1</v>
      </c>
      <c r="F92" s="220">
        <f t="shared" si="33"/>
        <v>3</v>
      </c>
      <c r="G92" s="248">
        <v>44384</v>
      </c>
      <c r="H92" s="6" t="s">
        <v>3</v>
      </c>
      <c r="I92" s="188"/>
      <c r="J92" s="6"/>
      <c r="K92" s="202"/>
      <c r="L92" s="220">
        <f t="shared" si="30"/>
        <v>0</v>
      </c>
      <c r="N92" s="1"/>
      <c r="O92" s="6" t="s">
        <v>3</v>
      </c>
      <c r="P92" s="7"/>
      <c r="Q92" s="5">
        <f t="shared" si="31"/>
        <v>0</v>
      </c>
      <c r="R92" s="186"/>
      <c r="S92" s="6" t="s">
        <v>3</v>
      </c>
      <c r="T92" s="7"/>
      <c r="U92" s="5">
        <f t="shared" si="32"/>
        <v>0</v>
      </c>
      <c r="V92" s="186"/>
    </row>
    <row r="93" spans="1:22" x14ac:dyDescent="0.15">
      <c r="A93" s="1"/>
      <c r="B93" s="6" t="s">
        <v>766</v>
      </c>
      <c r="C93" s="6">
        <v>192</v>
      </c>
      <c r="D93" s="6">
        <v>192</v>
      </c>
      <c r="E93" s="4">
        <v>192</v>
      </c>
      <c r="F93" s="220">
        <f t="shared" si="33"/>
        <v>576</v>
      </c>
      <c r="G93" s="211">
        <v>44385</v>
      </c>
      <c r="H93" s="6" t="s">
        <v>3</v>
      </c>
      <c r="I93" s="188"/>
      <c r="J93" s="6"/>
      <c r="K93" s="202"/>
      <c r="L93" s="220">
        <f t="shared" si="30"/>
        <v>0</v>
      </c>
      <c r="N93" s="1"/>
      <c r="O93" s="6" t="s">
        <v>3</v>
      </c>
      <c r="P93" s="7"/>
      <c r="Q93" s="5">
        <f t="shared" si="31"/>
        <v>0</v>
      </c>
      <c r="R93" s="186"/>
      <c r="S93" s="6" t="s">
        <v>3</v>
      </c>
      <c r="T93" s="7"/>
      <c r="U93" s="5">
        <f t="shared" si="32"/>
        <v>0</v>
      </c>
      <c r="V93" s="186"/>
    </row>
    <row r="94" spans="1:22" x14ac:dyDescent="0.15">
      <c r="A94" s="1"/>
      <c r="B94" s="6" t="s">
        <v>3</v>
      </c>
      <c r="C94" s="6">
        <v>128</v>
      </c>
      <c r="D94" s="225">
        <v>128</v>
      </c>
      <c r="E94" s="226">
        <v>128</v>
      </c>
      <c r="F94" s="220">
        <f t="shared" si="33"/>
        <v>384</v>
      </c>
      <c r="G94" s="211">
        <v>44390</v>
      </c>
      <c r="H94" s="6" t="s">
        <v>3</v>
      </c>
      <c r="I94" s="188"/>
      <c r="J94" s="189"/>
      <c r="K94" s="203"/>
      <c r="L94" s="220">
        <f t="shared" si="30"/>
        <v>0</v>
      </c>
      <c r="M94" s="211"/>
      <c r="N94" s="1"/>
      <c r="O94" s="6" t="s">
        <v>3</v>
      </c>
      <c r="P94" s="8"/>
      <c r="Q94" s="5">
        <f t="shared" si="31"/>
        <v>0</v>
      </c>
      <c r="R94" s="186"/>
      <c r="S94" s="6" t="s">
        <v>3</v>
      </c>
      <c r="T94" s="8"/>
      <c r="U94" s="5">
        <f t="shared" si="32"/>
        <v>0</v>
      </c>
      <c r="V94" s="186"/>
    </row>
    <row r="95" spans="1:22" x14ac:dyDescent="0.15">
      <c r="A95" s="1"/>
      <c r="B95" s="6" t="s">
        <v>3</v>
      </c>
      <c r="C95" s="6"/>
      <c r="D95" s="189"/>
      <c r="E95" s="190"/>
      <c r="F95" s="220">
        <f t="shared" si="33"/>
        <v>0</v>
      </c>
      <c r="H95" s="6" t="s">
        <v>3</v>
      </c>
      <c r="I95" s="188"/>
      <c r="J95" s="189"/>
      <c r="K95" s="203"/>
      <c r="L95" s="220">
        <f t="shared" si="30"/>
        <v>0</v>
      </c>
      <c r="N95" s="1"/>
      <c r="O95" s="6" t="s">
        <v>3</v>
      </c>
      <c r="P95" s="8"/>
      <c r="Q95" s="5">
        <f t="shared" si="31"/>
        <v>0</v>
      </c>
      <c r="R95" s="186"/>
      <c r="S95" s="6" t="s">
        <v>3</v>
      </c>
      <c r="T95" s="8"/>
      <c r="U95" s="5">
        <f t="shared" si="32"/>
        <v>0</v>
      </c>
      <c r="V95" s="186"/>
    </row>
    <row r="96" spans="1:22" x14ac:dyDescent="0.15">
      <c r="A96" s="1"/>
      <c r="B96" s="6" t="s">
        <v>3</v>
      </c>
      <c r="C96" s="6"/>
      <c r="D96" s="189"/>
      <c r="E96" s="190"/>
      <c r="F96" s="220">
        <f t="shared" si="33"/>
        <v>0</v>
      </c>
      <c r="H96" s="6" t="s">
        <v>3</v>
      </c>
      <c r="I96" s="188"/>
      <c r="J96" s="189"/>
      <c r="K96" s="203"/>
      <c r="L96" s="220">
        <f t="shared" si="30"/>
        <v>0</v>
      </c>
      <c r="N96" s="1"/>
      <c r="O96" s="6" t="s">
        <v>3</v>
      </c>
      <c r="P96" s="8"/>
      <c r="Q96" s="5">
        <f t="shared" si="31"/>
        <v>0</v>
      </c>
      <c r="R96" s="186"/>
      <c r="S96" s="6" t="s">
        <v>3</v>
      </c>
      <c r="T96" s="8"/>
      <c r="U96" s="5">
        <f t="shared" si="32"/>
        <v>0</v>
      </c>
      <c r="V96" s="186"/>
    </row>
    <row r="97" spans="1:22" ht="14.25" thickBot="1" x14ac:dyDescent="0.2">
      <c r="A97" s="1"/>
      <c r="B97" s="9" t="s">
        <v>3</v>
      </c>
      <c r="C97" s="9"/>
      <c r="D97" s="191"/>
      <c r="E97" s="192"/>
      <c r="F97" s="220">
        <f t="shared" si="33"/>
        <v>0</v>
      </c>
      <c r="H97" s="9" t="s">
        <v>3</v>
      </c>
      <c r="I97" s="198"/>
      <c r="J97" s="199"/>
      <c r="K97" s="204"/>
      <c r="L97" s="220">
        <f t="shared" si="30"/>
        <v>0</v>
      </c>
      <c r="N97" s="1"/>
      <c r="O97" s="9" t="s">
        <v>3</v>
      </c>
      <c r="P97" s="10"/>
      <c r="Q97" s="5">
        <f t="shared" si="31"/>
        <v>0</v>
      </c>
      <c r="R97" s="186"/>
      <c r="S97" s="9" t="s">
        <v>3</v>
      </c>
      <c r="T97" s="10"/>
      <c r="U97" s="5">
        <f t="shared" si="32"/>
        <v>0</v>
      </c>
      <c r="V97" s="186"/>
    </row>
    <row r="98" spans="1:22" ht="14.25" thickBot="1" x14ac:dyDescent="0.2">
      <c r="A98" s="1"/>
      <c r="B98" s="11" t="s">
        <v>4</v>
      </c>
      <c r="C98" s="193">
        <f>SUM(C87:C97)</f>
        <v>1150</v>
      </c>
      <c r="D98" s="193">
        <f>SUM(D87:D97)</f>
        <v>792</v>
      </c>
      <c r="E98" s="193">
        <f>SUM(E87:E97)</f>
        <v>926</v>
      </c>
      <c r="F98" s="221">
        <f>SUM(F87:F97)</f>
        <v>2868</v>
      </c>
      <c r="H98" s="11" t="s">
        <v>4</v>
      </c>
      <c r="I98" s="193">
        <f>SUM(I87:I97)</f>
        <v>399</v>
      </c>
      <c r="J98" s="193">
        <f>SUM(J87:J97)</f>
        <v>0</v>
      </c>
      <c r="K98" s="193">
        <f t="shared" ref="K98" si="34">SUM(K87:K97)</f>
        <v>450</v>
      </c>
      <c r="L98" s="221">
        <f>SUM(L87:L97)</f>
        <v>849</v>
      </c>
      <c r="N98" s="1"/>
      <c r="O98" s="11" t="s">
        <v>4</v>
      </c>
      <c r="P98" s="12">
        <f>SUM(P87:P97)</f>
        <v>0</v>
      </c>
      <c r="Q98" s="13">
        <f>SUM(Q87:Q97)</f>
        <v>0</v>
      </c>
      <c r="S98" s="11" t="s">
        <v>4</v>
      </c>
      <c r="T98" s="12">
        <f>SUM(T87:T97)</f>
        <v>2380</v>
      </c>
      <c r="U98" s="13">
        <f>SUM(U87:U97)</f>
        <v>2380</v>
      </c>
    </row>
    <row r="99" spans="1:22" x14ac:dyDescent="0.15">
      <c r="A99" s="1"/>
      <c r="B99" s="178" t="s">
        <v>161</v>
      </c>
      <c r="C99" s="229">
        <f>8+1+44+13+6</f>
        <v>72</v>
      </c>
      <c r="D99" s="227">
        <f>8+1+9</f>
        <v>18</v>
      </c>
      <c r="E99" s="207">
        <f>8+1+5</f>
        <v>14</v>
      </c>
      <c r="F99" s="220">
        <f t="shared" ref="F99:F122" si="35">SUM(C99:E99)</f>
        <v>104</v>
      </c>
      <c r="G99" s="211">
        <v>44378</v>
      </c>
      <c r="H99" s="6" t="s">
        <v>794</v>
      </c>
      <c r="I99" s="196">
        <v>200</v>
      </c>
      <c r="J99" s="6"/>
      <c r="K99" s="4"/>
      <c r="L99" s="220">
        <f t="shared" ref="L99:L120" si="36">SUM(I99:K99)</f>
        <v>200</v>
      </c>
      <c r="M99" s="211">
        <v>44380</v>
      </c>
      <c r="N99" s="1"/>
      <c r="O99" s="4"/>
      <c r="P99" s="44"/>
      <c r="Q99" s="14">
        <f t="shared" ref="Q99:Q122" si="37">SUM(P99:P99)</f>
        <v>0</v>
      </c>
      <c r="R99" s="186"/>
      <c r="S99" s="4" t="s">
        <v>745</v>
      </c>
      <c r="T99" s="44">
        <v>128</v>
      </c>
      <c r="U99" s="14">
        <f t="shared" ref="U99:U122" si="38">SUM(T99:T99)</f>
        <v>128</v>
      </c>
      <c r="V99" s="185">
        <v>44378</v>
      </c>
    </row>
    <row r="100" spans="1:22" x14ac:dyDescent="0.15">
      <c r="A100" s="1"/>
      <c r="B100" s="178" t="s">
        <v>764</v>
      </c>
      <c r="C100" s="207">
        <v>70</v>
      </c>
      <c r="D100" s="228">
        <v>24</v>
      </c>
      <c r="E100" s="189">
        <v>24</v>
      </c>
      <c r="F100" s="220">
        <f t="shared" si="35"/>
        <v>118</v>
      </c>
      <c r="G100" s="211">
        <v>44380</v>
      </c>
      <c r="H100" s="6" t="s">
        <v>745</v>
      </c>
      <c r="I100" s="216">
        <v>199</v>
      </c>
      <c r="J100" s="189"/>
      <c r="K100" s="189"/>
      <c r="L100" s="220">
        <f t="shared" si="36"/>
        <v>199</v>
      </c>
      <c r="M100" s="211">
        <v>44384</v>
      </c>
      <c r="N100" s="1"/>
      <c r="O100" s="4"/>
      <c r="P100" s="15"/>
      <c r="Q100" s="14">
        <f t="shared" si="37"/>
        <v>0</v>
      </c>
      <c r="R100" s="186"/>
      <c r="S100" s="4" t="s">
        <v>745</v>
      </c>
      <c r="T100" s="15">
        <v>128</v>
      </c>
      <c r="U100" s="14">
        <f t="shared" si="38"/>
        <v>128</v>
      </c>
      <c r="V100" s="185">
        <v>44380</v>
      </c>
    </row>
    <row r="101" spans="1:22" x14ac:dyDescent="0.15">
      <c r="A101" s="1"/>
      <c r="B101" s="178" t="s">
        <v>161</v>
      </c>
      <c r="C101" s="207">
        <f>15+1+1+16+3+1</f>
        <v>37</v>
      </c>
      <c r="D101" s="228">
        <f>2+1+1</f>
        <v>4</v>
      </c>
      <c r="E101" s="189">
        <f>2+1+2+1+1</f>
        <v>7</v>
      </c>
      <c r="F101" s="220">
        <f t="shared" si="35"/>
        <v>48</v>
      </c>
      <c r="G101" s="248">
        <v>44379</v>
      </c>
      <c r="H101" s="4"/>
      <c r="I101" s="4"/>
      <c r="J101" s="189"/>
      <c r="K101" s="189"/>
      <c r="L101" s="220">
        <f t="shared" si="36"/>
        <v>0</v>
      </c>
      <c r="M101" s="212"/>
      <c r="N101" s="1"/>
      <c r="O101" s="4"/>
      <c r="P101" s="15"/>
      <c r="Q101" s="14">
        <f t="shared" si="37"/>
        <v>0</v>
      </c>
      <c r="R101" s="186"/>
      <c r="S101" s="4" t="s">
        <v>745</v>
      </c>
      <c r="T101" s="15">
        <v>192</v>
      </c>
      <c r="U101" s="14">
        <f t="shared" si="38"/>
        <v>192</v>
      </c>
      <c r="V101" s="185">
        <v>44385</v>
      </c>
    </row>
    <row r="102" spans="1:22" x14ac:dyDescent="0.15">
      <c r="A102" s="1"/>
      <c r="B102" s="178" t="s">
        <v>774</v>
      </c>
      <c r="C102" s="207"/>
      <c r="D102" s="8"/>
      <c r="E102" s="15">
        <v>200</v>
      </c>
      <c r="F102" s="220">
        <f t="shared" si="35"/>
        <v>200</v>
      </c>
      <c r="G102" s="248">
        <v>44380</v>
      </c>
      <c r="H102" s="4"/>
      <c r="I102" s="187"/>
      <c r="J102" s="15"/>
      <c r="K102" s="15"/>
      <c r="L102" s="220">
        <f t="shared" si="36"/>
        <v>0</v>
      </c>
      <c r="N102" s="1"/>
      <c r="O102" s="4"/>
      <c r="P102" s="15"/>
      <c r="Q102" s="14">
        <f t="shared" si="37"/>
        <v>0</v>
      </c>
      <c r="R102" s="186"/>
      <c r="S102" s="4" t="s">
        <v>745</v>
      </c>
      <c r="T102" s="15">
        <v>128</v>
      </c>
      <c r="U102" s="14">
        <f t="shared" si="38"/>
        <v>128</v>
      </c>
      <c r="V102" s="185">
        <v>44390</v>
      </c>
    </row>
    <row r="103" spans="1:22" x14ac:dyDescent="0.15">
      <c r="A103" s="1"/>
      <c r="B103" s="178" t="s">
        <v>795</v>
      </c>
      <c r="C103" s="207">
        <v>-3</v>
      </c>
      <c r="D103" s="8"/>
      <c r="E103" s="15"/>
      <c r="F103" s="220">
        <f t="shared" si="35"/>
        <v>-3</v>
      </c>
      <c r="G103" s="248">
        <v>44379</v>
      </c>
      <c r="H103" s="4"/>
      <c r="I103" s="187"/>
      <c r="J103" s="15"/>
      <c r="K103" s="15"/>
      <c r="L103" s="220">
        <f t="shared" si="36"/>
        <v>0</v>
      </c>
      <c r="N103" s="1"/>
      <c r="O103" s="4"/>
      <c r="P103" s="15"/>
      <c r="Q103" s="14">
        <f t="shared" si="37"/>
        <v>0</v>
      </c>
      <c r="R103" s="186"/>
      <c r="S103" s="4"/>
      <c r="T103" s="15"/>
      <c r="U103" s="14">
        <f t="shared" si="38"/>
        <v>0</v>
      </c>
    </row>
    <row r="104" spans="1:22" x14ac:dyDescent="0.15">
      <c r="A104" s="1"/>
      <c r="B104" s="178" t="s">
        <v>161</v>
      </c>
      <c r="C104" s="207">
        <f>4+11</f>
        <v>15</v>
      </c>
      <c r="D104" s="228">
        <v>2</v>
      </c>
      <c r="E104" s="15"/>
      <c r="F104" s="220">
        <f t="shared" si="35"/>
        <v>17</v>
      </c>
      <c r="G104" s="248">
        <v>44380</v>
      </c>
      <c r="H104" s="4"/>
      <c r="I104" s="187"/>
      <c r="J104" s="15"/>
      <c r="K104" s="15"/>
      <c r="L104" s="220">
        <f t="shared" si="36"/>
        <v>0</v>
      </c>
      <c r="N104" s="1"/>
      <c r="O104" s="4"/>
      <c r="P104" s="15"/>
      <c r="Q104" s="14">
        <f t="shared" si="37"/>
        <v>0</v>
      </c>
      <c r="R104" s="186"/>
      <c r="S104" s="4"/>
      <c r="T104" s="15"/>
      <c r="U104" s="14">
        <f t="shared" si="38"/>
        <v>0</v>
      </c>
    </row>
    <row r="105" spans="1:22" x14ac:dyDescent="0.15">
      <c r="A105" s="1"/>
      <c r="B105" s="178" t="s">
        <v>796</v>
      </c>
      <c r="C105" s="189">
        <v>100</v>
      </c>
      <c r="D105" s="8">
        <v>24</v>
      </c>
      <c r="E105" s="15">
        <v>24</v>
      </c>
      <c r="F105" s="220">
        <f t="shared" si="35"/>
        <v>148</v>
      </c>
      <c r="G105" s="211">
        <v>44383</v>
      </c>
      <c r="H105" s="4"/>
      <c r="I105" s="187"/>
      <c r="J105" s="15"/>
      <c r="K105" s="15"/>
      <c r="L105" s="220">
        <f t="shared" si="36"/>
        <v>0</v>
      </c>
      <c r="N105" s="1"/>
      <c r="O105" s="4"/>
      <c r="P105" s="15"/>
      <c r="Q105" s="14">
        <f t="shared" si="37"/>
        <v>0</v>
      </c>
      <c r="R105" s="186"/>
      <c r="S105" s="4"/>
      <c r="T105" s="15"/>
      <c r="U105" s="14">
        <f t="shared" si="38"/>
        <v>0</v>
      </c>
    </row>
    <row r="106" spans="1:22" x14ac:dyDescent="0.15">
      <c r="A106" s="1"/>
      <c r="B106" s="178" t="s">
        <v>161</v>
      </c>
      <c r="C106" s="207">
        <f>61+12+14+1+2+13+3+12+28</f>
        <v>146</v>
      </c>
      <c r="D106" s="8">
        <f>4+4+1+3+3+1</f>
        <v>16</v>
      </c>
      <c r="E106" s="15">
        <f>3+1+1+1+3+1+3</f>
        <v>13</v>
      </c>
      <c r="F106" s="220">
        <f t="shared" si="35"/>
        <v>175</v>
      </c>
      <c r="G106" s="211">
        <v>44382</v>
      </c>
      <c r="H106" s="4"/>
      <c r="I106" s="187"/>
      <c r="J106" s="15"/>
      <c r="K106" s="15"/>
      <c r="L106" s="220">
        <f t="shared" si="36"/>
        <v>0</v>
      </c>
      <c r="N106" s="1"/>
      <c r="O106" s="4"/>
      <c r="P106" s="15"/>
      <c r="Q106" s="14">
        <f t="shared" si="37"/>
        <v>0</v>
      </c>
      <c r="R106" s="186"/>
      <c r="S106" s="4"/>
      <c r="T106" s="15"/>
      <c r="U106" s="14">
        <f t="shared" si="38"/>
        <v>0</v>
      </c>
    </row>
    <row r="107" spans="1:22" x14ac:dyDescent="0.15">
      <c r="A107" s="1"/>
      <c r="B107" s="178" t="s">
        <v>797</v>
      </c>
      <c r="C107" s="207">
        <v>1</v>
      </c>
      <c r="D107" s="8">
        <v>1</v>
      </c>
      <c r="E107" s="15">
        <v>1</v>
      </c>
      <c r="F107" s="220">
        <f t="shared" si="35"/>
        <v>3</v>
      </c>
      <c r="G107" s="211">
        <v>44384</v>
      </c>
      <c r="H107" s="4"/>
      <c r="I107" s="187"/>
      <c r="J107" s="15"/>
      <c r="K107" s="15"/>
      <c r="L107" s="220">
        <f t="shared" si="36"/>
        <v>0</v>
      </c>
      <c r="N107" s="1"/>
      <c r="O107" s="4"/>
      <c r="P107" s="15"/>
      <c r="Q107" s="14">
        <f t="shared" si="37"/>
        <v>0</v>
      </c>
      <c r="R107" s="186"/>
      <c r="S107" s="4"/>
      <c r="T107" s="15"/>
      <c r="U107" s="14">
        <f t="shared" si="38"/>
        <v>0</v>
      </c>
    </row>
    <row r="108" spans="1:22" x14ac:dyDescent="0.15">
      <c r="A108" s="1"/>
      <c r="B108" s="178" t="s">
        <v>798</v>
      </c>
      <c r="C108" s="189">
        <v>2</v>
      </c>
      <c r="D108" s="8"/>
      <c r="E108" s="15"/>
      <c r="F108" s="220">
        <f t="shared" si="35"/>
        <v>2</v>
      </c>
      <c r="G108" s="211">
        <v>44385</v>
      </c>
      <c r="H108" s="4"/>
      <c r="I108" s="187"/>
      <c r="J108" s="15"/>
      <c r="K108" s="15"/>
      <c r="L108" s="220">
        <f t="shared" si="36"/>
        <v>0</v>
      </c>
      <c r="N108" s="1"/>
      <c r="O108" s="4"/>
      <c r="P108" s="15"/>
      <c r="Q108" s="14">
        <f t="shared" si="37"/>
        <v>0</v>
      </c>
      <c r="R108" s="186"/>
      <c r="S108" s="4"/>
      <c r="T108" s="15"/>
      <c r="U108" s="14">
        <f t="shared" si="38"/>
        <v>0</v>
      </c>
    </row>
    <row r="109" spans="1:22" x14ac:dyDescent="0.15">
      <c r="A109" s="1"/>
      <c r="B109" s="178" t="s">
        <v>161</v>
      </c>
      <c r="C109" s="207">
        <f>3+1+37+29+3+3+1+2</f>
        <v>79</v>
      </c>
      <c r="D109" s="8">
        <f>4+5+3+1</f>
        <v>13</v>
      </c>
      <c r="E109" s="15">
        <f>2+2+3+1+1</f>
        <v>9</v>
      </c>
      <c r="F109" s="220">
        <f t="shared" si="35"/>
        <v>101</v>
      </c>
      <c r="G109" s="248">
        <v>44383</v>
      </c>
      <c r="H109" s="4"/>
      <c r="I109" s="187"/>
      <c r="J109" s="15"/>
      <c r="K109" s="15"/>
      <c r="L109" s="220">
        <f t="shared" si="36"/>
        <v>0</v>
      </c>
      <c r="N109" s="1"/>
      <c r="O109" s="4"/>
      <c r="P109" s="15"/>
      <c r="Q109" s="14">
        <f t="shared" si="37"/>
        <v>0</v>
      </c>
      <c r="R109" s="186"/>
      <c r="S109" s="4"/>
      <c r="T109" s="15"/>
      <c r="U109" s="14">
        <f t="shared" si="38"/>
        <v>0</v>
      </c>
    </row>
    <row r="110" spans="1:22" x14ac:dyDescent="0.15">
      <c r="A110" s="1"/>
      <c r="B110" s="178" t="s">
        <v>790</v>
      </c>
      <c r="C110" s="205">
        <v>20</v>
      </c>
      <c r="D110" s="8"/>
      <c r="E110" s="15"/>
      <c r="F110" s="220">
        <f t="shared" si="35"/>
        <v>20</v>
      </c>
      <c r="G110" s="211">
        <v>44383</v>
      </c>
      <c r="H110" s="6"/>
      <c r="I110" s="188"/>
      <c r="J110" s="15"/>
      <c r="K110" s="15"/>
      <c r="L110" s="220">
        <f t="shared" si="36"/>
        <v>0</v>
      </c>
      <c r="N110" s="1"/>
      <c r="O110" s="6"/>
      <c r="P110" s="15"/>
      <c r="Q110" s="14">
        <f t="shared" si="37"/>
        <v>0</v>
      </c>
      <c r="R110" s="186"/>
      <c r="S110" s="6"/>
      <c r="T110" s="15"/>
      <c r="U110" s="14">
        <f t="shared" si="38"/>
        <v>0</v>
      </c>
    </row>
    <row r="111" spans="1:22" x14ac:dyDescent="0.15">
      <c r="A111" s="1"/>
      <c r="B111" s="178" t="s">
        <v>800</v>
      </c>
      <c r="C111" s="205">
        <v>1</v>
      </c>
      <c r="D111" s="8">
        <v>1</v>
      </c>
      <c r="E111" s="15">
        <v>1</v>
      </c>
      <c r="F111" s="220">
        <f t="shared" si="35"/>
        <v>3</v>
      </c>
      <c r="G111" s="211">
        <v>44385</v>
      </c>
      <c r="H111" s="6"/>
      <c r="I111" s="188"/>
      <c r="J111" s="15"/>
      <c r="K111" s="15"/>
      <c r="L111" s="220">
        <f t="shared" si="36"/>
        <v>0</v>
      </c>
      <c r="N111" s="1"/>
      <c r="O111" s="6"/>
      <c r="P111" s="15"/>
      <c r="Q111" s="14">
        <f t="shared" si="37"/>
        <v>0</v>
      </c>
      <c r="R111" s="186"/>
      <c r="S111" s="6"/>
      <c r="T111" s="15"/>
      <c r="U111" s="14">
        <f t="shared" si="38"/>
        <v>0</v>
      </c>
    </row>
    <row r="112" spans="1:22" x14ac:dyDescent="0.15">
      <c r="A112" s="1"/>
      <c r="B112" s="178" t="s">
        <v>161</v>
      </c>
      <c r="C112" s="207">
        <f>7+1+2+5+20+1+16+2</f>
        <v>54</v>
      </c>
      <c r="D112" s="8">
        <f>2+1+1+1+1+1</f>
        <v>7</v>
      </c>
      <c r="E112" s="15">
        <f>3+1+1</f>
        <v>5</v>
      </c>
      <c r="F112" s="220">
        <f t="shared" si="35"/>
        <v>66</v>
      </c>
      <c r="G112" s="248">
        <v>44384</v>
      </c>
      <c r="H112" s="4"/>
      <c r="I112" s="187"/>
      <c r="J112" s="15"/>
      <c r="K112" s="15"/>
      <c r="L112" s="220">
        <f t="shared" si="36"/>
        <v>0</v>
      </c>
      <c r="N112" s="1"/>
      <c r="O112" s="4"/>
      <c r="P112" s="15"/>
      <c r="Q112" s="14">
        <f t="shared" si="37"/>
        <v>0</v>
      </c>
      <c r="R112" s="186"/>
      <c r="S112" s="4"/>
      <c r="T112" s="15"/>
      <c r="U112" s="14">
        <f t="shared" si="38"/>
        <v>0</v>
      </c>
    </row>
    <row r="113" spans="1:23" x14ac:dyDescent="0.15">
      <c r="A113" s="1"/>
      <c r="B113" s="178" t="s">
        <v>802</v>
      </c>
      <c r="C113" s="207">
        <v>6</v>
      </c>
      <c r="D113" s="8">
        <v>6</v>
      </c>
      <c r="E113" s="15">
        <v>6</v>
      </c>
      <c r="F113" s="220">
        <f t="shared" si="35"/>
        <v>18</v>
      </c>
      <c r="G113" s="211">
        <v>44386</v>
      </c>
      <c r="H113" s="4"/>
      <c r="I113" s="187"/>
      <c r="J113" s="15"/>
      <c r="K113" s="15"/>
      <c r="L113" s="220">
        <f t="shared" si="36"/>
        <v>0</v>
      </c>
      <c r="N113" s="1"/>
      <c r="O113" s="4"/>
      <c r="P113" s="15"/>
      <c r="Q113" s="14">
        <f t="shared" si="37"/>
        <v>0</v>
      </c>
      <c r="R113" s="186"/>
      <c r="S113" s="4"/>
      <c r="T113" s="15"/>
      <c r="U113" s="14">
        <f t="shared" si="38"/>
        <v>0</v>
      </c>
    </row>
    <row r="114" spans="1:23" x14ac:dyDescent="0.15">
      <c r="A114" s="1"/>
      <c r="B114" s="178" t="s">
        <v>161</v>
      </c>
      <c r="C114" s="207">
        <f>4+1+1+17+12+4+1</f>
        <v>40</v>
      </c>
      <c r="D114" s="8">
        <f>1+1+1+3</f>
        <v>6</v>
      </c>
      <c r="E114" s="15">
        <f>1+1+1</f>
        <v>3</v>
      </c>
      <c r="F114" s="220">
        <f t="shared" si="35"/>
        <v>49</v>
      </c>
      <c r="G114" s="248">
        <v>44385</v>
      </c>
      <c r="H114" s="4"/>
      <c r="I114" s="187"/>
      <c r="J114" s="15"/>
      <c r="K114" s="15"/>
      <c r="L114" s="220">
        <f t="shared" si="36"/>
        <v>0</v>
      </c>
      <c r="N114" s="1"/>
      <c r="O114" s="4"/>
      <c r="P114" s="15"/>
      <c r="Q114" s="14">
        <f t="shared" si="37"/>
        <v>0</v>
      </c>
      <c r="R114" s="186"/>
      <c r="S114" s="4"/>
      <c r="T114" s="15"/>
      <c r="U114" s="14">
        <f t="shared" si="38"/>
        <v>0</v>
      </c>
    </row>
    <row r="115" spans="1:23" x14ac:dyDescent="0.15">
      <c r="A115" s="1"/>
      <c r="B115" s="178" t="s">
        <v>803</v>
      </c>
      <c r="C115" s="205">
        <v>8</v>
      </c>
      <c r="D115" s="8">
        <v>8</v>
      </c>
      <c r="E115" s="15">
        <v>8</v>
      </c>
      <c r="F115" s="220">
        <f t="shared" si="35"/>
        <v>24</v>
      </c>
      <c r="G115" s="211">
        <v>44387</v>
      </c>
      <c r="H115" s="6"/>
      <c r="I115" s="188"/>
      <c r="J115" s="15"/>
      <c r="K115" s="15"/>
      <c r="L115" s="220">
        <f t="shared" si="36"/>
        <v>0</v>
      </c>
      <c r="N115" s="1"/>
      <c r="O115" s="6"/>
      <c r="P115" s="15"/>
      <c r="Q115" s="14">
        <f t="shared" si="37"/>
        <v>0</v>
      </c>
      <c r="R115" s="186"/>
      <c r="S115" s="6"/>
      <c r="T115" s="15"/>
      <c r="U115" s="14">
        <f t="shared" si="38"/>
        <v>0</v>
      </c>
    </row>
    <row r="116" spans="1:23" x14ac:dyDescent="0.15">
      <c r="A116" s="1"/>
      <c r="B116" s="178" t="s">
        <v>161</v>
      </c>
      <c r="C116" s="207">
        <f>9+6+1+2+4+3</f>
        <v>25</v>
      </c>
      <c r="D116" s="8">
        <f>7+1+1+1</f>
        <v>10</v>
      </c>
      <c r="E116" s="15">
        <f>1+1</f>
        <v>2</v>
      </c>
      <c r="F116" s="220">
        <f t="shared" si="35"/>
        <v>37</v>
      </c>
      <c r="G116" s="248">
        <v>44386</v>
      </c>
      <c r="H116" s="4"/>
      <c r="I116" s="187"/>
      <c r="J116" s="15"/>
      <c r="K116" s="15"/>
      <c r="L116" s="220">
        <f t="shared" si="36"/>
        <v>0</v>
      </c>
      <c r="N116" s="1"/>
      <c r="O116" s="4"/>
      <c r="P116" s="15"/>
      <c r="Q116" s="14">
        <f t="shared" si="37"/>
        <v>0</v>
      </c>
      <c r="R116" s="186"/>
      <c r="S116" s="4"/>
      <c r="T116" s="15"/>
      <c r="U116" s="14">
        <f t="shared" si="38"/>
        <v>0</v>
      </c>
    </row>
    <row r="117" spans="1:23" x14ac:dyDescent="0.15">
      <c r="A117" s="1"/>
      <c r="B117" s="178" t="s">
        <v>804</v>
      </c>
      <c r="C117" s="205">
        <v>32</v>
      </c>
      <c r="D117" s="8">
        <v>32</v>
      </c>
      <c r="E117" s="15">
        <v>32</v>
      </c>
      <c r="F117" s="220">
        <f t="shared" si="35"/>
        <v>96</v>
      </c>
      <c r="G117" s="211">
        <v>44390</v>
      </c>
      <c r="H117" s="6"/>
      <c r="I117" s="188"/>
      <c r="J117" s="15"/>
      <c r="K117" s="15"/>
      <c r="L117" s="220">
        <f t="shared" si="36"/>
        <v>0</v>
      </c>
      <c r="N117" s="1"/>
      <c r="O117" s="6"/>
      <c r="P117" s="15"/>
      <c r="Q117" s="14">
        <f t="shared" si="37"/>
        <v>0</v>
      </c>
      <c r="R117" s="186"/>
      <c r="S117" s="6"/>
      <c r="T117" s="15"/>
      <c r="U117" s="14">
        <f t="shared" si="38"/>
        <v>0</v>
      </c>
    </row>
    <row r="118" spans="1:23" x14ac:dyDescent="0.15">
      <c r="A118" s="1"/>
      <c r="B118" s="178" t="s">
        <v>161</v>
      </c>
      <c r="C118" s="207">
        <f>108+2+7+4+3+4+44+1+2+1+2+3+2+1+9+1+2+3+2</f>
        <v>201</v>
      </c>
      <c r="D118" s="8">
        <f>14+3+4+12+2+2+1+2+1+1+7</f>
        <v>49</v>
      </c>
      <c r="E118" s="15">
        <f>4+1+4+3+1+2+1+2+1+1+7</f>
        <v>27</v>
      </c>
      <c r="F118" s="220">
        <f t="shared" si="35"/>
        <v>277</v>
      </c>
      <c r="G118" s="248">
        <v>44389</v>
      </c>
      <c r="H118" s="4"/>
      <c r="I118" s="187"/>
      <c r="J118" s="15"/>
      <c r="K118" s="15"/>
      <c r="L118" s="220">
        <f t="shared" si="36"/>
        <v>0</v>
      </c>
      <c r="N118" s="1"/>
      <c r="O118" s="4"/>
      <c r="P118" s="15"/>
      <c r="Q118" s="14">
        <f t="shared" si="37"/>
        <v>0</v>
      </c>
      <c r="R118" s="186"/>
      <c r="S118" s="4"/>
      <c r="T118" s="15"/>
      <c r="U118" s="14">
        <f t="shared" si="38"/>
        <v>0</v>
      </c>
      <c r="V118" s="186"/>
    </row>
    <row r="119" spans="1:23" x14ac:dyDescent="0.15">
      <c r="A119" s="75"/>
      <c r="B119" s="178" t="s">
        <v>805</v>
      </c>
      <c r="C119" s="207">
        <v>100</v>
      </c>
      <c r="D119" s="8">
        <v>24</v>
      </c>
      <c r="E119" s="15">
        <v>24</v>
      </c>
      <c r="F119" s="220">
        <f t="shared" si="35"/>
        <v>148</v>
      </c>
      <c r="G119" s="211">
        <v>44391</v>
      </c>
      <c r="H119" s="4"/>
      <c r="I119" s="187"/>
      <c r="J119" s="15"/>
      <c r="K119" s="15"/>
      <c r="L119" s="220">
        <f t="shared" si="36"/>
        <v>0</v>
      </c>
      <c r="M119" s="212"/>
      <c r="N119" s="1"/>
      <c r="O119" s="4"/>
      <c r="P119" s="15"/>
      <c r="Q119" s="14">
        <f t="shared" si="37"/>
        <v>0</v>
      </c>
      <c r="R119" s="186"/>
      <c r="S119" s="4"/>
      <c r="T119" s="15"/>
      <c r="U119" s="14">
        <f t="shared" si="38"/>
        <v>0</v>
      </c>
      <c r="V119" s="186"/>
    </row>
    <row r="120" spans="1:23" x14ac:dyDescent="0.15">
      <c r="A120" s="1"/>
      <c r="B120" s="178" t="s">
        <v>806</v>
      </c>
      <c r="C120" s="207">
        <v>10</v>
      </c>
      <c r="D120" s="8">
        <v>10</v>
      </c>
      <c r="E120" s="15">
        <v>10</v>
      </c>
      <c r="F120" s="220">
        <f t="shared" si="35"/>
        <v>30</v>
      </c>
      <c r="G120" s="211">
        <v>44391</v>
      </c>
      <c r="H120" s="4"/>
      <c r="I120" s="187"/>
      <c r="J120" s="15"/>
      <c r="K120" s="15"/>
      <c r="L120" s="220">
        <f t="shared" si="36"/>
        <v>0</v>
      </c>
      <c r="M120" s="212"/>
      <c r="N120" s="1"/>
      <c r="O120" s="4"/>
      <c r="P120" s="15"/>
      <c r="Q120" s="14">
        <f t="shared" si="37"/>
        <v>0</v>
      </c>
      <c r="R120" s="186"/>
      <c r="S120" s="4"/>
      <c r="T120" s="15"/>
      <c r="U120" s="14">
        <f t="shared" si="38"/>
        <v>0</v>
      </c>
      <c r="V120" s="186"/>
    </row>
    <row r="121" spans="1:23" x14ac:dyDescent="0.15">
      <c r="A121" s="1"/>
      <c r="B121" s="178" t="s">
        <v>807</v>
      </c>
      <c r="C121" s="207">
        <v>18</v>
      </c>
      <c r="D121" s="8">
        <v>18</v>
      </c>
      <c r="E121" s="15">
        <v>18</v>
      </c>
      <c r="F121" s="220">
        <f t="shared" si="35"/>
        <v>54</v>
      </c>
      <c r="G121" s="211">
        <v>44391</v>
      </c>
      <c r="H121" s="4"/>
      <c r="I121" s="206"/>
      <c r="J121" s="206"/>
      <c r="K121" s="206"/>
      <c r="L121" s="220">
        <f>SUM(I121:K121)</f>
        <v>0</v>
      </c>
      <c r="M121" s="212"/>
      <c r="N121" s="1"/>
      <c r="O121" s="6"/>
      <c r="P121" s="15"/>
      <c r="Q121" s="14">
        <f t="shared" si="37"/>
        <v>0</v>
      </c>
      <c r="R121" s="186"/>
      <c r="S121" s="6" t="s">
        <v>765</v>
      </c>
      <c r="T121" s="15">
        <f>700-50-36-64-64-64-128-128-128-38</f>
        <v>0</v>
      </c>
      <c r="U121" s="14">
        <f t="shared" si="38"/>
        <v>0</v>
      </c>
      <c r="V121" s="186"/>
      <c r="W121" s="186"/>
    </row>
    <row r="122" spans="1:23" ht="14.25" thickBot="1" x14ac:dyDescent="0.2">
      <c r="A122" s="1"/>
      <c r="B122" s="178" t="s">
        <v>161</v>
      </c>
      <c r="C122" s="230">
        <f>8+14+5+1+9</f>
        <v>37</v>
      </c>
      <c r="D122" s="8">
        <f>4+2</f>
        <v>6</v>
      </c>
      <c r="E122" s="15">
        <f>3+1</f>
        <v>4</v>
      </c>
      <c r="F122" s="220">
        <f t="shared" si="35"/>
        <v>47</v>
      </c>
      <c r="G122" s="248">
        <v>44390</v>
      </c>
      <c r="H122" s="6"/>
      <c r="I122" s="206"/>
      <c r="J122" s="206"/>
      <c r="K122" s="206"/>
      <c r="L122" s="220">
        <f t="shared" ref="L122" si="39">SUM(I122:K122)</f>
        <v>0</v>
      </c>
      <c r="M122" s="212"/>
      <c r="N122" s="1"/>
      <c r="O122" s="6"/>
      <c r="P122" s="15"/>
      <c r="Q122" s="14">
        <f t="shared" si="37"/>
        <v>0</v>
      </c>
      <c r="R122" s="186"/>
      <c r="S122" s="6" t="s">
        <v>760</v>
      </c>
      <c r="T122" s="15">
        <f>60-60</f>
        <v>0</v>
      </c>
      <c r="U122" s="14">
        <f t="shared" si="38"/>
        <v>0</v>
      </c>
      <c r="V122" s="186" t="s">
        <v>761</v>
      </c>
      <c r="W122" s="186"/>
    </row>
    <row r="123" spans="1:23" ht="14.25" thickBot="1" x14ac:dyDescent="0.2">
      <c r="A123" s="1"/>
      <c r="B123" s="3" t="s">
        <v>5</v>
      </c>
      <c r="C123" s="16">
        <f>SUM(C99:C122)</f>
        <v>1071</v>
      </c>
      <c r="D123" s="16">
        <f>SUM(D99:D122)</f>
        <v>279</v>
      </c>
      <c r="E123" s="16">
        <f>SUM(E99:E122)</f>
        <v>432</v>
      </c>
      <c r="F123" s="223">
        <f>SUM(F99:F122)</f>
        <v>1782</v>
      </c>
      <c r="H123" s="3" t="s">
        <v>5</v>
      </c>
      <c r="I123" s="16">
        <f>SUM(I99:I122)</f>
        <v>399</v>
      </c>
      <c r="J123" s="16">
        <f>SUM(J99:J122)</f>
        <v>0</v>
      </c>
      <c r="K123" s="16">
        <f>SUM(K99:K122)</f>
        <v>0</v>
      </c>
      <c r="L123" s="223">
        <f>SUM(L99:L122)</f>
        <v>399</v>
      </c>
      <c r="N123" s="1"/>
      <c r="O123" s="3" t="s">
        <v>5</v>
      </c>
      <c r="P123" s="16">
        <f>SUM(P99:P122)</f>
        <v>0</v>
      </c>
      <c r="Q123" s="17">
        <f>SUM(Q99:Q122)</f>
        <v>0</v>
      </c>
      <c r="S123" s="3" t="s">
        <v>5</v>
      </c>
      <c r="T123" s="16">
        <f>SUM(T99:T122)</f>
        <v>576</v>
      </c>
      <c r="U123" s="17">
        <f>SUM(U99:U122)</f>
        <v>576</v>
      </c>
    </row>
    <row r="124" spans="1:23" ht="14.25" thickBot="1" x14ac:dyDescent="0.2">
      <c r="A124" s="1"/>
      <c r="B124" s="18" t="s">
        <v>6</v>
      </c>
      <c r="C124" s="19">
        <f>C98-C123</f>
        <v>79</v>
      </c>
      <c r="D124" s="19">
        <f>D98-D123</f>
        <v>513</v>
      </c>
      <c r="E124" s="19">
        <f t="shared" ref="E124" si="40">E98-E123</f>
        <v>494</v>
      </c>
      <c r="F124" s="221">
        <f>F98-F123</f>
        <v>1086</v>
      </c>
      <c r="H124" s="18" t="s">
        <v>6</v>
      </c>
      <c r="I124" s="19">
        <f>I98-I123</f>
        <v>0</v>
      </c>
      <c r="J124" s="19">
        <f>J98-J123</f>
        <v>0</v>
      </c>
      <c r="K124" s="19">
        <f t="shared" ref="K124" si="41">K98-K123</f>
        <v>450</v>
      </c>
      <c r="L124" s="221">
        <f>L98-L123</f>
        <v>450</v>
      </c>
      <c r="N124" s="1"/>
      <c r="O124" s="18" t="s">
        <v>6</v>
      </c>
      <c r="P124" s="19">
        <f>P98-P123</f>
        <v>0</v>
      </c>
      <c r="Q124" s="13">
        <f>Q98-Q123</f>
        <v>0</v>
      </c>
      <c r="S124" s="18" t="s">
        <v>6</v>
      </c>
      <c r="T124" s="19">
        <f>T98-T123</f>
        <v>1804</v>
      </c>
      <c r="U124" s="13">
        <f>U98-U123</f>
        <v>1804</v>
      </c>
    </row>
    <row r="127" spans="1:23" ht="18" thickBot="1" x14ac:dyDescent="0.25">
      <c r="A127" s="27" t="s">
        <v>739</v>
      </c>
      <c r="B127" s="28"/>
      <c r="C127" s="28"/>
      <c r="D127" s="28"/>
      <c r="E127" s="28"/>
      <c r="F127" s="218"/>
      <c r="H127" s="27" t="s">
        <v>740</v>
      </c>
      <c r="I127" s="28"/>
      <c r="J127" s="28"/>
      <c r="K127" s="28"/>
      <c r="L127" s="218"/>
      <c r="O127" s="181" t="s">
        <v>737</v>
      </c>
      <c r="P127" s="182"/>
      <c r="Q127" s="182"/>
      <c r="R127" s="183"/>
      <c r="S127" s="181" t="s">
        <v>733</v>
      </c>
      <c r="T127" s="182"/>
      <c r="U127" s="182"/>
      <c r="V127" s="183"/>
    </row>
    <row r="128" spans="1:23" ht="14.25" thickBot="1" x14ac:dyDescent="0.2">
      <c r="A128" s="1"/>
      <c r="B128" s="2"/>
      <c r="C128" s="194" t="s">
        <v>734</v>
      </c>
      <c r="D128" s="195" t="s">
        <v>706</v>
      </c>
      <c r="E128" s="2" t="s">
        <v>735</v>
      </c>
      <c r="F128" s="219" t="s">
        <v>1</v>
      </c>
      <c r="H128" s="2"/>
      <c r="I128" s="197" t="s">
        <v>734</v>
      </c>
      <c r="J128" s="195" t="s">
        <v>706</v>
      </c>
      <c r="K128" s="201" t="s">
        <v>735</v>
      </c>
      <c r="L128" s="219" t="s">
        <v>1</v>
      </c>
      <c r="O128" s="2"/>
      <c r="P128" s="3" t="s">
        <v>722</v>
      </c>
      <c r="Q128" s="2" t="s">
        <v>1</v>
      </c>
      <c r="S128" s="2"/>
      <c r="T128" s="3" t="s">
        <v>722</v>
      </c>
      <c r="U128" s="2" t="s">
        <v>1</v>
      </c>
    </row>
    <row r="129" spans="1:22" x14ac:dyDescent="0.15">
      <c r="A129" s="1"/>
      <c r="B129" s="164" t="s">
        <v>26</v>
      </c>
      <c r="C129" s="200">
        <f>C124</f>
        <v>79</v>
      </c>
      <c r="D129" s="164">
        <f t="shared" ref="D129:E129" si="42">D124</f>
        <v>513</v>
      </c>
      <c r="E129" s="164">
        <f t="shared" si="42"/>
        <v>494</v>
      </c>
      <c r="F129" s="222">
        <f>SUM(C129:E129)</f>
        <v>1086</v>
      </c>
      <c r="G129" s="210"/>
      <c r="H129" s="164" t="s">
        <v>26</v>
      </c>
      <c r="I129" s="200">
        <f>I124</f>
        <v>0</v>
      </c>
      <c r="J129" s="164">
        <f t="shared" ref="J129:K129" si="43">J124</f>
        <v>0</v>
      </c>
      <c r="K129" s="200">
        <f t="shared" si="43"/>
        <v>450</v>
      </c>
      <c r="L129" s="222">
        <f t="shared" ref="L129:L139" si="44">SUM(I129:K129)</f>
        <v>450</v>
      </c>
      <c r="M129" s="210"/>
      <c r="O129" s="171" t="s">
        <v>26</v>
      </c>
      <c r="P129" s="200">
        <f>P124</f>
        <v>0</v>
      </c>
      <c r="Q129" s="180">
        <f t="shared" ref="Q129:Q139" si="45">SUM(P129:P129)</f>
        <v>0</v>
      </c>
      <c r="R129" s="185"/>
      <c r="S129" s="43" t="s">
        <v>26</v>
      </c>
      <c r="T129" s="38">
        <f>T124</f>
        <v>1804</v>
      </c>
      <c r="U129" s="39">
        <f t="shared" ref="U129:U139" si="46">SUM(T129:T129)</f>
        <v>1804</v>
      </c>
      <c r="V129" s="184"/>
    </row>
    <row r="130" spans="1:22" x14ac:dyDescent="0.15">
      <c r="A130" s="1"/>
      <c r="B130" s="6" t="s">
        <v>811</v>
      </c>
      <c r="C130" s="6">
        <v>26</v>
      </c>
      <c r="D130" s="6">
        <v>10</v>
      </c>
      <c r="E130" s="4">
        <v>19</v>
      </c>
      <c r="F130" s="220">
        <f t="shared" ref="F130" si="47">SUM(C130:E130)</f>
        <v>55</v>
      </c>
      <c r="G130" s="211">
        <v>44392</v>
      </c>
      <c r="H130" s="6" t="s">
        <v>3</v>
      </c>
      <c r="I130" s="188"/>
      <c r="J130" s="6"/>
      <c r="K130" s="202"/>
      <c r="L130" s="220">
        <f t="shared" si="44"/>
        <v>0</v>
      </c>
      <c r="M130" s="211"/>
      <c r="O130" s="6" t="s">
        <v>3</v>
      </c>
      <c r="P130" s="7"/>
      <c r="Q130" s="5">
        <f t="shared" si="45"/>
        <v>0</v>
      </c>
      <c r="R130" s="186"/>
      <c r="S130" s="6" t="s">
        <v>3</v>
      </c>
      <c r="T130" s="7"/>
      <c r="U130" s="5">
        <f t="shared" si="46"/>
        <v>0</v>
      </c>
      <c r="V130" s="186"/>
    </row>
    <row r="131" spans="1:22" x14ac:dyDescent="0.15">
      <c r="A131" s="1"/>
      <c r="B131" s="6" t="s">
        <v>3</v>
      </c>
      <c r="C131" s="6">
        <v>192</v>
      </c>
      <c r="D131" s="6">
        <v>192</v>
      </c>
      <c r="E131" s="4">
        <v>192</v>
      </c>
      <c r="F131" s="220">
        <f t="shared" ref="F131:F139" si="48">SUM(C131:E131)</f>
        <v>576</v>
      </c>
      <c r="G131" s="211">
        <v>44391</v>
      </c>
      <c r="H131" s="6" t="s">
        <v>3</v>
      </c>
      <c r="I131" s="188"/>
      <c r="J131" s="6"/>
      <c r="K131" s="202"/>
      <c r="L131" s="220">
        <f t="shared" si="44"/>
        <v>0</v>
      </c>
      <c r="O131" s="6" t="s">
        <v>3</v>
      </c>
      <c r="P131" s="7"/>
      <c r="Q131" s="5">
        <f t="shared" si="45"/>
        <v>0</v>
      </c>
      <c r="R131" s="186"/>
      <c r="S131" s="6" t="s">
        <v>3</v>
      </c>
      <c r="T131" s="7"/>
      <c r="U131" s="5">
        <f t="shared" si="46"/>
        <v>0</v>
      </c>
      <c r="V131" s="186"/>
    </row>
    <row r="132" spans="1:22" x14ac:dyDescent="0.15">
      <c r="A132" s="1"/>
      <c r="B132" s="6" t="s">
        <v>3</v>
      </c>
      <c r="C132" s="6">
        <v>192</v>
      </c>
      <c r="D132" s="6">
        <v>192</v>
      </c>
      <c r="E132" s="4">
        <v>192</v>
      </c>
      <c r="F132" s="220">
        <f t="shared" si="48"/>
        <v>576</v>
      </c>
      <c r="G132" s="211">
        <v>44393</v>
      </c>
      <c r="H132" s="6" t="s">
        <v>3</v>
      </c>
      <c r="I132" s="188"/>
      <c r="J132" s="189"/>
      <c r="K132" s="203"/>
      <c r="L132" s="220">
        <f t="shared" si="44"/>
        <v>0</v>
      </c>
      <c r="M132" s="211"/>
      <c r="O132" s="6" t="s">
        <v>3</v>
      </c>
      <c r="P132" s="7"/>
      <c r="Q132" s="5">
        <f t="shared" si="45"/>
        <v>0</v>
      </c>
      <c r="R132" s="186"/>
      <c r="S132" s="6" t="s">
        <v>3</v>
      </c>
      <c r="T132" s="7"/>
      <c r="U132" s="5">
        <f t="shared" si="46"/>
        <v>0</v>
      </c>
      <c r="V132" s="186"/>
    </row>
    <row r="133" spans="1:22" x14ac:dyDescent="0.15">
      <c r="A133" s="1"/>
      <c r="B133" s="6" t="s">
        <v>3</v>
      </c>
      <c r="C133" s="6"/>
      <c r="D133" s="6"/>
      <c r="E133" s="4"/>
      <c r="F133" s="220">
        <f t="shared" si="48"/>
        <v>0</v>
      </c>
      <c r="H133" s="6" t="s">
        <v>3</v>
      </c>
      <c r="I133" s="188"/>
      <c r="J133" s="6"/>
      <c r="K133" s="202"/>
      <c r="L133" s="220">
        <f t="shared" si="44"/>
        <v>0</v>
      </c>
      <c r="O133" s="6" t="s">
        <v>3</v>
      </c>
      <c r="P133" s="7"/>
      <c r="Q133" s="5">
        <f t="shared" si="45"/>
        <v>0</v>
      </c>
      <c r="R133" s="186"/>
      <c r="S133" s="6" t="s">
        <v>3</v>
      </c>
      <c r="T133" s="7"/>
      <c r="U133" s="5">
        <f t="shared" si="46"/>
        <v>0</v>
      </c>
      <c r="V133" s="186"/>
    </row>
    <row r="134" spans="1:22" x14ac:dyDescent="0.15">
      <c r="A134" s="1"/>
      <c r="B134" s="6" t="s">
        <v>3</v>
      </c>
      <c r="C134" s="6">
        <v>384</v>
      </c>
      <c r="D134" s="6">
        <v>384</v>
      </c>
      <c r="E134" s="4">
        <v>384</v>
      </c>
      <c r="F134" s="220">
        <f t="shared" si="48"/>
        <v>1152</v>
      </c>
      <c r="G134" s="211">
        <v>44394</v>
      </c>
      <c r="H134" s="6" t="s">
        <v>3</v>
      </c>
      <c r="I134" s="188"/>
      <c r="J134" s="6"/>
      <c r="K134" s="202"/>
      <c r="L134" s="220">
        <f t="shared" si="44"/>
        <v>0</v>
      </c>
      <c r="O134" s="6" t="s">
        <v>3</v>
      </c>
      <c r="P134" s="7"/>
      <c r="Q134" s="5">
        <f t="shared" si="45"/>
        <v>0</v>
      </c>
      <c r="R134" s="186"/>
      <c r="S134" s="6" t="s">
        <v>3</v>
      </c>
      <c r="T134" s="7"/>
      <c r="U134" s="5">
        <f t="shared" si="46"/>
        <v>0</v>
      </c>
      <c r="V134" s="186"/>
    </row>
    <row r="135" spans="1:22" x14ac:dyDescent="0.15">
      <c r="A135" s="1"/>
      <c r="B135" s="6" t="s">
        <v>3</v>
      </c>
      <c r="C135" s="6"/>
      <c r="D135" s="6"/>
      <c r="E135" s="4"/>
      <c r="F135" s="220">
        <f t="shared" si="48"/>
        <v>0</v>
      </c>
      <c r="H135" s="6" t="s">
        <v>3</v>
      </c>
      <c r="I135" s="188"/>
      <c r="J135" s="6"/>
      <c r="K135" s="202"/>
      <c r="L135" s="220">
        <f t="shared" si="44"/>
        <v>0</v>
      </c>
      <c r="O135" s="6" t="s">
        <v>3</v>
      </c>
      <c r="P135" s="7"/>
      <c r="Q135" s="5">
        <f t="shared" si="45"/>
        <v>0</v>
      </c>
      <c r="R135" s="186"/>
      <c r="S135" s="6" t="s">
        <v>3</v>
      </c>
      <c r="T135" s="7"/>
      <c r="U135" s="5">
        <f t="shared" si="46"/>
        <v>0</v>
      </c>
      <c r="V135" s="186"/>
    </row>
    <row r="136" spans="1:22" x14ac:dyDescent="0.15">
      <c r="A136" s="1"/>
      <c r="B136" s="6" t="s">
        <v>3</v>
      </c>
      <c r="C136" s="6">
        <v>256</v>
      </c>
      <c r="D136" s="225">
        <v>256</v>
      </c>
      <c r="E136" s="226">
        <v>256</v>
      </c>
      <c r="F136" s="220">
        <f t="shared" si="48"/>
        <v>768</v>
      </c>
      <c r="G136" s="211">
        <v>44397</v>
      </c>
      <c r="H136" s="6" t="s">
        <v>3</v>
      </c>
      <c r="I136" s="188"/>
      <c r="J136" s="189"/>
      <c r="K136" s="203"/>
      <c r="L136" s="220">
        <f t="shared" si="44"/>
        <v>0</v>
      </c>
      <c r="M136" s="211"/>
      <c r="O136" s="6" t="s">
        <v>3</v>
      </c>
      <c r="P136" s="8"/>
      <c r="Q136" s="5">
        <f t="shared" si="45"/>
        <v>0</v>
      </c>
      <c r="R136" s="186"/>
      <c r="S136" s="6" t="s">
        <v>3</v>
      </c>
      <c r="T136" s="8"/>
      <c r="U136" s="5">
        <f t="shared" si="46"/>
        <v>0</v>
      </c>
      <c r="V136" s="186"/>
    </row>
    <row r="137" spans="1:22" x14ac:dyDescent="0.15">
      <c r="A137" s="1"/>
      <c r="B137" s="6" t="s">
        <v>3</v>
      </c>
      <c r="C137" s="205"/>
      <c r="D137" s="189"/>
      <c r="E137" s="190"/>
      <c r="F137" s="220">
        <f t="shared" si="48"/>
        <v>0</v>
      </c>
      <c r="H137" s="6" t="s">
        <v>3</v>
      </c>
      <c r="I137" s="188"/>
      <c r="J137" s="189"/>
      <c r="K137" s="203"/>
      <c r="L137" s="220">
        <f t="shared" si="44"/>
        <v>0</v>
      </c>
      <c r="M137" s="212"/>
      <c r="O137" s="6" t="s">
        <v>3</v>
      </c>
      <c r="P137" s="8"/>
      <c r="Q137" s="5">
        <f t="shared" si="45"/>
        <v>0</v>
      </c>
      <c r="R137" s="186"/>
      <c r="S137" s="6" t="s">
        <v>3</v>
      </c>
      <c r="T137" s="8"/>
      <c r="U137" s="5">
        <f t="shared" si="46"/>
        <v>0</v>
      </c>
      <c r="V137" s="186"/>
    </row>
    <row r="138" spans="1:22" x14ac:dyDescent="0.15">
      <c r="A138" s="1"/>
      <c r="B138" s="6" t="s">
        <v>3</v>
      </c>
      <c r="C138" s="6">
        <v>512</v>
      </c>
      <c r="D138" s="225">
        <v>512</v>
      </c>
      <c r="E138" s="226">
        <v>512</v>
      </c>
      <c r="F138" s="220">
        <f t="shared" si="48"/>
        <v>1536</v>
      </c>
      <c r="G138" s="211">
        <v>44398</v>
      </c>
      <c r="H138" s="6" t="s">
        <v>3</v>
      </c>
      <c r="I138" s="188"/>
      <c r="J138" s="189"/>
      <c r="K138" s="203"/>
      <c r="L138" s="220">
        <f t="shared" si="44"/>
        <v>0</v>
      </c>
      <c r="O138" s="6" t="s">
        <v>3</v>
      </c>
      <c r="P138" s="8"/>
      <c r="Q138" s="5">
        <f t="shared" si="45"/>
        <v>0</v>
      </c>
      <c r="R138" s="186"/>
      <c r="S138" s="6" t="s">
        <v>3</v>
      </c>
      <c r="T138" s="8"/>
      <c r="U138" s="5">
        <f t="shared" si="46"/>
        <v>0</v>
      </c>
      <c r="V138" s="186"/>
    </row>
    <row r="139" spans="1:22" ht="14.25" thickBot="1" x14ac:dyDescent="0.2">
      <c r="A139" s="1"/>
      <c r="B139" s="9" t="s">
        <v>3</v>
      </c>
      <c r="C139" s="9">
        <v>168</v>
      </c>
      <c r="D139" s="237">
        <v>168</v>
      </c>
      <c r="E139" s="238">
        <v>168</v>
      </c>
      <c r="F139" s="220">
        <f t="shared" si="48"/>
        <v>504</v>
      </c>
      <c r="G139" s="211">
        <v>44401</v>
      </c>
      <c r="H139" s="9" t="s">
        <v>3</v>
      </c>
      <c r="I139" s="198"/>
      <c r="J139" s="199"/>
      <c r="K139" s="204"/>
      <c r="L139" s="220">
        <f t="shared" si="44"/>
        <v>0</v>
      </c>
      <c r="O139" s="9" t="s">
        <v>3</v>
      </c>
      <c r="P139" s="10"/>
      <c r="Q139" s="5">
        <f t="shared" si="45"/>
        <v>0</v>
      </c>
      <c r="R139" s="186"/>
      <c r="S139" s="9" t="s">
        <v>3</v>
      </c>
      <c r="T139" s="10"/>
      <c r="U139" s="5">
        <f t="shared" si="46"/>
        <v>0</v>
      </c>
      <c r="V139" s="186"/>
    </row>
    <row r="140" spans="1:22" ht="14.25" thickBot="1" x14ac:dyDescent="0.2">
      <c r="A140" s="1"/>
      <c r="B140" s="11" t="s">
        <v>4</v>
      </c>
      <c r="C140" s="193">
        <f>SUM(C129:C139)</f>
        <v>1809</v>
      </c>
      <c r="D140" s="193">
        <f>SUM(D129:D139)</f>
        <v>2227</v>
      </c>
      <c r="E140" s="193">
        <f>SUM(E129:E139)</f>
        <v>2217</v>
      </c>
      <c r="F140" s="221">
        <f>SUM(F129:F139)</f>
        <v>6253</v>
      </c>
      <c r="H140" s="11" t="s">
        <v>4</v>
      </c>
      <c r="I140" s="193">
        <f>SUM(I129:I139)</f>
        <v>0</v>
      </c>
      <c r="J140" s="193">
        <f>SUM(J129:J139)</f>
        <v>0</v>
      </c>
      <c r="K140" s="193">
        <f t="shared" ref="K140" si="49">SUM(K129:K139)</f>
        <v>450</v>
      </c>
      <c r="L140" s="221">
        <f>SUM(L129:L139)</f>
        <v>450</v>
      </c>
      <c r="O140" s="11" t="s">
        <v>4</v>
      </c>
      <c r="P140" s="12">
        <f>SUM(P129:P139)</f>
        <v>0</v>
      </c>
      <c r="Q140" s="13">
        <f>SUM(Q129:Q139)</f>
        <v>0</v>
      </c>
      <c r="S140" s="11" t="s">
        <v>4</v>
      </c>
      <c r="T140" s="12">
        <f>SUM(T129:T139)</f>
        <v>1804</v>
      </c>
      <c r="U140" s="13">
        <f>SUM(U129:U139)</f>
        <v>1804</v>
      </c>
    </row>
    <row r="141" spans="1:22" x14ac:dyDescent="0.15">
      <c r="A141" s="1"/>
      <c r="B141" s="178" t="s">
        <v>808</v>
      </c>
      <c r="C141" s="215">
        <v>13</v>
      </c>
      <c r="D141" s="215">
        <v>13</v>
      </c>
      <c r="E141" s="216">
        <v>13</v>
      </c>
      <c r="F141" s="220">
        <f t="shared" ref="F141:F164" si="50">SUM(C141:E141)</f>
        <v>39</v>
      </c>
      <c r="G141" s="211">
        <v>44392</v>
      </c>
      <c r="H141" s="6"/>
      <c r="I141" s="196"/>
      <c r="J141" s="6"/>
      <c r="K141" s="4"/>
      <c r="L141" s="220">
        <f t="shared" ref="L141:L162" si="51">SUM(I141:K141)</f>
        <v>0</v>
      </c>
      <c r="M141" s="211"/>
      <c r="O141" s="4"/>
      <c r="P141" s="44"/>
      <c r="Q141" s="14">
        <f t="shared" ref="Q141:Q164" si="52">SUM(P141:P141)</f>
        <v>0</v>
      </c>
      <c r="R141" s="186"/>
      <c r="S141" s="4" t="s">
        <v>745</v>
      </c>
      <c r="T141" s="15">
        <v>192</v>
      </c>
      <c r="U141" s="14">
        <f t="shared" ref="U141" si="53">SUM(T141:T141)</f>
        <v>192</v>
      </c>
      <c r="V141" s="185">
        <v>44391</v>
      </c>
    </row>
    <row r="142" spans="1:22" x14ac:dyDescent="0.15">
      <c r="A142" s="1"/>
      <c r="B142" s="178" t="s">
        <v>161</v>
      </c>
      <c r="C142" s="216">
        <f>2+5+17+9+1+7</f>
        <v>41</v>
      </c>
      <c r="D142" s="232">
        <f>2+1+1+1</f>
        <v>5</v>
      </c>
      <c r="E142" s="232">
        <f>1+1</f>
        <v>2</v>
      </c>
      <c r="F142" s="220">
        <f t="shared" si="50"/>
        <v>48</v>
      </c>
      <c r="G142" s="248">
        <v>44391</v>
      </c>
      <c r="H142" s="4"/>
      <c r="I142" s="4"/>
      <c r="J142" s="189"/>
      <c r="K142" s="189"/>
      <c r="L142" s="220">
        <f t="shared" si="51"/>
        <v>0</v>
      </c>
      <c r="M142" s="212"/>
      <c r="O142" s="4"/>
      <c r="P142" s="15"/>
      <c r="Q142" s="14">
        <f t="shared" si="52"/>
        <v>0</v>
      </c>
      <c r="R142" s="186"/>
      <c r="S142" s="4" t="s">
        <v>745</v>
      </c>
      <c r="T142" s="15">
        <v>192</v>
      </c>
      <c r="U142" s="14">
        <f t="shared" ref="U142:U164" si="54">SUM(T142:T142)</f>
        <v>192</v>
      </c>
      <c r="V142" s="185">
        <v>44393</v>
      </c>
    </row>
    <row r="143" spans="1:22" x14ac:dyDescent="0.15">
      <c r="A143" s="1"/>
      <c r="B143" s="178" t="s">
        <v>790</v>
      </c>
      <c r="C143" s="216">
        <v>40</v>
      </c>
      <c r="D143" s="232"/>
      <c r="E143" s="232"/>
      <c r="F143" s="220">
        <f t="shared" si="50"/>
        <v>40</v>
      </c>
      <c r="G143" s="248">
        <v>44391</v>
      </c>
      <c r="H143" s="4"/>
      <c r="I143" s="4"/>
      <c r="J143" s="189"/>
      <c r="K143" s="189"/>
      <c r="L143" s="220">
        <f t="shared" si="51"/>
        <v>0</v>
      </c>
      <c r="M143" s="212"/>
      <c r="O143" s="4"/>
      <c r="P143" s="15"/>
      <c r="Q143" s="14">
        <f t="shared" si="52"/>
        <v>0</v>
      </c>
      <c r="R143" s="186"/>
      <c r="S143" s="4" t="s">
        <v>745</v>
      </c>
      <c r="T143" s="15">
        <v>384</v>
      </c>
      <c r="U143" s="14">
        <f t="shared" si="54"/>
        <v>384</v>
      </c>
      <c r="V143" s="185">
        <v>44394</v>
      </c>
    </row>
    <row r="144" spans="1:22" x14ac:dyDescent="0.15">
      <c r="A144" s="1"/>
      <c r="B144" s="178" t="s">
        <v>810</v>
      </c>
      <c r="C144" s="233">
        <v>13</v>
      </c>
      <c r="D144" s="234">
        <v>13</v>
      </c>
      <c r="E144" s="234">
        <v>13</v>
      </c>
      <c r="F144" s="220">
        <f t="shared" si="50"/>
        <v>39</v>
      </c>
      <c r="G144" s="211">
        <v>44393</v>
      </c>
      <c r="H144" s="4"/>
      <c r="I144" s="187"/>
      <c r="J144" s="15"/>
      <c r="K144" s="15"/>
      <c r="L144" s="220">
        <f t="shared" si="51"/>
        <v>0</v>
      </c>
      <c r="O144" s="4"/>
      <c r="P144" s="15"/>
      <c r="Q144" s="14">
        <f t="shared" si="52"/>
        <v>0</v>
      </c>
      <c r="R144" s="186"/>
      <c r="S144" s="4" t="s">
        <v>745</v>
      </c>
      <c r="T144" s="15">
        <v>256</v>
      </c>
      <c r="U144" s="14">
        <f t="shared" si="54"/>
        <v>256</v>
      </c>
      <c r="V144" s="185">
        <v>44397</v>
      </c>
    </row>
    <row r="145" spans="1:23" x14ac:dyDescent="0.15">
      <c r="A145" s="1"/>
      <c r="B145" s="178" t="s">
        <v>161</v>
      </c>
      <c r="C145" s="233">
        <f>7+26+26+3+1+6</f>
        <v>69</v>
      </c>
      <c r="D145" s="234">
        <f>1+3+1+1</f>
        <v>6</v>
      </c>
      <c r="E145" s="234">
        <f>1+3</f>
        <v>4</v>
      </c>
      <c r="F145" s="220">
        <f t="shared" si="50"/>
        <v>79</v>
      </c>
      <c r="G145" s="248">
        <v>44392</v>
      </c>
      <c r="H145" s="4"/>
      <c r="I145" s="187"/>
      <c r="J145" s="15"/>
      <c r="K145" s="15"/>
      <c r="L145" s="220">
        <f t="shared" si="51"/>
        <v>0</v>
      </c>
      <c r="O145" s="4"/>
      <c r="P145" s="15"/>
      <c r="Q145" s="14">
        <f t="shared" si="52"/>
        <v>0</v>
      </c>
      <c r="R145" s="186"/>
      <c r="S145" s="4" t="s">
        <v>815</v>
      </c>
      <c r="T145" s="15">
        <v>100</v>
      </c>
      <c r="U145" s="14">
        <f t="shared" si="54"/>
        <v>100</v>
      </c>
      <c r="V145" s="185">
        <v>44406</v>
      </c>
    </row>
    <row r="146" spans="1:23" x14ac:dyDescent="0.15">
      <c r="A146" s="1"/>
      <c r="B146" s="178" t="s">
        <v>812</v>
      </c>
      <c r="C146" s="233">
        <v>1</v>
      </c>
      <c r="D146" s="234">
        <v>1</v>
      </c>
      <c r="E146" s="234">
        <v>1</v>
      </c>
      <c r="F146" s="220">
        <f t="shared" si="50"/>
        <v>3</v>
      </c>
      <c r="G146" s="211">
        <v>44394</v>
      </c>
      <c r="H146" s="4"/>
      <c r="I146" s="187"/>
      <c r="J146" s="15"/>
      <c r="K146" s="15"/>
      <c r="L146" s="220">
        <f t="shared" si="51"/>
        <v>0</v>
      </c>
      <c r="O146" s="4"/>
      <c r="P146" s="15"/>
      <c r="Q146" s="14">
        <f t="shared" si="52"/>
        <v>0</v>
      </c>
      <c r="R146" s="186"/>
      <c r="S146" s="4" t="s">
        <v>745</v>
      </c>
      <c r="T146" s="15">
        <v>512</v>
      </c>
      <c r="U146" s="14">
        <f t="shared" si="54"/>
        <v>512</v>
      </c>
      <c r="V146" s="185">
        <v>44398</v>
      </c>
    </row>
    <row r="147" spans="1:23" x14ac:dyDescent="0.15">
      <c r="A147" s="1"/>
      <c r="B147" s="4" t="s">
        <v>813</v>
      </c>
      <c r="C147" s="233">
        <v>100</v>
      </c>
      <c r="D147" s="234"/>
      <c r="E147" s="234"/>
      <c r="F147" s="220">
        <f t="shared" si="50"/>
        <v>100</v>
      </c>
      <c r="G147" s="211">
        <v>44394</v>
      </c>
      <c r="H147" s="4"/>
      <c r="I147" s="187"/>
      <c r="J147" s="15"/>
      <c r="K147" s="15"/>
      <c r="L147" s="220">
        <f t="shared" si="51"/>
        <v>0</v>
      </c>
      <c r="O147" s="4"/>
      <c r="P147" s="15"/>
      <c r="Q147" s="14">
        <f t="shared" si="52"/>
        <v>0</v>
      </c>
      <c r="R147" s="186"/>
      <c r="S147" s="4" t="s">
        <v>745</v>
      </c>
      <c r="T147" s="15">
        <v>168</v>
      </c>
      <c r="U147" s="14">
        <f t="shared" si="54"/>
        <v>168</v>
      </c>
      <c r="V147" s="185">
        <v>44401</v>
      </c>
      <c r="W147" s="186"/>
    </row>
    <row r="148" spans="1:23" x14ac:dyDescent="0.15">
      <c r="A148" s="1"/>
      <c r="B148" s="178" t="s">
        <v>161</v>
      </c>
      <c r="C148" s="233">
        <f>18+2+2+28+5+8</f>
        <v>63</v>
      </c>
      <c r="D148" s="234">
        <f>1+2+3+2</f>
        <v>8</v>
      </c>
      <c r="E148" s="234">
        <f>2+2</f>
        <v>4</v>
      </c>
      <c r="F148" s="220">
        <f t="shared" si="50"/>
        <v>75</v>
      </c>
      <c r="G148" s="248">
        <v>44393</v>
      </c>
      <c r="H148" s="4"/>
      <c r="I148" s="187"/>
      <c r="J148" s="15"/>
      <c r="K148" s="15"/>
      <c r="L148" s="220">
        <f t="shared" si="51"/>
        <v>0</v>
      </c>
      <c r="O148" s="4"/>
      <c r="P148" s="15"/>
      <c r="Q148" s="14">
        <f t="shared" si="52"/>
        <v>0</v>
      </c>
      <c r="R148" s="186"/>
      <c r="S148" s="4"/>
      <c r="T148" s="15"/>
      <c r="U148" s="14">
        <f t="shared" si="54"/>
        <v>0</v>
      </c>
    </row>
    <row r="149" spans="1:23" x14ac:dyDescent="0.15">
      <c r="A149" s="1"/>
      <c r="B149" s="178" t="s">
        <v>814</v>
      </c>
      <c r="C149" s="233">
        <v>5</v>
      </c>
      <c r="D149" s="234">
        <v>5</v>
      </c>
      <c r="E149" s="234">
        <v>5</v>
      </c>
      <c r="F149" s="220">
        <f t="shared" si="50"/>
        <v>15</v>
      </c>
      <c r="G149" s="211">
        <v>44397</v>
      </c>
      <c r="H149" s="4"/>
      <c r="I149" s="187"/>
      <c r="J149" s="15"/>
      <c r="K149" s="15"/>
      <c r="L149" s="220">
        <f t="shared" si="51"/>
        <v>0</v>
      </c>
      <c r="O149" s="4"/>
      <c r="P149" s="15"/>
      <c r="Q149" s="14">
        <f t="shared" si="52"/>
        <v>0</v>
      </c>
      <c r="R149" s="186"/>
      <c r="S149" s="4"/>
      <c r="T149" s="15"/>
      <c r="U149" s="14">
        <f t="shared" si="54"/>
        <v>0</v>
      </c>
    </row>
    <row r="150" spans="1:23" x14ac:dyDescent="0.15">
      <c r="A150" s="1"/>
      <c r="B150" s="178" t="s">
        <v>161</v>
      </c>
      <c r="C150" s="233">
        <v>47</v>
      </c>
      <c r="D150" s="234">
        <f>2+5</f>
        <v>7</v>
      </c>
      <c r="E150" s="234"/>
      <c r="F150" s="220">
        <f t="shared" si="50"/>
        <v>54</v>
      </c>
      <c r="G150" s="248">
        <v>44394</v>
      </c>
      <c r="H150" s="4"/>
      <c r="I150" s="187"/>
      <c r="J150" s="15"/>
      <c r="K150" s="15"/>
      <c r="L150" s="220">
        <f t="shared" si="51"/>
        <v>0</v>
      </c>
      <c r="O150" s="4"/>
      <c r="P150" s="15"/>
      <c r="Q150" s="14">
        <f t="shared" si="52"/>
        <v>0</v>
      </c>
      <c r="R150" s="186"/>
      <c r="S150" s="4"/>
      <c r="T150" s="15"/>
      <c r="U150" s="14">
        <f t="shared" si="54"/>
        <v>0</v>
      </c>
    </row>
    <row r="151" spans="1:23" x14ac:dyDescent="0.15">
      <c r="A151" s="1"/>
      <c r="B151" s="178" t="s">
        <v>161</v>
      </c>
      <c r="C151" s="233">
        <f>27+1+104+1+8+1+2+2+1+2+3+19+3</f>
        <v>174</v>
      </c>
      <c r="D151" s="234">
        <f>5+16+1+9+2+1+5+1</f>
        <v>40</v>
      </c>
      <c r="E151" s="234">
        <f>6+3+3+9+2+1+2+2</f>
        <v>28</v>
      </c>
      <c r="F151" s="220">
        <f t="shared" si="50"/>
        <v>242</v>
      </c>
      <c r="G151" s="248">
        <v>44396</v>
      </c>
      <c r="H151" s="4"/>
      <c r="I151" s="187"/>
      <c r="J151" s="15"/>
      <c r="K151" s="15"/>
      <c r="L151" s="220">
        <f t="shared" si="51"/>
        <v>0</v>
      </c>
      <c r="O151" s="4"/>
      <c r="P151" s="15"/>
      <c r="Q151" s="14">
        <f t="shared" si="52"/>
        <v>0</v>
      </c>
      <c r="R151" s="186"/>
      <c r="S151" s="4"/>
      <c r="T151" s="15"/>
      <c r="U151" s="14">
        <f t="shared" si="54"/>
        <v>0</v>
      </c>
    </row>
    <row r="152" spans="1:23" x14ac:dyDescent="0.15">
      <c r="A152" s="1"/>
      <c r="B152" s="4" t="s">
        <v>764</v>
      </c>
      <c r="C152" s="235">
        <v>100</v>
      </c>
      <c r="D152" s="234">
        <v>24</v>
      </c>
      <c r="E152" s="234">
        <v>40</v>
      </c>
      <c r="F152" s="220">
        <f t="shared" si="50"/>
        <v>164</v>
      </c>
      <c r="G152" s="211">
        <v>44398</v>
      </c>
      <c r="H152" s="6"/>
      <c r="I152" s="188"/>
      <c r="J152" s="15"/>
      <c r="K152" s="15"/>
      <c r="L152" s="220">
        <f t="shared" si="51"/>
        <v>0</v>
      </c>
      <c r="O152" s="6"/>
      <c r="P152" s="15"/>
      <c r="Q152" s="14">
        <f t="shared" si="52"/>
        <v>0</v>
      </c>
      <c r="R152" s="186"/>
      <c r="S152" s="6"/>
      <c r="T152" s="15"/>
      <c r="U152" s="14">
        <f t="shared" si="54"/>
        <v>0</v>
      </c>
    </row>
    <row r="153" spans="1:23" x14ac:dyDescent="0.15">
      <c r="A153" s="1"/>
      <c r="B153" s="178" t="s">
        <v>787</v>
      </c>
      <c r="C153" s="235">
        <v>15</v>
      </c>
      <c r="D153" s="234">
        <v>15</v>
      </c>
      <c r="E153" s="234">
        <v>15</v>
      </c>
      <c r="F153" s="220">
        <f t="shared" si="50"/>
        <v>45</v>
      </c>
      <c r="G153" s="211">
        <v>44398</v>
      </c>
      <c r="H153" s="6"/>
      <c r="I153" s="188"/>
      <c r="J153" s="15"/>
      <c r="K153" s="15"/>
      <c r="L153" s="220">
        <f t="shared" si="51"/>
        <v>0</v>
      </c>
      <c r="O153" s="6"/>
      <c r="P153" s="15"/>
      <c r="Q153" s="14">
        <f t="shared" si="52"/>
        <v>0</v>
      </c>
      <c r="R153" s="186"/>
      <c r="S153" s="6"/>
      <c r="T153" s="15"/>
      <c r="U153" s="14">
        <f t="shared" si="54"/>
        <v>0</v>
      </c>
    </row>
    <row r="154" spans="1:23" x14ac:dyDescent="0.15">
      <c r="A154" s="1"/>
      <c r="B154" s="178" t="s">
        <v>161</v>
      </c>
      <c r="C154" s="233">
        <v>198</v>
      </c>
      <c r="D154" s="234">
        <f>1+9+8+9+1+2+3+2+4+1+1+3+1+1</f>
        <v>46</v>
      </c>
      <c r="E154" s="234">
        <f>5+8+3+2+1+2+1+1+3+1</f>
        <v>27</v>
      </c>
      <c r="F154" s="220">
        <f t="shared" si="50"/>
        <v>271</v>
      </c>
      <c r="G154" s="248">
        <v>44397</v>
      </c>
      <c r="H154" s="4"/>
      <c r="I154" s="187"/>
      <c r="J154" s="15"/>
      <c r="K154" s="15"/>
      <c r="L154" s="220">
        <f t="shared" si="51"/>
        <v>0</v>
      </c>
      <c r="O154" s="4"/>
      <c r="P154" s="15"/>
      <c r="Q154" s="14">
        <f t="shared" si="52"/>
        <v>0</v>
      </c>
      <c r="R154" s="186"/>
      <c r="S154" s="4"/>
      <c r="T154" s="15"/>
      <c r="U154" s="14">
        <f t="shared" si="54"/>
        <v>0</v>
      </c>
    </row>
    <row r="155" spans="1:23" x14ac:dyDescent="0.15">
      <c r="A155" s="1"/>
      <c r="B155" s="178" t="s">
        <v>817</v>
      </c>
      <c r="C155" s="233">
        <v>5</v>
      </c>
      <c r="D155" s="234">
        <v>5</v>
      </c>
      <c r="E155" s="234">
        <v>5</v>
      </c>
      <c r="F155" s="220">
        <f t="shared" si="50"/>
        <v>15</v>
      </c>
      <c r="G155" s="211">
        <v>44399</v>
      </c>
      <c r="H155" s="4"/>
      <c r="I155" s="187"/>
      <c r="J155" s="15"/>
      <c r="K155" s="15"/>
      <c r="L155" s="220">
        <f t="shared" si="51"/>
        <v>0</v>
      </c>
      <c r="O155" s="4"/>
      <c r="P155" s="15"/>
      <c r="Q155" s="14">
        <f t="shared" si="52"/>
        <v>0</v>
      </c>
      <c r="R155" s="186"/>
      <c r="S155" s="4"/>
      <c r="T155" s="15"/>
      <c r="U155" s="14">
        <f t="shared" si="54"/>
        <v>0</v>
      </c>
    </row>
    <row r="156" spans="1:23" x14ac:dyDescent="0.15">
      <c r="A156" s="1"/>
      <c r="B156" s="178" t="s">
        <v>161</v>
      </c>
      <c r="C156" s="233">
        <v>196</v>
      </c>
      <c r="D156" s="234">
        <f>8+1+3+3+4+1+2+1+1+5+1+1</f>
        <v>31</v>
      </c>
      <c r="E156" s="234">
        <f>3+1+3+3+1+2+1+1</f>
        <v>15</v>
      </c>
      <c r="F156" s="220">
        <f t="shared" si="50"/>
        <v>242</v>
      </c>
      <c r="G156" s="211">
        <v>44398</v>
      </c>
      <c r="H156" s="4"/>
      <c r="I156" s="187"/>
      <c r="J156" s="15"/>
      <c r="K156" s="15"/>
      <c r="L156" s="220">
        <f t="shared" si="51"/>
        <v>0</v>
      </c>
      <c r="O156" s="4"/>
      <c r="P156" s="15"/>
      <c r="Q156" s="14">
        <f t="shared" si="52"/>
        <v>0</v>
      </c>
      <c r="R156" s="186"/>
      <c r="S156" s="4"/>
      <c r="T156" s="15"/>
      <c r="U156" s="14">
        <f t="shared" si="54"/>
        <v>0</v>
      </c>
    </row>
    <row r="157" spans="1:23" x14ac:dyDescent="0.15">
      <c r="A157" s="1"/>
      <c r="B157" s="6" t="s">
        <v>818</v>
      </c>
      <c r="C157" s="235">
        <v>200</v>
      </c>
      <c r="D157" s="234">
        <v>30</v>
      </c>
      <c r="E157" s="234">
        <v>60</v>
      </c>
      <c r="F157" s="220">
        <f t="shared" si="50"/>
        <v>290</v>
      </c>
      <c r="G157" s="211">
        <v>44398</v>
      </c>
      <c r="H157" s="6"/>
      <c r="I157" s="188"/>
      <c r="J157" s="15"/>
      <c r="K157" s="15"/>
      <c r="L157" s="220">
        <f t="shared" si="51"/>
        <v>0</v>
      </c>
      <c r="O157" s="6"/>
      <c r="P157" s="15"/>
      <c r="Q157" s="14">
        <f t="shared" si="52"/>
        <v>0</v>
      </c>
      <c r="R157" s="186"/>
      <c r="S157" s="6"/>
      <c r="T157" s="15"/>
      <c r="U157" s="14">
        <f t="shared" si="54"/>
        <v>0</v>
      </c>
    </row>
    <row r="158" spans="1:23" x14ac:dyDescent="0.15">
      <c r="A158" s="1"/>
      <c r="B158" s="4" t="s">
        <v>820</v>
      </c>
      <c r="C158" s="233">
        <v>-1</v>
      </c>
      <c r="D158" s="234"/>
      <c r="E158" s="234"/>
      <c r="F158" s="220">
        <f t="shared" si="50"/>
        <v>-1</v>
      </c>
      <c r="G158" s="248">
        <v>44398</v>
      </c>
      <c r="H158" s="4"/>
      <c r="I158" s="187"/>
      <c r="J158" s="15"/>
      <c r="K158" s="15"/>
      <c r="L158" s="220">
        <f t="shared" si="51"/>
        <v>0</v>
      </c>
      <c r="O158" s="4"/>
      <c r="P158" s="15"/>
      <c r="Q158" s="14">
        <f t="shared" si="52"/>
        <v>0</v>
      </c>
      <c r="R158" s="186"/>
      <c r="S158" s="4"/>
      <c r="T158" s="15"/>
      <c r="U158" s="14">
        <f t="shared" si="54"/>
        <v>0</v>
      </c>
    </row>
    <row r="159" spans="1:23" x14ac:dyDescent="0.15">
      <c r="A159" s="1"/>
      <c r="B159" s="178" t="s">
        <v>161</v>
      </c>
      <c r="C159" s="235">
        <f>1+1+12+2+9+79+129</f>
        <v>233</v>
      </c>
      <c r="D159" s="234">
        <f>2+1+6+9+3</f>
        <v>21</v>
      </c>
      <c r="E159" s="234">
        <f>2+4+13+9+14</f>
        <v>42</v>
      </c>
      <c r="F159" s="220">
        <f t="shared" si="50"/>
        <v>296</v>
      </c>
      <c r="G159" s="248">
        <v>44401</v>
      </c>
      <c r="H159" s="6"/>
      <c r="I159" s="188"/>
      <c r="J159" s="15"/>
      <c r="K159" s="15"/>
      <c r="L159" s="220">
        <f t="shared" si="51"/>
        <v>0</v>
      </c>
      <c r="O159" s="6"/>
      <c r="P159" s="15"/>
      <c r="Q159" s="14">
        <f t="shared" si="52"/>
        <v>0</v>
      </c>
      <c r="R159" s="186"/>
      <c r="S159" s="6"/>
      <c r="T159" s="15"/>
      <c r="U159" s="14">
        <f t="shared" si="54"/>
        <v>0</v>
      </c>
    </row>
    <row r="160" spans="1:23" x14ac:dyDescent="0.15">
      <c r="A160" s="1"/>
      <c r="B160" s="178" t="s">
        <v>790</v>
      </c>
      <c r="C160" s="233">
        <v>20</v>
      </c>
      <c r="D160" s="234"/>
      <c r="E160" s="234"/>
      <c r="F160" s="220">
        <f t="shared" si="50"/>
        <v>20</v>
      </c>
      <c r="G160" s="248">
        <v>44405</v>
      </c>
      <c r="H160" s="4"/>
      <c r="I160" s="187"/>
      <c r="J160" s="15"/>
      <c r="K160" s="15"/>
      <c r="L160" s="220">
        <f t="shared" si="51"/>
        <v>0</v>
      </c>
      <c r="O160" s="4"/>
      <c r="P160" s="15"/>
      <c r="Q160" s="14">
        <f t="shared" si="52"/>
        <v>0</v>
      </c>
      <c r="R160" s="186"/>
      <c r="S160" s="4"/>
      <c r="T160" s="15"/>
      <c r="U160" s="14">
        <f t="shared" si="54"/>
        <v>0</v>
      </c>
      <c r="V160" s="186"/>
    </row>
    <row r="161" spans="1:23" x14ac:dyDescent="0.15">
      <c r="A161" s="75"/>
      <c r="B161" s="178" t="s">
        <v>822</v>
      </c>
      <c r="C161" s="233">
        <v>2</v>
      </c>
      <c r="D161" s="234">
        <v>-2</v>
      </c>
      <c r="E161" s="234"/>
      <c r="F161" s="220">
        <f t="shared" si="50"/>
        <v>0</v>
      </c>
      <c r="G161" s="211">
        <v>44403</v>
      </c>
      <c r="H161" s="4"/>
      <c r="I161" s="187"/>
      <c r="J161" s="15"/>
      <c r="K161" s="15"/>
      <c r="L161" s="220">
        <f t="shared" si="51"/>
        <v>0</v>
      </c>
      <c r="M161" s="212"/>
      <c r="O161" s="4"/>
      <c r="P161" s="15"/>
      <c r="Q161" s="14">
        <f t="shared" si="52"/>
        <v>0</v>
      </c>
      <c r="R161" s="186"/>
      <c r="S161" s="4"/>
      <c r="T161" s="15"/>
      <c r="U161" s="14">
        <f t="shared" si="54"/>
        <v>0</v>
      </c>
      <c r="V161" s="186"/>
    </row>
    <row r="162" spans="1:23" x14ac:dyDescent="0.15">
      <c r="A162" s="1"/>
      <c r="B162" s="4" t="s">
        <v>823</v>
      </c>
      <c r="C162" s="233">
        <f>23+12+2+3+2+5+2+13+5+3+3+1+1+122-5</f>
        <v>192</v>
      </c>
      <c r="D162" s="234">
        <f>2+3+2+1+5</f>
        <v>13</v>
      </c>
      <c r="E162" s="234">
        <f>3+2+3+2+5+5+1+2-1</f>
        <v>22</v>
      </c>
      <c r="F162" s="220">
        <f t="shared" si="50"/>
        <v>227</v>
      </c>
      <c r="G162" s="211">
        <v>44403</v>
      </c>
      <c r="H162" s="4"/>
      <c r="I162" s="187"/>
      <c r="J162" s="15"/>
      <c r="K162" s="15"/>
      <c r="L162" s="220">
        <f t="shared" si="51"/>
        <v>0</v>
      </c>
      <c r="M162" s="212"/>
      <c r="O162" s="4"/>
      <c r="P162" s="15"/>
      <c r="Q162" s="14">
        <f t="shared" si="52"/>
        <v>0</v>
      </c>
      <c r="R162" s="186"/>
      <c r="S162" s="4"/>
      <c r="T162" s="15"/>
      <c r="U162" s="14">
        <f t="shared" si="54"/>
        <v>0</v>
      </c>
      <c r="V162" s="186"/>
    </row>
    <row r="163" spans="1:23" x14ac:dyDescent="0.15">
      <c r="A163" s="1"/>
      <c r="B163" s="178" t="s">
        <v>825</v>
      </c>
      <c r="C163" s="233">
        <v>3</v>
      </c>
      <c r="D163" s="234">
        <v>3</v>
      </c>
      <c r="E163" s="234">
        <v>3</v>
      </c>
      <c r="F163" s="220">
        <f t="shared" si="50"/>
        <v>9</v>
      </c>
      <c r="G163" s="211">
        <v>44405</v>
      </c>
      <c r="H163" s="4"/>
      <c r="I163" s="206"/>
      <c r="J163" s="206"/>
      <c r="K163" s="206"/>
      <c r="L163" s="220">
        <f>SUM(I163:K163)</f>
        <v>0</v>
      </c>
      <c r="M163" s="212"/>
      <c r="O163" s="6"/>
      <c r="P163" s="15"/>
      <c r="Q163" s="14">
        <f t="shared" si="52"/>
        <v>0</v>
      </c>
      <c r="R163" s="186"/>
      <c r="S163" s="4"/>
      <c r="T163" s="15"/>
      <c r="U163" s="14">
        <f t="shared" si="54"/>
        <v>0</v>
      </c>
      <c r="V163" s="186"/>
    </row>
    <row r="164" spans="1:23" ht="14.25" thickBot="1" x14ac:dyDescent="0.2">
      <c r="A164" s="1"/>
      <c r="B164" s="178" t="s">
        <v>826</v>
      </c>
      <c r="C164" s="235">
        <v>1</v>
      </c>
      <c r="D164" s="234">
        <v>1</v>
      </c>
      <c r="E164" s="234">
        <v>1</v>
      </c>
      <c r="F164" s="220">
        <f t="shared" si="50"/>
        <v>3</v>
      </c>
      <c r="G164" s="211">
        <v>44405</v>
      </c>
      <c r="H164" s="6"/>
      <c r="I164" s="206"/>
      <c r="J164" s="206"/>
      <c r="K164" s="206"/>
      <c r="L164" s="220">
        <f t="shared" ref="L164" si="55">SUM(I164:K164)</f>
        <v>0</v>
      </c>
      <c r="M164" s="212"/>
      <c r="O164" s="6"/>
      <c r="P164" s="15"/>
      <c r="Q164" s="14">
        <f t="shared" si="52"/>
        <v>0</v>
      </c>
      <c r="R164" s="186"/>
      <c r="S164" s="4" t="s">
        <v>770</v>
      </c>
      <c r="T164" s="15">
        <f>1000-100-600-300</f>
        <v>0</v>
      </c>
      <c r="U164" s="14">
        <f t="shared" si="54"/>
        <v>0</v>
      </c>
      <c r="V164" s="186" t="s">
        <v>772</v>
      </c>
      <c r="W164" s="186"/>
    </row>
    <row r="165" spans="1:23" ht="14.25" thickBot="1" x14ac:dyDescent="0.2">
      <c r="A165" s="1"/>
      <c r="B165" s="3" t="s">
        <v>5</v>
      </c>
      <c r="C165" s="16">
        <f>SUM(C141:C164)</f>
        <v>1730</v>
      </c>
      <c r="D165" s="16">
        <f>SUM(D141:D164)</f>
        <v>285</v>
      </c>
      <c r="E165" s="16">
        <f>SUM(E141:E164)</f>
        <v>300</v>
      </c>
      <c r="F165" s="223">
        <f>SUM(F141:F164)</f>
        <v>2315</v>
      </c>
      <c r="H165" s="3" t="s">
        <v>5</v>
      </c>
      <c r="I165" s="16">
        <f>SUM(I141:I164)</f>
        <v>0</v>
      </c>
      <c r="J165" s="16">
        <f>SUM(J141:J164)</f>
        <v>0</v>
      </c>
      <c r="K165" s="16">
        <f>SUM(K141:K164)</f>
        <v>0</v>
      </c>
      <c r="L165" s="223">
        <f>SUM(L141:L164)</f>
        <v>0</v>
      </c>
      <c r="O165" s="3" t="s">
        <v>5</v>
      </c>
      <c r="P165" s="16">
        <f>SUM(P141:P164)</f>
        <v>0</v>
      </c>
      <c r="Q165" s="17">
        <f>SUM(Q141:Q164)</f>
        <v>0</v>
      </c>
      <c r="S165" s="3" t="s">
        <v>5</v>
      </c>
      <c r="T165" s="16">
        <f>SUM(T141:T164)</f>
        <v>1804</v>
      </c>
      <c r="U165" s="17">
        <f>SUM(U141:U164)</f>
        <v>1804</v>
      </c>
    </row>
    <row r="166" spans="1:23" ht="14.25" thickBot="1" x14ac:dyDescent="0.2">
      <c r="A166" s="1"/>
      <c r="B166" s="18" t="s">
        <v>6</v>
      </c>
      <c r="C166" s="19">
        <f>C140-C165</f>
        <v>79</v>
      </c>
      <c r="D166" s="19">
        <f>D140-D165</f>
        <v>1942</v>
      </c>
      <c r="E166" s="19">
        <f t="shared" ref="E166" si="56">E140-E165</f>
        <v>1917</v>
      </c>
      <c r="F166" s="221">
        <f>F140-F165</f>
        <v>3938</v>
      </c>
      <c r="H166" s="18" t="s">
        <v>6</v>
      </c>
      <c r="I166" s="19">
        <f>I140-I165</f>
        <v>0</v>
      </c>
      <c r="J166" s="19">
        <f>J140-J165</f>
        <v>0</v>
      </c>
      <c r="K166" s="19">
        <f t="shared" ref="K166" si="57">K140-K165</f>
        <v>450</v>
      </c>
      <c r="L166" s="221">
        <f>L140-L165</f>
        <v>450</v>
      </c>
      <c r="O166" s="18" t="s">
        <v>6</v>
      </c>
      <c r="P166" s="19">
        <f>P140-P165</f>
        <v>0</v>
      </c>
      <c r="Q166" s="13">
        <f>Q140-Q165</f>
        <v>0</v>
      </c>
      <c r="S166" s="18" t="s">
        <v>6</v>
      </c>
      <c r="T166" s="19">
        <f>T140-T165</f>
        <v>0</v>
      </c>
      <c r="U166" s="13">
        <f>U140-U165</f>
        <v>0</v>
      </c>
    </row>
    <row r="167" spans="1:23" x14ac:dyDescent="0.15">
      <c r="D167" s="179"/>
    </row>
    <row r="168" spans="1:23" x14ac:dyDescent="0.15">
      <c r="D168" s="214"/>
    </row>
    <row r="169" spans="1:23" ht="18" thickBot="1" x14ac:dyDescent="0.25">
      <c r="A169" s="27" t="s">
        <v>739</v>
      </c>
      <c r="B169" s="28"/>
      <c r="C169" s="28"/>
      <c r="D169" s="28"/>
      <c r="E169" s="28"/>
      <c r="F169" s="218"/>
      <c r="H169" s="27" t="s">
        <v>740</v>
      </c>
      <c r="I169" s="28"/>
      <c r="J169" s="28"/>
      <c r="K169" s="28"/>
      <c r="L169" s="218"/>
      <c r="O169" s="181" t="s">
        <v>737</v>
      </c>
      <c r="P169" s="182"/>
      <c r="Q169" s="182"/>
      <c r="R169" s="183"/>
      <c r="S169" s="181" t="s">
        <v>733</v>
      </c>
      <c r="T169" s="182"/>
      <c r="U169" s="182"/>
      <c r="V169" s="183"/>
    </row>
    <row r="170" spans="1:23" ht="14.25" thickBot="1" x14ac:dyDescent="0.2">
      <c r="A170" s="1"/>
      <c r="B170" s="2"/>
      <c r="C170" s="194" t="s">
        <v>734</v>
      </c>
      <c r="D170" s="195" t="s">
        <v>706</v>
      </c>
      <c r="E170" s="2" t="s">
        <v>735</v>
      </c>
      <c r="F170" s="219" t="s">
        <v>1</v>
      </c>
      <c r="H170" s="2"/>
      <c r="I170" s="197" t="s">
        <v>734</v>
      </c>
      <c r="J170" s="195" t="s">
        <v>706</v>
      </c>
      <c r="K170" s="201" t="s">
        <v>735</v>
      </c>
      <c r="L170" s="219" t="s">
        <v>1</v>
      </c>
      <c r="O170" s="2"/>
      <c r="P170" s="3" t="s">
        <v>722</v>
      </c>
      <c r="Q170" s="2" t="s">
        <v>1</v>
      </c>
      <c r="S170" s="2"/>
      <c r="T170" s="3" t="s">
        <v>722</v>
      </c>
      <c r="U170" s="2" t="s">
        <v>1</v>
      </c>
    </row>
    <row r="171" spans="1:23" x14ac:dyDescent="0.15">
      <c r="A171" s="1"/>
      <c r="B171" s="164" t="s">
        <v>26</v>
      </c>
      <c r="C171" s="200">
        <f>C166</f>
        <v>79</v>
      </c>
      <c r="D171" s="164">
        <f t="shared" ref="D171:E171" si="58">D166</f>
        <v>1942</v>
      </c>
      <c r="E171" s="164">
        <f t="shared" si="58"/>
        <v>1917</v>
      </c>
      <c r="F171" s="222">
        <f>SUM(C171:E171)</f>
        <v>3938</v>
      </c>
      <c r="G171" s="210"/>
      <c r="H171" s="164" t="s">
        <v>26</v>
      </c>
      <c r="I171" s="200">
        <f>I166</f>
        <v>0</v>
      </c>
      <c r="J171" s="164">
        <f t="shared" ref="J171:K171" si="59">J166</f>
        <v>0</v>
      </c>
      <c r="K171" s="200">
        <f t="shared" si="59"/>
        <v>450</v>
      </c>
      <c r="L171" s="222">
        <f t="shared" ref="L171:L181" si="60">SUM(I171:K171)</f>
        <v>450</v>
      </c>
      <c r="M171" s="210"/>
      <c r="O171" s="171" t="s">
        <v>26</v>
      </c>
      <c r="P171" s="200">
        <f>P166</f>
        <v>0</v>
      </c>
      <c r="Q171" s="180">
        <f t="shared" ref="Q171:Q181" si="61">SUM(P171:P171)</f>
        <v>0</v>
      </c>
      <c r="R171" s="185"/>
      <c r="S171" s="43" t="s">
        <v>26</v>
      </c>
      <c r="T171" s="38">
        <f>T166</f>
        <v>0</v>
      </c>
      <c r="U171" s="39">
        <f t="shared" ref="U171:U181" si="62">SUM(T171:T171)</f>
        <v>0</v>
      </c>
      <c r="V171" s="184"/>
    </row>
    <row r="172" spans="1:23" x14ac:dyDescent="0.15">
      <c r="A172" s="1"/>
      <c r="B172" s="6" t="s">
        <v>3</v>
      </c>
      <c r="C172" s="205"/>
      <c r="D172" s="205"/>
      <c r="E172" s="207"/>
      <c r="F172" s="220">
        <f t="shared" ref="F172" si="63">SUM(C172:E172)</f>
        <v>0</v>
      </c>
      <c r="G172" s="211"/>
      <c r="H172" s="6" t="s">
        <v>3</v>
      </c>
      <c r="I172" s="188"/>
      <c r="J172" s="6"/>
      <c r="K172" s="202"/>
      <c r="L172" s="220">
        <f t="shared" si="60"/>
        <v>0</v>
      </c>
      <c r="M172" s="211"/>
      <c r="O172" s="6" t="s">
        <v>3</v>
      </c>
      <c r="P172" s="7"/>
      <c r="Q172" s="5">
        <f t="shared" si="61"/>
        <v>0</v>
      </c>
      <c r="R172" s="186"/>
      <c r="S172" s="6" t="s">
        <v>3</v>
      </c>
      <c r="T172" s="7"/>
      <c r="U172" s="5">
        <f t="shared" si="62"/>
        <v>0</v>
      </c>
      <c r="V172" s="186"/>
    </row>
    <row r="173" spans="1:23" x14ac:dyDescent="0.15">
      <c r="A173" s="1"/>
      <c r="B173" s="6" t="s">
        <v>3</v>
      </c>
      <c r="C173" s="6">
        <v>1000</v>
      </c>
      <c r="D173" s="6"/>
      <c r="E173" s="4"/>
      <c r="F173" s="220">
        <f t="shared" ref="F173:F181" si="64">SUM(C173:E173)</f>
        <v>1000</v>
      </c>
      <c r="G173" s="211">
        <v>44405</v>
      </c>
      <c r="H173" s="6" t="s">
        <v>3</v>
      </c>
      <c r="I173" s="188">
        <v>3000</v>
      </c>
      <c r="J173" s="189"/>
      <c r="K173" s="203"/>
      <c r="L173" s="220">
        <f t="shared" si="60"/>
        <v>3000</v>
      </c>
      <c r="M173" s="211">
        <v>44404</v>
      </c>
      <c r="O173" s="6" t="s">
        <v>3</v>
      </c>
      <c r="P173" s="7"/>
      <c r="Q173" s="5">
        <f t="shared" si="61"/>
        <v>0</v>
      </c>
      <c r="R173" s="186"/>
      <c r="S173" s="6" t="s">
        <v>3</v>
      </c>
      <c r="T173" s="7"/>
      <c r="U173" s="5">
        <f t="shared" si="62"/>
        <v>0</v>
      </c>
      <c r="V173" s="186"/>
    </row>
    <row r="174" spans="1:23" x14ac:dyDescent="0.15">
      <c r="A174" s="1"/>
      <c r="B174" s="6" t="s">
        <v>3</v>
      </c>
      <c r="C174" s="6">
        <v>400</v>
      </c>
      <c r="D174" s="6"/>
      <c r="E174" s="4"/>
      <c r="F174" s="220">
        <f t="shared" si="64"/>
        <v>400</v>
      </c>
      <c r="G174" s="211">
        <v>44405</v>
      </c>
      <c r="H174" s="6" t="s">
        <v>3</v>
      </c>
      <c r="I174" s="188"/>
      <c r="J174" s="6"/>
      <c r="K174" s="202"/>
      <c r="L174" s="220">
        <f t="shared" si="60"/>
        <v>0</v>
      </c>
      <c r="O174" s="6" t="s">
        <v>3</v>
      </c>
      <c r="P174" s="7"/>
      <c r="Q174" s="5">
        <f t="shared" si="61"/>
        <v>0</v>
      </c>
      <c r="R174" s="186"/>
      <c r="S174" s="6" t="s">
        <v>3</v>
      </c>
      <c r="T174" s="7"/>
      <c r="U174" s="5">
        <f t="shared" si="62"/>
        <v>0</v>
      </c>
      <c r="V174" s="186"/>
    </row>
    <row r="175" spans="1:23" x14ac:dyDescent="0.15">
      <c r="A175" s="1"/>
      <c r="B175" s="6" t="s">
        <v>3</v>
      </c>
      <c r="C175" s="6">
        <v>200</v>
      </c>
      <c r="D175" s="6"/>
      <c r="E175" s="4"/>
      <c r="F175" s="220">
        <f t="shared" si="64"/>
        <v>200</v>
      </c>
      <c r="G175" s="211">
        <v>44406</v>
      </c>
      <c r="H175" s="6" t="s">
        <v>3</v>
      </c>
      <c r="I175" s="188"/>
      <c r="J175" s="6"/>
      <c r="K175" s="202"/>
      <c r="L175" s="220">
        <f t="shared" si="60"/>
        <v>0</v>
      </c>
      <c r="O175" s="6" t="s">
        <v>3</v>
      </c>
      <c r="P175" s="7"/>
      <c r="Q175" s="5">
        <f t="shared" si="61"/>
        <v>0</v>
      </c>
      <c r="R175" s="186"/>
      <c r="S175" s="6" t="s">
        <v>3</v>
      </c>
      <c r="T175" s="7"/>
      <c r="U175" s="5">
        <f t="shared" si="62"/>
        <v>0</v>
      </c>
      <c r="V175" s="186"/>
    </row>
    <row r="176" spans="1:23" x14ac:dyDescent="0.15">
      <c r="A176" s="1"/>
      <c r="B176" s="6" t="s">
        <v>811</v>
      </c>
      <c r="C176" s="6">
        <v>3</v>
      </c>
      <c r="D176" s="6">
        <v>5</v>
      </c>
      <c r="E176" s="4">
        <v>1</v>
      </c>
      <c r="F176" s="220">
        <f t="shared" si="64"/>
        <v>9</v>
      </c>
      <c r="G176" s="248">
        <v>44406</v>
      </c>
      <c r="H176" s="6" t="s">
        <v>3</v>
      </c>
      <c r="I176" s="188"/>
      <c r="J176" s="6"/>
      <c r="K176" s="202"/>
      <c r="L176" s="220">
        <f t="shared" si="60"/>
        <v>0</v>
      </c>
      <c r="O176" s="6" t="s">
        <v>3</v>
      </c>
      <c r="P176" s="7"/>
      <c r="Q176" s="5">
        <f t="shared" si="61"/>
        <v>0</v>
      </c>
      <c r="R176" s="186"/>
      <c r="S176" s="6" t="s">
        <v>3</v>
      </c>
      <c r="T176" s="7"/>
      <c r="U176" s="5">
        <f t="shared" si="62"/>
        <v>0</v>
      </c>
      <c r="V176" s="186"/>
    </row>
    <row r="177" spans="1:22" x14ac:dyDescent="0.15">
      <c r="A177" s="1"/>
      <c r="B177" s="6" t="s">
        <v>3</v>
      </c>
      <c r="C177" s="6">
        <v>400</v>
      </c>
      <c r="D177" s="6"/>
      <c r="E177" s="4">
        <v>50</v>
      </c>
      <c r="F177" s="220">
        <f t="shared" si="64"/>
        <v>450</v>
      </c>
      <c r="G177" s="211">
        <v>44408</v>
      </c>
      <c r="H177" s="6" t="s">
        <v>3</v>
      </c>
      <c r="I177" s="188"/>
      <c r="J177" s="6"/>
      <c r="K177" s="202"/>
      <c r="L177" s="220">
        <f t="shared" si="60"/>
        <v>0</v>
      </c>
      <c r="O177" s="6" t="s">
        <v>3</v>
      </c>
      <c r="P177" s="7"/>
      <c r="Q177" s="5">
        <f t="shared" si="61"/>
        <v>0</v>
      </c>
      <c r="R177" s="186"/>
      <c r="S177" s="6" t="s">
        <v>3</v>
      </c>
      <c r="T177" s="7"/>
      <c r="U177" s="5">
        <f t="shared" si="62"/>
        <v>0</v>
      </c>
      <c r="V177" s="186"/>
    </row>
    <row r="178" spans="1:22" x14ac:dyDescent="0.15">
      <c r="A178" s="1"/>
      <c r="B178" s="6" t="s">
        <v>3</v>
      </c>
      <c r="C178" s="6">
        <v>400</v>
      </c>
      <c r="D178" s="225"/>
      <c r="E178" s="226"/>
      <c r="F178" s="220">
        <f t="shared" si="64"/>
        <v>400</v>
      </c>
      <c r="G178" s="211">
        <v>44411</v>
      </c>
      <c r="H178" s="6" t="s">
        <v>3</v>
      </c>
      <c r="I178" s="188"/>
      <c r="J178" s="189"/>
      <c r="K178" s="203"/>
      <c r="L178" s="220">
        <f t="shared" si="60"/>
        <v>0</v>
      </c>
      <c r="M178" s="211"/>
      <c r="O178" s="6" t="s">
        <v>3</v>
      </c>
      <c r="P178" s="8"/>
      <c r="Q178" s="5">
        <f t="shared" si="61"/>
        <v>0</v>
      </c>
      <c r="R178" s="186"/>
      <c r="S178" s="6" t="s">
        <v>3</v>
      </c>
      <c r="T178" s="8"/>
      <c r="U178" s="5">
        <f t="shared" si="62"/>
        <v>0</v>
      </c>
      <c r="V178" s="186"/>
    </row>
    <row r="179" spans="1:22" x14ac:dyDescent="0.15">
      <c r="A179" s="1"/>
      <c r="B179" s="6" t="s">
        <v>3</v>
      </c>
      <c r="C179" s="6"/>
      <c r="D179" s="225"/>
      <c r="E179" s="226"/>
      <c r="F179" s="220">
        <f t="shared" si="64"/>
        <v>0</v>
      </c>
      <c r="H179" s="6" t="s">
        <v>3</v>
      </c>
      <c r="I179" s="188"/>
      <c r="J179" s="189"/>
      <c r="K179" s="203"/>
      <c r="L179" s="220">
        <f t="shared" si="60"/>
        <v>0</v>
      </c>
      <c r="M179" s="212"/>
      <c r="O179" s="6" t="s">
        <v>3</v>
      </c>
      <c r="P179" s="8"/>
      <c r="Q179" s="5">
        <f t="shared" si="61"/>
        <v>0</v>
      </c>
      <c r="R179" s="186"/>
      <c r="S179" s="6" t="s">
        <v>3</v>
      </c>
      <c r="T179" s="8"/>
      <c r="U179" s="5">
        <f t="shared" si="62"/>
        <v>0</v>
      </c>
      <c r="V179" s="186"/>
    </row>
    <row r="180" spans="1:22" x14ac:dyDescent="0.15">
      <c r="A180" s="1"/>
      <c r="B180" s="6" t="s">
        <v>830</v>
      </c>
      <c r="C180" s="6">
        <v>600</v>
      </c>
      <c r="D180" s="225"/>
      <c r="E180" s="226">
        <v>100</v>
      </c>
      <c r="F180" s="220">
        <f t="shared" si="64"/>
        <v>700</v>
      </c>
      <c r="G180" s="211">
        <v>44415</v>
      </c>
      <c r="H180" s="6" t="s">
        <v>3</v>
      </c>
      <c r="I180" s="188"/>
      <c r="J180" s="189"/>
      <c r="K180" s="203"/>
      <c r="L180" s="220">
        <f t="shared" si="60"/>
        <v>0</v>
      </c>
      <c r="O180" s="6" t="s">
        <v>3</v>
      </c>
      <c r="P180" s="8"/>
      <c r="Q180" s="5">
        <f t="shared" si="61"/>
        <v>0</v>
      </c>
      <c r="R180" s="186"/>
      <c r="S180" s="6" t="s">
        <v>3</v>
      </c>
      <c r="T180" s="8"/>
      <c r="U180" s="5">
        <f t="shared" si="62"/>
        <v>0</v>
      </c>
      <c r="V180" s="186"/>
    </row>
    <row r="181" spans="1:22" ht="14.25" thickBot="1" x14ac:dyDescent="0.2">
      <c r="A181" s="1"/>
      <c r="B181" s="9" t="s">
        <v>3</v>
      </c>
      <c r="C181" s="9"/>
      <c r="D181" s="237"/>
      <c r="E181" s="238"/>
      <c r="F181" s="220">
        <f t="shared" si="64"/>
        <v>0</v>
      </c>
      <c r="G181" s="212"/>
      <c r="H181" s="9" t="s">
        <v>3</v>
      </c>
      <c r="I181" s="198"/>
      <c r="J181" s="199"/>
      <c r="K181" s="204"/>
      <c r="L181" s="220">
        <f t="shared" si="60"/>
        <v>0</v>
      </c>
      <c r="O181" s="9" t="s">
        <v>3</v>
      </c>
      <c r="P181" s="10"/>
      <c r="Q181" s="5">
        <f t="shared" si="61"/>
        <v>0</v>
      </c>
      <c r="R181" s="186"/>
      <c r="S181" s="9" t="s">
        <v>3</v>
      </c>
      <c r="T181" s="10"/>
      <c r="U181" s="5">
        <f t="shared" si="62"/>
        <v>0</v>
      </c>
      <c r="V181" s="186"/>
    </row>
    <row r="182" spans="1:22" ht="14.25" thickBot="1" x14ac:dyDescent="0.2">
      <c r="A182" s="1"/>
      <c r="B182" s="11" t="s">
        <v>4</v>
      </c>
      <c r="C182" s="193">
        <f>SUM(C171:C181)</f>
        <v>3082</v>
      </c>
      <c r="D182" s="193">
        <f>SUM(D171:D181)</f>
        <v>1947</v>
      </c>
      <c r="E182" s="193">
        <f>SUM(E171:E181)</f>
        <v>2068</v>
      </c>
      <c r="F182" s="221">
        <f>SUM(F171:F181)</f>
        <v>7097</v>
      </c>
      <c r="H182" s="11" t="s">
        <v>4</v>
      </c>
      <c r="I182" s="193">
        <f>SUM(I171:I181)</f>
        <v>3000</v>
      </c>
      <c r="J182" s="193">
        <f>SUM(J171:J181)</f>
        <v>0</v>
      </c>
      <c r="K182" s="193">
        <f t="shared" ref="K182" si="65">SUM(K171:K181)</f>
        <v>450</v>
      </c>
      <c r="L182" s="221">
        <f>SUM(L171:L181)</f>
        <v>3450</v>
      </c>
      <c r="O182" s="11" t="s">
        <v>4</v>
      </c>
      <c r="P182" s="12">
        <f>SUM(P171:P181)</f>
        <v>0</v>
      </c>
      <c r="Q182" s="13">
        <f>SUM(Q171:Q181)</f>
        <v>0</v>
      </c>
      <c r="S182" s="11" t="s">
        <v>4</v>
      </c>
      <c r="T182" s="12">
        <f>SUM(T171:T181)</f>
        <v>0</v>
      </c>
      <c r="U182" s="13">
        <f>SUM(U171:U181)</f>
        <v>0</v>
      </c>
    </row>
    <row r="183" spans="1:22" x14ac:dyDescent="0.15">
      <c r="A183" s="1"/>
      <c r="B183" s="4" t="s">
        <v>816</v>
      </c>
      <c r="C183" s="215">
        <v>600</v>
      </c>
      <c r="D183" s="215">
        <v>600</v>
      </c>
      <c r="E183" s="216">
        <v>600</v>
      </c>
      <c r="F183" s="220">
        <f t="shared" ref="F183:F206" si="66">SUM(C183:E183)</f>
        <v>1800</v>
      </c>
      <c r="G183" s="211">
        <v>44413</v>
      </c>
      <c r="H183" s="6" t="s">
        <v>819</v>
      </c>
      <c r="I183" s="196">
        <v>1000</v>
      </c>
      <c r="J183" s="6"/>
      <c r="K183" s="4"/>
      <c r="L183" s="220">
        <f t="shared" ref="L183:L204" si="67">SUM(I183:K183)</f>
        <v>1000</v>
      </c>
      <c r="M183" s="211">
        <v>44404</v>
      </c>
      <c r="O183" s="4"/>
      <c r="P183" s="44"/>
      <c r="Q183" s="14">
        <f t="shared" ref="Q183:Q206" si="68">SUM(P183:P183)</f>
        <v>0</v>
      </c>
      <c r="R183" s="186"/>
      <c r="S183" s="4"/>
      <c r="T183" s="44"/>
      <c r="U183" s="14">
        <f t="shared" ref="U183:U204" si="69">SUM(T183:T183)</f>
        <v>0</v>
      </c>
    </row>
    <row r="184" spans="1:22" x14ac:dyDescent="0.15">
      <c r="A184" s="1"/>
      <c r="B184" s="4" t="s">
        <v>824</v>
      </c>
      <c r="C184" s="216">
        <v>300</v>
      </c>
      <c r="D184" s="232">
        <v>300</v>
      </c>
      <c r="E184" s="232">
        <v>300</v>
      </c>
      <c r="F184" s="220">
        <f t="shared" si="66"/>
        <v>900</v>
      </c>
      <c r="G184" s="211">
        <v>44413</v>
      </c>
      <c r="H184" s="6" t="s">
        <v>765</v>
      </c>
      <c r="I184" s="216">
        <v>400</v>
      </c>
      <c r="J184" s="189"/>
      <c r="K184" s="189"/>
      <c r="L184" s="220">
        <f t="shared" si="67"/>
        <v>400</v>
      </c>
      <c r="M184" s="211">
        <v>44404</v>
      </c>
      <c r="O184" s="4"/>
      <c r="P184" s="15"/>
      <c r="Q184" s="14">
        <f t="shared" si="68"/>
        <v>0</v>
      </c>
      <c r="R184" s="186"/>
      <c r="S184" s="4"/>
      <c r="T184" s="15"/>
      <c r="U184" s="14">
        <f t="shared" si="69"/>
        <v>0</v>
      </c>
    </row>
    <row r="185" spans="1:22" x14ac:dyDescent="0.15">
      <c r="A185" s="1"/>
      <c r="B185" s="4" t="s">
        <v>749</v>
      </c>
      <c r="C185" s="216">
        <v>92</v>
      </c>
      <c r="D185" s="189"/>
      <c r="E185" s="189">
        <f>1+6+1+1+11+1</f>
        <v>21</v>
      </c>
      <c r="F185" s="220">
        <f t="shared" si="66"/>
        <v>113</v>
      </c>
      <c r="G185" s="248">
        <v>44404</v>
      </c>
      <c r="H185" s="6" t="s">
        <v>765</v>
      </c>
      <c r="I185" s="216">
        <v>200</v>
      </c>
      <c r="J185" s="189"/>
      <c r="K185" s="189"/>
      <c r="L185" s="220">
        <f t="shared" si="67"/>
        <v>200</v>
      </c>
      <c r="M185" s="211">
        <v>44406</v>
      </c>
      <c r="O185" s="4"/>
      <c r="P185" s="15"/>
      <c r="Q185" s="14">
        <f t="shared" si="68"/>
        <v>0</v>
      </c>
      <c r="R185" s="186"/>
      <c r="S185" s="4"/>
      <c r="T185" s="15"/>
      <c r="U185" s="14">
        <f t="shared" si="69"/>
        <v>0</v>
      </c>
    </row>
    <row r="186" spans="1:22" x14ac:dyDescent="0.15">
      <c r="A186" s="1"/>
      <c r="B186" s="178" t="s">
        <v>828</v>
      </c>
      <c r="C186" s="233">
        <v>5</v>
      </c>
      <c r="D186" s="234">
        <v>5</v>
      </c>
      <c r="E186" s="234">
        <v>5</v>
      </c>
      <c r="F186" s="220">
        <f t="shared" si="66"/>
        <v>15</v>
      </c>
      <c r="G186" s="211">
        <v>44406</v>
      </c>
      <c r="H186" s="6" t="s">
        <v>765</v>
      </c>
      <c r="I186" s="215">
        <v>400</v>
      </c>
      <c r="J186" s="215"/>
      <c r="K186" s="216">
        <v>50</v>
      </c>
      <c r="L186" s="220">
        <f t="shared" si="67"/>
        <v>450</v>
      </c>
      <c r="M186" s="211">
        <v>44408</v>
      </c>
      <c r="O186" s="4"/>
      <c r="P186" s="15"/>
      <c r="Q186" s="14">
        <f t="shared" si="68"/>
        <v>0</v>
      </c>
      <c r="R186" s="186"/>
      <c r="S186" s="4"/>
      <c r="T186" s="15"/>
      <c r="U186" s="14">
        <f t="shared" si="69"/>
        <v>0</v>
      </c>
    </row>
    <row r="187" spans="1:22" x14ac:dyDescent="0.15">
      <c r="A187" s="1"/>
      <c r="B187" s="4" t="s">
        <v>749</v>
      </c>
      <c r="C187" s="233">
        <f>1+9+17+2+1+32+99+29+12+3</f>
        <v>205</v>
      </c>
      <c r="D187" s="234">
        <f>4+1+1+4</f>
        <v>10</v>
      </c>
      <c r="E187" s="234">
        <f>1+2+1+6</f>
        <v>10</v>
      </c>
      <c r="F187" s="220">
        <f t="shared" si="66"/>
        <v>225</v>
      </c>
      <c r="G187" s="248">
        <v>44405</v>
      </c>
      <c r="H187" s="6" t="s">
        <v>765</v>
      </c>
      <c r="I187" s="233">
        <v>400</v>
      </c>
      <c r="J187" s="15"/>
      <c r="K187" s="15"/>
      <c r="L187" s="220">
        <f t="shared" si="67"/>
        <v>400</v>
      </c>
      <c r="M187" s="211">
        <v>44411</v>
      </c>
      <c r="O187" s="4"/>
      <c r="P187" s="15"/>
      <c r="Q187" s="14">
        <f t="shared" si="68"/>
        <v>0</v>
      </c>
      <c r="R187" s="186"/>
      <c r="S187" s="4"/>
      <c r="T187" s="15"/>
      <c r="U187" s="14">
        <f t="shared" si="69"/>
        <v>0</v>
      </c>
    </row>
    <row r="188" spans="1:22" x14ac:dyDescent="0.15">
      <c r="A188" s="1"/>
      <c r="B188" s="178" t="s">
        <v>829</v>
      </c>
      <c r="C188" s="233">
        <v>5</v>
      </c>
      <c r="D188" s="234">
        <v>5</v>
      </c>
      <c r="E188" s="234">
        <v>5</v>
      </c>
      <c r="F188" s="220">
        <f t="shared" si="66"/>
        <v>15</v>
      </c>
      <c r="G188" s="211">
        <v>44407</v>
      </c>
      <c r="H188" s="6" t="s">
        <v>765</v>
      </c>
      <c r="I188" s="233">
        <v>600</v>
      </c>
      <c r="J188" s="15"/>
      <c r="K188" s="15">
        <v>100</v>
      </c>
      <c r="L188" s="220">
        <f t="shared" si="67"/>
        <v>700</v>
      </c>
      <c r="M188" s="211">
        <v>44415</v>
      </c>
      <c r="O188" s="4"/>
      <c r="P188" s="15"/>
      <c r="Q188" s="14">
        <f t="shared" si="68"/>
        <v>0</v>
      </c>
      <c r="R188" s="186"/>
      <c r="S188" s="4"/>
      <c r="T188" s="15"/>
      <c r="U188" s="14">
        <f t="shared" si="69"/>
        <v>0</v>
      </c>
    </row>
    <row r="189" spans="1:22" x14ac:dyDescent="0.15">
      <c r="A189" s="1"/>
      <c r="B189" s="4" t="s">
        <v>764</v>
      </c>
      <c r="C189" s="233">
        <v>100</v>
      </c>
      <c r="D189" s="234"/>
      <c r="E189" s="234"/>
      <c r="F189" s="220">
        <f t="shared" si="66"/>
        <v>100</v>
      </c>
      <c r="G189" s="211">
        <v>44407</v>
      </c>
      <c r="H189" s="4"/>
      <c r="I189" s="187"/>
      <c r="J189" s="15"/>
      <c r="K189" s="15"/>
      <c r="L189" s="220">
        <f t="shared" si="67"/>
        <v>0</v>
      </c>
      <c r="O189" s="4"/>
      <c r="P189" s="15"/>
      <c r="Q189" s="14">
        <f t="shared" si="68"/>
        <v>0</v>
      </c>
      <c r="R189" s="186"/>
      <c r="S189" s="4"/>
      <c r="T189" s="15"/>
      <c r="U189" s="14">
        <f t="shared" si="69"/>
        <v>0</v>
      </c>
    </row>
    <row r="190" spans="1:22" x14ac:dyDescent="0.15">
      <c r="A190" s="1"/>
      <c r="B190" s="4" t="s">
        <v>749</v>
      </c>
      <c r="C190" s="233">
        <f>36+12+1+1+10+5</f>
        <v>65</v>
      </c>
      <c r="D190" s="234">
        <f>3+1</f>
        <v>4</v>
      </c>
      <c r="E190" s="234">
        <f>1+2+1</f>
        <v>4</v>
      </c>
      <c r="F190" s="220">
        <f t="shared" si="66"/>
        <v>73</v>
      </c>
      <c r="G190" s="211">
        <v>44406</v>
      </c>
      <c r="H190" s="4"/>
      <c r="I190" s="187"/>
      <c r="J190" s="15"/>
      <c r="K190" s="15"/>
      <c r="L190" s="220">
        <f t="shared" si="67"/>
        <v>0</v>
      </c>
      <c r="O190" s="4"/>
      <c r="P190" s="15"/>
      <c r="Q190" s="14">
        <f t="shared" si="68"/>
        <v>0</v>
      </c>
      <c r="R190" s="186"/>
      <c r="S190" s="4"/>
      <c r="T190" s="15"/>
      <c r="U190" s="14">
        <f t="shared" si="69"/>
        <v>0</v>
      </c>
    </row>
    <row r="191" spans="1:22" x14ac:dyDescent="0.15">
      <c r="A191" s="1"/>
      <c r="B191" s="4" t="s">
        <v>764</v>
      </c>
      <c r="C191" s="233">
        <v>100</v>
      </c>
      <c r="D191" s="234"/>
      <c r="E191" s="234"/>
      <c r="F191" s="220">
        <f t="shared" si="66"/>
        <v>100</v>
      </c>
      <c r="G191" s="211">
        <v>44408</v>
      </c>
      <c r="H191" s="4"/>
      <c r="I191" s="187"/>
      <c r="J191" s="15"/>
      <c r="K191" s="15"/>
      <c r="L191" s="220">
        <f t="shared" si="67"/>
        <v>0</v>
      </c>
      <c r="O191" s="4"/>
      <c r="P191" s="15"/>
      <c r="Q191" s="14">
        <f t="shared" si="68"/>
        <v>0</v>
      </c>
      <c r="R191" s="186"/>
      <c r="S191" s="4"/>
      <c r="T191" s="15"/>
      <c r="U191" s="14">
        <f t="shared" si="69"/>
        <v>0</v>
      </c>
    </row>
    <row r="192" spans="1:22" x14ac:dyDescent="0.15">
      <c r="A192" s="1"/>
      <c r="B192" s="4" t="s">
        <v>749</v>
      </c>
      <c r="C192" s="233">
        <v>73</v>
      </c>
      <c r="D192" s="234">
        <f>2+3+4</f>
        <v>9</v>
      </c>
      <c r="E192" s="234">
        <f>2+2+4</f>
        <v>8</v>
      </c>
      <c r="F192" s="220">
        <f t="shared" si="66"/>
        <v>90</v>
      </c>
      <c r="G192" s="248">
        <v>44407</v>
      </c>
      <c r="H192" s="4"/>
      <c r="I192" s="187"/>
      <c r="J192" s="15"/>
      <c r="K192" s="15"/>
      <c r="L192" s="220">
        <f t="shared" si="67"/>
        <v>0</v>
      </c>
      <c r="O192" s="4"/>
      <c r="P192" s="15"/>
      <c r="Q192" s="14">
        <f t="shared" si="68"/>
        <v>0</v>
      </c>
      <c r="R192" s="186"/>
      <c r="S192" s="4"/>
      <c r="T192" s="15"/>
      <c r="U192" s="14">
        <f t="shared" si="69"/>
        <v>0</v>
      </c>
    </row>
    <row r="193" spans="1:22" x14ac:dyDescent="0.15">
      <c r="A193" s="1"/>
      <c r="B193" s="4" t="s">
        <v>749</v>
      </c>
      <c r="C193" s="233">
        <f>1+2+1+1+24+39</f>
        <v>68</v>
      </c>
      <c r="D193" s="234">
        <f>2+1</f>
        <v>3</v>
      </c>
      <c r="E193" s="234">
        <f>1+5+1+2</f>
        <v>9</v>
      </c>
      <c r="F193" s="220">
        <f t="shared" si="66"/>
        <v>80</v>
      </c>
      <c r="G193" s="248">
        <v>44408</v>
      </c>
      <c r="H193" s="4"/>
      <c r="I193" s="187"/>
      <c r="J193" s="15"/>
      <c r="K193" s="15"/>
      <c r="L193" s="220">
        <f t="shared" si="67"/>
        <v>0</v>
      </c>
      <c r="O193" s="4"/>
      <c r="P193" s="15"/>
      <c r="Q193" s="14">
        <f t="shared" si="68"/>
        <v>0</v>
      </c>
      <c r="R193" s="186"/>
      <c r="S193" s="4"/>
      <c r="T193" s="15"/>
      <c r="U193" s="14">
        <f t="shared" si="69"/>
        <v>0</v>
      </c>
    </row>
    <row r="194" spans="1:22" x14ac:dyDescent="0.15">
      <c r="A194" s="1"/>
      <c r="B194" s="4" t="s">
        <v>749</v>
      </c>
      <c r="C194" s="235">
        <f>11+2+94+34+9+3</f>
        <v>153</v>
      </c>
      <c r="D194" s="234">
        <f>1+2+1</f>
        <v>4</v>
      </c>
      <c r="E194" s="234">
        <f>2+6+11+2</f>
        <v>21</v>
      </c>
      <c r="F194" s="220">
        <f t="shared" si="66"/>
        <v>178</v>
      </c>
      <c r="G194" s="248">
        <v>44410</v>
      </c>
      <c r="H194" s="6"/>
      <c r="I194" s="188"/>
      <c r="J194" s="15"/>
      <c r="K194" s="15"/>
      <c r="L194" s="220">
        <f t="shared" si="67"/>
        <v>0</v>
      </c>
      <c r="O194" s="6"/>
      <c r="P194" s="15"/>
      <c r="Q194" s="14">
        <f t="shared" si="68"/>
        <v>0</v>
      </c>
      <c r="R194" s="186"/>
      <c r="S194" s="6"/>
      <c r="T194" s="15"/>
      <c r="U194" s="14">
        <f t="shared" si="69"/>
        <v>0</v>
      </c>
    </row>
    <row r="195" spans="1:22" x14ac:dyDescent="0.15">
      <c r="A195" s="1"/>
      <c r="B195" s="4" t="s">
        <v>764</v>
      </c>
      <c r="C195" s="235">
        <v>100</v>
      </c>
      <c r="D195" s="234"/>
      <c r="E195" s="234"/>
      <c r="F195" s="220">
        <f t="shared" si="66"/>
        <v>100</v>
      </c>
      <c r="G195" s="248">
        <v>44411</v>
      </c>
      <c r="H195" s="6"/>
      <c r="I195" s="188"/>
      <c r="J195" s="15"/>
      <c r="K195" s="15"/>
      <c r="L195" s="220">
        <f t="shared" si="67"/>
        <v>0</v>
      </c>
      <c r="O195" s="6"/>
      <c r="P195" s="15"/>
      <c r="Q195" s="14">
        <f t="shared" si="68"/>
        <v>0</v>
      </c>
      <c r="R195" s="186"/>
      <c r="S195" s="6"/>
      <c r="T195" s="15"/>
      <c r="U195" s="14">
        <f t="shared" si="69"/>
        <v>0</v>
      </c>
    </row>
    <row r="196" spans="1:22" x14ac:dyDescent="0.15">
      <c r="A196" s="1"/>
      <c r="B196" s="4" t="s">
        <v>749</v>
      </c>
      <c r="C196" s="235">
        <f>21+4+2+9</f>
        <v>36</v>
      </c>
      <c r="D196" s="234">
        <f>1+2+1</f>
        <v>4</v>
      </c>
      <c r="E196" s="234">
        <f>1+2+2</f>
        <v>5</v>
      </c>
      <c r="F196" s="220">
        <f t="shared" si="66"/>
        <v>45</v>
      </c>
      <c r="G196" s="211">
        <v>44411</v>
      </c>
      <c r="H196" s="4"/>
      <c r="I196" s="187"/>
      <c r="J196" s="15"/>
      <c r="K196" s="15"/>
      <c r="L196" s="220">
        <f t="shared" si="67"/>
        <v>0</v>
      </c>
      <c r="O196" s="4"/>
      <c r="P196" s="15"/>
      <c r="Q196" s="14">
        <f t="shared" si="68"/>
        <v>0</v>
      </c>
      <c r="R196" s="186"/>
      <c r="S196" s="4"/>
      <c r="T196" s="15"/>
      <c r="U196" s="14">
        <f t="shared" si="69"/>
        <v>0</v>
      </c>
    </row>
    <row r="197" spans="1:22" x14ac:dyDescent="0.15">
      <c r="A197" s="1"/>
      <c r="B197" s="4" t="s">
        <v>764</v>
      </c>
      <c r="C197" s="233">
        <v>100</v>
      </c>
      <c r="D197" s="234"/>
      <c r="E197" s="234">
        <v>30</v>
      </c>
      <c r="F197" s="220">
        <f t="shared" si="66"/>
        <v>130</v>
      </c>
      <c r="G197" s="248">
        <v>44412</v>
      </c>
      <c r="H197" s="4"/>
      <c r="I197" s="187"/>
      <c r="J197" s="15"/>
      <c r="K197" s="15"/>
      <c r="L197" s="220">
        <f t="shared" si="67"/>
        <v>0</v>
      </c>
      <c r="O197" s="4"/>
      <c r="P197" s="15"/>
      <c r="Q197" s="14">
        <f t="shared" si="68"/>
        <v>0</v>
      </c>
      <c r="R197" s="186"/>
      <c r="S197" s="4"/>
      <c r="T197" s="15"/>
      <c r="U197" s="14">
        <f t="shared" si="69"/>
        <v>0</v>
      </c>
    </row>
    <row r="198" spans="1:22" x14ac:dyDescent="0.15">
      <c r="A198" s="1"/>
      <c r="B198" s="4" t="s">
        <v>749</v>
      </c>
      <c r="C198" s="233">
        <f>1+1+13+12+2+5+3</f>
        <v>37</v>
      </c>
      <c r="D198" s="234">
        <f>1+1+7+7+2</f>
        <v>18</v>
      </c>
      <c r="E198" s="234">
        <f>1+1+2</f>
        <v>4</v>
      </c>
      <c r="F198" s="220">
        <f t="shared" si="66"/>
        <v>59</v>
      </c>
      <c r="G198" s="211">
        <v>44412</v>
      </c>
      <c r="H198" s="4"/>
      <c r="I198" s="187"/>
      <c r="J198" s="15"/>
      <c r="K198" s="15"/>
      <c r="L198" s="220">
        <f t="shared" si="67"/>
        <v>0</v>
      </c>
      <c r="O198" s="4"/>
      <c r="P198" s="15"/>
      <c r="Q198" s="14">
        <f t="shared" si="68"/>
        <v>0</v>
      </c>
      <c r="R198" s="186"/>
      <c r="S198" s="4"/>
      <c r="T198" s="15"/>
      <c r="U198" s="14">
        <f t="shared" si="69"/>
        <v>0</v>
      </c>
    </row>
    <row r="199" spans="1:22" x14ac:dyDescent="0.15">
      <c r="A199" s="1"/>
      <c r="B199" s="4" t="s">
        <v>764</v>
      </c>
      <c r="C199" s="233">
        <v>100</v>
      </c>
      <c r="D199" s="234"/>
      <c r="E199" s="234"/>
      <c r="F199" s="220">
        <f t="shared" si="66"/>
        <v>100</v>
      </c>
      <c r="G199" s="211">
        <v>44413</v>
      </c>
      <c r="H199" s="6"/>
      <c r="I199" s="188"/>
      <c r="J199" s="15"/>
      <c r="K199" s="15"/>
      <c r="L199" s="220">
        <f t="shared" si="67"/>
        <v>0</v>
      </c>
      <c r="O199" s="6"/>
      <c r="P199" s="15"/>
      <c r="Q199" s="14">
        <f t="shared" si="68"/>
        <v>0</v>
      </c>
      <c r="R199" s="186"/>
      <c r="S199" s="6"/>
      <c r="T199" s="15"/>
      <c r="U199" s="14">
        <f t="shared" si="69"/>
        <v>0</v>
      </c>
    </row>
    <row r="200" spans="1:22" x14ac:dyDescent="0.15">
      <c r="A200" s="1"/>
      <c r="B200" s="4" t="s">
        <v>749</v>
      </c>
      <c r="C200" s="235">
        <f>2+5+4+1+43+1+28+1+12+2+1+1</f>
        <v>101</v>
      </c>
      <c r="D200" s="234">
        <f>5+1+1+8+5+2+1+2</f>
        <v>25</v>
      </c>
      <c r="E200" s="234">
        <f>5+1+1+2+5+1+1+1</f>
        <v>17</v>
      </c>
      <c r="F200" s="220">
        <f t="shared" si="66"/>
        <v>143</v>
      </c>
      <c r="G200" s="211">
        <v>44413</v>
      </c>
      <c r="H200" s="4"/>
      <c r="I200" s="187"/>
      <c r="J200" s="15"/>
      <c r="K200" s="15"/>
      <c r="L200" s="220">
        <f t="shared" si="67"/>
        <v>0</v>
      </c>
      <c r="O200" s="4"/>
      <c r="P200" s="15"/>
      <c r="Q200" s="14">
        <f t="shared" si="68"/>
        <v>0</v>
      </c>
      <c r="R200" s="186"/>
      <c r="S200" s="4"/>
      <c r="T200" s="15"/>
      <c r="U200" s="14">
        <f t="shared" si="69"/>
        <v>0</v>
      </c>
    </row>
    <row r="201" spans="1:22" x14ac:dyDescent="0.15">
      <c r="A201" s="1"/>
      <c r="B201" s="4" t="s">
        <v>749</v>
      </c>
      <c r="C201" s="233">
        <f>55+2+5+7+28+3+6+10+13</f>
        <v>129</v>
      </c>
      <c r="D201" s="234">
        <f>7+4+6+1+2</f>
        <v>20</v>
      </c>
      <c r="E201" s="234">
        <f>7+1+2</f>
        <v>10</v>
      </c>
      <c r="F201" s="220">
        <f t="shared" si="66"/>
        <v>159</v>
      </c>
      <c r="G201" s="248">
        <v>44414</v>
      </c>
      <c r="H201" s="6"/>
      <c r="I201" s="188"/>
      <c r="J201" s="15"/>
      <c r="K201" s="15"/>
      <c r="L201" s="220">
        <f t="shared" si="67"/>
        <v>0</v>
      </c>
      <c r="O201" s="6"/>
      <c r="P201" s="15"/>
      <c r="Q201" s="14">
        <f t="shared" si="68"/>
        <v>0</v>
      </c>
      <c r="R201" s="186"/>
      <c r="S201" s="6"/>
      <c r="T201" s="15"/>
      <c r="U201" s="14">
        <f t="shared" si="69"/>
        <v>0</v>
      </c>
    </row>
    <row r="202" spans="1:22" x14ac:dyDescent="0.15">
      <c r="A202" s="1"/>
      <c r="B202" s="4" t="s">
        <v>749</v>
      </c>
      <c r="C202" s="233">
        <f>11+9+1+1</f>
        <v>22</v>
      </c>
      <c r="D202" s="234">
        <f>2+1+1+2</f>
        <v>6</v>
      </c>
      <c r="E202" s="234">
        <f>1</f>
        <v>1</v>
      </c>
      <c r="F202" s="220">
        <f t="shared" ref="F202:F204" si="70">SUM(C202:E202)</f>
        <v>29</v>
      </c>
      <c r="G202" s="211">
        <v>44415</v>
      </c>
      <c r="H202" s="4"/>
      <c r="I202" s="187"/>
      <c r="J202" s="15"/>
      <c r="K202" s="15"/>
      <c r="L202" s="220">
        <f t="shared" si="67"/>
        <v>0</v>
      </c>
      <c r="O202" s="4"/>
      <c r="P202" s="15"/>
      <c r="Q202" s="14">
        <f t="shared" si="68"/>
        <v>0</v>
      </c>
      <c r="R202" s="186"/>
      <c r="S202" s="4"/>
      <c r="T202" s="15"/>
      <c r="U202" s="14">
        <f t="shared" si="69"/>
        <v>0</v>
      </c>
      <c r="V202" s="186"/>
    </row>
    <row r="203" spans="1:22" x14ac:dyDescent="0.15">
      <c r="A203" s="75"/>
      <c r="B203" s="4" t="s">
        <v>764</v>
      </c>
      <c r="C203" s="233">
        <v>100</v>
      </c>
      <c r="D203" s="234"/>
      <c r="E203" s="234"/>
      <c r="F203" s="220">
        <f t="shared" si="70"/>
        <v>100</v>
      </c>
      <c r="G203" s="211">
        <v>44416</v>
      </c>
      <c r="H203" s="4"/>
      <c r="I203" s="187"/>
      <c r="J203" s="15"/>
      <c r="K203" s="15"/>
      <c r="L203" s="220">
        <f t="shared" si="67"/>
        <v>0</v>
      </c>
      <c r="M203" s="212"/>
      <c r="O203" s="4"/>
      <c r="P203" s="15"/>
      <c r="Q203" s="14">
        <f t="shared" si="68"/>
        <v>0</v>
      </c>
      <c r="R203" s="186"/>
      <c r="S203" s="4"/>
      <c r="T203" s="15"/>
      <c r="U203" s="14">
        <f t="shared" si="69"/>
        <v>0</v>
      </c>
      <c r="V203" s="186"/>
    </row>
    <row r="204" spans="1:22" x14ac:dyDescent="0.15">
      <c r="A204" s="1"/>
      <c r="B204" s="4" t="s">
        <v>795</v>
      </c>
      <c r="C204" s="233">
        <v>-1</v>
      </c>
      <c r="D204" s="234"/>
      <c r="E204" s="234"/>
      <c r="F204" s="220">
        <f t="shared" si="70"/>
        <v>-1</v>
      </c>
      <c r="G204" s="211">
        <v>44415</v>
      </c>
      <c r="H204" s="4"/>
      <c r="I204" s="187"/>
      <c r="J204" s="15"/>
      <c r="K204" s="15"/>
      <c r="L204" s="220">
        <f t="shared" si="67"/>
        <v>0</v>
      </c>
      <c r="M204" s="212"/>
      <c r="O204" s="4"/>
      <c r="P204" s="15"/>
      <c r="Q204" s="14">
        <f t="shared" si="68"/>
        <v>0</v>
      </c>
      <c r="R204" s="186"/>
      <c r="S204" s="4"/>
      <c r="T204" s="15"/>
      <c r="U204" s="14">
        <f t="shared" si="69"/>
        <v>0</v>
      </c>
      <c r="V204" s="186"/>
    </row>
    <row r="205" spans="1:22" x14ac:dyDescent="0.15">
      <c r="A205" s="1"/>
      <c r="B205" s="4"/>
      <c r="C205" s="233"/>
      <c r="D205" s="234"/>
      <c r="E205" s="234"/>
      <c r="F205" s="220">
        <f t="shared" si="66"/>
        <v>0</v>
      </c>
      <c r="G205" s="242"/>
      <c r="H205" s="4"/>
      <c r="I205" s="206"/>
      <c r="J205" s="206"/>
      <c r="K205" s="206"/>
      <c r="L205" s="220">
        <f>SUM(I205:K205)</f>
        <v>0</v>
      </c>
      <c r="M205" s="212"/>
      <c r="O205" s="6"/>
      <c r="P205" s="15"/>
      <c r="Q205" s="14">
        <f t="shared" si="68"/>
        <v>0</v>
      </c>
      <c r="R205" s="186"/>
      <c r="S205" s="4"/>
      <c r="T205" s="15"/>
      <c r="U205" s="14">
        <f t="shared" ref="U205:U206" si="71">SUM(T205:T205)</f>
        <v>0</v>
      </c>
      <c r="V205" s="186"/>
    </row>
    <row r="206" spans="1:22" ht="14.25" thickBot="1" x14ac:dyDescent="0.2">
      <c r="A206" s="1"/>
      <c r="B206" s="6"/>
      <c r="C206" s="188"/>
      <c r="D206" s="15"/>
      <c r="E206" s="15"/>
      <c r="F206" s="220">
        <f t="shared" si="66"/>
        <v>0</v>
      </c>
      <c r="G206" s="211"/>
      <c r="H206" s="6"/>
      <c r="I206" s="206"/>
      <c r="J206" s="206"/>
      <c r="K206" s="206"/>
      <c r="L206" s="220">
        <f t="shared" ref="L206" si="72">SUM(I206:K206)</f>
        <v>0</v>
      </c>
      <c r="M206" s="212"/>
      <c r="O206" s="6"/>
      <c r="P206" s="15"/>
      <c r="Q206" s="14">
        <f t="shared" si="68"/>
        <v>0</v>
      </c>
      <c r="R206" s="186"/>
      <c r="S206" s="4"/>
      <c r="T206" s="15"/>
      <c r="U206" s="14">
        <f t="shared" si="71"/>
        <v>0</v>
      </c>
      <c r="V206" s="186"/>
    </row>
    <row r="207" spans="1:22" ht="14.25" thickBot="1" x14ac:dyDescent="0.2">
      <c r="A207" s="1"/>
      <c r="B207" s="3" t="s">
        <v>5</v>
      </c>
      <c r="C207" s="16">
        <f>SUM(C183:C206)</f>
        <v>2490</v>
      </c>
      <c r="D207" s="16">
        <f>SUM(D183:D206)</f>
        <v>1013</v>
      </c>
      <c r="E207" s="16">
        <f>SUM(E183:E206)</f>
        <v>1050</v>
      </c>
      <c r="F207" s="223">
        <f>SUM(F183:F206)</f>
        <v>4553</v>
      </c>
      <c r="H207" s="3" t="s">
        <v>5</v>
      </c>
      <c r="I207" s="16">
        <f>SUM(I183:I206)</f>
        <v>3000</v>
      </c>
      <c r="J207" s="16">
        <f>SUM(J183:J206)</f>
        <v>0</v>
      </c>
      <c r="K207" s="16">
        <f>SUM(K183:K206)</f>
        <v>150</v>
      </c>
      <c r="L207" s="223">
        <f>SUM(L183:L206)</f>
        <v>3150</v>
      </c>
      <c r="O207" s="3" t="s">
        <v>5</v>
      </c>
      <c r="P207" s="16">
        <f>SUM(P183:P206)</f>
        <v>0</v>
      </c>
      <c r="Q207" s="17">
        <f>SUM(Q183:Q206)</f>
        <v>0</v>
      </c>
      <c r="S207" s="3" t="s">
        <v>5</v>
      </c>
      <c r="T207" s="16">
        <f>SUM(T183:T206)</f>
        <v>0</v>
      </c>
      <c r="U207" s="17">
        <f>SUM(U183:U206)</f>
        <v>0</v>
      </c>
    </row>
    <row r="208" spans="1:22" ht="14.25" thickBot="1" x14ac:dyDescent="0.2">
      <c r="A208" s="1"/>
      <c r="B208" s="18" t="s">
        <v>6</v>
      </c>
      <c r="C208" s="19">
        <f>C182-C207</f>
        <v>592</v>
      </c>
      <c r="D208" s="19">
        <f>D182-D207</f>
        <v>934</v>
      </c>
      <c r="E208" s="19">
        <f t="shared" ref="E208" si="73">E182-E207</f>
        <v>1018</v>
      </c>
      <c r="F208" s="221">
        <f>F182-F207</f>
        <v>2544</v>
      </c>
      <c r="H208" s="18" t="s">
        <v>6</v>
      </c>
      <c r="I208" s="19">
        <f>I182-I207</f>
        <v>0</v>
      </c>
      <c r="J208" s="19">
        <f>J182-J207</f>
        <v>0</v>
      </c>
      <c r="K208" s="19">
        <f t="shared" ref="K208" si="74">K182-K207</f>
        <v>300</v>
      </c>
      <c r="L208" s="221">
        <f>L182-L207</f>
        <v>300</v>
      </c>
      <c r="O208" s="18" t="s">
        <v>6</v>
      </c>
      <c r="P208" s="19">
        <f>P182-P207</f>
        <v>0</v>
      </c>
      <c r="Q208" s="13">
        <f>Q182-Q207</f>
        <v>0</v>
      </c>
      <c r="S208" s="18" t="s">
        <v>6</v>
      </c>
      <c r="T208" s="19">
        <f>T182-T207</f>
        <v>0</v>
      </c>
      <c r="U208" s="13">
        <f>U182-U207</f>
        <v>0</v>
      </c>
    </row>
    <row r="209" spans="1:22" x14ac:dyDescent="0.15">
      <c r="D209" s="239"/>
    </row>
    <row r="211" spans="1:22" ht="18" thickBot="1" x14ac:dyDescent="0.25">
      <c r="A211" s="27" t="s">
        <v>739</v>
      </c>
      <c r="B211" s="28"/>
      <c r="C211" s="28"/>
      <c r="D211" s="28"/>
      <c r="E211" s="28"/>
      <c r="F211" s="218"/>
      <c r="H211" s="27" t="s">
        <v>740</v>
      </c>
      <c r="I211" s="28"/>
      <c r="J211" s="28"/>
      <c r="K211" s="28"/>
      <c r="L211" s="218"/>
      <c r="O211" s="181" t="s">
        <v>737</v>
      </c>
      <c r="P211" s="182"/>
      <c r="Q211" s="182"/>
      <c r="R211" s="183"/>
      <c r="S211" s="181" t="s">
        <v>733</v>
      </c>
      <c r="T211" s="182"/>
      <c r="U211" s="182"/>
      <c r="V211" s="183"/>
    </row>
    <row r="212" spans="1:22" ht="14.25" thickBot="1" x14ac:dyDescent="0.2">
      <c r="A212" s="1"/>
      <c r="B212" s="2"/>
      <c r="C212" s="194" t="s">
        <v>734</v>
      </c>
      <c r="D212" s="195" t="s">
        <v>706</v>
      </c>
      <c r="E212" s="2" t="s">
        <v>735</v>
      </c>
      <c r="F212" s="219" t="s">
        <v>1</v>
      </c>
      <c r="H212" s="2"/>
      <c r="I212" s="197" t="s">
        <v>734</v>
      </c>
      <c r="J212" s="195" t="s">
        <v>706</v>
      </c>
      <c r="K212" s="201" t="s">
        <v>735</v>
      </c>
      <c r="L212" s="219" t="s">
        <v>1</v>
      </c>
      <c r="O212" s="2"/>
      <c r="P212" s="3" t="s">
        <v>722</v>
      </c>
      <c r="Q212" s="2" t="s">
        <v>1</v>
      </c>
      <c r="S212" s="2"/>
      <c r="T212" s="3" t="s">
        <v>722</v>
      </c>
      <c r="U212" s="2" t="s">
        <v>1</v>
      </c>
    </row>
    <row r="213" spans="1:22" x14ac:dyDescent="0.15">
      <c r="A213" s="1"/>
      <c r="B213" s="164" t="s">
        <v>26</v>
      </c>
      <c r="C213" s="200">
        <f>C208</f>
        <v>592</v>
      </c>
      <c r="D213" s="164">
        <f t="shared" ref="D213:E213" si="75">D208</f>
        <v>934</v>
      </c>
      <c r="E213" s="164">
        <f t="shared" si="75"/>
        <v>1018</v>
      </c>
      <c r="F213" s="222">
        <f>SUM(C213:E213)</f>
        <v>2544</v>
      </c>
      <c r="G213" s="210"/>
      <c r="H213" s="164" t="s">
        <v>26</v>
      </c>
      <c r="I213" s="200">
        <f>I208</f>
        <v>0</v>
      </c>
      <c r="J213" s="164">
        <f t="shared" ref="J213:K213" si="76">J208</f>
        <v>0</v>
      </c>
      <c r="K213" s="200">
        <f t="shared" si="76"/>
        <v>300</v>
      </c>
      <c r="L213" s="222">
        <f t="shared" ref="L213:L223" si="77">SUM(I213:K213)</f>
        <v>300</v>
      </c>
      <c r="M213" s="210"/>
      <c r="O213" s="171" t="s">
        <v>26</v>
      </c>
      <c r="P213" s="200">
        <f>P208</f>
        <v>0</v>
      </c>
      <c r="Q213" s="180">
        <f t="shared" ref="Q213:Q223" si="78">SUM(P213:P213)</f>
        <v>0</v>
      </c>
      <c r="R213" s="185"/>
      <c r="S213" s="43" t="s">
        <v>26</v>
      </c>
      <c r="T213" s="38">
        <f>T208</f>
        <v>0</v>
      </c>
      <c r="U213" s="39">
        <f t="shared" ref="U213:U223" si="79">SUM(T213:T213)</f>
        <v>0</v>
      </c>
      <c r="V213" s="184"/>
    </row>
    <row r="214" spans="1:22" x14ac:dyDescent="0.15">
      <c r="A214" s="1"/>
      <c r="B214" s="6" t="s">
        <v>801</v>
      </c>
      <c r="C214" s="205">
        <v>3</v>
      </c>
      <c r="D214" s="205">
        <v>3</v>
      </c>
      <c r="E214" s="207">
        <v>3</v>
      </c>
      <c r="F214" s="220">
        <f t="shared" ref="F214:F223" si="80">SUM(C214:E214)</f>
        <v>9</v>
      </c>
      <c r="G214" s="211">
        <v>44419</v>
      </c>
      <c r="H214" s="6" t="s">
        <v>840</v>
      </c>
      <c r="I214" s="208"/>
      <c r="J214" s="15"/>
      <c r="K214" s="15">
        <v>100</v>
      </c>
      <c r="L214" s="220">
        <f>SUM(I214:K214)</f>
        <v>100</v>
      </c>
      <c r="M214" s="214">
        <v>44429</v>
      </c>
      <c r="O214" s="6" t="s">
        <v>3</v>
      </c>
      <c r="P214" s="7"/>
      <c r="Q214" s="5">
        <f t="shared" si="78"/>
        <v>0</v>
      </c>
      <c r="R214" s="186"/>
      <c r="S214" s="6" t="s">
        <v>3</v>
      </c>
      <c r="T214" s="7"/>
      <c r="U214" s="5">
        <f t="shared" si="79"/>
        <v>0</v>
      </c>
      <c r="V214" s="186"/>
    </row>
    <row r="215" spans="1:22" x14ac:dyDescent="0.15">
      <c r="A215" s="1"/>
      <c r="B215" s="6" t="s">
        <v>837</v>
      </c>
      <c r="C215" s="205">
        <v>4</v>
      </c>
      <c r="D215" s="205"/>
      <c r="E215" s="207"/>
      <c r="F215" s="220">
        <f t="shared" si="80"/>
        <v>4</v>
      </c>
      <c r="G215" s="211">
        <v>44428</v>
      </c>
      <c r="H215" s="6" t="s">
        <v>3</v>
      </c>
      <c r="I215" s="188"/>
      <c r="J215" s="6"/>
      <c r="K215" s="202"/>
      <c r="L215" s="220">
        <f t="shared" ref="L215:L217" si="81">SUM(I215:K215)</f>
        <v>0</v>
      </c>
      <c r="M215" s="211"/>
      <c r="O215" s="6" t="s">
        <v>3</v>
      </c>
      <c r="P215" s="7"/>
      <c r="Q215" s="5">
        <f t="shared" si="78"/>
        <v>0</v>
      </c>
      <c r="R215" s="186"/>
      <c r="S215" s="6" t="s">
        <v>3</v>
      </c>
      <c r="T215" s="7"/>
      <c r="U215" s="5">
        <f t="shared" si="79"/>
        <v>0</v>
      </c>
      <c r="V215" s="186"/>
    </row>
    <row r="216" spans="1:22" x14ac:dyDescent="0.15">
      <c r="A216" s="1"/>
      <c r="B216" s="6" t="s">
        <v>64</v>
      </c>
      <c r="C216" s="205">
        <v>2</v>
      </c>
      <c r="D216" s="205"/>
      <c r="E216" s="207"/>
      <c r="F216" s="220">
        <f t="shared" si="80"/>
        <v>2</v>
      </c>
      <c r="G216" s="211">
        <v>44429</v>
      </c>
      <c r="H216" s="6" t="s">
        <v>3</v>
      </c>
      <c r="I216" s="188">
        <v>4000</v>
      </c>
      <c r="J216" s="189"/>
      <c r="K216" s="203"/>
      <c r="L216" s="220">
        <f t="shared" si="81"/>
        <v>4000</v>
      </c>
      <c r="M216" s="211">
        <v>44428</v>
      </c>
      <c r="O216" s="6" t="s">
        <v>3</v>
      </c>
      <c r="P216" s="7"/>
      <c r="Q216" s="5">
        <f t="shared" si="78"/>
        <v>0</v>
      </c>
      <c r="R216" s="186"/>
      <c r="S216" s="6" t="s">
        <v>3</v>
      </c>
      <c r="T216" s="7"/>
      <c r="U216" s="5">
        <f t="shared" si="79"/>
        <v>0</v>
      </c>
      <c r="V216" s="186"/>
    </row>
    <row r="217" spans="1:22" x14ac:dyDescent="0.15">
      <c r="A217" s="1"/>
      <c r="B217" s="6" t="s">
        <v>765</v>
      </c>
      <c r="C217" s="205">
        <v>600</v>
      </c>
      <c r="D217" s="205"/>
      <c r="E217" s="207"/>
      <c r="F217" s="220">
        <f t="shared" si="80"/>
        <v>600</v>
      </c>
      <c r="G217" s="248">
        <v>44429</v>
      </c>
      <c r="H217" s="6" t="s">
        <v>3</v>
      </c>
      <c r="I217" s="188"/>
      <c r="J217" s="6"/>
      <c r="K217" s="202"/>
      <c r="L217" s="220">
        <f t="shared" si="81"/>
        <v>0</v>
      </c>
      <c r="M217" s="212" t="s">
        <v>827</v>
      </c>
      <c r="O217" s="6" t="s">
        <v>3</v>
      </c>
      <c r="P217" s="7"/>
      <c r="Q217" s="5">
        <f t="shared" si="78"/>
        <v>0</v>
      </c>
      <c r="R217" s="186"/>
      <c r="S217" s="6" t="s">
        <v>3</v>
      </c>
      <c r="T217" s="7"/>
      <c r="U217" s="5">
        <f t="shared" si="79"/>
        <v>0</v>
      </c>
      <c r="V217" s="186"/>
    </row>
    <row r="218" spans="1:22" x14ac:dyDescent="0.15">
      <c r="A218" s="1"/>
      <c r="B218" s="6" t="s">
        <v>3</v>
      </c>
      <c r="C218" s="205"/>
      <c r="D218" s="205"/>
      <c r="E218" s="207"/>
      <c r="F218" s="220">
        <f t="shared" si="80"/>
        <v>0</v>
      </c>
      <c r="H218" s="6" t="s">
        <v>3</v>
      </c>
      <c r="I218" s="188"/>
      <c r="J218" s="6"/>
      <c r="K218" s="202"/>
      <c r="L218" s="220">
        <f t="shared" si="77"/>
        <v>0</v>
      </c>
      <c r="O218" s="6" t="s">
        <v>3</v>
      </c>
      <c r="P218" s="7"/>
      <c r="Q218" s="5">
        <f t="shared" si="78"/>
        <v>0</v>
      </c>
      <c r="R218" s="186"/>
      <c r="S218" s="6" t="s">
        <v>3</v>
      </c>
      <c r="T218" s="7"/>
      <c r="U218" s="5">
        <f t="shared" si="79"/>
        <v>0</v>
      </c>
      <c r="V218" s="186"/>
    </row>
    <row r="219" spans="1:22" x14ac:dyDescent="0.15">
      <c r="A219" s="1"/>
      <c r="B219" s="6" t="s">
        <v>3</v>
      </c>
      <c r="C219" s="205"/>
      <c r="D219" s="205"/>
      <c r="E219" s="207"/>
      <c r="F219" s="220">
        <f t="shared" si="80"/>
        <v>0</v>
      </c>
      <c r="H219" s="6" t="s">
        <v>3</v>
      </c>
      <c r="I219" s="188"/>
      <c r="J219" s="6"/>
      <c r="K219" s="202"/>
      <c r="L219" s="220">
        <f t="shared" si="77"/>
        <v>0</v>
      </c>
      <c r="O219" s="6" t="s">
        <v>3</v>
      </c>
      <c r="P219" s="7"/>
      <c r="Q219" s="5">
        <f t="shared" si="78"/>
        <v>0</v>
      </c>
      <c r="R219" s="186"/>
      <c r="S219" s="6" t="s">
        <v>3</v>
      </c>
      <c r="T219" s="7"/>
      <c r="U219" s="5">
        <f t="shared" si="79"/>
        <v>0</v>
      </c>
      <c r="V219" s="186"/>
    </row>
    <row r="220" spans="1:22" x14ac:dyDescent="0.15">
      <c r="A220" s="1"/>
      <c r="B220" s="6" t="s">
        <v>3</v>
      </c>
      <c r="C220" s="205"/>
      <c r="D220" s="189"/>
      <c r="E220" s="190"/>
      <c r="F220" s="220">
        <f t="shared" si="80"/>
        <v>0</v>
      </c>
      <c r="H220" s="6" t="s">
        <v>3</v>
      </c>
      <c r="I220" s="188"/>
      <c r="J220" s="189"/>
      <c r="K220" s="203"/>
      <c r="L220" s="220">
        <f t="shared" si="77"/>
        <v>0</v>
      </c>
      <c r="M220" s="211"/>
      <c r="N220" s="186"/>
      <c r="O220" s="6" t="s">
        <v>3</v>
      </c>
      <c r="P220" s="8"/>
      <c r="Q220" s="5">
        <f t="shared" si="78"/>
        <v>0</v>
      </c>
      <c r="R220" s="186"/>
      <c r="S220" s="6" t="s">
        <v>3</v>
      </c>
      <c r="T220" s="8"/>
      <c r="U220" s="5">
        <f t="shared" si="79"/>
        <v>0</v>
      </c>
      <c r="V220" s="186"/>
    </row>
    <row r="221" spans="1:22" x14ac:dyDescent="0.15">
      <c r="A221" s="1"/>
      <c r="B221" s="6" t="s">
        <v>3</v>
      </c>
      <c r="C221" s="205"/>
      <c r="D221" s="189"/>
      <c r="E221" s="190"/>
      <c r="F221" s="220">
        <f t="shared" si="80"/>
        <v>0</v>
      </c>
      <c r="H221" s="6" t="s">
        <v>3</v>
      </c>
      <c r="I221" s="188"/>
      <c r="J221" s="189"/>
      <c r="K221" s="203"/>
      <c r="L221" s="220">
        <f t="shared" si="77"/>
        <v>0</v>
      </c>
      <c r="M221" s="212"/>
      <c r="N221" s="186"/>
      <c r="O221" s="6" t="s">
        <v>3</v>
      </c>
      <c r="P221" s="8"/>
      <c r="Q221" s="5">
        <f t="shared" si="78"/>
        <v>0</v>
      </c>
      <c r="R221" s="186"/>
      <c r="S221" s="6" t="s">
        <v>3</v>
      </c>
      <c r="T221" s="8"/>
      <c r="U221" s="5">
        <f t="shared" si="79"/>
        <v>0</v>
      </c>
      <c r="V221" s="186"/>
    </row>
    <row r="222" spans="1:22" x14ac:dyDescent="0.15">
      <c r="A222" s="1"/>
      <c r="B222" s="6" t="s">
        <v>3</v>
      </c>
      <c r="C222" s="205"/>
      <c r="D222" s="189"/>
      <c r="E222" s="190"/>
      <c r="F222" s="220">
        <f t="shared" si="80"/>
        <v>0</v>
      </c>
      <c r="H222" s="6" t="s">
        <v>3</v>
      </c>
      <c r="I222" s="188"/>
      <c r="J222" s="189"/>
      <c r="K222" s="203"/>
      <c r="L222" s="220">
        <f t="shared" si="77"/>
        <v>0</v>
      </c>
      <c r="O222" s="6" t="s">
        <v>3</v>
      </c>
      <c r="P222" s="8"/>
      <c r="Q222" s="5">
        <f t="shared" si="78"/>
        <v>0</v>
      </c>
      <c r="R222" s="186"/>
      <c r="S222" s="6" t="s">
        <v>3</v>
      </c>
      <c r="T222" s="8"/>
      <c r="U222" s="5">
        <f t="shared" si="79"/>
        <v>0</v>
      </c>
      <c r="V222" s="186"/>
    </row>
    <row r="223" spans="1:22" ht="14.25" thickBot="1" x14ac:dyDescent="0.2">
      <c r="A223" s="1"/>
      <c r="B223" s="9" t="s">
        <v>3</v>
      </c>
      <c r="C223" s="236"/>
      <c r="D223" s="191"/>
      <c r="E223" s="192"/>
      <c r="F223" s="220">
        <f t="shared" si="80"/>
        <v>0</v>
      </c>
      <c r="H223" s="9" t="s">
        <v>3</v>
      </c>
      <c r="I223" s="198"/>
      <c r="J223" s="199"/>
      <c r="K223" s="204"/>
      <c r="L223" s="220">
        <f t="shared" si="77"/>
        <v>0</v>
      </c>
      <c r="O223" s="9" t="s">
        <v>3</v>
      </c>
      <c r="P223" s="10"/>
      <c r="Q223" s="5">
        <f t="shared" si="78"/>
        <v>0</v>
      </c>
      <c r="R223" s="186"/>
      <c r="S223" s="9" t="s">
        <v>3</v>
      </c>
      <c r="T223" s="10"/>
      <c r="U223" s="5">
        <f t="shared" si="79"/>
        <v>0</v>
      </c>
      <c r="V223" s="186"/>
    </row>
    <row r="224" spans="1:22" ht="14.25" thickBot="1" x14ac:dyDescent="0.2">
      <c r="A224" s="1"/>
      <c r="B224" s="11" t="s">
        <v>4</v>
      </c>
      <c r="C224" s="193">
        <f>SUM(C213:C223)</f>
        <v>1201</v>
      </c>
      <c r="D224" s="193">
        <f>SUM(D213:D223)</f>
        <v>937</v>
      </c>
      <c r="E224" s="193">
        <f>SUM(E213:E223)</f>
        <v>1021</v>
      </c>
      <c r="F224" s="221">
        <f>SUM(F213:F223)</f>
        <v>3159</v>
      </c>
      <c r="H224" s="11" t="s">
        <v>4</v>
      </c>
      <c r="I224" s="193">
        <f>SUM(I213:I223)</f>
        <v>4000</v>
      </c>
      <c r="J224" s="193">
        <f>SUM(J213:J223)</f>
        <v>0</v>
      </c>
      <c r="K224" s="193">
        <f t="shared" ref="K224" si="82">SUM(K213:K223)</f>
        <v>400</v>
      </c>
      <c r="L224" s="221">
        <f>SUM(L213:L223)</f>
        <v>4400</v>
      </c>
      <c r="O224" s="11" t="s">
        <v>4</v>
      </c>
      <c r="P224" s="12">
        <f>SUM(P213:P223)</f>
        <v>0</v>
      </c>
      <c r="Q224" s="13">
        <f>SUM(Q213:Q223)</f>
        <v>0</v>
      </c>
      <c r="S224" s="11" t="s">
        <v>4</v>
      </c>
      <c r="T224" s="12">
        <f>SUM(T213:T223)</f>
        <v>0</v>
      </c>
      <c r="U224" s="13">
        <f>SUM(U213:U223)</f>
        <v>0</v>
      </c>
    </row>
    <row r="225" spans="1:21" x14ac:dyDescent="0.15">
      <c r="A225" s="1"/>
      <c r="B225" s="178" t="s">
        <v>831</v>
      </c>
      <c r="C225" s="208">
        <v>1</v>
      </c>
      <c r="D225" s="15">
        <v>1</v>
      </c>
      <c r="E225" s="15">
        <v>1</v>
      </c>
      <c r="F225" s="220">
        <f t="shared" ref="F225" si="83">SUM(C225:E225)</f>
        <v>3</v>
      </c>
      <c r="G225" s="211">
        <v>44419</v>
      </c>
      <c r="H225" s="6" t="s">
        <v>765</v>
      </c>
      <c r="I225" s="196">
        <v>600</v>
      </c>
      <c r="J225" s="6"/>
      <c r="K225" s="4"/>
      <c r="L225" s="220">
        <f t="shared" ref="L225" si="84">SUM(I225:K225)</f>
        <v>600</v>
      </c>
      <c r="M225" s="211">
        <v>44429</v>
      </c>
      <c r="O225" s="4"/>
      <c r="P225" s="44"/>
      <c r="Q225" s="14">
        <f t="shared" ref="Q225:Q248" si="85">SUM(P225:P225)</f>
        <v>0</v>
      </c>
      <c r="R225" s="186"/>
      <c r="S225" s="4"/>
      <c r="T225" s="44"/>
      <c r="U225" s="14">
        <f t="shared" ref="U225:U248" si="86">SUM(T225:T225)</f>
        <v>0</v>
      </c>
    </row>
    <row r="226" spans="1:21" x14ac:dyDescent="0.15">
      <c r="A226" s="1"/>
      <c r="B226" s="4" t="s">
        <v>749</v>
      </c>
      <c r="C226" s="207">
        <f>1+33+58+23+4+11+2+9</f>
        <v>141</v>
      </c>
      <c r="D226" s="189">
        <f>2+1+2+4</f>
        <v>9</v>
      </c>
      <c r="E226" s="189">
        <f>4+6+4+6+1</f>
        <v>21</v>
      </c>
      <c r="F226" s="220">
        <f t="shared" ref="F226:F248" si="87">SUM(C226:E226)</f>
        <v>171</v>
      </c>
      <c r="G226" s="248">
        <v>44418</v>
      </c>
      <c r="H226" s="4"/>
      <c r="I226" s="4"/>
      <c r="J226" s="189"/>
      <c r="K226" s="189"/>
      <c r="L226" s="220">
        <f t="shared" ref="L226:L246" si="88">SUM(I226:K226)</f>
        <v>0</v>
      </c>
      <c r="M226" s="212"/>
      <c r="O226" s="4"/>
      <c r="P226" s="15"/>
      <c r="Q226" s="14">
        <f t="shared" si="85"/>
        <v>0</v>
      </c>
      <c r="R226" s="186"/>
      <c r="S226" s="4"/>
      <c r="T226" s="15"/>
      <c r="U226" s="14">
        <f t="shared" si="86"/>
        <v>0</v>
      </c>
    </row>
    <row r="227" spans="1:21" x14ac:dyDescent="0.15">
      <c r="A227" s="1"/>
      <c r="B227" s="4" t="s">
        <v>832</v>
      </c>
      <c r="C227" s="207"/>
      <c r="D227" s="189">
        <v>50</v>
      </c>
      <c r="E227" s="189"/>
      <c r="F227" s="220">
        <f t="shared" si="87"/>
        <v>50</v>
      </c>
      <c r="G227" s="211">
        <v>44419</v>
      </c>
      <c r="H227" s="4"/>
      <c r="I227" s="4"/>
      <c r="J227" s="189"/>
      <c r="K227" s="189"/>
      <c r="L227" s="220">
        <f t="shared" si="88"/>
        <v>0</v>
      </c>
      <c r="M227" s="212"/>
      <c r="O227" s="4"/>
      <c r="P227" s="15"/>
      <c r="Q227" s="14">
        <f t="shared" si="85"/>
        <v>0</v>
      </c>
      <c r="R227" s="186"/>
      <c r="S227" s="4"/>
      <c r="T227" s="15"/>
      <c r="U227" s="14">
        <f t="shared" si="86"/>
        <v>0</v>
      </c>
    </row>
    <row r="228" spans="1:21" x14ac:dyDescent="0.15">
      <c r="A228" s="1"/>
      <c r="B228" s="4" t="s">
        <v>833</v>
      </c>
      <c r="C228" s="208">
        <v>20</v>
      </c>
      <c r="D228" s="15">
        <v>20</v>
      </c>
      <c r="E228" s="15">
        <v>20</v>
      </c>
      <c r="F228" s="220">
        <f t="shared" si="87"/>
        <v>60</v>
      </c>
      <c r="G228" s="211">
        <v>44419</v>
      </c>
      <c r="H228" s="4"/>
      <c r="I228" s="187"/>
      <c r="J228" s="15"/>
      <c r="K228" s="15"/>
      <c r="L228" s="220">
        <f t="shared" si="88"/>
        <v>0</v>
      </c>
      <c r="O228" s="4"/>
      <c r="P228" s="15"/>
      <c r="Q228" s="14">
        <f t="shared" si="85"/>
        <v>0</v>
      </c>
      <c r="R228" s="186"/>
      <c r="S228" s="4"/>
      <c r="T228" s="15"/>
      <c r="U228" s="14">
        <f t="shared" si="86"/>
        <v>0</v>
      </c>
    </row>
    <row r="229" spans="1:21" x14ac:dyDescent="0.15">
      <c r="A229" s="1"/>
      <c r="B229" s="4" t="s">
        <v>749</v>
      </c>
      <c r="C229" s="208">
        <f>3+20+1+22+13+2+4+2+2+2</f>
        <v>71</v>
      </c>
      <c r="D229" s="15">
        <f>1+4+1+2+1+1</f>
        <v>10</v>
      </c>
      <c r="E229" s="15">
        <f>1+2+4+2</f>
        <v>9</v>
      </c>
      <c r="F229" s="220">
        <f t="shared" si="87"/>
        <v>90</v>
      </c>
      <c r="G229" s="211">
        <v>44419</v>
      </c>
      <c r="H229" s="4"/>
      <c r="I229" s="187"/>
      <c r="J229" s="15"/>
      <c r="K229" s="15"/>
      <c r="L229" s="220">
        <f t="shared" si="88"/>
        <v>0</v>
      </c>
      <c r="O229" s="4"/>
      <c r="P229" s="15"/>
      <c r="Q229" s="14">
        <f t="shared" si="85"/>
        <v>0</v>
      </c>
      <c r="R229" s="186"/>
      <c r="S229" s="4"/>
      <c r="T229" s="15"/>
      <c r="U229" s="14">
        <f t="shared" si="86"/>
        <v>0</v>
      </c>
    </row>
    <row r="230" spans="1:21" x14ac:dyDescent="0.15">
      <c r="A230" s="1"/>
      <c r="B230" s="178" t="s">
        <v>834</v>
      </c>
      <c r="C230" s="208">
        <v>1</v>
      </c>
      <c r="D230" s="15">
        <v>1</v>
      </c>
      <c r="E230" s="15">
        <v>1</v>
      </c>
      <c r="F230" s="220">
        <f t="shared" si="87"/>
        <v>3</v>
      </c>
      <c r="G230" s="211">
        <v>44425</v>
      </c>
      <c r="H230" s="4"/>
      <c r="I230" s="187"/>
      <c r="J230" s="15"/>
      <c r="K230" s="15"/>
      <c r="L230" s="220">
        <f t="shared" si="88"/>
        <v>0</v>
      </c>
      <c r="O230" s="4"/>
      <c r="P230" s="15"/>
      <c r="Q230" s="14">
        <f t="shared" si="85"/>
        <v>0</v>
      </c>
      <c r="R230" s="186"/>
      <c r="S230" s="4"/>
      <c r="T230" s="15"/>
      <c r="U230" s="14">
        <f t="shared" si="86"/>
        <v>0</v>
      </c>
    </row>
    <row r="231" spans="1:21" x14ac:dyDescent="0.15">
      <c r="A231" s="1"/>
      <c r="B231" s="4" t="s">
        <v>749</v>
      </c>
      <c r="C231" s="208">
        <f>1+15+1+33+1+1</f>
        <v>52</v>
      </c>
      <c r="D231" s="15">
        <f>1+9+1+1</f>
        <v>12</v>
      </c>
      <c r="E231" s="15">
        <f>1+2+1+1+1</f>
        <v>6</v>
      </c>
      <c r="F231" s="220">
        <f t="shared" si="87"/>
        <v>70</v>
      </c>
      <c r="G231" s="248">
        <v>44424</v>
      </c>
      <c r="H231" s="4"/>
      <c r="I231" s="187"/>
      <c r="J231" s="15"/>
      <c r="K231" s="15"/>
      <c r="L231" s="220">
        <f t="shared" si="88"/>
        <v>0</v>
      </c>
      <c r="O231" s="4"/>
      <c r="P231" s="15"/>
      <c r="Q231" s="14">
        <f t="shared" si="85"/>
        <v>0</v>
      </c>
      <c r="R231" s="186"/>
      <c r="S231" s="4"/>
      <c r="T231" s="15"/>
      <c r="U231" s="14">
        <f t="shared" si="86"/>
        <v>0</v>
      </c>
    </row>
    <row r="232" spans="1:21" x14ac:dyDescent="0.15">
      <c r="A232" s="1"/>
      <c r="B232" s="4" t="s">
        <v>749</v>
      </c>
      <c r="C232" s="208">
        <v>9</v>
      </c>
      <c r="D232" s="15">
        <v>1</v>
      </c>
      <c r="E232" s="15"/>
      <c r="F232" s="220">
        <f t="shared" si="87"/>
        <v>10</v>
      </c>
      <c r="G232" s="248">
        <v>44425</v>
      </c>
      <c r="H232" s="4"/>
      <c r="I232" s="187"/>
      <c r="J232" s="15"/>
      <c r="K232" s="15"/>
      <c r="L232" s="220">
        <f t="shared" si="88"/>
        <v>0</v>
      </c>
      <c r="O232" s="4"/>
      <c r="P232" s="15"/>
      <c r="Q232" s="14">
        <f t="shared" si="85"/>
        <v>0</v>
      </c>
      <c r="R232" s="186"/>
      <c r="S232" s="4"/>
      <c r="T232" s="15"/>
      <c r="U232" s="14">
        <f t="shared" si="86"/>
        <v>0</v>
      </c>
    </row>
    <row r="233" spans="1:21" x14ac:dyDescent="0.15">
      <c r="A233" s="1"/>
      <c r="B233" s="178" t="s">
        <v>835</v>
      </c>
      <c r="C233" s="208">
        <v>1</v>
      </c>
      <c r="D233" s="15">
        <v>1</v>
      </c>
      <c r="E233" s="15">
        <v>1</v>
      </c>
      <c r="F233" s="220">
        <f t="shared" si="87"/>
        <v>3</v>
      </c>
      <c r="G233" s="211">
        <v>44427</v>
      </c>
      <c r="H233" s="4"/>
      <c r="I233" s="187"/>
      <c r="J233" s="15"/>
      <c r="K233" s="15"/>
      <c r="L233" s="220">
        <f t="shared" si="88"/>
        <v>0</v>
      </c>
      <c r="O233" s="4"/>
      <c r="P233" s="15"/>
      <c r="Q233" s="14">
        <f t="shared" si="85"/>
        <v>0</v>
      </c>
      <c r="R233" s="186"/>
      <c r="S233" s="4"/>
      <c r="T233" s="15"/>
      <c r="U233" s="14">
        <f t="shared" si="86"/>
        <v>0</v>
      </c>
    </row>
    <row r="234" spans="1:21" x14ac:dyDescent="0.15">
      <c r="A234" s="1"/>
      <c r="B234" s="4" t="s">
        <v>749</v>
      </c>
      <c r="C234" s="208">
        <f>6+1</f>
        <v>7</v>
      </c>
      <c r="D234" s="15"/>
      <c r="E234" s="15"/>
      <c r="F234" s="220">
        <f t="shared" si="87"/>
        <v>7</v>
      </c>
      <c r="G234" s="248">
        <v>44426</v>
      </c>
      <c r="H234" s="4"/>
      <c r="I234" s="187"/>
      <c r="J234" s="15"/>
      <c r="K234" s="15"/>
      <c r="L234" s="220">
        <f t="shared" si="88"/>
        <v>0</v>
      </c>
      <c r="O234" s="4"/>
      <c r="P234" s="15"/>
      <c r="Q234" s="14">
        <f t="shared" si="85"/>
        <v>0</v>
      </c>
      <c r="R234" s="186"/>
      <c r="S234" s="4"/>
      <c r="T234" s="15"/>
      <c r="U234" s="14">
        <f t="shared" si="86"/>
        <v>0</v>
      </c>
    </row>
    <row r="235" spans="1:21" x14ac:dyDescent="0.15">
      <c r="A235" s="1"/>
      <c r="B235" s="4" t="s">
        <v>749</v>
      </c>
      <c r="C235" s="208">
        <f>6+3</f>
        <v>9</v>
      </c>
      <c r="D235" s="15">
        <v>1</v>
      </c>
      <c r="E235" s="15"/>
      <c r="F235" s="220">
        <f t="shared" si="87"/>
        <v>10</v>
      </c>
      <c r="G235" s="248">
        <v>44427</v>
      </c>
      <c r="H235" s="4"/>
      <c r="I235" s="187"/>
      <c r="J235" s="15"/>
      <c r="K235" s="15"/>
      <c r="L235" s="220">
        <f t="shared" si="88"/>
        <v>0</v>
      </c>
      <c r="O235" s="4"/>
      <c r="P235" s="15"/>
      <c r="Q235" s="14">
        <f t="shared" si="85"/>
        <v>0</v>
      </c>
      <c r="R235" s="186"/>
      <c r="S235" s="4"/>
      <c r="T235" s="15"/>
      <c r="U235" s="14">
        <f t="shared" si="86"/>
        <v>0</v>
      </c>
    </row>
    <row r="236" spans="1:21" x14ac:dyDescent="0.15">
      <c r="A236" s="1"/>
      <c r="B236" s="178" t="s">
        <v>836</v>
      </c>
      <c r="C236" s="206">
        <v>3</v>
      </c>
      <c r="D236" s="15">
        <v>3</v>
      </c>
      <c r="E236" s="15">
        <v>3</v>
      </c>
      <c r="F236" s="220">
        <f t="shared" si="87"/>
        <v>9</v>
      </c>
      <c r="G236" s="211">
        <v>44429</v>
      </c>
      <c r="H236" s="6"/>
      <c r="I236" s="188"/>
      <c r="J236" s="15"/>
      <c r="K236" s="15"/>
      <c r="L236" s="220">
        <f t="shared" si="88"/>
        <v>0</v>
      </c>
      <c r="O236" s="6"/>
      <c r="P236" s="15"/>
      <c r="Q236" s="14">
        <f t="shared" si="85"/>
        <v>0</v>
      </c>
      <c r="R236" s="186"/>
      <c r="S236" s="6"/>
      <c r="T236" s="15"/>
      <c r="U236" s="14">
        <f t="shared" si="86"/>
        <v>0</v>
      </c>
    </row>
    <row r="237" spans="1:21" x14ac:dyDescent="0.15">
      <c r="A237" s="1"/>
      <c r="B237" s="4" t="s">
        <v>838</v>
      </c>
      <c r="C237" s="206">
        <v>-2</v>
      </c>
      <c r="D237" s="15"/>
      <c r="E237" s="15"/>
      <c r="F237" s="220">
        <f t="shared" si="87"/>
        <v>-2</v>
      </c>
      <c r="G237" s="211">
        <v>44427</v>
      </c>
      <c r="H237" s="6"/>
      <c r="I237" s="188"/>
      <c r="J237" s="15"/>
      <c r="K237" s="15"/>
      <c r="L237" s="220">
        <f t="shared" si="88"/>
        <v>0</v>
      </c>
      <c r="O237" s="6"/>
      <c r="P237" s="15"/>
      <c r="Q237" s="14">
        <f t="shared" si="85"/>
        <v>0</v>
      </c>
      <c r="R237" s="186"/>
      <c r="S237" s="6"/>
      <c r="T237" s="15"/>
      <c r="U237" s="14">
        <f t="shared" si="86"/>
        <v>0</v>
      </c>
    </row>
    <row r="238" spans="1:21" x14ac:dyDescent="0.15">
      <c r="A238" s="1"/>
      <c r="B238" s="4" t="s">
        <v>749</v>
      </c>
      <c r="C238" s="208">
        <f>9+1</f>
        <v>10</v>
      </c>
      <c r="D238" s="15">
        <v>2</v>
      </c>
      <c r="E238" s="15">
        <v>3</v>
      </c>
      <c r="F238" s="220">
        <f t="shared" si="87"/>
        <v>15</v>
      </c>
      <c r="G238" s="248">
        <v>44428</v>
      </c>
      <c r="H238" s="4"/>
      <c r="I238" s="187"/>
      <c r="J238" s="15"/>
      <c r="K238" s="15"/>
      <c r="L238" s="220">
        <f t="shared" si="88"/>
        <v>0</v>
      </c>
      <c r="O238" s="4"/>
      <c r="P238" s="15"/>
      <c r="Q238" s="14">
        <f t="shared" si="85"/>
        <v>0</v>
      </c>
      <c r="R238" s="186"/>
      <c r="S238" s="4"/>
      <c r="T238" s="15"/>
      <c r="U238" s="14">
        <f t="shared" si="86"/>
        <v>0</v>
      </c>
    </row>
    <row r="239" spans="1:21" x14ac:dyDescent="0.15">
      <c r="A239" s="1"/>
      <c r="B239" s="4" t="s">
        <v>839</v>
      </c>
      <c r="C239" s="208"/>
      <c r="D239" s="15"/>
      <c r="E239" s="15">
        <v>100</v>
      </c>
      <c r="F239" s="220">
        <f t="shared" si="87"/>
        <v>100</v>
      </c>
      <c r="G239" s="248">
        <v>44429</v>
      </c>
      <c r="H239" s="4"/>
      <c r="I239" s="187"/>
      <c r="J239" s="15"/>
      <c r="K239" s="15"/>
      <c r="L239" s="220">
        <f t="shared" si="88"/>
        <v>0</v>
      </c>
      <c r="O239" s="4"/>
      <c r="P239" s="15"/>
      <c r="Q239" s="14">
        <f t="shared" si="85"/>
        <v>0</v>
      </c>
      <c r="R239" s="186"/>
      <c r="S239" s="4"/>
      <c r="T239" s="15"/>
      <c r="U239" s="14">
        <f t="shared" si="86"/>
        <v>0</v>
      </c>
    </row>
    <row r="240" spans="1:21" x14ac:dyDescent="0.15">
      <c r="A240" s="1"/>
      <c r="B240" s="4" t="s">
        <v>749</v>
      </c>
      <c r="C240" s="208">
        <f>2+6+1</f>
        <v>9</v>
      </c>
      <c r="D240" s="15">
        <v>1</v>
      </c>
      <c r="E240" s="15">
        <v>1</v>
      </c>
      <c r="F240" s="220">
        <f t="shared" si="87"/>
        <v>11</v>
      </c>
      <c r="G240" s="248">
        <v>44429</v>
      </c>
      <c r="H240" s="4"/>
      <c r="I240" s="187"/>
      <c r="J240" s="15"/>
      <c r="K240" s="15"/>
      <c r="L240" s="220">
        <f t="shared" si="88"/>
        <v>0</v>
      </c>
      <c r="O240" s="4"/>
      <c r="P240" s="15"/>
      <c r="Q240" s="14">
        <f t="shared" si="85"/>
        <v>0</v>
      </c>
      <c r="R240" s="186"/>
      <c r="S240" s="4"/>
      <c r="T240" s="15"/>
      <c r="U240" s="14">
        <f t="shared" si="86"/>
        <v>0</v>
      </c>
    </row>
    <row r="241" spans="1:22" x14ac:dyDescent="0.15">
      <c r="A241" s="1"/>
      <c r="B241" s="178" t="s">
        <v>843</v>
      </c>
      <c r="C241" s="206">
        <v>1</v>
      </c>
      <c r="D241" s="15">
        <v>1</v>
      </c>
      <c r="E241" s="15">
        <v>1</v>
      </c>
      <c r="F241" s="220">
        <f t="shared" si="87"/>
        <v>3</v>
      </c>
      <c r="G241" s="211">
        <v>44432</v>
      </c>
      <c r="H241" s="6"/>
      <c r="I241" s="188"/>
      <c r="J241" s="15"/>
      <c r="K241" s="15"/>
      <c r="L241" s="220">
        <f t="shared" si="88"/>
        <v>0</v>
      </c>
      <c r="O241" s="6"/>
      <c r="P241" s="15"/>
      <c r="Q241" s="14">
        <f t="shared" si="85"/>
        <v>0</v>
      </c>
      <c r="R241" s="186"/>
      <c r="S241" s="6"/>
      <c r="T241" s="15"/>
      <c r="U241" s="14">
        <f t="shared" si="86"/>
        <v>0</v>
      </c>
    </row>
    <row r="242" spans="1:22" x14ac:dyDescent="0.15">
      <c r="A242" s="1"/>
      <c r="B242" s="4" t="s">
        <v>749</v>
      </c>
      <c r="C242" s="208">
        <f>13+7+1</f>
        <v>21</v>
      </c>
      <c r="D242" s="15">
        <v>9</v>
      </c>
      <c r="E242" s="15">
        <f>1+2</f>
        <v>3</v>
      </c>
      <c r="F242" s="220">
        <f t="shared" si="87"/>
        <v>33</v>
      </c>
      <c r="G242" s="248">
        <v>44431</v>
      </c>
      <c r="H242" s="4"/>
      <c r="I242" s="187"/>
      <c r="J242" s="15"/>
      <c r="K242" s="15"/>
      <c r="L242" s="220">
        <f t="shared" si="88"/>
        <v>0</v>
      </c>
      <c r="O242" s="4"/>
      <c r="P242" s="15"/>
      <c r="Q242" s="14">
        <f t="shared" si="85"/>
        <v>0</v>
      </c>
      <c r="R242" s="186"/>
      <c r="S242" s="4"/>
      <c r="T242" s="15"/>
      <c r="U242" s="14">
        <f t="shared" si="86"/>
        <v>0</v>
      </c>
    </row>
    <row r="243" spans="1:22" x14ac:dyDescent="0.15">
      <c r="A243" s="1"/>
      <c r="B243" s="4" t="s">
        <v>749</v>
      </c>
      <c r="C243" s="206">
        <f>3+7</f>
        <v>10</v>
      </c>
      <c r="D243" s="15">
        <v>2</v>
      </c>
      <c r="E243" s="15">
        <v>1</v>
      </c>
      <c r="F243" s="220">
        <f t="shared" si="87"/>
        <v>13</v>
      </c>
      <c r="G243" s="248">
        <v>44432</v>
      </c>
      <c r="H243" s="6"/>
      <c r="I243" s="188"/>
      <c r="J243" s="15"/>
      <c r="K243" s="15"/>
      <c r="L243" s="220">
        <f t="shared" si="88"/>
        <v>0</v>
      </c>
      <c r="O243" s="6"/>
      <c r="P243" s="15"/>
      <c r="Q243" s="14">
        <f t="shared" si="85"/>
        <v>0</v>
      </c>
      <c r="R243" s="186"/>
      <c r="S243" s="6"/>
      <c r="T243" s="15"/>
      <c r="U243" s="14">
        <f t="shared" si="86"/>
        <v>0</v>
      </c>
    </row>
    <row r="244" spans="1:22" x14ac:dyDescent="0.15">
      <c r="A244" s="1"/>
      <c r="B244" s="4" t="s">
        <v>749</v>
      </c>
      <c r="C244" s="208">
        <f>2+11</f>
        <v>13</v>
      </c>
      <c r="D244" s="15">
        <f>2+1</f>
        <v>3</v>
      </c>
      <c r="E244" s="15">
        <v>2</v>
      </c>
      <c r="F244" s="220">
        <f t="shared" si="87"/>
        <v>18</v>
      </c>
      <c r="G244" s="248">
        <v>44433</v>
      </c>
      <c r="H244" s="4"/>
      <c r="I244" s="187"/>
      <c r="J244" s="15"/>
      <c r="K244" s="15"/>
      <c r="L244" s="220">
        <f t="shared" si="88"/>
        <v>0</v>
      </c>
      <c r="O244" s="4"/>
      <c r="P244" s="15"/>
      <c r="Q244" s="14">
        <f t="shared" si="85"/>
        <v>0</v>
      </c>
      <c r="R244" s="186"/>
      <c r="S244" s="4"/>
      <c r="T244" s="15"/>
      <c r="U244" s="14">
        <f t="shared" si="86"/>
        <v>0</v>
      </c>
      <c r="V244" s="186"/>
    </row>
    <row r="245" spans="1:22" x14ac:dyDescent="0.15">
      <c r="A245" s="75"/>
      <c r="B245" s="4" t="s">
        <v>846</v>
      </c>
      <c r="C245" s="208">
        <v>50</v>
      </c>
      <c r="D245" s="15"/>
      <c r="E245" s="15"/>
      <c r="F245" s="220">
        <f t="shared" si="87"/>
        <v>50</v>
      </c>
      <c r="G245" s="211">
        <v>44434</v>
      </c>
      <c r="H245" s="4"/>
      <c r="I245" s="187"/>
      <c r="J245" s="15"/>
      <c r="K245" s="15"/>
      <c r="L245" s="220">
        <f t="shared" si="88"/>
        <v>0</v>
      </c>
      <c r="M245" s="212"/>
      <c r="O245" s="4"/>
      <c r="P245" s="15"/>
      <c r="Q245" s="14">
        <f t="shared" si="85"/>
        <v>0</v>
      </c>
      <c r="R245" s="186"/>
      <c r="S245" s="4"/>
      <c r="T245" s="15"/>
      <c r="U245" s="14">
        <f t="shared" si="86"/>
        <v>0</v>
      </c>
      <c r="V245" s="186"/>
    </row>
    <row r="246" spans="1:22" x14ac:dyDescent="0.15">
      <c r="A246" s="1"/>
      <c r="B246" s="178" t="s">
        <v>847</v>
      </c>
      <c r="C246" s="208">
        <v>1</v>
      </c>
      <c r="D246" s="15">
        <v>1</v>
      </c>
      <c r="E246" s="15">
        <v>1</v>
      </c>
      <c r="F246" s="220">
        <f t="shared" si="87"/>
        <v>3</v>
      </c>
      <c r="G246" s="211">
        <v>44435</v>
      </c>
      <c r="H246" s="4"/>
      <c r="I246" s="187"/>
      <c r="J246" s="15"/>
      <c r="K246" s="15"/>
      <c r="L246" s="220">
        <f t="shared" si="88"/>
        <v>0</v>
      </c>
      <c r="M246" s="212"/>
      <c r="O246" s="4"/>
      <c r="P246" s="15"/>
      <c r="Q246" s="14">
        <f t="shared" si="85"/>
        <v>0</v>
      </c>
      <c r="R246" s="186"/>
      <c r="S246" s="4"/>
      <c r="T246" s="15"/>
      <c r="U246" s="14">
        <f t="shared" si="86"/>
        <v>0</v>
      </c>
      <c r="V246" s="186"/>
    </row>
    <row r="247" spans="1:22" x14ac:dyDescent="0.15">
      <c r="A247" s="1"/>
      <c r="B247" s="4" t="s">
        <v>749</v>
      </c>
      <c r="C247" s="208">
        <f>1+5+3</f>
        <v>9</v>
      </c>
      <c r="D247" s="15">
        <f>2</f>
        <v>2</v>
      </c>
      <c r="E247" s="15"/>
      <c r="F247" s="220">
        <f t="shared" si="87"/>
        <v>11</v>
      </c>
      <c r="G247" s="211">
        <v>44434</v>
      </c>
      <c r="H247" s="4"/>
      <c r="I247" s="206"/>
      <c r="J247" s="206"/>
      <c r="K247" s="206"/>
      <c r="L247" s="220">
        <f>SUM(I247:K247)</f>
        <v>0</v>
      </c>
      <c r="M247" s="212"/>
      <c r="O247" s="6"/>
      <c r="P247" s="15"/>
      <c r="Q247" s="14">
        <f t="shared" si="85"/>
        <v>0</v>
      </c>
      <c r="R247" s="186"/>
      <c r="S247" s="4"/>
      <c r="T247" s="15"/>
      <c r="U247" s="14">
        <f t="shared" si="86"/>
        <v>0</v>
      </c>
      <c r="V247" s="186"/>
    </row>
    <row r="248" spans="1:22" ht="14.25" thickBot="1" x14ac:dyDescent="0.2">
      <c r="A248" s="1"/>
      <c r="B248" s="4" t="s">
        <v>749</v>
      </c>
      <c r="C248" s="206">
        <f>2+7+2</f>
        <v>11</v>
      </c>
      <c r="D248" s="15">
        <f>1+1</f>
        <v>2</v>
      </c>
      <c r="E248" s="15">
        <v>1</v>
      </c>
      <c r="F248" s="220">
        <f t="shared" si="87"/>
        <v>14</v>
      </c>
      <c r="G248" s="211">
        <v>44435</v>
      </c>
      <c r="H248" s="6"/>
      <c r="I248" s="206"/>
      <c r="J248" s="206"/>
      <c r="K248" s="206"/>
      <c r="L248" s="220">
        <f t="shared" ref="L248" si="89">SUM(I248:K248)</f>
        <v>0</v>
      </c>
      <c r="M248" s="212"/>
      <c r="O248" s="6"/>
      <c r="P248" s="15"/>
      <c r="Q248" s="14">
        <f t="shared" si="85"/>
        <v>0</v>
      </c>
      <c r="R248" s="186"/>
      <c r="S248" s="4"/>
      <c r="T248" s="15"/>
      <c r="U248" s="14">
        <f t="shared" si="86"/>
        <v>0</v>
      </c>
      <c r="V248" s="186"/>
    </row>
    <row r="249" spans="1:22" ht="14.25" thickBot="1" x14ac:dyDescent="0.2">
      <c r="A249" s="1"/>
      <c r="B249" s="3" t="s">
        <v>5</v>
      </c>
      <c r="C249" s="16">
        <f>SUM(C225:C248)</f>
        <v>448</v>
      </c>
      <c r="D249" s="16">
        <f>SUM(D225:D248)</f>
        <v>132</v>
      </c>
      <c r="E249" s="16">
        <f>SUM(E225:E248)</f>
        <v>175</v>
      </c>
      <c r="F249" s="223">
        <f>SUM(F225:F248)</f>
        <v>755</v>
      </c>
      <c r="H249" s="3" t="s">
        <v>5</v>
      </c>
      <c r="I249" s="16">
        <f>SUM(I225:I248)</f>
        <v>600</v>
      </c>
      <c r="J249" s="16">
        <f>SUM(J225:J248)</f>
        <v>0</v>
      </c>
      <c r="K249" s="16">
        <f>SUM(K225:K248)</f>
        <v>0</v>
      </c>
      <c r="L249" s="223">
        <f>SUM(L225:L248)</f>
        <v>600</v>
      </c>
      <c r="O249" s="3" t="s">
        <v>5</v>
      </c>
      <c r="P249" s="16">
        <f>SUM(P225:P248)</f>
        <v>0</v>
      </c>
      <c r="Q249" s="17">
        <f>SUM(Q225:Q248)</f>
        <v>0</v>
      </c>
      <c r="S249" s="3" t="s">
        <v>5</v>
      </c>
      <c r="T249" s="16">
        <f>SUM(T225:T248)</f>
        <v>0</v>
      </c>
      <c r="U249" s="17">
        <f>SUM(U225:U248)</f>
        <v>0</v>
      </c>
    </row>
    <row r="250" spans="1:22" ht="14.25" thickBot="1" x14ac:dyDescent="0.2">
      <c r="A250" s="1"/>
      <c r="B250" s="18" t="s">
        <v>6</v>
      </c>
      <c r="C250" s="19">
        <f>C224-C249</f>
        <v>753</v>
      </c>
      <c r="D250" s="19">
        <f>D224-D249</f>
        <v>805</v>
      </c>
      <c r="E250" s="19">
        <f t="shared" ref="E250" si="90">E224-E249</f>
        <v>846</v>
      </c>
      <c r="F250" s="221">
        <f>F224-F249</f>
        <v>2404</v>
      </c>
      <c r="H250" s="18" t="s">
        <v>6</v>
      </c>
      <c r="I250" s="19">
        <f>I224-I249</f>
        <v>3400</v>
      </c>
      <c r="J250" s="19">
        <f>J224-J249</f>
        <v>0</v>
      </c>
      <c r="K250" s="19">
        <f t="shared" ref="K250" si="91">K224-K249</f>
        <v>400</v>
      </c>
      <c r="L250" s="221">
        <f>L224-L249</f>
        <v>3800</v>
      </c>
      <c r="O250" s="18" t="s">
        <v>6</v>
      </c>
      <c r="P250" s="19">
        <f>P224-P249</f>
        <v>0</v>
      </c>
      <c r="Q250" s="13">
        <f>Q224-Q249</f>
        <v>0</v>
      </c>
      <c r="S250" s="18" t="s">
        <v>6</v>
      </c>
      <c r="T250" s="19">
        <f>T224-T249</f>
        <v>0</v>
      </c>
      <c r="U250" s="13">
        <f>U224-U249</f>
        <v>0</v>
      </c>
    </row>
    <row r="253" spans="1:22" ht="18" thickBot="1" x14ac:dyDescent="0.25">
      <c r="A253" s="27" t="s">
        <v>739</v>
      </c>
      <c r="B253" s="28"/>
      <c r="C253" s="28"/>
      <c r="D253" s="28"/>
      <c r="E253" s="28"/>
      <c r="F253" s="218"/>
      <c r="H253" s="27" t="s">
        <v>740</v>
      </c>
      <c r="I253" s="28"/>
      <c r="J253" s="28"/>
      <c r="K253" s="28"/>
      <c r="L253" s="218"/>
      <c r="O253" s="181" t="s">
        <v>737</v>
      </c>
      <c r="P253" s="182"/>
      <c r="Q253" s="182"/>
      <c r="R253" s="183"/>
      <c r="S253" s="181" t="s">
        <v>733</v>
      </c>
      <c r="T253" s="182"/>
      <c r="U253" s="182"/>
      <c r="V253" s="183"/>
    </row>
    <row r="254" spans="1:22" ht="14.25" thickBot="1" x14ac:dyDescent="0.2">
      <c r="A254" s="1"/>
      <c r="B254" s="2"/>
      <c r="C254" s="194" t="s">
        <v>734</v>
      </c>
      <c r="D254" s="195" t="s">
        <v>706</v>
      </c>
      <c r="E254" s="2" t="s">
        <v>735</v>
      </c>
      <c r="F254" s="219" t="s">
        <v>1</v>
      </c>
      <c r="H254" s="2"/>
      <c r="I254" s="197" t="s">
        <v>734</v>
      </c>
      <c r="J254" s="195" t="s">
        <v>706</v>
      </c>
      <c r="K254" s="201" t="s">
        <v>735</v>
      </c>
      <c r="L254" s="219" t="s">
        <v>1</v>
      </c>
      <c r="O254" s="2"/>
      <c r="P254" s="3" t="s">
        <v>722</v>
      </c>
      <c r="Q254" s="2" t="s">
        <v>1</v>
      </c>
      <c r="S254" s="2"/>
      <c r="T254" s="3" t="s">
        <v>722</v>
      </c>
      <c r="U254" s="2" t="s">
        <v>1</v>
      </c>
    </row>
    <row r="255" spans="1:22" x14ac:dyDescent="0.15">
      <c r="A255" s="1"/>
      <c r="B255" s="164" t="s">
        <v>26</v>
      </c>
      <c r="C255" s="200">
        <f>C250</f>
        <v>753</v>
      </c>
      <c r="D255" s="164">
        <f t="shared" ref="D255:E255" si="92">D250</f>
        <v>805</v>
      </c>
      <c r="E255" s="164">
        <f t="shared" si="92"/>
        <v>846</v>
      </c>
      <c r="F255" s="222">
        <f>SUM(C255:E255)</f>
        <v>2404</v>
      </c>
      <c r="H255" s="164" t="s">
        <v>26</v>
      </c>
      <c r="I255" s="200">
        <f>I250</f>
        <v>3400</v>
      </c>
      <c r="J255" s="164">
        <f t="shared" ref="J255:K255" si="93">J250</f>
        <v>0</v>
      </c>
      <c r="K255" s="200">
        <f t="shared" si="93"/>
        <v>400</v>
      </c>
      <c r="L255" s="222">
        <f t="shared" ref="L255:L265" si="94">SUM(I255:K255)</f>
        <v>3800</v>
      </c>
      <c r="M255" s="210"/>
      <c r="O255" s="171" t="s">
        <v>26</v>
      </c>
      <c r="P255" s="200">
        <f>P250</f>
        <v>0</v>
      </c>
      <c r="Q255" s="180">
        <f t="shared" ref="Q255:Q265" si="95">SUM(P255:P255)</f>
        <v>0</v>
      </c>
      <c r="R255" s="185"/>
      <c r="S255" s="43" t="s">
        <v>26</v>
      </c>
      <c r="T255" s="38">
        <f>T250</f>
        <v>0</v>
      </c>
      <c r="U255" s="39">
        <f t="shared" ref="U255:U265" si="96">SUM(T255:T255)</f>
        <v>0</v>
      </c>
      <c r="V255" s="184"/>
    </row>
    <row r="256" spans="1:22" x14ac:dyDescent="0.15">
      <c r="A256" s="1"/>
      <c r="B256" s="6" t="s">
        <v>3</v>
      </c>
      <c r="C256" s="188">
        <v>200</v>
      </c>
      <c r="D256" s="6"/>
      <c r="E256" s="202"/>
      <c r="F256" s="220">
        <f t="shared" ref="F256" si="97">SUM(C256:E256)</f>
        <v>200</v>
      </c>
      <c r="G256" s="211">
        <v>44440</v>
      </c>
      <c r="H256" s="6" t="s">
        <v>840</v>
      </c>
      <c r="I256" s="233"/>
      <c r="J256" s="234"/>
      <c r="K256" s="234">
        <v>50</v>
      </c>
      <c r="L256" s="220">
        <f t="shared" si="94"/>
        <v>50</v>
      </c>
      <c r="M256" s="214">
        <v>44457</v>
      </c>
      <c r="O256" s="6" t="s">
        <v>3</v>
      </c>
      <c r="P256" s="7"/>
      <c r="Q256" s="5">
        <f t="shared" si="95"/>
        <v>0</v>
      </c>
      <c r="R256" s="186"/>
      <c r="S256" s="6" t="s">
        <v>3</v>
      </c>
      <c r="T256" s="7"/>
      <c r="U256" s="5">
        <f t="shared" si="96"/>
        <v>0</v>
      </c>
      <c r="V256" s="186"/>
    </row>
    <row r="257" spans="1:22" x14ac:dyDescent="0.15">
      <c r="A257" s="1"/>
      <c r="B257" s="6" t="s">
        <v>3</v>
      </c>
      <c r="C257" s="6">
        <v>100</v>
      </c>
      <c r="D257" s="205"/>
      <c r="E257" s="207"/>
      <c r="F257" s="220">
        <f t="shared" ref="F257:F265" si="98">SUM(C257:E257)</f>
        <v>100</v>
      </c>
      <c r="G257" s="211">
        <v>44457</v>
      </c>
      <c r="H257" s="6" t="s">
        <v>3</v>
      </c>
      <c r="I257" s="188"/>
      <c r="J257" s="189"/>
      <c r="K257" s="203"/>
      <c r="L257" s="220">
        <f t="shared" si="94"/>
        <v>0</v>
      </c>
      <c r="M257" s="211"/>
      <c r="O257" s="6" t="s">
        <v>3</v>
      </c>
      <c r="P257" s="7"/>
      <c r="Q257" s="5">
        <f t="shared" si="95"/>
        <v>0</v>
      </c>
      <c r="R257" s="186"/>
      <c r="S257" s="6" t="s">
        <v>845</v>
      </c>
      <c r="T257" s="7">
        <v>640</v>
      </c>
      <c r="U257" s="5">
        <f t="shared" si="96"/>
        <v>640</v>
      </c>
      <c r="V257" s="185">
        <v>44443</v>
      </c>
    </row>
    <row r="258" spans="1:22" x14ac:dyDescent="0.15">
      <c r="A258" s="1"/>
      <c r="B258" s="6" t="s">
        <v>3</v>
      </c>
      <c r="C258" s="7"/>
      <c r="D258" s="6"/>
      <c r="E258" s="4"/>
      <c r="F258" s="220">
        <f t="shared" si="98"/>
        <v>0</v>
      </c>
      <c r="G258" s="211"/>
      <c r="H258" s="6" t="s">
        <v>3</v>
      </c>
      <c r="I258" s="188"/>
      <c r="J258" s="6"/>
      <c r="K258" s="202"/>
      <c r="L258" s="220">
        <f t="shared" si="94"/>
        <v>0</v>
      </c>
      <c r="M258" s="212"/>
      <c r="O258" s="6" t="s">
        <v>3</v>
      </c>
      <c r="P258" s="7"/>
      <c r="Q258" s="5">
        <f t="shared" si="95"/>
        <v>0</v>
      </c>
      <c r="R258" s="186"/>
      <c r="S258" s="6" t="s">
        <v>3</v>
      </c>
      <c r="T258" s="7"/>
      <c r="U258" s="5">
        <f t="shared" si="96"/>
        <v>0</v>
      </c>
      <c r="V258" s="186"/>
    </row>
    <row r="259" spans="1:22" x14ac:dyDescent="0.15">
      <c r="A259" s="1"/>
      <c r="B259" s="6" t="s">
        <v>3</v>
      </c>
      <c r="C259" s="6"/>
      <c r="D259" s="205"/>
      <c r="E259" s="207"/>
      <c r="F259" s="220">
        <f t="shared" si="98"/>
        <v>0</v>
      </c>
      <c r="G259" s="211"/>
      <c r="H259" s="6" t="s">
        <v>3</v>
      </c>
      <c r="I259" s="188"/>
      <c r="J259" s="6"/>
      <c r="K259" s="202"/>
      <c r="L259" s="220">
        <f t="shared" si="94"/>
        <v>0</v>
      </c>
      <c r="O259" s="6" t="s">
        <v>3</v>
      </c>
      <c r="P259" s="7"/>
      <c r="Q259" s="5">
        <f t="shared" si="95"/>
        <v>0</v>
      </c>
      <c r="R259" s="186"/>
      <c r="S259" s="6" t="s">
        <v>3</v>
      </c>
      <c r="T259" s="7"/>
      <c r="U259" s="5">
        <f t="shared" si="96"/>
        <v>0</v>
      </c>
      <c r="V259" s="186"/>
    </row>
    <row r="260" spans="1:22" x14ac:dyDescent="0.15">
      <c r="A260" s="1"/>
      <c r="B260" s="6" t="s">
        <v>3</v>
      </c>
      <c r="C260" s="6"/>
      <c r="D260" s="205"/>
      <c r="E260" s="207"/>
      <c r="F260" s="220">
        <f t="shared" si="98"/>
        <v>0</v>
      </c>
      <c r="G260" s="212"/>
      <c r="H260" s="6" t="s">
        <v>3</v>
      </c>
      <c r="I260" s="188"/>
      <c r="J260" s="6"/>
      <c r="K260" s="202"/>
      <c r="L260" s="220">
        <f t="shared" si="94"/>
        <v>0</v>
      </c>
      <c r="O260" s="6" t="s">
        <v>3</v>
      </c>
      <c r="P260" s="7"/>
      <c r="Q260" s="5">
        <f t="shared" si="95"/>
        <v>0</v>
      </c>
      <c r="R260" s="186"/>
      <c r="S260" s="6" t="s">
        <v>3</v>
      </c>
      <c r="T260" s="7"/>
      <c r="U260" s="5">
        <f t="shared" si="96"/>
        <v>0</v>
      </c>
      <c r="V260" s="186"/>
    </row>
    <row r="261" spans="1:22" x14ac:dyDescent="0.15">
      <c r="A261" s="1"/>
      <c r="B261" s="6" t="s">
        <v>3</v>
      </c>
      <c r="C261" s="6"/>
      <c r="D261" s="205"/>
      <c r="E261" s="207"/>
      <c r="F261" s="220">
        <f t="shared" si="98"/>
        <v>0</v>
      </c>
      <c r="G261" s="212"/>
      <c r="H261" s="6" t="s">
        <v>3</v>
      </c>
      <c r="I261" s="188"/>
      <c r="J261" s="6"/>
      <c r="K261" s="202"/>
      <c r="L261" s="220">
        <f t="shared" si="94"/>
        <v>0</v>
      </c>
      <c r="O261" s="6" t="s">
        <v>3</v>
      </c>
      <c r="P261" s="7"/>
      <c r="Q261" s="5">
        <f t="shared" si="95"/>
        <v>0</v>
      </c>
      <c r="R261" s="186"/>
      <c r="S261" s="6" t="s">
        <v>3</v>
      </c>
      <c r="T261" s="7"/>
      <c r="U261" s="5">
        <f t="shared" si="96"/>
        <v>0</v>
      </c>
      <c r="V261" s="186"/>
    </row>
    <row r="262" spans="1:22" x14ac:dyDescent="0.15">
      <c r="A262" s="1"/>
      <c r="B262" s="6" t="s">
        <v>3</v>
      </c>
      <c r="C262" s="6"/>
      <c r="D262" s="189"/>
      <c r="E262" s="190"/>
      <c r="F262" s="220">
        <f t="shared" si="98"/>
        <v>0</v>
      </c>
      <c r="G262" s="212"/>
      <c r="H262" s="6" t="s">
        <v>3</v>
      </c>
      <c r="I262" s="188"/>
      <c r="J262" s="189"/>
      <c r="K262" s="203"/>
      <c r="L262" s="220">
        <f t="shared" si="94"/>
        <v>0</v>
      </c>
      <c r="M262" s="211"/>
      <c r="O262" s="6" t="s">
        <v>3</v>
      </c>
      <c r="P262" s="8"/>
      <c r="Q262" s="5">
        <f t="shared" si="95"/>
        <v>0</v>
      </c>
      <c r="R262" s="186"/>
      <c r="S262" s="6" t="s">
        <v>3</v>
      </c>
      <c r="T262" s="8"/>
      <c r="U262" s="5">
        <f t="shared" si="96"/>
        <v>0</v>
      </c>
      <c r="V262" s="186"/>
    </row>
    <row r="263" spans="1:22" x14ac:dyDescent="0.15">
      <c r="A263" s="1"/>
      <c r="B263" s="6" t="s">
        <v>3</v>
      </c>
      <c r="C263" s="6"/>
      <c r="D263" s="189"/>
      <c r="E263" s="190"/>
      <c r="F263" s="220">
        <f t="shared" si="98"/>
        <v>0</v>
      </c>
      <c r="H263" s="6" t="s">
        <v>3</v>
      </c>
      <c r="I263" s="188"/>
      <c r="J263" s="189"/>
      <c r="K263" s="203"/>
      <c r="L263" s="220">
        <f t="shared" si="94"/>
        <v>0</v>
      </c>
      <c r="M263" s="212"/>
      <c r="O263" s="6" t="s">
        <v>3</v>
      </c>
      <c r="P263" s="8"/>
      <c r="Q263" s="5">
        <f t="shared" si="95"/>
        <v>0</v>
      </c>
      <c r="R263" s="186"/>
      <c r="S263" s="6" t="s">
        <v>3</v>
      </c>
      <c r="T263" s="8"/>
      <c r="U263" s="5">
        <f t="shared" si="96"/>
        <v>0</v>
      </c>
      <c r="V263" s="186"/>
    </row>
    <row r="264" spans="1:22" x14ac:dyDescent="0.15">
      <c r="A264" s="1"/>
      <c r="B264" s="6" t="s">
        <v>3</v>
      </c>
      <c r="C264" s="6"/>
      <c r="D264" s="189"/>
      <c r="E264" s="190"/>
      <c r="F264" s="220">
        <f t="shared" si="98"/>
        <v>0</v>
      </c>
      <c r="H264" s="6" t="s">
        <v>3</v>
      </c>
      <c r="I264" s="188"/>
      <c r="J264" s="189"/>
      <c r="K264" s="203"/>
      <c r="L264" s="220">
        <f t="shared" si="94"/>
        <v>0</v>
      </c>
      <c r="O264" s="6" t="s">
        <v>3</v>
      </c>
      <c r="P264" s="8"/>
      <c r="Q264" s="5">
        <f t="shared" si="95"/>
        <v>0</v>
      </c>
      <c r="R264" s="186"/>
      <c r="S264" s="6" t="s">
        <v>3</v>
      </c>
      <c r="T264" s="8"/>
      <c r="U264" s="5">
        <f t="shared" si="96"/>
        <v>0</v>
      </c>
      <c r="V264" s="186"/>
    </row>
    <row r="265" spans="1:22" ht="14.25" thickBot="1" x14ac:dyDescent="0.2">
      <c r="A265" s="1"/>
      <c r="B265" s="9" t="s">
        <v>3</v>
      </c>
      <c r="C265" s="9"/>
      <c r="D265" s="191"/>
      <c r="E265" s="192"/>
      <c r="F265" s="220">
        <f t="shared" si="98"/>
        <v>0</v>
      </c>
      <c r="H265" s="9" t="s">
        <v>3</v>
      </c>
      <c r="I265" s="198"/>
      <c r="J265" s="199"/>
      <c r="K265" s="204"/>
      <c r="L265" s="220">
        <f t="shared" si="94"/>
        <v>0</v>
      </c>
      <c r="O265" s="9" t="s">
        <v>3</v>
      </c>
      <c r="P265" s="10"/>
      <c r="Q265" s="5">
        <f t="shared" si="95"/>
        <v>0</v>
      </c>
      <c r="R265" s="186"/>
      <c r="S265" s="9" t="s">
        <v>3</v>
      </c>
      <c r="T265" s="10"/>
      <c r="U265" s="5">
        <f t="shared" si="96"/>
        <v>0</v>
      </c>
      <c r="V265" s="186"/>
    </row>
    <row r="266" spans="1:22" ht="14.25" thickBot="1" x14ac:dyDescent="0.2">
      <c r="A266" s="1"/>
      <c r="B266" s="11" t="s">
        <v>4</v>
      </c>
      <c r="C266" s="193">
        <f>SUM(C255:C265)</f>
        <v>1053</v>
      </c>
      <c r="D266" s="193">
        <f>SUM(D255:D265)</f>
        <v>805</v>
      </c>
      <c r="E266" s="193">
        <f>SUM(E255:E265)</f>
        <v>846</v>
      </c>
      <c r="F266" s="221">
        <f>SUM(F255:F265)</f>
        <v>2704</v>
      </c>
      <c r="H266" s="11" t="s">
        <v>4</v>
      </c>
      <c r="I266" s="193">
        <f>SUM(I255:I265)</f>
        <v>3400</v>
      </c>
      <c r="J266" s="193">
        <f>SUM(J255:J265)</f>
        <v>0</v>
      </c>
      <c r="K266" s="193">
        <f t="shared" ref="K266" si="99">SUM(K255:K265)</f>
        <v>450</v>
      </c>
      <c r="L266" s="221">
        <f>SUM(L255:L265)</f>
        <v>3850</v>
      </c>
      <c r="O266" s="11" t="s">
        <v>4</v>
      </c>
      <c r="P266" s="12">
        <f>SUM(P255:P265)</f>
        <v>0</v>
      </c>
      <c r="Q266" s="13">
        <f>SUM(Q255:Q265)</f>
        <v>0</v>
      </c>
      <c r="S266" s="11" t="s">
        <v>4</v>
      </c>
      <c r="T266" s="12">
        <f>SUM(T255:T265)</f>
        <v>640</v>
      </c>
      <c r="U266" s="13">
        <f>SUM(U255:U265)</f>
        <v>640</v>
      </c>
    </row>
    <row r="267" spans="1:22" x14ac:dyDescent="0.15">
      <c r="A267" s="1"/>
      <c r="B267" s="4" t="s">
        <v>844</v>
      </c>
      <c r="C267" s="215">
        <v>640</v>
      </c>
      <c r="D267" s="215">
        <v>640</v>
      </c>
      <c r="E267" s="216">
        <v>640</v>
      </c>
      <c r="F267" s="220">
        <f t="shared" ref="F267:F290" si="100">SUM(C267:E267)</f>
        <v>1920</v>
      </c>
      <c r="G267" s="211">
        <v>44443</v>
      </c>
      <c r="H267" s="6" t="s">
        <v>840</v>
      </c>
      <c r="I267" s="235">
        <v>200</v>
      </c>
      <c r="J267" s="215"/>
      <c r="K267" s="240"/>
      <c r="L267" s="220">
        <f t="shared" ref="L267" si="101">SUM(I267:K267)</f>
        <v>200</v>
      </c>
      <c r="M267" s="211">
        <v>44440</v>
      </c>
      <c r="O267" s="4"/>
      <c r="P267" s="44"/>
      <c r="Q267" s="14">
        <f t="shared" ref="Q267:Q290" si="102">SUM(P267:P267)</f>
        <v>0</v>
      </c>
      <c r="R267" s="186"/>
      <c r="S267" s="4"/>
      <c r="T267" s="44"/>
      <c r="U267" s="14">
        <f t="shared" ref="U267:U290" si="103">SUM(T267:T267)</f>
        <v>0</v>
      </c>
    </row>
    <row r="268" spans="1:22" x14ac:dyDescent="0.15">
      <c r="A268" s="1"/>
      <c r="B268" s="178" t="s">
        <v>848</v>
      </c>
      <c r="C268" s="216">
        <v>2</v>
      </c>
      <c r="D268" s="232">
        <v>2</v>
      </c>
      <c r="E268" s="232">
        <v>2</v>
      </c>
      <c r="F268" s="220">
        <f t="shared" si="100"/>
        <v>6</v>
      </c>
      <c r="G268" s="211">
        <v>44439</v>
      </c>
      <c r="H268" s="6" t="s">
        <v>840</v>
      </c>
      <c r="I268" s="215">
        <v>100</v>
      </c>
      <c r="J268" s="215"/>
      <c r="K268" s="216"/>
      <c r="L268" s="220">
        <f t="shared" ref="L268" si="104">SUM(I268:K268)</f>
        <v>100</v>
      </c>
      <c r="M268" s="211">
        <v>44457</v>
      </c>
      <c r="O268" s="4"/>
      <c r="P268" s="15"/>
      <c r="Q268" s="14">
        <f t="shared" si="102"/>
        <v>0</v>
      </c>
      <c r="R268" s="186"/>
      <c r="S268" s="4"/>
      <c r="T268" s="15"/>
      <c r="U268" s="14">
        <f t="shared" si="103"/>
        <v>0</v>
      </c>
    </row>
    <row r="269" spans="1:22" x14ac:dyDescent="0.15">
      <c r="A269" s="1"/>
      <c r="B269" s="4" t="s">
        <v>749</v>
      </c>
      <c r="C269" s="216">
        <f>27+10+1+1+7</f>
        <v>46</v>
      </c>
      <c r="D269" s="232">
        <f>1+3+2</f>
        <v>6</v>
      </c>
      <c r="E269" s="232">
        <f>1+2+1</f>
        <v>4</v>
      </c>
      <c r="F269" s="220">
        <f t="shared" si="100"/>
        <v>56</v>
      </c>
      <c r="G269" s="248">
        <v>44438</v>
      </c>
      <c r="H269" s="4"/>
      <c r="I269" s="216"/>
      <c r="J269" s="232"/>
      <c r="K269" s="232"/>
      <c r="L269" s="220">
        <f t="shared" ref="L269:L288" si="105">SUM(I269:K269)</f>
        <v>0</v>
      </c>
      <c r="M269" s="212"/>
      <c r="O269" s="4"/>
      <c r="P269" s="15"/>
      <c r="Q269" s="14">
        <f t="shared" si="102"/>
        <v>0</v>
      </c>
      <c r="R269" s="186"/>
      <c r="S269" s="4"/>
      <c r="T269" s="15"/>
      <c r="U269" s="14">
        <f t="shared" si="103"/>
        <v>0</v>
      </c>
    </row>
    <row r="270" spans="1:22" x14ac:dyDescent="0.15">
      <c r="A270" s="1"/>
      <c r="B270" s="178" t="s">
        <v>849</v>
      </c>
      <c r="C270" s="233">
        <v>1</v>
      </c>
      <c r="D270" s="234">
        <v>1</v>
      </c>
      <c r="E270" s="234">
        <v>1</v>
      </c>
      <c r="F270" s="220">
        <f t="shared" si="100"/>
        <v>3</v>
      </c>
      <c r="G270" s="211">
        <v>44440</v>
      </c>
      <c r="H270" s="4"/>
      <c r="I270" s="233"/>
      <c r="J270" s="234"/>
      <c r="K270" s="234"/>
      <c r="L270" s="220">
        <f t="shared" si="105"/>
        <v>0</v>
      </c>
      <c r="M270" s="212"/>
      <c r="O270" s="4"/>
      <c r="P270" s="15"/>
      <c r="Q270" s="14">
        <f t="shared" si="102"/>
        <v>0</v>
      </c>
      <c r="R270" s="186"/>
      <c r="S270" s="4"/>
      <c r="T270" s="15"/>
      <c r="U270" s="14">
        <f t="shared" si="103"/>
        <v>0</v>
      </c>
    </row>
    <row r="271" spans="1:22" x14ac:dyDescent="0.15">
      <c r="A271" s="1"/>
      <c r="B271" s="4" t="s">
        <v>749</v>
      </c>
      <c r="C271" s="233">
        <f>14+3+2+10</f>
        <v>29</v>
      </c>
      <c r="D271" s="234">
        <v>1</v>
      </c>
      <c r="E271" s="234"/>
      <c r="F271" s="220">
        <f t="shared" si="100"/>
        <v>30</v>
      </c>
      <c r="G271" s="211">
        <v>44439</v>
      </c>
      <c r="H271" s="4"/>
      <c r="I271" s="233"/>
      <c r="J271" s="234"/>
      <c r="K271" s="234"/>
      <c r="L271" s="220">
        <f t="shared" si="105"/>
        <v>0</v>
      </c>
      <c r="O271" s="4"/>
      <c r="P271" s="15"/>
      <c r="Q271" s="14">
        <f t="shared" si="102"/>
        <v>0</v>
      </c>
      <c r="R271" s="186"/>
      <c r="S271" s="4"/>
      <c r="T271" s="15"/>
      <c r="U271" s="14">
        <f t="shared" si="103"/>
        <v>0</v>
      </c>
    </row>
    <row r="272" spans="1:22" x14ac:dyDescent="0.15">
      <c r="A272" s="1"/>
      <c r="B272" s="4" t="s">
        <v>764</v>
      </c>
      <c r="C272" s="233">
        <v>50</v>
      </c>
      <c r="D272" s="234"/>
      <c r="E272" s="234"/>
      <c r="F272" s="220">
        <f t="shared" si="100"/>
        <v>50</v>
      </c>
      <c r="G272" s="211">
        <v>44441</v>
      </c>
      <c r="H272" s="4"/>
      <c r="I272" s="233"/>
      <c r="J272" s="234"/>
      <c r="K272" s="234"/>
      <c r="L272" s="220">
        <f t="shared" si="105"/>
        <v>0</v>
      </c>
      <c r="O272" s="4"/>
      <c r="P272" s="15"/>
      <c r="Q272" s="14">
        <f t="shared" si="102"/>
        <v>0</v>
      </c>
      <c r="R272" s="186"/>
      <c r="S272" s="4"/>
      <c r="T272" s="15"/>
      <c r="U272" s="14">
        <f t="shared" si="103"/>
        <v>0</v>
      </c>
    </row>
    <row r="273" spans="1:22" x14ac:dyDescent="0.15">
      <c r="A273" s="1"/>
      <c r="B273" s="4" t="s">
        <v>749</v>
      </c>
      <c r="C273" s="233">
        <f>2+10</f>
        <v>12</v>
      </c>
      <c r="D273" s="234">
        <v>2</v>
      </c>
      <c r="E273" s="234">
        <v>1</v>
      </c>
      <c r="F273" s="220">
        <f t="shared" si="100"/>
        <v>15</v>
      </c>
      <c r="G273" s="211">
        <v>44440</v>
      </c>
      <c r="H273" s="4"/>
      <c r="I273" s="233"/>
      <c r="J273" s="234"/>
      <c r="K273" s="234"/>
      <c r="L273" s="220">
        <f t="shared" si="105"/>
        <v>0</v>
      </c>
      <c r="O273" s="4"/>
      <c r="P273" s="15"/>
      <c r="Q273" s="14">
        <f t="shared" si="102"/>
        <v>0</v>
      </c>
      <c r="R273" s="186"/>
      <c r="S273" s="4"/>
      <c r="T273" s="15"/>
      <c r="U273" s="14">
        <f t="shared" si="103"/>
        <v>0</v>
      </c>
    </row>
    <row r="274" spans="1:22" x14ac:dyDescent="0.15">
      <c r="A274" s="1"/>
      <c r="B274" s="4" t="s">
        <v>749</v>
      </c>
      <c r="C274" s="233">
        <v>8</v>
      </c>
      <c r="D274" s="234">
        <v>2</v>
      </c>
      <c r="E274" s="234"/>
      <c r="F274" s="220">
        <f t="shared" si="100"/>
        <v>10</v>
      </c>
      <c r="G274" s="248">
        <v>44441</v>
      </c>
      <c r="H274" s="4"/>
      <c r="I274" s="233"/>
      <c r="J274" s="234"/>
      <c r="K274" s="234"/>
      <c r="L274" s="220">
        <f t="shared" si="105"/>
        <v>0</v>
      </c>
      <c r="O274" s="4"/>
      <c r="P274" s="15"/>
      <c r="Q274" s="14">
        <f t="shared" si="102"/>
        <v>0</v>
      </c>
      <c r="R274" s="186"/>
      <c r="S274" s="4"/>
      <c r="T274" s="15"/>
      <c r="U274" s="14">
        <f t="shared" si="103"/>
        <v>0</v>
      </c>
    </row>
    <row r="275" spans="1:22" x14ac:dyDescent="0.15">
      <c r="A275" s="1"/>
      <c r="B275" s="4" t="s">
        <v>749</v>
      </c>
      <c r="C275" s="233">
        <f>1+2+1</f>
        <v>4</v>
      </c>
      <c r="D275" s="234"/>
      <c r="E275" s="234"/>
      <c r="F275" s="220">
        <f t="shared" si="100"/>
        <v>4</v>
      </c>
      <c r="G275" s="248">
        <v>44442</v>
      </c>
      <c r="H275" s="4"/>
      <c r="I275" s="187"/>
      <c r="J275" s="15"/>
      <c r="K275" s="15"/>
      <c r="L275" s="220">
        <f t="shared" si="105"/>
        <v>0</v>
      </c>
      <c r="O275" s="4"/>
      <c r="P275" s="15"/>
      <c r="Q275" s="14">
        <f t="shared" si="102"/>
        <v>0</v>
      </c>
      <c r="R275" s="186"/>
      <c r="S275" s="4"/>
      <c r="T275" s="15"/>
      <c r="U275" s="14">
        <f t="shared" si="103"/>
        <v>0</v>
      </c>
    </row>
    <row r="276" spans="1:22" x14ac:dyDescent="0.15">
      <c r="A276" s="1"/>
      <c r="B276" s="4" t="s">
        <v>749</v>
      </c>
      <c r="C276" s="233">
        <v>1</v>
      </c>
      <c r="D276" s="234"/>
      <c r="E276" s="234"/>
      <c r="F276" s="220">
        <f t="shared" si="100"/>
        <v>1</v>
      </c>
      <c r="G276" s="248">
        <v>44443</v>
      </c>
      <c r="H276" s="4"/>
      <c r="I276" s="187"/>
      <c r="J276" s="15"/>
      <c r="K276" s="15"/>
      <c r="L276" s="220">
        <f t="shared" si="105"/>
        <v>0</v>
      </c>
      <c r="O276" s="4"/>
      <c r="P276" s="15"/>
      <c r="Q276" s="14">
        <f t="shared" si="102"/>
        <v>0</v>
      </c>
      <c r="R276" s="186"/>
      <c r="S276" s="4"/>
      <c r="T276" s="15"/>
      <c r="U276" s="14">
        <f t="shared" si="103"/>
        <v>0</v>
      </c>
    </row>
    <row r="277" spans="1:22" x14ac:dyDescent="0.15">
      <c r="A277" s="1"/>
      <c r="B277" s="4" t="s">
        <v>749</v>
      </c>
      <c r="C277" s="233">
        <f>19+7+2</f>
        <v>28</v>
      </c>
      <c r="D277" s="234">
        <f>1+2+1</f>
        <v>4</v>
      </c>
      <c r="E277" s="234">
        <f>1+2</f>
        <v>3</v>
      </c>
      <c r="F277" s="220">
        <f t="shared" si="100"/>
        <v>35</v>
      </c>
      <c r="G277" s="248">
        <v>44445</v>
      </c>
      <c r="H277" s="4"/>
      <c r="I277" s="187"/>
      <c r="J277" s="15"/>
      <c r="K277" s="15"/>
      <c r="L277" s="220">
        <f t="shared" si="105"/>
        <v>0</v>
      </c>
      <c r="O277" s="4"/>
      <c r="P277" s="15"/>
      <c r="Q277" s="14">
        <f t="shared" si="102"/>
        <v>0</v>
      </c>
      <c r="R277" s="186"/>
      <c r="S277" s="4"/>
      <c r="T277" s="15"/>
      <c r="U277" s="14">
        <f t="shared" si="103"/>
        <v>0</v>
      </c>
    </row>
    <row r="278" spans="1:22" x14ac:dyDescent="0.15">
      <c r="A278" s="1"/>
      <c r="B278" s="4" t="s">
        <v>749</v>
      </c>
      <c r="C278" s="235">
        <f>3+3+2</f>
        <v>8</v>
      </c>
      <c r="D278" s="234"/>
      <c r="E278" s="234">
        <v>1</v>
      </c>
      <c r="F278" s="220">
        <f t="shared" si="100"/>
        <v>9</v>
      </c>
      <c r="G278" s="248">
        <v>44446</v>
      </c>
      <c r="H278" s="6"/>
      <c r="I278" s="188"/>
      <c r="J278" s="15"/>
      <c r="K278" s="15"/>
      <c r="L278" s="220">
        <f t="shared" si="105"/>
        <v>0</v>
      </c>
      <c r="O278" s="6"/>
      <c r="P278" s="15"/>
      <c r="Q278" s="14">
        <f t="shared" si="102"/>
        <v>0</v>
      </c>
      <c r="R278" s="186"/>
      <c r="S278" s="6"/>
      <c r="T278" s="15"/>
      <c r="U278" s="14">
        <f t="shared" si="103"/>
        <v>0</v>
      </c>
    </row>
    <row r="279" spans="1:22" x14ac:dyDescent="0.15">
      <c r="A279" s="1"/>
      <c r="B279" s="4" t="s">
        <v>749</v>
      </c>
      <c r="C279" s="235">
        <v>9</v>
      </c>
      <c r="D279" s="234">
        <v>1</v>
      </c>
      <c r="E279" s="234">
        <v>1</v>
      </c>
      <c r="F279" s="220">
        <f t="shared" si="100"/>
        <v>11</v>
      </c>
      <c r="G279" s="248">
        <v>44447</v>
      </c>
      <c r="H279" s="6"/>
      <c r="I279" s="188"/>
      <c r="J279" s="15"/>
      <c r="K279" s="15"/>
      <c r="L279" s="220">
        <f t="shared" si="105"/>
        <v>0</v>
      </c>
      <c r="O279" s="6"/>
      <c r="P279" s="15"/>
      <c r="Q279" s="14">
        <f t="shared" si="102"/>
        <v>0</v>
      </c>
      <c r="R279" s="186"/>
      <c r="S279" s="6"/>
      <c r="T279" s="15"/>
      <c r="U279" s="14">
        <f t="shared" si="103"/>
        <v>0</v>
      </c>
    </row>
    <row r="280" spans="1:22" x14ac:dyDescent="0.15">
      <c r="A280" s="1"/>
      <c r="B280" s="4" t="s">
        <v>749</v>
      </c>
      <c r="C280" s="233">
        <v>2</v>
      </c>
      <c r="D280" s="234"/>
      <c r="E280" s="234"/>
      <c r="F280" s="220">
        <f t="shared" si="100"/>
        <v>2</v>
      </c>
      <c r="G280" s="248">
        <v>44448</v>
      </c>
      <c r="H280" s="4"/>
      <c r="I280" s="187"/>
      <c r="J280" s="15"/>
      <c r="K280" s="15"/>
      <c r="L280" s="220">
        <f t="shared" si="105"/>
        <v>0</v>
      </c>
      <c r="O280" s="4"/>
      <c r="P280" s="15"/>
      <c r="Q280" s="14">
        <f t="shared" si="102"/>
        <v>0</v>
      </c>
      <c r="R280" s="186"/>
      <c r="S280" s="4"/>
      <c r="T280" s="15"/>
      <c r="U280" s="14">
        <f t="shared" si="103"/>
        <v>0</v>
      </c>
    </row>
    <row r="281" spans="1:22" x14ac:dyDescent="0.15">
      <c r="A281" s="1"/>
      <c r="B281" s="4" t="s">
        <v>749</v>
      </c>
      <c r="C281" s="233">
        <f>1+3+2+1</f>
        <v>7</v>
      </c>
      <c r="D281" s="234">
        <v>1</v>
      </c>
      <c r="E281" s="234"/>
      <c r="F281" s="220">
        <f t="shared" si="100"/>
        <v>8</v>
      </c>
      <c r="G281" s="248">
        <v>44449</v>
      </c>
      <c r="H281" s="4"/>
      <c r="I281" s="187"/>
      <c r="J281" s="15"/>
      <c r="K281" s="15"/>
      <c r="L281" s="220">
        <f t="shared" si="105"/>
        <v>0</v>
      </c>
      <c r="O281" s="4"/>
      <c r="P281" s="15"/>
      <c r="Q281" s="14">
        <f t="shared" si="102"/>
        <v>0</v>
      </c>
      <c r="R281" s="186"/>
      <c r="S281" s="4"/>
      <c r="T281" s="15"/>
      <c r="U281" s="14">
        <f t="shared" si="103"/>
        <v>0</v>
      </c>
    </row>
    <row r="282" spans="1:22" x14ac:dyDescent="0.15">
      <c r="A282" s="1"/>
      <c r="B282" s="178" t="s">
        <v>850</v>
      </c>
      <c r="C282" s="233">
        <v>1</v>
      </c>
      <c r="D282" s="234">
        <v>1</v>
      </c>
      <c r="E282" s="234">
        <v>1</v>
      </c>
      <c r="F282" s="220">
        <f t="shared" si="100"/>
        <v>3</v>
      </c>
      <c r="G282" s="211">
        <v>44453</v>
      </c>
      <c r="H282" s="4"/>
      <c r="I282" s="187"/>
      <c r="J282" s="15"/>
      <c r="K282" s="15"/>
      <c r="L282" s="220">
        <f t="shared" si="105"/>
        <v>0</v>
      </c>
      <c r="O282" s="4"/>
      <c r="P282" s="15"/>
      <c r="Q282" s="14">
        <f t="shared" si="102"/>
        <v>0</v>
      </c>
      <c r="R282" s="186"/>
      <c r="S282" s="4"/>
      <c r="T282" s="15"/>
      <c r="U282" s="14">
        <f t="shared" si="103"/>
        <v>0</v>
      </c>
    </row>
    <row r="283" spans="1:22" x14ac:dyDescent="0.15">
      <c r="A283" s="1"/>
      <c r="B283" s="4" t="s">
        <v>749</v>
      </c>
      <c r="C283" s="235">
        <f>2+12+8</f>
        <v>22</v>
      </c>
      <c r="D283" s="234">
        <f>2+5</f>
        <v>7</v>
      </c>
      <c r="E283" s="234"/>
      <c r="F283" s="220">
        <f t="shared" si="100"/>
        <v>29</v>
      </c>
      <c r="G283" s="248">
        <v>44452</v>
      </c>
      <c r="H283" s="6"/>
      <c r="I283" s="188"/>
      <c r="J283" s="15"/>
      <c r="K283" s="15"/>
      <c r="L283" s="220">
        <f t="shared" si="105"/>
        <v>0</v>
      </c>
      <c r="O283" s="6"/>
      <c r="P283" s="15"/>
      <c r="Q283" s="14">
        <f t="shared" si="102"/>
        <v>0</v>
      </c>
      <c r="R283" s="186"/>
      <c r="S283" s="6"/>
      <c r="T283" s="15"/>
      <c r="U283" s="14">
        <f t="shared" si="103"/>
        <v>0</v>
      </c>
    </row>
    <row r="284" spans="1:22" x14ac:dyDescent="0.15">
      <c r="A284" s="1"/>
      <c r="B284" s="4" t="s">
        <v>749</v>
      </c>
      <c r="C284" s="233">
        <f>1+1+1+4</f>
        <v>7</v>
      </c>
      <c r="D284" s="234"/>
      <c r="E284" s="234"/>
      <c r="F284" s="220">
        <f t="shared" si="100"/>
        <v>7</v>
      </c>
      <c r="G284" s="248">
        <v>44453</v>
      </c>
      <c r="H284" s="4"/>
      <c r="I284" s="187"/>
      <c r="J284" s="15"/>
      <c r="K284" s="15"/>
      <c r="L284" s="220">
        <f t="shared" si="105"/>
        <v>0</v>
      </c>
      <c r="O284" s="4"/>
      <c r="P284" s="15"/>
      <c r="Q284" s="14">
        <f t="shared" si="102"/>
        <v>0</v>
      </c>
      <c r="R284" s="186"/>
      <c r="S284" s="4"/>
      <c r="T284" s="15"/>
      <c r="U284" s="14">
        <f t="shared" si="103"/>
        <v>0</v>
      </c>
    </row>
    <row r="285" spans="1:22" x14ac:dyDescent="0.15">
      <c r="A285" s="1"/>
      <c r="B285" s="4" t="s">
        <v>749</v>
      </c>
      <c r="C285" s="235">
        <f>1+3</f>
        <v>4</v>
      </c>
      <c r="D285" s="234"/>
      <c r="E285" s="234"/>
      <c r="F285" s="220">
        <f t="shared" si="100"/>
        <v>4</v>
      </c>
      <c r="G285" s="248">
        <v>44454</v>
      </c>
      <c r="H285" s="6"/>
      <c r="I285" s="188"/>
      <c r="J285" s="15"/>
      <c r="K285" s="15"/>
      <c r="L285" s="220">
        <f t="shared" si="105"/>
        <v>0</v>
      </c>
      <c r="O285" s="6"/>
      <c r="P285" s="15"/>
      <c r="Q285" s="14">
        <f t="shared" si="102"/>
        <v>0</v>
      </c>
      <c r="R285" s="186"/>
      <c r="S285" s="6"/>
      <c r="T285" s="15"/>
      <c r="U285" s="14">
        <f t="shared" si="103"/>
        <v>0</v>
      </c>
    </row>
    <row r="286" spans="1:22" x14ac:dyDescent="0.15">
      <c r="A286" s="1"/>
      <c r="B286" s="4" t="s">
        <v>851</v>
      </c>
      <c r="C286" s="233">
        <v>24</v>
      </c>
      <c r="D286" s="234"/>
      <c r="E286" s="234"/>
      <c r="F286" s="220">
        <f t="shared" si="100"/>
        <v>24</v>
      </c>
      <c r="G286" s="211">
        <v>44455</v>
      </c>
      <c r="H286" s="4"/>
      <c r="I286" s="187"/>
      <c r="J286" s="15"/>
      <c r="K286" s="15"/>
      <c r="L286" s="220">
        <f t="shared" si="105"/>
        <v>0</v>
      </c>
      <c r="O286" s="4"/>
      <c r="P286" s="15"/>
      <c r="Q286" s="14">
        <f t="shared" si="102"/>
        <v>0</v>
      </c>
      <c r="R286" s="186"/>
      <c r="S286" s="4"/>
      <c r="T286" s="15"/>
      <c r="U286" s="14">
        <f t="shared" si="103"/>
        <v>0</v>
      </c>
      <c r="V286" s="186"/>
    </row>
    <row r="287" spans="1:22" x14ac:dyDescent="0.15">
      <c r="A287" s="75"/>
      <c r="B287" s="178" t="s">
        <v>852</v>
      </c>
      <c r="C287" s="233">
        <v>1</v>
      </c>
      <c r="D287" s="234">
        <v>1</v>
      </c>
      <c r="E287" s="234">
        <v>1</v>
      </c>
      <c r="F287" s="220">
        <f t="shared" si="100"/>
        <v>3</v>
      </c>
      <c r="G287" s="211">
        <v>44456</v>
      </c>
      <c r="H287" s="4"/>
      <c r="I287" s="187"/>
      <c r="J287" s="15"/>
      <c r="K287" s="15"/>
      <c r="L287" s="220">
        <f t="shared" si="105"/>
        <v>0</v>
      </c>
      <c r="M287" s="212"/>
      <c r="O287" s="4"/>
      <c r="P287" s="15"/>
      <c r="Q287" s="14">
        <f t="shared" si="102"/>
        <v>0</v>
      </c>
      <c r="R287" s="186"/>
      <c r="S287" s="4"/>
      <c r="T287" s="15"/>
      <c r="U287" s="14">
        <f t="shared" si="103"/>
        <v>0</v>
      </c>
      <c r="V287" s="186"/>
    </row>
    <row r="288" spans="1:22" x14ac:dyDescent="0.15">
      <c r="A288" s="1"/>
      <c r="B288" s="4" t="s">
        <v>749</v>
      </c>
      <c r="C288" s="233">
        <f>1+2+2</f>
        <v>5</v>
      </c>
      <c r="D288" s="234">
        <v>1</v>
      </c>
      <c r="E288" s="234"/>
      <c r="F288" s="220">
        <f t="shared" si="100"/>
        <v>6</v>
      </c>
      <c r="G288" s="248">
        <v>44455</v>
      </c>
      <c r="H288" s="4"/>
      <c r="I288" s="187"/>
      <c r="J288" s="15"/>
      <c r="K288" s="15"/>
      <c r="L288" s="220">
        <f t="shared" si="105"/>
        <v>0</v>
      </c>
      <c r="M288" s="212"/>
      <c r="O288" s="4"/>
      <c r="P288" s="15"/>
      <c r="Q288" s="14">
        <f t="shared" si="102"/>
        <v>0</v>
      </c>
      <c r="R288" s="186"/>
      <c r="S288" s="4"/>
      <c r="T288" s="15"/>
      <c r="U288" s="14">
        <f t="shared" si="103"/>
        <v>0</v>
      </c>
      <c r="V288" s="186"/>
    </row>
    <row r="289" spans="1:22" x14ac:dyDescent="0.15">
      <c r="A289" s="1"/>
      <c r="B289" s="4" t="s">
        <v>853</v>
      </c>
      <c r="C289" s="233"/>
      <c r="D289" s="234"/>
      <c r="E289" s="234">
        <v>50</v>
      </c>
      <c r="F289" s="220">
        <f t="shared" si="100"/>
        <v>50</v>
      </c>
      <c r="G289" s="248">
        <v>44457</v>
      </c>
      <c r="H289" s="4"/>
      <c r="I289" s="206"/>
      <c r="J289" s="206"/>
      <c r="K289" s="206"/>
      <c r="L289" s="220">
        <f>SUM(I289:K289)</f>
        <v>0</v>
      </c>
      <c r="M289" s="212"/>
      <c r="O289" s="6"/>
      <c r="P289" s="15"/>
      <c r="Q289" s="14">
        <f t="shared" si="102"/>
        <v>0</v>
      </c>
      <c r="R289" s="186"/>
      <c r="S289" s="4"/>
      <c r="T289" s="15"/>
      <c r="U289" s="14">
        <f t="shared" si="103"/>
        <v>0</v>
      </c>
      <c r="V289" s="186"/>
    </row>
    <row r="290" spans="1:22" ht="14.25" thickBot="1" x14ac:dyDescent="0.2">
      <c r="A290" s="1"/>
      <c r="B290" s="4" t="s">
        <v>749</v>
      </c>
      <c r="C290" s="235">
        <v>1</v>
      </c>
      <c r="D290" s="234"/>
      <c r="E290" s="234"/>
      <c r="F290" s="220">
        <f t="shared" si="100"/>
        <v>1</v>
      </c>
      <c r="G290" s="248">
        <v>44457</v>
      </c>
      <c r="H290" s="6"/>
      <c r="I290" s="206"/>
      <c r="J290" s="206"/>
      <c r="K290" s="206"/>
      <c r="L290" s="220">
        <f t="shared" ref="L290" si="106">SUM(I290:K290)</f>
        <v>0</v>
      </c>
      <c r="M290" s="212"/>
      <c r="O290" s="6"/>
      <c r="P290" s="15"/>
      <c r="Q290" s="14">
        <f t="shared" si="102"/>
        <v>0</v>
      </c>
      <c r="R290" s="186"/>
      <c r="S290" s="4" t="s">
        <v>771</v>
      </c>
      <c r="T290" s="15"/>
      <c r="U290" s="14">
        <f t="shared" si="103"/>
        <v>0</v>
      </c>
      <c r="V290" s="186" t="s">
        <v>793</v>
      </c>
    </row>
    <row r="291" spans="1:22" ht="14.25" thickBot="1" x14ac:dyDescent="0.2">
      <c r="A291" s="1"/>
      <c r="B291" s="3" t="s">
        <v>5</v>
      </c>
      <c r="C291" s="16">
        <f>SUM(C267:C290)</f>
        <v>912</v>
      </c>
      <c r="D291" s="16">
        <f>SUM(D267:D290)</f>
        <v>670</v>
      </c>
      <c r="E291" s="16">
        <f>SUM(E267:E290)</f>
        <v>705</v>
      </c>
      <c r="F291" s="223">
        <f>SUM(F267:F290)</f>
        <v>2287</v>
      </c>
      <c r="H291" s="3" t="s">
        <v>5</v>
      </c>
      <c r="I291" s="16">
        <f>SUM(I267:I290)</f>
        <v>300</v>
      </c>
      <c r="J291" s="16">
        <f>SUM(J267:J290)</f>
        <v>0</v>
      </c>
      <c r="K291" s="16">
        <f>SUM(K267:K290)</f>
        <v>0</v>
      </c>
      <c r="L291" s="223">
        <f>SUM(L267:L290)</f>
        <v>300</v>
      </c>
      <c r="O291" s="3" t="s">
        <v>5</v>
      </c>
      <c r="P291" s="16">
        <f>SUM(P267:P290)</f>
        <v>0</v>
      </c>
      <c r="Q291" s="17">
        <f>SUM(Q267:Q290)</f>
        <v>0</v>
      </c>
      <c r="S291" s="3" t="s">
        <v>5</v>
      </c>
      <c r="T291" s="16">
        <f>SUM(T267:T290)</f>
        <v>0</v>
      </c>
      <c r="U291" s="17">
        <f>SUM(U267:U290)</f>
        <v>0</v>
      </c>
    </row>
    <row r="292" spans="1:22" ht="14.25" thickBot="1" x14ac:dyDescent="0.2">
      <c r="A292" s="1"/>
      <c r="B292" s="18" t="s">
        <v>6</v>
      </c>
      <c r="C292" s="19">
        <f>C266-C291</f>
        <v>141</v>
      </c>
      <c r="D292" s="19">
        <f>D266-D291</f>
        <v>135</v>
      </c>
      <c r="E292" s="19">
        <f t="shared" ref="E292" si="107">E266-E291</f>
        <v>141</v>
      </c>
      <c r="F292" s="221">
        <f>F266-F291</f>
        <v>417</v>
      </c>
      <c r="H292" s="18" t="s">
        <v>6</v>
      </c>
      <c r="I292" s="19">
        <f>I266-I291</f>
        <v>3100</v>
      </c>
      <c r="J292" s="19">
        <f>J266-J291</f>
        <v>0</v>
      </c>
      <c r="K292" s="19">
        <f t="shared" ref="K292" si="108">K266-K291</f>
        <v>450</v>
      </c>
      <c r="L292" s="221">
        <f>L266-L291</f>
        <v>3550</v>
      </c>
      <c r="O292" s="18" t="s">
        <v>6</v>
      </c>
      <c r="P292" s="19">
        <f>P266-P291</f>
        <v>0</v>
      </c>
      <c r="Q292" s="13">
        <f>Q266-Q291</f>
        <v>0</v>
      </c>
      <c r="S292" s="18" t="s">
        <v>6</v>
      </c>
      <c r="T292" s="19">
        <f>T266-T291</f>
        <v>640</v>
      </c>
      <c r="U292" s="13">
        <f>U266-U291</f>
        <v>640</v>
      </c>
    </row>
    <row r="293" spans="1:22" x14ac:dyDescent="0.15">
      <c r="C293">
        <f>C291+C249+C207+C165+C123+C81+C39</f>
        <v>9316</v>
      </c>
      <c r="D293">
        <f t="shared" ref="D293:F293" si="109">D291+D249+D207+D165+D123+D81+D39</f>
        <v>3148</v>
      </c>
      <c r="E293">
        <f t="shared" si="109"/>
        <v>3145</v>
      </c>
      <c r="F293">
        <f t="shared" si="109"/>
        <v>15609</v>
      </c>
    </row>
    <row r="295" spans="1:22" ht="18" thickBot="1" x14ac:dyDescent="0.25">
      <c r="A295" s="27" t="s">
        <v>739</v>
      </c>
      <c r="B295" s="28"/>
      <c r="C295" s="28"/>
      <c r="D295" s="28"/>
      <c r="E295" s="28"/>
      <c r="F295" s="218"/>
      <c r="H295" s="27" t="s">
        <v>740</v>
      </c>
      <c r="I295" s="28"/>
      <c r="J295" s="28"/>
      <c r="K295" s="28"/>
      <c r="L295" s="218"/>
      <c r="O295" s="181" t="s">
        <v>737</v>
      </c>
      <c r="P295" s="182"/>
      <c r="Q295" s="182"/>
      <c r="R295" s="183"/>
      <c r="S295" s="181" t="s">
        <v>733</v>
      </c>
      <c r="T295" s="182"/>
      <c r="U295" s="182"/>
    </row>
    <row r="296" spans="1:22" ht="14.25" thickBot="1" x14ac:dyDescent="0.2">
      <c r="A296" s="1"/>
      <c r="B296" s="2"/>
      <c r="C296" s="194" t="s">
        <v>734</v>
      </c>
      <c r="D296" s="195" t="s">
        <v>706</v>
      </c>
      <c r="E296" s="2" t="s">
        <v>735</v>
      </c>
      <c r="F296" s="219" t="s">
        <v>1</v>
      </c>
      <c r="H296" s="2"/>
      <c r="I296" s="197" t="s">
        <v>734</v>
      </c>
      <c r="J296" s="195" t="s">
        <v>706</v>
      </c>
      <c r="K296" s="201" t="s">
        <v>735</v>
      </c>
      <c r="L296" s="219" t="s">
        <v>1</v>
      </c>
      <c r="O296" s="2"/>
      <c r="P296" s="3" t="s">
        <v>722</v>
      </c>
      <c r="Q296" s="2" t="s">
        <v>1</v>
      </c>
      <c r="S296" s="2"/>
      <c r="T296" s="3" t="s">
        <v>722</v>
      </c>
      <c r="U296" s="2" t="s">
        <v>1</v>
      </c>
    </row>
    <row r="297" spans="1:22" x14ac:dyDescent="0.15">
      <c r="A297" s="1"/>
      <c r="B297" s="164" t="s">
        <v>26</v>
      </c>
      <c r="C297" s="200">
        <f>C292</f>
        <v>141</v>
      </c>
      <c r="D297" s="164">
        <f t="shared" ref="D297:E297" si="110">D292</f>
        <v>135</v>
      </c>
      <c r="E297" s="164">
        <f t="shared" si="110"/>
        <v>141</v>
      </c>
      <c r="F297" s="222">
        <f>SUM(C297:E297)</f>
        <v>417</v>
      </c>
      <c r="H297" s="164" t="s">
        <v>26</v>
      </c>
      <c r="I297" s="200">
        <f>I292</f>
        <v>3100</v>
      </c>
      <c r="J297" s="164">
        <f t="shared" ref="J297:K297" si="111">J292</f>
        <v>0</v>
      </c>
      <c r="K297" s="200">
        <f t="shared" si="111"/>
        <v>450</v>
      </c>
      <c r="L297" s="222">
        <f t="shared" ref="L297:L307" si="112">SUM(I297:K297)</f>
        <v>3550</v>
      </c>
      <c r="M297" s="210"/>
      <c r="O297" s="171" t="s">
        <v>26</v>
      </c>
      <c r="P297" s="200">
        <f>P292</f>
        <v>0</v>
      </c>
      <c r="Q297" s="180">
        <f t="shared" ref="Q297:Q307" si="113">SUM(P297:P297)</f>
        <v>0</v>
      </c>
      <c r="R297" s="185"/>
      <c r="S297" s="43" t="s">
        <v>26</v>
      </c>
      <c r="T297" s="38">
        <f>T292</f>
        <v>640</v>
      </c>
      <c r="U297" s="39">
        <f t="shared" ref="U297:U307" si="114">SUM(T297:T297)</f>
        <v>640</v>
      </c>
    </row>
    <row r="298" spans="1:22" x14ac:dyDescent="0.15">
      <c r="A298" s="1"/>
      <c r="B298" s="6" t="s">
        <v>3</v>
      </c>
      <c r="C298" s="188">
        <v>200</v>
      </c>
      <c r="D298" s="6"/>
      <c r="E298" s="202"/>
      <c r="F298" s="220">
        <f t="shared" ref="F298:F307" si="115">SUM(C298:E298)</f>
        <v>200</v>
      </c>
      <c r="G298" s="211">
        <v>44467</v>
      </c>
      <c r="H298" s="6" t="s">
        <v>3</v>
      </c>
      <c r="I298" s="188"/>
      <c r="J298" s="6"/>
      <c r="K298" s="202"/>
      <c r="L298" s="220">
        <f t="shared" si="112"/>
        <v>0</v>
      </c>
      <c r="M298" s="211"/>
      <c r="O298" s="6" t="s">
        <v>3</v>
      </c>
      <c r="P298" s="7"/>
      <c r="Q298" s="5">
        <f t="shared" si="113"/>
        <v>0</v>
      </c>
      <c r="R298" s="186"/>
      <c r="S298" s="6" t="s">
        <v>3</v>
      </c>
      <c r="T298" s="7"/>
      <c r="U298" s="5">
        <f t="shared" si="114"/>
        <v>0</v>
      </c>
    </row>
    <row r="299" spans="1:22" x14ac:dyDescent="0.15">
      <c r="A299" s="1"/>
      <c r="B299" s="6" t="s">
        <v>3</v>
      </c>
      <c r="C299" s="6">
        <v>100</v>
      </c>
      <c r="D299" s="205"/>
      <c r="E299" s="207"/>
      <c r="F299" s="220">
        <f t="shared" si="115"/>
        <v>100</v>
      </c>
      <c r="G299" s="211">
        <v>44482</v>
      </c>
      <c r="H299" s="6" t="s">
        <v>3</v>
      </c>
      <c r="I299" s="188"/>
      <c r="J299" s="225"/>
      <c r="K299" s="243"/>
      <c r="L299" s="220">
        <f t="shared" si="112"/>
        <v>0</v>
      </c>
      <c r="M299" s="211"/>
      <c r="O299" s="6" t="s">
        <v>3</v>
      </c>
      <c r="P299" s="7"/>
      <c r="Q299" s="5">
        <f t="shared" si="113"/>
        <v>0</v>
      </c>
      <c r="R299" s="186"/>
      <c r="S299" s="6" t="s">
        <v>861</v>
      </c>
      <c r="T299" s="7">
        <v>59</v>
      </c>
      <c r="U299" s="5">
        <f t="shared" si="114"/>
        <v>59</v>
      </c>
      <c r="V299" s="185">
        <v>44485</v>
      </c>
    </row>
    <row r="300" spans="1:22" x14ac:dyDescent="0.15">
      <c r="A300" s="1"/>
      <c r="B300" s="6" t="s">
        <v>64</v>
      </c>
      <c r="C300" s="7">
        <v>1</v>
      </c>
      <c r="D300" s="6">
        <v>1</v>
      </c>
      <c r="E300" s="4">
        <v>1</v>
      </c>
      <c r="F300" s="220">
        <f t="shared" si="115"/>
        <v>3</v>
      </c>
      <c r="G300" s="211">
        <v>44483</v>
      </c>
      <c r="H300" s="6" t="s">
        <v>3</v>
      </c>
      <c r="I300" s="188"/>
      <c r="J300" s="6"/>
      <c r="K300" s="202"/>
      <c r="L300" s="220">
        <f t="shared" si="112"/>
        <v>0</v>
      </c>
      <c r="M300" s="212"/>
      <c r="O300" s="6" t="s">
        <v>3</v>
      </c>
      <c r="P300" s="7"/>
      <c r="Q300" s="5">
        <f t="shared" si="113"/>
        <v>0</v>
      </c>
      <c r="R300" s="186"/>
      <c r="S300" s="6" t="s">
        <v>3</v>
      </c>
      <c r="T300" s="7"/>
      <c r="U300" s="5">
        <f t="shared" si="114"/>
        <v>0</v>
      </c>
    </row>
    <row r="301" spans="1:22" x14ac:dyDescent="0.15">
      <c r="A301" s="1"/>
      <c r="B301" s="6" t="s">
        <v>3</v>
      </c>
      <c r="C301" s="205"/>
      <c r="D301" s="205"/>
      <c r="E301" s="207"/>
      <c r="F301" s="220">
        <f t="shared" si="115"/>
        <v>0</v>
      </c>
      <c r="G301" s="211"/>
      <c r="H301" s="6" t="s">
        <v>3</v>
      </c>
      <c r="I301" s="188"/>
      <c r="J301" s="6"/>
      <c r="K301" s="202"/>
      <c r="L301" s="220">
        <f t="shared" si="112"/>
        <v>0</v>
      </c>
      <c r="O301" s="6" t="s">
        <v>3</v>
      </c>
      <c r="P301" s="7"/>
      <c r="Q301" s="5">
        <f t="shared" si="113"/>
        <v>0</v>
      </c>
      <c r="R301" s="186"/>
      <c r="S301" s="6" t="s">
        <v>3</v>
      </c>
      <c r="T301" s="7"/>
      <c r="U301" s="5">
        <f t="shared" si="114"/>
        <v>0</v>
      </c>
    </row>
    <row r="302" spans="1:22" x14ac:dyDescent="0.15">
      <c r="A302" s="1"/>
      <c r="B302" s="6" t="s">
        <v>3</v>
      </c>
      <c r="C302" s="205"/>
      <c r="D302" s="205"/>
      <c r="E302" s="207"/>
      <c r="F302" s="220">
        <f t="shared" si="115"/>
        <v>0</v>
      </c>
      <c r="G302" s="212"/>
      <c r="H302" s="6" t="s">
        <v>3</v>
      </c>
      <c r="I302" s="188"/>
      <c r="J302" s="6"/>
      <c r="K302" s="202"/>
      <c r="L302" s="220">
        <f t="shared" si="112"/>
        <v>0</v>
      </c>
      <c r="O302" s="6" t="s">
        <v>3</v>
      </c>
      <c r="P302" s="7"/>
      <c r="Q302" s="5">
        <f t="shared" si="113"/>
        <v>0</v>
      </c>
      <c r="R302" s="186"/>
      <c r="S302" s="6" t="s">
        <v>3</v>
      </c>
      <c r="T302" s="7"/>
      <c r="U302" s="5">
        <f t="shared" si="114"/>
        <v>0</v>
      </c>
    </row>
    <row r="303" spans="1:22" x14ac:dyDescent="0.15">
      <c r="A303" s="1"/>
      <c r="B303" s="6" t="s">
        <v>3</v>
      </c>
      <c r="C303" s="205"/>
      <c r="D303" s="205"/>
      <c r="E303" s="207"/>
      <c r="F303" s="220">
        <f t="shared" si="115"/>
        <v>0</v>
      </c>
      <c r="G303" s="212"/>
      <c r="H303" s="6" t="s">
        <v>3</v>
      </c>
      <c r="I303" s="188"/>
      <c r="J303" s="6"/>
      <c r="K303" s="202"/>
      <c r="L303" s="220">
        <f t="shared" si="112"/>
        <v>0</v>
      </c>
      <c r="O303" s="6" t="s">
        <v>3</v>
      </c>
      <c r="P303" s="7"/>
      <c r="Q303" s="5">
        <f t="shared" si="113"/>
        <v>0</v>
      </c>
      <c r="R303" s="186"/>
      <c r="S303" s="6" t="s">
        <v>3</v>
      </c>
      <c r="T303" s="7"/>
      <c r="U303" s="5">
        <f t="shared" si="114"/>
        <v>0</v>
      </c>
    </row>
    <row r="304" spans="1:22" x14ac:dyDescent="0.15">
      <c r="A304" s="1"/>
      <c r="B304" s="6" t="s">
        <v>3</v>
      </c>
      <c r="C304" s="205"/>
      <c r="D304" s="189"/>
      <c r="E304" s="190"/>
      <c r="F304" s="220">
        <f t="shared" si="115"/>
        <v>0</v>
      </c>
      <c r="G304" s="212"/>
      <c r="H304" s="6" t="s">
        <v>3</v>
      </c>
      <c r="I304" s="188"/>
      <c r="J304" s="225"/>
      <c r="K304" s="243"/>
      <c r="L304" s="220">
        <f t="shared" si="112"/>
        <v>0</v>
      </c>
      <c r="M304" s="211"/>
      <c r="O304" s="6" t="s">
        <v>3</v>
      </c>
      <c r="P304" s="8"/>
      <c r="Q304" s="5">
        <f t="shared" si="113"/>
        <v>0</v>
      </c>
      <c r="R304" s="186"/>
      <c r="S304" s="6" t="s">
        <v>3</v>
      </c>
      <c r="T304" s="8"/>
      <c r="U304" s="5">
        <f t="shared" si="114"/>
        <v>0</v>
      </c>
    </row>
    <row r="305" spans="1:21" x14ac:dyDescent="0.15">
      <c r="A305" s="1"/>
      <c r="B305" s="6" t="s">
        <v>3</v>
      </c>
      <c r="C305" s="205"/>
      <c r="D305" s="189"/>
      <c r="E305" s="190"/>
      <c r="F305" s="220">
        <f t="shared" si="115"/>
        <v>0</v>
      </c>
      <c r="H305" s="6" t="s">
        <v>3</v>
      </c>
      <c r="I305" s="188"/>
      <c r="J305" s="225"/>
      <c r="K305" s="243"/>
      <c r="L305" s="220">
        <f t="shared" si="112"/>
        <v>0</v>
      </c>
      <c r="M305" s="212"/>
      <c r="O305" s="6" t="s">
        <v>3</v>
      </c>
      <c r="P305" s="8"/>
      <c r="Q305" s="5">
        <f t="shared" si="113"/>
        <v>0</v>
      </c>
      <c r="R305" s="186"/>
      <c r="S305" s="6" t="s">
        <v>3</v>
      </c>
      <c r="T305" s="8"/>
      <c r="U305" s="5">
        <f t="shared" si="114"/>
        <v>0</v>
      </c>
    </row>
    <row r="306" spans="1:21" x14ac:dyDescent="0.15">
      <c r="A306" s="1"/>
      <c r="B306" s="6" t="s">
        <v>3</v>
      </c>
      <c r="C306" s="205"/>
      <c r="D306" s="189"/>
      <c r="E306" s="190"/>
      <c r="F306" s="220">
        <f t="shared" si="115"/>
        <v>0</v>
      </c>
      <c r="H306" s="6" t="s">
        <v>3</v>
      </c>
      <c r="I306" s="188"/>
      <c r="J306" s="225"/>
      <c r="K306" s="243"/>
      <c r="L306" s="220">
        <f t="shared" si="112"/>
        <v>0</v>
      </c>
      <c r="O306" s="6" t="s">
        <v>3</v>
      </c>
      <c r="P306" s="8"/>
      <c r="Q306" s="5">
        <f t="shared" si="113"/>
        <v>0</v>
      </c>
      <c r="R306" s="186"/>
      <c r="S306" s="6" t="s">
        <v>3</v>
      </c>
      <c r="T306" s="8"/>
      <c r="U306" s="5">
        <f t="shared" si="114"/>
        <v>0</v>
      </c>
    </row>
    <row r="307" spans="1:21" ht="14.25" thickBot="1" x14ac:dyDescent="0.2">
      <c r="A307" s="1"/>
      <c r="B307" s="9" t="s">
        <v>3</v>
      </c>
      <c r="C307" s="236"/>
      <c r="D307" s="191"/>
      <c r="E307" s="192"/>
      <c r="F307" s="220">
        <f t="shared" si="115"/>
        <v>0</v>
      </c>
      <c r="H307" s="9" t="s">
        <v>3</v>
      </c>
      <c r="I307" s="198"/>
      <c r="J307" s="244"/>
      <c r="K307" s="245"/>
      <c r="L307" s="220">
        <f t="shared" si="112"/>
        <v>0</v>
      </c>
      <c r="O307" s="9" t="s">
        <v>3</v>
      </c>
      <c r="P307" s="10"/>
      <c r="Q307" s="5">
        <f t="shared" si="113"/>
        <v>0</v>
      </c>
      <c r="R307" s="186"/>
      <c r="S307" s="9" t="s">
        <v>3</v>
      </c>
      <c r="T307" s="10"/>
      <c r="U307" s="5">
        <f t="shared" si="114"/>
        <v>0</v>
      </c>
    </row>
    <row r="308" spans="1:21" ht="14.25" thickBot="1" x14ac:dyDescent="0.2">
      <c r="A308" s="1"/>
      <c r="B308" s="11" t="s">
        <v>4</v>
      </c>
      <c r="C308" s="193">
        <f>SUM(C297:C307)</f>
        <v>442</v>
      </c>
      <c r="D308" s="193">
        <f>SUM(D297:D307)</f>
        <v>136</v>
      </c>
      <c r="E308" s="193">
        <f>SUM(E297:E307)</f>
        <v>142</v>
      </c>
      <c r="F308" s="221">
        <f>SUM(F297:F307)</f>
        <v>720</v>
      </c>
      <c r="H308" s="11" t="s">
        <v>4</v>
      </c>
      <c r="I308" s="193">
        <f>SUM(I297:I307)</f>
        <v>3100</v>
      </c>
      <c r="J308" s="193">
        <f>SUM(J297:J307)</f>
        <v>0</v>
      </c>
      <c r="K308" s="193">
        <f t="shared" ref="K308" si="116">SUM(K297:K307)</f>
        <v>450</v>
      </c>
      <c r="L308" s="221">
        <f>SUM(L297:L307)</f>
        <v>3550</v>
      </c>
      <c r="O308" s="11" t="s">
        <v>4</v>
      </c>
      <c r="P308" s="12">
        <f>SUM(P297:P307)</f>
        <v>0</v>
      </c>
      <c r="Q308" s="13">
        <f>SUM(Q297:Q307)</f>
        <v>0</v>
      </c>
      <c r="S308" s="11" t="s">
        <v>4</v>
      </c>
      <c r="T308" s="12">
        <f>SUM(T297:T307)</f>
        <v>699</v>
      </c>
      <c r="U308" s="13">
        <f>SUM(U297:U307)</f>
        <v>699</v>
      </c>
    </row>
    <row r="309" spans="1:21" x14ac:dyDescent="0.15">
      <c r="A309" s="1"/>
      <c r="B309" s="4" t="s">
        <v>749</v>
      </c>
      <c r="C309" s="215">
        <f>1+11+1+2</f>
        <v>15</v>
      </c>
      <c r="D309" s="215">
        <f>1+1</f>
        <v>2</v>
      </c>
      <c r="E309" s="216">
        <f>1+1</f>
        <v>2</v>
      </c>
      <c r="F309" s="220">
        <f t="shared" ref="F309:F332" si="117">SUM(C309:E309)</f>
        <v>19</v>
      </c>
      <c r="G309" s="211">
        <v>44460</v>
      </c>
      <c r="H309" s="6" t="s">
        <v>840</v>
      </c>
      <c r="I309" s="188">
        <v>200</v>
      </c>
      <c r="J309" s="6"/>
      <c r="K309" s="202"/>
      <c r="L309" s="220">
        <f t="shared" ref="L309:L310" si="118">SUM(I309:K309)</f>
        <v>200</v>
      </c>
      <c r="M309" s="211">
        <v>44467</v>
      </c>
      <c r="O309" s="4"/>
      <c r="P309" s="44"/>
      <c r="Q309" s="14">
        <f t="shared" ref="Q309:Q332" si="119">SUM(P309:P309)</f>
        <v>0</v>
      </c>
      <c r="R309" s="186"/>
      <c r="S309" s="4"/>
      <c r="T309" s="44"/>
      <c r="U309" s="14">
        <f t="shared" ref="U309:U332" si="120">SUM(T309:T309)</f>
        <v>0</v>
      </c>
    </row>
    <row r="310" spans="1:21" x14ac:dyDescent="0.15">
      <c r="A310" s="1"/>
      <c r="B310" s="4" t="s">
        <v>749</v>
      </c>
      <c r="C310" s="216">
        <v>2</v>
      </c>
      <c r="D310" s="232"/>
      <c r="E310" s="232">
        <v>1</v>
      </c>
      <c r="F310" s="220">
        <f t="shared" si="117"/>
        <v>3</v>
      </c>
      <c r="G310" s="211">
        <v>44461</v>
      </c>
      <c r="H310" s="6" t="s">
        <v>840</v>
      </c>
      <c r="I310" s="6">
        <v>100</v>
      </c>
      <c r="J310" s="205"/>
      <c r="K310" s="207"/>
      <c r="L310" s="220">
        <f t="shared" si="118"/>
        <v>100</v>
      </c>
      <c r="M310" s="211">
        <v>44482</v>
      </c>
      <c r="O310" s="4"/>
      <c r="P310" s="15"/>
      <c r="Q310" s="14">
        <f t="shared" si="119"/>
        <v>0</v>
      </c>
      <c r="R310" s="186"/>
      <c r="S310" s="4"/>
      <c r="T310" s="15"/>
      <c r="U310" s="14">
        <f t="shared" si="120"/>
        <v>0</v>
      </c>
    </row>
    <row r="311" spans="1:21" x14ac:dyDescent="0.15">
      <c r="A311" s="1"/>
      <c r="B311" s="4" t="s">
        <v>749</v>
      </c>
      <c r="C311" s="216">
        <f>22+1+1+1+1</f>
        <v>26</v>
      </c>
      <c r="D311" s="232">
        <f>2+1+1</f>
        <v>4</v>
      </c>
      <c r="E311" s="232">
        <f>1+1</f>
        <v>2</v>
      </c>
      <c r="F311" s="220">
        <f t="shared" si="117"/>
        <v>32</v>
      </c>
      <c r="G311" s="248">
        <v>44463</v>
      </c>
      <c r="H311" s="4"/>
      <c r="I311" s="216"/>
      <c r="J311" s="232"/>
      <c r="K311" s="232"/>
      <c r="L311" s="220">
        <f t="shared" ref="L311:L330" si="121">SUM(I311:K311)</f>
        <v>0</v>
      </c>
      <c r="M311" s="212"/>
      <c r="O311" s="4"/>
      <c r="P311" s="15"/>
      <c r="Q311" s="14">
        <f t="shared" si="119"/>
        <v>0</v>
      </c>
      <c r="R311" s="186"/>
      <c r="S311" s="4"/>
      <c r="T311" s="15"/>
      <c r="U311" s="14">
        <f t="shared" si="120"/>
        <v>0</v>
      </c>
    </row>
    <row r="312" spans="1:21" x14ac:dyDescent="0.15">
      <c r="A312" s="1"/>
      <c r="B312" s="178" t="s">
        <v>854</v>
      </c>
      <c r="C312" s="233">
        <v>50</v>
      </c>
      <c r="D312" s="234"/>
      <c r="E312" s="234"/>
      <c r="F312" s="220">
        <f t="shared" si="117"/>
        <v>50</v>
      </c>
      <c r="G312" s="211">
        <v>44467</v>
      </c>
      <c r="H312" s="4"/>
      <c r="I312" s="233"/>
      <c r="J312" s="234"/>
      <c r="K312" s="234"/>
      <c r="L312" s="220">
        <f t="shared" si="121"/>
        <v>0</v>
      </c>
      <c r="M312" s="212"/>
      <c r="O312" s="4"/>
      <c r="P312" s="15"/>
      <c r="Q312" s="14">
        <f t="shared" si="119"/>
        <v>0</v>
      </c>
      <c r="R312" s="186"/>
      <c r="S312" s="4"/>
      <c r="T312" s="15"/>
      <c r="U312" s="14">
        <f t="shared" si="120"/>
        <v>0</v>
      </c>
    </row>
    <row r="313" spans="1:21" x14ac:dyDescent="0.15">
      <c r="A313" s="1"/>
      <c r="B313" s="178" t="s">
        <v>764</v>
      </c>
      <c r="C313" s="233">
        <v>10</v>
      </c>
      <c r="D313" s="234">
        <v>10</v>
      </c>
      <c r="E313" s="234">
        <v>10</v>
      </c>
      <c r="F313" s="220">
        <f t="shared" si="117"/>
        <v>30</v>
      </c>
      <c r="G313" s="211">
        <v>44467</v>
      </c>
      <c r="H313" s="4"/>
      <c r="I313" s="233"/>
      <c r="J313" s="234"/>
      <c r="K313" s="234"/>
      <c r="L313" s="220">
        <f t="shared" si="121"/>
        <v>0</v>
      </c>
      <c r="O313" s="4"/>
      <c r="P313" s="15"/>
      <c r="Q313" s="14">
        <f t="shared" si="119"/>
        <v>0</v>
      </c>
      <c r="R313" s="186"/>
      <c r="S313" s="4"/>
      <c r="T313" s="15"/>
      <c r="U313" s="14">
        <f t="shared" si="120"/>
        <v>0</v>
      </c>
    </row>
    <row r="314" spans="1:21" x14ac:dyDescent="0.15">
      <c r="A314" s="1"/>
      <c r="B314" s="4" t="s">
        <v>749</v>
      </c>
      <c r="C314" s="233">
        <f>2+10+2</f>
        <v>14</v>
      </c>
      <c r="D314" s="234">
        <v>2</v>
      </c>
      <c r="E314" s="234">
        <v>2</v>
      </c>
      <c r="F314" s="220">
        <f t="shared" si="117"/>
        <v>18</v>
      </c>
      <c r="G314" s="211">
        <v>44466</v>
      </c>
      <c r="H314" s="4"/>
      <c r="I314" s="233"/>
      <c r="J314" s="234"/>
      <c r="K314" s="234"/>
      <c r="L314" s="220">
        <f t="shared" si="121"/>
        <v>0</v>
      </c>
      <c r="O314" s="4"/>
      <c r="P314" s="15"/>
      <c r="Q314" s="14">
        <f t="shared" si="119"/>
        <v>0</v>
      </c>
      <c r="R314" s="186"/>
      <c r="S314" s="4"/>
      <c r="T314" s="15"/>
      <c r="U314" s="14">
        <f t="shared" si="120"/>
        <v>0</v>
      </c>
    </row>
    <row r="315" spans="1:21" x14ac:dyDescent="0.15">
      <c r="A315" s="1"/>
      <c r="B315" s="178" t="s">
        <v>855</v>
      </c>
      <c r="C315" s="233">
        <v>1</v>
      </c>
      <c r="D315" s="234">
        <v>1</v>
      </c>
      <c r="E315" s="234">
        <v>1</v>
      </c>
      <c r="F315" s="220">
        <f t="shared" si="117"/>
        <v>3</v>
      </c>
      <c r="G315" s="211">
        <v>44468</v>
      </c>
      <c r="H315" s="4"/>
      <c r="I315" s="233"/>
      <c r="J315" s="234"/>
      <c r="K315" s="234"/>
      <c r="L315" s="220">
        <f t="shared" si="121"/>
        <v>0</v>
      </c>
      <c r="O315" s="4"/>
      <c r="P315" s="15"/>
      <c r="Q315" s="14">
        <f t="shared" si="119"/>
        <v>0</v>
      </c>
      <c r="R315" s="186"/>
      <c r="S315" s="4"/>
      <c r="T315" s="15"/>
      <c r="U315" s="14">
        <f t="shared" si="120"/>
        <v>0</v>
      </c>
    </row>
    <row r="316" spans="1:21" x14ac:dyDescent="0.15">
      <c r="A316" s="1"/>
      <c r="B316" s="4" t="s">
        <v>749</v>
      </c>
      <c r="C316" s="233">
        <v>4</v>
      </c>
      <c r="D316" s="234">
        <v>2</v>
      </c>
      <c r="E316" s="234"/>
      <c r="F316" s="220">
        <f t="shared" si="117"/>
        <v>6</v>
      </c>
      <c r="G316" s="248">
        <v>44467</v>
      </c>
      <c r="H316" s="4"/>
      <c r="I316" s="233"/>
      <c r="J316" s="234"/>
      <c r="K316" s="234"/>
      <c r="L316" s="220">
        <f t="shared" si="121"/>
        <v>0</v>
      </c>
      <c r="O316" s="4"/>
      <c r="P316" s="15"/>
      <c r="Q316" s="14">
        <f t="shared" si="119"/>
        <v>0</v>
      </c>
      <c r="R316" s="186"/>
      <c r="S316" s="4"/>
      <c r="T316" s="15"/>
      <c r="U316" s="14">
        <f t="shared" si="120"/>
        <v>0</v>
      </c>
    </row>
    <row r="317" spans="1:21" x14ac:dyDescent="0.15">
      <c r="A317" s="1"/>
      <c r="B317" s="4" t="s">
        <v>749</v>
      </c>
      <c r="C317" s="233">
        <v>5</v>
      </c>
      <c r="D317" s="234"/>
      <c r="E317" s="234"/>
      <c r="F317" s="220">
        <f t="shared" si="117"/>
        <v>5</v>
      </c>
      <c r="G317" s="248">
        <v>44468</v>
      </c>
      <c r="H317" s="4"/>
      <c r="I317" s="187"/>
      <c r="J317" s="15"/>
      <c r="K317" s="15"/>
      <c r="L317" s="220">
        <f t="shared" si="121"/>
        <v>0</v>
      </c>
      <c r="O317" s="4"/>
      <c r="P317" s="15"/>
      <c r="Q317" s="14">
        <f t="shared" si="119"/>
        <v>0</v>
      </c>
      <c r="R317" s="186"/>
      <c r="S317" s="4"/>
      <c r="T317" s="15"/>
      <c r="U317" s="14">
        <f t="shared" si="120"/>
        <v>0</v>
      </c>
    </row>
    <row r="318" spans="1:21" x14ac:dyDescent="0.15">
      <c r="A318" s="1"/>
      <c r="B318" s="4" t="s">
        <v>749</v>
      </c>
      <c r="C318" s="233">
        <v>4</v>
      </c>
      <c r="D318" s="234"/>
      <c r="E318" s="234">
        <v>1</v>
      </c>
      <c r="F318" s="220">
        <f t="shared" si="117"/>
        <v>5</v>
      </c>
      <c r="G318" s="248">
        <v>44469</v>
      </c>
      <c r="H318" s="4"/>
      <c r="I318" s="187"/>
      <c r="J318" s="15"/>
      <c r="K318" s="15"/>
      <c r="L318" s="220">
        <f t="shared" si="121"/>
        <v>0</v>
      </c>
      <c r="O318" s="4"/>
      <c r="P318" s="15"/>
      <c r="Q318" s="14">
        <f t="shared" si="119"/>
        <v>0</v>
      </c>
      <c r="R318" s="186"/>
      <c r="S318" s="4"/>
      <c r="T318" s="15"/>
      <c r="U318" s="14">
        <f t="shared" si="120"/>
        <v>0</v>
      </c>
    </row>
    <row r="319" spans="1:21" x14ac:dyDescent="0.15">
      <c r="A319" s="1"/>
      <c r="B319" s="4" t="s">
        <v>749</v>
      </c>
      <c r="C319" s="233">
        <v>1</v>
      </c>
      <c r="D319" s="234"/>
      <c r="E319" s="234"/>
      <c r="F319" s="220">
        <f t="shared" si="117"/>
        <v>1</v>
      </c>
      <c r="G319" s="248">
        <v>44470</v>
      </c>
      <c r="H319" s="4"/>
      <c r="I319" s="187"/>
      <c r="J319" s="15"/>
      <c r="K319" s="15"/>
      <c r="L319" s="220">
        <f t="shared" si="121"/>
        <v>0</v>
      </c>
      <c r="O319" s="4"/>
      <c r="P319" s="15"/>
      <c r="Q319" s="14">
        <f t="shared" si="119"/>
        <v>0</v>
      </c>
      <c r="R319" s="186"/>
      <c r="S319" s="4"/>
      <c r="T319" s="15"/>
      <c r="U319" s="14">
        <f t="shared" si="120"/>
        <v>0</v>
      </c>
    </row>
    <row r="320" spans="1:21" x14ac:dyDescent="0.15">
      <c r="A320" s="1"/>
      <c r="B320" s="178" t="s">
        <v>856</v>
      </c>
      <c r="C320" s="235">
        <v>50</v>
      </c>
      <c r="D320" s="234"/>
      <c r="E320" s="234"/>
      <c r="F320" s="220">
        <f t="shared" si="117"/>
        <v>50</v>
      </c>
      <c r="G320" s="211">
        <v>44474</v>
      </c>
      <c r="H320" s="6"/>
      <c r="I320" s="188"/>
      <c r="J320" s="15"/>
      <c r="K320" s="15"/>
      <c r="L320" s="220">
        <f t="shared" si="121"/>
        <v>0</v>
      </c>
      <c r="O320" s="6"/>
      <c r="P320" s="15"/>
      <c r="Q320" s="14">
        <f t="shared" si="119"/>
        <v>0</v>
      </c>
      <c r="R320" s="186"/>
      <c r="S320" s="6"/>
      <c r="T320" s="15"/>
      <c r="U320" s="14">
        <f t="shared" si="120"/>
        <v>0</v>
      </c>
    </row>
    <row r="321" spans="1:21" x14ac:dyDescent="0.15">
      <c r="A321" s="1"/>
      <c r="B321" s="178" t="s">
        <v>857</v>
      </c>
      <c r="C321" s="235">
        <v>5</v>
      </c>
      <c r="D321" s="234">
        <v>5</v>
      </c>
      <c r="E321" s="234">
        <v>5</v>
      </c>
      <c r="F321" s="220">
        <f t="shared" si="117"/>
        <v>15</v>
      </c>
      <c r="G321" s="211">
        <v>44474</v>
      </c>
      <c r="H321" s="6"/>
      <c r="I321" s="188"/>
      <c r="J321" s="15"/>
      <c r="K321" s="15"/>
      <c r="L321" s="220">
        <f t="shared" si="121"/>
        <v>0</v>
      </c>
      <c r="O321" s="6"/>
      <c r="P321" s="15"/>
      <c r="Q321" s="14">
        <f t="shared" si="119"/>
        <v>0</v>
      </c>
      <c r="R321" s="186"/>
      <c r="S321" s="6"/>
      <c r="T321" s="15"/>
      <c r="U321" s="14">
        <f t="shared" si="120"/>
        <v>0</v>
      </c>
    </row>
    <row r="322" spans="1:21" x14ac:dyDescent="0.15">
      <c r="A322" s="1"/>
      <c r="B322" s="4" t="s">
        <v>749</v>
      </c>
      <c r="C322" s="233">
        <f>8+1</f>
        <v>9</v>
      </c>
      <c r="D322" s="234">
        <v>5</v>
      </c>
      <c r="E322" s="234">
        <v>3</v>
      </c>
      <c r="F322" s="220">
        <f t="shared" si="117"/>
        <v>17</v>
      </c>
      <c r="G322" s="248">
        <v>44473</v>
      </c>
      <c r="H322" s="4"/>
      <c r="I322" s="187"/>
      <c r="J322" s="15"/>
      <c r="K322" s="15"/>
      <c r="L322" s="220">
        <f t="shared" si="121"/>
        <v>0</v>
      </c>
      <c r="O322" s="4"/>
      <c r="P322" s="15"/>
      <c r="Q322" s="14">
        <f t="shared" si="119"/>
        <v>0</v>
      </c>
      <c r="R322" s="186"/>
      <c r="S322" s="4"/>
      <c r="T322" s="15"/>
      <c r="U322" s="14">
        <f t="shared" si="120"/>
        <v>0</v>
      </c>
    </row>
    <row r="323" spans="1:21" x14ac:dyDescent="0.15">
      <c r="A323" s="1"/>
      <c r="B323" s="4" t="s">
        <v>749</v>
      </c>
      <c r="C323" s="233">
        <f>1+3</f>
        <v>4</v>
      </c>
      <c r="D323" s="234">
        <v>2</v>
      </c>
      <c r="E323" s="234"/>
      <c r="F323" s="220">
        <f t="shared" si="117"/>
        <v>6</v>
      </c>
      <c r="G323" s="248">
        <v>44474</v>
      </c>
      <c r="H323" s="4"/>
      <c r="I323" s="187"/>
      <c r="J323" s="15"/>
      <c r="K323" s="15"/>
      <c r="L323" s="220">
        <f t="shared" si="121"/>
        <v>0</v>
      </c>
      <c r="O323" s="4"/>
      <c r="P323" s="15"/>
      <c r="Q323" s="14">
        <f t="shared" si="119"/>
        <v>0</v>
      </c>
      <c r="R323" s="186"/>
      <c r="S323" s="4"/>
      <c r="T323" s="15"/>
      <c r="U323" s="14">
        <f t="shared" si="120"/>
        <v>0</v>
      </c>
    </row>
    <row r="324" spans="1:21" x14ac:dyDescent="0.15">
      <c r="A324" s="1"/>
      <c r="B324" s="4" t="s">
        <v>749</v>
      </c>
      <c r="C324" s="233">
        <f>2+3</f>
        <v>5</v>
      </c>
      <c r="D324" s="234">
        <f>1+1</f>
        <v>2</v>
      </c>
      <c r="E324" s="234"/>
      <c r="F324" s="220">
        <f t="shared" si="117"/>
        <v>7</v>
      </c>
      <c r="G324" s="248">
        <v>44475</v>
      </c>
      <c r="H324" s="4"/>
      <c r="I324" s="187"/>
      <c r="J324" s="15"/>
      <c r="K324" s="15"/>
      <c r="L324" s="220">
        <f t="shared" si="121"/>
        <v>0</v>
      </c>
      <c r="O324" s="4"/>
      <c r="P324" s="15"/>
      <c r="Q324" s="14">
        <f t="shared" si="119"/>
        <v>0</v>
      </c>
      <c r="R324" s="186"/>
      <c r="S324" s="4"/>
      <c r="T324" s="15"/>
      <c r="U324" s="14">
        <f t="shared" si="120"/>
        <v>0</v>
      </c>
    </row>
    <row r="325" spans="1:21" x14ac:dyDescent="0.15">
      <c r="A325" s="1"/>
      <c r="B325" s="4" t="s">
        <v>749</v>
      </c>
      <c r="C325" s="235">
        <v>4</v>
      </c>
      <c r="D325" s="234">
        <v>3</v>
      </c>
      <c r="E325" s="234">
        <v>1</v>
      </c>
      <c r="F325" s="220">
        <f t="shared" si="117"/>
        <v>8</v>
      </c>
      <c r="G325" s="248">
        <v>44476</v>
      </c>
      <c r="H325" s="6"/>
      <c r="I325" s="188"/>
      <c r="J325" s="15"/>
      <c r="K325" s="15"/>
      <c r="L325" s="220">
        <f t="shared" si="121"/>
        <v>0</v>
      </c>
      <c r="O325" s="6"/>
      <c r="P325" s="15"/>
      <c r="Q325" s="14">
        <f t="shared" si="119"/>
        <v>0</v>
      </c>
      <c r="R325" s="186"/>
      <c r="S325" s="6"/>
      <c r="T325" s="15"/>
      <c r="U325" s="14">
        <f t="shared" si="120"/>
        <v>0</v>
      </c>
    </row>
    <row r="326" spans="1:21" x14ac:dyDescent="0.15">
      <c r="A326" s="1"/>
      <c r="B326" s="4" t="s">
        <v>749</v>
      </c>
      <c r="C326" s="233">
        <v>2</v>
      </c>
      <c r="D326" s="234"/>
      <c r="E326" s="234"/>
      <c r="F326" s="220">
        <f t="shared" si="117"/>
        <v>2</v>
      </c>
      <c r="G326" s="248">
        <v>44477</v>
      </c>
      <c r="H326" s="4"/>
      <c r="I326" s="187"/>
      <c r="J326" s="15"/>
      <c r="K326" s="15"/>
      <c r="L326" s="220">
        <f t="shared" si="121"/>
        <v>0</v>
      </c>
      <c r="O326" s="4"/>
      <c r="P326" s="15"/>
      <c r="Q326" s="14">
        <f t="shared" si="119"/>
        <v>0</v>
      </c>
      <c r="R326" s="186"/>
      <c r="S326" s="4"/>
      <c r="T326" s="15"/>
      <c r="U326" s="14">
        <f t="shared" si="120"/>
        <v>0</v>
      </c>
    </row>
    <row r="327" spans="1:21" x14ac:dyDescent="0.15">
      <c r="A327" s="1"/>
      <c r="B327" s="6" t="s">
        <v>858</v>
      </c>
      <c r="C327" s="235">
        <v>50</v>
      </c>
      <c r="D327" s="234"/>
      <c r="E327" s="234"/>
      <c r="F327" s="220">
        <f t="shared" si="117"/>
        <v>50</v>
      </c>
      <c r="G327" s="211">
        <v>44481</v>
      </c>
      <c r="H327" s="6"/>
      <c r="I327" s="188"/>
      <c r="J327" s="15"/>
      <c r="K327" s="15"/>
      <c r="L327" s="220">
        <f t="shared" si="121"/>
        <v>0</v>
      </c>
      <c r="O327" s="6"/>
      <c r="P327" s="15"/>
      <c r="Q327" s="14">
        <f t="shared" si="119"/>
        <v>0</v>
      </c>
      <c r="R327" s="186"/>
      <c r="S327" s="6"/>
      <c r="T327" s="15"/>
      <c r="U327" s="14">
        <f t="shared" si="120"/>
        <v>0</v>
      </c>
    </row>
    <row r="328" spans="1:21" x14ac:dyDescent="0.15">
      <c r="A328" s="1"/>
      <c r="B328" s="6" t="s">
        <v>764</v>
      </c>
      <c r="C328" s="233"/>
      <c r="D328" s="234">
        <v>24</v>
      </c>
      <c r="E328" s="234"/>
      <c r="F328" s="220">
        <f t="shared" si="117"/>
        <v>24</v>
      </c>
      <c r="G328" s="211">
        <v>44481</v>
      </c>
      <c r="H328" s="4"/>
      <c r="I328" s="187"/>
      <c r="J328" s="15"/>
      <c r="K328" s="15"/>
      <c r="L328" s="220">
        <f t="shared" si="121"/>
        <v>0</v>
      </c>
      <c r="O328" s="4"/>
      <c r="P328" s="15"/>
      <c r="Q328" s="14">
        <f t="shared" si="119"/>
        <v>0</v>
      </c>
      <c r="R328" s="186"/>
      <c r="S328" s="4"/>
      <c r="T328" s="15"/>
      <c r="U328" s="14">
        <f t="shared" si="120"/>
        <v>0</v>
      </c>
    </row>
    <row r="329" spans="1:21" x14ac:dyDescent="0.15">
      <c r="A329" s="75"/>
      <c r="B329" s="4" t="s">
        <v>749</v>
      </c>
      <c r="C329" s="233">
        <v>12</v>
      </c>
      <c r="D329" s="234">
        <v>4</v>
      </c>
      <c r="E329" s="234"/>
      <c r="F329" s="220">
        <f t="shared" si="117"/>
        <v>16</v>
      </c>
      <c r="G329" s="248">
        <v>44480</v>
      </c>
      <c r="H329" s="4"/>
      <c r="I329" s="187"/>
      <c r="J329" s="15"/>
      <c r="K329" s="15"/>
      <c r="L329" s="220">
        <f t="shared" si="121"/>
        <v>0</v>
      </c>
      <c r="M329" s="212"/>
      <c r="O329" s="4"/>
      <c r="P329" s="15"/>
      <c r="Q329" s="14">
        <f t="shared" si="119"/>
        <v>0</v>
      </c>
      <c r="R329" s="186"/>
      <c r="S329" s="4"/>
      <c r="T329" s="15"/>
      <c r="U329" s="14">
        <f t="shared" si="120"/>
        <v>0</v>
      </c>
    </row>
    <row r="330" spans="1:21" x14ac:dyDescent="0.15">
      <c r="A330" s="1"/>
      <c r="B330" s="4" t="s">
        <v>749</v>
      </c>
      <c r="C330" s="233">
        <f>1+3</f>
        <v>4</v>
      </c>
      <c r="D330" s="234"/>
      <c r="E330" s="234"/>
      <c r="F330" s="220">
        <f t="shared" si="117"/>
        <v>4</v>
      </c>
      <c r="G330" s="248">
        <v>44481</v>
      </c>
      <c r="H330" s="4"/>
      <c r="I330" s="187"/>
      <c r="J330" s="15"/>
      <c r="K330" s="15"/>
      <c r="L330" s="220">
        <f t="shared" si="121"/>
        <v>0</v>
      </c>
      <c r="M330" s="212"/>
      <c r="O330" s="4"/>
      <c r="P330" s="15"/>
      <c r="Q330" s="14">
        <f t="shared" si="119"/>
        <v>0</v>
      </c>
      <c r="R330" s="186"/>
      <c r="S330" s="4"/>
      <c r="T330" s="15"/>
      <c r="U330" s="14">
        <f t="shared" si="120"/>
        <v>0</v>
      </c>
    </row>
    <row r="331" spans="1:21" x14ac:dyDescent="0.15">
      <c r="A331" s="1"/>
      <c r="B331" s="178" t="s">
        <v>859</v>
      </c>
      <c r="C331" s="233">
        <v>1</v>
      </c>
      <c r="D331" s="234">
        <v>1</v>
      </c>
      <c r="E331" s="234">
        <v>1</v>
      </c>
      <c r="F331" s="220">
        <f t="shared" si="117"/>
        <v>3</v>
      </c>
      <c r="G331" s="211">
        <v>44483</v>
      </c>
      <c r="H331" s="4"/>
      <c r="I331" s="206"/>
      <c r="J331" s="206"/>
      <c r="K331" s="206"/>
      <c r="L331" s="220">
        <f>SUM(I331:K331)</f>
        <v>0</v>
      </c>
      <c r="M331" s="212"/>
      <c r="O331" s="6"/>
      <c r="P331" s="15"/>
      <c r="Q331" s="14">
        <f t="shared" si="119"/>
        <v>0</v>
      </c>
      <c r="R331" s="186"/>
      <c r="S331" s="4"/>
      <c r="T331" s="15"/>
      <c r="U331" s="14">
        <f t="shared" si="120"/>
        <v>0</v>
      </c>
    </row>
    <row r="332" spans="1:21" ht="14.25" thickBot="1" x14ac:dyDescent="0.2">
      <c r="A332" s="1"/>
      <c r="B332" s="4" t="s">
        <v>749</v>
      </c>
      <c r="C332" s="235">
        <v>2</v>
      </c>
      <c r="D332" s="234"/>
      <c r="E332" s="234"/>
      <c r="F332" s="220">
        <f t="shared" si="117"/>
        <v>2</v>
      </c>
      <c r="G332" s="211">
        <v>44482</v>
      </c>
      <c r="H332" s="6"/>
      <c r="I332" s="206"/>
      <c r="J332" s="206"/>
      <c r="K332" s="206"/>
      <c r="L332" s="220">
        <f t="shared" ref="L332" si="122">SUM(I332:K332)</f>
        <v>0</v>
      </c>
      <c r="M332" s="212"/>
      <c r="O332" s="6"/>
      <c r="P332" s="15"/>
      <c r="Q332" s="14">
        <f t="shared" si="119"/>
        <v>0</v>
      </c>
      <c r="R332" s="186"/>
      <c r="S332" s="4"/>
      <c r="T332" s="15"/>
      <c r="U332" s="14">
        <f t="shared" si="120"/>
        <v>0</v>
      </c>
    </row>
    <row r="333" spans="1:21" ht="14.25" thickBot="1" x14ac:dyDescent="0.2">
      <c r="A333" s="1"/>
      <c r="B333" s="3" t="s">
        <v>5</v>
      </c>
      <c r="C333" s="16">
        <f>SUM(C309:C332)</f>
        <v>280</v>
      </c>
      <c r="D333" s="16">
        <f>SUM(D309:D332)</f>
        <v>67</v>
      </c>
      <c r="E333" s="16">
        <f>SUM(E309:E332)</f>
        <v>29</v>
      </c>
      <c r="F333" s="223">
        <f>SUM(F309:F332)</f>
        <v>376</v>
      </c>
      <c r="H333" s="3" t="s">
        <v>5</v>
      </c>
      <c r="I333" s="16">
        <f>SUM(I309:I332)</f>
        <v>300</v>
      </c>
      <c r="J333" s="16">
        <f>SUM(J309:J332)</f>
        <v>0</v>
      </c>
      <c r="K333" s="16">
        <f>SUM(K309:K332)</f>
        <v>0</v>
      </c>
      <c r="L333" s="223">
        <f>SUM(L309:L332)</f>
        <v>300</v>
      </c>
      <c r="O333" s="3" t="s">
        <v>5</v>
      </c>
      <c r="P333" s="16">
        <f>SUM(P309:P332)</f>
        <v>0</v>
      </c>
      <c r="Q333" s="17">
        <f>SUM(Q309:Q332)</f>
        <v>0</v>
      </c>
      <c r="S333" s="3" t="s">
        <v>5</v>
      </c>
      <c r="T333" s="16">
        <f>SUM(T309:T332)</f>
        <v>0</v>
      </c>
      <c r="U333" s="17">
        <f>SUM(U309:U332)</f>
        <v>0</v>
      </c>
    </row>
    <row r="334" spans="1:21" ht="14.25" thickBot="1" x14ac:dyDescent="0.2">
      <c r="A334" s="1"/>
      <c r="B334" s="18" t="s">
        <v>6</v>
      </c>
      <c r="C334" s="19">
        <f>C308-C333</f>
        <v>162</v>
      </c>
      <c r="D334" s="19">
        <f>D308-D333</f>
        <v>69</v>
      </c>
      <c r="E334" s="19">
        <f t="shared" ref="E334" si="123">E308-E333</f>
        <v>113</v>
      </c>
      <c r="F334" s="221">
        <f>F308-F333</f>
        <v>344</v>
      </c>
      <c r="H334" s="18" t="s">
        <v>6</v>
      </c>
      <c r="I334" s="19">
        <f>I308-I333</f>
        <v>2800</v>
      </c>
      <c r="J334" s="19">
        <f>J308-J333</f>
        <v>0</v>
      </c>
      <c r="K334" s="19">
        <f t="shared" ref="K334" si="124">K308-K333</f>
        <v>450</v>
      </c>
      <c r="L334" s="221">
        <f>L308-L333</f>
        <v>3250</v>
      </c>
      <c r="O334" s="18" t="s">
        <v>6</v>
      </c>
      <c r="P334" s="19">
        <f>P308-P333</f>
        <v>0</v>
      </c>
      <c r="Q334" s="13">
        <f>Q308-Q333</f>
        <v>0</v>
      </c>
      <c r="S334" s="18" t="s">
        <v>6</v>
      </c>
      <c r="T334" s="19">
        <f>T308-T333</f>
        <v>699</v>
      </c>
      <c r="U334" s="13">
        <f>U308-U333</f>
        <v>699</v>
      </c>
    </row>
    <row r="337" spans="1:22" ht="18" thickBot="1" x14ac:dyDescent="0.25">
      <c r="A337" s="27" t="s">
        <v>739</v>
      </c>
      <c r="B337" s="28"/>
      <c r="C337" s="28"/>
      <c r="D337" s="28"/>
      <c r="E337" s="28"/>
      <c r="F337" s="218"/>
      <c r="H337" s="27" t="s">
        <v>740</v>
      </c>
      <c r="I337" s="28"/>
      <c r="J337" s="28"/>
      <c r="K337" s="28"/>
      <c r="L337" s="218"/>
      <c r="O337" s="181" t="s">
        <v>737</v>
      </c>
      <c r="P337" s="182"/>
      <c r="Q337" s="182"/>
      <c r="R337" s="183"/>
      <c r="S337" s="181" t="s">
        <v>733</v>
      </c>
      <c r="T337" s="182"/>
      <c r="U337" s="182"/>
    </row>
    <row r="338" spans="1:22" ht="14.25" thickBot="1" x14ac:dyDescent="0.2">
      <c r="A338" s="1"/>
      <c r="B338" s="2"/>
      <c r="C338" s="194" t="s">
        <v>734</v>
      </c>
      <c r="D338" s="195" t="s">
        <v>706</v>
      </c>
      <c r="E338" s="2" t="s">
        <v>735</v>
      </c>
      <c r="F338" s="219" t="s">
        <v>1</v>
      </c>
      <c r="H338" s="2"/>
      <c r="I338" s="197" t="s">
        <v>734</v>
      </c>
      <c r="J338" s="195" t="s">
        <v>706</v>
      </c>
      <c r="K338" s="201" t="s">
        <v>735</v>
      </c>
      <c r="L338" s="219" t="s">
        <v>1</v>
      </c>
      <c r="O338" s="2"/>
      <c r="P338" s="3" t="s">
        <v>722</v>
      </c>
      <c r="Q338" s="2" t="s">
        <v>1</v>
      </c>
      <c r="S338" s="2"/>
      <c r="T338" s="3" t="s">
        <v>722</v>
      </c>
      <c r="U338" s="2" t="s">
        <v>1</v>
      </c>
    </row>
    <row r="339" spans="1:22" x14ac:dyDescent="0.15">
      <c r="A339" s="1"/>
      <c r="B339" s="164" t="s">
        <v>26</v>
      </c>
      <c r="C339" s="200">
        <f>C334</f>
        <v>162</v>
      </c>
      <c r="D339" s="164">
        <f t="shared" ref="D339:E339" si="125">D334</f>
        <v>69</v>
      </c>
      <c r="E339" s="164">
        <f t="shared" si="125"/>
        <v>113</v>
      </c>
      <c r="F339" s="222">
        <f>SUM(C339:E339)</f>
        <v>344</v>
      </c>
      <c r="H339" s="164" t="s">
        <v>26</v>
      </c>
      <c r="I339" s="200">
        <f>I334</f>
        <v>2800</v>
      </c>
      <c r="J339" s="164">
        <f t="shared" ref="J339:K339" si="126">J334</f>
        <v>0</v>
      </c>
      <c r="K339" s="200">
        <f t="shared" si="126"/>
        <v>450</v>
      </c>
      <c r="L339" s="222">
        <f t="shared" ref="L339:L349" si="127">SUM(I339:K339)</f>
        <v>3250</v>
      </c>
      <c r="M339" s="210"/>
      <c r="O339" s="171" t="s">
        <v>26</v>
      </c>
      <c r="P339" s="200">
        <f>P334</f>
        <v>0</v>
      </c>
      <c r="Q339" s="180">
        <f t="shared" ref="Q339:Q349" si="128">SUM(P339:P339)</f>
        <v>0</v>
      </c>
      <c r="R339" s="185"/>
      <c r="S339" s="43" t="s">
        <v>26</v>
      </c>
      <c r="T339" s="38">
        <f>T334</f>
        <v>699</v>
      </c>
      <c r="U339" s="39">
        <f t="shared" ref="U339:U349" si="129">SUM(T339:T339)</f>
        <v>699</v>
      </c>
    </row>
    <row r="340" spans="1:22" x14ac:dyDescent="0.15">
      <c r="A340" s="1"/>
      <c r="B340" s="6" t="s">
        <v>3</v>
      </c>
      <c r="C340" s="188"/>
      <c r="D340" s="6"/>
      <c r="E340" s="202"/>
      <c r="F340" s="220">
        <f t="shared" ref="F340:F349" si="130">SUM(C340:E340)</f>
        <v>0</v>
      </c>
      <c r="G340" s="211"/>
      <c r="H340" s="6" t="s">
        <v>840</v>
      </c>
      <c r="I340" s="216"/>
      <c r="J340" s="232"/>
      <c r="K340" s="232">
        <v>30</v>
      </c>
      <c r="L340" s="220">
        <f t="shared" si="127"/>
        <v>30</v>
      </c>
      <c r="M340" s="214">
        <v>44485</v>
      </c>
      <c r="O340" s="6" t="s">
        <v>3</v>
      </c>
      <c r="P340" s="7"/>
      <c r="Q340" s="5">
        <f t="shared" si="128"/>
        <v>0</v>
      </c>
      <c r="R340" s="186"/>
      <c r="S340" s="6" t="s">
        <v>3</v>
      </c>
      <c r="T340" s="7"/>
      <c r="U340" s="5">
        <f t="shared" si="129"/>
        <v>0</v>
      </c>
    </row>
    <row r="341" spans="1:22" x14ac:dyDescent="0.15">
      <c r="A341" s="1"/>
      <c r="B341" s="6" t="s">
        <v>3</v>
      </c>
      <c r="C341" s="205"/>
      <c r="D341" s="205"/>
      <c r="E341" s="207"/>
      <c r="F341" s="220">
        <f t="shared" si="130"/>
        <v>0</v>
      </c>
      <c r="G341" s="212"/>
      <c r="H341" s="6" t="s">
        <v>3</v>
      </c>
      <c r="I341" s="188"/>
      <c r="J341" s="225"/>
      <c r="K341" s="243"/>
      <c r="L341" s="220">
        <f t="shared" si="127"/>
        <v>0</v>
      </c>
      <c r="M341" s="211"/>
      <c r="O341" s="6" t="s">
        <v>3</v>
      </c>
      <c r="P341" s="7"/>
      <c r="Q341" s="5">
        <f t="shared" si="128"/>
        <v>0</v>
      </c>
      <c r="R341" s="186"/>
      <c r="S341" s="6" t="s">
        <v>3</v>
      </c>
      <c r="T341" s="7"/>
      <c r="U341" s="5">
        <f t="shared" si="129"/>
        <v>0</v>
      </c>
      <c r="V341" s="186"/>
    </row>
    <row r="342" spans="1:22" x14ac:dyDescent="0.15">
      <c r="A342" s="1"/>
      <c r="B342" s="6" t="s">
        <v>3</v>
      </c>
      <c r="C342" s="196"/>
      <c r="D342" s="6"/>
      <c r="E342" s="4"/>
      <c r="F342" s="220">
        <f t="shared" si="130"/>
        <v>0</v>
      </c>
      <c r="G342" s="211"/>
      <c r="H342" s="6" t="s">
        <v>3</v>
      </c>
      <c r="I342" s="188"/>
      <c r="J342" s="6"/>
      <c r="K342" s="202"/>
      <c r="L342" s="220">
        <f t="shared" si="127"/>
        <v>0</v>
      </c>
      <c r="M342" s="212"/>
      <c r="O342" s="6" t="s">
        <v>3</v>
      </c>
      <c r="P342" s="7"/>
      <c r="Q342" s="5">
        <f t="shared" si="128"/>
        <v>0</v>
      </c>
      <c r="R342" s="186"/>
      <c r="S342" s="6" t="s">
        <v>3</v>
      </c>
      <c r="T342" s="7"/>
      <c r="U342" s="5">
        <f t="shared" si="129"/>
        <v>0</v>
      </c>
      <c r="V342" s="186"/>
    </row>
    <row r="343" spans="1:22" x14ac:dyDescent="0.15">
      <c r="A343" s="1"/>
      <c r="B343" s="6" t="s">
        <v>3</v>
      </c>
      <c r="C343" s="205"/>
      <c r="D343" s="205"/>
      <c r="E343" s="207"/>
      <c r="F343" s="220">
        <f t="shared" si="130"/>
        <v>0</v>
      </c>
      <c r="G343" s="211"/>
      <c r="H343" s="6" t="s">
        <v>3</v>
      </c>
      <c r="I343" s="188"/>
      <c r="J343" s="6"/>
      <c r="K343" s="202"/>
      <c r="L343" s="220">
        <f t="shared" si="127"/>
        <v>0</v>
      </c>
      <c r="M343" s="212"/>
      <c r="O343" s="6" t="s">
        <v>3</v>
      </c>
      <c r="P343" s="7"/>
      <c r="Q343" s="5">
        <f t="shared" si="128"/>
        <v>0</v>
      </c>
      <c r="R343" s="186"/>
      <c r="S343" s="6" t="s">
        <v>3</v>
      </c>
      <c r="T343" s="7"/>
      <c r="U343" s="5">
        <f t="shared" si="129"/>
        <v>0</v>
      </c>
      <c r="V343" s="186"/>
    </row>
    <row r="344" spans="1:22" x14ac:dyDescent="0.15">
      <c r="A344" s="1"/>
      <c r="B344" s="6" t="s">
        <v>3</v>
      </c>
      <c r="C344" s="205"/>
      <c r="D344" s="205"/>
      <c r="E344" s="207"/>
      <c r="F344" s="220">
        <f t="shared" si="130"/>
        <v>0</v>
      </c>
      <c r="G344" s="212"/>
      <c r="H344" s="6" t="s">
        <v>3</v>
      </c>
      <c r="I344" s="188"/>
      <c r="J344" s="6"/>
      <c r="K344" s="202"/>
      <c r="L344" s="220">
        <f t="shared" si="127"/>
        <v>0</v>
      </c>
      <c r="M344" s="212"/>
      <c r="O344" s="6" t="s">
        <v>3</v>
      </c>
      <c r="P344" s="7"/>
      <c r="Q344" s="5">
        <f t="shared" si="128"/>
        <v>0</v>
      </c>
      <c r="R344" s="186"/>
      <c r="S344" s="6" t="s">
        <v>3</v>
      </c>
      <c r="T344" s="7"/>
      <c r="U344" s="5">
        <f t="shared" si="129"/>
        <v>0</v>
      </c>
      <c r="V344" s="185"/>
    </row>
    <row r="345" spans="1:22" x14ac:dyDescent="0.15">
      <c r="A345" s="1"/>
      <c r="B345" s="6" t="s">
        <v>3</v>
      </c>
      <c r="C345" s="205"/>
      <c r="D345" s="205"/>
      <c r="E345" s="207"/>
      <c r="F345" s="220">
        <f t="shared" si="130"/>
        <v>0</v>
      </c>
      <c r="G345" s="212"/>
      <c r="H345" s="6" t="s">
        <v>3</v>
      </c>
      <c r="I345" s="188"/>
      <c r="J345" s="6"/>
      <c r="K345" s="202"/>
      <c r="L345" s="220">
        <f t="shared" si="127"/>
        <v>0</v>
      </c>
      <c r="M345" s="212"/>
      <c r="O345" s="6" t="s">
        <v>3</v>
      </c>
      <c r="P345" s="7"/>
      <c r="Q345" s="5">
        <f t="shared" si="128"/>
        <v>0</v>
      </c>
      <c r="R345" s="186"/>
      <c r="S345" s="6" t="s">
        <v>3</v>
      </c>
      <c r="T345" s="7"/>
      <c r="U345" s="5">
        <f t="shared" si="129"/>
        <v>0</v>
      </c>
      <c r="V345" s="186"/>
    </row>
    <row r="346" spans="1:22" x14ac:dyDescent="0.15">
      <c r="A346" s="1"/>
      <c r="B346" s="6" t="s">
        <v>3</v>
      </c>
      <c r="C346" s="205"/>
      <c r="D346" s="189"/>
      <c r="E346" s="190"/>
      <c r="F346" s="220">
        <f t="shared" si="130"/>
        <v>0</v>
      </c>
      <c r="G346" s="212"/>
      <c r="H346" s="6" t="s">
        <v>3</v>
      </c>
      <c r="I346" s="188"/>
      <c r="J346" s="225"/>
      <c r="K346" s="243"/>
      <c r="L346" s="220">
        <f t="shared" si="127"/>
        <v>0</v>
      </c>
      <c r="M346" s="211"/>
      <c r="O346" s="6" t="s">
        <v>3</v>
      </c>
      <c r="P346" s="8"/>
      <c r="Q346" s="5">
        <f t="shared" si="128"/>
        <v>0</v>
      </c>
      <c r="R346" s="186"/>
      <c r="S346" s="6" t="s">
        <v>3</v>
      </c>
      <c r="T346" s="8"/>
      <c r="U346" s="5">
        <f t="shared" si="129"/>
        <v>0</v>
      </c>
      <c r="V346" s="186"/>
    </row>
    <row r="347" spans="1:22" x14ac:dyDescent="0.15">
      <c r="A347" s="1"/>
      <c r="B347" s="6" t="s">
        <v>3</v>
      </c>
      <c r="C347" s="205"/>
      <c r="D347" s="189"/>
      <c r="E347" s="190"/>
      <c r="F347" s="220">
        <f t="shared" si="130"/>
        <v>0</v>
      </c>
      <c r="H347" s="6" t="s">
        <v>3</v>
      </c>
      <c r="I347" s="188"/>
      <c r="J347" s="225"/>
      <c r="K347" s="243"/>
      <c r="L347" s="220">
        <f t="shared" si="127"/>
        <v>0</v>
      </c>
      <c r="M347" s="212"/>
      <c r="O347" s="6" t="s">
        <v>3</v>
      </c>
      <c r="P347" s="8"/>
      <c r="Q347" s="5">
        <f t="shared" si="128"/>
        <v>0</v>
      </c>
      <c r="R347" s="186"/>
      <c r="S347" s="6" t="s">
        <v>3</v>
      </c>
      <c r="T347" s="8"/>
      <c r="U347" s="5">
        <f t="shared" si="129"/>
        <v>0</v>
      </c>
    </row>
    <row r="348" spans="1:22" x14ac:dyDescent="0.15">
      <c r="A348" s="1"/>
      <c r="B348" s="6" t="s">
        <v>3</v>
      </c>
      <c r="C348" s="205"/>
      <c r="D348" s="189"/>
      <c r="E348" s="190"/>
      <c r="F348" s="220">
        <f t="shared" si="130"/>
        <v>0</v>
      </c>
      <c r="H348" s="6" t="s">
        <v>3</v>
      </c>
      <c r="I348" s="188"/>
      <c r="J348" s="225"/>
      <c r="K348" s="243"/>
      <c r="L348" s="220">
        <f t="shared" si="127"/>
        <v>0</v>
      </c>
      <c r="O348" s="6" t="s">
        <v>3</v>
      </c>
      <c r="P348" s="8"/>
      <c r="Q348" s="5">
        <f t="shared" si="128"/>
        <v>0</v>
      </c>
      <c r="R348" s="186"/>
      <c r="S348" s="6" t="s">
        <v>3</v>
      </c>
      <c r="T348" s="8"/>
      <c r="U348" s="5">
        <f t="shared" si="129"/>
        <v>0</v>
      </c>
    </row>
    <row r="349" spans="1:22" ht="14.25" thickBot="1" x14ac:dyDescent="0.2">
      <c r="A349" s="1"/>
      <c r="B349" s="9" t="s">
        <v>3</v>
      </c>
      <c r="C349" s="236"/>
      <c r="D349" s="191"/>
      <c r="E349" s="192"/>
      <c r="F349" s="220">
        <f t="shared" si="130"/>
        <v>0</v>
      </c>
      <c r="H349" s="9" t="s">
        <v>3</v>
      </c>
      <c r="I349" s="198"/>
      <c r="J349" s="244"/>
      <c r="K349" s="245"/>
      <c r="L349" s="220">
        <f t="shared" si="127"/>
        <v>0</v>
      </c>
      <c r="O349" s="9" t="s">
        <v>3</v>
      </c>
      <c r="P349" s="10"/>
      <c r="Q349" s="5">
        <f t="shared" si="128"/>
        <v>0</v>
      </c>
      <c r="R349" s="186"/>
      <c r="S349" s="9" t="s">
        <v>3</v>
      </c>
      <c r="T349" s="10"/>
      <c r="U349" s="5">
        <f t="shared" si="129"/>
        <v>0</v>
      </c>
    </row>
    <row r="350" spans="1:22" ht="14.25" thickBot="1" x14ac:dyDescent="0.2">
      <c r="A350" s="1"/>
      <c r="B350" s="11" t="s">
        <v>4</v>
      </c>
      <c r="C350" s="193">
        <f>SUM(C339:C349)</f>
        <v>162</v>
      </c>
      <c r="D350" s="193">
        <f>SUM(D339:D349)</f>
        <v>69</v>
      </c>
      <c r="E350" s="193">
        <f>SUM(E339:E349)</f>
        <v>113</v>
      </c>
      <c r="F350" s="221">
        <f>SUM(F339:F349)</f>
        <v>344</v>
      </c>
      <c r="H350" s="11" t="s">
        <v>4</v>
      </c>
      <c r="I350" s="193">
        <f>SUM(I339:I349)</f>
        <v>2800</v>
      </c>
      <c r="J350" s="193">
        <f>SUM(J339:J349)</f>
        <v>0</v>
      </c>
      <c r="K350" s="193">
        <f t="shared" ref="K350" si="131">SUM(K339:K349)</f>
        <v>480</v>
      </c>
      <c r="L350" s="221">
        <f>SUM(L339:L349)</f>
        <v>3280</v>
      </c>
      <c r="O350" s="11" t="s">
        <v>4</v>
      </c>
      <c r="P350" s="12">
        <f>SUM(P339:P349)</f>
        <v>0</v>
      </c>
      <c r="Q350" s="13">
        <f>SUM(Q339:Q349)</f>
        <v>0</v>
      </c>
      <c r="S350" s="11" t="s">
        <v>4</v>
      </c>
      <c r="T350" s="12">
        <f>SUM(T339:T349)</f>
        <v>699</v>
      </c>
      <c r="U350" s="13">
        <f>SUM(U339:U349)</f>
        <v>699</v>
      </c>
    </row>
    <row r="351" spans="1:22" x14ac:dyDescent="0.15">
      <c r="A351" s="1"/>
      <c r="B351" s="4" t="s">
        <v>749</v>
      </c>
      <c r="C351" s="215">
        <v>3</v>
      </c>
      <c r="D351" s="215"/>
      <c r="E351" s="216"/>
      <c r="F351" s="220">
        <f t="shared" ref="F351:F374" si="132">SUM(C351:E351)</f>
        <v>3</v>
      </c>
      <c r="G351" s="211">
        <v>44483</v>
      </c>
      <c r="H351" s="6"/>
      <c r="I351" s="235"/>
      <c r="J351" s="215"/>
      <c r="K351" s="240"/>
      <c r="L351" s="220">
        <f t="shared" ref="L351:L372" si="133">SUM(I351:K351)</f>
        <v>0</v>
      </c>
      <c r="M351" s="211"/>
      <c r="O351" s="4"/>
      <c r="P351" s="44"/>
      <c r="Q351" s="14">
        <f t="shared" ref="Q351:Q374" si="134">SUM(P351:P351)</f>
        <v>0</v>
      </c>
      <c r="R351" s="186"/>
      <c r="S351" s="4"/>
      <c r="T351" s="44"/>
      <c r="U351" s="14">
        <f t="shared" ref="U351:U374" si="135">SUM(T351:T351)</f>
        <v>0</v>
      </c>
    </row>
    <row r="352" spans="1:22" x14ac:dyDescent="0.15">
      <c r="A352" s="1"/>
      <c r="B352" s="4" t="s">
        <v>749</v>
      </c>
      <c r="C352" s="216">
        <v>1</v>
      </c>
      <c r="D352" s="232"/>
      <c r="E352" s="232"/>
      <c r="F352" s="220">
        <f t="shared" si="132"/>
        <v>1</v>
      </c>
      <c r="G352" s="211">
        <v>44484</v>
      </c>
      <c r="H352" s="6"/>
      <c r="I352" s="215"/>
      <c r="J352" s="215"/>
      <c r="K352" s="216"/>
      <c r="L352" s="220">
        <f t="shared" si="133"/>
        <v>0</v>
      </c>
      <c r="M352" s="211"/>
      <c r="O352" s="4"/>
      <c r="P352" s="15"/>
      <c r="Q352" s="14">
        <f t="shared" si="134"/>
        <v>0</v>
      </c>
      <c r="R352" s="186"/>
      <c r="S352" s="4"/>
      <c r="T352" s="15"/>
      <c r="U352" s="14">
        <f t="shared" si="135"/>
        <v>0</v>
      </c>
    </row>
    <row r="353" spans="1:21" x14ac:dyDescent="0.15">
      <c r="A353" s="1"/>
      <c r="B353" s="4" t="s">
        <v>860</v>
      </c>
      <c r="C353" s="216"/>
      <c r="D353" s="232"/>
      <c r="E353" s="232">
        <v>30</v>
      </c>
      <c r="F353" s="220">
        <f t="shared" si="132"/>
        <v>30</v>
      </c>
      <c r="G353" s="248">
        <v>44485</v>
      </c>
      <c r="H353" s="4"/>
      <c r="I353" s="216"/>
      <c r="J353" s="232"/>
      <c r="K353" s="232"/>
      <c r="L353" s="220">
        <f t="shared" si="133"/>
        <v>0</v>
      </c>
      <c r="M353" s="212"/>
      <c r="O353" s="4"/>
      <c r="P353" s="15"/>
      <c r="Q353" s="14">
        <f t="shared" si="134"/>
        <v>0</v>
      </c>
      <c r="R353" s="186"/>
      <c r="S353" s="4"/>
      <c r="T353" s="15"/>
      <c r="U353" s="14">
        <f t="shared" si="135"/>
        <v>0</v>
      </c>
    </row>
    <row r="354" spans="1:21" x14ac:dyDescent="0.15">
      <c r="A354" s="1"/>
      <c r="B354" s="4" t="s">
        <v>749</v>
      </c>
      <c r="C354" s="233">
        <v>3</v>
      </c>
      <c r="D354" s="234"/>
      <c r="E354" s="234"/>
      <c r="F354" s="220">
        <f t="shared" si="132"/>
        <v>3</v>
      </c>
      <c r="G354" s="211">
        <v>44485</v>
      </c>
      <c r="H354" s="4"/>
      <c r="I354" s="233"/>
      <c r="J354" s="234"/>
      <c r="K354" s="234"/>
      <c r="L354" s="220">
        <f t="shared" si="133"/>
        <v>0</v>
      </c>
      <c r="M354" s="212"/>
      <c r="O354" s="4"/>
      <c r="P354" s="15"/>
      <c r="Q354" s="14">
        <f t="shared" si="134"/>
        <v>0</v>
      </c>
      <c r="R354" s="186"/>
      <c r="S354" s="4"/>
      <c r="T354" s="15"/>
      <c r="U354" s="14">
        <f t="shared" si="135"/>
        <v>0</v>
      </c>
    </row>
    <row r="355" spans="1:21" x14ac:dyDescent="0.15">
      <c r="A355" s="1"/>
      <c r="B355" s="4" t="s">
        <v>749</v>
      </c>
      <c r="C355" s="233">
        <f>1+1</f>
        <v>2</v>
      </c>
      <c r="D355" s="234">
        <v>1</v>
      </c>
      <c r="E355" s="234"/>
      <c r="F355" s="220">
        <f t="shared" si="132"/>
        <v>3</v>
      </c>
      <c r="G355" s="211">
        <v>44487</v>
      </c>
      <c r="H355" s="4"/>
      <c r="I355" s="233"/>
      <c r="J355" s="234"/>
      <c r="K355" s="234"/>
      <c r="L355" s="220">
        <f t="shared" si="133"/>
        <v>0</v>
      </c>
      <c r="O355" s="4"/>
      <c r="P355" s="15"/>
      <c r="Q355" s="14">
        <f t="shared" si="134"/>
        <v>0</v>
      </c>
      <c r="R355" s="186"/>
      <c r="S355" s="4"/>
      <c r="T355" s="15"/>
      <c r="U355" s="14">
        <f t="shared" si="135"/>
        <v>0</v>
      </c>
    </row>
    <row r="356" spans="1:21" x14ac:dyDescent="0.15">
      <c r="A356" s="1"/>
      <c r="B356" s="4" t="s">
        <v>764</v>
      </c>
      <c r="C356" s="233">
        <v>24</v>
      </c>
      <c r="D356" s="234"/>
      <c r="E356" s="234"/>
      <c r="F356" s="220">
        <f t="shared" si="132"/>
        <v>24</v>
      </c>
      <c r="G356" s="211">
        <v>44490</v>
      </c>
      <c r="H356" s="4"/>
      <c r="I356" s="233"/>
      <c r="J356" s="234"/>
      <c r="K356" s="234"/>
      <c r="L356" s="220">
        <f t="shared" si="133"/>
        <v>0</v>
      </c>
      <c r="O356" s="4"/>
      <c r="P356" s="15"/>
      <c r="Q356" s="14">
        <f t="shared" si="134"/>
        <v>0</v>
      </c>
      <c r="R356" s="186"/>
      <c r="S356" s="4"/>
      <c r="T356" s="15"/>
      <c r="U356" s="14">
        <f t="shared" si="135"/>
        <v>0</v>
      </c>
    </row>
    <row r="357" spans="1:21" x14ac:dyDescent="0.15">
      <c r="A357" s="1"/>
      <c r="B357" s="4" t="s">
        <v>863</v>
      </c>
      <c r="C357" s="233">
        <v>5</v>
      </c>
      <c r="D357" s="234">
        <v>5</v>
      </c>
      <c r="E357" s="234">
        <v>5</v>
      </c>
      <c r="F357" s="220">
        <f t="shared" si="132"/>
        <v>15</v>
      </c>
      <c r="G357" s="211">
        <v>44490</v>
      </c>
      <c r="H357" s="4"/>
      <c r="I357" s="233"/>
      <c r="J357" s="234"/>
      <c r="K357" s="234"/>
      <c r="L357" s="220">
        <f t="shared" si="133"/>
        <v>0</v>
      </c>
      <c r="O357" s="4"/>
      <c r="P357" s="15"/>
      <c r="Q357" s="14">
        <f t="shared" si="134"/>
        <v>0</v>
      </c>
      <c r="R357" s="186"/>
      <c r="S357" s="4"/>
      <c r="T357" s="15"/>
      <c r="U357" s="14">
        <f t="shared" si="135"/>
        <v>0</v>
      </c>
    </row>
    <row r="358" spans="1:21" x14ac:dyDescent="0.15">
      <c r="A358" s="1"/>
      <c r="B358" s="4" t="s">
        <v>749</v>
      </c>
      <c r="C358" s="233">
        <v>1</v>
      </c>
      <c r="D358" s="234"/>
      <c r="E358" s="234"/>
      <c r="F358" s="220">
        <f t="shared" si="132"/>
        <v>1</v>
      </c>
      <c r="G358" s="248">
        <v>44489</v>
      </c>
      <c r="H358" s="4"/>
      <c r="I358" s="233"/>
      <c r="J358" s="234"/>
      <c r="K358" s="234"/>
      <c r="L358" s="220">
        <f t="shared" si="133"/>
        <v>0</v>
      </c>
      <c r="O358" s="4"/>
      <c r="P358" s="15"/>
      <c r="Q358" s="14">
        <f t="shared" si="134"/>
        <v>0</v>
      </c>
      <c r="R358" s="186"/>
      <c r="S358" s="4"/>
      <c r="T358" s="15"/>
      <c r="U358" s="14">
        <f t="shared" si="135"/>
        <v>0</v>
      </c>
    </row>
    <row r="359" spans="1:21" x14ac:dyDescent="0.15">
      <c r="A359" s="1"/>
      <c r="B359" s="4" t="s">
        <v>749</v>
      </c>
      <c r="C359" s="233">
        <f>1+1</f>
        <v>2</v>
      </c>
      <c r="D359" s="234"/>
      <c r="E359" s="234"/>
      <c r="F359" s="220">
        <f t="shared" si="132"/>
        <v>2</v>
      </c>
      <c r="G359" s="248">
        <v>44490</v>
      </c>
      <c r="H359" s="4"/>
      <c r="I359" s="187"/>
      <c r="J359" s="15"/>
      <c r="K359" s="15"/>
      <c r="L359" s="220">
        <f t="shared" si="133"/>
        <v>0</v>
      </c>
      <c r="O359" s="4"/>
      <c r="P359" s="15"/>
      <c r="Q359" s="14">
        <f t="shared" si="134"/>
        <v>0</v>
      </c>
      <c r="R359" s="186"/>
      <c r="S359" s="4"/>
      <c r="T359" s="15"/>
      <c r="U359" s="14">
        <f t="shared" si="135"/>
        <v>0</v>
      </c>
    </row>
    <row r="360" spans="1:21" x14ac:dyDescent="0.15">
      <c r="A360" s="1"/>
      <c r="B360" s="4" t="s">
        <v>749</v>
      </c>
      <c r="C360" s="233">
        <v>1</v>
      </c>
      <c r="D360" s="234"/>
      <c r="E360" s="234"/>
      <c r="F360" s="220">
        <f t="shared" si="132"/>
        <v>1</v>
      </c>
      <c r="G360" s="248">
        <v>44491</v>
      </c>
      <c r="H360" s="4"/>
      <c r="I360" s="187"/>
      <c r="J360" s="15"/>
      <c r="K360" s="15"/>
      <c r="L360" s="220">
        <f t="shared" si="133"/>
        <v>0</v>
      </c>
      <c r="O360" s="4"/>
      <c r="P360" s="15"/>
      <c r="Q360" s="14">
        <f t="shared" si="134"/>
        <v>0</v>
      </c>
      <c r="R360" s="186"/>
      <c r="S360" s="4"/>
      <c r="T360" s="15"/>
      <c r="U360" s="14">
        <f t="shared" si="135"/>
        <v>0</v>
      </c>
    </row>
    <row r="361" spans="1:21" x14ac:dyDescent="0.15">
      <c r="A361" s="1"/>
      <c r="B361" s="4" t="s">
        <v>749</v>
      </c>
      <c r="C361" s="233"/>
      <c r="D361" s="234">
        <v>3</v>
      </c>
      <c r="E361" s="234"/>
      <c r="F361" s="220">
        <f t="shared" si="132"/>
        <v>3</v>
      </c>
      <c r="G361" s="248">
        <v>44494</v>
      </c>
      <c r="H361" s="4"/>
      <c r="I361" s="187"/>
      <c r="J361" s="15"/>
      <c r="K361" s="15"/>
      <c r="L361" s="220">
        <f t="shared" si="133"/>
        <v>0</v>
      </c>
      <c r="O361" s="4"/>
      <c r="P361" s="15"/>
      <c r="Q361" s="14">
        <f t="shared" si="134"/>
        <v>0</v>
      </c>
      <c r="R361" s="186"/>
      <c r="S361" s="4"/>
      <c r="T361" s="15"/>
      <c r="U361" s="14">
        <f t="shared" si="135"/>
        <v>0</v>
      </c>
    </row>
    <row r="362" spans="1:21" x14ac:dyDescent="0.15">
      <c r="A362" s="1"/>
      <c r="B362" s="178" t="s">
        <v>862</v>
      </c>
      <c r="C362" s="235">
        <v>1</v>
      </c>
      <c r="D362" s="234">
        <v>1</v>
      </c>
      <c r="E362" s="234">
        <v>1</v>
      </c>
      <c r="F362" s="220">
        <f t="shared" si="132"/>
        <v>3</v>
      </c>
      <c r="G362" s="211">
        <v>44496</v>
      </c>
      <c r="H362" s="6"/>
      <c r="I362" s="188"/>
      <c r="J362" s="15"/>
      <c r="K362" s="15"/>
      <c r="L362" s="220">
        <f t="shared" si="133"/>
        <v>0</v>
      </c>
      <c r="O362" s="6"/>
      <c r="P362" s="15"/>
      <c r="Q362" s="14">
        <f t="shared" si="134"/>
        <v>0</v>
      </c>
      <c r="R362" s="186"/>
      <c r="S362" s="6"/>
      <c r="T362" s="15"/>
      <c r="U362" s="14">
        <f t="shared" si="135"/>
        <v>0</v>
      </c>
    </row>
    <row r="363" spans="1:21" x14ac:dyDescent="0.15">
      <c r="A363" s="1"/>
      <c r="B363" s="4" t="s">
        <v>749</v>
      </c>
      <c r="C363" s="235">
        <v>1</v>
      </c>
      <c r="D363" s="234"/>
      <c r="E363" s="234"/>
      <c r="F363" s="220">
        <f t="shared" si="132"/>
        <v>1</v>
      </c>
      <c r="G363" s="248">
        <v>44495</v>
      </c>
      <c r="H363" s="6"/>
      <c r="I363" s="188"/>
      <c r="J363" s="15"/>
      <c r="K363" s="15"/>
      <c r="L363" s="220">
        <f t="shared" si="133"/>
        <v>0</v>
      </c>
      <c r="O363" s="6"/>
      <c r="P363" s="15"/>
      <c r="Q363" s="14">
        <f t="shared" si="134"/>
        <v>0</v>
      </c>
      <c r="R363" s="186"/>
      <c r="S363" s="6"/>
      <c r="T363" s="15"/>
      <c r="U363" s="14">
        <f t="shared" si="135"/>
        <v>0</v>
      </c>
    </row>
    <row r="364" spans="1:21" x14ac:dyDescent="0.15">
      <c r="A364" s="1"/>
      <c r="B364" s="4" t="s">
        <v>749</v>
      </c>
      <c r="C364" s="233">
        <v>4</v>
      </c>
      <c r="D364" s="234"/>
      <c r="E364" s="234"/>
      <c r="F364" s="220">
        <f t="shared" si="132"/>
        <v>4</v>
      </c>
      <c r="G364" s="248">
        <v>44496</v>
      </c>
      <c r="H364" s="4"/>
      <c r="I364" s="187"/>
      <c r="J364" s="15"/>
      <c r="K364" s="15"/>
      <c r="L364" s="220">
        <f t="shared" si="133"/>
        <v>0</v>
      </c>
      <c r="O364" s="4"/>
      <c r="P364" s="15"/>
      <c r="Q364" s="14">
        <f t="shared" si="134"/>
        <v>0</v>
      </c>
      <c r="R364" s="186"/>
      <c r="S364" s="4"/>
      <c r="T364" s="15"/>
      <c r="U364" s="14">
        <f t="shared" si="135"/>
        <v>0</v>
      </c>
    </row>
    <row r="365" spans="1:21" x14ac:dyDescent="0.15">
      <c r="A365" s="1"/>
      <c r="B365" s="4" t="s">
        <v>749</v>
      </c>
      <c r="C365" s="233">
        <v>2</v>
      </c>
      <c r="D365" s="234"/>
      <c r="E365" s="234"/>
      <c r="F365" s="220">
        <f t="shared" si="132"/>
        <v>2</v>
      </c>
      <c r="G365" s="248">
        <v>44498</v>
      </c>
      <c r="H365" s="4"/>
      <c r="I365" s="187"/>
      <c r="J365" s="15"/>
      <c r="K365" s="15"/>
      <c r="L365" s="220">
        <f t="shared" si="133"/>
        <v>0</v>
      </c>
      <c r="O365" s="4"/>
      <c r="P365" s="15"/>
      <c r="Q365" s="14">
        <f t="shared" si="134"/>
        <v>0</v>
      </c>
      <c r="R365" s="186"/>
      <c r="S365" s="4"/>
      <c r="T365" s="15"/>
      <c r="U365" s="14">
        <f t="shared" si="135"/>
        <v>0</v>
      </c>
    </row>
    <row r="366" spans="1:21" x14ac:dyDescent="0.15">
      <c r="A366" s="1"/>
      <c r="B366" s="4" t="s">
        <v>864</v>
      </c>
      <c r="C366" s="233">
        <v>24</v>
      </c>
      <c r="D366" s="234"/>
      <c r="E366" s="234"/>
      <c r="F366" s="220">
        <f t="shared" si="132"/>
        <v>24</v>
      </c>
      <c r="G366" s="211">
        <v>44500</v>
      </c>
      <c r="H366" s="4"/>
      <c r="I366" s="187"/>
      <c r="J366" s="15"/>
      <c r="K366" s="15"/>
      <c r="L366" s="220">
        <f t="shared" si="133"/>
        <v>0</v>
      </c>
      <c r="O366" s="4"/>
      <c r="P366" s="15"/>
      <c r="Q366" s="14">
        <f t="shared" si="134"/>
        <v>0</v>
      </c>
      <c r="R366" s="186"/>
      <c r="S366" s="4"/>
      <c r="T366" s="15"/>
      <c r="U366" s="14">
        <f t="shared" si="135"/>
        <v>0</v>
      </c>
    </row>
    <row r="367" spans="1:21" x14ac:dyDescent="0.15">
      <c r="A367" s="1"/>
      <c r="B367" s="4" t="s">
        <v>749</v>
      </c>
      <c r="C367" s="235">
        <f>1+1</f>
        <v>2</v>
      </c>
      <c r="D367" s="234">
        <v>1</v>
      </c>
      <c r="E367" s="234">
        <v>1</v>
      </c>
      <c r="F367" s="220">
        <f t="shared" si="132"/>
        <v>4</v>
      </c>
      <c r="G367" s="248">
        <v>44501</v>
      </c>
      <c r="H367" s="6"/>
      <c r="I367" s="188"/>
      <c r="J367" s="15"/>
      <c r="K367" s="15"/>
      <c r="L367" s="220">
        <f t="shared" si="133"/>
        <v>0</v>
      </c>
      <c r="O367" s="6"/>
      <c r="P367" s="15"/>
      <c r="Q367" s="14">
        <f t="shared" si="134"/>
        <v>0</v>
      </c>
      <c r="R367" s="186"/>
      <c r="S367" s="6"/>
      <c r="T367" s="15"/>
      <c r="U367" s="14">
        <f t="shared" si="135"/>
        <v>0</v>
      </c>
    </row>
    <row r="368" spans="1:21" x14ac:dyDescent="0.15">
      <c r="A368" s="1"/>
      <c r="B368" s="4" t="s">
        <v>749</v>
      </c>
      <c r="C368" s="233">
        <v>1</v>
      </c>
      <c r="D368" s="234"/>
      <c r="E368" s="234">
        <v>1</v>
      </c>
      <c r="F368" s="220">
        <f t="shared" si="132"/>
        <v>2</v>
      </c>
      <c r="G368" s="248">
        <v>44506</v>
      </c>
      <c r="H368" s="4"/>
      <c r="I368" s="187"/>
      <c r="J368" s="15"/>
      <c r="K368" s="15"/>
      <c r="L368" s="220">
        <f t="shared" si="133"/>
        <v>0</v>
      </c>
      <c r="O368" s="4"/>
      <c r="P368" s="15"/>
      <c r="Q368" s="14">
        <f t="shared" si="134"/>
        <v>0</v>
      </c>
      <c r="R368" s="186"/>
      <c r="S368" s="4"/>
      <c r="T368" s="15"/>
      <c r="U368" s="14">
        <f t="shared" si="135"/>
        <v>0</v>
      </c>
    </row>
    <row r="369" spans="1:23" x14ac:dyDescent="0.15">
      <c r="A369" s="1"/>
      <c r="B369" s="4" t="s">
        <v>749</v>
      </c>
      <c r="C369" s="235">
        <v>2</v>
      </c>
      <c r="D369" s="234"/>
      <c r="E369" s="234"/>
      <c r="F369" s="220">
        <f t="shared" si="132"/>
        <v>2</v>
      </c>
      <c r="G369" s="248">
        <v>44510</v>
      </c>
      <c r="H369" s="6"/>
      <c r="I369" s="188"/>
      <c r="J369" s="15"/>
      <c r="K369" s="15"/>
      <c r="L369" s="220">
        <f t="shared" si="133"/>
        <v>0</v>
      </c>
      <c r="O369" s="6"/>
      <c r="P369" s="15"/>
      <c r="Q369" s="14">
        <f t="shared" si="134"/>
        <v>0</v>
      </c>
      <c r="R369" s="186"/>
      <c r="S369" s="6"/>
      <c r="T369" s="15"/>
      <c r="U369" s="14">
        <f t="shared" si="135"/>
        <v>0</v>
      </c>
    </row>
    <row r="370" spans="1:23" x14ac:dyDescent="0.15">
      <c r="A370" s="1"/>
      <c r="B370" s="4" t="s">
        <v>749</v>
      </c>
      <c r="C370" s="233">
        <v>2</v>
      </c>
      <c r="D370" s="234"/>
      <c r="E370" s="234"/>
      <c r="F370" s="220">
        <f t="shared" si="132"/>
        <v>2</v>
      </c>
      <c r="G370" s="248">
        <v>44515</v>
      </c>
      <c r="H370" s="4"/>
      <c r="I370" s="187"/>
      <c r="J370" s="15"/>
      <c r="K370" s="15"/>
      <c r="L370" s="220">
        <f t="shared" si="133"/>
        <v>0</v>
      </c>
      <c r="O370" s="4"/>
      <c r="P370" s="15"/>
      <c r="Q370" s="14">
        <f t="shared" si="134"/>
        <v>0</v>
      </c>
      <c r="R370" s="186"/>
      <c r="S370" s="4"/>
      <c r="T370" s="15"/>
      <c r="U370" s="14">
        <f t="shared" si="135"/>
        <v>0</v>
      </c>
    </row>
    <row r="371" spans="1:23" x14ac:dyDescent="0.15">
      <c r="A371" s="75"/>
      <c r="B371" s="4" t="s">
        <v>865</v>
      </c>
      <c r="C371" s="233"/>
      <c r="D371" s="234"/>
      <c r="E371" s="234">
        <v>10</v>
      </c>
      <c r="F371" s="220">
        <f t="shared" si="132"/>
        <v>10</v>
      </c>
      <c r="G371" s="211">
        <v>44516</v>
      </c>
      <c r="H371" s="4"/>
      <c r="I371" s="187"/>
      <c r="J371" s="15"/>
      <c r="K371" s="15"/>
      <c r="L371" s="220">
        <f t="shared" si="133"/>
        <v>0</v>
      </c>
      <c r="M371" s="212"/>
      <c r="O371" s="4"/>
      <c r="P371" s="15"/>
      <c r="Q371" s="14">
        <f t="shared" si="134"/>
        <v>0</v>
      </c>
      <c r="R371" s="186"/>
      <c r="S371" s="4"/>
      <c r="T371" s="15"/>
      <c r="U371" s="14">
        <f t="shared" si="135"/>
        <v>0</v>
      </c>
    </row>
    <row r="372" spans="1:23" x14ac:dyDescent="0.15">
      <c r="A372" s="1"/>
      <c r="B372" s="4" t="s">
        <v>749</v>
      </c>
      <c r="C372" s="233">
        <v>1</v>
      </c>
      <c r="D372" s="234"/>
      <c r="E372" s="234"/>
      <c r="F372" s="220">
        <f t="shared" si="132"/>
        <v>1</v>
      </c>
      <c r="G372" s="248">
        <v>44520</v>
      </c>
      <c r="H372" s="4"/>
      <c r="I372" s="187"/>
      <c r="J372" s="15"/>
      <c r="K372" s="15"/>
      <c r="L372" s="220">
        <f t="shared" si="133"/>
        <v>0</v>
      </c>
      <c r="M372" s="212"/>
      <c r="O372" s="4"/>
      <c r="P372" s="15"/>
      <c r="Q372" s="14">
        <f t="shared" si="134"/>
        <v>0</v>
      </c>
      <c r="R372" s="186"/>
      <c r="S372" s="4"/>
      <c r="T372" s="15"/>
      <c r="U372" s="14">
        <f t="shared" si="135"/>
        <v>0</v>
      </c>
    </row>
    <row r="373" spans="1:23" x14ac:dyDescent="0.15">
      <c r="A373" s="1"/>
      <c r="B373" s="4" t="s">
        <v>764</v>
      </c>
      <c r="C373" s="233">
        <v>10</v>
      </c>
      <c r="D373" s="234"/>
      <c r="E373" s="234"/>
      <c r="F373" s="220">
        <f t="shared" si="132"/>
        <v>10</v>
      </c>
      <c r="G373" s="211">
        <v>44523</v>
      </c>
      <c r="H373" s="4"/>
      <c r="I373" s="206"/>
      <c r="J373" s="206"/>
      <c r="K373" s="206"/>
      <c r="L373" s="220">
        <f>SUM(I373:K373)</f>
        <v>0</v>
      </c>
      <c r="M373" s="212"/>
      <c r="O373" s="6"/>
      <c r="P373" s="15"/>
      <c r="Q373" s="14">
        <f t="shared" si="134"/>
        <v>0</v>
      </c>
      <c r="R373" s="186"/>
      <c r="S373" s="4"/>
      <c r="T373" s="15"/>
      <c r="U373" s="14">
        <f t="shared" si="135"/>
        <v>0</v>
      </c>
    </row>
    <row r="374" spans="1:23" ht="14.25" thickBot="1" x14ac:dyDescent="0.2">
      <c r="A374" s="1"/>
      <c r="B374" s="4" t="s">
        <v>749</v>
      </c>
      <c r="C374" s="235"/>
      <c r="D374" s="234">
        <v>1</v>
      </c>
      <c r="E374" s="234"/>
      <c r="F374" s="220">
        <f t="shared" si="132"/>
        <v>1</v>
      </c>
      <c r="G374" s="248">
        <v>44524</v>
      </c>
      <c r="H374" s="6"/>
      <c r="I374" s="206"/>
      <c r="J374" s="206"/>
      <c r="K374" s="206"/>
      <c r="L374" s="220">
        <f t="shared" ref="L374" si="136">SUM(I374:K374)</f>
        <v>0</v>
      </c>
      <c r="M374" s="212"/>
      <c r="O374" s="6"/>
      <c r="P374" s="15"/>
      <c r="Q374" s="14">
        <f t="shared" si="134"/>
        <v>0</v>
      </c>
      <c r="R374" s="186"/>
      <c r="S374" s="4"/>
      <c r="T374" s="15"/>
      <c r="U374" s="14">
        <f t="shared" si="135"/>
        <v>0</v>
      </c>
    </row>
    <row r="375" spans="1:23" ht="14.25" thickBot="1" x14ac:dyDescent="0.2">
      <c r="A375" s="1"/>
      <c r="B375" s="3" t="s">
        <v>5</v>
      </c>
      <c r="C375" s="16">
        <f>SUM(C351:C374)</f>
        <v>92</v>
      </c>
      <c r="D375" s="16">
        <f>SUM(D351:D374)</f>
        <v>12</v>
      </c>
      <c r="E375" s="16">
        <f>SUM(E351:E374)</f>
        <v>48</v>
      </c>
      <c r="F375" s="223">
        <f>SUM(F351:F374)</f>
        <v>152</v>
      </c>
      <c r="H375" s="3" t="s">
        <v>5</v>
      </c>
      <c r="I375" s="16">
        <f>SUM(I351:I374)</f>
        <v>0</v>
      </c>
      <c r="J375" s="16">
        <f>SUM(J351:J374)</f>
        <v>0</v>
      </c>
      <c r="K375" s="16">
        <f>SUM(K351:K374)</f>
        <v>0</v>
      </c>
      <c r="L375" s="223">
        <f>SUM(L351:L374)</f>
        <v>0</v>
      </c>
      <c r="O375" s="3" t="s">
        <v>5</v>
      </c>
      <c r="P375" s="16">
        <f>SUM(P351:P374)</f>
        <v>0</v>
      </c>
      <c r="Q375" s="17">
        <f>SUM(Q351:Q374)</f>
        <v>0</v>
      </c>
      <c r="S375" s="3" t="s">
        <v>5</v>
      </c>
      <c r="T375" s="16">
        <f>SUM(T351:T374)</f>
        <v>0</v>
      </c>
      <c r="U375" s="17">
        <f>SUM(U351:U374)</f>
        <v>0</v>
      </c>
    </row>
    <row r="376" spans="1:23" ht="14.25" thickBot="1" x14ac:dyDescent="0.2">
      <c r="A376" s="1"/>
      <c r="B376" s="18" t="s">
        <v>6</v>
      </c>
      <c r="C376" s="19">
        <f>C350-C375</f>
        <v>70</v>
      </c>
      <c r="D376" s="19">
        <f>D350-D375</f>
        <v>57</v>
      </c>
      <c r="E376" s="19">
        <f t="shared" ref="E376" si="137">E350-E375</f>
        <v>65</v>
      </c>
      <c r="F376" s="221">
        <f>F350-F375</f>
        <v>192</v>
      </c>
      <c r="H376" s="18" t="s">
        <v>6</v>
      </c>
      <c r="I376" s="19">
        <f>I350-I375</f>
        <v>2800</v>
      </c>
      <c r="J376" s="19">
        <f>J350-J375</f>
        <v>0</v>
      </c>
      <c r="K376" s="19">
        <f t="shared" ref="K376" si="138">K350-K375</f>
        <v>480</v>
      </c>
      <c r="L376" s="221">
        <f>L350-L375</f>
        <v>3280</v>
      </c>
      <c r="O376" s="18" t="s">
        <v>6</v>
      </c>
      <c r="P376" s="19">
        <f>P350-P375</f>
        <v>0</v>
      </c>
      <c r="Q376" s="13">
        <f>Q350-Q375</f>
        <v>0</v>
      </c>
      <c r="S376" s="18" t="s">
        <v>6</v>
      </c>
      <c r="T376" s="19">
        <f>T350-T375</f>
        <v>699</v>
      </c>
      <c r="U376" s="13">
        <f>U350-U375</f>
        <v>699</v>
      </c>
    </row>
    <row r="379" spans="1:23" ht="18" thickBot="1" x14ac:dyDescent="0.25">
      <c r="A379" s="27" t="s">
        <v>739</v>
      </c>
      <c r="B379" s="28"/>
      <c r="C379" s="28"/>
      <c r="D379" s="28"/>
      <c r="E379" s="28"/>
      <c r="F379" s="218"/>
      <c r="H379" s="27" t="s">
        <v>740</v>
      </c>
      <c r="I379" s="28"/>
      <c r="J379" s="28"/>
      <c r="K379" s="28"/>
      <c r="L379" s="218"/>
      <c r="O379" s="181" t="s">
        <v>737</v>
      </c>
      <c r="P379" s="182"/>
      <c r="Q379" s="182"/>
      <c r="R379" s="183"/>
      <c r="S379" s="181" t="s">
        <v>733</v>
      </c>
      <c r="T379" s="182"/>
      <c r="U379" s="182"/>
    </row>
    <row r="380" spans="1:23" ht="14.25" thickBot="1" x14ac:dyDescent="0.2">
      <c r="A380" s="1"/>
      <c r="B380" s="2"/>
      <c r="C380" s="194" t="s">
        <v>734</v>
      </c>
      <c r="D380" s="195" t="s">
        <v>706</v>
      </c>
      <c r="E380" s="2" t="s">
        <v>735</v>
      </c>
      <c r="F380" s="219" t="s">
        <v>1</v>
      </c>
      <c r="H380" s="2"/>
      <c r="I380" s="197" t="s">
        <v>734</v>
      </c>
      <c r="J380" s="195" t="s">
        <v>706</v>
      </c>
      <c r="K380" s="201" t="s">
        <v>735</v>
      </c>
      <c r="L380" s="219" t="s">
        <v>1</v>
      </c>
      <c r="O380" s="2"/>
      <c r="P380" s="3" t="s">
        <v>722</v>
      </c>
      <c r="Q380" s="2" t="s">
        <v>1</v>
      </c>
      <c r="S380" s="2"/>
      <c r="T380" s="3" t="s">
        <v>722</v>
      </c>
      <c r="U380" s="2" t="s">
        <v>1</v>
      </c>
    </row>
    <row r="381" spans="1:23" x14ac:dyDescent="0.15">
      <c r="A381" s="1"/>
      <c r="B381" s="164" t="s">
        <v>26</v>
      </c>
      <c r="C381" s="200">
        <f>C376</f>
        <v>70</v>
      </c>
      <c r="D381" s="164">
        <f t="shared" ref="D381:E381" si="139">D376</f>
        <v>57</v>
      </c>
      <c r="E381" s="164">
        <f t="shared" si="139"/>
        <v>65</v>
      </c>
      <c r="F381" s="222">
        <f>SUM(C381:E381)</f>
        <v>192</v>
      </c>
      <c r="H381" s="164" t="s">
        <v>26</v>
      </c>
      <c r="I381" s="200">
        <f>I376</f>
        <v>2800</v>
      </c>
      <c r="J381" s="164">
        <f t="shared" ref="J381:K381" si="140">J376</f>
        <v>0</v>
      </c>
      <c r="K381" s="200">
        <f t="shared" si="140"/>
        <v>480</v>
      </c>
      <c r="L381" s="222">
        <f t="shared" ref="L381:L391" si="141">SUM(I381:K381)</f>
        <v>3280</v>
      </c>
      <c r="M381" s="210"/>
      <c r="O381" s="171" t="s">
        <v>26</v>
      </c>
      <c r="P381" s="200">
        <f>P376</f>
        <v>0</v>
      </c>
      <c r="Q381" s="180">
        <f t="shared" ref="Q381:Q391" si="142">SUM(P381:P381)</f>
        <v>0</v>
      </c>
      <c r="R381" s="185"/>
      <c r="S381" s="43" t="s">
        <v>26</v>
      </c>
      <c r="T381" s="38">
        <f>T376</f>
        <v>699</v>
      </c>
      <c r="U381" s="39">
        <f t="shared" ref="U381:U391" si="143">SUM(T381:T381)</f>
        <v>699</v>
      </c>
    </row>
    <row r="382" spans="1:23" x14ac:dyDescent="0.15">
      <c r="A382" s="1"/>
      <c r="B382" s="6" t="s">
        <v>3</v>
      </c>
      <c r="C382" s="188">
        <v>200</v>
      </c>
      <c r="D382" s="6"/>
      <c r="E382" s="202"/>
      <c r="F382" s="220">
        <f t="shared" ref="F382:F391" si="144">SUM(C382:E382)</f>
        <v>200</v>
      </c>
      <c r="G382" s="211">
        <v>44548</v>
      </c>
      <c r="H382" s="6" t="s">
        <v>3</v>
      </c>
      <c r="I382" s="188"/>
      <c r="J382" s="6"/>
      <c r="K382" s="202"/>
      <c r="L382" s="220">
        <f t="shared" si="141"/>
        <v>0</v>
      </c>
      <c r="M382" s="211"/>
      <c r="O382" s="6" t="s">
        <v>3</v>
      </c>
      <c r="P382" s="7"/>
      <c r="Q382" s="5">
        <f t="shared" si="142"/>
        <v>0</v>
      </c>
      <c r="R382" s="186"/>
      <c r="S382" s="6" t="s">
        <v>3</v>
      </c>
      <c r="T382" s="7"/>
      <c r="U382" s="5">
        <f t="shared" si="143"/>
        <v>0</v>
      </c>
    </row>
    <row r="383" spans="1:23" x14ac:dyDescent="0.15">
      <c r="A383" s="1"/>
      <c r="B383" s="6" t="s">
        <v>3</v>
      </c>
      <c r="C383" s="205"/>
      <c r="D383" s="205"/>
      <c r="E383" s="207"/>
      <c r="F383" s="220">
        <f t="shared" si="144"/>
        <v>0</v>
      </c>
      <c r="G383" s="212"/>
      <c r="H383" s="6" t="s">
        <v>3</v>
      </c>
      <c r="I383" s="188"/>
      <c r="J383" s="225"/>
      <c r="K383" s="243"/>
      <c r="L383" s="220">
        <f t="shared" si="141"/>
        <v>0</v>
      </c>
      <c r="M383" s="211"/>
      <c r="O383" s="6" t="s">
        <v>3</v>
      </c>
      <c r="P383" s="7"/>
      <c r="Q383" s="5">
        <f t="shared" si="142"/>
        <v>0</v>
      </c>
      <c r="R383" s="186"/>
      <c r="S383" s="6" t="s">
        <v>3</v>
      </c>
      <c r="T383" s="7"/>
      <c r="U383" s="5">
        <f t="shared" si="143"/>
        <v>0</v>
      </c>
      <c r="V383" s="185"/>
      <c r="W383" s="186"/>
    </row>
    <row r="384" spans="1:23" x14ac:dyDescent="0.15">
      <c r="A384" s="1"/>
      <c r="B384" s="6" t="s">
        <v>3</v>
      </c>
      <c r="C384" s="196"/>
      <c r="D384" s="6"/>
      <c r="E384" s="4"/>
      <c r="F384" s="220">
        <f t="shared" si="144"/>
        <v>0</v>
      </c>
      <c r="G384" s="211"/>
      <c r="H384" s="6" t="s">
        <v>3</v>
      </c>
      <c r="I384" s="188"/>
      <c r="J384" s="6"/>
      <c r="K384" s="202"/>
      <c r="L384" s="220">
        <f t="shared" si="141"/>
        <v>0</v>
      </c>
      <c r="M384" s="212"/>
      <c r="O384" s="6" t="s">
        <v>3</v>
      </c>
      <c r="P384" s="7"/>
      <c r="Q384" s="5">
        <f t="shared" si="142"/>
        <v>0</v>
      </c>
      <c r="R384" s="186"/>
      <c r="S384" s="6" t="s">
        <v>3</v>
      </c>
      <c r="T384" s="7"/>
      <c r="U384" s="5">
        <f t="shared" si="143"/>
        <v>0</v>
      </c>
      <c r="V384" s="186"/>
      <c r="W384" s="186"/>
    </row>
    <row r="385" spans="1:23" x14ac:dyDescent="0.15">
      <c r="A385" s="1"/>
      <c r="B385" s="6" t="s">
        <v>3</v>
      </c>
      <c r="C385" s="205"/>
      <c r="D385" s="205"/>
      <c r="E385" s="207"/>
      <c r="F385" s="220">
        <f t="shared" si="144"/>
        <v>0</v>
      </c>
      <c r="G385" s="211"/>
      <c r="H385" s="6" t="s">
        <v>3</v>
      </c>
      <c r="I385" s="188"/>
      <c r="J385" s="6"/>
      <c r="K385" s="202"/>
      <c r="L385" s="220">
        <f t="shared" si="141"/>
        <v>0</v>
      </c>
      <c r="M385" s="212"/>
      <c r="O385" s="6" t="s">
        <v>3</v>
      </c>
      <c r="P385" s="7"/>
      <c r="Q385" s="5">
        <f t="shared" si="142"/>
        <v>0</v>
      </c>
      <c r="R385" s="186"/>
      <c r="S385" s="6" t="s">
        <v>3</v>
      </c>
      <c r="T385" s="7"/>
      <c r="U385" s="5">
        <f t="shared" si="143"/>
        <v>0</v>
      </c>
      <c r="V385" s="186"/>
      <c r="W385" s="186"/>
    </row>
    <row r="386" spans="1:23" x14ac:dyDescent="0.15">
      <c r="A386" s="1"/>
      <c r="B386" s="6" t="s">
        <v>3</v>
      </c>
      <c r="C386" s="205"/>
      <c r="D386" s="205"/>
      <c r="E386" s="207"/>
      <c r="F386" s="220">
        <f t="shared" si="144"/>
        <v>0</v>
      </c>
      <c r="G386" s="212"/>
      <c r="H386" s="6" t="s">
        <v>3</v>
      </c>
      <c r="I386" s="188"/>
      <c r="J386" s="6"/>
      <c r="K386" s="202"/>
      <c r="L386" s="220">
        <f t="shared" si="141"/>
        <v>0</v>
      </c>
      <c r="M386" s="211"/>
      <c r="O386" s="6" t="s">
        <v>3</v>
      </c>
      <c r="P386" s="7"/>
      <c r="Q386" s="5">
        <f t="shared" si="142"/>
        <v>0</v>
      </c>
      <c r="R386" s="186"/>
      <c r="S386" s="6" t="s">
        <v>3</v>
      </c>
      <c r="T386" s="7"/>
      <c r="U386" s="5">
        <f t="shared" si="143"/>
        <v>0</v>
      </c>
      <c r="V386" s="185"/>
      <c r="W386" s="186"/>
    </row>
    <row r="387" spans="1:23" x14ac:dyDescent="0.15">
      <c r="A387" s="1"/>
      <c r="B387" s="6" t="s">
        <v>3</v>
      </c>
      <c r="C387" s="205"/>
      <c r="D387" s="205"/>
      <c r="E387" s="207"/>
      <c r="F387" s="220">
        <f t="shared" si="144"/>
        <v>0</v>
      </c>
      <c r="G387" s="212"/>
      <c r="H387" s="6" t="s">
        <v>3</v>
      </c>
      <c r="I387" s="188"/>
      <c r="J387" s="6"/>
      <c r="K387" s="202"/>
      <c r="L387" s="220">
        <f t="shared" si="141"/>
        <v>0</v>
      </c>
      <c r="M387" s="212"/>
      <c r="O387" s="6" t="s">
        <v>3</v>
      </c>
      <c r="P387" s="7"/>
      <c r="Q387" s="5">
        <f t="shared" si="142"/>
        <v>0</v>
      </c>
      <c r="R387" s="186"/>
      <c r="S387" s="6" t="s">
        <v>3</v>
      </c>
      <c r="T387" s="7"/>
      <c r="U387" s="5">
        <f t="shared" si="143"/>
        <v>0</v>
      </c>
      <c r="V387" s="186"/>
      <c r="W387" s="186"/>
    </row>
    <row r="388" spans="1:23" x14ac:dyDescent="0.15">
      <c r="A388" s="1"/>
      <c r="B388" s="6" t="s">
        <v>3</v>
      </c>
      <c r="C388" s="205"/>
      <c r="D388" s="189"/>
      <c r="E388" s="190"/>
      <c r="F388" s="220">
        <f t="shared" si="144"/>
        <v>0</v>
      </c>
      <c r="G388" s="212"/>
      <c r="H388" s="6" t="s">
        <v>3</v>
      </c>
      <c r="I388" s="188"/>
      <c r="J388" s="225"/>
      <c r="K388" s="243"/>
      <c r="L388" s="220">
        <f t="shared" si="141"/>
        <v>0</v>
      </c>
      <c r="M388" s="211"/>
      <c r="O388" s="6" t="s">
        <v>3</v>
      </c>
      <c r="P388" s="8"/>
      <c r="Q388" s="5">
        <f t="shared" si="142"/>
        <v>0</v>
      </c>
      <c r="R388" s="186"/>
      <c r="S388" s="6" t="s">
        <v>3</v>
      </c>
      <c r="T388" s="8"/>
      <c r="U388" s="5">
        <f t="shared" si="143"/>
        <v>0</v>
      </c>
      <c r="V388" s="186"/>
      <c r="W388" s="186"/>
    </row>
    <row r="389" spans="1:23" x14ac:dyDescent="0.15">
      <c r="A389" s="1"/>
      <c r="B389" s="6" t="s">
        <v>3</v>
      </c>
      <c r="C389" s="205"/>
      <c r="D389" s="189"/>
      <c r="E389" s="190"/>
      <c r="F389" s="220">
        <f t="shared" si="144"/>
        <v>0</v>
      </c>
      <c r="H389" s="6" t="s">
        <v>3</v>
      </c>
      <c r="I389" s="188"/>
      <c r="J389" s="225"/>
      <c r="K389" s="243"/>
      <c r="L389" s="220">
        <f t="shared" si="141"/>
        <v>0</v>
      </c>
      <c r="M389" s="212"/>
      <c r="O389" s="6" t="s">
        <v>3</v>
      </c>
      <c r="P389" s="8"/>
      <c r="Q389" s="5">
        <f t="shared" si="142"/>
        <v>0</v>
      </c>
      <c r="R389" s="186"/>
      <c r="S389" s="6" t="s">
        <v>3</v>
      </c>
      <c r="T389" s="8"/>
      <c r="U389" s="5">
        <f t="shared" si="143"/>
        <v>0</v>
      </c>
    </row>
    <row r="390" spans="1:23" x14ac:dyDescent="0.15">
      <c r="A390" s="1"/>
      <c r="B390" s="6" t="s">
        <v>3</v>
      </c>
      <c r="C390" s="205"/>
      <c r="D390" s="189"/>
      <c r="E390" s="190"/>
      <c r="F390" s="220">
        <f t="shared" si="144"/>
        <v>0</v>
      </c>
      <c r="H390" s="6" t="s">
        <v>3</v>
      </c>
      <c r="I390" s="188"/>
      <c r="J390" s="225"/>
      <c r="K390" s="243"/>
      <c r="L390" s="220">
        <f t="shared" si="141"/>
        <v>0</v>
      </c>
      <c r="O390" s="6" t="s">
        <v>3</v>
      </c>
      <c r="P390" s="8"/>
      <c r="Q390" s="5">
        <f t="shared" si="142"/>
        <v>0</v>
      </c>
      <c r="R390" s="186"/>
      <c r="S390" s="6" t="s">
        <v>3</v>
      </c>
      <c r="T390" s="8"/>
      <c r="U390" s="5">
        <f t="shared" si="143"/>
        <v>0</v>
      </c>
    </row>
    <row r="391" spans="1:23" ht="14.25" thickBot="1" x14ac:dyDescent="0.2">
      <c r="A391" s="1"/>
      <c r="B391" s="9" t="s">
        <v>3</v>
      </c>
      <c r="C391" s="236"/>
      <c r="D391" s="191"/>
      <c r="E391" s="192"/>
      <c r="F391" s="220">
        <f t="shared" si="144"/>
        <v>0</v>
      </c>
      <c r="H391" s="9" t="s">
        <v>3</v>
      </c>
      <c r="I391" s="198"/>
      <c r="J391" s="244"/>
      <c r="K391" s="245"/>
      <c r="L391" s="220">
        <f t="shared" si="141"/>
        <v>0</v>
      </c>
      <c r="O391" s="9" t="s">
        <v>3</v>
      </c>
      <c r="P391" s="10"/>
      <c r="Q391" s="5">
        <f t="shared" si="142"/>
        <v>0</v>
      </c>
      <c r="R391" s="186"/>
      <c r="S391" s="9" t="s">
        <v>3</v>
      </c>
      <c r="T391" s="10"/>
      <c r="U391" s="5">
        <f t="shared" si="143"/>
        <v>0</v>
      </c>
    </row>
    <row r="392" spans="1:23" ht="14.25" thickBot="1" x14ac:dyDescent="0.2">
      <c r="A392" s="1"/>
      <c r="B392" s="11" t="s">
        <v>4</v>
      </c>
      <c r="C392" s="193">
        <f>SUM(C381:C391)</f>
        <v>270</v>
      </c>
      <c r="D392" s="193">
        <f>SUM(D381:D391)</f>
        <v>57</v>
      </c>
      <c r="E392" s="193">
        <f>SUM(E381:E391)</f>
        <v>65</v>
      </c>
      <c r="F392" s="221">
        <f>SUM(F381:F391)</f>
        <v>392</v>
      </c>
      <c r="H392" s="11" t="s">
        <v>4</v>
      </c>
      <c r="I392" s="193">
        <f>SUM(I381:I391)</f>
        <v>2800</v>
      </c>
      <c r="J392" s="193">
        <f>SUM(J381:J391)</f>
        <v>0</v>
      </c>
      <c r="K392" s="193">
        <f t="shared" ref="K392" si="145">SUM(K381:K391)</f>
        <v>480</v>
      </c>
      <c r="L392" s="221">
        <f>SUM(L381:L391)</f>
        <v>3280</v>
      </c>
      <c r="O392" s="11" t="s">
        <v>4</v>
      </c>
      <c r="P392" s="12">
        <f>SUM(P381:P391)</f>
        <v>0</v>
      </c>
      <c r="Q392" s="13">
        <f>SUM(Q381:Q391)</f>
        <v>0</v>
      </c>
      <c r="S392" s="11" t="s">
        <v>4</v>
      </c>
      <c r="T392" s="12">
        <f>SUM(T381:T391)</f>
        <v>699</v>
      </c>
      <c r="U392" s="13">
        <f>SUM(U381:U391)</f>
        <v>699</v>
      </c>
    </row>
    <row r="393" spans="1:23" x14ac:dyDescent="0.15">
      <c r="A393" s="1"/>
      <c r="B393" s="4" t="s">
        <v>866</v>
      </c>
      <c r="C393" s="215">
        <v>2</v>
      </c>
      <c r="D393" s="215">
        <v>2</v>
      </c>
      <c r="E393" s="216">
        <v>2</v>
      </c>
      <c r="F393" s="220">
        <f t="shared" ref="F393:F416" si="146">SUM(C393:E393)</f>
        <v>6</v>
      </c>
      <c r="G393" s="211">
        <v>44531</v>
      </c>
      <c r="H393" s="6" t="s">
        <v>869</v>
      </c>
      <c r="I393" s="235">
        <v>200</v>
      </c>
      <c r="J393" s="215"/>
      <c r="K393" s="240"/>
      <c r="L393" s="220">
        <f t="shared" ref="L393:L414" si="147">SUM(I393:K393)</f>
        <v>200</v>
      </c>
      <c r="M393" s="211">
        <v>44548</v>
      </c>
      <c r="O393" s="4"/>
      <c r="P393" s="44"/>
      <c r="Q393" s="14">
        <f t="shared" ref="Q393:Q416" si="148">SUM(P393:P393)</f>
        <v>0</v>
      </c>
      <c r="R393" s="186"/>
      <c r="S393" s="4"/>
      <c r="T393" s="44"/>
      <c r="U393" s="14">
        <f t="shared" ref="U393:U416" si="149">SUM(T393:T393)</f>
        <v>0</v>
      </c>
    </row>
    <row r="394" spans="1:23" x14ac:dyDescent="0.15">
      <c r="A394" s="1"/>
      <c r="B394" s="4" t="s">
        <v>749</v>
      </c>
      <c r="C394" s="216">
        <v>3</v>
      </c>
      <c r="D394" s="232">
        <v>3</v>
      </c>
      <c r="E394" s="232">
        <v>3</v>
      </c>
      <c r="F394" s="220">
        <f t="shared" si="146"/>
        <v>9</v>
      </c>
      <c r="G394" s="211">
        <v>44532</v>
      </c>
      <c r="H394" s="6"/>
      <c r="I394" s="215"/>
      <c r="J394" s="215"/>
      <c r="K394" s="216"/>
      <c r="L394" s="220">
        <f t="shared" si="147"/>
        <v>0</v>
      </c>
      <c r="M394" s="211"/>
      <c r="O394" s="4"/>
      <c r="P394" s="15"/>
      <c r="Q394" s="14">
        <f t="shared" si="148"/>
        <v>0</v>
      </c>
      <c r="R394" s="186"/>
      <c r="S394" s="4"/>
      <c r="T394" s="15"/>
      <c r="U394" s="14">
        <f t="shared" si="149"/>
        <v>0</v>
      </c>
    </row>
    <row r="395" spans="1:23" x14ac:dyDescent="0.15">
      <c r="A395" s="1"/>
      <c r="B395" s="4" t="s">
        <v>749</v>
      </c>
      <c r="C395" s="216">
        <v>1</v>
      </c>
      <c r="D395" s="232"/>
      <c r="E395" s="232"/>
      <c r="F395" s="220">
        <f t="shared" si="146"/>
        <v>1</v>
      </c>
      <c r="G395" s="248">
        <v>44533</v>
      </c>
      <c r="H395" s="4"/>
      <c r="I395" s="216"/>
      <c r="J395" s="232"/>
      <c r="K395" s="232"/>
      <c r="L395" s="220">
        <f t="shared" si="147"/>
        <v>0</v>
      </c>
      <c r="M395" s="212"/>
      <c r="O395" s="4"/>
      <c r="P395" s="15"/>
      <c r="Q395" s="14">
        <f t="shared" si="148"/>
        <v>0</v>
      </c>
      <c r="R395" s="186"/>
      <c r="S395" s="4"/>
      <c r="T395" s="15"/>
      <c r="U395" s="14">
        <f t="shared" si="149"/>
        <v>0</v>
      </c>
    </row>
    <row r="396" spans="1:23" x14ac:dyDescent="0.15">
      <c r="A396" s="1"/>
      <c r="B396" s="4" t="s">
        <v>749</v>
      </c>
      <c r="C396" s="233">
        <f>1+2</f>
        <v>3</v>
      </c>
      <c r="D396" s="234"/>
      <c r="E396" s="234"/>
      <c r="F396" s="220">
        <f t="shared" si="146"/>
        <v>3</v>
      </c>
      <c r="G396" s="211">
        <v>44538</v>
      </c>
      <c r="H396" s="4"/>
      <c r="I396" s="233"/>
      <c r="J396" s="234"/>
      <c r="K396" s="234"/>
      <c r="L396" s="220">
        <f t="shared" si="147"/>
        <v>0</v>
      </c>
      <c r="M396" s="212"/>
      <c r="O396" s="4"/>
      <c r="P396" s="15"/>
      <c r="Q396" s="14">
        <f t="shared" si="148"/>
        <v>0</v>
      </c>
      <c r="R396" s="186"/>
      <c r="S396" s="4"/>
      <c r="T396" s="15"/>
      <c r="U396" s="14">
        <f t="shared" si="149"/>
        <v>0</v>
      </c>
    </row>
    <row r="397" spans="1:23" x14ac:dyDescent="0.15">
      <c r="A397" s="1"/>
      <c r="B397" s="4" t="s">
        <v>749</v>
      </c>
      <c r="C397" s="233">
        <v>1</v>
      </c>
      <c r="D397" s="234"/>
      <c r="E397" s="234"/>
      <c r="F397" s="220">
        <f t="shared" si="146"/>
        <v>1</v>
      </c>
      <c r="G397" s="211">
        <v>44539</v>
      </c>
      <c r="H397" s="4"/>
      <c r="I397" s="233"/>
      <c r="J397" s="234"/>
      <c r="K397" s="234"/>
      <c r="L397" s="220">
        <f t="shared" si="147"/>
        <v>0</v>
      </c>
      <c r="O397" s="4"/>
      <c r="P397" s="15"/>
      <c r="Q397" s="14">
        <f t="shared" si="148"/>
        <v>0</v>
      </c>
      <c r="R397" s="186"/>
      <c r="S397" s="4"/>
      <c r="T397" s="15"/>
      <c r="U397" s="14">
        <f t="shared" si="149"/>
        <v>0</v>
      </c>
    </row>
    <row r="398" spans="1:23" x14ac:dyDescent="0.15">
      <c r="A398" s="1"/>
      <c r="B398" s="4" t="s">
        <v>867</v>
      </c>
      <c r="C398" s="233">
        <v>1</v>
      </c>
      <c r="D398" s="234"/>
      <c r="E398" s="234"/>
      <c r="F398" s="220">
        <f t="shared" si="146"/>
        <v>1</v>
      </c>
      <c r="G398" s="211">
        <v>44550</v>
      </c>
      <c r="H398" s="4"/>
      <c r="I398" s="233"/>
      <c r="J398" s="234"/>
      <c r="K398" s="234"/>
      <c r="L398" s="220">
        <f t="shared" si="147"/>
        <v>0</v>
      </c>
      <c r="O398" s="4"/>
      <c r="P398" s="15"/>
      <c r="Q398" s="14">
        <f t="shared" si="148"/>
        <v>0</v>
      </c>
      <c r="R398" s="186"/>
      <c r="S398" s="4"/>
      <c r="T398" s="15"/>
      <c r="U398" s="14">
        <f t="shared" si="149"/>
        <v>0</v>
      </c>
    </row>
    <row r="399" spans="1:23" x14ac:dyDescent="0.15">
      <c r="A399" s="1"/>
      <c r="B399" s="4" t="s">
        <v>868</v>
      </c>
      <c r="C399" s="233">
        <v>20</v>
      </c>
      <c r="D399" s="234"/>
      <c r="E399" s="234"/>
      <c r="F399" s="220">
        <f t="shared" si="146"/>
        <v>20</v>
      </c>
      <c r="G399" s="211">
        <v>44548</v>
      </c>
      <c r="H399" s="4"/>
      <c r="I399" s="233"/>
      <c r="J399" s="234"/>
      <c r="K399" s="234"/>
      <c r="L399" s="220">
        <f t="shared" si="147"/>
        <v>0</v>
      </c>
      <c r="O399" s="4"/>
      <c r="P399" s="15"/>
      <c r="Q399" s="14">
        <f t="shared" si="148"/>
        <v>0</v>
      </c>
      <c r="R399" s="186"/>
      <c r="S399" s="4"/>
      <c r="T399" s="15"/>
      <c r="U399" s="14">
        <f t="shared" si="149"/>
        <v>0</v>
      </c>
    </row>
    <row r="400" spans="1:23" x14ac:dyDescent="0.15">
      <c r="A400" s="1"/>
      <c r="B400" s="4" t="s">
        <v>749</v>
      </c>
      <c r="C400" s="233">
        <v>2</v>
      </c>
      <c r="D400" s="234"/>
      <c r="E400" s="234"/>
      <c r="F400" s="220">
        <f t="shared" si="146"/>
        <v>2</v>
      </c>
      <c r="G400" s="248">
        <v>44550</v>
      </c>
      <c r="H400" s="4"/>
      <c r="I400" s="233"/>
      <c r="J400" s="234"/>
      <c r="K400" s="234"/>
      <c r="L400" s="220">
        <f t="shared" si="147"/>
        <v>0</v>
      </c>
      <c r="O400" s="4"/>
      <c r="P400" s="15"/>
      <c r="Q400" s="14">
        <f t="shared" si="148"/>
        <v>0</v>
      </c>
      <c r="R400" s="186"/>
      <c r="S400" s="4"/>
      <c r="T400" s="15"/>
      <c r="U400" s="14">
        <f t="shared" si="149"/>
        <v>0</v>
      </c>
    </row>
    <row r="401" spans="1:21" x14ac:dyDescent="0.15">
      <c r="A401" s="1"/>
      <c r="B401" s="4" t="s">
        <v>749</v>
      </c>
      <c r="C401" s="233">
        <v>1</v>
      </c>
      <c r="D401" s="234"/>
      <c r="E401" s="234"/>
      <c r="F401" s="220">
        <f t="shared" si="146"/>
        <v>1</v>
      </c>
      <c r="G401" s="248">
        <v>44566</v>
      </c>
      <c r="H401" s="4"/>
      <c r="I401" s="187"/>
      <c r="J401" s="15"/>
      <c r="K401" s="15"/>
      <c r="L401" s="220">
        <f t="shared" si="147"/>
        <v>0</v>
      </c>
      <c r="O401" s="4"/>
      <c r="P401" s="15"/>
      <c r="Q401" s="14">
        <f t="shared" si="148"/>
        <v>0</v>
      </c>
      <c r="R401" s="186"/>
      <c r="S401" s="4"/>
      <c r="T401" s="15"/>
      <c r="U401" s="14">
        <f t="shared" si="149"/>
        <v>0</v>
      </c>
    </row>
    <row r="402" spans="1:21" x14ac:dyDescent="0.15">
      <c r="A402" s="1"/>
      <c r="B402" s="4" t="s">
        <v>749</v>
      </c>
      <c r="C402" s="233">
        <f>1+1</f>
        <v>2</v>
      </c>
      <c r="D402" s="234">
        <v>1</v>
      </c>
      <c r="E402" s="234"/>
      <c r="F402" s="220">
        <f t="shared" si="146"/>
        <v>3</v>
      </c>
      <c r="G402" s="248">
        <v>44572</v>
      </c>
      <c r="H402" s="4"/>
      <c r="I402" s="187"/>
      <c r="J402" s="15"/>
      <c r="K402" s="15"/>
      <c r="L402" s="220">
        <f t="shared" si="147"/>
        <v>0</v>
      </c>
      <c r="O402" s="4"/>
      <c r="P402" s="15"/>
      <c r="Q402" s="14">
        <f t="shared" si="148"/>
        <v>0</v>
      </c>
      <c r="R402" s="186"/>
      <c r="S402" s="4"/>
      <c r="T402" s="15"/>
      <c r="U402" s="14">
        <f t="shared" si="149"/>
        <v>0</v>
      </c>
    </row>
    <row r="403" spans="1:21" x14ac:dyDescent="0.15">
      <c r="A403" s="1"/>
      <c r="B403" s="4" t="s">
        <v>870</v>
      </c>
      <c r="C403" s="233">
        <v>10</v>
      </c>
      <c r="D403" s="234"/>
      <c r="E403" s="234"/>
      <c r="F403" s="220">
        <f t="shared" si="146"/>
        <v>10</v>
      </c>
      <c r="G403" s="211">
        <v>44573</v>
      </c>
      <c r="H403" s="4"/>
      <c r="I403" s="187"/>
      <c r="J403" s="15"/>
      <c r="K403" s="15"/>
      <c r="L403" s="220">
        <f t="shared" si="147"/>
        <v>0</v>
      </c>
      <c r="O403" s="4"/>
      <c r="P403" s="15"/>
      <c r="Q403" s="14">
        <f t="shared" si="148"/>
        <v>0</v>
      </c>
      <c r="R403" s="186"/>
      <c r="S403" s="4"/>
      <c r="T403" s="15"/>
      <c r="U403" s="14">
        <f t="shared" si="149"/>
        <v>0</v>
      </c>
    </row>
    <row r="404" spans="1:21" x14ac:dyDescent="0.15">
      <c r="A404" s="1"/>
      <c r="B404" s="4" t="s">
        <v>764</v>
      </c>
      <c r="C404" s="235">
        <v>10</v>
      </c>
      <c r="D404" s="234"/>
      <c r="E404" s="234"/>
      <c r="F404" s="220">
        <f t="shared" si="146"/>
        <v>10</v>
      </c>
      <c r="G404" s="211">
        <v>44575</v>
      </c>
      <c r="H404" s="6"/>
      <c r="I404" s="188"/>
      <c r="J404" s="15"/>
      <c r="K404" s="15"/>
      <c r="L404" s="220">
        <f t="shared" si="147"/>
        <v>0</v>
      </c>
      <c r="O404" s="6"/>
      <c r="P404" s="15"/>
      <c r="Q404" s="14">
        <f t="shared" si="148"/>
        <v>0</v>
      </c>
      <c r="R404" s="186"/>
      <c r="S404" s="6"/>
      <c r="T404" s="15"/>
      <c r="U404" s="14">
        <f t="shared" si="149"/>
        <v>0</v>
      </c>
    </row>
    <row r="405" spans="1:21" x14ac:dyDescent="0.15">
      <c r="A405" s="1"/>
      <c r="B405" s="4" t="s">
        <v>871</v>
      </c>
      <c r="C405" s="235">
        <v>2</v>
      </c>
      <c r="D405" s="234"/>
      <c r="E405" s="234"/>
      <c r="F405" s="220">
        <f t="shared" si="146"/>
        <v>2</v>
      </c>
      <c r="G405" s="211">
        <v>44575</v>
      </c>
      <c r="H405" s="6"/>
      <c r="I405" s="188"/>
      <c r="J405" s="15"/>
      <c r="K405" s="15"/>
      <c r="L405" s="220">
        <f t="shared" si="147"/>
        <v>0</v>
      </c>
      <c r="O405" s="6"/>
      <c r="P405" s="15"/>
      <c r="Q405" s="14">
        <f t="shared" si="148"/>
        <v>0</v>
      </c>
      <c r="R405" s="186"/>
      <c r="S405" s="6"/>
      <c r="T405" s="15"/>
      <c r="U405" s="14">
        <f t="shared" si="149"/>
        <v>0</v>
      </c>
    </row>
    <row r="406" spans="1:21" x14ac:dyDescent="0.15">
      <c r="A406" s="1"/>
      <c r="B406" s="4" t="s">
        <v>749</v>
      </c>
      <c r="C406" s="233">
        <v>1</v>
      </c>
      <c r="D406" s="234"/>
      <c r="E406" s="234"/>
      <c r="F406" s="220">
        <f t="shared" si="146"/>
        <v>1</v>
      </c>
      <c r="G406" s="211">
        <v>44578</v>
      </c>
      <c r="H406" s="4"/>
      <c r="I406" s="187"/>
      <c r="J406" s="15"/>
      <c r="K406" s="15"/>
      <c r="L406" s="220">
        <f t="shared" si="147"/>
        <v>0</v>
      </c>
      <c r="O406" s="4"/>
      <c r="P406" s="15"/>
      <c r="Q406" s="14">
        <f t="shared" si="148"/>
        <v>0</v>
      </c>
      <c r="R406" s="186"/>
      <c r="S406" s="4"/>
      <c r="T406" s="15"/>
      <c r="U406" s="14">
        <f t="shared" si="149"/>
        <v>0</v>
      </c>
    </row>
    <row r="407" spans="1:21" x14ac:dyDescent="0.15">
      <c r="A407" s="1"/>
      <c r="B407" s="4" t="s">
        <v>872</v>
      </c>
      <c r="C407" s="233">
        <v>2</v>
      </c>
      <c r="D407" s="234">
        <v>1</v>
      </c>
      <c r="E407" s="234">
        <v>1</v>
      </c>
      <c r="F407" s="220">
        <f t="shared" si="146"/>
        <v>4</v>
      </c>
      <c r="G407" s="211">
        <v>44589</v>
      </c>
      <c r="H407" s="4"/>
      <c r="I407" s="187"/>
      <c r="J407" s="15"/>
      <c r="K407" s="15"/>
      <c r="L407" s="220">
        <f t="shared" si="147"/>
        <v>0</v>
      </c>
      <c r="O407" s="4"/>
      <c r="P407" s="15"/>
      <c r="Q407" s="14">
        <f t="shared" si="148"/>
        <v>0</v>
      </c>
      <c r="R407" s="186"/>
      <c r="S407" s="4"/>
      <c r="T407" s="15"/>
      <c r="U407" s="14">
        <f t="shared" si="149"/>
        <v>0</v>
      </c>
    </row>
    <row r="408" spans="1:21" x14ac:dyDescent="0.15">
      <c r="A408" s="1"/>
      <c r="B408" s="4" t="s">
        <v>749</v>
      </c>
      <c r="C408" s="233">
        <v>1</v>
      </c>
      <c r="D408" s="234"/>
      <c r="E408" s="234"/>
      <c r="F408" s="220">
        <f t="shared" si="146"/>
        <v>1</v>
      </c>
      <c r="G408" s="211">
        <v>44588</v>
      </c>
      <c r="H408" s="4"/>
      <c r="I408" s="187"/>
      <c r="J408" s="15"/>
      <c r="K408" s="15"/>
      <c r="L408" s="220">
        <f t="shared" si="147"/>
        <v>0</v>
      </c>
      <c r="O408" s="4"/>
      <c r="P408" s="15"/>
      <c r="Q408" s="14">
        <f t="shared" si="148"/>
        <v>0</v>
      </c>
      <c r="R408" s="186"/>
      <c r="S408" s="4"/>
      <c r="T408" s="15"/>
      <c r="U408" s="14">
        <f t="shared" si="149"/>
        <v>0</v>
      </c>
    </row>
    <row r="409" spans="1:21" x14ac:dyDescent="0.15">
      <c r="A409" s="1"/>
      <c r="B409" s="6" t="s">
        <v>874</v>
      </c>
      <c r="C409" s="235">
        <v>30</v>
      </c>
      <c r="D409" s="234"/>
      <c r="E409" s="234"/>
      <c r="F409" s="220">
        <f t="shared" si="146"/>
        <v>30</v>
      </c>
      <c r="G409" s="211">
        <v>44594</v>
      </c>
      <c r="H409" s="6"/>
      <c r="I409" s="188"/>
      <c r="J409" s="15"/>
      <c r="K409" s="15"/>
      <c r="L409" s="220">
        <f t="shared" si="147"/>
        <v>0</v>
      </c>
      <c r="O409" s="6"/>
      <c r="P409" s="15"/>
      <c r="Q409" s="14">
        <f t="shared" si="148"/>
        <v>0</v>
      </c>
      <c r="R409" s="186"/>
      <c r="S409" s="6"/>
      <c r="T409" s="15"/>
      <c r="U409" s="14">
        <f t="shared" si="149"/>
        <v>0</v>
      </c>
    </row>
    <row r="410" spans="1:21" x14ac:dyDescent="0.15">
      <c r="A410" s="1"/>
      <c r="B410" s="6" t="s">
        <v>764</v>
      </c>
      <c r="C410" s="233">
        <v>20</v>
      </c>
      <c r="D410" s="234"/>
      <c r="E410" s="234"/>
      <c r="F410" s="220">
        <f t="shared" si="146"/>
        <v>20</v>
      </c>
      <c r="G410" s="211">
        <v>44595</v>
      </c>
      <c r="H410" s="4"/>
      <c r="I410" s="187"/>
      <c r="J410" s="15"/>
      <c r="K410" s="15"/>
      <c r="L410" s="220">
        <f t="shared" si="147"/>
        <v>0</v>
      </c>
      <c r="O410" s="4"/>
      <c r="P410" s="15"/>
      <c r="Q410" s="14">
        <f t="shared" si="148"/>
        <v>0</v>
      </c>
      <c r="R410" s="186"/>
      <c r="S410" s="4"/>
      <c r="T410" s="15"/>
      <c r="U410" s="14">
        <f t="shared" si="149"/>
        <v>0</v>
      </c>
    </row>
    <row r="411" spans="1:21" x14ac:dyDescent="0.15">
      <c r="A411" s="1"/>
      <c r="B411" s="4" t="s">
        <v>749</v>
      </c>
      <c r="C411" s="235"/>
      <c r="D411" s="234">
        <v>1</v>
      </c>
      <c r="E411" s="234"/>
      <c r="F411" s="220">
        <f t="shared" si="146"/>
        <v>1</v>
      </c>
      <c r="G411" s="248">
        <v>44599</v>
      </c>
      <c r="H411" s="6"/>
      <c r="I411" s="188"/>
      <c r="J411" s="15"/>
      <c r="K411" s="15"/>
      <c r="L411" s="220">
        <f t="shared" si="147"/>
        <v>0</v>
      </c>
      <c r="O411" s="6"/>
      <c r="P411" s="15"/>
      <c r="Q411" s="14">
        <f t="shared" si="148"/>
        <v>0</v>
      </c>
      <c r="R411" s="186"/>
      <c r="S411" s="6"/>
      <c r="T411" s="15"/>
      <c r="U411" s="14">
        <f t="shared" si="149"/>
        <v>0</v>
      </c>
    </row>
    <row r="412" spans="1:21" x14ac:dyDescent="0.15">
      <c r="A412" s="1"/>
      <c r="B412" s="4" t="s">
        <v>875</v>
      </c>
      <c r="C412" s="233"/>
      <c r="D412" s="234"/>
      <c r="E412" s="234">
        <v>5</v>
      </c>
      <c r="F412" s="220">
        <f t="shared" si="146"/>
        <v>5</v>
      </c>
      <c r="G412" s="211">
        <v>44600</v>
      </c>
      <c r="H412" s="4"/>
      <c r="I412" s="187"/>
      <c r="J412" s="15"/>
      <c r="K412" s="15"/>
      <c r="L412" s="220">
        <f t="shared" si="147"/>
        <v>0</v>
      </c>
      <c r="O412" s="4"/>
      <c r="P412" s="15"/>
      <c r="Q412" s="14">
        <f t="shared" si="148"/>
        <v>0</v>
      </c>
      <c r="R412" s="186"/>
      <c r="S412" s="4"/>
      <c r="T412" s="15"/>
      <c r="U412" s="14">
        <f t="shared" si="149"/>
        <v>0</v>
      </c>
    </row>
    <row r="413" spans="1:21" x14ac:dyDescent="0.15">
      <c r="A413" s="75"/>
      <c r="B413" s="4" t="s">
        <v>749</v>
      </c>
      <c r="C413" s="233">
        <v>1</v>
      </c>
      <c r="D413" s="234"/>
      <c r="E413" s="234"/>
      <c r="F413" s="220">
        <f t="shared" si="146"/>
        <v>1</v>
      </c>
      <c r="G413" s="248">
        <v>44600</v>
      </c>
      <c r="H413" s="4"/>
      <c r="I413" s="187"/>
      <c r="J413" s="15"/>
      <c r="K413" s="15"/>
      <c r="L413" s="220">
        <f t="shared" si="147"/>
        <v>0</v>
      </c>
      <c r="M413" s="212"/>
      <c r="O413" s="4"/>
      <c r="P413" s="15"/>
      <c r="Q413" s="14">
        <f t="shared" si="148"/>
        <v>0</v>
      </c>
      <c r="R413" s="186"/>
      <c r="S413" s="4"/>
      <c r="T413" s="15"/>
      <c r="U413" s="14">
        <f t="shared" si="149"/>
        <v>0</v>
      </c>
    </row>
    <row r="414" spans="1:21" x14ac:dyDescent="0.15">
      <c r="A414" s="1"/>
      <c r="B414" s="4" t="s">
        <v>878</v>
      </c>
      <c r="C414" s="233">
        <v>1</v>
      </c>
      <c r="D414" s="234"/>
      <c r="E414" s="234"/>
      <c r="F414" s="220">
        <f t="shared" si="146"/>
        <v>1</v>
      </c>
      <c r="G414" s="248">
        <v>44602</v>
      </c>
      <c r="H414" s="4"/>
      <c r="I414" s="187"/>
      <c r="J414" s="15"/>
      <c r="K414" s="15"/>
      <c r="L414" s="220">
        <f t="shared" si="147"/>
        <v>0</v>
      </c>
      <c r="M414" s="212"/>
      <c r="O414" s="4"/>
      <c r="P414" s="15"/>
      <c r="Q414" s="14">
        <f t="shared" si="148"/>
        <v>0</v>
      </c>
      <c r="R414" s="186"/>
      <c r="S414" s="4"/>
      <c r="T414" s="15"/>
      <c r="U414" s="14">
        <f t="shared" si="149"/>
        <v>0</v>
      </c>
    </row>
    <row r="415" spans="1:21" x14ac:dyDescent="0.15">
      <c r="A415" s="1"/>
      <c r="B415" s="4" t="s">
        <v>749</v>
      </c>
      <c r="C415" s="233">
        <v>3</v>
      </c>
      <c r="D415" s="234"/>
      <c r="E415" s="234"/>
      <c r="F415" s="220">
        <f t="shared" si="146"/>
        <v>3</v>
      </c>
      <c r="G415" s="248">
        <v>44601</v>
      </c>
      <c r="H415" s="4"/>
      <c r="I415" s="206"/>
      <c r="J415" s="206"/>
      <c r="K415" s="206"/>
      <c r="L415" s="220">
        <f>SUM(I415:K415)</f>
        <v>0</v>
      </c>
      <c r="M415" s="212"/>
      <c r="O415" s="6"/>
      <c r="P415" s="15"/>
      <c r="Q415" s="14">
        <f t="shared" si="148"/>
        <v>0</v>
      </c>
      <c r="R415" s="186"/>
      <c r="S415" s="4"/>
      <c r="T415" s="15"/>
      <c r="U415" s="14">
        <f t="shared" si="149"/>
        <v>0</v>
      </c>
    </row>
    <row r="416" spans="1:21" ht="14.25" thickBot="1" x14ac:dyDescent="0.2">
      <c r="A416" s="1"/>
      <c r="B416" s="4" t="s">
        <v>749</v>
      </c>
      <c r="C416" s="235"/>
      <c r="D416" s="234"/>
      <c r="E416" s="234">
        <v>1</v>
      </c>
      <c r="F416" s="220">
        <f t="shared" si="146"/>
        <v>1</v>
      </c>
      <c r="G416" s="211">
        <v>44602</v>
      </c>
      <c r="H416" s="6"/>
      <c r="I416" s="206"/>
      <c r="J416" s="206"/>
      <c r="K416" s="206"/>
      <c r="L416" s="220">
        <f t="shared" ref="L416" si="150">SUM(I416:K416)</f>
        <v>0</v>
      </c>
      <c r="M416" s="212"/>
      <c r="O416" s="6"/>
      <c r="P416" s="15"/>
      <c r="Q416" s="14">
        <f t="shared" si="148"/>
        <v>0</v>
      </c>
      <c r="R416" s="186"/>
      <c r="S416" s="4"/>
      <c r="T416" s="15"/>
      <c r="U416" s="14">
        <f t="shared" si="149"/>
        <v>0</v>
      </c>
    </row>
    <row r="417" spans="1:22" ht="14.25" thickBot="1" x14ac:dyDescent="0.2">
      <c r="A417" s="1"/>
      <c r="B417" s="3" t="s">
        <v>5</v>
      </c>
      <c r="C417" s="16">
        <f>SUM(C393:C416)</f>
        <v>117</v>
      </c>
      <c r="D417" s="16">
        <f>SUM(D393:D416)</f>
        <v>8</v>
      </c>
      <c r="E417" s="16">
        <f>SUM(E393:E416)</f>
        <v>12</v>
      </c>
      <c r="F417" s="223">
        <f>SUM(F393:F416)</f>
        <v>137</v>
      </c>
      <c r="H417" s="3" t="s">
        <v>5</v>
      </c>
      <c r="I417" s="16">
        <f>SUM(I393:I416)</f>
        <v>200</v>
      </c>
      <c r="J417" s="16">
        <f>SUM(J393:J416)</f>
        <v>0</v>
      </c>
      <c r="K417" s="16">
        <f>SUM(K393:K416)</f>
        <v>0</v>
      </c>
      <c r="L417" s="223">
        <f>SUM(L393:L416)</f>
        <v>200</v>
      </c>
      <c r="O417" s="3" t="s">
        <v>5</v>
      </c>
      <c r="P417" s="16">
        <f>SUM(P393:P416)</f>
        <v>0</v>
      </c>
      <c r="Q417" s="17">
        <f>SUM(Q393:Q416)</f>
        <v>0</v>
      </c>
      <c r="S417" s="3" t="s">
        <v>5</v>
      </c>
      <c r="T417" s="16">
        <f>SUM(T393:T416)</f>
        <v>0</v>
      </c>
      <c r="U417" s="17">
        <f>SUM(U393:U416)</f>
        <v>0</v>
      </c>
    </row>
    <row r="418" spans="1:22" ht="14.25" thickBot="1" x14ac:dyDescent="0.2">
      <c r="A418" s="1"/>
      <c r="B418" s="18" t="s">
        <v>6</v>
      </c>
      <c r="C418" s="19">
        <f>C392-C417</f>
        <v>153</v>
      </c>
      <c r="D418" s="19">
        <f>D392-D417</f>
        <v>49</v>
      </c>
      <c r="E418" s="19">
        <f t="shared" ref="E418" si="151">E392-E417</f>
        <v>53</v>
      </c>
      <c r="F418" s="221">
        <f>F392-F417</f>
        <v>255</v>
      </c>
      <c r="H418" s="18" t="s">
        <v>6</v>
      </c>
      <c r="I418" s="19">
        <f>I392-I417</f>
        <v>2600</v>
      </c>
      <c r="J418" s="19">
        <f>J392-J417</f>
        <v>0</v>
      </c>
      <c r="K418" s="19">
        <f t="shared" ref="K418" si="152">K392-K417</f>
        <v>480</v>
      </c>
      <c r="L418" s="221">
        <f>L392-L417</f>
        <v>3080</v>
      </c>
      <c r="O418" s="18" t="s">
        <v>6</v>
      </c>
      <c r="P418" s="19">
        <f>P392-P417</f>
        <v>0</v>
      </c>
      <c r="Q418" s="13">
        <f>Q392-Q417</f>
        <v>0</v>
      </c>
      <c r="S418" s="18" t="s">
        <v>6</v>
      </c>
      <c r="T418" s="19">
        <f>T392-T417</f>
        <v>699</v>
      </c>
      <c r="U418" s="13">
        <f>U392-U417</f>
        <v>699</v>
      </c>
    </row>
    <row r="421" spans="1:22" ht="18" thickBot="1" x14ac:dyDescent="0.25">
      <c r="A421" s="27" t="s">
        <v>739</v>
      </c>
      <c r="B421" s="28"/>
      <c r="C421" s="28"/>
      <c r="D421" s="28"/>
      <c r="E421" s="28"/>
      <c r="F421" s="218"/>
      <c r="H421" s="27" t="s">
        <v>740</v>
      </c>
      <c r="I421" s="28"/>
      <c r="J421" s="28"/>
      <c r="K421" s="28"/>
      <c r="L421" s="218"/>
      <c r="O421" s="181" t="s">
        <v>737</v>
      </c>
      <c r="P421" s="182"/>
      <c r="Q421" s="182"/>
      <c r="R421" s="183"/>
      <c r="S421" s="181" t="s">
        <v>733</v>
      </c>
      <c r="T421" s="182"/>
      <c r="U421" s="182"/>
    </row>
    <row r="422" spans="1:22" ht="14.25" thickBot="1" x14ac:dyDescent="0.2">
      <c r="A422" s="1"/>
      <c r="B422" s="2"/>
      <c r="C422" s="194" t="s">
        <v>734</v>
      </c>
      <c r="D422" s="195" t="s">
        <v>706</v>
      </c>
      <c r="E422" s="2" t="s">
        <v>735</v>
      </c>
      <c r="F422" s="219" t="s">
        <v>1</v>
      </c>
      <c r="H422" s="2"/>
      <c r="I422" s="197" t="s">
        <v>734</v>
      </c>
      <c r="J422" s="195" t="s">
        <v>706</v>
      </c>
      <c r="K422" s="201" t="s">
        <v>735</v>
      </c>
      <c r="L422" s="219" t="s">
        <v>1</v>
      </c>
      <c r="O422" s="2"/>
      <c r="P422" s="3" t="s">
        <v>722</v>
      </c>
      <c r="Q422" s="2" t="s">
        <v>1</v>
      </c>
      <c r="S422" s="2"/>
      <c r="T422" s="3" t="s">
        <v>722</v>
      </c>
      <c r="U422" s="2" t="s">
        <v>1</v>
      </c>
    </row>
    <row r="423" spans="1:22" x14ac:dyDescent="0.15">
      <c r="A423" s="1"/>
      <c r="B423" s="164" t="s">
        <v>26</v>
      </c>
      <c r="C423" s="200">
        <f>C418</f>
        <v>153</v>
      </c>
      <c r="D423" s="164">
        <f t="shared" ref="D423:E423" si="153">D418</f>
        <v>49</v>
      </c>
      <c r="E423" s="164">
        <f t="shared" si="153"/>
        <v>53</v>
      </c>
      <c r="F423" s="222">
        <f>SUM(C423:E423)</f>
        <v>255</v>
      </c>
      <c r="H423" s="164" t="s">
        <v>26</v>
      </c>
      <c r="I423" s="200">
        <f>I418</f>
        <v>2600</v>
      </c>
      <c r="J423" s="164">
        <f t="shared" ref="J423:K423" si="154">J418</f>
        <v>0</v>
      </c>
      <c r="K423" s="200">
        <f t="shared" si="154"/>
        <v>480</v>
      </c>
      <c r="L423" s="222">
        <f t="shared" ref="L423:L433" si="155">SUM(I423:K423)</f>
        <v>3080</v>
      </c>
      <c r="M423" s="210"/>
      <c r="O423" s="171" t="s">
        <v>26</v>
      </c>
      <c r="P423" s="200">
        <f>P418</f>
        <v>0</v>
      </c>
      <c r="Q423" s="180">
        <f t="shared" ref="Q423:Q433" si="156">SUM(P423:P423)</f>
        <v>0</v>
      </c>
      <c r="R423" s="185"/>
      <c r="S423" s="43" t="s">
        <v>26</v>
      </c>
      <c r="T423" s="38">
        <f>T418</f>
        <v>699</v>
      </c>
      <c r="U423" s="39">
        <f t="shared" ref="U423:U433" si="157">SUM(T423:T423)</f>
        <v>699</v>
      </c>
    </row>
    <row r="424" spans="1:22" x14ac:dyDescent="0.15">
      <c r="A424" s="1"/>
      <c r="B424" s="6" t="s">
        <v>3</v>
      </c>
      <c r="C424" s="188">
        <v>200</v>
      </c>
      <c r="D424" s="6"/>
      <c r="E424" s="202"/>
      <c r="F424" s="220">
        <f t="shared" ref="F424:F433" si="158">SUM(C424:E424)</f>
        <v>200</v>
      </c>
      <c r="G424" s="211">
        <v>44609</v>
      </c>
      <c r="H424" s="6" t="s">
        <v>3</v>
      </c>
      <c r="I424" s="188"/>
      <c r="J424" s="6"/>
      <c r="K424" s="202"/>
      <c r="L424" s="220">
        <f t="shared" si="155"/>
        <v>0</v>
      </c>
      <c r="M424" s="211"/>
      <c r="O424" s="6" t="s">
        <v>3</v>
      </c>
      <c r="P424" s="7">
        <v>64</v>
      </c>
      <c r="Q424" s="5">
        <f t="shared" si="156"/>
        <v>64</v>
      </c>
      <c r="R424" s="185">
        <v>44638</v>
      </c>
      <c r="S424" s="6" t="s">
        <v>3</v>
      </c>
      <c r="T424" s="7"/>
      <c r="U424" s="5">
        <f t="shared" si="157"/>
        <v>0</v>
      </c>
      <c r="V424" s="186"/>
    </row>
    <row r="425" spans="1:22" x14ac:dyDescent="0.15">
      <c r="A425" s="1"/>
      <c r="B425" s="6" t="s">
        <v>3</v>
      </c>
      <c r="C425" s="6">
        <v>32</v>
      </c>
      <c r="D425" s="6">
        <v>32</v>
      </c>
      <c r="E425" s="4">
        <v>32</v>
      </c>
      <c r="F425" s="220">
        <f t="shared" si="158"/>
        <v>96</v>
      </c>
      <c r="G425" s="211">
        <v>44625</v>
      </c>
      <c r="H425" s="6" t="s">
        <v>3</v>
      </c>
      <c r="I425" s="188"/>
      <c r="J425" s="225"/>
      <c r="K425" s="243"/>
      <c r="L425" s="220">
        <f t="shared" si="155"/>
        <v>0</v>
      </c>
      <c r="M425" s="211"/>
      <c r="O425" s="6" t="s">
        <v>3</v>
      </c>
      <c r="P425" s="7"/>
      <c r="Q425" s="5">
        <f t="shared" si="156"/>
        <v>0</v>
      </c>
      <c r="R425" s="186"/>
      <c r="S425" s="6" t="s">
        <v>3</v>
      </c>
      <c r="T425" s="7"/>
      <c r="U425" s="5">
        <f t="shared" si="157"/>
        <v>0</v>
      </c>
      <c r="V425" s="185"/>
    </row>
    <row r="426" spans="1:22" x14ac:dyDescent="0.15">
      <c r="A426" s="1"/>
      <c r="B426" s="6" t="s">
        <v>3</v>
      </c>
      <c r="C426" s="7"/>
      <c r="D426" s="6"/>
      <c r="E426" s="4"/>
      <c r="F426" s="220">
        <f t="shared" si="158"/>
        <v>0</v>
      </c>
      <c r="G426" s="211"/>
      <c r="H426" s="6" t="s">
        <v>3</v>
      </c>
      <c r="I426" s="188"/>
      <c r="J426" s="6"/>
      <c r="K426" s="202"/>
      <c r="L426" s="220">
        <f t="shared" si="155"/>
        <v>0</v>
      </c>
      <c r="M426" s="212"/>
      <c r="O426" s="6" t="s">
        <v>3</v>
      </c>
      <c r="P426" s="7"/>
      <c r="Q426" s="5">
        <f t="shared" si="156"/>
        <v>0</v>
      </c>
      <c r="R426" s="186"/>
      <c r="S426" s="6" t="s">
        <v>3</v>
      </c>
      <c r="T426" s="7"/>
      <c r="U426" s="5">
        <f t="shared" si="157"/>
        <v>0</v>
      </c>
      <c r="V426" s="186"/>
    </row>
    <row r="427" spans="1:22" x14ac:dyDescent="0.15">
      <c r="A427" s="1"/>
      <c r="B427" s="6" t="s">
        <v>3</v>
      </c>
      <c r="C427" s="205"/>
      <c r="D427" s="205"/>
      <c r="E427" s="207"/>
      <c r="F427" s="220">
        <f t="shared" si="158"/>
        <v>0</v>
      </c>
      <c r="G427" s="211"/>
      <c r="H427" s="6" t="s">
        <v>3</v>
      </c>
      <c r="I427" s="188"/>
      <c r="J427" s="6"/>
      <c r="K427" s="202"/>
      <c r="L427" s="220">
        <f t="shared" si="155"/>
        <v>0</v>
      </c>
      <c r="O427" s="6" t="s">
        <v>3</v>
      </c>
      <c r="P427" s="7"/>
      <c r="Q427" s="5">
        <f t="shared" si="156"/>
        <v>0</v>
      </c>
      <c r="R427" s="186"/>
      <c r="S427" s="6" t="s">
        <v>3</v>
      </c>
      <c r="T427" s="7"/>
      <c r="U427" s="5">
        <f t="shared" si="157"/>
        <v>0</v>
      </c>
      <c r="V427" s="186"/>
    </row>
    <row r="428" spans="1:22" x14ac:dyDescent="0.15">
      <c r="A428" s="1"/>
      <c r="B428" s="6" t="s">
        <v>3</v>
      </c>
      <c r="C428" s="205"/>
      <c r="D428" s="205"/>
      <c r="E428" s="207"/>
      <c r="F428" s="220">
        <f t="shared" si="158"/>
        <v>0</v>
      </c>
      <c r="G428" s="212"/>
      <c r="H428" s="6" t="s">
        <v>3</v>
      </c>
      <c r="I428" s="188"/>
      <c r="J428" s="6"/>
      <c r="K428" s="202"/>
      <c r="L428" s="220">
        <f t="shared" si="155"/>
        <v>0</v>
      </c>
      <c r="M428" s="211"/>
      <c r="O428" s="6" t="s">
        <v>3</v>
      </c>
      <c r="P428" s="7"/>
      <c r="Q428" s="5">
        <f t="shared" si="156"/>
        <v>0</v>
      </c>
      <c r="R428" s="186"/>
      <c r="S428" s="6" t="s">
        <v>3</v>
      </c>
      <c r="T428" s="7"/>
      <c r="U428" s="5">
        <f t="shared" si="157"/>
        <v>0</v>
      </c>
      <c r="V428" s="185"/>
    </row>
    <row r="429" spans="1:22" x14ac:dyDescent="0.15">
      <c r="A429" s="1"/>
      <c r="B429" s="6" t="s">
        <v>3</v>
      </c>
      <c r="C429" s="205"/>
      <c r="D429" s="205"/>
      <c r="E429" s="207"/>
      <c r="F429" s="220">
        <f t="shared" si="158"/>
        <v>0</v>
      </c>
      <c r="G429" s="212"/>
      <c r="H429" s="6" t="s">
        <v>3</v>
      </c>
      <c r="I429" s="188"/>
      <c r="J429" s="6"/>
      <c r="K429" s="202"/>
      <c r="L429" s="220">
        <f t="shared" si="155"/>
        <v>0</v>
      </c>
      <c r="O429" s="6" t="s">
        <v>3</v>
      </c>
      <c r="P429" s="7"/>
      <c r="Q429" s="5">
        <f t="shared" si="156"/>
        <v>0</v>
      </c>
      <c r="R429" s="186"/>
      <c r="S429" s="6" t="s">
        <v>3</v>
      </c>
      <c r="T429" s="7"/>
      <c r="U429" s="5">
        <f t="shared" si="157"/>
        <v>0</v>
      </c>
      <c r="V429" s="186"/>
    </row>
    <row r="430" spans="1:22" x14ac:dyDescent="0.15">
      <c r="A430" s="1"/>
      <c r="B430" s="6" t="s">
        <v>3</v>
      </c>
      <c r="C430" s="205"/>
      <c r="D430" s="189"/>
      <c r="E430" s="190"/>
      <c r="F430" s="220">
        <f t="shared" si="158"/>
        <v>0</v>
      </c>
      <c r="G430" s="212"/>
      <c r="H430" s="6" t="s">
        <v>3</v>
      </c>
      <c r="I430" s="188"/>
      <c r="J430" s="225"/>
      <c r="K430" s="243"/>
      <c r="L430" s="220">
        <f t="shared" si="155"/>
        <v>0</v>
      </c>
      <c r="M430" s="211"/>
      <c r="O430" s="6" t="s">
        <v>3</v>
      </c>
      <c r="P430" s="8"/>
      <c r="Q430" s="5">
        <f t="shared" si="156"/>
        <v>0</v>
      </c>
      <c r="R430" s="186"/>
      <c r="S430" s="6" t="s">
        <v>3</v>
      </c>
      <c r="T430" s="8"/>
      <c r="U430" s="5">
        <f t="shared" si="157"/>
        <v>0</v>
      </c>
    </row>
    <row r="431" spans="1:22" x14ac:dyDescent="0.15">
      <c r="A431" s="1"/>
      <c r="B431" s="6" t="s">
        <v>3</v>
      </c>
      <c r="C431" s="205"/>
      <c r="D431" s="189"/>
      <c r="E431" s="190"/>
      <c r="F431" s="220">
        <f t="shared" si="158"/>
        <v>0</v>
      </c>
      <c r="H431" s="6" t="s">
        <v>3</v>
      </c>
      <c r="I431" s="188"/>
      <c r="J431" s="225"/>
      <c r="K431" s="243"/>
      <c r="L431" s="220">
        <f t="shared" si="155"/>
        <v>0</v>
      </c>
      <c r="M431" s="212"/>
      <c r="O431" s="6" t="s">
        <v>3</v>
      </c>
      <c r="P431" s="8"/>
      <c r="Q431" s="5">
        <f t="shared" si="156"/>
        <v>0</v>
      </c>
      <c r="R431" s="186"/>
      <c r="S431" s="6" t="s">
        <v>3</v>
      </c>
      <c r="T431" s="8"/>
      <c r="U431" s="5">
        <f t="shared" si="157"/>
        <v>0</v>
      </c>
    </row>
    <row r="432" spans="1:22" x14ac:dyDescent="0.15">
      <c r="A432" s="1"/>
      <c r="B432" s="6" t="s">
        <v>3</v>
      </c>
      <c r="C432" s="205"/>
      <c r="D432" s="189"/>
      <c r="E432" s="190"/>
      <c r="F432" s="220">
        <f t="shared" si="158"/>
        <v>0</v>
      </c>
      <c r="H432" s="6" t="s">
        <v>3</v>
      </c>
      <c r="I432" s="188"/>
      <c r="J432" s="225"/>
      <c r="K432" s="243"/>
      <c r="L432" s="220">
        <f t="shared" si="155"/>
        <v>0</v>
      </c>
      <c r="O432" s="6" t="s">
        <v>3</v>
      </c>
      <c r="P432" s="8"/>
      <c r="Q432" s="5">
        <f t="shared" si="156"/>
        <v>0</v>
      </c>
      <c r="R432" s="186"/>
      <c r="S432" s="6" t="s">
        <v>3</v>
      </c>
      <c r="T432" s="8"/>
      <c r="U432" s="5">
        <f t="shared" si="157"/>
        <v>0</v>
      </c>
    </row>
    <row r="433" spans="1:22" ht="14.25" thickBot="1" x14ac:dyDescent="0.2">
      <c r="A433" s="1"/>
      <c r="B433" s="9" t="s">
        <v>3</v>
      </c>
      <c r="C433" s="236"/>
      <c r="D433" s="191"/>
      <c r="E433" s="192"/>
      <c r="F433" s="220">
        <f t="shared" si="158"/>
        <v>0</v>
      </c>
      <c r="H433" s="9" t="s">
        <v>3</v>
      </c>
      <c r="I433" s="198"/>
      <c r="J433" s="244"/>
      <c r="K433" s="245"/>
      <c r="L433" s="220">
        <f t="shared" si="155"/>
        <v>0</v>
      </c>
      <c r="O433" s="9" t="s">
        <v>3</v>
      </c>
      <c r="P433" s="10"/>
      <c r="Q433" s="5">
        <f t="shared" si="156"/>
        <v>0</v>
      </c>
      <c r="R433" s="186"/>
      <c r="S433" s="9" t="s">
        <v>3</v>
      </c>
      <c r="T433" s="10"/>
      <c r="U433" s="5">
        <f t="shared" si="157"/>
        <v>0</v>
      </c>
    </row>
    <row r="434" spans="1:22" ht="14.25" thickBot="1" x14ac:dyDescent="0.2">
      <c r="A434" s="1"/>
      <c r="B434" s="11" t="s">
        <v>4</v>
      </c>
      <c r="C434" s="193">
        <f>SUM(C423:C433)</f>
        <v>385</v>
      </c>
      <c r="D434" s="193">
        <f>SUM(D423:D433)</f>
        <v>81</v>
      </c>
      <c r="E434" s="193">
        <f>SUM(E423:E433)</f>
        <v>85</v>
      </c>
      <c r="F434" s="221">
        <f>SUM(F423:F433)</f>
        <v>551</v>
      </c>
      <c r="H434" s="11" t="s">
        <v>4</v>
      </c>
      <c r="I434" s="193">
        <f>SUM(I423:I433)</f>
        <v>2600</v>
      </c>
      <c r="J434" s="193">
        <f>SUM(J423:J433)</f>
        <v>0</v>
      </c>
      <c r="K434" s="193">
        <f t="shared" ref="K434" si="159">SUM(K423:K433)</f>
        <v>480</v>
      </c>
      <c r="L434" s="221">
        <f>SUM(L423:L433)</f>
        <v>3080</v>
      </c>
      <c r="O434" s="11" t="s">
        <v>4</v>
      </c>
      <c r="P434" s="12">
        <f>SUM(P423:P433)</f>
        <v>64</v>
      </c>
      <c r="Q434" s="13">
        <f>SUM(Q423:Q433)</f>
        <v>64</v>
      </c>
      <c r="S434" s="11" t="s">
        <v>4</v>
      </c>
      <c r="T434" s="12">
        <f>SUM(T423:T433)</f>
        <v>699</v>
      </c>
      <c r="U434" s="13">
        <f>SUM(U423:U433)</f>
        <v>699</v>
      </c>
    </row>
    <row r="435" spans="1:22" x14ac:dyDescent="0.15">
      <c r="A435" s="1"/>
      <c r="B435" s="4" t="s">
        <v>879</v>
      </c>
      <c r="C435" s="215">
        <v>40</v>
      </c>
      <c r="D435" s="215"/>
      <c r="E435" s="216"/>
      <c r="F435" s="220">
        <f t="shared" ref="F435:F458" si="160">SUM(C435:E435)</f>
        <v>40</v>
      </c>
      <c r="G435" s="211">
        <v>44608</v>
      </c>
      <c r="H435" s="6" t="s">
        <v>882</v>
      </c>
      <c r="I435" s="235">
        <v>200</v>
      </c>
      <c r="J435" s="215"/>
      <c r="K435" s="240"/>
      <c r="L435" s="220">
        <f t="shared" ref="L435:L456" si="161">SUM(I435:K435)</f>
        <v>200</v>
      </c>
      <c r="M435" s="211">
        <v>44609</v>
      </c>
      <c r="O435" s="4"/>
      <c r="P435" s="44"/>
      <c r="Q435" s="14">
        <f t="shared" ref="Q435:Q458" si="162">SUM(P435:P435)</f>
        <v>0</v>
      </c>
      <c r="R435" s="186"/>
      <c r="S435" s="4" t="s">
        <v>887</v>
      </c>
      <c r="T435" s="44">
        <v>32</v>
      </c>
      <c r="U435" s="14">
        <f t="shared" ref="U435:U458" si="163">SUM(T435:T435)</f>
        <v>32</v>
      </c>
      <c r="V435" s="214">
        <v>44625</v>
      </c>
    </row>
    <row r="436" spans="1:22" x14ac:dyDescent="0.15">
      <c r="A436" s="1"/>
      <c r="B436" s="4" t="s">
        <v>880</v>
      </c>
      <c r="C436" s="216">
        <v>40</v>
      </c>
      <c r="D436" s="232"/>
      <c r="E436" s="232"/>
      <c r="F436" s="220">
        <f t="shared" si="160"/>
        <v>40</v>
      </c>
      <c r="G436" s="211">
        <v>44608</v>
      </c>
      <c r="H436" s="6"/>
      <c r="I436" s="215"/>
      <c r="J436" s="215"/>
      <c r="K436" s="216"/>
      <c r="L436" s="220">
        <f t="shared" si="161"/>
        <v>0</v>
      </c>
      <c r="M436" s="211"/>
      <c r="O436" s="4"/>
      <c r="P436" s="15"/>
      <c r="Q436" s="14">
        <f t="shared" si="162"/>
        <v>0</v>
      </c>
      <c r="R436" s="186"/>
      <c r="S436" s="4" t="s">
        <v>745</v>
      </c>
      <c r="T436" s="15">
        <v>64</v>
      </c>
      <c r="U436" s="14">
        <f t="shared" si="163"/>
        <v>64</v>
      </c>
      <c r="V436" s="185">
        <v>44638</v>
      </c>
    </row>
    <row r="437" spans="1:22" x14ac:dyDescent="0.15">
      <c r="A437" s="1"/>
      <c r="B437" s="4" t="s">
        <v>749</v>
      </c>
      <c r="C437" s="216">
        <v>5</v>
      </c>
      <c r="D437" s="232"/>
      <c r="E437" s="232">
        <v>2</v>
      </c>
      <c r="F437" s="220">
        <f t="shared" si="160"/>
        <v>7</v>
      </c>
      <c r="G437" s="248">
        <v>44606</v>
      </c>
      <c r="H437" s="4"/>
      <c r="I437" s="216"/>
      <c r="J437" s="232"/>
      <c r="K437" s="232"/>
      <c r="L437" s="220">
        <f t="shared" si="161"/>
        <v>0</v>
      </c>
      <c r="M437" s="212"/>
      <c r="O437" s="4"/>
      <c r="P437" s="15"/>
      <c r="Q437" s="14">
        <f t="shared" si="162"/>
        <v>0</v>
      </c>
      <c r="R437" s="186"/>
      <c r="S437" s="4"/>
      <c r="T437" s="15"/>
      <c r="U437" s="14">
        <f t="shared" si="163"/>
        <v>0</v>
      </c>
    </row>
    <row r="438" spans="1:22" x14ac:dyDescent="0.15">
      <c r="A438" s="1"/>
      <c r="B438" s="4" t="s">
        <v>881</v>
      </c>
      <c r="C438" s="233"/>
      <c r="D438" s="234"/>
      <c r="E438" s="234">
        <v>5</v>
      </c>
      <c r="F438" s="220">
        <f t="shared" si="160"/>
        <v>5</v>
      </c>
      <c r="G438" s="211">
        <v>44608</v>
      </c>
      <c r="H438" s="4"/>
      <c r="I438" s="233"/>
      <c r="J438" s="234"/>
      <c r="K438" s="234"/>
      <c r="L438" s="220">
        <f t="shared" si="161"/>
        <v>0</v>
      </c>
      <c r="M438" s="212"/>
      <c r="O438" s="4"/>
      <c r="P438" s="15"/>
      <c r="Q438" s="14">
        <f t="shared" si="162"/>
        <v>0</v>
      </c>
      <c r="R438" s="186"/>
      <c r="S438" s="4"/>
      <c r="T438" s="15"/>
      <c r="U438" s="14">
        <f t="shared" si="163"/>
        <v>0</v>
      </c>
    </row>
    <row r="439" spans="1:22" x14ac:dyDescent="0.15">
      <c r="A439" s="1"/>
      <c r="B439" s="4" t="s">
        <v>749</v>
      </c>
      <c r="C439" s="233">
        <f>1+1</f>
        <v>2</v>
      </c>
      <c r="D439" s="234">
        <v>1</v>
      </c>
      <c r="E439" s="234">
        <v>1</v>
      </c>
      <c r="F439" s="220">
        <f t="shared" si="160"/>
        <v>4</v>
      </c>
      <c r="G439" s="211">
        <v>44607</v>
      </c>
      <c r="H439" s="4"/>
      <c r="I439" s="233"/>
      <c r="J439" s="234"/>
      <c r="K439" s="234"/>
      <c r="L439" s="220">
        <f t="shared" si="161"/>
        <v>0</v>
      </c>
      <c r="O439" s="4"/>
      <c r="P439" s="15"/>
      <c r="Q439" s="14">
        <f t="shared" si="162"/>
        <v>0</v>
      </c>
      <c r="R439" s="186"/>
      <c r="S439" s="4"/>
      <c r="T439" s="15"/>
      <c r="U439" s="14">
        <f t="shared" si="163"/>
        <v>0</v>
      </c>
    </row>
    <row r="440" spans="1:22" x14ac:dyDescent="0.15">
      <c r="A440" s="1"/>
      <c r="B440" s="4" t="s">
        <v>749</v>
      </c>
      <c r="C440" s="233">
        <v>1</v>
      </c>
      <c r="D440" s="234"/>
      <c r="E440" s="234"/>
      <c r="F440" s="220">
        <f t="shared" si="160"/>
        <v>1</v>
      </c>
      <c r="G440" s="211">
        <v>44608</v>
      </c>
      <c r="H440" s="4"/>
      <c r="I440" s="233"/>
      <c r="J440" s="234"/>
      <c r="K440" s="234"/>
      <c r="L440" s="220">
        <f t="shared" si="161"/>
        <v>0</v>
      </c>
      <c r="O440" s="4"/>
      <c r="P440" s="15"/>
      <c r="Q440" s="14">
        <f t="shared" si="162"/>
        <v>0</v>
      </c>
      <c r="R440" s="186"/>
      <c r="S440" s="4"/>
      <c r="T440" s="15"/>
      <c r="U440" s="14">
        <f t="shared" si="163"/>
        <v>0</v>
      </c>
    </row>
    <row r="441" spans="1:22" x14ac:dyDescent="0.15">
      <c r="A441" s="1"/>
      <c r="B441" s="4" t="s">
        <v>749</v>
      </c>
      <c r="C441" s="233">
        <f>1+3</f>
        <v>4</v>
      </c>
      <c r="D441" s="234">
        <f>1+1</f>
        <v>2</v>
      </c>
      <c r="E441" s="234">
        <v>1</v>
      </c>
      <c r="F441" s="220">
        <f t="shared" si="160"/>
        <v>7</v>
      </c>
      <c r="G441" s="248">
        <v>44613</v>
      </c>
      <c r="H441" s="4"/>
      <c r="I441" s="233"/>
      <c r="J441" s="234"/>
      <c r="K441" s="234"/>
      <c r="L441" s="220">
        <f t="shared" si="161"/>
        <v>0</v>
      </c>
      <c r="O441" s="4"/>
      <c r="P441" s="15"/>
      <c r="Q441" s="14">
        <f t="shared" si="162"/>
        <v>0</v>
      </c>
      <c r="R441" s="186"/>
      <c r="S441" s="4"/>
      <c r="T441" s="15"/>
      <c r="U441" s="14">
        <f t="shared" si="163"/>
        <v>0</v>
      </c>
    </row>
    <row r="442" spans="1:22" x14ac:dyDescent="0.15">
      <c r="A442" s="1"/>
      <c r="B442" s="4" t="s">
        <v>749</v>
      </c>
      <c r="C442" s="233">
        <v>3</v>
      </c>
      <c r="D442" s="234"/>
      <c r="E442" s="234"/>
      <c r="F442" s="220">
        <f t="shared" si="160"/>
        <v>3</v>
      </c>
      <c r="G442" s="248">
        <v>44614</v>
      </c>
      <c r="H442" s="4"/>
      <c r="I442" s="233"/>
      <c r="J442" s="234"/>
      <c r="K442" s="234"/>
      <c r="L442" s="220">
        <f t="shared" si="161"/>
        <v>0</v>
      </c>
      <c r="O442" s="4"/>
      <c r="P442" s="15"/>
      <c r="Q442" s="14">
        <f t="shared" si="162"/>
        <v>0</v>
      </c>
      <c r="R442" s="186"/>
      <c r="S442" s="4"/>
      <c r="T442" s="15"/>
      <c r="U442" s="14">
        <f t="shared" si="163"/>
        <v>0</v>
      </c>
    </row>
    <row r="443" spans="1:22" x14ac:dyDescent="0.15">
      <c r="A443" s="1"/>
      <c r="B443" s="4" t="s">
        <v>884</v>
      </c>
      <c r="C443" s="233">
        <v>30</v>
      </c>
      <c r="D443" s="234"/>
      <c r="E443" s="234">
        <v>10</v>
      </c>
      <c r="F443" s="220">
        <f t="shared" si="160"/>
        <v>40</v>
      </c>
      <c r="G443" s="211">
        <v>44618</v>
      </c>
      <c r="H443" s="4"/>
      <c r="I443" s="187"/>
      <c r="J443" s="15"/>
      <c r="K443" s="15"/>
      <c r="L443" s="220">
        <f t="shared" si="161"/>
        <v>0</v>
      </c>
      <c r="O443" s="4"/>
      <c r="P443" s="15"/>
      <c r="Q443" s="14">
        <f t="shared" si="162"/>
        <v>0</v>
      </c>
      <c r="R443" s="186"/>
      <c r="S443" s="4"/>
      <c r="T443" s="15"/>
      <c r="U443" s="14">
        <f t="shared" si="163"/>
        <v>0</v>
      </c>
    </row>
    <row r="444" spans="1:22" x14ac:dyDescent="0.15">
      <c r="A444" s="1"/>
      <c r="B444" s="4" t="s">
        <v>764</v>
      </c>
      <c r="C444" s="233">
        <v>10</v>
      </c>
      <c r="D444" s="234">
        <v>10</v>
      </c>
      <c r="E444" s="234">
        <v>10</v>
      </c>
      <c r="F444" s="220">
        <f t="shared" si="160"/>
        <v>30</v>
      </c>
      <c r="G444" s="211">
        <v>44618</v>
      </c>
      <c r="H444" s="4"/>
      <c r="I444" s="187"/>
      <c r="J444" s="15"/>
      <c r="K444" s="15"/>
      <c r="L444" s="220">
        <f t="shared" si="161"/>
        <v>0</v>
      </c>
      <c r="O444" s="4"/>
      <c r="P444" s="15"/>
      <c r="Q444" s="14">
        <f t="shared" si="162"/>
        <v>0</v>
      </c>
      <c r="R444" s="186"/>
      <c r="S444" s="4"/>
      <c r="T444" s="15"/>
      <c r="U444" s="14">
        <f t="shared" si="163"/>
        <v>0</v>
      </c>
    </row>
    <row r="445" spans="1:22" x14ac:dyDescent="0.15">
      <c r="A445" s="1"/>
      <c r="B445" s="4" t="s">
        <v>749</v>
      </c>
      <c r="C445" s="233"/>
      <c r="D445" s="234"/>
      <c r="E445" s="234">
        <v>1</v>
      </c>
      <c r="F445" s="220">
        <f t="shared" si="160"/>
        <v>1</v>
      </c>
      <c r="G445" s="248">
        <v>44620</v>
      </c>
      <c r="H445" s="4"/>
      <c r="I445" s="187"/>
      <c r="J445" s="15"/>
      <c r="K445" s="15"/>
      <c r="L445" s="220">
        <f t="shared" si="161"/>
        <v>0</v>
      </c>
      <c r="O445" s="4"/>
      <c r="P445" s="15"/>
      <c r="Q445" s="14">
        <f t="shared" si="162"/>
        <v>0</v>
      </c>
      <c r="R445" s="186"/>
      <c r="S445" s="4"/>
      <c r="T445" s="15"/>
      <c r="U445" s="14">
        <f t="shared" si="163"/>
        <v>0</v>
      </c>
    </row>
    <row r="446" spans="1:22" x14ac:dyDescent="0.15">
      <c r="A446" s="1"/>
      <c r="B446" s="4" t="s">
        <v>749</v>
      </c>
      <c r="C446" s="235"/>
      <c r="D446" s="234">
        <v>2</v>
      </c>
      <c r="E446" s="234"/>
      <c r="F446" s="220">
        <f t="shared" si="160"/>
        <v>2</v>
      </c>
      <c r="G446" s="248">
        <v>44622</v>
      </c>
      <c r="H446" s="6"/>
      <c r="I446" s="188"/>
      <c r="J446" s="15"/>
      <c r="K446" s="15"/>
      <c r="L446" s="220">
        <f t="shared" si="161"/>
        <v>0</v>
      </c>
      <c r="O446" s="6"/>
      <c r="P446" s="15"/>
      <c r="Q446" s="14">
        <f t="shared" si="162"/>
        <v>0</v>
      </c>
      <c r="R446" s="186"/>
      <c r="S446" s="6"/>
      <c r="T446" s="15"/>
      <c r="U446" s="14">
        <f t="shared" si="163"/>
        <v>0</v>
      </c>
    </row>
    <row r="447" spans="1:22" x14ac:dyDescent="0.15">
      <c r="A447" s="1"/>
      <c r="B447" s="4" t="s">
        <v>749</v>
      </c>
      <c r="C447" s="235">
        <v>3</v>
      </c>
      <c r="D447" s="234"/>
      <c r="E447" s="234"/>
      <c r="F447" s="220">
        <f t="shared" si="160"/>
        <v>3</v>
      </c>
      <c r="G447" s="248">
        <v>44623</v>
      </c>
      <c r="H447" s="6"/>
      <c r="I447" s="188"/>
      <c r="J447" s="15"/>
      <c r="K447" s="15"/>
      <c r="L447" s="220">
        <f t="shared" si="161"/>
        <v>0</v>
      </c>
      <c r="O447" s="6"/>
      <c r="P447" s="15"/>
      <c r="Q447" s="14">
        <f t="shared" si="162"/>
        <v>0</v>
      </c>
      <c r="R447" s="186"/>
      <c r="S447" s="6"/>
      <c r="T447" s="15"/>
      <c r="U447" s="14">
        <f t="shared" si="163"/>
        <v>0</v>
      </c>
    </row>
    <row r="448" spans="1:22" x14ac:dyDescent="0.15">
      <c r="A448" s="1"/>
      <c r="B448" s="4" t="s">
        <v>749</v>
      </c>
      <c r="C448" s="233">
        <v>3</v>
      </c>
      <c r="D448" s="234"/>
      <c r="E448" s="234"/>
      <c r="F448" s="220">
        <f t="shared" si="160"/>
        <v>3</v>
      </c>
      <c r="G448" s="248">
        <v>44624</v>
      </c>
      <c r="H448" s="4"/>
      <c r="I448" s="187"/>
      <c r="J448" s="15"/>
      <c r="K448" s="15"/>
      <c r="L448" s="220">
        <f t="shared" si="161"/>
        <v>0</v>
      </c>
      <c r="O448" s="4"/>
      <c r="P448" s="15"/>
      <c r="Q448" s="14">
        <f t="shared" si="162"/>
        <v>0</v>
      </c>
      <c r="R448" s="186"/>
      <c r="S448" s="4"/>
      <c r="T448" s="15"/>
      <c r="U448" s="14">
        <f t="shared" si="163"/>
        <v>0</v>
      </c>
    </row>
    <row r="449" spans="1:22" x14ac:dyDescent="0.15">
      <c r="A449" s="1"/>
      <c r="B449" s="4" t="s">
        <v>749</v>
      </c>
      <c r="C449" s="233">
        <f>4+1</f>
        <v>5</v>
      </c>
      <c r="D449" s="234"/>
      <c r="E449" s="234"/>
      <c r="F449" s="220">
        <f t="shared" si="160"/>
        <v>5</v>
      </c>
      <c r="G449" s="248">
        <v>44625</v>
      </c>
      <c r="H449" s="4"/>
      <c r="I449" s="187"/>
      <c r="J449" s="15"/>
      <c r="K449" s="15"/>
      <c r="L449" s="220">
        <f t="shared" si="161"/>
        <v>0</v>
      </c>
      <c r="O449" s="4"/>
      <c r="P449" s="15"/>
      <c r="Q449" s="14">
        <f t="shared" si="162"/>
        <v>0</v>
      </c>
      <c r="R449" s="186"/>
      <c r="S449" s="4"/>
      <c r="T449" s="15"/>
      <c r="U449" s="14">
        <f t="shared" si="163"/>
        <v>0</v>
      </c>
    </row>
    <row r="450" spans="1:22" x14ac:dyDescent="0.15">
      <c r="A450" s="1"/>
      <c r="B450" s="4" t="s">
        <v>749</v>
      </c>
      <c r="C450" s="233">
        <f>2+7</f>
        <v>9</v>
      </c>
      <c r="D450" s="234">
        <v>3</v>
      </c>
      <c r="E450" s="234">
        <v>2</v>
      </c>
      <c r="F450" s="220">
        <f t="shared" si="160"/>
        <v>14</v>
      </c>
      <c r="G450" s="248">
        <v>44627</v>
      </c>
      <c r="H450" s="4"/>
      <c r="I450" s="187"/>
      <c r="J450" s="15"/>
      <c r="K450" s="15"/>
      <c r="L450" s="220">
        <f t="shared" si="161"/>
        <v>0</v>
      </c>
      <c r="O450" s="4"/>
      <c r="P450" s="15"/>
      <c r="Q450" s="14">
        <f t="shared" si="162"/>
        <v>0</v>
      </c>
      <c r="R450" s="186"/>
      <c r="S450" s="4"/>
      <c r="T450" s="15"/>
      <c r="U450" s="14">
        <f t="shared" si="163"/>
        <v>0</v>
      </c>
    </row>
    <row r="451" spans="1:22" x14ac:dyDescent="0.15">
      <c r="A451" s="1"/>
      <c r="B451" s="4" t="s">
        <v>749</v>
      </c>
      <c r="C451" s="235">
        <v>1</v>
      </c>
      <c r="D451" s="234"/>
      <c r="E451" s="234"/>
      <c r="F451" s="220">
        <f t="shared" si="160"/>
        <v>1</v>
      </c>
      <c r="G451" s="248">
        <v>44628</v>
      </c>
      <c r="H451" s="6"/>
      <c r="I451" s="188"/>
      <c r="J451" s="15"/>
      <c r="K451" s="15"/>
      <c r="L451" s="220">
        <f t="shared" si="161"/>
        <v>0</v>
      </c>
      <c r="O451" s="6"/>
      <c r="P451" s="15"/>
      <c r="Q451" s="14">
        <f t="shared" si="162"/>
        <v>0</v>
      </c>
      <c r="R451" s="186"/>
      <c r="S451" s="6"/>
      <c r="T451" s="15"/>
      <c r="U451" s="14">
        <f t="shared" si="163"/>
        <v>0</v>
      </c>
    </row>
    <row r="452" spans="1:22" x14ac:dyDescent="0.15">
      <c r="A452" s="1"/>
      <c r="B452" s="4" t="s">
        <v>749</v>
      </c>
      <c r="C452" s="233">
        <v>3</v>
      </c>
      <c r="D452" s="234"/>
      <c r="E452" s="234">
        <v>2</v>
      </c>
      <c r="F452" s="220">
        <f t="shared" si="160"/>
        <v>5</v>
      </c>
      <c r="G452" s="248">
        <v>44629</v>
      </c>
      <c r="H452" s="4"/>
      <c r="I452" s="187"/>
      <c r="J452" s="15"/>
      <c r="K452" s="15"/>
      <c r="L452" s="220">
        <f t="shared" si="161"/>
        <v>0</v>
      </c>
      <c r="O452" s="4"/>
      <c r="P452" s="15"/>
      <c r="Q452" s="14">
        <f t="shared" si="162"/>
        <v>0</v>
      </c>
      <c r="R452" s="186"/>
      <c r="S452" s="4"/>
      <c r="T452" s="15"/>
      <c r="U452" s="14">
        <f t="shared" si="163"/>
        <v>0</v>
      </c>
    </row>
    <row r="453" spans="1:22" x14ac:dyDescent="0.15">
      <c r="A453" s="1"/>
      <c r="B453" s="6" t="s">
        <v>890</v>
      </c>
      <c r="C453" s="235"/>
      <c r="D453" s="234"/>
      <c r="E453" s="234">
        <v>5</v>
      </c>
      <c r="F453" s="220">
        <f t="shared" si="160"/>
        <v>5</v>
      </c>
      <c r="G453" s="211">
        <v>44630</v>
      </c>
      <c r="H453" s="6"/>
      <c r="I453" s="188"/>
      <c r="J453" s="15"/>
      <c r="K453" s="15"/>
      <c r="L453" s="220">
        <f t="shared" si="161"/>
        <v>0</v>
      </c>
      <c r="O453" s="6"/>
      <c r="P453" s="15"/>
      <c r="Q453" s="14">
        <f t="shared" si="162"/>
        <v>0</v>
      </c>
      <c r="R453" s="186"/>
      <c r="S453" s="6"/>
      <c r="T453" s="15"/>
      <c r="U453" s="14">
        <f t="shared" si="163"/>
        <v>0</v>
      </c>
    </row>
    <row r="454" spans="1:22" x14ac:dyDescent="0.15">
      <c r="A454" s="1"/>
      <c r="B454" s="6" t="s">
        <v>764</v>
      </c>
      <c r="C454" s="233">
        <v>50</v>
      </c>
      <c r="D454" s="234"/>
      <c r="E454" s="234"/>
      <c r="F454" s="220">
        <f t="shared" si="160"/>
        <v>50</v>
      </c>
      <c r="G454" s="211">
        <v>44631</v>
      </c>
      <c r="H454" s="4"/>
      <c r="I454" s="187"/>
      <c r="J454" s="15"/>
      <c r="K454" s="15"/>
      <c r="L454" s="220">
        <f t="shared" si="161"/>
        <v>0</v>
      </c>
      <c r="O454" s="4"/>
      <c r="P454" s="15"/>
      <c r="Q454" s="14">
        <f t="shared" si="162"/>
        <v>0</v>
      </c>
      <c r="R454" s="186"/>
      <c r="S454" s="4"/>
      <c r="T454" s="15"/>
      <c r="U454" s="14">
        <f t="shared" si="163"/>
        <v>0</v>
      </c>
    </row>
    <row r="455" spans="1:22" x14ac:dyDescent="0.15">
      <c r="A455" s="75"/>
      <c r="B455" s="4" t="s">
        <v>749</v>
      </c>
      <c r="C455" s="233">
        <f>1+5</f>
        <v>6</v>
      </c>
      <c r="D455" s="234">
        <v>1</v>
      </c>
      <c r="E455" s="234">
        <v>1</v>
      </c>
      <c r="F455" s="220">
        <f t="shared" si="160"/>
        <v>8</v>
      </c>
      <c r="G455" s="248">
        <v>44630</v>
      </c>
      <c r="H455" s="4"/>
      <c r="I455" s="187"/>
      <c r="J455" s="15"/>
      <c r="K455" s="15"/>
      <c r="L455" s="220">
        <f t="shared" si="161"/>
        <v>0</v>
      </c>
      <c r="M455" s="212"/>
      <c r="O455" s="4"/>
      <c r="P455" s="15"/>
      <c r="Q455" s="14">
        <f t="shared" si="162"/>
        <v>0</v>
      </c>
      <c r="R455" s="186"/>
      <c r="S455" s="4"/>
      <c r="T455" s="15"/>
      <c r="U455" s="14">
        <f t="shared" si="163"/>
        <v>0</v>
      </c>
    </row>
    <row r="456" spans="1:22" x14ac:dyDescent="0.15">
      <c r="A456" s="1"/>
      <c r="B456" s="4" t="s">
        <v>749</v>
      </c>
      <c r="C456" s="233">
        <f>2+11</f>
        <v>13</v>
      </c>
      <c r="D456" s="234"/>
      <c r="E456" s="234"/>
      <c r="F456" s="220">
        <f t="shared" si="160"/>
        <v>13</v>
      </c>
      <c r="G456" s="248">
        <v>44631</v>
      </c>
      <c r="H456" s="4"/>
      <c r="I456" s="187"/>
      <c r="J456" s="15"/>
      <c r="K456" s="15"/>
      <c r="L456" s="220">
        <f t="shared" si="161"/>
        <v>0</v>
      </c>
      <c r="M456" s="212"/>
      <c r="O456" s="4"/>
      <c r="P456" s="15"/>
      <c r="Q456" s="14">
        <f t="shared" si="162"/>
        <v>0</v>
      </c>
      <c r="R456" s="186"/>
      <c r="S456" s="4"/>
      <c r="T456" s="15"/>
      <c r="U456" s="14">
        <f t="shared" si="163"/>
        <v>0</v>
      </c>
      <c r="V456" s="212"/>
    </row>
    <row r="457" spans="1:22" x14ac:dyDescent="0.15">
      <c r="A457" s="1"/>
      <c r="B457" s="4" t="s">
        <v>764</v>
      </c>
      <c r="C457" s="233">
        <v>10</v>
      </c>
      <c r="D457" s="234">
        <v>10</v>
      </c>
      <c r="E457" s="234">
        <v>10</v>
      </c>
      <c r="F457" s="220">
        <f t="shared" si="160"/>
        <v>30</v>
      </c>
      <c r="G457" s="211">
        <v>44635</v>
      </c>
      <c r="H457" s="6"/>
      <c r="I457" s="206"/>
      <c r="J457" s="206"/>
      <c r="K457" s="206"/>
      <c r="L457" s="220">
        <f>SUM(I457:K457)</f>
        <v>0</v>
      </c>
      <c r="M457" s="212"/>
      <c r="O457" s="6"/>
      <c r="P457" s="15"/>
      <c r="Q457" s="14">
        <f t="shared" si="162"/>
        <v>0</v>
      </c>
      <c r="R457" s="186"/>
      <c r="S457" s="6"/>
      <c r="T457" s="15"/>
      <c r="U457" s="14">
        <f t="shared" si="163"/>
        <v>0</v>
      </c>
      <c r="V457" s="186"/>
    </row>
    <row r="458" spans="1:22" ht="14.25" thickBot="1" x14ac:dyDescent="0.2">
      <c r="A458" s="1"/>
      <c r="B458" s="6" t="s">
        <v>876</v>
      </c>
      <c r="C458" s="235"/>
      <c r="D458" s="234"/>
      <c r="E458" s="234"/>
      <c r="F458" s="220">
        <f t="shared" si="160"/>
        <v>0</v>
      </c>
      <c r="G458" s="212" t="s">
        <v>877</v>
      </c>
      <c r="H458" s="6"/>
      <c r="I458" s="206"/>
      <c r="J458" s="206"/>
      <c r="K458" s="206"/>
      <c r="L458" s="220">
        <f t="shared" ref="L458" si="164">SUM(I458:K458)</f>
        <v>0</v>
      </c>
      <c r="M458" s="212"/>
      <c r="O458" s="6"/>
      <c r="P458" s="15"/>
      <c r="Q458" s="14">
        <f t="shared" si="162"/>
        <v>0</v>
      </c>
      <c r="R458" s="186"/>
      <c r="S458" s="6"/>
      <c r="T458" s="15"/>
      <c r="U458" s="14">
        <f t="shared" si="163"/>
        <v>0</v>
      </c>
      <c r="V458" s="186"/>
    </row>
    <row r="459" spans="1:22" ht="14.25" thickBot="1" x14ac:dyDescent="0.2">
      <c r="A459" s="1"/>
      <c r="B459" s="3" t="s">
        <v>5</v>
      </c>
      <c r="C459" s="16">
        <f>SUM(C435:C458)</f>
        <v>238</v>
      </c>
      <c r="D459" s="16">
        <f>SUM(D435:D458)</f>
        <v>29</v>
      </c>
      <c r="E459" s="16">
        <f>SUM(E435:E458)</f>
        <v>50</v>
      </c>
      <c r="F459" s="223">
        <f>SUM(F435:F458)</f>
        <v>317</v>
      </c>
      <c r="H459" s="3" t="s">
        <v>5</v>
      </c>
      <c r="I459" s="16">
        <f>SUM(I435:I458)</f>
        <v>200</v>
      </c>
      <c r="J459" s="16">
        <f>SUM(J435:J458)</f>
        <v>0</v>
      </c>
      <c r="K459" s="16">
        <f>SUM(K435:K458)</f>
        <v>0</v>
      </c>
      <c r="L459" s="223">
        <f>SUM(L435:L458)</f>
        <v>200</v>
      </c>
      <c r="O459" s="3" t="s">
        <v>5</v>
      </c>
      <c r="P459" s="16">
        <f>SUM(P435:P458)</f>
        <v>0</v>
      </c>
      <c r="Q459" s="17">
        <f>SUM(Q435:Q458)</f>
        <v>0</v>
      </c>
      <c r="S459" s="3" t="s">
        <v>5</v>
      </c>
      <c r="T459" s="16">
        <f>SUM(T435:T458)</f>
        <v>96</v>
      </c>
      <c r="U459" s="17">
        <f>SUM(U435:U458)</f>
        <v>96</v>
      </c>
    </row>
    <row r="460" spans="1:22" ht="14.25" thickBot="1" x14ac:dyDescent="0.2">
      <c r="A460" s="1"/>
      <c r="B460" s="18" t="s">
        <v>6</v>
      </c>
      <c r="C460" s="19">
        <f>C434-C459</f>
        <v>147</v>
      </c>
      <c r="D460" s="19">
        <f>D434-D459</f>
        <v>52</v>
      </c>
      <c r="E460" s="19">
        <f t="shared" ref="E460" si="165">E434-E459</f>
        <v>35</v>
      </c>
      <c r="F460" s="221">
        <f>F434-F459</f>
        <v>234</v>
      </c>
      <c r="H460" s="18" t="s">
        <v>6</v>
      </c>
      <c r="I460" s="19">
        <f>I434-I459</f>
        <v>2400</v>
      </c>
      <c r="J460" s="19">
        <f>J434-J459</f>
        <v>0</v>
      </c>
      <c r="K460" s="19">
        <f t="shared" ref="K460" si="166">K434-K459</f>
        <v>480</v>
      </c>
      <c r="L460" s="221">
        <f>L434-L459</f>
        <v>2880</v>
      </c>
      <c r="O460" s="18" t="s">
        <v>6</v>
      </c>
      <c r="P460" s="19">
        <f>P434-P459</f>
        <v>64</v>
      </c>
      <c r="Q460" s="13">
        <f>Q434-Q459</f>
        <v>64</v>
      </c>
      <c r="S460" s="18" t="s">
        <v>6</v>
      </c>
      <c r="T460" s="19">
        <f>T434-T459</f>
        <v>603</v>
      </c>
      <c r="U460" s="13">
        <f>U434-U459</f>
        <v>603</v>
      </c>
    </row>
    <row r="463" spans="1:22" ht="18" thickBot="1" x14ac:dyDescent="0.25">
      <c r="A463" s="27" t="s">
        <v>739</v>
      </c>
      <c r="B463" s="28"/>
      <c r="C463" s="28"/>
      <c r="D463" s="28"/>
      <c r="E463" s="28"/>
      <c r="F463" s="218"/>
      <c r="H463" s="27" t="s">
        <v>740</v>
      </c>
      <c r="I463" s="28"/>
      <c r="J463" s="28"/>
      <c r="K463" s="28"/>
      <c r="L463" s="218"/>
      <c r="O463" s="181" t="s">
        <v>737</v>
      </c>
      <c r="P463" s="182"/>
      <c r="Q463" s="182"/>
      <c r="R463" s="183"/>
      <c r="S463" s="181" t="s">
        <v>733</v>
      </c>
      <c r="T463" s="182"/>
      <c r="U463" s="182"/>
    </row>
    <row r="464" spans="1:22" ht="14.25" thickBot="1" x14ac:dyDescent="0.2">
      <c r="A464" s="1"/>
      <c r="B464" s="2"/>
      <c r="C464" s="194" t="s">
        <v>734</v>
      </c>
      <c r="D464" s="195" t="s">
        <v>706</v>
      </c>
      <c r="E464" s="2" t="s">
        <v>735</v>
      </c>
      <c r="F464" s="219" t="s">
        <v>1</v>
      </c>
      <c r="H464" s="2"/>
      <c r="I464" s="197" t="s">
        <v>734</v>
      </c>
      <c r="J464" s="195" t="s">
        <v>706</v>
      </c>
      <c r="K464" s="201" t="s">
        <v>735</v>
      </c>
      <c r="L464" s="219" t="s">
        <v>1</v>
      </c>
      <c r="O464" s="2"/>
      <c r="P464" s="3" t="s">
        <v>722</v>
      </c>
      <c r="Q464" s="2" t="s">
        <v>1</v>
      </c>
      <c r="S464" s="2"/>
      <c r="T464" s="3" t="s">
        <v>722</v>
      </c>
      <c r="U464" s="2" t="s">
        <v>1</v>
      </c>
    </row>
    <row r="465" spans="1:22" x14ac:dyDescent="0.15">
      <c r="A465" s="1"/>
      <c r="B465" s="164" t="s">
        <v>26</v>
      </c>
      <c r="C465" s="200">
        <f>C460</f>
        <v>147</v>
      </c>
      <c r="D465" s="164">
        <f t="shared" ref="D465:E465" si="167">D460</f>
        <v>52</v>
      </c>
      <c r="E465" s="164">
        <f t="shared" si="167"/>
        <v>35</v>
      </c>
      <c r="F465" s="222">
        <f>SUM(C465:E465)</f>
        <v>234</v>
      </c>
      <c r="H465" s="164" t="s">
        <v>26</v>
      </c>
      <c r="I465" s="200">
        <f>I460</f>
        <v>2400</v>
      </c>
      <c r="J465" s="164">
        <f t="shared" ref="J465:K465" si="168">J460</f>
        <v>0</v>
      </c>
      <c r="K465" s="200">
        <f t="shared" si="168"/>
        <v>480</v>
      </c>
      <c r="L465" s="222">
        <f t="shared" ref="L465:L475" si="169">SUM(I465:K465)</f>
        <v>2880</v>
      </c>
      <c r="M465" s="210"/>
      <c r="O465" s="171" t="s">
        <v>26</v>
      </c>
      <c r="P465" s="200">
        <f>P460</f>
        <v>64</v>
      </c>
      <c r="Q465" s="180">
        <f t="shared" ref="Q465:Q475" si="170">SUM(P465:P465)</f>
        <v>64</v>
      </c>
      <c r="R465" s="185"/>
      <c r="S465" s="43" t="s">
        <v>26</v>
      </c>
      <c r="T465" s="38">
        <f>T460</f>
        <v>603</v>
      </c>
      <c r="U465" s="39">
        <f t="shared" ref="U465:U475" si="171">SUM(T465:T465)</f>
        <v>603</v>
      </c>
    </row>
    <row r="466" spans="1:22" x14ac:dyDescent="0.15">
      <c r="A466" s="75"/>
      <c r="B466" s="6" t="s">
        <v>3</v>
      </c>
      <c r="C466" s="188">
        <v>200</v>
      </c>
      <c r="D466" s="6"/>
      <c r="E466" s="202"/>
      <c r="F466" s="220">
        <f t="shared" ref="F466:F475" si="172">SUM(C466:E466)</f>
        <v>200</v>
      </c>
      <c r="G466" s="211">
        <v>44638</v>
      </c>
      <c r="H466" s="6" t="s">
        <v>3</v>
      </c>
      <c r="I466" s="188"/>
      <c r="J466" s="6"/>
      <c r="K466" s="202"/>
      <c r="L466" s="220">
        <f t="shared" si="169"/>
        <v>0</v>
      </c>
      <c r="M466" s="211"/>
      <c r="O466" s="6" t="s">
        <v>3</v>
      </c>
      <c r="P466" s="7"/>
      <c r="Q466" s="5">
        <f t="shared" si="170"/>
        <v>0</v>
      </c>
      <c r="R466" s="186"/>
      <c r="S466" s="6" t="s">
        <v>3</v>
      </c>
      <c r="T466" s="7"/>
      <c r="U466" s="5">
        <f t="shared" si="171"/>
        <v>0</v>
      </c>
    </row>
    <row r="467" spans="1:22" x14ac:dyDescent="0.15">
      <c r="A467" s="1"/>
      <c r="B467" s="6" t="s">
        <v>3</v>
      </c>
      <c r="C467" s="6">
        <v>64</v>
      </c>
      <c r="D467" s="6">
        <v>64</v>
      </c>
      <c r="E467" s="4">
        <v>64</v>
      </c>
      <c r="F467" s="220">
        <f t="shared" si="172"/>
        <v>192</v>
      </c>
      <c r="G467" s="211">
        <v>44638</v>
      </c>
      <c r="H467" s="6" t="s">
        <v>3</v>
      </c>
      <c r="I467" s="188"/>
      <c r="J467" s="225"/>
      <c r="K467" s="243"/>
      <c r="L467" s="220">
        <f t="shared" si="169"/>
        <v>0</v>
      </c>
      <c r="M467" s="211"/>
      <c r="O467" s="6" t="s">
        <v>3</v>
      </c>
      <c r="P467" s="7"/>
      <c r="Q467" s="5">
        <f t="shared" si="170"/>
        <v>0</v>
      </c>
      <c r="R467" s="186"/>
      <c r="S467" s="6" t="s">
        <v>3</v>
      </c>
      <c r="T467" s="7"/>
      <c r="U467" s="5">
        <f t="shared" si="171"/>
        <v>0</v>
      </c>
      <c r="V467" s="185"/>
    </row>
    <row r="468" spans="1:22" x14ac:dyDescent="0.15">
      <c r="A468" s="1"/>
      <c r="B468" s="6" t="s">
        <v>3</v>
      </c>
      <c r="C468" s="7"/>
      <c r="D468" s="6"/>
      <c r="E468" s="4"/>
      <c r="F468" s="220">
        <f t="shared" si="172"/>
        <v>0</v>
      </c>
      <c r="G468" s="211"/>
      <c r="H468" s="6" t="s">
        <v>3</v>
      </c>
      <c r="I468" s="188"/>
      <c r="J468" s="6"/>
      <c r="K468" s="202"/>
      <c r="L468" s="220">
        <f t="shared" si="169"/>
        <v>0</v>
      </c>
      <c r="M468" s="212"/>
      <c r="O468" s="6" t="s">
        <v>3</v>
      </c>
      <c r="P468" s="7"/>
      <c r="Q468" s="5">
        <f t="shared" si="170"/>
        <v>0</v>
      </c>
      <c r="R468" s="186"/>
      <c r="S468" s="6" t="s">
        <v>3</v>
      </c>
      <c r="T468" s="7"/>
      <c r="U468" s="5">
        <f t="shared" si="171"/>
        <v>0</v>
      </c>
    </row>
    <row r="469" spans="1:22" x14ac:dyDescent="0.15">
      <c r="A469" s="1"/>
      <c r="B469" s="6" t="s">
        <v>785</v>
      </c>
      <c r="C469" s="6"/>
      <c r="D469" s="6">
        <v>2</v>
      </c>
      <c r="E469" s="4"/>
      <c r="F469" s="220">
        <f t="shared" si="172"/>
        <v>2</v>
      </c>
      <c r="G469" s="211">
        <v>44658</v>
      </c>
      <c r="H469" s="6" t="s">
        <v>3</v>
      </c>
      <c r="I469" s="188"/>
      <c r="J469" s="6"/>
      <c r="K469" s="202"/>
      <c r="L469" s="220">
        <f t="shared" si="169"/>
        <v>0</v>
      </c>
      <c r="M469" s="212"/>
      <c r="O469" s="6" t="s">
        <v>3</v>
      </c>
      <c r="P469" s="7"/>
      <c r="Q469" s="5">
        <f t="shared" si="170"/>
        <v>0</v>
      </c>
      <c r="R469" s="186"/>
      <c r="S469" s="6" t="s">
        <v>3</v>
      </c>
      <c r="T469" s="7"/>
      <c r="U469" s="5">
        <f t="shared" si="171"/>
        <v>0</v>
      </c>
    </row>
    <row r="470" spans="1:22" x14ac:dyDescent="0.15">
      <c r="A470" s="1"/>
      <c r="B470" s="6" t="s">
        <v>3</v>
      </c>
      <c r="C470" s="6">
        <v>200</v>
      </c>
      <c r="D470" s="6"/>
      <c r="E470" s="4">
        <v>100</v>
      </c>
      <c r="F470" s="220">
        <f t="shared" si="172"/>
        <v>300</v>
      </c>
      <c r="G470" s="211">
        <v>44662</v>
      </c>
      <c r="H470" s="6" t="s">
        <v>3</v>
      </c>
      <c r="I470" s="188"/>
      <c r="J470" s="6"/>
      <c r="K470" s="202"/>
      <c r="L470" s="220">
        <f t="shared" si="169"/>
        <v>0</v>
      </c>
      <c r="M470" s="211"/>
      <c r="O470" s="6" t="s">
        <v>3</v>
      </c>
      <c r="P470" s="7"/>
      <c r="Q470" s="5">
        <f t="shared" si="170"/>
        <v>0</v>
      </c>
      <c r="R470" s="186"/>
      <c r="S470" s="6" t="s">
        <v>3</v>
      </c>
      <c r="T470" s="7"/>
      <c r="U470" s="5">
        <f t="shared" si="171"/>
        <v>0</v>
      </c>
      <c r="V470" s="185"/>
    </row>
    <row r="471" spans="1:22" x14ac:dyDescent="0.15">
      <c r="A471" s="1"/>
      <c r="B471" s="6" t="s">
        <v>3</v>
      </c>
      <c r="C471" s="6"/>
      <c r="D471" s="6"/>
      <c r="E471" s="4"/>
      <c r="F471" s="220">
        <f t="shared" si="172"/>
        <v>0</v>
      </c>
      <c r="G471" s="212"/>
      <c r="H471" s="6" t="s">
        <v>3</v>
      </c>
      <c r="I471" s="188"/>
      <c r="J471" s="6"/>
      <c r="K471" s="202"/>
      <c r="L471" s="220">
        <f t="shared" si="169"/>
        <v>0</v>
      </c>
      <c r="O471" s="6" t="s">
        <v>3</v>
      </c>
      <c r="P471" s="7"/>
      <c r="Q471" s="5">
        <f t="shared" si="170"/>
        <v>0</v>
      </c>
      <c r="R471" s="186"/>
      <c r="S471" s="6" t="s">
        <v>3</v>
      </c>
      <c r="T471" s="7"/>
      <c r="U471" s="5">
        <f t="shared" si="171"/>
        <v>0</v>
      </c>
    </row>
    <row r="472" spans="1:22" x14ac:dyDescent="0.15">
      <c r="A472" s="1"/>
      <c r="B472" s="6" t="s">
        <v>3</v>
      </c>
      <c r="C472" s="6"/>
      <c r="D472" s="225"/>
      <c r="E472" s="226"/>
      <c r="F472" s="220">
        <f t="shared" si="172"/>
        <v>0</v>
      </c>
      <c r="G472" s="212"/>
      <c r="H472" s="6" t="s">
        <v>3</v>
      </c>
      <c r="I472" s="188"/>
      <c r="J472" s="225"/>
      <c r="K472" s="243"/>
      <c r="L472" s="220">
        <f t="shared" ref="L472" si="173">SUM(I472:K472)</f>
        <v>0</v>
      </c>
      <c r="M472" s="211"/>
      <c r="O472" s="6" t="s">
        <v>3</v>
      </c>
      <c r="P472" s="8"/>
      <c r="Q472" s="5">
        <f t="shared" si="170"/>
        <v>0</v>
      </c>
      <c r="R472" s="186"/>
      <c r="S472" s="6" t="s">
        <v>3</v>
      </c>
      <c r="T472" s="54"/>
      <c r="U472" s="5">
        <f t="shared" si="171"/>
        <v>0</v>
      </c>
      <c r="V472" s="211"/>
    </row>
    <row r="473" spans="1:22" x14ac:dyDescent="0.15">
      <c r="A473" s="1"/>
      <c r="B473" s="6" t="s">
        <v>3</v>
      </c>
      <c r="C473" s="6"/>
      <c r="D473" s="225"/>
      <c r="E473" s="226"/>
      <c r="F473" s="220">
        <f t="shared" si="172"/>
        <v>0</v>
      </c>
      <c r="H473" s="6" t="s">
        <v>3</v>
      </c>
      <c r="I473" s="188"/>
      <c r="J473" s="225"/>
      <c r="K473" s="243"/>
      <c r="L473" s="220">
        <f t="shared" si="169"/>
        <v>0</v>
      </c>
      <c r="M473" s="212"/>
      <c r="O473" s="6" t="s">
        <v>3</v>
      </c>
      <c r="P473" s="8"/>
      <c r="Q473" s="5">
        <f t="shared" si="170"/>
        <v>0</v>
      </c>
      <c r="R473" s="186"/>
      <c r="S473" s="6" t="s">
        <v>3</v>
      </c>
      <c r="T473" s="8"/>
      <c r="U473" s="5">
        <f t="shared" si="171"/>
        <v>0</v>
      </c>
    </row>
    <row r="474" spans="1:22" x14ac:dyDescent="0.15">
      <c r="A474" s="1"/>
      <c r="B474" s="6" t="s">
        <v>3</v>
      </c>
      <c r="C474" s="6"/>
      <c r="D474" s="225"/>
      <c r="E474" s="226"/>
      <c r="F474" s="220">
        <f t="shared" si="172"/>
        <v>0</v>
      </c>
      <c r="H474" s="6" t="s">
        <v>3</v>
      </c>
      <c r="I474" s="188"/>
      <c r="J474" s="225"/>
      <c r="K474" s="243"/>
      <c r="L474" s="220">
        <f t="shared" si="169"/>
        <v>0</v>
      </c>
      <c r="O474" s="6" t="s">
        <v>3</v>
      </c>
      <c r="P474" s="8"/>
      <c r="Q474" s="5">
        <f t="shared" si="170"/>
        <v>0</v>
      </c>
      <c r="R474" s="186"/>
      <c r="S474" s="6" t="s">
        <v>3</v>
      </c>
      <c r="T474" s="8"/>
      <c r="U474" s="5">
        <f t="shared" si="171"/>
        <v>0</v>
      </c>
    </row>
    <row r="475" spans="1:22" ht="14.25" thickBot="1" x14ac:dyDescent="0.2">
      <c r="A475" s="1"/>
      <c r="B475" s="9" t="s">
        <v>3</v>
      </c>
      <c r="C475" s="9"/>
      <c r="D475" s="237"/>
      <c r="E475" s="238"/>
      <c r="F475" s="220">
        <f t="shared" si="172"/>
        <v>0</v>
      </c>
      <c r="H475" s="9" t="s">
        <v>3</v>
      </c>
      <c r="I475" s="198"/>
      <c r="J475" s="244"/>
      <c r="K475" s="245"/>
      <c r="L475" s="220">
        <f t="shared" si="169"/>
        <v>0</v>
      </c>
      <c r="O475" s="9" t="s">
        <v>3</v>
      </c>
      <c r="P475" s="10"/>
      <c r="Q475" s="5">
        <f t="shared" si="170"/>
        <v>0</v>
      </c>
      <c r="R475" s="186"/>
      <c r="S475" s="9" t="s">
        <v>3</v>
      </c>
      <c r="T475" s="10"/>
      <c r="U475" s="5">
        <f t="shared" si="171"/>
        <v>0</v>
      </c>
    </row>
    <row r="476" spans="1:22" ht="14.25" thickBot="1" x14ac:dyDescent="0.2">
      <c r="A476" s="1"/>
      <c r="B476" s="11" t="s">
        <v>4</v>
      </c>
      <c r="C476" s="193">
        <f>SUM(C465:C475)</f>
        <v>611</v>
      </c>
      <c r="D476" s="193">
        <f>SUM(D465:D475)</f>
        <v>118</v>
      </c>
      <c r="E476" s="193">
        <f>SUM(E465:E475)</f>
        <v>199</v>
      </c>
      <c r="F476" s="221">
        <f>SUM(F465:F475)</f>
        <v>928</v>
      </c>
      <c r="H476" s="11" t="s">
        <v>4</v>
      </c>
      <c r="I476" s="193">
        <f>SUM(I465:I475)</f>
        <v>2400</v>
      </c>
      <c r="J476" s="193">
        <f>SUM(J465:J475)</f>
        <v>0</v>
      </c>
      <c r="K476" s="193">
        <f t="shared" ref="K476" si="174">SUM(K465:K475)</f>
        <v>480</v>
      </c>
      <c r="L476" s="221">
        <f>SUM(L465:L475)</f>
        <v>2880</v>
      </c>
      <c r="O476" s="11" t="s">
        <v>4</v>
      </c>
      <c r="P476" s="12">
        <f>SUM(P465:P475)</f>
        <v>64</v>
      </c>
      <c r="Q476" s="13">
        <f>SUM(Q465:Q475)</f>
        <v>64</v>
      </c>
      <c r="S476" s="11" t="s">
        <v>4</v>
      </c>
      <c r="T476" s="12">
        <f>SUM(T465:T475)</f>
        <v>603</v>
      </c>
      <c r="U476" s="13">
        <f>SUM(U465:U475)</f>
        <v>603</v>
      </c>
    </row>
    <row r="477" spans="1:22" x14ac:dyDescent="0.15">
      <c r="A477" s="1"/>
      <c r="B477" s="4" t="s">
        <v>764</v>
      </c>
      <c r="C477" s="215">
        <v>10</v>
      </c>
      <c r="D477" s="215">
        <v>10</v>
      </c>
      <c r="E477" s="216">
        <v>10</v>
      </c>
      <c r="F477" s="220">
        <f t="shared" ref="F477:F500" si="175">SUM(C477:E477)</f>
        <v>30</v>
      </c>
      <c r="G477" s="211">
        <v>44635</v>
      </c>
      <c r="H477" s="6" t="s">
        <v>894</v>
      </c>
      <c r="I477" s="235">
        <v>200</v>
      </c>
      <c r="J477" s="215"/>
      <c r="K477" s="240"/>
      <c r="L477" s="220">
        <f t="shared" ref="L477:L498" si="176">SUM(I477:K477)</f>
        <v>200</v>
      </c>
      <c r="M477" s="211">
        <v>44638</v>
      </c>
      <c r="O477" s="4" t="s">
        <v>898</v>
      </c>
      <c r="P477" s="44">
        <v>64</v>
      </c>
      <c r="Q477" s="14">
        <f t="shared" ref="Q477:Q500" si="177">SUM(P477:P477)</f>
        <v>64</v>
      </c>
      <c r="R477" s="185">
        <v>44638</v>
      </c>
      <c r="S477" s="6"/>
      <c r="T477" s="44"/>
      <c r="U477" s="14">
        <f t="shared" ref="U477:U497" si="178">SUM(T477:T477)</f>
        <v>0</v>
      </c>
      <c r="V477" s="185"/>
    </row>
    <row r="478" spans="1:22" x14ac:dyDescent="0.15">
      <c r="A478" s="1"/>
      <c r="B478" s="4" t="s">
        <v>749</v>
      </c>
      <c r="C478" s="216">
        <f>1+1+4+1</f>
        <v>7</v>
      </c>
      <c r="D478" s="232">
        <f>1+1</f>
        <v>2</v>
      </c>
      <c r="E478" s="232">
        <f>1+1</f>
        <v>2</v>
      </c>
      <c r="F478" s="220">
        <f t="shared" si="175"/>
        <v>11</v>
      </c>
      <c r="G478" s="211">
        <v>44634</v>
      </c>
      <c r="H478" s="6" t="s">
        <v>745</v>
      </c>
      <c r="I478" s="215">
        <v>200</v>
      </c>
      <c r="J478" s="215"/>
      <c r="K478" s="216">
        <v>100</v>
      </c>
      <c r="L478" s="220">
        <f t="shared" si="176"/>
        <v>300</v>
      </c>
      <c r="M478" s="211">
        <v>44662</v>
      </c>
      <c r="O478" s="4"/>
      <c r="P478" s="15"/>
      <c r="Q478" s="14">
        <f t="shared" si="177"/>
        <v>0</v>
      </c>
      <c r="R478" s="186"/>
      <c r="S478" s="4"/>
      <c r="T478" s="15"/>
      <c r="U478" s="14">
        <f t="shared" si="178"/>
        <v>0</v>
      </c>
      <c r="V478" s="185"/>
    </row>
    <row r="479" spans="1:22" x14ac:dyDescent="0.15">
      <c r="A479" s="1"/>
      <c r="B479" s="4" t="s">
        <v>749</v>
      </c>
      <c r="C479" s="216">
        <f>1+1+2+1</f>
        <v>5</v>
      </c>
      <c r="D479" s="232">
        <f>2+1</f>
        <v>3</v>
      </c>
      <c r="E479" s="232">
        <f>1+1</f>
        <v>2</v>
      </c>
      <c r="F479" s="220">
        <f t="shared" si="175"/>
        <v>10</v>
      </c>
      <c r="G479" s="248">
        <v>44635</v>
      </c>
      <c r="H479" s="6"/>
      <c r="I479" s="216"/>
      <c r="J479" s="232"/>
      <c r="K479" s="232"/>
      <c r="L479" s="220">
        <f t="shared" si="176"/>
        <v>0</v>
      </c>
      <c r="M479" s="212"/>
      <c r="O479" s="4"/>
      <c r="P479" s="15"/>
      <c r="Q479" s="14">
        <f t="shared" si="177"/>
        <v>0</v>
      </c>
      <c r="R479" s="186"/>
      <c r="S479" s="4"/>
      <c r="T479" s="15"/>
      <c r="U479" s="14">
        <f t="shared" si="178"/>
        <v>0</v>
      </c>
    </row>
    <row r="480" spans="1:22" x14ac:dyDescent="0.15">
      <c r="A480" s="1"/>
      <c r="B480" s="4" t="s">
        <v>749</v>
      </c>
      <c r="C480" s="233">
        <f>6+3+5</f>
        <v>14</v>
      </c>
      <c r="D480" s="234"/>
      <c r="E480" s="234"/>
      <c r="F480" s="220">
        <f t="shared" si="175"/>
        <v>14</v>
      </c>
      <c r="G480" s="248">
        <v>44636</v>
      </c>
      <c r="H480" s="4"/>
      <c r="I480" s="233"/>
      <c r="J480" s="234"/>
      <c r="K480" s="234"/>
      <c r="L480" s="220">
        <f t="shared" si="176"/>
        <v>0</v>
      </c>
      <c r="M480" s="212"/>
      <c r="O480" s="4"/>
      <c r="P480" s="15"/>
      <c r="Q480" s="14">
        <f t="shared" si="177"/>
        <v>0</v>
      </c>
      <c r="R480" s="186"/>
      <c r="S480" s="4"/>
      <c r="T480" s="15"/>
      <c r="U480" s="14">
        <f t="shared" si="178"/>
        <v>0</v>
      </c>
    </row>
    <row r="481" spans="1:22" x14ac:dyDescent="0.15">
      <c r="A481" s="1"/>
      <c r="B481" s="4" t="s">
        <v>749</v>
      </c>
      <c r="C481" s="233">
        <f>2+5</f>
        <v>7</v>
      </c>
      <c r="D481" s="234"/>
      <c r="E481" s="234"/>
      <c r="F481" s="220">
        <f t="shared" si="175"/>
        <v>7</v>
      </c>
      <c r="G481" s="248">
        <v>44637</v>
      </c>
      <c r="H481" s="4"/>
      <c r="I481" s="233"/>
      <c r="J481" s="234"/>
      <c r="K481" s="234"/>
      <c r="L481" s="220">
        <f t="shared" si="176"/>
        <v>0</v>
      </c>
      <c r="O481" s="4"/>
      <c r="P481" s="15"/>
      <c r="Q481" s="14">
        <f t="shared" si="177"/>
        <v>0</v>
      </c>
      <c r="R481" s="186"/>
      <c r="S481" s="4"/>
      <c r="T481" s="15"/>
      <c r="U481" s="14">
        <f t="shared" si="178"/>
        <v>0</v>
      </c>
    </row>
    <row r="482" spans="1:22" x14ac:dyDescent="0.15">
      <c r="A482" s="1"/>
      <c r="B482" s="4" t="s">
        <v>787</v>
      </c>
      <c r="C482" s="233">
        <v>15</v>
      </c>
      <c r="D482" s="234">
        <v>15</v>
      </c>
      <c r="E482" s="234">
        <v>15</v>
      </c>
      <c r="F482" s="220">
        <f t="shared" si="175"/>
        <v>45</v>
      </c>
      <c r="G482" s="211">
        <v>44638</v>
      </c>
      <c r="H482" s="4"/>
      <c r="I482" s="233"/>
      <c r="J482" s="234"/>
      <c r="K482" s="234"/>
      <c r="L482" s="220">
        <f t="shared" si="176"/>
        <v>0</v>
      </c>
      <c r="O482" s="4"/>
      <c r="P482" s="15"/>
      <c r="Q482" s="14">
        <f t="shared" si="177"/>
        <v>0</v>
      </c>
      <c r="R482" s="186"/>
      <c r="S482" s="4"/>
      <c r="T482" s="15"/>
      <c r="U482" s="14">
        <f t="shared" si="178"/>
        <v>0</v>
      </c>
    </row>
    <row r="483" spans="1:22" x14ac:dyDescent="0.15">
      <c r="A483" s="1"/>
      <c r="B483" s="4" t="s">
        <v>895</v>
      </c>
      <c r="C483" s="233">
        <v>40</v>
      </c>
      <c r="D483" s="234">
        <v>10</v>
      </c>
      <c r="E483" s="234">
        <v>5</v>
      </c>
      <c r="F483" s="220">
        <f t="shared" si="175"/>
        <v>55</v>
      </c>
      <c r="G483" s="211">
        <v>44638</v>
      </c>
      <c r="H483" s="4"/>
      <c r="I483" s="233"/>
      <c r="J483" s="234"/>
      <c r="K483" s="234"/>
      <c r="L483" s="220">
        <f t="shared" si="176"/>
        <v>0</v>
      </c>
      <c r="O483" s="4"/>
      <c r="P483" s="15"/>
      <c r="Q483" s="14">
        <f t="shared" si="177"/>
        <v>0</v>
      </c>
      <c r="R483" s="186"/>
      <c r="S483" s="4"/>
      <c r="T483" s="15"/>
      <c r="U483" s="14">
        <f t="shared" si="178"/>
        <v>0</v>
      </c>
    </row>
    <row r="484" spans="1:22" x14ac:dyDescent="0.15">
      <c r="A484" s="1"/>
      <c r="B484" s="4" t="s">
        <v>764</v>
      </c>
      <c r="C484" s="233">
        <v>40</v>
      </c>
      <c r="D484" s="234">
        <v>10</v>
      </c>
      <c r="E484" s="234">
        <v>10</v>
      </c>
      <c r="F484" s="220">
        <f t="shared" si="175"/>
        <v>60</v>
      </c>
      <c r="G484" s="211">
        <v>44639</v>
      </c>
      <c r="H484" s="4"/>
      <c r="I484" s="233"/>
      <c r="J484" s="234"/>
      <c r="K484" s="234"/>
      <c r="L484" s="220">
        <f t="shared" si="176"/>
        <v>0</v>
      </c>
      <c r="O484" s="4"/>
      <c r="P484" s="15"/>
      <c r="Q484" s="14">
        <f t="shared" si="177"/>
        <v>0</v>
      </c>
      <c r="R484" s="186"/>
      <c r="S484" s="4"/>
      <c r="T484" s="15"/>
      <c r="U484" s="14">
        <f t="shared" si="178"/>
        <v>0</v>
      </c>
    </row>
    <row r="485" spans="1:22" x14ac:dyDescent="0.15">
      <c r="A485" s="1"/>
      <c r="B485" s="4" t="s">
        <v>787</v>
      </c>
      <c r="C485" s="233">
        <v>10</v>
      </c>
      <c r="D485" s="234">
        <v>10</v>
      </c>
      <c r="E485" s="234">
        <v>10</v>
      </c>
      <c r="F485" s="220">
        <f t="shared" si="175"/>
        <v>30</v>
      </c>
      <c r="G485" s="211">
        <v>44639</v>
      </c>
      <c r="H485" s="4"/>
      <c r="I485" s="187"/>
      <c r="J485" s="15"/>
      <c r="K485" s="15"/>
      <c r="L485" s="220">
        <f t="shared" si="176"/>
        <v>0</v>
      </c>
      <c r="O485" s="4"/>
      <c r="P485" s="15"/>
      <c r="Q485" s="14">
        <f t="shared" si="177"/>
        <v>0</v>
      </c>
      <c r="R485" s="186"/>
      <c r="S485" s="4"/>
      <c r="T485" s="15"/>
      <c r="U485" s="14">
        <f t="shared" si="178"/>
        <v>0</v>
      </c>
    </row>
    <row r="486" spans="1:22" x14ac:dyDescent="0.15">
      <c r="A486" s="1"/>
      <c r="B486" s="4" t="s">
        <v>749</v>
      </c>
      <c r="C486" s="233"/>
      <c r="D486" s="234">
        <v>1</v>
      </c>
      <c r="E486" s="234"/>
      <c r="F486" s="220">
        <f t="shared" si="175"/>
        <v>1</v>
      </c>
      <c r="G486" s="211">
        <v>44639</v>
      </c>
      <c r="H486" s="4"/>
      <c r="I486" s="187"/>
      <c r="J486" s="15"/>
      <c r="K486" s="15"/>
      <c r="L486" s="220">
        <f t="shared" si="176"/>
        <v>0</v>
      </c>
      <c r="O486" s="4"/>
      <c r="P486" s="15"/>
      <c r="Q486" s="14">
        <f t="shared" si="177"/>
        <v>0</v>
      </c>
      <c r="R486" s="186"/>
      <c r="S486" s="4"/>
      <c r="T486" s="15"/>
      <c r="U486" s="14">
        <f t="shared" si="178"/>
        <v>0</v>
      </c>
    </row>
    <row r="487" spans="1:22" x14ac:dyDescent="0.15">
      <c r="A487" s="1"/>
      <c r="B487" s="4" t="s">
        <v>749</v>
      </c>
      <c r="C487" s="233">
        <f>1+1+14</f>
        <v>16</v>
      </c>
      <c r="D487" s="234">
        <v>2</v>
      </c>
      <c r="E487" s="234">
        <v>2</v>
      </c>
      <c r="F487" s="220">
        <f t="shared" si="175"/>
        <v>20</v>
      </c>
      <c r="G487" s="248">
        <v>44642</v>
      </c>
      <c r="H487" s="4"/>
      <c r="I487" s="187"/>
      <c r="J487" s="15"/>
      <c r="K487" s="15"/>
      <c r="L487" s="220">
        <f t="shared" si="176"/>
        <v>0</v>
      </c>
      <c r="O487" s="4"/>
      <c r="P487" s="15"/>
      <c r="Q487" s="14">
        <f t="shared" si="177"/>
        <v>0</v>
      </c>
      <c r="R487" s="186"/>
      <c r="S487" s="4"/>
      <c r="T487" s="15"/>
      <c r="U487" s="14">
        <f t="shared" si="178"/>
        <v>0</v>
      </c>
    </row>
    <row r="488" spans="1:22" x14ac:dyDescent="0.15">
      <c r="A488" s="1"/>
      <c r="B488" s="4" t="s">
        <v>749</v>
      </c>
      <c r="C488" s="235">
        <f>3+5+2</f>
        <v>10</v>
      </c>
      <c r="D488" s="234"/>
      <c r="E488" s="234"/>
      <c r="F488" s="220">
        <f t="shared" si="175"/>
        <v>10</v>
      </c>
      <c r="G488" s="248">
        <v>44643</v>
      </c>
      <c r="H488" s="6"/>
      <c r="I488" s="188"/>
      <c r="J488" s="15"/>
      <c r="K488" s="15"/>
      <c r="L488" s="220">
        <f t="shared" si="176"/>
        <v>0</v>
      </c>
      <c r="O488" s="6"/>
      <c r="P488" s="15"/>
      <c r="Q488" s="14">
        <f t="shared" si="177"/>
        <v>0</v>
      </c>
      <c r="R488" s="186"/>
      <c r="S488" s="6"/>
      <c r="T488" s="15"/>
      <c r="U488" s="14">
        <f t="shared" si="178"/>
        <v>0</v>
      </c>
    </row>
    <row r="489" spans="1:22" x14ac:dyDescent="0.15">
      <c r="A489" s="1"/>
      <c r="B489" s="4" t="s">
        <v>749</v>
      </c>
      <c r="C489" s="235">
        <f>4+1+1</f>
        <v>6</v>
      </c>
      <c r="D489" s="234">
        <f>2+1</f>
        <v>3</v>
      </c>
      <c r="E489" s="234"/>
      <c r="F489" s="220">
        <f t="shared" si="175"/>
        <v>9</v>
      </c>
      <c r="G489" s="248">
        <v>44645</v>
      </c>
      <c r="H489" s="6"/>
      <c r="I489" s="188"/>
      <c r="J489" s="15"/>
      <c r="K489" s="15"/>
      <c r="L489" s="220">
        <f t="shared" si="176"/>
        <v>0</v>
      </c>
      <c r="O489" s="6"/>
      <c r="P489" s="15"/>
      <c r="Q489" s="14">
        <f t="shared" si="177"/>
        <v>0</v>
      </c>
      <c r="R489" s="186"/>
      <c r="S489" s="6"/>
      <c r="T489" s="15"/>
      <c r="U489" s="14">
        <f t="shared" si="178"/>
        <v>0</v>
      </c>
    </row>
    <row r="490" spans="1:22" x14ac:dyDescent="0.15">
      <c r="A490" s="1"/>
      <c r="B490" s="4" t="s">
        <v>749</v>
      </c>
      <c r="C490" s="233">
        <f>11+1+1+1+1</f>
        <v>15</v>
      </c>
      <c r="D490" s="234">
        <f>2+1</f>
        <v>3</v>
      </c>
      <c r="E490" s="234">
        <f>1+1</f>
        <v>2</v>
      </c>
      <c r="F490" s="220">
        <f t="shared" si="175"/>
        <v>20</v>
      </c>
      <c r="G490" s="211">
        <v>44648</v>
      </c>
      <c r="H490" s="4"/>
      <c r="I490" s="187"/>
      <c r="J490" s="15"/>
      <c r="K490" s="15"/>
      <c r="L490" s="220">
        <f t="shared" si="176"/>
        <v>0</v>
      </c>
      <c r="O490" s="4"/>
      <c r="P490" s="15"/>
      <c r="Q490" s="14">
        <f t="shared" si="177"/>
        <v>0</v>
      </c>
      <c r="R490" s="186"/>
      <c r="S490" s="4"/>
      <c r="T490" s="15"/>
      <c r="U490" s="14">
        <f t="shared" si="178"/>
        <v>0</v>
      </c>
    </row>
    <row r="491" spans="1:22" x14ac:dyDescent="0.15">
      <c r="A491" s="1"/>
      <c r="B491" s="4" t="s">
        <v>764</v>
      </c>
      <c r="C491" s="233">
        <v>50</v>
      </c>
      <c r="D491" s="234"/>
      <c r="E491" s="234"/>
      <c r="F491" s="220">
        <f t="shared" si="175"/>
        <v>50</v>
      </c>
      <c r="G491" s="211">
        <v>44650</v>
      </c>
      <c r="H491" s="4"/>
      <c r="I491" s="187"/>
      <c r="J491" s="15"/>
      <c r="K491" s="15"/>
      <c r="L491" s="220">
        <f t="shared" si="176"/>
        <v>0</v>
      </c>
      <c r="O491" s="4"/>
      <c r="P491" s="15"/>
      <c r="Q491" s="14">
        <f t="shared" si="177"/>
        <v>0</v>
      </c>
      <c r="R491" s="186"/>
      <c r="S491" s="4"/>
      <c r="T491" s="15"/>
      <c r="U491" s="14">
        <f t="shared" si="178"/>
        <v>0</v>
      </c>
    </row>
    <row r="492" spans="1:22" x14ac:dyDescent="0.15">
      <c r="A492" s="1"/>
      <c r="B492" s="4" t="s">
        <v>749</v>
      </c>
      <c r="C492" s="233">
        <f>2+1</f>
        <v>3</v>
      </c>
      <c r="D492" s="234"/>
      <c r="E492" s="234">
        <v>1</v>
      </c>
      <c r="F492" s="220">
        <f t="shared" si="175"/>
        <v>4</v>
      </c>
      <c r="G492" s="248">
        <v>44650</v>
      </c>
      <c r="H492" s="4"/>
      <c r="I492" s="187"/>
      <c r="J492" s="15"/>
      <c r="K492" s="15"/>
      <c r="L492" s="220">
        <f t="shared" si="176"/>
        <v>0</v>
      </c>
      <c r="O492" s="4"/>
      <c r="P492" s="15"/>
      <c r="Q492" s="14">
        <f t="shared" si="177"/>
        <v>0</v>
      </c>
      <c r="R492" s="186"/>
      <c r="S492" s="4"/>
      <c r="T492" s="15"/>
      <c r="U492" s="14">
        <f t="shared" si="178"/>
        <v>0</v>
      </c>
    </row>
    <row r="493" spans="1:22" x14ac:dyDescent="0.15">
      <c r="A493" s="1"/>
      <c r="B493" s="4" t="s">
        <v>749</v>
      </c>
      <c r="C493" s="235"/>
      <c r="D493" s="234"/>
      <c r="E493" s="234">
        <v>1</v>
      </c>
      <c r="F493" s="220">
        <f t="shared" si="175"/>
        <v>1</v>
      </c>
      <c r="G493" s="248">
        <v>44651</v>
      </c>
      <c r="H493" s="6"/>
      <c r="I493" s="188"/>
      <c r="J493" s="15"/>
      <c r="K493" s="15"/>
      <c r="L493" s="220">
        <f t="shared" si="176"/>
        <v>0</v>
      </c>
      <c r="O493" s="6"/>
      <c r="P493" s="15"/>
      <c r="Q493" s="14">
        <f t="shared" si="177"/>
        <v>0</v>
      </c>
      <c r="R493" s="186"/>
      <c r="S493" s="6"/>
      <c r="T493" s="15"/>
      <c r="U493" s="14">
        <f t="shared" si="178"/>
        <v>0</v>
      </c>
    </row>
    <row r="494" spans="1:22" x14ac:dyDescent="0.15">
      <c r="A494" s="1"/>
      <c r="B494" s="4" t="s">
        <v>749</v>
      </c>
      <c r="C494" s="233">
        <v>3</v>
      </c>
      <c r="D494" s="234"/>
      <c r="E494" s="234"/>
      <c r="F494" s="220">
        <f t="shared" si="175"/>
        <v>3</v>
      </c>
      <c r="G494" s="248">
        <v>44652</v>
      </c>
      <c r="H494" s="4"/>
      <c r="I494" s="187"/>
      <c r="J494" s="15"/>
      <c r="K494" s="15"/>
      <c r="L494" s="220">
        <f t="shared" si="176"/>
        <v>0</v>
      </c>
      <c r="O494" s="4"/>
      <c r="P494" s="15"/>
      <c r="Q494" s="14">
        <f t="shared" si="177"/>
        <v>0</v>
      </c>
      <c r="R494" s="186"/>
      <c r="S494" s="4"/>
      <c r="T494" s="15"/>
      <c r="U494" s="14">
        <f t="shared" si="178"/>
        <v>0</v>
      </c>
      <c r="V494" s="212"/>
    </row>
    <row r="495" spans="1:22" x14ac:dyDescent="0.15">
      <c r="A495" s="1"/>
      <c r="B495" s="4" t="s">
        <v>749</v>
      </c>
      <c r="C495" s="235">
        <v>3</v>
      </c>
      <c r="D495" s="234"/>
      <c r="E495" s="234"/>
      <c r="F495" s="220">
        <f t="shared" si="175"/>
        <v>3</v>
      </c>
      <c r="G495" s="248">
        <v>44653</v>
      </c>
      <c r="H495" s="6"/>
      <c r="I495" s="188"/>
      <c r="J495" s="15"/>
      <c r="K495" s="15"/>
      <c r="L495" s="220">
        <f t="shared" si="176"/>
        <v>0</v>
      </c>
      <c r="O495" s="6"/>
      <c r="P495" s="15"/>
      <c r="Q495" s="14">
        <f t="shared" si="177"/>
        <v>0</v>
      </c>
      <c r="R495" s="186"/>
      <c r="S495" s="6"/>
      <c r="T495" s="15"/>
      <c r="U495" s="14">
        <f t="shared" si="178"/>
        <v>0</v>
      </c>
    </row>
    <row r="496" spans="1:22" x14ac:dyDescent="0.15">
      <c r="A496" s="1"/>
      <c r="B496" s="4" t="s">
        <v>749</v>
      </c>
      <c r="C496" s="233">
        <v>1</v>
      </c>
      <c r="D496" s="234"/>
      <c r="E496" s="234"/>
      <c r="F496" s="220">
        <f t="shared" si="175"/>
        <v>1</v>
      </c>
      <c r="G496" s="248">
        <v>44655</v>
      </c>
      <c r="H496" s="4"/>
      <c r="I496" s="187"/>
      <c r="J496" s="15"/>
      <c r="K496" s="15"/>
      <c r="L496" s="220">
        <f t="shared" si="176"/>
        <v>0</v>
      </c>
      <c r="O496" s="4"/>
      <c r="P496" s="15"/>
      <c r="Q496" s="14">
        <f t="shared" si="177"/>
        <v>0</v>
      </c>
      <c r="R496" s="186"/>
      <c r="S496" s="4"/>
      <c r="T496" s="15"/>
      <c r="U496" s="14">
        <f t="shared" ref="U496" si="179">SUM(T496:T496)</f>
        <v>0</v>
      </c>
      <c r="V496" s="212"/>
    </row>
    <row r="497" spans="1:22" x14ac:dyDescent="0.15">
      <c r="A497" s="75"/>
      <c r="B497" s="4" t="s">
        <v>901</v>
      </c>
      <c r="C497" s="233">
        <v>50</v>
      </c>
      <c r="D497" s="234"/>
      <c r="E497" s="234"/>
      <c r="F497" s="220">
        <f t="shared" si="175"/>
        <v>50</v>
      </c>
      <c r="G497" s="211">
        <v>44656</v>
      </c>
      <c r="H497" s="4"/>
      <c r="I497" s="187"/>
      <c r="J497" s="15"/>
      <c r="K497" s="15"/>
      <c r="L497" s="220">
        <f t="shared" si="176"/>
        <v>0</v>
      </c>
      <c r="M497" s="212"/>
      <c r="O497" s="4"/>
      <c r="P497" s="15"/>
      <c r="Q497" s="14">
        <f t="shared" si="177"/>
        <v>0</v>
      </c>
      <c r="R497" s="186"/>
      <c r="S497" s="4"/>
      <c r="T497" s="15"/>
      <c r="U497" s="14">
        <f t="shared" si="178"/>
        <v>0</v>
      </c>
      <c r="V497" s="186"/>
    </row>
    <row r="498" spans="1:22" x14ac:dyDescent="0.15">
      <c r="A498" s="1"/>
      <c r="B498" s="4" t="s">
        <v>749</v>
      </c>
      <c r="C498" s="233">
        <f>3+1</f>
        <v>4</v>
      </c>
      <c r="D498" s="234"/>
      <c r="E498" s="234"/>
      <c r="F498" s="220">
        <f t="shared" si="175"/>
        <v>4</v>
      </c>
      <c r="G498" s="248">
        <v>44656</v>
      </c>
      <c r="H498" s="6"/>
      <c r="I498" s="233"/>
      <c r="J498" s="15"/>
      <c r="K498" s="15"/>
      <c r="L498" s="220">
        <f t="shared" si="176"/>
        <v>0</v>
      </c>
      <c r="M498" s="212"/>
      <c r="O498" s="4"/>
      <c r="P498" s="15"/>
      <c r="Q498" s="14">
        <f t="shared" si="177"/>
        <v>0</v>
      </c>
      <c r="R498" s="186"/>
      <c r="S498" s="4"/>
      <c r="T498" s="15"/>
      <c r="U498" s="14">
        <f t="shared" ref="U498" si="180">SUM(T498:T498)</f>
        <v>0</v>
      </c>
      <c r="V498" s="186"/>
    </row>
    <row r="499" spans="1:22" x14ac:dyDescent="0.15">
      <c r="A499" s="1"/>
      <c r="B499" s="4" t="s">
        <v>749</v>
      </c>
      <c r="C499" s="233">
        <f>3+1</f>
        <v>4</v>
      </c>
      <c r="D499" s="234"/>
      <c r="E499" s="234">
        <v>2</v>
      </c>
      <c r="F499" s="220">
        <f t="shared" si="175"/>
        <v>6</v>
      </c>
      <c r="G499" s="248">
        <v>44657</v>
      </c>
      <c r="H499" s="6"/>
      <c r="I499" s="206"/>
      <c r="J499" s="206"/>
      <c r="K499" s="206"/>
      <c r="L499" s="220">
        <f>SUM(I499:K499)</f>
        <v>0</v>
      </c>
      <c r="M499" s="212"/>
      <c r="O499" s="6"/>
      <c r="P499" s="15"/>
      <c r="Q499" s="14">
        <f t="shared" si="177"/>
        <v>0</v>
      </c>
      <c r="R499" s="186"/>
      <c r="S499" s="4"/>
      <c r="T499" s="15"/>
      <c r="U499" s="14">
        <f t="shared" ref="U499:U500" si="181">SUM(T499:T499)</f>
        <v>0</v>
      </c>
      <c r="V499" s="186"/>
    </row>
    <row r="500" spans="1:22" ht="14.25" thickBot="1" x14ac:dyDescent="0.2">
      <c r="A500" s="1"/>
      <c r="B500" s="6"/>
      <c r="C500" s="235"/>
      <c r="D500" s="234"/>
      <c r="E500" s="234"/>
      <c r="F500" s="220">
        <f t="shared" si="175"/>
        <v>0</v>
      </c>
      <c r="G500" s="211"/>
      <c r="H500" s="6"/>
      <c r="I500" s="206"/>
      <c r="J500" s="206"/>
      <c r="K500" s="206"/>
      <c r="L500" s="220">
        <f t="shared" ref="L500" si="182">SUM(I500:K500)</f>
        <v>0</v>
      </c>
      <c r="M500" s="212"/>
      <c r="O500" s="6"/>
      <c r="P500" s="15"/>
      <c r="Q500" s="14">
        <f t="shared" si="177"/>
        <v>0</v>
      </c>
      <c r="R500" s="186"/>
      <c r="S500" s="247"/>
      <c r="T500" s="252"/>
      <c r="U500" s="14">
        <f t="shared" si="181"/>
        <v>0</v>
      </c>
      <c r="V500" s="186"/>
    </row>
    <row r="501" spans="1:22" ht="14.25" thickBot="1" x14ac:dyDescent="0.2">
      <c r="A501" s="1"/>
      <c r="B501" s="3" t="s">
        <v>5</v>
      </c>
      <c r="C501" s="16">
        <f>SUM(C477:C500)</f>
        <v>313</v>
      </c>
      <c r="D501" s="16">
        <f>SUM(D477:D500)</f>
        <v>69</v>
      </c>
      <c r="E501" s="16">
        <f>SUM(E477:E500)</f>
        <v>62</v>
      </c>
      <c r="F501" s="223">
        <f>SUM(F477:F500)</f>
        <v>444</v>
      </c>
      <c r="H501" s="3" t="s">
        <v>5</v>
      </c>
      <c r="I501" s="16">
        <f>SUM(I477:I500)</f>
        <v>400</v>
      </c>
      <c r="J501" s="16">
        <f>SUM(J477:J500)</f>
        <v>0</v>
      </c>
      <c r="K501" s="16">
        <f>SUM(K477:K500)</f>
        <v>100</v>
      </c>
      <c r="L501" s="223">
        <f>SUM(L477:L500)</f>
        <v>500</v>
      </c>
      <c r="O501" s="3" t="s">
        <v>5</v>
      </c>
      <c r="P501" s="16">
        <f>SUM(P477:P500)</f>
        <v>64</v>
      </c>
      <c r="Q501" s="17">
        <f>SUM(Q477:Q500)</f>
        <v>64</v>
      </c>
      <c r="S501" s="3" t="s">
        <v>5</v>
      </c>
      <c r="T501" s="16">
        <f>SUM(T477:T500)</f>
        <v>0</v>
      </c>
      <c r="U501" s="17">
        <f>SUM(U477:U500)</f>
        <v>0</v>
      </c>
    </row>
    <row r="502" spans="1:22" ht="14.25" thickBot="1" x14ac:dyDescent="0.2">
      <c r="A502" s="1"/>
      <c r="B502" s="18" t="s">
        <v>6</v>
      </c>
      <c r="C502" s="19">
        <f>C476-C501</f>
        <v>298</v>
      </c>
      <c r="D502" s="19">
        <f>D476-D501</f>
        <v>49</v>
      </c>
      <c r="E502" s="19">
        <f t="shared" ref="E502" si="183">E476-E501</f>
        <v>137</v>
      </c>
      <c r="F502" s="221">
        <f>F476-F501</f>
        <v>484</v>
      </c>
      <c r="H502" s="18" t="s">
        <v>6</v>
      </c>
      <c r="I502" s="19">
        <f>I476-I501</f>
        <v>2000</v>
      </c>
      <c r="J502" s="19">
        <f>J476-J501</f>
        <v>0</v>
      </c>
      <c r="K502" s="19">
        <f t="shared" ref="K502" si="184">K476-K501</f>
        <v>380</v>
      </c>
      <c r="L502" s="221">
        <f>L476-L501</f>
        <v>2380</v>
      </c>
      <c r="O502" s="18" t="s">
        <v>6</v>
      </c>
      <c r="P502" s="19">
        <f>P476-P501</f>
        <v>0</v>
      </c>
      <c r="Q502" s="13">
        <f>Q476-Q501</f>
        <v>0</v>
      </c>
      <c r="S502" s="18" t="s">
        <v>6</v>
      </c>
      <c r="T502" s="19">
        <f>T476-T501</f>
        <v>603</v>
      </c>
      <c r="U502" s="13">
        <f>U476-U501</f>
        <v>603</v>
      </c>
    </row>
    <row r="505" spans="1:22" ht="18" thickBot="1" x14ac:dyDescent="0.25">
      <c r="A505" s="27" t="s">
        <v>739</v>
      </c>
      <c r="B505" s="28"/>
      <c r="C505" s="28"/>
      <c r="D505" s="28"/>
      <c r="E505" s="28"/>
      <c r="F505" s="218"/>
      <c r="H505" s="27" t="s">
        <v>740</v>
      </c>
      <c r="I505" s="28"/>
      <c r="J505" s="28"/>
      <c r="K505" s="28"/>
      <c r="L505" s="218"/>
      <c r="O505" s="181" t="s">
        <v>737</v>
      </c>
      <c r="P505" s="182"/>
      <c r="Q505" s="182"/>
      <c r="R505" s="183"/>
      <c r="S505" s="181" t="s">
        <v>733</v>
      </c>
      <c r="T505" s="182"/>
      <c r="U505" s="182"/>
    </row>
    <row r="506" spans="1:22" ht="14.25" thickBot="1" x14ac:dyDescent="0.2">
      <c r="A506" s="1"/>
      <c r="B506" s="2"/>
      <c r="C506" s="194" t="s">
        <v>734</v>
      </c>
      <c r="D506" s="195" t="s">
        <v>706</v>
      </c>
      <c r="E506" s="2" t="s">
        <v>735</v>
      </c>
      <c r="F506" s="219" t="s">
        <v>1</v>
      </c>
      <c r="H506" s="2"/>
      <c r="I506" s="197" t="s">
        <v>734</v>
      </c>
      <c r="J506" s="195" t="s">
        <v>706</v>
      </c>
      <c r="K506" s="201" t="s">
        <v>735</v>
      </c>
      <c r="L506" s="219" t="s">
        <v>1</v>
      </c>
      <c r="O506" s="2"/>
      <c r="P506" s="3" t="s">
        <v>722</v>
      </c>
      <c r="Q506" s="2" t="s">
        <v>1</v>
      </c>
      <c r="S506" s="2"/>
      <c r="T506" s="3" t="s">
        <v>722</v>
      </c>
      <c r="U506" s="2" t="s">
        <v>1</v>
      </c>
    </row>
    <row r="507" spans="1:22" x14ac:dyDescent="0.15">
      <c r="A507" s="1"/>
      <c r="B507" s="164" t="s">
        <v>26</v>
      </c>
      <c r="C507" s="200">
        <f>C502</f>
        <v>298</v>
      </c>
      <c r="D507" s="164">
        <f t="shared" ref="D507:F507" si="185">D502</f>
        <v>49</v>
      </c>
      <c r="E507" s="200">
        <f t="shared" si="185"/>
        <v>137</v>
      </c>
      <c r="F507" s="222">
        <f t="shared" si="185"/>
        <v>484</v>
      </c>
      <c r="H507" s="164" t="s">
        <v>26</v>
      </c>
      <c r="I507" s="200">
        <f>I502</f>
        <v>2000</v>
      </c>
      <c r="J507" s="164">
        <f t="shared" ref="J507:L507" si="186">J502</f>
        <v>0</v>
      </c>
      <c r="K507" s="200">
        <f t="shared" si="186"/>
        <v>380</v>
      </c>
      <c r="L507" s="222">
        <f t="shared" si="186"/>
        <v>2380</v>
      </c>
      <c r="M507" s="210"/>
      <c r="O507" s="171" t="s">
        <v>26</v>
      </c>
      <c r="P507" s="200">
        <f>P502</f>
        <v>0</v>
      </c>
      <c r="Q507" s="180">
        <f>Q502</f>
        <v>0</v>
      </c>
      <c r="R507" s="185"/>
      <c r="S507" s="43" t="s">
        <v>26</v>
      </c>
      <c r="T507" s="38">
        <f>T502</f>
        <v>603</v>
      </c>
      <c r="U507" s="39">
        <f>U502</f>
        <v>603</v>
      </c>
    </row>
    <row r="508" spans="1:22" x14ac:dyDescent="0.15">
      <c r="A508" s="75"/>
      <c r="B508" s="6" t="s">
        <v>3</v>
      </c>
      <c r="C508" s="188">
        <v>200</v>
      </c>
      <c r="D508" s="6"/>
      <c r="E508" s="202"/>
      <c r="F508" s="220">
        <f t="shared" ref="F508:F517" si="187">SUM(C508:E508)</f>
        <v>200</v>
      </c>
      <c r="G508" s="211">
        <v>44664</v>
      </c>
      <c r="H508" s="6" t="s">
        <v>3</v>
      </c>
      <c r="I508" s="188"/>
      <c r="J508" s="6"/>
      <c r="K508" s="202"/>
      <c r="L508" s="220">
        <f t="shared" ref="L508:L517" si="188">SUM(I508:K508)</f>
        <v>0</v>
      </c>
      <c r="M508" s="211"/>
      <c r="O508" s="6" t="s">
        <v>3</v>
      </c>
      <c r="P508" s="7"/>
      <c r="Q508" s="5">
        <f t="shared" ref="Q508:Q517" si="189">SUM(P508:P508)</f>
        <v>0</v>
      </c>
      <c r="R508" s="186"/>
      <c r="S508" s="6" t="s">
        <v>3</v>
      </c>
      <c r="T508" s="7"/>
      <c r="U508" s="5">
        <f t="shared" ref="U508:U517" si="190">SUM(T508:T508)</f>
        <v>0</v>
      </c>
    </row>
    <row r="509" spans="1:22" x14ac:dyDescent="0.15">
      <c r="A509" s="1"/>
      <c r="B509" s="6" t="s">
        <v>3</v>
      </c>
      <c r="C509" s="205"/>
      <c r="D509" s="189"/>
      <c r="E509" s="190"/>
      <c r="F509" s="220">
        <f t="shared" ref="F509:F515" si="191">SUM(C509:E509)</f>
        <v>0</v>
      </c>
      <c r="H509" s="6" t="s">
        <v>3</v>
      </c>
      <c r="I509" s="188"/>
      <c r="J509" s="225"/>
      <c r="K509" s="243"/>
      <c r="L509" s="220">
        <f t="shared" ref="L509:L515" si="192">SUM(I509:K509)</f>
        <v>0</v>
      </c>
      <c r="O509" s="6" t="s">
        <v>3</v>
      </c>
      <c r="P509" s="8"/>
      <c r="Q509" s="5">
        <f t="shared" ref="Q509:Q515" si="193">SUM(P509:P509)</f>
        <v>0</v>
      </c>
      <c r="R509" s="186"/>
      <c r="S509" s="6" t="s">
        <v>3</v>
      </c>
      <c r="T509" s="8"/>
      <c r="U509" s="5">
        <f t="shared" ref="U509:U515" si="194">SUM(T509:T509)</f>
        <v>0</v>
      </c>
    </row>
    <row r="510" spans="1:22" x14ac:dyDescent="0.15">
      <c r="A510" s="1"/>
      <c r="B510" s="6" t="s">
        <v>905</v>
      </c>
      <c r="C510" s="205"/>
      <c r="D510" s="189">
        <f>17-9</f>
        <v>8</v>
      </c>
      <c r="E510" s="190"/>
      <c r="F510" s="220">
        <f t="shared" si="191"/>
        <v>8</v>
      </c>
      <c r="G510" s="211">
        <v>44665</v>
      </c>
      <c r="H510" s="6" t="s">
        <v>3</v>
      </c>
      <c r="I510" s="188"/>
      <c r="J510" s="225"/>
      <c r="K510" s="243"/>
      <c r="L510" s="220">
        <f t="shared" si="192"/>
        <v>0</v>
      </c>
      <c r="M510" s="211"/>
      <c r="O510" s="6" t="s">
        <v>3</v>
      </c>
      <c r="P510" s="8"/>
      <c r="Q510" s="5">
        <f t="shared" si="193"/>
        <v>0</v>
      </c>
      <c r="R510" s="186"/>
      <c r="S510" s="6" t="s">
        <v>912</v>
      </c>
      <c r="T510" s="8">
        <v>88</v>
      </c>
      <c r="U510" s="5">
        <f t="shared" si="194"/>
        <v>88</v>
      </c>
      <c r="V510" s="185">
        <v>44667</v>
      </c>
    </row>
    <row r="511" spans="1:22" x14ac:dyDescent="0.15">
      <c r="A511" s="1"/>
      <c r="B511" s="6" t="s">
        <v>908</v>
      </c>
      <c r="C511" s="205">
        <f>21-11-5</f>
        <v>5</v>
      </c>
      <c r="D511" s="189">
        <f>21-11-5</f>
        <v>5</v>
      </c>
      <c r="E511" s="190">
        <f>21-11-5</f>
        <v>5</v>
      </c>
      <c r="F511" s="220">
        <f t="shared" si="191"/>
        <v>15</v>
      </c>
      <c r="G511" s="211">
        <v>44665</v>
      </c>
      <c r="H511" s="6" t="s">
        <v>3</v>
      </c>
      <c r="I511" s="188"/>
      <c r="J511" s="225"/>
      <c r="K511" s="243"/>
      <c r="L511" s="220">
        <f t="shared" si="192"/>
        <v>0</v>
      </c>
      <c r="O511" s="6" t="s">
        <v>3</v>
      </c>
      <c r="P511" s="8"/>
      <c r="Q511" s="5">
        <f t="shared" si="193"/>
        <v>0</v>
      </c>
      <c r="R511" s="186"/>
      <c r="S511" s="6" t="s">
        <v>3</v>
      </c>
      <c r="T511" s="8"/>
      <c r="U511" s="5">
        <f t="shared" si="194"/>
        <v>0</v>
      </c>
    </row>
    <row r="512" spans="1:22" x14ac:dyDescent="0.15">
      <c r="A512" s="1"/>
      <c r="B512" s="6" t="s">
        <v>905</v>
      </c>
      <c r="C512" s="205">
        <v>11</v>
      </c>
      <c r="D512" s="189">
        <v>11</v>
      </c>
      <c r="E512" s="190">
        <v>11</v>
      </c>
      <c r="F512" s="220">
        <f t="shared" si="191"/>
        <v>33</v>
      </c>
      <c r="G512" s="211">
        <v>44662</v>
      </c>
      <c r="H512" s="6" t="s">
        <v>3</v>
      </c>
      <c r="I512" s="188"/>
      <c r="J512" s="225"/>
      <c r="K512" s="243"/>
      <c r="L512" s="220">
        <f t="shared" si="192"/>
        <v>0</v>
      </c>
      <c r="O512" s="6" t="s">
        <v>3</v>
      </c>
      <c r="P512" s="8"/>
      <c r="Q512" s="5">
        <f t="shared" si="193"/>
        <v>0</v>
      </c>
      <c r="R512" s="186"/>
      <c r="S512" s="6" t="s">
        <v>3</v>
      </c>
      <c r="T512" s="8"/>
      <c r="U512" s="5">
        <f t="shared" si="194"/>
        <v>0</v>
      </c>
    </row>
    <row r="513" spans="1:22" x14ac:dyDescent="0.15">
      <c r="A513" s="1"/>
      <c r="B513" s="6" t="s">
        <v>905</v>
      </c>
      <c r="C513" s="205">
        <v>5</v>
      </c>
      <c r="D513" s="189">
        <v>5</v>
      </c>
      <c r="E513" s="190">
        <v>5</v>
      </c>
      <c r="F513" s="220">
        <f t="shared" si="191"/>
        <v>15</v>
      </c>
      <c r="G513" s="248">
        <v>44663</v>
      </c>
      <c r="H513" s="6" t="s">
        <v>3</v>
      </c>
      <c r="I513" s="188"/>
      <c r="J513" s="225"/>
      <c r="K513" s="243"/>
      <c r="L513" s="220">
        <f t="shared" si="192"/>
        <v>0</v>
      </c>
      <c r="O513" s="6" t="s">
        <v>3</v>
      </c>
      <c r="P513" s="8"/>
      <c r="Q513" s="5">
        <f t="shared" si="193"/>
        <v>0</v>
      </c>
      <c r="R513" s="186"/>
      <c r="S513" s="171" t="s">
        <v>3</v>
      </c>
      <c r="T513" s="253">
        <v>256</v>
      </c>
      <c r="U513" s="180">
        <f t="shared" si="194"/>
        <v>256</v>
      </c>
      <c r="V513" s="184" t="s">
        <v>919</v>
      </c>
    </row>
    <row r="514" spans="1:22" x14ac:dyDescent="0.15">
      <c r="A514" s="1"/>
      <c r="B514" s="6" t="s">
        <v>905</v>
      </c>
      <c r="C514" s="205"/>
      <c r="D514" s="189">
        <v>9</v>
      </c>
      <c r="E514" s="190"/>
      <c r="F514" s="220">
        <f t="shared" si="191"/>
        <v>9</v>
      </c>
      <c r="G514" s="248">
        <v>44663</v>
      </c>
      <c r="H514" s="6" t="s">
        <v>3</v>
      </c>
      <c r="I514" s="188"/>
      <c r="J514" s="225"/>
      <c r="K514" s="243"/>
      <c r="L514" s="220">
        <f t="shared" si="192"/>
        <v>0</v>
      </c>
      <c r="O514" s="6" t="s">
        <v>3</v>
      </c>
      <c r="P514" s="8"/>
      <c r="Q514" s="5">
        <f t="shared" si="193"/>
        <v>0</v>
      </c>
      <c r="R514" s="186"/>
      <c r="S514" s="171" t="s">
        <v>3</v>
      </c>
      <c r="T514" s="253"/>
      <c r="U514" s="180">
        <f t="shared" si="194"/>
        <v>0</v>
      </c>
      <c r="V514" s="179" t="s">
        <v>911</v>
      </c>
    </row>
    <row r="515" spans="1:22" x14ac:dyDescent="0.15">
      <c r="A515" s="1"/>
      <c r="B515" s="6" t="s">
        <v>905</v>
      </c>
      <c r="C515" s="205">
        <v>1</v>
      </c>
      <c r="D515" s="189">
        <v>1</v>
      </c>
      <c r="E515" s="190">
        <v>1</v>
      </c>
      <c r="F515" s="220">
        <f t="shared" si="191"/>
        <v>3</v>
      </c>
      <c r="G515" s="248">
        <v>44665</v>
      </c>
      <c r="H515" s="6" t="s">
        <v>3</v>
      </c>
      <c r="I515" s="188"/>
      <c r="J515" s="225"/>
      <c r="K515" s="243"/>
      <c r="L515" s="220">
        <f t="shared" si="192"/>
        <v>0</v>
      </c>
      <c r="O515" s="6" t="s">
        <v>3</v>
      </c>
      <c r="P515" s="8"/>
      <c r="Q515" s="5">
        <f t="shared" si="193"/>
        <v>0</v>
      </c>
      <c r="R515" s="186"/>
      <c r="S515" s="6" t="s">
        <v>3</v>
      </c>
      <c r="T515" s="8"/>
      <c r="U515" s="5">
        <f t="shared" si="194"/>
        <v>0</v>
      </c>
    </row>
    <row r="516" spans="1:22" x14ac:dyDescent="0.15">
      <c r="A516" s="1"/>
      <c r="B516" s="9" t="s">
        <v>3</v>
      </c>
      <c r="C516" s="205"/>
      <c r="D516" s="189"/>
      <c r="E516" s="190"/>
      <c r="F516" s="220">
        <f t="shared" si="187"/>
        <v>0</v>
      </c>
      <c r="H516" s="6" t="s">
        <v>3</v>
      </c>
      <c r="I516" s="188"/>
      <c r="J516" s="225"/>
      <c r="K516" s="243"/>
      <c r="L516" s="220">
        <f t="shared" si="188"/>
        <v>0</v>
      </c>
      <c r="O516" s="6" t="s">
        <v>3</v>
      </c>
      <c r="P516" s="8"/>
      <c r="Q516" s="5">
        <f t="shared" si="189"/>
        <v>0</v>
      </c>
      <c r="R516" s="186"/>
      <c r="S516" s="6" t="s">
        <v>3</v>
      </c>
      <c r="T516" s="8"/>
      <c r="U516" s="5">
        <f t="shared" si="190"/>
        <v>0</v>
      </c>
    </row>
    <row r="517" spans="1:22" ht="14.25" thickBot="1" x14ac:dyDescent="0.2">
      <c r="A517" s="1"/>
      <c r="B517" s="9" t="s">
        <v>3</v>
      </c>
      <c r="C517" s="236">
        <v>400</v>
      </c>
      <c r="D517" s="191"/>
      <c r="E517" s="192">
        <v>100</v>
      </c>
      <c r="F517" s="220">
        <f t="shared" si="187"/>
        <v>500</v>
      </c>
      <c r="G517" s="211">
        <v>44667</v>
      </c>
      <c r="H517" s="9" t="s">
        <v>3</v>
      </c>
      <c r="I517" s="198"/>
      <c r="J517" s="244"/>
      <c r="K517" s="245"/>
      <c r="L517" s="220">
        <f t="shared" si="188"/>
        <v>0</v>
      </c>
      <c r="O517" s="9" t="s">
        <v>3</v>
      </c>
      <c r="P517" s="10"/>
      <c r="Q517" s="5">
        <f t="shared" si="189"/>
        <v>0</v>
      </c>
      <c r="R517" s="186"/>
      <c r="S517" s="9" t="s">
        <v>3</v>
      </c>
      <c r="T517" s="10"/>
      <c r="U517" s="5">
        <f t="shared" si="190"/>
        <v>0</v>
      </c>
    </row>
    <row r="518" spans="1:22" ht="14.25" thickBot="1" x14ac:dyDescent="0.2">
      <c r="A518" s="1"/>
      <c r="B518" s="11" t="s">
        <v>4</v>
      </c>
      <c r="C518" s="193">
        <f>SUM(C507:C517)</f>
        <v>920</v>
      </c>
      <c r="D518" s="193">
        <f>SUM(D507:D517)</f>
        <v>88</v>
      </c>
      <c r="E518" s="193">
        <f>SUM(E507:E517)</f>
        <v>259</v>
      </c>
      <c r="F518" s="221">
        <f>SUM(F507:F517)</f>
        <v>1267</v>
      </c>
      <c r="H518" s="11" t="s">
        <v>4</v>
      </c>
      <c r="I518" s="193">
        <f>SUM(I507:I517)</f>
        <v>2000</v>
      </c>
      <c r="J518" s="193">
        <f>SUM(J507:J517)</f>
        <v>0</v>
      </c>
      <c r="K518" s="193">
        <f t="shared" ref="K518" si="195">SUM(K507:K517)</f>
        <v>380</v>
      </c>
      <c r="L518" s="221">
        <f>SUM(L507:L517)</f>
        <v>2380</v>
      </c>
      <c r="O518" s="11" t="s">
        <v>4</v>
      </c>
      <c r="P518" s="12">
        <f>SUM(P507:P517)</f>
        <v>0</v>
      </c>
      <c r="Q518" s="13">
        <f>SUM(Q507:Q517)</f>
        <v>0</v>
      </c>
      <c r="S518" s="11" t="s">
        <v>4</v>
      </c>
      <c r="T518" s="12">
        <f>SUM(T507:T517)</f>
        <v>947</v>
      </c>
      <c r="U518" s="13">
        <f>SUM(U507:U517)</f>
        <v>947</v>
      </c>
    </row>
    <row r="519" spans="1:22" x14ac:dyDescent="0.15">
      <c r="A519" s="1"/>
      <c r="B519" s="4" t="s">
        <v>749</v>
      </c>
      <c r="C519" s="215">
        <f>1+1</f>
        <v>2</v>
      </c>
      <c r="D519" s="215"/>
      <c r="E519" s="216"/>
      <c r="F519" s="220">
        <f t="shared" ref="F519:F523" si="196">SUM(C519:E519)</f>
        <v>2</v>
      </c>
      <c r="G519" s="211">
        <v>44658</v>
      </c>
      <c r="H519" s="6" t="s">
        <v>910</v>
      </c>
      <c r="I519" s="235">
        <v>200</v>
      </c>
      <c r="J519" s="215"/>
      <c r="K519" s="240"/>
      <c r="L519" s="220">
        <f t="shared" ref="L519:L523" si="197">SUM(I519:K519)</f>
        <v>200</v>
      </c>
      <c r="M519" s="211">
        <v>44664</v>
      </c>
      <c r="O519" s="4"/>
      <c r="P519" s="44"/>
      <c r="Q519" s="14">
        <f t="shared" ref="Q519:Q523" si="198">SUM(P519:P519)</f>
        <v>0</v>
      </c>
      <c r="R519" s="185"/>
      <c r="S519" s="247" t="s">
        <v>899</v>
      </c>
      <c r="T519" s="44">
        <v>100</v>
      </c>
      <c r="U519" s="14">
        <f t="shared" ref="U519:U520" si="199">SUM(T519:T519)</f>
        <v>100</v>
      </c>
      <c r="V519" s="185">
        <v>44658</v>
      </c>
    </row>
    <row r="520" spans="1:22" x14ac:dyDescent="0.15">
      <c r="A520" s="1"/>
      <c r="B520" s="6" t="s">
        <v>906</v>
      </c>
      <c r="C520" s="216">
        <v>32</v>
      </c>
      <c r="D520" s="232">
        <v>32</v>
      </c>
      <c r="E520" s="232">
        <v>32</v>
      </c>
      <c r="F520" s="220">
        <f t="shared" si="196"/>
        <v>96</v>
      </c>
      <c r="G520" s="211">
        <v>44667</v>
      </c>
      <c r="H520" s="6" t="s">
        <v>745</v>
      </c>
      <c r="I520" s="215">
        <v>400</v>
      </c>
      <c r="J520" s="215"/>
      <c r="K520" s="216">
        <v>100</v>
      </c>
      <c r="L520" s="220">
        <f t="shared" si="197"/>
        <v>500</v>
      </c>
      <c r="M520" s="211">
        <v>44667</v>
      </c>
      <c r="O520" s="4"/>
      <c r="P520" s="15"/>
      <c r="Q520" s="14">
        <f t="shared" si="198"/>
        <v>0</v>
      </c>
      <c r="R520" s="186"/>
      <c r="S520" s="4" t="s">
        <v>903</v>
      </c>
      <c r="T520" s="15">
        <v>8</v>
      </c>
      <c r="U520" s="14">
        <f t="shared" si="199"/>
        <v>8</v>
      </c>
      <c r="V520" s="185">
        <v>44658</v>
      </c>
    </row>
    <row r="521" spans="1:22" x14ac:dyDescent="0.15">
      <c r="A521" s="1"/>
      <c r="B521" s="4" t="s">
        <v>907</v>
      </c>
      <c r="C521" s="216">
        <v>17</v>
      </c>
      <c r="D521" s="232">
        <v>17</v>
      </c>
      <c r="E521" s="232">
        <v>17</v>
      </c>
      <c r="F521" s="220">
        <f t="shared" si="196"/>
        <v>51</v>
      </c>
      <c r="G521" s="211">
        <v>44667</v>
      </c>
      <c r="H521" s="4"/>
      <c r="I521" s="216"/>
      <c r="J521" s="232"/>
      <c r="K521" s="232"/>
      <c r="L521" s="220">
        <f t="shared" si="197"/>
        <v>0</v>
      </c>
      <c r="M521" s="212"/>
      <c r="O521" s="4"/>
      <c r="P521" s="15"/>
      <c r="Q521" s="14">
        <f t="shared" si="198"/>
        <v>0</v>
      </c>
      <c r="R521" s="186"/>
      <c r="S521" s="247" t="s">
        <v>915</v>
      </c>
      <c r="T521" s="15">
        <v>200</v>
      </c>
      <c r="U521" s="14">
        <f t="shared" ref="U521:U523" si="200">SUM(T521:T521)</f>
        <v>200</v>
      </c>
      <c r="V521" s="185">
        <v>44671</v>
      </c>
    </row>
    <row r="522" spans="1:22" x14ac:dyDescent="0.15">
      <c r="A522" s="1"/>
      <c r="B522" s="6" t="s">
        <v>905</v>
      </c>
      <c r="C522" s="233">
        <v>21</v>
      </c>
      <c r="D522" s="234">
        <v>21</v>
      </c>
      <c r="E522" s="234">
        <v>21</v>
      </c>
      <c r="F522" s="220">
        <f t="shared" si="196"/>
        <v>63</v>
      </c>
      <c r="G522" s="211">
        <v>44667</v>
      </c>
      <c r="H522" s="4"/>
      <c r="I522" s="233"/>
      <c r="J522" s="234"/>
      <c r="K522" s="234"/>
      <c r="L522" s="220">
        <f t="shared" si="197"/>
        <v>0</v>
      </c>
      <c r="M522" s="212"/>
      <c r="O522" s="4"/>
      <c r="P522" s="15"/>
      <c r="Q522" s="14">
        <f t="shared" si="198"/>
        <v>0</v>
      </c>
      <c r="R522" s="186"/>
      <c r="S522" s="4" t="s">
        <v>916</v>
      </c>
      <c r="T522" s="15">
        <v>64</v>
      </c>
      <c r="U522" s="14">
        <f t="shared" si="200"/>
        <v>64</v>
      </c>
      <c r="V522" s="185">
        <v>44671</v>
      </c>
    </row>
    <row r="523" spans="1:22" x14ac:dyDescent="0.15">
      <c r="A523" s="1"/>
      <c r="B523" s="6" t="s">
        <v>905</v>
      </c>
      <c r="C523" s="233">
        <v>18</v>
      </c>
      <c r="D523" s="234">
        <v>18</v>
      </c>
      <c r="E523" s="234">
        <v>18</v>
      </c>
      <c r="F523" s="220">
        <f t="shared" si="196"/>
        <v>54</v>
      </c>
      <c r="G523" s="211">
        <v>44667</v>
      </c>
      <c r="H523" s="4"/>
      <c r="I523" s="233"/>
      <c r="J523" s="234"/>
      <c r="K523" s="234"/>
      <c r="L523" s="220">
        <f t="shared" si="197"/>
        <v>0</v>
      </c>
      <c r="O523" s="4"/>
      <c r="P523" s="15"/>
      <c r="Q523" s="14">
        <f t="shared" si="198"/>
        <v>0</v>
      </c>
      <c r="R523" s="186"/>
      <c r="S523" s="247" t="s">
        <v>918</v>
      </c>
      <c r="T523" s="15">
        <v>150</v>
      </c>
      <c r="U523" s="14">
        <f t="shared" si="200"/>
        <v>150</v>
      </c>
      <c r="V523" s="185">
        <v>44674</v>
      </c>
    </row>
    <row r="524" spans="1:22" x14ac:dyDescent="0.15">
      <c r="A524" s="1"/>
      <c r="B524" s="4" t="s">
        <v>749</v>
      </c>
      <c r="C524" s="216">
        <f>2+1</f>
        <v>3</v>
      </c>
      <c r="D524" s="232"/>
      <c r="E524" s="232">
        <v>1</v>
      </c>
      <c r="F524" s="220">
        <f t="shared" ref="F524:F542" si="201">SUM(C524:E524)</f>
        <v>4</v>
      </c>
      <c r="G524" s="211">
        <v>44659</v>
      </c>
      <c r="H524" s="4"/>
      <c r="I524" s="216"/>
      <c r="J524" s="232"/>
      <c r="K524" s="232"/>
      <c r="L524" s="220">
        <f t="shared" ref="L524:L542" si="202">SUM(I524:K524)</f>
        <v>0</v>
      </c>
      <c r="M524" s="212"/>
      <c r="O524" s="4"/>
      <c r="P524" s="15"/>
      <c r="Q524" s="14">
        <f t="shared" ref="Q524:Q542" si="203">SUM(P524:P524)</f>
        <v>0</v>
      </c>
      <c r="R524" s="186"/>
      <c r="S524" s="4"/>
      <c r="T524" s="15"/>
      <c r="U524" s="14">
        <f t="shared" ref="U524:U542" si="204">SUM(T524:T524)</f>
        <v>0</v>
      </c>
      <c r="V524" s="185"/>
    </row>
    <row r="525" spans="1:22" x14ac:dyDescent="0.15">
      <c r="A525" s="1"/>
      <c r="B525" s="4" t="s">
        <v>749</v>
      </c>
      <c r="C525" s="233">
        <f>15+1+17+3+1+19+1+2+2</f>
        <v>61</v>
      </c>
      <c r="D525" s="234"/>
      <c r="E525" s="234">
        <f>2+2</f>
        <v>4</v>
      </c>
      <c r="F525" s="220">
        <f t="shared" si="201"/>
        <v>65</v>
      </c>
      <c r="G525" s="211">
        <v>44662</v>
      </c>
      <c r="H525" s="4"/>
      <c r="I525" s="233"/>
      <c r="J525" s="234"/>
      <c r="K525" s="234"/>
      <c r="L525" s="220">
        <f t="shared" si="202"/>
        <v>0</v>
      </c>
      <c r="M525" s="212"/>
      <c r="O525" s="4"/>
      <c r="P525" s="15"/>
      <c r="Q525" s="14">
        <f t="shared" si="203"/>
        <v>0</v>
      </c>
      <c r="R525" s="186"/>
      <c r="S525" s="4"/>
      <c r="T525" s="15"/>
      <c r="U525" s="14">
        <f t="shared" si="204"/>
        <v>0</v>
      </c>
      <c r="V525" s="186"/>
    </row>
    <row r="526" spans="1:22" x14ac:dyDescent="0.15">
      <c r="A526" s="1"/>
      <c r="B526" s="4" t="s">
        <v>913</v>
      </c>
      <c r="C526" s="233">
        <v>50</v>
      </c>
      <c r="D526" s="234"/>
      <c r="E526" s="234">
        <v>20</v>
      </c>
      <c r="F526" s="220">
        <f t="shared" si="201"/>
        <v>70</v>
      </c>
      <c r="G526" s="211">
        <v>44664</v>
      </c>
      <c r="H526" s="4"/>
      <c r="I526" s="233"/>
      <c r="J526" s="234"/>
      <c r="K526" s="234"/>
      <c r="L526" s="220">
        <f t="shared" si="202"/>
        <v>0</v>
      </c>
      <c r="O526" s="4"/>
      <c r="P526" s="15"/>
      <c r="Q526" s="14">
        <f t="shared" si="203"/>
        <v>0</v>
      </c>
      <c r="R526" s="186"/>
      <c r="S526" s="4"/>
      <c r="T526" s="15"/>
      <c r="U526" s="14">
        <f t="shared" si="204"/>
        <v>0</v>
      </c>
      <c r="V526" s="186"/>
    </row>
    <row r="527" spans="1:22" x14ac:dyDescent="0.15">
      <c r="A527" s="1"/>
      <c r="B527" s="4" t="s">
        <v>749</v>
      </c>
      <c r="C527" s="216">
        <f>3+3</f>
        <v>6</v>
      </c>
      <c r="D527" s="232"/>
      <c r="E527" s="232">
        <f>1+1</f>
        <v>2</v>
      </c>
      <c r="F527" s="220">
        <f t="shared" si="201"/>
        <v>8</v>
      </c>
      <c r="G527" s="248">
        <v>44663</v>
      </c>
      <c r="H527" s="4"/>
      <c r="I527" s="216"/>
      <c r="J527" s="232"/>
      <c r="K527" s="232"/>
      <c r="L527" s="220">
        <f t="shared" si="202"/>
        <v>0</v>
      </c>
      <c r="M527" s="212"/>
      <c r="O527" s="4"/>
      <c r="P527" s="15"/>
      <c r="Q527" s="14">
        <f t="shared" si="203"/>
        <v>0</v>
      </c>
      <c r="R527" s="186"/>
      <c r="S527" s="4"/>
      <c r="T527" s="15"/>
      <c r="U527" s="14">
        <f t="shared" si="204"/>
        <v>0</v>
      </c>
    </row>
    <row r="528" spans="1:22" x14ac:dyDescent="0.15">
      <c r="A528" s="1"/>
      <c r="B528" s="4" t="s">
        <v>749</v>
      </c>
      <c r="C528" s="233">
        <v>10</v>
      </c>
      <c r="D528" s="234"/>
      <c r="E528" s="234">
        <f>1+1+1</f>
        <v>3</v>
      </c>
      <c r="F528" s="220">
        <f t="shared" si="201"/>
        <v>13</v>
      </c>
      <c r="G528" s="248">
        <v>44664</v>
      </c>
      <c r="H528" s="4"/>
      <c r="I528" s="233"/>
      <c r="J528" s="234"/>
      <c r="K528" s="234"/>
      <c r="L528" s="220">
        <f t="shared" si="202"/>
        <v>0</v>
      </c>
      <c r="M528" s="212"/>
      <c r="O528" s="4"/>
      <c r="P528" s="15"/>
      <c r="Q528" s="14">
        <f t="shared" si="203"/>
        <v>0</v>
      </c>
      <c r="R528" s="186"/>
      <c r="S528" s="4"/>
      <c r="T528" s="15"/>
      <c r="U528" s="14">
        <f t="shared" si="204"/>
        <v>0</v>
      </c>
    </row>
    <row r="529" spans="1:22" x14ac:dyDescent="0.15">
      <c r="A529" s="1"/>
      <c r="B529" s="4" t="s">
        <v>749</v>
      </c>
      <c r="C529" s="233">
        <f>1+10+3+2</f>
        <v>16</v>
      </c>
      <c r="D529" s="234"/>
      <c r="E529" s="234">
        <f>1+1</f>
        <v>2</v>
      </c>
      <c r="F529" s="220">
        <f t="shared" si="201"/>
        <v>18</v>
      </c>
      <c r="G529" s="248">
        <v>44665</v>
      </c>
      <c r="H529" s="4"/>
      <c r="I529" s="233"/>
      <c r="J529" s="234"/>
      <c r="K529" s="234"/>
      <c r="L529" s="220">
        <f t="shared" si="202"/>
        <v>0</v>
      </c>
      <c r="O529" s="4"/>
      <c r="P529" s="15"/>
      <c r="Q529" s="14">
        <f t="shared" si="203"/>
        <v>0</v>
      </c>
      <c r="R529" s="186"/>
      <c r="S529" s="4"/>
      <c r="T529" s="15"/>
      <c r="U529" s="14">
        <f t="shared" si="204"/>
        <v>0</v>
      </c>
    </row>
    <row r="530" spans="1:22" x14ac:dyDescent="0.15">
      <c r="A530" s="1"/>
      <c r="B530" s="4" t="s">
        <v>914</v>
      </c>
      <c r="C530" s="216">
        <v>100</v>
      </c>
      <c r="D530" s="232"/>
      <c r="E530" s="232"/>
      <c r="F530" s="220">
        <f t="shared" si="201"/>
        <v>100</v>
      </c>
      <c r="G530" s="248">
        <v>44665</v>
      </c>
      <c r="H530" s="4"/>
      <c r="I530" s="216"/>
      <c r="J530" s="232"/>
      <c r="K530" s="232"/>
      <c r="L530" s="220">
        <f t="shared" si="202"/>
        <v>0</v>
      </c>
      <c r="M530" s="212"/>
      <c r="O530" s="4"/>
      <c r="P530" s="15"/>
      <c r="Q530" s="14">
        <f t="shared" si="203"/>
        <v>0</v>
      </c>
      <c r="R530" s="186"/>
      <c r="S530" s="4"/>
      <c r="T530" s="15"/>
      <c r="U530" s="14">
        <f t="shared" si="204"/>
        <v>0</v>
      </c>
    </row>
    <row r="531" spans="1:22" x14ac:dyDescent="0.15">
      <c r="A531" s="1"/>
      <c r="B531" s="4" t="s">
        <v>749</v>
      </c>
      <c r="C531" s="233">
        <f>3+2+1</f>
        <v>6</v>
      </c>
      <c r="D531" s="234"/>
      <c r="E531" s="234">
        <v>1</v>
      </c>
      <c r="F531" s="220">
        <f t="shared" si="201"/>
        <v>7</v>
      </c>
      <c r="G531" s="248">
        <v>44666</v>
      </c>
      <c r="H531" s="4"/>
      <c r="I531" s="233"/>
      <c r="J531" s="234"/>
      <c r="K531" s="234"/>
      <c r="L531" s="220">
        <f t="shared" si="202"/>
        <v>0</v>
      </c>
      <c r="M531" s="212"/>
      <c r="O531" s="4"/>
      <c r="P531" s="15"/>
      <c r="Q531" s="14">
        <f t="shared" si="203"/>
        <v>0</v>
      </c>
      <c r="R531" s="186"/>
      <c r="S531" s="4"/>
      <c r="T531" s="15"/>
      <c r="U531" s="14">
        <f t="shared" si="204"/>
        <v>0</v>
      </c>
    </row>
    <row r="532" spans="1:22" x14ac:dyDescent="0.15">
      <c r="A532" s="1"/>
      <c r="B532" s="4" t="s">
        <v>764</v>
      </c>
      <c r="C532" s="233">
        <v>50</v>
      </c>
      <c r="D532" s="234"/>
      <c r="E532" s="234">
        <v>20</v>
      </c>
      <c r="F532" s="220">
        <f t="shared" si="201"/>
        <v>70</v>
      </c>
      <c r="G532" s="211">
        <v>44667</v>
      </c>
      <c r="H532" s="4"/>
      <c r="I532" s="233"/>
      <c r="J532" s="234"/>
      <c r="K532" s="234"/>
      <c r="L532" s="220">
        <f t="shared" si="202"/>
        <v>0</v>
      </c>
      <c r="O532" s="4"/>
      <c r="P532" s="15"/>
      <c r="Q532" s="14">
        <f t="shared" si="203"/>
        <v>0</v>
      </c>
      <c r="R532" s="186"/>
      <c r="S532" s="4"/>
      <c r="T532" s="15"/>
      <c r="U532" s="14">
        <f t="shared" si="204"/>
        <v>0</v>
      </c>
    </row>
    <row r="533" spans="1:22" x14ac:dyDescent="0.15">
      <c r="A533" s="1"/>
      <c r="B533" s="4" t="s">
        <v>749</v>
      </c>
      <c r="C533" s="216">
        <f>2+12</f>
        <v>14</v>
      </c>
      <c r="D533" s="232"/>
      <c r="E533" s="232">
        <f>1+3</f>
        <v>4</v>
      </c>
      <c r="F533" s="220">
        <f t="shared" si="201"/>
        <v>18</v>
      </c>
      <c r="G533" s="248">
        <v>44667</v>
      </c>
      <c r="H533" s="4"/>
      <c r="I533" s="216"/>
      <c r="J533" s="232"/>
      <c r="K533" s="232"/>
      <c r="L533" s="220">
        <f t="shared" si="202"/>
        <v>0</v>
      </c>
      <c r="M533" s="212"/>
      <c r="O533" s="4"/>
      <c r="P533" s="15"/>
      <c r="Q533" s="14">
        <f t="shared" si="203"/>
        <v>0</v>
      </c>
      <c r="R533" s="186"/>
      <c r="S533" s="4"/>
      <c r="T533" s="15"/>
      <c r="U533" s="14">
        <f t="shared" si="204"/>
        <v>0</v>
      </c>
    </row>
    <row r="534" spans="1:22" x14ac:dyDescent="0.15">
      <c r="A534" s="1"/>
      <c r="B534" s="4" t="s">
        <v>749</v>
      </c>
      <c r="C534" s="233">
        <f>6+2+1</f>
        <v>9</v>
      </c>
      <c r="D534" s="234"/>
      <c r="E534" s="234">
        <f>1+1</f>
        <v>2</v>
      </c>
      <c r="F534" s="220">
        <f t="shared" si="201"/>
        <v>11</v>
      </c>
      <c r="G534" s="248">
        <v>44669</v>
      </c>
      <c r="H534" s="4"/>
      <c r="I534" s="233"/>
      <c r="J534" s="234"/>
      <c r="K534" s="234"/>
      <c r="L534" s="220">
        <f t="shared" si="202"/>
        <v>0</v>
      </c>
      <c r="M534" s="212"/>
      <c r="O534" s="4"/>
      <c r="P534" s="15"/>
      <c r="Q534" s="14">
        <f t="shared" si="203"/>
        <v>0</v>
      </c>
      <c r="R534" s="186"/>
      <c r="S534" s="4"/>
      <c r="T534" s="15"/>
      <c r="U534" s="14">
        <f t="shared" si="204"/>
        <v>0</v>
      </c>
    </row>
    <row r="535" spans="1:22" x14ac:dyDescent="0.15">
      <c r="A535" s="1"/>
      <c r="B535" s="4" t="s">
        <v>749</v>
      </c>
      <c r="C535" s="233">
        <f>5+1+1+4</f>
        <v>11</v>
      </c>
      <c r="D535" s="234"/>
      <c r="E535" s="234">
        <f>1+1</f>
        <v>2</v>
      </c>
      <c r="F535" s="220">
        <f t="shared" si="201"/>
        <v>13</v>
      </c>
      <c r="G535" s="248">
        <v>44670</v>
      </c>
      <c r="H535" s="4"/>
      <c r="I535" s="233"/>
      <c r="J535" s="234"/>
      <c r="K535" s="234"/>
      <c r="L535" s="220">
        <f t="shared" si="202"/>
        <v>0</v>
      </c>
      <c r="O535" s="4"/>
      <c r="P535" s="15"/>
      <c r="Q535" s="14">
        <f t="shared" si="203"/>
        <v>0</v>
      </c>
      <c r="R535" s="186"/>
      <c r="S535" s="4"/>
      <c r="T535" s="15"/>
      <c r="U535" s="14">
        <f t="shared" si="204"/>
        <v>0</v>
      </c>
    </row>
    <row r="536" spans="1:22" x14ac:dyDescent="0.15">
      <c r="A536" s="1"/>
      <c r="B536" s="4"/>
      <c r="C536" s="216"/>
      <c r="D536" s="232"/>
      <c r="E536" s="232"/>
      <c r="F536" s="220">
        <f t="shared" si="201"/>
        <v>0</v>
      </c>
      <c r="G536" s="248"/>
      <c r="H536" s="4"/>
      <c r="I536" s="216"/>
      <c r="J536" s="232"/>
      <c r="K536" s="232"/>
      <c r="L536" s="220">
        <f t="shared" si="202"/>
        <v>0</v>
      </c>
      <c r="M536" s="212"/>
      <c r="O536" s="4"/>
      <c r="P536" s="15"/>
      <c r="Q536" s="14">
        <f t="shared" si="203"/>
        <v>0</v>
      </c>
      <c r="R536" s="186"/>
      <c r="S536" s="4"/>
      <c r="T536" s="15"/>
      <c r="U536" s="14">
        <f t="shared" si="204"/>
        <v>0</v>
      </c>
    </row>
    <row r="537" spans="1:22" x14ac:dyDescent="0.15">
      <c r="A537" s="1"/>
      <c r="B537" s="4"/>
      <c r="C537" s="233"/>
      <c r="D537" s="234"/>
      <c r="E537" s="234"/>
      <c r="F537" s="220">
        <f t="shared" si="201"/>
        <v>0</v>
      </c>
      <c r="G537" s="248"/>
      <c r="H537" s="4"/>
      <c r="I537" s="233"/>
      <c r="J537" s="234"/>
      <c r="K537" s="234"/>
      <c r="L537" s="220">
        <f t="shared" si="202"/>
        <v>0</v>
      </c>
      <c r="M537" s="212"/>
      <c r="O537" s="4"/>
      <c r="P537" s="15"/>
      <c r="Q537" s="14">
        <f t="shared" si="203"/>
        <v>0</v>
      </c>
      <c r="R537" s="186"/>
      <c r="S537" s="4"/>
      <c r="T537" s="15"/>
      <c r="U537" s="14">
        <f t="shared" si="204"/>
        <v>0</v>
      </c>
    </row>
    <row r="538" spans="1:22" x14ac:dyDescent="0.15">
      <c r="A538" s="1"/>
      <c r="B538" s="4"/>
      <c r="C538" s="233"/>
      <c r="D538" s="234"/>
      <c r="E538" s="234"/>
      <c r="F538" s="220">
        <f t="shared" si="201"/>
        <v>0</v>
      </c>
      <c r="G538" s="248"/>
      <c r="H538" s="4"/>
      <c r="I538" s="233"/>
      <c r="J538" s="234"/>
      <c r="K538" s="234"/>
      <c r="L538" s="220">
        <f t="shared" si="202"/>
        <v>0</v>
      </c>
      <c r="O538" s="4"/>
      <c r="P538" s="15"/>
      <c r="Q538" s="14">
        <f t="shared" si="203"/>
        <v>0</v>
      </c>
      <c r="R538" s="186"/>
      <c r="S538" s="4"/>
      <c r="T538" s="15"/>
      <c r="U538" s="14">
        <f t="shared" si="204"/>
        <v>0</v>
      </c>
    </row>
    <row r="539" spans="1:22" x14ac:dyDescent="0.15">
      <c r="A539" s="1"/>
      <c r="B539" s="4"/>
      <c r="C539" s="216"/>
      <c r="D539" s="232"/>
      <c r="E539" s="232"/>
      <c r="F539" s="220">
        <f t="shared" si="201"/>
        <v>0</v>
      </c>
      <c r="G539" s="248"/>
      <c r="H539" s="4"/>
      <c r="I539" s="216"/>
      <c r="J539" s="232"/>
      <c r="K539" s="232"/>
      <c r="L539" s="220">
        <f t="shared" si="202"/>
        <v>0</v>
      </c>
      <c r="M539" s="212"/>
      <c r="O539" s="4"/>
      <c r="P539" s="15"/>
      <c r="Q539" s="14">
        <f t="shared" si="203"/>
        <v>0</v>
      </c>
      <c r="R539" s="186"/>
      <c r="S539" s="4"/>
      <c r="T539" s="15"/>
      <c r="U539" s="14">
        <f t="shared" si="204"/>
        <v>0</v>
      </c>
    </row>
    <row r="540" spans="1:22" x14ac:dyDescent="0.15">
      <c r="A540" s="1"/>
      <c r="B540" s="4"/>
      <c r="C540" s="233"/>
      <c r="D540" s="234"/>
      <c r="E540" s="234"/>
      <c r="F540" s="220">
        <f t="shared" si="201"/>
        <v>0</v>
      </c>
      <c r="G540" s="248"/>
      <c r="H540" s="4"/>
      <c r="I540" s="233"/>
      <c r="J540" s="234"/>
      <c r="K540" s="234"/>
      <c r="L540" s="220">
        <f t="shared" si="202"/>
        <v>0</v>
      </c>
      <c r="M540" s="212"/>
      <c r="O540" s="4"/>
      <c r="P540" s="15"/>
      <c r="Q540" s="14">
        <f t="shared" si="203"/>
        <v>0</v>
      </c>
      <c r="R540" s="186"/>
      <c r="S540" s="254" t="s">
        <v>900</v>
      </c>
      <c r="T540" s="252"/>
      <c r="U540" s="255">
        <f t="shared" si="204"/>
        <v>0</v>
      </c>
      <c r="V540" s="256"/>
    </row>
    <row r="541" spans="1:22" x14ac:dyDescent="0.15">
      <c r="A541" s="1"/>
      <c r="B541" s="4"/>
      <c r="C541" s="233"/>
      <c r="D541" s="234"/>
      <c r="E541" s="234"/>
      <c r="F541" s="220">
        <f t="shared" si="201"/>
        <v>0</v>
      </c>
      <c r="G541" s="248"/>
      <c r="H541" s="4"/>
      <c r="I541" s="233"/>
      <c r="J541" s="234"/>
      <c r="K541" s="234"/>
      <c r="L541" s="220">
        <f t="shared" si="202"/>
        <v>0</v>
      </c>
      <c r="O541" s="4"/>
      <c r="P541" s="15"/>
      <c r="Q541" s="14">
        <f t="shared" si="203"/>
        <v>0</v>
      </c>
      <c r="R541" s="186"/>
      <c r="S541" s="4" t="s">
        <v>902</v>
      </c>
      <c r="T541" s="15"/>
      <c r="U541" s="14">
        <f t="shared" si="204"/>
        <v>0</v>
      </c>
      <c r="V541" s="186" t="s">
        <v>886</v>
      </c>
    </row>
    <row r="542" spans="1:22" ht="14.25" thickBot="1" x14ac:dyDescent="0.2">
      <c r="A542" s="1"/>
      <c r="B542" s="4"/>
      <c r="C542" s="216"/>
      <c r="D542" s="232"/>
      <c r="E542" s="232"/>
      <c r="F542" s="220">
        <f t="shared" si="201"/>
        <v>0</v>
      </c>
      <c r="G542" s="248"/>
      <c r="H542" s="4"/>
      <c r="I542" s="216"/>
      <c r="J542" s="232"/>
      <c r="K542" s="232"/>
      <c r="L542" s="220">
        <f t="shared" si="202"/>
        <v>0</v>
      </c>
      <c r="M542" s="212"/>
      <c r="O542" s="4"/>
      <c r="P542" s="15"/>
      <c r="Q542" s="14">
        <f t="shared" si="203"/>
        <v>0</v>
      </c>
      <c r="R542" s="186"/>
      <c r="S542" s="247" t="s">
        <v>885</v>
      </c>
      <c r="T542" s="252"/>
      <c r="U542" s="14">
        <f t="shared" si="204"/>
        <v>0</v>
      </c>
      <c r="V542" s="186" t="s">
        <v>883</v>
      </c>
    </row>
    <row r="543" spans="1:22" ht="14.25" thickBot="1" x14ac:dyDescent="0.2">
      <c r="A543" s="1"/>
      <c r="B543" s="3" t="s">
        <v>5</v>
      </c>
      <c r="C543" s="16">
        <f>SUM(C519:C542)</f>
        <v>426</v>
      </c>
      <c r="D543" s="16">
        <f>SUM(D519:D542)</f>
        <v>88</v>
      </c>
      <c r="E543" s="16">
        <f>SUM(E519:E542)</f>
        <v>149</v>
      </c>
      <c r="F543" s="223">
        <f>SUM(F519:F542)</f>
        <v>663</v>
      </c>
      <c r="H543" s="3" t="s">
        <v>5</v>
      </c>
      <c r="I543" s="16">
        <f>SUM(I519:I542)</f>
        <v>600</v>
      </c>
      <c r="J543" s="16">
        <f>SUM(J519:J542)</f>
        <v>0</v>
      </c>
      <c r="K543" s="16">
        <f>SUM(K519:K542)</f>
        <v>100</v>
      </c>
      <c r="L543" s="223">
        <f>SUM(L519:L542)</f>
        <v>700</v>
      </c>
      <c r="O543" s="3" t="s">
        <v>5</v>
      </c>
      <c r="P543" s="16">
        <f>SUM(P519:P542)</f>
        <v>0</v>
      </c>
      <c r="Q543" s="17">
        <f>SUM(Q519:Q542)</f>
        <v>0</v>
      </c>
      <c r="S543" s="3" t="s">
        <v>5</v>
      </c>
      <c r="T543" s="16">
        <f>SUM(T519:T542)</f>
        <v>522</v>
      </c>
      <c r="U543" s="17">
        <f>SUM(U519:U542)</f>
        <v>522</v>
      </c>
    </row>
    <row r="544" spans="1:22" ht="14.25" thickBot="1" x14ac:dyDescent="0.2">
      <c r="A544" s="1"/>
      <c r="B544" s="18" t="s">
        <v>6</v>
      </c>
      <c r="C544" s="19">
        <f>C518-C543</f>
        <v>494</v>
      </c>
      <c r="D544" s="19">
        <f>D518-D543</f>
        <v>0</v>
      </c>
      <c r="E544" s="19">
        <f t="shared" ref="E544" si="205">E518-E543</f>
        <v>110</v>
      </c>
      <c r="F544" s="221">
        <f>F518-F543</f>
        <v>604</v>
      </c>
      <c r="H544" s="18" t="s">
        <v>6</v>
      </c>
      <c r="I544" s="19">
        <f>I518-I543</f>
        <v>1400</v>
      </c>
      <c r="J544" s="19">
        <f>J518-J543</f>
        <v>0</v>
      </c>
      <c r="K544" s="19">
        <f t="shared" ref="K544" si="206">K518-K543</f>
        <v>280</v>
      </c>
      <c r="L544" s="221">
        <f>L518-L543</f>
        <v>1680</v>
      </c>
      <c r="O544" s="18" t="s">
        <v>6</v>
      </c>
      <c r="P544" s="19">
        <f>P518-P543</f>
        <v>0</v>
      </c>
      <c r="Q544" s="13">
        <f>Q518-Q543</f>
        <v>0</v>
      </c>
      <c r="S544" s="18" t="s">
        <v>6</v>
      </c>
      <c r="T544" s="19">
        <f>T518-T543</f>
        <v>425</v>
      </c>
      <c r="U544" s="13">
        <f>U518-U543</f>
        <v>425</v>
      </c>
    </row>
    <row r="547" spans="1:22" ht="18" thickBot="1" x14ac:dyDescent="0.25">
      <c r="A547" s="27" t="s">
        <v>739</v>
      </c>
      <c r="B547" s="28"/>
      <c r="C547" s="28"/>
      <c r="D547" s="28"/>
      <c r="E547" s="28"/>
      <c r="F547" s="218"/>
      <c r="H547" s="27" t="s">
        <v>740</v>
      </c>
      <c r="I547" s="28"/>
      <c r="J547" s="28"/>
      <c r="K547" s="28"/>
      <c r="L547" s="218"/>
      <c r="O547" s="181" t="s">
        <v>737</v>
      </c>
      <c r="P547" s="182"/>
      <c r="Q547" s="182"/>
      <c r="R547" s="183"/>
      <c r="S547" s="181" t="s">
        <v>733</v>
      </c>
      <c r="T547" s="182"/>
      <c r="U547" s="182"/>
    </row>
    <row r="548" spans="1:22" ht="14.25" thickBot="1" x14ac:dyDescent="0.2">
      <c r="A548" s="1"/>
      <c r="B548" s="2"/>
      <c r="C548" s="194" t="s">
        <v>734</v>
      </c>
      <c r="D548" s="195" t="s">
        <v>706</v>
      </c>
      <c r="E548" s="2" t="s">
        <v>735</v>
      </c>
      <c r="F548" s="219" t="s">
        <v>1</v>
      </c>
      <c r="H548" s="2"/>
      <c r="I548" s="197" t="s">
        <v>734</v>
      </c>
      <c r="J548" s="195" t="s">
        <v>706</v>
      </c>
      <c r="K548" s="201" t="s">
        <v>735</v>
      </c>
      <c r="L548" s="219" t="s">
        <v>1</v>
      </c>
      <c r="O548" s="2"/>
      <c r="P548" s="3" t="s">
        <v>722</v>
      </c>
      <c r="Q548" s="2" t="s">
        <v>1</v>
      </c>
      <c r="S548" s="2"/>
      <c r="T548" s="3" t="s">
        <v>722</v>
      </c>
      <c r="U548" s="2" t="s">
        <v>1</v>
      </c>
    </row>
    <row r="549" spans="1:22" x14ac:dyDescent="0.15">
      <c r="A549" s="1"/>
      <c r="B549" s="164" t="s">
        <v>26</v>
      </c>
      <c r="C549" s="200">
        <f>C544</f>
        <v>494</v>
      </c>
      <c r="D549" s="164">
        <f t="shared" ref="D549:F549" si="207">D544</f>
        <v>0</v>
      </c>
      <c r="E549" s="164">
        <f t="shared" si="207"/>
        <v>110</v>
      </c>
      <c r="F549" s="222">
        <f t="shared" si="207"/>
        <v>604</v>
      </c>
      <c r="H549" s="164" t="s">
        <v>26</v>
      </c>
      <c r="I549" s="200">
        <f>I544</f>
        <v>1400</v>
      </c>
      <c r="J549" s="164">
        <f t="shared" ref="J549:L549" si="208">J544</f>
        <v>0</v>
      </c>
      <c r="K549" s="200">
        <f t="shared" si="208"/>
        <v>280</v>
      </c>
      <c r="L549" s="222">
        <f t="shared" si="208"/>
        <v>1680</v>
      </c>
      <c r="M549" s="210"/>
      <c r="O549" s="171" t="s">
        <v>26</v>
      </c>
      <c r="P549" s="200">
        <f>P544</f>
        <v>0</v>
      </c>
      <c r="Q549" s="180">
        <f>Q544</f>
        <v>0</v>
      </c>
      <c r="R549" s="185"/>
      <c r="S549" s="43" t="s">
        <v>26</v>
      </c>
      <c r="T549" s="38">
        <f>T544</f>
        <v>425</v>
      </c>
      <c r="U549" s="39">
        <f>U544</f>
        <v>425</v>
      </c>
    </row>
    <row r="550" spans="1:22" x14ac:dyDescent="0.15">
      <c r="A550" s="75"/>
      <c r="B550" s="6" t="s">
        <v>3</v>
      </c>
      <c r="C550" s="188"/>
      <c r="D550" s="6"/>
      <c r="E550" s="202"/>
      <c r="F550" s="220">
        <f t="shared" ref="F550:F559" si="209">SUM(C550:E550)</f>
        <v>0</v>
      </c>
      <c r="G550" s="211"/>
      <c r="H550" s="6" t="s">
        <v>3</v>
      </c>
      <c r="I550" s="188"/>
      <c r="J550" s="6"/>
      <c r="K550" s="202"/>
      <c r="L550" s="220">
        <f t="shared" ref="L550:L559" si="210">SUM(I550:K550)</f>
        <v>0</v>
      </c>
      <c r="M550" s="211"/>
      <c r="O550" s="6" t="s">
        <v>3</v>
      </c>
      <c r="P550" s="7">
        <v>64</v>
      </c>
      <c r="Q550" s="5">
        <f t="shared" ref="Q550:Q559" si="211">SUM(P550:P550)</f>
        <v>64</v>
      </c>
      <c r="R550" s="185">
        <v>44678</v>
      </c>
      <c r="S550" s="6" t="s">
        <v>3</v>
      </c>
      <c r="T550" s="7"/>
      <c r="U550" s="5">
        <f t="shared" ref="U550:U559" si="212">SUM(T550:T550)</f>
        <v>0</v>
      </c>
    </row>
    <row r="551" spans="1:22" x14ac:dyDescent="0.15">
      <c r="A551" s="1"/>
      <c r="B551" s="6" t="s">
        <v>3</v>
      </c>
      <c r="C551" s="6">
        <v>64</v>
      </c>
      <c r="D551" s="6">
        <v>64</v>
      </c>
      <c r="E551" s="4">
        <v>64</v>
      </c>
      <c r="F551" s="220">
        <f t="shared" si="209"/>
        <v>192</v>
      </c>
      <c r="G551" s="211">
        <v>44671</v>
      </c>
      <c r="H551" s="6" t="s">
        <v>3</v>
      </c>
      <c r="I551" s="188"/>
      <c r="J551" s="225"/>
      <c r="K551" s="243"/>
      <c r="L551" s="220">
        <f t="shared" ref="L551:L552" si="213">SUM(I551:K551)</f>
        <v>0</v>
      </c>
      <c r="M551" s="211"/>
      <c r="O551" s="6" t="s">
        <v>3</v>
      </c>
      <c r="P551" s="7"/>
      <c r="Q551" s="5">
        <f t="shared" si="211"/>
        <v>0</v>
      </c>
      <c r="R551" s="186"/>
      <c r="S551" s="6" t="s">
        <v>3</v>
      </c>
      <c r="T551" s="7">
        <v>1200</v>
      </c>
      <c r="U551" s="5">
        <f t="shared" ref="U551" si="214">SUM(T551:T551)</f>
        <v>1200</v>
      </c>
      <c r="V551" s="185" t="s">
        <v>947</v>
      </c>
    </row>
    <row r="552" spans="1:22" x14ac:dyDescent="0.15">
      <c r="A552" s="1"/>
      <c r="B552" s="6" t="s">
        <v>3</v>
      </c>
      <c r="C552" s="7"/>
      <c r="D552" s="6"/>
      <c r="E552" s="4"/>
      <c r="F552" s="220">
        <f t="shared" si="209"/>
        <v>0</v>
      </c>
      <c r="G552" s="211"/>
      <c r="H552" s="6" t="s">
        <v>3</v>
      </c>
      <c r="I552" s="188">
        <v>5000</v>
      </c>
      <c r="J552" s="225">
        <v>1000</v>
      </c>
      <c r="K552" s="243">
        <v>500</v>
      </c>
      <c r="L552" s="220">
        <f t="shared" si="213"/>
        <v>6500</v>
      </c>
      <c r="M552" s="211" t="s">
        <v>947</v>
      </c>
      <c r="O552" s="6" t="s">
        <v>3</v>
      </c>
      <c r="P552" s="7"/>
      <c r="Q552" s="5">
        <f t="shared" si="211"/>
        <v>0</v>
      </c>
      <c r="R552" s="186"/>
      <c r="S552" s="6" t="s">
        <v>3</v>
      </c>
      <c r="T552" s="7"/>
      <c r="U552" s="5">
        <f t="shared" si="212"/>
        <v>0</v>
      </c>
    </row>
    <row r="553" spans="1:22" x14ac:dyDescent="0.15">
      <c r="A553" s="1"/>
      <c r="B553" s="6" t="s">
        <v>3</v>
      </c>
      <c r="C553" s="6">
        <v>64</v>
      </c>
      <c r="D553" s="6">
        <v>64</v>
      </c>
      <c r="E553" s="4">
        <v>64</v>
      </c>
      <c r="F553" s="220">
        <f t="shared" si="209"/>
        <v>192</v>
      </c>
      <c r="G553" s="211">
        <v>44678</v>
      </c>
      <c r="H553" s="6" t="s">
        <v>3</v>
      </c>
      <c r="I553" s="188"/>
      <c r="J553" s="6"/>
      <c r="K553" s="202"/>
      <c r="L553" s="220">
        <f t="shared" si="210"/>
        <v>0</v>
      </c>
      <c r="M553" s="212"/>
      <c r="O553" s="6" t="s">
        <v>3</v>
      </c>
      <c r="P553" s="7"/>
      <c r="Q553" s="5">
        <f t="shared" si="211"/>
        <v>0</v>
      </c>
      <c r="R553" s="186"/>
      <c r="S553" s="6" t="s">
        <v>3</v>
      </c>
      <c r="T553" s="7"/>
      <c r="U553" s="5">
        <f t="shared" si="212"/>
        <v>0</v>
      </c>
    </row>
    <row r="554" spans="1:22" x14ac:dyDescent="0.15">
      <c r="A554" s="1"/>
      <c r="B554" s="6" t="s">
        <v>3</v>
      </c>
      <c r="C554" s="6"/>
      <c r="D554" s="6"/>
      <c r="E554" s="4"/>
      <c r="F554" s="220">
        <f t="shared" si="209"/>
        <v>0</v>
      </c>
      <c r="G554" s="212"/>
      <c r="H554" s="6" t="s">
        <v>3</v>
      </c>
      <c r="I554" s="188"/>
      <c r="J554" s="6"/>
      <c r="K554" s="202"/>
      <c r="L554" s="220">
        <f t="shared" si="210"/>
        <v>0</v>
      </c>
      <c r="M554" s="211"/>
      <c r="O554" s="6" t="s">
        <v>3</v>
      </c>
      <c r="P554" s="7"/>
      <c r="Q554" s="5">
        <f t="shared" si="211"/>
        <v>0</v>
      </c>
      <c r="R554" s="186"/>
      <c r="S554" s="6" t="s">
        <v>3</v>
      </c>
      <c r="T554" s="7"/>
      <c r="U554" s="5">
        <f t="shared" si="212"/>
        <v>0</v>
      </c>
      <c r="V554" s="185"/>
    </row>
    <row r="555" spans="1:22" x14ac:dyDescent="0.15">
      <c r="A555" s="1"/>
      <c r="B555" s="6" t="s">
        <v>3</v>
      </c>
      <c r="C555" s="6">
        <v>200</v>
      </c>
      <c r="D555" s="6"/>
      <c r="E555" s="4"/>
      <c r="F555" s="220">
        <f t="shared" si="209"/>
        <v>200</v>
      </c>
      <c r="G555" s="211">
        <v>44683</v>
      </c>
      <c r="H555" s="6" t="s">
        <v>3</v>
      </c>
      <c r="I555" s="188"/>
      <c r="J555" s="6"/>
      <c r="K555" s="202"/>
      <c r="L555" s="220">
        <f t="shared" si="210"/>
        <v>0</v>
      </c>
      <c r="O555" s="6" t="s">
        <v>3</v>
      </c>
      <c r="P555" s="7"/>
      <c r="Q555" s="5">
        <f t="shared" si="211"/>
        <v>0</v>
      </c>
      <c r="R555" s="186"/>
      <c r="S555" s="6" t="s">
        <v>3</v>
      </c>
      <c r="T555" s="7"/>
      <c r="U555" s="5">
        <f t="shared" si="212"/>
        <v>0</v>
      </c>
    </row>
    <row r="556" spans="1:22" x14ac:dyDescent="0.15">
      <c r="A556" s="1"/>
      <c r="B556" s="6" t="s">
        <v>3</v>
      </c>
      <c r="C556" s="6"/>
      <c r="D556" s="225"/>
      <c r="E556" s="226"/>
      <c r="F556" s="220">
        <f t="shared" si="209"/>
        <v>0</v>
      </c>
      <c r="G556" s="212"/>
      <c r="H556" s="6" t="s">
        <v>3</v>
      </c>
      <c r="I556" s="188"/>
      <c r="J556" s="225"/>
      <c r="K556" s="243"/>
      <c r="L556" s="220">
        <f t="shared" si="210"/>
        <v>0</v>
      </c>
      <c r="M556" s="211"/>
      <c r="O556" s="6" t="s">
        <v>3</v>
      </c>
      <c r="P556" s="8"/>
      <c r="Q556" s="5">
        <f t="shared" si="211"/>
        <v>0</v>
      </c>
      <c r="R556" s="186"/>
      <c r="S556" s="4" t="s">
        <v>938</v>
      </c>
      <c r="T556" s="54">
        <v>600</v>
      </c>
      <c r="U556" s="5">
        <f t="shared" si="212"/>
        <v>600</v>
      </c>
      <c r="V556" s="211">
        <v>44693</v>
      </c>
    </row>
    <row r="557" spans="1:22" x14ac:dyDescent="0.15">
      <c r="A557" s="1"/>
      <c r="B557" s="6" t="s">
        <v>3</v>
      </c>
      <c r="C557" s="6">
        <v>200</v>
      </c>
      <c r="D557" s="225"/>
      <c r="E557" s="226"/>
      <c r="F557" s="220">
        <f t="shared" si="209"/>
        <v>200</v>
      </c>
      <c r="G557" s="211">
        <v>44688</v>
      </c>
      <c r="H557" s="6" t="s">
        <v>3</v>
      </c>
      <c r="I557" s="188"/>
      <c r="J557" s="225"/>
      <c r="K557" s="243"/>
      <c r="L557" s="220">
        <f t="shared" si="210"/>
        <v>0</v>
      </c>
      <c r="M557" s="212"/>
      <c r="O557" s="6" t="s">
        <v>3</v>
      </c>
      <c r="P557" s="8"/>
      <c r="Q557" s="5">
        <f t="shared" si="211"/>
        <v>0</v>
      </c>
      <c r="R557" s="186"/>
      <c r="S557" s="6" t="s">
        <v>3</v>
      </c>
      <c r="T557" s="8"/>
      <c r="U557" s="5">
        <f t="shared" si="212"/>
        <v>0</v>
      </c>
    </row>
    <row r="558" spans="1:22" x14ac:dyDescent="0.15">
      <c r="A558" s="1"/>
      <c r="B558" s="6" t="s">
        <v>3</v>
      </c>
      <c r="C558" s="6">
        <v>100</v>
      </c>
      <c r="D558" s="225">
        <v>100</v>
      </c>
      <c r="E558" s="226"/>
      <c r="F558" s="220">
        <f t="shared" si="209"/>
        <v>200</v>
      </c>
      <c r="G558" s="211">
        <v>44693</v>
      </c>
      <c r="H558" s="6" t="s">
        <v>3</v>
      </c>
      <c r="I558" s="188"/>
      <c r="J558" s="225"/>
      <c r="K558" s="243"/>
      <c r="L558" s="220">
        <f t="shared" si="210"/>
        <v>0</v>
      </c>
      <c r="O558" s="6" t="s">
        <v>3</v>
      </c>
      <c r="P558" s="8"/>
      <c r="Q558" s="5">
        <f t="shared" si="211"/>
        <v>0</v>
      </c>
      <c r="R558" s="186"/>
      <c r="S558" s="6" t="s">
        <v>3</v>
      </c>
      <c r="T558" s="8"/>
      <c r="U558" s="5">
        <f t="shared" si="212"/>
        <v>0</v>
      </c>
    </row>
    <row r="559" spans="1:22" ht="14.25" thickBot="1" x14ac:dyDescent="0.2">
      <c r="A559" s="1"/>
      <c r="B559" s="9" t="s">
        <v>3</v>
      </c>
      <c r="C559" s="236"/>
      <c r="D559" s="191"/>
      <c r="E559" s="192"/>
      <c r="F559" s="220">
        <f t="shared" si="209"/>
        <v>0</v>
      </c>
      <c r="H559" s="9" t="s">
        <v>3</v>
      </c>
      <c r="I559" s="198"/>
      <c r="J559" s="244"/>
      <c r="K559" s="245"/>
      <c r="L559" s="220">
        <f t="shared" si="210"/>
        <v>0</v>
      </c>
      <c r="O559" s="9" t="s">
        <v>3</v>
      </c>
      <c r="P559" s="10"/>
      <c r="Q559" s="5">
        <f t="shared" si="211"/>
        <v>0</v>
      </c>
      <c r="R559" s="186"/>
      <c r="S559" s="9" t="s">
        <v>3</v>
      </c>
      <c r="T559" s="10"/>
      <c r="U559" s="5">
        <f t="shared" si="212"/>
        <v>0</v>
      </c>
    </row>
    <row r="560" spans="1:22" ht="14.25" thickBot="1" x14ac:dyDescent="0.2">
      <c r="A560" s="1"/>
      <c r="B560" s="11" t="s">
        <v>4</v>
      </c>
      <c r="C560" s="193">
        <f>SUM(C549:C559)</f>
        <v>1122</v>
      </c>
      <c r="D560" s="193">
        <f>SUM(D549:D559)</f>
        <v>228</v>
      </c>
      <c r="E560" s="193">
        <f>SUM(E549:E559)</f>
        <v>238</v>
      </c>
      <c r="F560" s="221">
        <f>SUM(F549:F559)</f>
        <v>1588</v>
      </c>
      <c r="H560" s="11" t="s">
        <v>4</v>
      </c>
      <c r="I560" s="193">
        <f>SUM(I549:I559)</f>
        <v>6400</v>
      </c>
      <c r="J560" s="193">
        <f>SUM(J549:J559)</f>
        <v>1000</v>
      </c>
      <c r="K560" s="193">
        <f t="shared" ref="K560" si="215">SUM(K549:K559)</f>
        <v>780</v>
      </c>
      <c r="L560" s="221">
        <f>SUM(L549:L559)</f>
        <v>8180</v>
      </c>
      <c r="O560" s="11" t="s">
        <v>4</v>
      </c>
      <c r="P560" s="12">
        <f>SUM(P549:P559)</f>
        <v>64</v>
      </c>
      <c r="Q560" s="13">
        <f>SUM(Q549:Q559)</f>
        <v>64</v>
      </c>
      <c r="S560" s="11" t="s">
        <v>4</v>
      </c>
      <c r="T560" s="12">
        <f>SUM(T549:T559)</f>
        <v>2225</v>
      </c>
      <c r="U560" s="13">
        <f>SUM(U549:U559)</f>
        <v>2225</v>
      </c>
    </row>
    <row r="561" spans="1:22" x14ac:dyDescent="0.15">
      <c r="A561" s="1"/>
      <c r="B561" s="6" t="s">
        <v>909</v>
      </c>
      <c r="C561" s="215">
        <v>100</v>
      </c>
      <c r="D561" s="215"/>
      <c r="E561" s="216"/>
      <c r="F561" s="220">
        <f t="shared" ref="F561:F584" si="216">SUM(C561:E561)</f>
        <v>100</v>
      </c>
      <c r="G561" s="211">
        <v>44673</v>
      </c>
      <c r="H561" s="6" t="s">
        <v>924</v>
      </c>
      <c r="I561" s="235">
        <v>200</v>
      </c>
      <c r="J561" s="215"/>
      <c r="K561" s="240"/>
      <c r="L561" s="220">
        <f t="shared" ref="L561:L582" si="217">SUM(I561:K561)</f>
        <v>200</v>
      </c>
      <c r="M561" s="211">
        <v>44683</v>
      </c>
      <c r="O561" s="4" t="s">
        <v>923</v>
      </c>
      <c r="P561" s="44">
        <v>64</v>
      </c>
      <c r="Q561" s="14">
        <f t="shared" ref="Q561:Q584" si="218">SUM(P561:P561)</f>
        <v>64</v>
      </c>
      <c r="R561" s="185">
        <v>44678</v>
      </c>
      <c r="S561" s="6" t="s">
        <v>920</v>
      </c>
      <c r="T561" s="44">
        <v>9</v>
      </c>
      <c r="U561" s="14">
        <f t="shared" ref="U561:U579" si="219">SUM(T561:T561)</f>
        <v>9</v>
      </c>
      <c r="V561" s="185">
        <v>44677</v>
      </c>
    </row>
    <row r="562" spans="1:22" x14ac:dyDescent="0.15">
      <c r="A562" s="1"/>
      <c r="B562" s="4" t="s">
        <v>917</v>
      </c>
      <c r="C562" s="216"/>
      <c r="D562" s="232">
        <v>20</v>
      </c>
      <c r="E562" s="232">
        <v>30</v>
      </c>
      <c r="F562" s="220">
        <f t="shared" si="216"/>
        <v>50</v>
      </c>
      <c r="G562" s="211">
        <v>44672</v>
      </c>
      <c r="H562" s="6" t="s">
        <v>933</v>
      </c>
      <c r="I562" s="215">
        <v>200</v>
      </c>
      <c r="J562" s="215"/>
      <c r="K562" s="216"/>
      <c r="L562" s="220">
        <f t="shared" si="217"/>
        <v>200</v>
      </c>
      <c r="M562" s="211">
        <v>44692</v>
      </c>
      <c r="O562" s="4"/>
      <c r="P562" s="15"/>
      <c r="Q562" s="14">
        <f t="shared" si="218"/>
        <v>0</v>
      </c>
      <c r="R562" s="186"/>
      <c r="S562" s="4" t="s">
        <v>921</v>
      </c>
      <c r="T562" s="15">
        <v>64</v>
      </c>
      <c r="U562" s="14">
        <f t="shared" si="219"/>
        <v>64</v>
      </c>
      <c r="V562" s="185">
        <v>44678</v>
      </c>
    </row>
    <row r="563" spans="1:22" x14ac:dyDescent="0.15">
      <c r="A563" s="1"/>
      <c r="B563" s="4" t="s">
        <v>917</v>
      </c>
      <c r="C563" s="216">
        <v>10</v>
      </c>
      <c r="D563" s="232">
        <v>10</v>
      </c>
      <c r="E563" s="232">
        <v>10</v>
      </c>
      <c r="F563" s="220">
        <f t="shared" si="216"/>
        <v>30</v>
      </c>
      <c r="G563" s="211">
        <v>44672</v>
      </c>
      <c r="H563" s="6" t="s">
        <v>745</v>
      </c>
      <c r="I563" s="216">
        <v>200</v>
      </c>
      <c r="J563" s="232"/>
      <c r="K563" s="232"/>
      <c r="L563" s="220">
        <f t="shared" si="217"/>
        <v>200</v>
      </c>
      <c r="M563" s="211">
        <v>44688</v>
      </c>
      <c r="O563" s="4"/>
      <c r="P563" s="15"/>
      <c r="Q563" s="14">
        <f t="shared" si="218"/>
        <v>0</v>
      </c>
      <c r="R563" s="186"/>
      <c r="S563" s="6" t="s">
        <v>909</v>
      </c>
      <c r="T563" s="15">
        <v>100</v>
      </c>
      <c r="U563" s="14">
        <f t="shared" si="219"/>
        <v>100</v>
      </c>
      <c r="V563" s="185">
        <v>44692</v>
      </c>
    </row>
    <row r="564" spans="1:22" x14ac:dyDescent="0.15">
      <c r="A564" s="1"/>
      <c r="B564" s="4" t="s">
        <v>749</v>
      </c>
      <c r="C564" s="233">
        <v>1</v>
      </c>
      <c r="D564" s="234"/>
      <c r="E564" s="234"/>
      <c r="F564" s="220">
        <f t="shared" si="216"/>
        <v>1</v>
      </c>
      <c r="G564" s="248">
        <v>44671</v>
      </c>
      <c r="H564" s="6" t="s">
        <v>936</v>
      </c>
      <c r="I564" s="233">
        <v>27</v>
      </c>
      <c r="J564" s="234">
        <v>27</v>
      </c>
      <c r="K564" s="234">
        <v>23</v>
      </c>
      <c r="L564" s="220">
        <f t="shared" si="217"/>
        <v>77</v>
      </c>
      <c r="M564" s="211">
        <v>44691</v>
      </c>
      <c r="O564" s="4"/>
      <c r="P564" s="15"/>
      <c r="Q564" s="14">
        <f t="shared" si="218"/>
        <v>0</v>
      </c>
      <c r="R564" s="186"/>
      <c r="S564" s="4" t="s">
        <v>936</v>
      </c>
      <c r="T564" s="15">
        <v>7</v>
      </c>
      <c r="U564" s="14">
        <f t="shared" si="219"/>
        <v>7</v>
      </c>
      <c r="V564" s="185">
        <v>44691</v>
      </c>
    </row>
    <row r="565" spans="1:22" x14ac:dyDescent="0.15">
      <c r="A565" s="1"/>
      <c r="B565" s="4" t="s">
        <v>749</v>
      </c>
      <c r="C565" s="216">
        <f>1+8</f>
        <v>9</v>
      </c>
      <c r="D565" s="232">
        <f>1+1</f>
        <v>2</v>
      </c>
      <c r="E565" s="232">
        <f>1+1</f>
        <v>2</v>
      </c>
      <c r="F565" s="220">
        <f t="shared" si="216"/>
        <v>13</v>
      </c>
      <c r="G565" s="248">
        <v>44672</v>
      </c>
      <c r="H565" s="6" t="s">
        <v>939</v>
      </c>
      <c r="I565" s="233">
        <v>120</v>
      </c>
      <c r="J565" s="234"/>
      <c r="K565" s="234"/>
      <c r="L565" s="220">
        <f t="shared" si="217"/>
        <v>120</v>
      </c>
      <c r="M565" s="211">
        <v>44694</v>
      </c>
      <c r="O565" s="4"/>
      <c r="P565" s="15"/>
      <c r="Q565" s="14">
        <f t="shared" si="218"/>
        <v>0</v>
      </c>
      <c r="R565" s="186"/>
      <c r="S565" s="6" t="s">
        <v>933</v>
      </c>
      <c r="T565" s="15">
        <v>1344</v>
      </c>
      <c r="U565" s="14">
        <f t="shared" si="219"/>
        <v>1344</v>
      </c>
      <c r="V565" s="185">
        <v>44693</v>
      </c>
    </row>
    <row r="566" spans="1:22" x14ac:dyDescent="0.15">
      <c r="A566" s="1"/>
      <c r="B566" s="4" t="s">
        <v>749</v>
      </c>
      <c r="C566" s="216">
        <v>7</v>
      </c>
      <c r="D566" s="232">
        <v>4</v>
      </c>
      <c r="E566" s="232">
        <v>3</v>
      </c>
      <c r="F566" s="220">
        <f t="shared" si="216"/>
        <v>14</v>
      </c>
      <c r="G566" s="248">
        <v>44673</v>
      </c>
      <c r="H566" s="4" t="s">
        <v>938</v>
      </c>
      <c r="I566" s="233">
        <v>600</v>
      </c>
      <c r="J566" s="234">
        <v>600</v>
      </c>
      <c r="K566" s="234">
        <v>600</v>
      </c>
      <c r="L566" s="220">
        <f t="shared" si="217"/>
        <v>1800</v>
      </c>
      <c r="M566" s="211">
        <v>44693</v>
      </c>
      <c r="O566" s="4"/>
      <c r="P566" s="15"/>
      <c r="Q566" s="14">
        <f t="shared" si="218"/>
        <v>0</v>
      </c>
      <c r="R566" s="186"/>
      <c r="S566" s="6" t="s">
        <v>939</v>
      </c>
      <c r="T566" s="15">
        <v>600</v>
      </c>
      <c r="U566" s="14">
        <f t="shared" si="219"/>
        <v>600</v>
      </c>
      <c r="V566" s="185">
        <v>44695</v>
      </c>
    </row>
    <row r="567" spans="1:22" x14ac:dyDescent="0.15">
      <c r="A567" s="1"/>
      <c r="B567" s="4" t="s">
        <v>749</v>
      </c>
      <c r="C567" s="233">
        <f>10+4+1+5+1+6+1</f>
        <v>28</v>
      </c>
      <c r="D567" s="234">
        <v>1</v>
      </c>
      <c r="E567" s="234">
        <f>1+2+1</f>
        <v>4</v>
      </c>
      <c r="F567" s="220">
        <f t="shared" si="216"/>
        <v>33</v>
      </c>
      <c r="G567" s="211">
        <v>44676</v>
      </c>
      <c r="H567" s="6" t="s">
        <v>745</v>
      </c>
      <c r="I567" s="233">
        <v>100</v>
      </c>
      <c r="J567" s="234">
        <v>100</v>
      </c>
      <c r="K567" s="234"/>
      <c r="L567" s="220">
        <f t="shared" si="217"/>
        <v>200</v>
      </c>
      <c r="M567" s="211">
        <v>44693</v>
      </c>
      <c r="O567" s="4"/>
      <c r="P567" s="15"/>
      <c r="Q567" s="14">
        <f t="shared" si="218"/>
        <v>0</v>
      </c>
      <c r="R567" s="186"/>
      <c r="S567" s="4"/>
      <c r="T567" s="15"/>
      <c r="U567" s="14">
        <f t="shared" si="219"/>
        <v>0</v>
      </c>
    </row>
    <row r="568" spans="1:22" x14ac:dyDescent="0.15">
      <c r="A568" s="1"/>
      <c r="B568" s="4" t="s">
        <v>749</v>
      </c>
      <c r="C568" s="233">
        <f>41+28+1+1+5+1+3+1</f>
        <v>81</v>
      </c>
      <c r="D568" s="234">
        <f>1+1</f>
        <v>2</v>
      </c>
      <c r="E568" s="234">
        <f>1+1+1+1+1+1</f>
        <v>6</v>
      </c>
      <c r="F568" s="220">
        <f t="shared" si="216"/>
        <v>89</v>
      </c>
      <c r="G568" s="211">
        <v>44677</v>
      </c>
      <c r="H568" s="4"/>
      <c r="I568" s="233"/>
      <c r="J568" s="234"/>
      <c r="K568" s="234"/>
      <c r="L568" s="220">
        <f t="shared" si="217"/>
        <v>0</v>
      </c>
      <c r="O568" s="4"/>
      <c r="P568" s="15"/>
      <c r="Q568" s="14">
        <f t="shared" si="218"/>
        <v>0</v>
      </c>
      <c r="R568" s="186"/>
      <c r="S568" s="4"/>
      <c r="T568" s="15"/>
      <c r="U568" s="14">
        <f t="shared" si="219"/>
        <v>0</v>
      </c>
    </row>
    <row r="569" spans="1:22" x14ac:dyDescent="0.15">
      <c r="A569" s="1"/>
      <c r="B569" s="4" t="s">
        <v>764</v>
      </c>
      <c r="C569" s="233">
        <v>50</v>
      </c>
      <c r="D569" s="234">
        <v>15</v>
      </c>
      <c r="E569" s="234"/>
      <c r="F569" s="220">
        <f t="shared" si="216"/>
        <v>65</v>
      </c>
      <c r="G569" s="211">
        <v>44678</v>
      </c>
      <c r="H569" s="4"/>
      <c r="I569" s="187"/>
      <c r="J569" s="15"/>
      <c r="K569" s="15"/>
      <c r="L569" s="220">
        <f t="shared" si="217"/>
        <v>0</v>
      </c>
      <c r="O569" s="4"/>
      <c r="P569" s="15"/>
      <c r="Q569" s="14">
        <f t="shared" si="218"/>
        <v>0</v>
      </c>
      <c r="R569" s="186"/>
      <c r="S569" s="4"/>
      <c r="T569" s="15"/>
      <c r="U569" s="14">
        <f t="shared" si="219"/>
        <v>0</v>
      </c>
    </row>
    <row r="570" spans="1:22" x14ac:dyDescent="0.15">
      <c r="A570" s="1"/>
      <c r="B570" s="4" t="s">
        <v>922</v>
      </c>
      <c r="C570" s="233">
        <v>5</v>
      </c>
      <c r="D570" s="234">
        <v>5</v>
      </c>
      <c r="E570" s="234">
        <v>5</v>
      </c>
      <c r="F570" s="220">
        <f t="shared" si="216"/>
        <v>15</v>
      </c>
      <c r="G570" s="211">
        <v>44678</v>
      </c>
      <c r="H570" s="4"/>
      <c r="I570" s="187"/>
      <c r="J570" s="15"/>
      <c r="K570" s="15"/>
      <c r="L570" s="220">
        <f t="shared" si="217"/>
        <v>0</v>
      </c>
      <c r="O570" s="4"/>
      <c r="P570" s="15"/>
      <c r="Q570" s="14">
        <f t="shared" si="218"/>
        <v>0</v>
      </c>
      <c r="R570" s="186"/>
      <c r="S570" s="4"/>
      <c r="T570" s="15"/>
      <c r="U570" s="14">
        <f t="shared" si="219"/>
        <v>0</v>
      </c>
    </row>
    <row r="571" spans="1:22" x14ac:dyDescent="0.15">
      <c r="A571" s="1"/>
      <c r="B571" s="4" t="s">
        <v>749</v>
      </c>
      <c r="C571" s="233">
        <f>11+2+1</f>
        <v>14</v>
      </c>
      <c r="D571" s="234"/>
      <c r="E571" s="234">
        <f>2+2</f>
        <v>4</v>
      </c>
      <c r="F571" s="220">
        <f t="shared" si="216"/>
        <v>18</v>
      </c>
      <c r="G571" s="248">
        <v>44678</v>
      </c>
      <c r="H571" s="4"/>
      <c r="I571" s="187"/>
      <c r="J571" s="15"/>
      <c r="K571" s="15"/>
      <c r="L571" s="220">
        <f t="shared" si="217"/>
        <v>0</v>
      </c>
      <c r="O571" s="4"/>
      <c r="P571" s="15"/>
      <c r="Q571" s="14">
        <f t="shared" si="218"/>
        <v>0</v>
      </c>
      <c r="R571" s="186"/>
      <c r="S571" s="4"/>
      <c r="T571" s="15"/>
      <c r="U571" s="14">
        <f t="shared" si="219"/>
        <v>0</v>
      </c>
    </row>
    <row r="572" spans="1:22" x14ac:dyDescent="0.15">
      <c r="A572" s="1"/>
      <c r="B572" s="4" t="s">
        <v>764</v>
      </c>
      <c r="C572" s="235"/>
      <c r="D572" s="234">
        <v>10</v>
      </c>
      <c r="E572" s="234"/>
      <c r="F572" s="220">
        <f t="shared" si="216"/>
        <v>10</v>
      </c>
      <c r="G572" s="211">
        <v>44679</v>
      </c>
      <c r="H572" s="6"/>
      <c r="I572" s="188"/>
      <c r="J572" s="15"/>
      <c r="K572" s="15"/>
      <c r="L572" s="220">
        <f t="shared" si="217"/>
        <v>0</v>
      </c>
      <c r="O572" s="6"/>
      <c r="P572" s="15"/>
      <c r="Q572" s="14">
        <f t="shared" si="218"/>
        <v>0</v>
      </c>
      <c r="R572" s="186"/>
      <c r="S572" s="6"/>
      <c r="T572" s="15"/>
      <c r="U572" s="14">
        <f t="shared" si="219"/>
        <v>0</v>
      </c>
    </row>
    <row r="573" spans="1:22" x14ac:dyDescent="0.15">
      <c r="A573" s="1"/>
      <c r="B573" s="4" t="s">
        <v>922</v>
      </c>
      <c r="C573" s="235">
        <v>5</v>
      </c>
      <c r="D573" s="234">
        <v>5</v>
      </c>
      <c r="E573" s="234">
        <v>5</v>
      </c>
      <c r="F573" s="220">
        <f t="shared" si="216"/>
        <v>15</v>
      </c>
      <c r="G573" s="211">
        <v>44679</v>
      </c>
      <c r="H573" s="6"/>
      <c r="I573" s="188"/>
      <c r="J573" s="15"/>
      <c r="K573" s="15"/>
      <c r="L573" s="220">
        <f t="shared" si="217"/>
        <v>0</v>
      </c>
      <c r="O573" s="6"/>
      <c r="P573" s="15"/>
      <c r="Q573" s="14">
        <f t="shared" si="218"/>
        <v>0</v>
      </c>
      <c r="R573" s="186"/>
      <c r="S573" s="6"/>
      <c r="T573" s="15"/>
      <c r="U573" s="14">
        <f t="shared" si="219"/>
        <v>0</v>
      </c>
    </row>
    <row r="574" spans="1:22" x14ac:dyDescent="0.15">
      <c r="A574" s="1"/>
      <c r="B574" s="4" t="s">
        <v>749</v>
      </c>
      <c r="C574" s="233">
        <f>1+39+1</f>
        <v>41</v>
      </c>
      <c r="D574" s="234">
        <f>1+2</f>
        <v>3</v>
      </c>
      <c r="E574" s="234">
        <v>1</v>
      </c>
      <c r="F574" s="220">
        <f t="shared" si="216"/>
        <v>45</v>
      </c>
      <c r="G574" s="211">
        <v>44679</v>
      </c>
      <c r="H574" s="4"/>
      <c r="I574" s="187"/>
      <c r="J574" s="15"/>
      <c r="K574" s="15"/>
      <c r="L574" s="220">
        <f t="shared" si="217"/>
        <v>0</v>
      </c>
      <c r="O574" s="4"/>
      <c r="P574" s="15"/>
      <c r="Q574" s="14">
        <f t="shared" si="218"/>
        <v>0</v>
      </c>
      <c r="R574" s="186"/>
      <c r="S574" s="4"/>
      <c r="T574" s="15"/>
      <c r="U574" s="14">
        <f t="shared" si="219"/>
        <v>0</v>
      </c>
    </row>
    <row r="575" spans="1:22" x14ac:dyDescent="0.15">
      <c r="A575" s="1"/>
      <c r="B575" s="4" t="s">
        <v>934</v>
      </c>
      <c r="C575" s="233">
        <v>50</v>
      </c>
      <c r="D575" s="234"/>
      <c r="E575" s="234"/>
      <c r="F575" s="220">
        <f t="shared" si="216"/>
        <v>50</v>
      </c>
      <c r="G575" s="211">
        <v>44682</v>
      </c>
      <c r="H575" s="4"/>
      <c r="I575" s="187"/>
      <c r="J575" s="15"/>
      <c r="K575" s="15"/>
      <c r="L575" s="220">
        <f t="shared" si="217"/>
        <v>0</v>
      </c>
      <c r="O575" s="4"/>
      <c r="P575" s="15"/>
      <c r="Q575" s="14">
        <f t="shared" si="218"/>
        <v>0</v>
      </c>
      <c r="R575" s="186"/>
      <c r="S575" s="4"/>
      <c r="T575" s="15"/>
      <c r="U575" s="14">
        <f t="shared" si="219"/>
        <v>0</v>
      </c>
    </row>
    <row r="576" spans="1:22" x14ac:dyDescent="0.15">
      <c r="A576" s="1"/>
      <c r="B576" s="4" t="s">
        <v>935</v>
      </c>
      <c r="C576" s="233">
        <v>5</v>
      </c>
      <c r="D576" s="234">
        <v>5</v>
      </c>
      <c r="E576" s="234">
        <v>5</v>
      </c>
      <c r="F576" s="220">
        <f t="shared" si="216"/>
        <v>15</v>
      </c>
      <c r="G576" s="211">
        <v>44682</v>
      </c>
      <c r="H576" s="4"/>
      <c r="I576" s="187"/>
      <c r="J576" s="15"/>
      <c r="K576" s="15"/>
      <c r="L576" s="220">
        <f t="shared" si="217"/>
        <v>0</v>
      </c>
      <c r="O576" s="4"/>
      <c r="P576" s="15"/>
      <c r="Q576" s="14">
        <f t="shared" si="218"/>
        <v>0</v>
      </c>
      <c r="R576" s="186"/>
      <c r="S576" s="4"/>
      <c r="T576" s="15"/>
      <c r="U576" s="14">
        <f t="shared" si="219"/>
        <v>0</v>
      </c>
    </row>
    <row r="577" spans="1:22" x14ac:dyDescent="0.15">
      <c r="A577" s="1"/>
      <c r="B577" s="4" t="s">
        <v>749</v>
      </c>
      <c r="C577" s="235">
        <f>1+2+1+15</f>
        <v>19</v>
      </c>
      <c r="D577" s="234">
        <f>1+1</f>
        <v>2</v>
      </c>
      <c r="E577" s="234">
        <f>1+1</f>
        <v>2</v>
      </c>
      <c r="F577" s="220">
        <f t="shared" si="216"/>
        <v>23</v>
      </c>
      <c r="G577" s="248">
        <v>44681</v>
      </c>
      <c r="H577" s="6"/>
      <c r="I577" s="188"/>
      <c r="J577" s="15"/>
      <c r="K577" s="15"/>
      <c r="L577" s="220">
        <f t="shared" si="217"/>
        <v>0</v>
      </c>
      <c r="O577" s="6"/>
      <c r="P577" s="15"/>
      <c r="Q577" s="14">
        <f t="shared" si="218"/>
        <v>0</v>
      </c>
      <c r="R577" s="186"/>
      <c r="S577" s="6"/>
      <c r="T577" s="15"/>
      <c r="U577" s="14">
        <f t="shared" si="219"/>
        <v>0</v>
      </c>
    </row>
    <row r="578" spans="1:22" x14ac:dyDescent="0.15">
      <c r="A578" s="1"/>
      <c r="B578" s="4" t="s">
        <v>749</v>
      </c>
      <c r="C578" s="233">
        <f>7+19+1+1</f>
        <v>28</v>
      </c>
      <c r="D578" s="234">
        <f>2+1+1</f>
        <v>4</v>
      </c>
      <c r="E578" s="234">
        <f>1+1+1</f>
        <v>3</v>
      </c>
      <c r="F578" s="220">
        <f t="shared" si="216"/>
        <v>35</v>
      </c>
      <c r="G578" s="248">
        <v>44683</v>
      </c>
      <c r="H578" s="4"/>
      <c r="I578" s="187"/>
      <c r="J578" s="15"/>
      <c r="K578" s="15"/>
      <c r="L578" s="220">
        <f t="shared" si="217"/>
        <v>0</v>
      </c>
      <c r="O578" s="4"/>
      <c r="P578" s="15"/>
      <c r="Q578" s="14">
        <f t="shared" si="218"/>
        <v>0</v>
      </c>
      <c r="R578" s="186"/>
      <c r="S578" s="4"/>
      <c r="T578" s="15"/>
      <c r="U578" s="14">
        <f t="shared" si="219"/>
        <v>0</v>
      </c>
      <c r="V578" s="212"/>
    </row>
    <row r="579" spans="1:22" x14ac:dyDescent="0.15">
      <c r="A579" s="1"/>
      <c r="B579" s="4" t="s">
        <v>749</v>
      </c>
      <c r="C579" s="235">
        <f>18+10+1</f>
        <v>29</v>
      </c>
      <c r="D579" s="234">
        <f>2+1+1</f>
        <v>4</v>
      </c>
      <c r="E579" s="234">
        <f>3+1</f>
        <v>4</v>
      </c>
      <c r="F579" s="220">
        <f t="shared" si="216"/>
        <v>37</v>
      </c>
      <c r="G579" s="248">
        <v>44687</v>
      </c>
      <c r="H579" s="6"/>
      <c r="I579" s="188"/>
      <c r="J579" s="15"/>
      <c r="K579" s="15"/>
      <c r="L579" s="220">
        <f t="shared" si="217"/>
        <v>0</v>
      </c>
      <c r="O579" s="6"/>
      <c r="P579" s="15"/>
      <c r="Q579" s="14">
        <f t="shared" si="218"/>
        <v>0</v>
      </c>
      <c r="R579" s="186"/>
      <c r="S579" s="6"/>
      <c r="T579" s="15"/>
      <c r="U579" s="14">
        <f t="shared" si="219"/>
        <v>0</v>
      </c>
    </row>
    <row r="580" spans="1:22" x14ac:dyDescent="0.15">
      <c r="A580" s="1"/>
      <c r="B580" s="4" t="s">
        <v>934</v>
      </c>
      <c r="C580" s="233">
        <v>100</v>
      </c>
      <c r="D580" s="234"/>
      <c r="E580" s="234"/>
      <c r="F580" s="220">
        <f t="shared" si="216"/>
        <v>100</v>
      </c>
      <c r="G580" s="211">
        <v>44688</v>
      </c>
      <c r="H580" s="4"/>
      <c r="I580" s="187"/>
      <c r="J580" s="15"/>
      <c r="K580" s="15"/>
      <c r="L580" s="220">
        <f t="shared" si="217"/>
        <v>0</v>
      </c>
      <c r="O580" s="4"/>
      <c r="P580" s="15"/>
      <c r="Q580" s="14">
        <f t="shared" si="218"/>
        <v>0</v>
      </c>
      <c r="R580" s="186"/>
      <c r="S580" s="4"/>
      <c r="T580" s="15"/>
      <c r="U580" s="14">
        <f t="shared" ref="U580" si="220">SUM(T580:T580)</f>
        <v>0</v>
      </c>
      <c r="V580" s="212"/>
    </row>
    <row r="581" spans="1:22" x14ac:dyDescent="0.15">
      <c r="A581" s="75"/>
      <c r="B581" s="4" t="s">
        <v>935</v>
      </c>
      <c r="C581" s="233">
        <v>5</v>
      </c>
      <c r="D581" s="234">
        <v>5</v>
      </c>
      <c r="E581" s="234">
        <v>5</v>
      </c>
      <c r="F581" s="220">
        <f t="shared" si="216"/>
        <v>15</v>
      </c>
      <c r="G581" s="211">
        <v>44688</v>
      </c>
      <c r="H581" s="247" t="s">
        <v>930</v>
      </c>
      <c r="I581" s="258"/>
      <c r="J581" s="252"/>
      <c r="K581" s="252"/>
      <c r="L581" s="250">
        <f t="shared" si="217"/>
        <v>0</v>
      </c>
      <c r="M581" s="251"/>
      <c r="O581" s="4"/>
      <c r="P581" s="15"/>
      <c r="Q581" s="14">
        <f t="shared" si="218"/>
        <v>0</v>
      </c>
      <c r="R581" s="186"/>
      <c r="S581" s="4" t="s">
        <v>892</v>
      </c>
      <c r="T581" s="15"/>
      <c r="U581" s="14">
        <f t="shared" ref="U581:U582" si="221">SUM(T581:T581)</f>
        <v>0</v>
      </c>
      <c r="V581" s="212" t="s">
        <v>893</v>
      </c>
    </row>
    <row r="582" spans="1:22" x14ac:dyDescent="0.15">
      <c r="A582" s="1"/>
      <c r="B582" s="4" t="s">
        <v>749</v>
      </c>
      <c r="C582" s="233">
        <f>3+2</f>
        <v>5</v>
      </c>
      <c r="D582" s="234">
        <v>1</v>
      </c>
      <c r="E582" s="234">
        <v>2</v>
      </c>
      <c r="F582" s="220">
        <f t="shared" si="216"/>
        <v>8</v>
      </c>
      <c r="G582" s="248">
        <v>44688</v>
      </c>
      <c r="H582" s="247" t="s">
        <v>873</v>
      </c>
      <c r="I582" s="258"/>
      <c r="J582" s="15"/>
      <c r="K582" s="15"/>
      <c r="L582" s="220">
        <f t="shared" si="217"/>
        <v>0</v>
      </c>
      <c r="M582" s="212" t="s">
        <v>897</v>
      </c>
      <c r="O582" s="4"/>
      <c r="P582" s="15"/>
      <c r="Q582" s="14">
        <f t="shared" si="218"/>
        <v>0</v>
      </c>
      <c r="R582" s="186"/>
      <c r="S582" s="4" t="s">
        <v>888</v>
      </c>
      <c r="T582" s="15"/>
      <c r="U582" s="14">
        <f t="shared" si="221"/>
        <v>0</v>
      </c>
      <c r="V582" s="186" t="s">
        <v>896</v>
      </c>
    </row>
    <row r="583" spans="1:22" x14ac:dyDescent="0.15">
      <c r="A583" s="1"/>
      <c r="B583" s="4" t="s">
        <v>749</v>
      </c>
      <c r="C583" s="233">
        <f>3+3+11</f>
        <v>17</v>
      </c>
      <c r="D583" s="234">
        <f>1</f>
        <v>1</v>
      </c>
      <c r="E583" s="234">
        <f>1</f>
        <v>1</v>
      </c>
      <c r="F583" s="220">
        <f t="shared" si="216"/>
        <v>19</v>
      </c>
      <c r="G583" s="248">
        <v>44690</v>
      </c>
      <c r="H583" s="247" t="s">
        <v>904</v>
      </c>
      <c r="I583" s="249"/>
      <c r="J583" s="249"/>
      <c r="K583" s="249"/>
      <c r="L583" s="250">
        <f>SUM(I583:K583)</f>
        <v>0</v>
      </c>
      <c r="M583" s="251" t="s">
        <v>891</v>
      </c>
      <c r="O583" s="6"/>
      <c r="P583" s="15"/>
      <c r="Q583" s="14">
        <f t="shared" si="218"/>
        <v>0</v>
      </c>
      <c r="R583" s="186"/>
      <c r="S583" s="247" t="s">
        <v>930</v>
      </c>
      <c r="T583" s="252"/>
      <c r="U583" s="255">
        <f t="shared" ref="U583" si="222">SUM(T583:T583)</f>
        <v>0</v>
      </c>
      <c r="V583" s="256"/>
    </row>
    <row r="584" spans="1:22" ht="14.25" thickBot="1" x14ac:dyDescent="0.2">
      <c r="A584" s="1"/>
      <c r="B584" s="4" t="s">
        <v>749</v>
      </c>
      <c r="C584" s="235">
        <f>12+1+2+1</f>
        <v>16</v>
      </c>
      <c r="D584" s="234"/>
      <c r="E584" s="234">
        <v>1</v>
      </c>
      <c r="F584" s="220">
        <f t="shared" si="216"/>
        <v>17</v>
      </c>
      <c r="G584" s="248">
        <v>44691</v>
      </c>
      <c r="H584" s="6" t="s">
        <v>889</v>
      </c>
      <c r="I584" s="206"/>
      <c r="J584" s="206"/>
      <c r="K584" s="206"/>
      <c r="L584" s="220">
        <f t="shared" ref="L584" si="223">SUM(I584:K584)</f>
        <v>0</v>
      </c>
      <c r="M584" s="212" t="s">
        <v>896</v>
      </c>
      <c r="O584" s="6"/>
      <c r="P584" s="15"/>
      <c r="Q584" s="14">
        <f t="shared" si="218"/>
        <v>0</v>
      </c>
      <c r="R584" s="186"/>
      <c r="S584" s="6" t="s">
        <v>873</v>
      </c>
      <c r="T584" s="15"/>
      <c r="U584" s="14">
        <f t="shared" ref="U584" si="224">SUM(T584:T584)</f>
        <v>0</v>
      </c>
      <c r="V584" s="186" t="s">
        <v>897</v>
      </c>
    </row>
    <row r="585" spans="1:22" ht="14.25" thickBot="1" x14ac:dyDescent="0.2">
      <c r="A585" s="1"/>
      <c r="B585" s="3" t="s">
        <v>5</v>
      </c>
      <c r="C585" s="16">
        <f>SUM(C561:C584)</f>
        <v>625</v>
      </c>
      <c r="D585" s="16">
        <f>SUM(D561:D584)</f>
        <v>99</v>
      </c>
      <c r="E585" s="16">
        <f>SUM(E561:E584)</f>
        <v>93</v>
      </c>
      <c r="F585" s="223">
        <f>SUM(F561:F584)</f>
        <v>817</v>
      </c>
      <c r="H585" s="3" t="s">
        <v>5</v>
      </c>
      <c r="I585" s="16">
        <f>SUM(I561:I584)</f>
        <v>1447</v>
      </c>
      <c r="J585" s="16">
        <f>SUM(J561:J584)</f>
        <v>727</v>
      </c>
      <c r="K585" s="16">
        <f>SUM(K561:K584)</f>
        <v>623</v>
      </c>
      <c r="L585" s="223">
        <f>SUM(L561:L584)</f>
        <v>2797</v>
      </c>
      <c r="O585" s="3" t="s">
        <v>5</v>
      </c>
      <c r="P585" s="16">
        <f>SUM(P561:P584)</f>
        <v>64</v>
      </c>
      <c r="Q585" s="17">
        <f>SUM(Q561:Q584)</f>
        <v>64</v>
      </c>
      <c r="S585" s="3" t="s">
        <v>5</v>
      </c>
      <c r="T585" s="16">
        <f>SUM(T561:T584)</f>
        <v>2124</v>
      </c>
      <c r="U585" s="17">
        <f>SUM(U561:U584)</f>
        <v>2124</v>
      </c>
    </row>
    <row r="586" spans="1:22" ht="14.25" thickBot="1" x14ac:dyDescent="0.2">
      <c r="A586" s="1"/>
      <c r="B586" s="18" t="s">
        <v>6</v>
      </c>
      <c r="C586" s="19">
        <f>C560-C585</f>
        <v>497</v>
      </c>
      <c r="D586" s="19">
        <f>D560-D585</f>
        <v>129</v>
      </c>
      <c r="E586" s="19">
        <f t="shared" ref="E586" si="225">E560-E585</f>
        <v>145</v>
      </c>
      <c r="F586" s="221">
        <f>F560-F585</f>
        <v>771</v>
      </c>
      <c r="H586" s="18" t="s">
        <v>6</v>
      </c>
      <c r="I586" s="19">
        <f>I560-I585</f>
        <v>4953</v>
      </c>
      <c r="J586" s="19">
        <f>J560-J585</f>
        <v>273</v>
      </c>
      <c r="K586" s="19">
        <f t="shared" ref="K586" si="226">K560-K585</f>
        <v>157</v>
      </c>
      <c r="L586" s="221">
        <f>L560-L585</f>
        <v>5383</v>
      </c>
      <c r="O586" s="18" t="s">
        <v>6</v>
      </c>
      <c r="P586" s="19">
        <f>P560-P585</f>
        <v>0</v>
      </c>
      <c r="Q586" s="13">
        <f>Q560-Q585</f>
        <v>0</v>
      </c>
      <c r="S586" s="18" t="s">
        <v>6</v>
      </c>
      <c r="T586" s="19">
        <f>T560-T585</f>
        <v>101</v>
      </c>
      <c r="U586" s="13">
        <f>U560-U585</f>
        <v>101</v>
      </c>
    </row>
    <row r="589" spans="1:22" ht="18" thickBot="1" x14ac:dyDescent="0.25">
      <c r="A589" s="27" t="s">
        <v>739</v>
      </c>
      <c r="B589" s="28"/>
      <c r="C589" s="28"/>
      <c r="D589" s="28"/>
      <c r="E589" s="28"/>
      <c r="F589" s="218"/>
      <c r="H589" s="27" t="s">
        <v>740</v>
      </c>
      <c r="I589" s="28"/>
      <c r="J589" s="28"/>
      <c r="K589" s="28"/>
      <c r="L589" s="218"/>
      <c r="O589" s="181" t="s">
        <v>737</v>
      </c>
      <c r="P589" s="182"/>
      <c r="Q589" s="182"/>
      <c r="R589" s="183"/>
      <c r="S589" s="181" t="s">
        <v>733</v>
      </c>
      <c r="T589" s="182"/>
      <c r="U589" s="182"/>
    </row>
    <row r="590" spans="1:22" ht="14.25" thickBot="1" x14ac:dyDescent="0.2">
      <c r="A590" s="1"/>
      <c r="B590" s="2"/>
      <c r="C590" s="194" t="s">
        <v>734</v>
      </c>
      <c r="D590" s="195" t="s">
        <v>706</v>
      </c>
      <c r="E590" s="2" t="s">
        <v>735</v>
      </c>
      <c r="F590" s="219" t="s">
        <v>1</v>
      </c>
      <c r="H590" s="2"/>
      <c r="I590" s="197" t="s">
        <v>734</v>
      </c>
      <c r="J590" s="195" t="s">
        <v>706</v>
      </c>
      <c r="K590" s="201" t="s">
        <v>735</v>
      </c>
      <c r="L590" s="219" t="s">
        <v>1</v>
      </c>
      <c r="O590" s="2"/>
      <c r="P590" s="3" t="s">
        <v>722</v>
      </c>
      <c r="Q590" s="2" t="s">
        <v>1</v>
      </c>
      <c r="S590" s="2"/>
      <c r="T590" s="3" t="s">
        <v>722</v>
      </c>
      <c r="U590" s="2" t="s">
        <v>1</v>
      </c>
    </row>
    <row r="591" spans="1:22" x14ac:dyDescent="0.15">
      <c r="A591" s="1"/>
      <c r="B591" s="164" t="s">
        <v>26</v>
      </c>
      <c r="C591" s="200">
        <f>C586</f>
        <v>497</v>
      </c>
      <c r="D591" s="164">
        <f t="shared" ref="D591:F591" si="227">D586</f>
        <v>129</v>
      </c>
      <c r="E591" s="164">
        <f t="shared" si="227"/>
        <v>145</v>
      </c>
      <c r="F591" s="222">
        <f t="shared" si="227"/>
        <v>771</v>
      </c>
      <c r="H591" s="164" t="s">
        <v>26</v>
      </c>
      <c r="I591" s="200">
        <f>I586</f>
        <v>4953</v>
      </c>
      <c r="J591" s="164">
        <f t="shared" ref="J591:L591" si="228">J586</f>
        <v>273</v>
      </c>
      <c r="K591" s="200">
        <f t="shared" si="228"/>
        <v>157</v>
      </c>
      <c r="L591" s="222">
        <f t="shared" si="228"/>
        <v>5383</v>
      </c>
      <c r="M591" s="210"/>
      <c r="O591" s="171" t="s">
        <v>26</v>
      </c>
      <c r="P591" s="200">
        <f>P586</f>
        <v>0</v>
      </c>
      <c r="Q591" s="180">
        <f>Q586</f>
        <v>0</v>
      </c>
      <c r="R591" s="185"/>
      <c r="S591" s="43" t="s">
        <v>26</v>
      </c>
      <c r="T591" s="38">
        <f>T586</f>
        <v>101</v>
      </c>
      <c r="U591" s="39">
        <f>U586</f>
        <v>101</v>
      </c>
    </row>
    <row r="592" spans="1:22" x14ac:dyDescent="0.15">
      <c r="A592" s="75"/>
      <c r="B592" s="6" t="s">
        <v>3</v>
      </c>
      <c r="C592" s="188"/>
      <c r="D592" s="6"/>
      <c r="E592" s="202"/>
      <c r="F592" s="220">
        <f t="shared" ref="F592:F601" si="229">SUM(C592:E592)</f>
        <v>0</v>
      </c>
      <c r="G592" s="211"/>
      <c r="H592" s="6" t="s">
        <v>3</v>
      </c>
      <c r="I592" s="188"/>
      <c r="J592" s="6"/>
      <c r="K592" s="202"/>
      <c r="L592" s="220">
        <f t="shared" ref="L592:L601" si="230">SUM(I592:K592)</f>
        <v>0</v>
      </c>
      <c r="M592" s="211"/>
      <c r="O592" s="6" t="s">
        <v>3</v>
      </c>
      <c r="P592" s="7"/>
      <c r="Q592" s="5">
        <f t="shared" ref="Q592:Q601" si="231">SUM(P592:P592)</f>
        <v>0</v>
      </c>
      <c r="R592" s="186"/>
      <c r="S592" s="6" t="s">
        <v>3</v>
      </c>
      <c r="T592" s="7"/>
      <c r="U592" s="5">
        <f t="shared" ref="U592:U601" si="232">SUM(T592:T592)</f>
        <v>0</v>
      </c>
    </row>
    <row r="593" spans="1:22" x14ac:dyDescent="0.15">
      <c r="A593" s="1"/>
      <c r="B593" s="6" t="s">
        <v>3</v>
      </c>
      <c r="C593" s="205">
        <v>200</v>
      </c>
      <c r="D593" s="205"/>
      <c r="E593" s="207"/>
      <c r="F593" s="220">
        <f t="shared" si="229"/>
        <v>200</v>
      </c>
      <c r="G593" s="211">
        <v>44702</v>
      </c>
      <c r="H593" s="6" t="s">
        <v>3</v>
      </c>
      <c r="I593" s="188">
        <v>5000</v>
      </c>
      <c r="J593" s="225">
        <v>1000</v>
      </c>
      <c r="K593" s="243">
        <v>500</v>
      </c>
      <c r="L593" s="220">
        <f t="shared" si="230"/>
        <v>6500</v>
      </c>
      <c r="M593" s="211" t="s">
        <v>948</v>
      </c>
      <c r="O593" s="6" t="s">
        <v>3</v>
      </c>
      <c r="P593" s="7"/>
      <c r="Q593" s="5">
        <f t="shared" si="231"/>
        <v>0</v>
      </c>
      <c r="R593" s="186"/>
      <c r="S593" s="6" t="s">
        <v>3</v>
      </c>
      <c r="T593" s="7">
        <v>944</v>
      </c>
      <c r="U593" s="5">
        <f t="shared" si="232"/>
        <v>944</v>
      </c>
      <c r="V593" s="185" t="s">
        <v>948</v>
      </c>
    </row>
    <row r="594" spans="1:22" x14ac:dyDescent="0.15">
      <c r="A594" s="1"/>
      <c r="B594" s="6" t="s">
        <v>3</v>
      </c>
      <c r="C594" s="196"/>
      <c r="D594" s="6"/>
      <c r="E594" s="4"/>
      <c r="F594" s="220">
        <f t="shared" si="229"/>
        <v>0</v>
      </c>
      <c r="G594" s="211"/>
      <c r="H594" s="6" t="s">
        <v>3</v>
      </c>
      <c r="I594" s="188"/>
      <c r="J594" s="6"/>
      <c r="K594" s="202"/>
      <c r="L594" s="220">
        <f t="shared" si="230"/>
        <v>0</v>
      </c>
      <c r="M594" s="212"/>
      <c r="O594" s="6" t="s">
        <v>3</v>
      </c>
      <c r="P594" s="7"/>
      <c r="Q594" s="5">
        <f t="shared" si="231"/>
        <v>0</v>
      </c>
      <c r="R594" s="186"/>
      <c r="S594" s="6" t="s">
        <v>3</v>
      </c>
      <c r="T594" s="7"/>
      <c r="U594" s="5">
        <f t="shared" si="232"/>
        <v>0</v>
      </c>
    </row>
    <row r="595" spans="1:22" x14ac:dyDescent="0.15">
      <c r="A595" s="1"/>
      <c r="B595" s="6" t="s">
        <v>3</v>
      </c>
      <c r="C595" s="205"/>
      <c r="D595" s="205"/>
      <c r="E595" s="207"/>
      <c r="F595" s="220">
        <f t="shared" si="229"/>
        <v>0</v>
      </c>
      <c r="G595" s="211"/>
      <c r="H595" s="6" t="s">
        <v>3</v>
      </c>
      <c r="I595" s="188"/>
      <c r="J595" s="6"/>
      <c r="K595" s="202"/>
      <c r="L595" s="220">
        <f t="shared" si="230"/>
        <v>0</v>
      </c>
      <c r="O595" s="6" t="s">
        <v>3</v>
      </c>
      <c r="P595" s="7"/>
      <c r="Q595" s="5">
        <f t="shared" si="231"/>
        <v>0</v>
      </c>
      <c r="R595" s="186"/>
      <c r="S595" s="6" t="s">
        <v>3</v>
      </c>
      <c r="T595" s="7"/>
      <c r="U595" s="5">
        <f t="shared" si="232"/>
        <v>0</v>
      </c>
    </row>
    <row r="596" spans="1:22" x14ac:dyDescent="0.15">
      <c r="A596" s="1"/>
      <c r="B596" s="6" t="s">
        <v>3</v>
      </c>
      <c r="C596" s="205"/>
      <c r="D596" s="205"/>
      <c r="E596" s="207"/>
      <c r="F596" s="220">
        <f t="shared" si="229"/>
        <v>0</v>
      </c>
      <c r="G596" s="212"/>
      <c r="H596" s="6" t="s">
        <v>3</v>
      </c>
      <c r="I596" s="188"/>
      <c r="J596" s="6"/>
      <c r="K596" s="202"/>
      <c r="L596" s="220">
        <f t="shared" si="230"/>
        <v>0</v>
      </c>
      <c r="M596" s="211"/>
      <c r="O596" s="6" t="s">
        <v>3</v>
      </c>
      <c r="P596" s="7"/>
      <c r="Q596" s="5">
        <f t="shared" si="231"/>
        <v>0</v>
      </c>
      <c r="R596" s="186"/>
      <c r="S596" s="6" t="s">
        <v>3</v>
      </c>
      <c r="T596" s="7"/>
      <c r="U596" s="5">
        <f t="shared" si="232"/>
        <v>0</v>
      </c>
      <c r="V596" s="185"/>
    </row>
    <row r="597" spans="1:22" x14ac:dyDescent="0.15">
      <c r="A597" s="1"/>
      <c r="B597" s="6" t="s">
        <v>3</v>
      </c>
      <c r="C597" s="205"/>
      <c r="D597" s="205"/>
      <c r="E597" s="207"/>
      <c r="F597" s="220">
        <f t="shared" si="229"/>
        <v>0</v>
      </c>
      <c r="G597" s="212"/>
      <c r="H597" s="6" t="s">
        <v>3</v>
      </c>
      <c r="I597" s="188"/>
      <c r="J597" s="6"/>
      <c r="K597" s="202"/>
      <c r="L597" s="220">
        <f t="shared" si="230"/>
        <v>0</v>
      </c>
      <c r="O597" s="6" t="s">
        <v>3</v>
      </c>
      <c r="P597" s="7"/>
      <c r="Q597" s="5">
        <f t="shared" si="231"/>
        <v>0</v>
      </c>
      <c r="R597" s="186"/>
      <c r="S597" s="6" t="s">
        <v>3</v>
      </c>
      <c r="T597" s="7"/>
      <c r="U597" s="5">
        <f t="shared" si="232"/>
        <v>0</v>
      </c>
    </row>
    <row r="598" spans="1:22" x14ac:dyDescent="0.15">
      <c r="A598" s="1"/>
      <c r="B598" s="6" t="s">
        <v>3</v>
      </c>
      <c r="C598" s="205"/>
      <c r="D598" s="189"/>
      <c r="E598" s="190"/>
      <c r="F598" s="220">
        <f t="shared" si="229"/>
        <v>0</v>
      </c>
      <c r="G598" s="212"/>
      <c r="H598" s="6" t="s">
        <v>3</v>
      </c>
      <c r="I598" s="188"/>
      <c r="J598" s="225"/>
      <c r="K598" s="243"/>
      <c r="L598" s="220">
        <f t="shared" si="230"/>
        <v>0</v>
      </c>
      <c r="M598" s="211"/>
      <c r="O598" s="6" t="s">
        <v>3</v>
      </c>
      <c r="P598" s="8"/>
      <c r="Q598" s="5">
        <f t="shared" si="231"/>
        <v>0</v>
      </c>
      <c r="R598" s="186"/>
      <c r="S598" s="6" t="s">
        <v>3</v>
      </c>
      <c r="T598" s="54"/>
      <c r="U598" s="5">
        <f t="shared" si="232"/>
        <v>0</v>
      </c>
      <c r="V598" s="211"/>
    </row>
    <row r="599" spans="1:22" x14ac:dyDescent="0.15">
      <c r="A599" s="1"/>
      <c r="B599" s="6" t="s">
        <v>3</v>
      </c>
      <c r="C599" s="205"/>
      <c r="D599" s="189"/>
      <c r="E599" s="190"/>
      <c r="F599" s="220">
        <f t="shared" si="229"/>
        <v>0</v>
      </c>
      <c r="H599" s="6" t="s">
        <v>3</v>
      </c>
      <c r="I599" s="188"/>
      <c r="J599" s="225"/>
      <c r="K599" s="243"/>
      <c r="L599" s="220">
        <f t="shared" si="230"/>
        <v>0</v>
      </c>
      <c r="M599" s="212"/>
      <c r="O599" s="6" t="s">
        <v>3</v>
      </c>
      <c r="P599" s="8"/>
      <c r="Q599" s="5">
        <f t="shared" si="231"/>
        <v>0</v>
      </c>
      <c r="R599" s="186"/>
      <c r="S599" s="6" t="s">
        <v>3</v>
      </c>
      <c r="T599" s="8"/>
      <c r="U599" s="5">
        <f t="shared" si="232"/>
        <v>0</v>
      </c>
      <c r="V599" s="186"/>
    </row>
    <row r="600" spans="1:22" x14ac:dyDescent="0.15">
      <c r="A600" s="1"/>
      <c r="B600" s="6" t="s">
        <v>3</v>
      </c>
      <c r="C600" s="205"/>
      <c r="D600" s="189"/>
      <c r="E600" s="190"/>
      <c r="F600" s="220">
        <f t="shared" si="229"/>
        <v>0</v>
      </c>
      <c r="H600" s="6" t="s">
        <v>3</v>
      </c>
      <c r="I600" s="188"/>
      <c r="J600" s="225"/>
      <c r="K600" s="243"/>
      <c r="L600" s="220">
        <f t="shared" si="230"/>
        <v>0</v>
      </c>
      <c r="O600" s="6" t="s">
        <v>3</v>
      </c>
      <c r="P600" s="8"/>
      <c r="Q600" s="5">
        <f t="shared" si="231"/>
        <v>0</v>
      </c>
      <c r="R600" s="186"/>
      <c r="S600" s="6" t="s">
        <v>3</v>
      </c>
      <c r="T600" s="8"/>
      <c r="U600" s="5">
        <f t="shared" si="232"/>
        <v>0</v>
      </c>
    </row>
    <row r="601" spans="1:22" ht="14.25" thickBot="1" x14ac:dyDescent="0.2">
      <c r="A601" s="1"/>
      <c r="B601" s="9" t="s">
        <v>3</v>
      </c>
      <c r="C601" s="236"/>
      <c r="D601" s="191"/>
      <c r="E601" s="192"/>
      <c r="F601" s="220">
        <f t="shared" si="229"/>
        <v>0</v>
      </c>
      <c r="H601" s="9" t="s">
        <v>3</v>
      </c>
      <c r="I601" s="198"/>
      <c r="J601" s="244"/>
      <c r="K601" s="245"/>
      <c r="L601" s="220">
        <f t="shared" si="230"/>
        <v>0</v>
      </c>
      <c r="O601" s="9" t="s">
        <v>3</v>
      </c>
      <c r="P601" s="10"/>
      <c r="Q601" s="5">
        <f t="shared" si="231"/>
        <v>0</v>
      </c>
      <c r="R601" s="186"/>
      <c r="S601" s="9" t="s">
        <v>3</v>
      </c>
      <c r="T601" s="10"/>
      <c r="U601" s="5">
        <f t="shared" si="232"/>
        <v>0</v>
      </c>
    </row>
    <row r="602" spans="1:22" ht="14.25" thickBot="1" x14ac:dyDescent="0.2">
      <c r="A602" s="1"/>
      <c r="B602" s="11" t="s">
        <v>4</v>
      </c>
      <c r="C602" s="193">
        <f>SUM(C591:C601)</f>
        <v>697</v>
      </c>
      <c r="D602" s="193">
        <f>SUM(D591:D601)</f>
        <v>129</v>
      </c>
      <c r="E602" s="193">
        <f>SUM(E591:E601)</f>
        <v>145</v>
      </c>
      <c r="F602" s="221">
        <f>SUM(F591:F601)</f>
        <v>971</v>
      </c>
      <c r="H602" s="11" t="s">
        <v>4</v>
      </c>
      <c r="I602" s="193">
        <f>SUM(I591:I601)</f>
        <v>9953</v>
      </c>
      <c r="J602" s="193">
        <f>SUM(J591:J601)</f>
        <v>1273</v>
      </c>
      <c r="K602" s="193">
        <f t="shared" ref="K602" si="233">SUM(K591:K601)</f>
        <v>657</v>
      </c>
      <c r="L602" s="221">
        <f>SUM(L591:L601)</f>
        <v>11883</v>
      </c>
      <c r="O602" s="11" t="s">
        <v>4</v>
      </c>
      <c r="P602" s="12">
        <f>SUM(P591:P601)</f>
        <v>0</v>
      </c>
      <c r="Q602" s="13">
        <f>SUM(Q591:Q601)</f>
        <v>0</v>
      </c>
      <c r="S602" s="11" t="s">
        <v>4</v>
      </c>
      <c r="T602" s="12">
        <f>SUM(T591:T601)</f>
        <v>1045</v>
      </c>
      <c r="U602" s="13">
        <f>SUM(U591:U601)</f>
        <v>1045</v>
      </c>
    </row>
    <row r="603" spans="1:22" x14ac:dyDescent="0.15">
      <c r="A603" s="1"/>
      <c r="B603" s="4" t="s">
        <v>477</v>
      </c>
      <c r="C603" s="215">
        <v>50</v>
      </c>
      <c r="D603" s="215">
        <v>5</v>
      </c>
      <c r="E603" s="216">
        <v>5</v>
      </c>
      <c r="F603" s="220">
        <f t="shared" ref="F603:F626" si="234">SUM(C603:E603)</f>
        <v>60</v>
      </c>
      <c r="G603" s="211">
        <v>44692</v>
      </c>
      <c r="H603" s="6" t="s">
        <v>943</v>
      </c>
      <c r="I603" s="235">
        <v>200</v>
      </c>
      <c r="J603" s="215"/>
      <c r="K603" s="240"/>
      <c r="L603" s="220">
        <f t="shared" ref="L603:L622" si="235">SUM(I603:K603)</f>
        <v>200</v>
      </c>
      <c r="M603" s="211">
        <v>44702</v>
      </c>
      <c r="N603" s="186"/>
      <c r="O603" s="4"/>
      <c r="P603" s="44"/>
      <c r="Q603" s="14">
        <f t="shared" ref="Q603:Q626" si="236">SUM(P603:P603)</f>
        <v>0</v>
      </c>
      <c r="R603" s="185"/>
      <c r="S603" s="6" t="s">
        <v>940</v>
      </c>
      <c r="T603" s="44">
        <v>700</v>
      </c>
      <c r="U603" s="14">
        <f t="shared" ref="U603:U626" si="237">SUM(T603:T603)</f>
        <v>700</v>
      </c>
      <c r="V603" s="185">
        <v>44704</v>
      </c>
    </row>
    <row r="604" spans="1:22" x14ac:dyDescent="0.15">
      <c r="A604" s="1"/>
      <c r="B604" s="4" t="s">
        <v>937</v>
      </c>
      <c r="C604" s="216">
        <v>5</v>
      </c>
      <c r="D604" s="232">
        <v>5</v>
      </c>
      <c r="E604" s="232">
        <v>5</v>
      </c>
      <c r="F604" s="220">
        <f t="shared" si="234"/>
        <v>15</v>
      </c>
      <c r="G604" s="211">
        <v>44692</v>
      </c>
      <c r="H604" s="6"/>
      <c r="I604" s="215"/>
      <c r="J604" s="215"/>
      <c r="K604" s="216"/>
      <c r="L604" s="220">
        <f t="shared" si="235"/>
        <v>0</v>
      </c>
      <c r="M604" s="211"/>
      <c r="O604" s="4"/>
      <c r="P604" s="15"/>
      <c r="Q604" s="14">
        <f t="shared" si="236"/>
        <v>0</v>
      </c>
      <c r="R604" s="186"/>
      <c r="S604" s="4"/>
      <c r="T604" s="15"/>
      <c r="U604" s="14">
        <f t="shared" si="237"/>
        <v>0</v>
      </c>
    </row>
    <row r="605" spans="1:22" x14ac:dyDescent="0.15">
      <c r="A605" s="1"/>
      <c r="B605" s="4" t="s">
        <v>749</v>
      </c>
      <c r="C605" s="216">
        <f>12+7+1+3</f>
        <v>23</v>
      </c>
      <c r="D605" s="232">
        <f>1+1+1+5+1+1</f>
        <v>10</v>
      </c>
      <c r="E605" s="232">
        <f>2+1+2+2</f>
        <v>7</v>
      </c>
      <c r="F605" s="220">
        <f t="shared" si="234"/>
        <v>40</v>
      </c>
      <c r="G605" s="248">
        <v>44692</v>
      </c>
      <c r="H605" s="4"/>
      <c r="I605" s="216"/>
      <c r="J605" s="232"/>
      <c r="K605" s="232"/>
      <c r="L605" s="220">
        <f t="shared" si="235"/>
        <v>0</v>
      </c>
      <c r="M605" s="212"/>
      <c r="O605" s="4"/>
      <c r="P605" s="15"/>
      <c r="Q605" s="14">
        <f t="shared" si="236"/>
        <v>0</v>
      </c>
      <c r="R605" s="186"/>
      <c r="S605" s="4"/>
      <c r="T605" s="15"/>
      <c r="U605" s="14">
        <f t="shared" si="237"/>
        <v>0</v>
      </c>
    </row>
    <row r="606" spans="1:22" x14ac:dyDescent="0.15">
      <c r="A606" s="1"/>
      <c r="B606" s="4" t="s">
        <v>941</v>
      </c>
      <c r="C606" s="233">
        <v>2</v>
      </c>
      <c r="D606" s="234">
        <v>2</v>
      </c>
      <c r="E606" s="234">
        <v>2</v>
      </c>
      <c r="F606" s="220">
        <f t="shared" si="234"/>
        <v>6</v>
      </c>
      <c r="G606" s="211">
        <v>44694</v>
      </c>
      <c r="H606" s="4"/>
      <c r="I606" s="233"/>
      <c r="J606" s="234"/>
      <c r="K606" s="234"/>
      <c r="L606" s="220">
        <f t="shared" si="235"/>
        <v>0</v>
      </c>
      <c r="M606" s="212"/>
      <c r="O606" s="4"/>
      <c r="P606" s="15"/>
      <c r="Q606" s="14">
        <f t="shared" si="236"/>
        <v>0</v>
      </c>
      <c r="R606" s="186"/>
      <c r="S606" s="4"/>
      <c r="T606" s="15"/>
      <c r="U606" s="14">
        <f t="shared" si="237"/>
        <v>0</v>
      </c>
    </row>
    <row r="607" spans="1:22" x14ac:dyDescent="0.15">
      <c r="A607" s="1"/>
      <c r="B607" s="4" t="s">
        <v>749</v>
      </c>
      <c r="C607" s="233">
        <v>7</v>
      </c>
      <c r="D607" s="234"/>
      <c r="E607" s="234"/>
      <c r="F607" s="220">
        <f t="shared" si="234"/>
        <v>7</v>
      </c>
      <c r="G607" s="248">
        <v>44693</v>
      </c>
      <c r="H607" s="4"/>
      <c r="I607" s="233"/>
      <c r="J607" s="234"/>
      <c r="K607" s="234"/>
      <c r="L607" s="220">
        <f t="shared" si="235"/>
        <v>0</v>
      </c>
      <c r="O607" s="4"/>
      <c r="P607" s="15"/>
      <c r="Q607" s="14">
        <f t="shared" si="236"/>
        <v>0</v>
      </c>
      <c r="R607" s="186"/>
      <c r="S607" s="4"/>
      <c r="T607" s="15"/>
      <c r="U607" s="14">
        <f t="shared" si="237"/>
        <v>0</v>
      </c>
    </row>
    <row r="608" spans="1:22" x14ac:dyDescent="0.15">
      <c r="A608" s="1"/>
      <c r="B608" s="4" t="s">
        <v>920</v>
      </c>
      <c r="C608" s="233">
        <v>1</v>
      </c>
      <c r="D608" s="234">
        <v>1</v>
      </c>
      <c r="E608" s="234">
        <v>1</v>
      </c>
      <c r="F608" s="220">
        <f t="shared" si="234"/>
        <v>3</v>
      </c>
      <c r="G608" s="211">
        <v>44697</v>
      </c>
      <c r="H608" s="4"/>
      <c r="I608" s="233"/>
      <c r="J608" s="234"/>
      <c r="K608" s="234"/>
      <c r="L608" s="220">
        <f t="shared" si="235"/>
        <v>0</v>
      </c>
      <c r="O608" s="4"/>
      <c r="P608" s="15"/>
      <c r="Q608" s="14">
        <f t="shared" si="236"/>
        <v>0</v>
      </c>
      <c r="R608" s="186"/>
      <c r="S608" s="4"/>
      <c r="T608" s="15"/>
      <c r="U608" s="14">
        <f t="shared" si="237"/>
        <v>0</v>
      </c>
    </row>
    <row r="609" spans="1:22" x14ac:dyDescent="0.15">
      <c r="A609" s="1"/>
      <c r="B609" s="4" t="s">
        <v>749</v>
      </c>
      <c r="C609" s="233">
        <f>30+7+4</f>
        <v>41</v>
      </c>
      <c r="D609" s="234"/>
      <c r="E609" s="234">
        <f>1</f>
        <v>1</v>
      </c>
      <c r="F609" s="220">
        <f t="shared" si="234"/>
        <v>42</v>
      </c>
      <c r="G609" s="211">
        <v>44694</v>
      </c>
      <c r="H609" s="4"/>
      <c r="I609" s="233"/>
      <c r="J609" s="234"/>
      <c r="K609" s="234"/>
      <c r="L609" s="220">
        <f t="shared" si="235"/>
        <v>0</v>
      </c>
      <c r="O609" s="4"/>
      <c r="P609" s="15"/>
      <c r="Q609" s="14">
        <f t="shared" si="236"/>
        <v>0</v>
      </c>
      <c r="R609" s="186"/>
      <c r="S609" s="4"/>
      <c r="T609" s="15"/>
      <c r="U609" s="14">
        <f t="shared" si="237"/>
        <v>0</v>
      </c>
    </row>
    <row r="610" spans="1:22" x14ac:dyDescent="0.15">
      <c r="A610" s="1"/>
      <c r="B610" s="4" t="s">
        <v>920</v>
      </c>
      <c r="C610" s="233">
        <v>3</v>
      </c>
      <c r="D610" s="234">
        <v>3</v>
      </c>
      <c r="E610" s="234">
        <v>3</v>
      </c>
      <c r="F610" s="220">
        <f t="shared" si="234"/>
        <v>9</v>
      </c>
      <c r="G610" s="211">
        <v>44698</v>
      </c>
      <c r="H610" s="4"/>
      <c r="I610" s="233"/>
      <c r="J610" s="234"/>
      <c r="K610" s="234"/>
      <c r="L610" s="220">
        <f t="shared" si="235"/>
        <v>0</v>
      </c>
      <c r="O610" s="4"/>
      <c r="P610" s="15"/>
      <c r="Q610" s="14">
        <f t="shared" si="236"/>
        <v>0</v>
      </c>
      <c r="R610" s="186"/>
      <c r="S610" s="4"/>
      <c r="T610" s="15"/>
      <c r="U610" s="14">
        <f t="shared" si="237"/>
        <v>0</v>
      </c>
    </row>
    <row r="611" spans="1:22" x14ac:dyDescent="0.15">
      <c r="A611" s="1"/>
      <c r="B611" s="4" t="s">
        <v>749</v>
      </c>
      <c r="C611" s="233">
        <f>1+19+25+1</f>
        <v>46</v>
      </c>
      <c r="D611" s="234">
        <f>1+2+1</f>
        <v>4</v>
      </c>
      <c r="E611" s="234">
        <f>1+5+1</f>
        <v>7</v>
      </c>
      <c r="F611" s="220">
        <f t="shared" si="234"/>
        <v>57</v>
      </c>
      <c r="G611" s="211">
        <v>44697</v>
      </c>
      <c r="H611" s="4"/>
      <c r="I611" s="187"/>
      <c r="J611" s="15"/>
      <c r="K611" s="15"/>
      <c r="L611" s="220">
        <f t="shared" si="235"/>
        <v>0</v>
      </c>
      <c r="O611" s="4"/>
      <c r="P611" s="15"/>
      <c r="Q611" s="14">
        <f t="shared" si="236"/>
        <v>0</v>
      </c>
      <c r="R611" s="186"/>
      <c r="S611" s="4"/>
      <c r="T611" s="15"/>
      <c r="U611" s="14">
        <f t="shared" si="237"/>
        <v>0</v>
      </c>
    </row>
    <row r="612" spans="1:22" x14ac:dyDescent="0.15">
      <c r="A612" s="1"/>
      <c r="B612" s="6" t="s">
        <v>942</v>
      </c>
      <c r="C612" s="233">
        <v>5</v>
      </c>
      <c r="D612" s="234"/>
      <c r="E612" s="234"/>
      <c r="F612" s="220">
        <f t="shared" si="234"/>
        <v>5</v>
      </c>
      <c r="G612" s="211">
        <v>44699</v>
      </c>
      <c r="H612" s="4"/>
      <c r="I612" s="187"/>
      <c r="J612" s="15"/>
      <c r="K612" s="15"/>
      <c r="L612" s="220">
        <f t="shared" si="235"/>
        <v>0</v>
      </c>
      <c r="O612" s="4"/>
      <c r="P612" s="15"/>
      <c r="Q612" s="14">
        <f t="shared" si="236"/>
        <v>0</v>
      </c>
      <c r="R612" s="186"/>
      <c r="S612" s="4"/>
      <c r="T612" s="15"/>
      <c r="U612" s="14">
        <f t="shared" si="237"/>
        <v>0</v>
      </c>
    </row>
    <row r="613" spans="1:22" x14ac:dyDescent="0.15">
      <c r="A613" s="1"/>
      <c r="B613" s="4" t="s">
        <v>920</v>
      </c>
      <c r="C613" s="233">
        <v>1</v>
      </c>
      <c r="D613" s="234">
        <v>1</v>
      </c>
      <c r="E613" s="234">
        <v>1</v>
      </c>
      <c r="F613" s="220">
        <f t="shared" si="234"/>
        <v>3</v>
      </c>
      <c r="G613" s="211">
        <v>44699</v>
      </c>
      <c r="H613" s="4"/>
      <c r="I613" s="187"/>
      <c r="J613" s="15"/>
      <c r="K613" s="15"/>
      <c r="L613" s="220">
        <f t="shared" si="235"/>
        <v>0</v>
      </c>
      <c r="O613" s="4"/>
      <c r="P613" s="15"/>
      <c r="Q613" s="14">
        <f t="shared" si="236"/>
        <v>0</v>
      </c>
      <c r="R613" s="186"/>
      <c r="S613" s="4"/>
      <c r="T613" s="15"/>
      <c r="U613" s="14">
        <f t="shared" si="237"/>
        <v>0</v>
      </c>
    </row>
    <row r="614" spans="1:22" x14ac:dyDescent="0.15">
      <c r="A614" s="1"/>
      <c r="B614" s="4" t="s">
        <v>749</v>
      </c>
      <c r="C614" s="235">
        <v>3</v>
      </c>
      <c r="D614" s="234">
        <v>1</v>
      </c>
      <c r="E614" s="234"/>
      <c r="F614" s="220">
        <f t="shared" si="234"/>
        <v>4</v>
      </c>
      <c r="G614" s="248">
        <v>44698</v>
      </c>
      <c r="H614" s="6"/>
      <c r="I614" s="188"/>
      <c r="J614" s="15"/>
      <c r="K614" s="15"/>
      <c r="L614" s="220">
        <f t="shared" si="235"/>
        <v>0</v>
      </c>
      <c r="O614" s="6"/>
      <c r="P614" s="15"/>
      <c r="Q614" s="14">
        <f t="shared" si="236"/>
        <v>0</v>
      </c>
      <c r="R614" s="186"/>
      <c r="S614" s="6"/>
      <c r="T614" s="15"/>
      <c r="U614" s="14">
        <f t="shared" si="237"/>
        <v>0</v>
      </c>
    </row>
    <row r="615" spans="1:22" x14ac:dyDescent="0.15">
      <c r="A615" s="1"/>
      <c r="B615" s="4" t="s">
        <v>920</v>
      </c>
      <c r="C615" s="235">
        <v>1</v>
      </c>
      <c r="D615" s="234">
        <v>1</v>
      </c>
      <c r="E615" s="234">
        <v>1</v>
      </c>
      <c r="F615" s="220">
        <f t="shared" si="234"/>
        <v>3</v>
      </c>
      <c r="G615" s="211">
        <v>44700</v>
      </c>
      <c r="H615" s="6"/>
      <c r="I615" s="188"/>
      <c r="J615" s="15"/>
      <c r="K615" s="15"/>
      <c r="L615" s="220">
        <f t="shared" si="235"/>
        <v>0</v>
      </c>
      <c r="O615" s="6"/>
      <c r="P615" s="15"/>
      <c r="Q615" s="14">
        <f t="shared" si="236"/>
        <v>0</v>
      </c>
      <c r="R615" s="186"/>
      <c r="S615" s="6"/>
      <c r="T615" s="15"/>
      <c r="U615" s="14">
        <f t="shared" si="237"/>
        <v>0</v>
      </c>
    </row>
    <row r="616" spans="1:22" x14ac:dyDescent="0.15">
      <c r="A616" s="1"/>
      <c r="B616" s="4" t="s">
        <v>749</v>
      </c>
      <c r="C616" s="233">
        <f>1+9</f>
        <v>10</v>
      </c>
      <c r="D616" s="234">
        <v>1</v>
      </c>
      <c r="E616" s="234">
        <v>1</v>
      </c>
      <c r="F616" s="220">
        <f t="shared" si="234"/>
        <v>12</v>
      </c>
      <c r="G616" s="211">
        <v>44699</v>
      </c>
      <c r="H616" s="4"/>
      <c r="I616" s="187"/>
      <c r="J616" s="15"/>
      <c r="K616" s="15"/>
      <c r="L616" s="220">
        <f t="shared" si="235"/>
        <v>0</v>
      </c>
      <c r="O616" s="4"/>
      <c r="P616" s="15"/>
      <c r="Q616" s="14">
        <f t="shared" si="236"/>
        <v>0</v>
      </c>
      <c r="R616" s="186"/>
      <c r="S616" s="4"/>
      <c r="T616" s="15"/>
      <c r="U616" s="14">
        <f t="shared" si="237"/>
        <v>0</v>
      </c>
    </row>
    <row r="617" spans="1:22" x14ac:dyDescent="0.15">
      <c r="A617" s="1"/>
      <c r="B617" s="4" t="s">
        <v>920</v>
      </c>
      <c r="C617" s="233">
        <v>1</v>
      </c>
      <c r="D617" s="234">
        <v>1</v>
      </c>
      <c r="E617" s="234">
        <v>1</v>
      </c>
      <c r="F617" s="220">
        <f t="shared" si="234"/>
        <v>3</v>
      </c>
      <c r="G617" s="211">
        <v>44701</v>
      </c>
      <c r="H617" s="4"/>
      <c r="I617" s="187"/>
      <c r="J617" s="15"/>
      <c r="K617" s="15"/>
      <c r="L617" s="220">
        <f t="shared" si="235"/>
        <v>0</v>
      </c>
      <c r="O617" s="4"/>
      <c r="P617" s="15"/>
      <c r="Q617" s="14">
        <f t="shared" si="236"/>
        <v>0</v>
      </c>
      <c r="R617" s="186"/>
      <c r="S617" s="4"/>
      <c r="T617" s="15"/>
      <c r="U617" s="14">
        <f t="shared" si="237"/>
        <v>0</v>
      </c>
    </row>
    <row r="618" spans="1:22" x14ac:dyDescent="0.15">
      <c r="A618" s="1"/>
      <c r="B618" s="4" t="s">
        <v>749</v>
      </c>
      <c r="C618" s="233">
        <f>2+17</f>
        <v>19</v>
      </c>
      <c r="D618" s="234">
        <v>1</v>
      </c>
      <c r="E618" s="234">
        <v>1</v>
      </c>
      <c r="F618" s="220">
        <f t="shared" si="234"/>
        <v>21</v>
      </c>
      <c r="G618" s="248">
        <v>44700</v>
      </c>
      <c r="H618" s="4"/>
      <c r="I618" s="187"/>
      <c r="J618" s="15"/>
      <c r="K618" s="15"/>
      <c r="L618" s="220">
        <f t="shared" si="235"/>
        <v>0</v>
      </c>
      <c r="O618" s="4"/>
      <c r="P618" s="15"/>
      <c r="Q618" s="14">
        <f t="shared" si="236"/>
        <v>0</v>
      </c>
      <c r="R618" s="186"/>
      <c r="S618" s="4"/>
      <c r="T618" s="15"/>
      <c r="U618" s="14">
        <f t="shared" si="237"/>
        <v>0</v>
      </c>
    </row>
    <row r="619" spans="1:22" x14ac:dyDescent="0.15">
      <c r="A619" s="1"/>
      <c r="B619" s="4" t="s">
        <v>920</v>
      </c>
      <c r="C619" s="235">
        <v>1</v>
      </c>
      <c r="D619" s="234">
        <v>1</v>
      </c>
      <c r="E619" s="234">
        <v>1</v>
      </c>
      <c r="F619" s="220">
        <f t="shared" si="234"/>
        <v>3</v>
      </c>
      <c r="G619" s="211">
        <v>44704</v>
      </c>
      <c r="H619" s="6"/>
      <c r="I619" s="188"/>
      <c r="J619" s="15"/>
      <c r="K619" s="15"/>
      <c r="L619" s="220">
        <f t="shared" si="235"/>
        <v>0</v>
      </c>
      <c r="O619" s="6"/>
      <c r="P619" s="15"/>
      <c r="Q619" s="14">
        <f t="shared" si="236"/>
        <v>0</v>
      </c>
      <c r="R619" s="186"/>
      <c r="S619" s="6"/>
      <c r="T619" s="15"/>
      <c r="U619" s="14">
        <f t="shared" si="237"/>
        <v>0</v>
      </c>
    </row>
    <row r="620" spans="1:22" x14ac:dyDescent="0.15">
      <c r="A620" s="1"/>
      <c r="B620" s="4" t="s">
        <v>749</v>
      </c>
      <c r="C620" s="233">
        <f>10+6</f>
        <v>16</v>
      </c>
      <c r="D620" s="234">
        <f>1+2</f>
        <v>3</v>
      </c>
      <c r="E620" s="234">
        <f>2+3</f>
        <v>5</v>
      </c>
      <c r="F620" s="220">
        <f t="shared" si="234"/>
        <v>24</v>
      </c>
      <c r="G620" s="248">
        <v>44701</v>
      </c>
      <c r="H620" s="4"/>
      <c r="I620" s="187"/>
      <c r="J620" s="15"/>
      <c r="K620" s="15"/>
      <c r="L620" s="220">
        <f t="shared" si="235"/>
        <v>0</v>
      </c>
      <c r="O620" s="4"/>
      <c r="P620" s="15"/>
      <c r="Q620" s="14">
        <f t="shared" si="236"/>
        <v>0</v>
      </c>
      <c r="R620" s="186"/>
      <c r="S620" s="4"/>
      <c r="T620" s="15"/>
      <c r="U620" s="14">
        <f t="shared" si="237"/>
        <v>0</v>
      </c>
      <c r="V620" s="212"/>
    </row>
    <row r="621" spans="1:22" x14ac:dyDescent="0.15">
      <c r="A621" s="1"/>
      <c r="B621" s="4" t="s">
        <v>764</v>
      </c>
      <c r="C621" s="235">
        <v>40</v>
      </c>
      <c r="D621" s="234">
        <v>10</v>
      </c>
      <c r="E621" s="234">
        <v>10</v>
      </c>
      <c r="F621" s="220">
        <f t="shared" si="234"/>
        <v>60</v>
      </c>
      <c r="G621" s="211">
        <v>44702</v>
      </c>
      <c r="H621" s="6"/>
      <c r="I621" s="188"/>
      <c r="J621" s="15"/>
      <c r="K621" s="15"/>
      <c r="L621" s="220">
        <f t="shared" si="235"/>
        <v>0</v>
      </c>
      <c r="O621" s="6"/>
      <c r="P621" s="15"/>
      <c r="Q621" s="14">
        <f t="shared" si="236"/>
        <v>0</v>
      </c>
      <c r="R621" s="186"/>
      <c r="S621" s="6"/>
      <c r="T621" s="15"/>
      <c r="U621" s="14">
        <f t="shared" si="237"/>
        <v>0</v>
      </c>
    </row>
    <row r="622" spans="1:22" x14ac:dyDescent="0.15">
      <c r="A622" s="1"/>
      <c r="B622" s="4" t="s">
        <v>749</v>
      </c>
      <c r="C622" s="233">
        <f>10+7+1</f>
        <v>18</v>
      </c>
      <c r="D622" s="234">
        <f>1+2+1</f>
        <v>4</v>
      </c>
      <c r="E622" s="234">
        <f>1+1</f>
        <v>2</v>
      </c>
      <c r="F622" s="220">
        <f t="shared" si="234"/>
        <v>24</v>
      </c>
      <c r="G622" s="211">
        <v>44702</v>
      </c>
      <c r="H622" s="4"/>
      <c r="I622" s="187"/>
      <c r="J622" s="15"/>
      <c r="K622" s="15"/>
      <c r="L622" s="220">
        <f t="shared" si="235"/>
        <v>0</v>
      </c>
      <c r="O622" s="4"/>
      <c r="P622" s="15"/>
      <c r="Q622" s="14">
        <f t="shared" si="236"/>
        <v>0</v>
      </c>
      <c r="R622" s="186"/>
      <c r="S622" s="4"/>
      <c r="T622" s="15"/>
      <c r="U622" s="14">
        <f t="shared" si="237"/>
        <v>0</v>
      </c>
      <c r="V622" s="212"/>
    </row>
    <row r="623" spans="1:22" x14ac:dyDescent="0.15">
      <c r="A623" s="75"/>
      <c r="B623" s="4" t="s">
        <v>749</v>
      </c>
      <c r="C623" s="233">
        <f>23+2+1+4+1+7+3</f>
        <v>41</v>
      </c>
      <c r="D623" s="234">
        <f>1+1+1</f>
        <v>3</v>
      </c>
      <c r="E623" s="234">
        <f>2+1+1+3</f>
        <v>7</v>
      </c>
      <c r="F623" s="220">
        <f t="shared" si="234"/>
        <v>51</v>
      </c>
      <c r="G623" s="248">
        <v>44704</v>
      </c>
      <c r="H623" s="6"/>
      <c r="I623" s="206"/>
      <c r="J623" s="206"/>
      <c r="K623" s="206"/>
      <c r="L623" s="220">
        <f>SUM(I623:K623)</f>
        <v>0</v>
      </c>
      <c r="M623" s="212"/>
      <c r="O623" s="4"/>
      <c r="P623" s="15"/>
      <c r="Q623" s="14">
        <f t="shared" si="236"/>
        <v>0</v>
      </c>
      <c r="R623" s="186"/>
      <c r="S623" s="4"/>
      <c r="T623" s="15"/>
      <c r="U623" s="14">
        <f t="shared" si="237"/>
        <v>0</v>
      </c>
      <c r="V623" s="186"/>
    </row>
    <row r="624" spans="1:22" x14ac:dyDescent="0.15">
      <c r="A624" s="1"/>
      <c r="B624" s="4" t="s">
        <v>749</v>
      </c>
      <c r="C624" s="233">
        <f>2+7+22+1+2+1</f>
        <v>35</v>
      </c>
      <c r="D624" s="234">
        <f>1+2+2+1</f>
        <v>6</v>
      </c>
      <c r="E624" s="234">
        <f>1+2</f>
        <v>3</v>
      </c>
      <c r="F624" s="220">
        <f t="shared" si="234"/>
        <v>44</v>
      </c>
      <c r="G624" s="248">
        <v>44705</v>
      </c>
      <c r="H624" s="6"/>
      <c r="I624" s="206"/>
      <c r="J624" s="206"/>
      <c r="K624" s="206"/>
      <c r="L624" s="220">
        <f>SUM(I624:K624)</f>
        <v>0</v>
      </c>
      <c r="M624" s="212"/>
      <c r="O624" s="4"/>
      <c r="P624" s="15"/>
      <c r="Q624" s="14">
        <f t="shared" si="236"/>
        <v>0</v>
      </c>
      <c r="R624" s="186"/>
      <c r="S624" s="4"/>
      <c r="T624" s="15"/>
      <c r="U624" s="14">
        <f t="shared" si="237"/>
        <v>0</v>
      </c>
      <c r="V624" s="212"/>
    </row>
    <row r="625" spans="1:22" x14ac:dyDescent="0.15">
      <c r="A625" s="1"/>
      <c r="B625" s="4" t="s">
        <v>944</v>
      </c>
      <c r="C625" s="233">
        <v>30</v>
      </c>
      <c r="D625" s="234"/>
      <c r="E625" s="234">
        <v>10</v>
      </c>
      <c r="F625" s="220">
        <f t="shared" si="234"/>
        <v>40</v>
      </c>
      <c r="G625" s="211">
        <v>44707</v>
      </c>
      <c r="H625" s="6"/>
      <c r="I625" s="206"/>
      <c r="J625" s="206"/>
      <c r="K625" s="206"/>
      <c r="L625" s="220">
        <f>SUM(I625:K625)</f>
        <v>0</v>
      </c>
      <c r="M625" s="212"/>
      <c r="O625" s="6"/>
      <c r="P625" s="15"/>
      <c r="Q625" s="14">
        <f t="shared" si="236"/>
        <v>0</v>
      </c>
      <c r="R625" s="186"/>
      <c r="S625" s="4"/>
      <c r="T625" s="15"/>
      <c r="U625" s="14">
        <f t="shared" ref="U625" si="238">SUM(T625:T625)</f>
        <v>0</v>
      </c>
      <c r="V625" s="212"/>
    </row>
    <row r="626" spans="1:22" ht="14.25" thickBot="1" x14ac:dyDescent="0.2">
      <c r="A626" s="1"/>
      <c r="B626" s="4" t="s">
        <v>749</v>
      </c>
      <c r="C626" s="235">
        <f>3+1+5+37+25+3</f>
        <v>74</v>
      </c>
      <c r="D626" s="234">
        <f>1+1+1+4+5</f>
        <v>12</v>
      </c>
      <c r="E626" s="234">
        <v>1</v>
      </c>
      <c r="F626" s="220">
        <f t="shared" si="234"/>
        <v>87</v>
      </c>
      <c r="G626" s="211">
        <v>44706</v>
      </c>
      <c r="H626" s="6"/>
      <c r="I626" s="206"/>
      <c r="J626" s="206"/>
      <c r="K626" s="206"/>
      <c r="L626" s="220">
        <f t="shared" ref="L626" si="239">SUM(I626:K626)</f>
        <v>0</v>
      </c>
      <c r="M626" s="212"/>
      <c r="O626" s="6"/>
      <c r="P626" s="15"/>
      <c r="Q626" s="14">
        <f t="shared" si="236"/>
        <v>0</v>
      </c>
      <c r="R626" s="186"/>
      <c r="S626" s="6"/>
      <c r="T626" s="15"/>
      <c r="U626" s="14">
        <f t="shared" si="237"/>
        <v>0</v>
      </c>
      <c r="V626" s="186"/>
    </row>
    <row r="627" spans="1:22" ht="14.25" thickBot="1" x14ac:dyDescent="0.2">
      <c r="A627" s="1"/>
      <c r="B627" s="3" t="s">
        <v>5</v>
      </c>
      <c r="C627" s="16">
        <f>SUM(C603:C626)</f>
        <v>473</v>
      </c>
      <c r="D627" s="16">
        <f>SUM(D603:D626)</f>
        <v>75</v>
      </c>
      <c r="E627" s="16">
        <f>SUM(E603:E626)</f>
        <v>75</v>
      </c>
      <c r="F627" s="223">
        <f>SUM(F603:F626)</f>
        <v>623</v>
      </c>
      <c r="H627" s="3" t="s">
        <v>5</v>
      </c>
      <c r="I627" s="16">
        <f>SUM(I603:I626)</f>
        <v>200</v>
      </c>
      <c r="J627" s="16">
        <f>SUM(J603:J626)</f>
        <v>0</v>
      </c>
      <c r="K627" s="16">
        <f>SUM(K603:K626)</f>
        <v>0</v>
      </c>
      <c r="L627" s="223">
        <f>SUM(L603:L626)</f>
        <v>200</v>
      </c>
      <c r="O627" s="3" t="s">
        <v>5</v>
      </c>
      <c r="P627" s="16">
        <f>SUM(P603:P626)</f>
        <v>0</v>
      </c>
      <c r="Q627" s="17">
        <f>SUM(Q603:Q626)</f>
        <v>0</v>
      </c>
      <c r="S627" s="3" t="s">
        <v>5</v>
      </c>
      <c r="T627" s="16">
        <f>SUM(T603:T626)</f>
        <v>700</v>
      </c>
      <c r="U627" s="17">
        <f>SUM(U603:U626)</f>
        <v>700</v>
      </c>
    </row>
    <row r="628" spans="1:22" ht="14.25" thickBot="1" x14ac:dyDescent="0.2">
      <c r="A628" s="1"/>
      <c r="B628" s="18" t="s">
        <v>6</v>
      </c>
      <c r="C628" s="19">
        <f>C602-C627</f>
        <v>224</v>
      </c>
      <c r="D628" s="19">
        <f>D602-D627</f>
        <v>54</v>
      </c>
      <c r="E628" s="19">
        <f t="shared" ref="E628" si="240">E602-E627</f>
        <v>70</v>
      </c>
      <c r="F628" s="221">
        <f>F602-F627</f>
        <v>348</v>
      </c>
      <c r="H628" s="18" t="s">
        <v>6</v>
      </c>
      <c r="I628" s="19">
        <f>I602-I627</f>
        <v>9753</v>
      </c>
      <c r="J628" s="19">
        <f>J602-J627</f>
        <v>1273</v>
      </c>
      <c r="K628" s="19">
        <f t="shared" ref="K628" si="241">K602-K627</f>
        <v>657</v>
      </c>
      <c r="L628" s="221">
        <f>L602-L627</f>
        <v>11683</v>
      </c>
      <c r="O628" s="18" t="s">
        <v>6</v>
      </c>
      <c r="P628" s="19">
        <f>P602-P627</f>
        <v>0</v>
      </c>
      <c r="Q628" s="13">
        <f>Q602-Q627</f>
        <v>0</v>
      </c>
      <c r="S628" s="18" t="s">
        <v>6</v>
      </c>
      <c r="T628" s="19">
        <f>T602-T627</f>
        <v>345</v>
      </c>
      <c r="U628" s="13">
        <f>U602-U627</f>
        <v>345</v>
      </c>
    </row>
    <row r="631" spans="1:22" ht="18" thickBot="1" x14ac:dyDescent="0.25">
      <c r="A631" s="27" t="s">
        <v>739</v>
      </c>
      <c r="B631" s="28"/>
      <c r="C631" s="28"/>
      <c r="D631" s="28"/>
      <c r="E631" s="28"/>
      <c r="F631" s="218"/>
      <c r="H631" s="27" t="s">
        <v>740</v>
      </c>
      <c r="I631" s="28"/>
      <c r="J631" s="28"/>
      <c r="K631" s="28"/>
      <c r="L631" s="218"/>
      <c r="O631" s="181" t="s">
        <v>737</v>
      </c>
      <c r="P631" s="182"/>
      <c r="Q631" s="182"/>
      <c r="R631" s="183"/>
      <c r="S631" s="181" t="s">
        <v>733</v>
      </c>
      <c r="T631" s="182"/>
      <c r="U631" s="182"/>
    </row>
    <row r="632" spans="1:22" ht="14.25" thickBot="1" x14ac:dyDescent="0.2">
      <c r="A632" s="1"/>
      <c r="B632" s="2"/>
      <c r="C632" s="194" t="s">
        <v>734</v>
      </c>
      <c r="D632" s="195" t="s">
        <v>706</v>
      </c>
      <c r="E632" s="2" t="s">
        <v>735</v>
      </c>
      <c r="F632" s="219" t="s">
        <v>1</v>
      </c>
      <c r="H632" s="2"/>
      <c r="I632" s="197" t="s">
        <v>734</v>
      </c>
      <c r="J632" s="195" t="s">
        <v>706</v>
      </c>
      <c r="K632" s="201" t="s">
        <v>735</v>
      </c>
      <c r="L632" s="219" t="s">
        <v>1</v>
      </c>
      <c r="O632" s="2"/>
      <c r="P632" s="3" t="s">
        <v>722</v>
      </c>
      <c r="Q632" s="2" t="s">
        <v>1</v>
      </c>
      <c r="S632" s="2"/>
      <c r="T632" s="3" t="s">
        <v>722</v>
      </c>
      <c r="U632" s="2" t="s">
        <v>1</v>
      </c>
    </row>
    <row r="633" spans="1:22" x14ac:dyDescent="0.15">
      <c r="A633" s="1"/>
      <c r="B633" s="164" t="s">
        <v>26</v>
      </c>
      <c r="C633" s="200">
        <f>C628</f>
        <v>224</v>
      </c>
      <c r="D633" s="164">
        <f t="shared" ref="D633:F633" si="242">D628</f>
        <v>54</v>
      </c>
      <c r="E633" s="164">
        <f t="shared" si="242"/>
        <v>70</v>
      </c>
      <c r="F633" s="222">
        <f t="shared" si="242"/>
        <v>348</v>
      </c>
      <c r="H633" s="164" t="s">
        <v>26</v>
      </c>
      <c r="I633" s="200">
        <f>I628</f>
        <v>9753</v>
      </c>
      <c r="J633" s="164">
        <f t="shared" ref="J633:L633" si="243">J628</f>
        <v>1273</v>
      </c>
      <c r="K633" s="200">
        <f t="shared" si="243"/>
        <v>657</v>
      </c>
      <c r="L633" s="222">
        <f t="shared" si="243"/>
        <v>11683</v>
      </c>
      <c r="M633" s="210"/>
      <c r="O633" s="171" t="s">
        <v>26</v>
      </c>
      <c r="P633" s="200">
        <f>P628</f>
        <v>0</v>
      </c>
      <c r="Q633" s="180">
        <f>Q628</f>
        <v>0</v>
      </c>
      <c r="R633" s="185"/>
      <c r="S633" s="43" t="s">
        <v>26</v>
      </c>
      <c r="T633" s="38">
        <f>T628</f>
        <v>345</v>
      </c>
      <c r="U633" s="39">
        <f>U628</f>
        <v>345</v>
      </c>
    </row>
    <row r="634" spans="1:22" x14ac:dyDescent="0.15">
      <c r="A634" s="75"/>
      <c r="B634" s="6" t="s">
        <v>3</v>
      </c>
      <c r="C634" s="188">
        <v>200</v>
      </c>
      <c r="D634" s="6"/>
      <c r="E634" s="202"/>
      <c r="F634" s="220">
        <f t="shared" ref="F634:F643" si="244">SUM(C634:E634)</f>
        <v>200</v>
      </c>
      <c r="G634" s="211">
        <v>44707</v>
      </c>
      <c r="H634" s="6" t="s">
        <v>3</v>
      </c>
      <c r="I634" s="188"/>
      <c r="J634" s="6"/>
      <c r="K634" s="202"/>
      <c r="L634" s="220">
        <f t="shared" ref="L634:L643" si="245">SUM(I634:K634)</f>
        <v>0</v>
      </c>
      <c r="M634" s="211"/>
      <c r="O634" s="6" t="s">
        <v>3</v>
      </c>
      <c r="P634" s="7"/>
      <c r="Q634" s="5">
        <f t="shared" ref="Q634:Q643" si="246">SUM(P634:P634)</f>
        <v>0</v>
      </c>
      <c r="R634" s="186"/>
      <c r="S634" s="6" t="s">
        <v>3</v>
      </c>
      <c r="T634" s="7"/>
      <c r="U634" s="5">
        <f t="shared" ref="U634:U643" si="247">SUM(T634:T634)</f>
        <v>0</v>
      </c>
    </row>
    <row r="635" spans="1:22" x14ac:dyDescent="0.15">
      <c r="A635" s="1"/>
      <c r="B635" s="6" t="s">
        <v>3</v>
      </c>
      <c r="C635" s="6"/>
      <c r="D635" s="6">
        <v>100</v>
      </c>
      <c r="E635" s="4">
        <v>100</v>
      </c>
      <c r="F635" s="220">
        <f t="shared" si="244"/>
        <v>200</v>
      </c>
      <c r="G635" s="211">
        <v>44711</v>
      </c>
      <c r="H635" s="6" t="s">
        <v>3</v>
      </c>
      <c r="I635" s="188"/>
      <c r="J635" s="225"/>
      <c r="K635" s="243"/>
      <c r="L635" s="220">
        <f t="shared" si="245"/>
        <v>0</v>
      </c>
      <c r="M635" s="211"/>
      <c r="O635" s="6" t="s">
        <v>3</v>
      </c>
      <c r="P635" s="7"/>
      <c r="Q635" s="5">
        <f t="shared" si="246"/>
        <v>0</v>
      </c>
      <c r="R635" s="186"/>
      <c r="S635" s="6" t="s">
        <v>3</v>
      </c>
      <c r="T635" s="7"/>
      <c r="U635" s="5">
        <f t="shared" si="247"/>
        <v>0</v>
      </c>
      <c r="V635" s="185"/>
    </row>
    <row r="636" spans="1:22" x14ac:dyDescent="0.15">
      <c r="A636" s="1"/>
      <c r="B636" s="6" t="s">
        <v>3</v>
      </c>
      <c r="C636" s="7">
        <v>400</v>
      </c>
      <c r="D636" s="6"/>
      <c r="E636" s="4"/>
      <c r="F636" s="220">
        <f t="shared" si="244"/>
        <v>400</v>
      </c>
      <c r="G636" s="211">
        <v>44712</v>
      </c>
      <c r="H636" s="6" t="s">
        <v>3</v>
      </c>
      <c r="I636" s="188"/>
      <c r="J636" s="6"/>
      <c r="K636" s="202"/>
      <c r="L636" s="220">
        <f t="shared" si="245"/>
        <v>0</v>
      </c>
      <c r="M636" s="212"/>
      <c r="O636" s="6" t="s">
        <v>3</v>
      </c>
      <c r="P636" s="7"/>
      <c r="Q636" s="5">
        <f t="shared" si="246"/>
        <v>0</v>
      </c>
      <c r="R636" s="186"/>
      <c r="S636" s="6" t="s">
        <v>3</v>
      </c>
      <c r="T636" s="7"/>
      <c r="U636" s="5">
        <f t="shared" si="247"/>
        <v>0</v>
      </c>
    </row>
    <row r="637" spans="1:22" x14ac:dyDescent="0.15">
      <c r="A637" s="75"/>
      <c r="B637" s="6" t="s">
        <v>3</v>
      </c>
      <c r="C637" s="6"/>
      <c r="D637" s="6">
        <v>100</v>
      </c>
      <c r="E637" s="4"/>
      <c r="F637" s="220">
        <f t="shared" si="244"/>
        <v>100</v>
      </c>
      <c r="G637" s="211">
        <v>44713</v>
      </c>
      <c r="H637" s="6" t="s">
        <v>3</v>
      </c>
      <c r="I637" s="188"/>
      <c r="J637" s="6"/>
      <c r="K637" s="202"/>
      <c r="L637" s="220">
        <f t="shared" si="245"/>
        <v>0</v>
      </c>
      <c r="O637" s="6" t="s">
        <v>3</v>
      </c>
      <c r="P637" s="7"/>
      <c r="Q637" s="5">
        <f t="shared" si="246"/>
        <v>0</v>
      </c>
      <c r="R637" s="186"/>
      <c r="S637" s="6" t="s">
        <v>3</v>
      </c>
      <c r="T637" s="7"/>
      <c r="U637" s="5">
        <f t="shared" si="247"/>
        <v>0</v>
      </c>
    </row>
    <row r="638" spans="1:22" x14ac:dyDescent="0.15">
      <c r="A638" s="1"/>
      <c r="B638" s="6" t="s">
        <v>3</v>
      </c>
      <c r="C638" s="6">
        <v>200</v>
      </c>
      <c r="D638" s="6"/>
      <c r="E638" s="4">
        <v>100</v>
      </c>
      <c r="F638" s="220">
        <f t="shared" si="244"/>
        <v>300</v>
      </c>
      <c r="G638" s="211">
        <v>44716</v>
      </c>
      <c r="H638" s="6" t="s">
        <v>3</v>
      </c>
      <c r="I638" s="188"/>
      <c r="J638" s="6"/>
      <c r="K638" s="202"/>
      <c r="L638" s="220">
        <f t="shared" si="245"/>
        <v>0</v>
      </c>
      <c r="M638" s="211"/>
      <c r="O638" s="6" t="s">
        <v>3</v>
      </c>
      <c r="P638" s="7"/>
      <c r="Q638" s="5">
        <f t="shared" si="246"/>
        <v>0</v>
      </c>
      <c r="R638" s="186"/>
      <c r="S638" s="6" t="s">
        <v>3</v>
      </c>
      <c r="T638" s="7"/>
      <c r="U638" s="5">
        <f t="shared" si="247"/>
        <v>0</v>
      </c>
      <c r="V638" s="185"/>
    </row>
    <row r="639" spans="1:22" x14ac:dyDescent="0.15">
      <c r="A639" s="1"/>
      <c r="B639" s="6" t="s">
        <v>3</v>
      </c>
      <c r="C639" s="6">
        <v>200</v>
      </c>
      <c r="D639" s="6"/>
      <c r="E639" s="4"/>
      <c r="F639" s="220">
        <f t="shared" si="244"/>
        <v>200</v>
      </c>
      <c r="G639" s="211">
        <v>44718</v>
      </c>
      <c r="H639" s="6" t="s">
        <v>3</v>
      </c>
      <c r="I639" s="188"/>
      <c r="J639" s="6"/>
      <c r="K639" s="202"/>
      <c r="L639" s="220">
        <f t="shared" si="245"/>
        <v>0</v>
      </c>
      <c r="O639" s="6" t="s">
        <v>3</v>
      </c>
      <c r="P639" s="7"/>
      <c r="Q639" s="5">
        <f t="shared" si="246"/>
        <v>0</v>
      </c>
      <c r="R639" s="186"/>
      <c r="S639" s="6" t="s">
        <v>3</v>
      </c>
      <c r="T639" s="7"/>
      <c r="U639" s="5">
        <f t="shared" si="247"/>
        <v>0</v>
      </c>
    </row>
    <row r="640" spans="1:22" x14ac:dyDescent="0.15">
      <c r="A640" s="1"/>
      <c r="B640" s="6" t="s">
        <v>3</v>
      </c>
      <c r="C640" s="6">
        <v>400</v>
      </c>
      <c r="D640" s="225">
        <v>200</v>
      </c>
      <c r="E640" s="226"/>
      <c r="F640" s="220">
        <f t="shared" si="244"/>
        <v>600</v>
      </c>
      <c r="G640" s="211">
        <v>44721</v>
      </c>
      <c r="H640" s="6" t="s">
        <v>3</v>
      </c>
      <c r="I640" s="188"/>
      <c r="J640" s="225"/>
      <c r="K640" s="243"/>
      <c r="L640" s="220">
        <f t="shared" si="245"/>
        <v>0</v>
      </c>
      <c r="M640" s="211"/>
      <c r="O640" s="6" t="s">
        <v>3</v>
      </c>
      <c r="P640" s="8"/>
      <c r="Q640" s="5">
        <f t="shared" si="246"/>
        <v>0</v>
      </c>
      <c r="R640" s="186"/>
      <c r="S640" s="6" t="s">
        <v>3</v>
      </c>
      <c r="T640" s="54"/>
      <c r="U640" s="5">
        <f t="shared" si="247"/>
        <v>0</v>
      </c>
      <c r="V640" s="211"/>
    </row>
    <row r="641" spans="1:22" x14ac:dyDescent="0.15">
      <c r="A641" s="1"/>
      <c r="B641" s="6" t="s">
        <v>3</v>
      </c>
      <c r="C641" s="6"/>
      <c r="D641" s="225"/>
      <c r="E641" s="226"/>
      <c r="F641" s="220">
        <f t="shared" si="244"/>
        <v>0</v>
      </c>
      <c r="H641" s="6" t="s">
        <v>3</v>
      </c>
      <c r="I641" s="188"/>
      <c r="J641" s="225"/>
      <c r="K641" s="243"/>
      <c r="L641" s="220">
        <f t="shared" si="245"/>
        <v>0</v>
      </c>
      <c r="M641" s="212"/>
      <c r="O641" s="6" t="s">
        <v>3</v>
      </c>
      <c r="P641" s="8"/>
      <c r="Q641" s="5">
        <f t="shared" si="246"/>
        <v>0</v>
      </c>
      <c r="R641" s="186"/>
      <c r="S641" s="6" t="s">
        <v>3</v>
      </c>
      <c r="T641" s="8"/>
      <c r="U641" s="5">
        <f t="shared" si="247"/>
        <v>0</v>
      </c>
      <c r="V641" s="186"/>
    </row>
    <row r="642" spans="1:22" x14ac:dyDescent="0.15">
      <c r="A642" s="1"/>
      <c r="B642" s="6" t="s">
        <v>3</v>
      </c>
      <c r="C642" s="205"/>
      <c r="D642" s="189"/>
      <c r="E642" s="190"/>
      <c r="F642" s="220">
        <f t="shared" si="244"/>
        <v>0</v>
      </c>
      <c r="H642" s="6" t="s">
        <v>3</v>
      </c>
      <c r="I642" s="188"/>
      <c r="J642" s="225"/>
      <c r="K642" s="243"/>
      <c r="L642" s="220">
        <f t="shared" si="245"/>
        <v>0</v>
      </c>
      <c r="O642" s="6" t="s">
        <v>3</v>
      </c>
      <c r="P642" s="8"/>
      <c r="Q642" s="5">
        <f t="shared" si="246"/>
        <v>0</v>
      </c>
      <c r="R642" s="186"/>
      <c r="S642" s="6" t="s">
        <v>3</v>
      </c>
      <c r="T642" s="8"/>
      <c r="U642" s="5">
        <f t="shared" si="247"/>
        <v>0</v>
      </c>
    </row>
    <row r="643" spans="1:22" ht="14.25" thickBot="1" x14ac:dyDescent="0.2">
      <c r="A643" s="1"/>
      <c r="B643" s="9" t="s">
        <v>3</v>
      </c>
      <c r="C643" s="236"/>
      <c r="D643" s="191"/>
      <c r="E643" s="192"/>
      <c r="F643" s="220">
        <f t="shared" si="244"/>
        <v>0</v>
      </c>
      <c r="H643" s="9" t="s">
        <v>3</v>
      </c>
      <c r="I643" s="198"/>
      <c r="J643" s="244"/>
      <c r="K643" s="245"/>
      <c r="L643" s="220">
        <f t="shared" si="245"/>
        <v>0</v>
      </c>
      <c r="O643" s="9" t="s">
        <v>3</v>
      </c>
      <c r="P643" s="10"/>
      <c r="Q643" s="5">
        <f t="shared" si="246"/>
        <v>0</v>
      </c>
      <c r="R643" s="186"/>
      <c r="S643" s="9" t="s">
        <v>3</v>
      </c>
      <c r="T643" s="10"/>
      <c r="U643" s="5">
        <f t="shared" si="247"/>
        <v>0</v>
      </c>
    </row>
    <row r="644" spans="1:22" ht="14.25" thickBot="1" x14ac:dyDescent="0.2">
      <c r="A644" s="1"/>
      <c r="B644" s="11" t="s">
        <v>4</v>
      </c>
      <c r="C644" s="193">
        <f>SUM(C633:C643)</f>
        <v>1624</v>
      </c>
      <c r="D644" s="193">
        <f>SUM(D633:D643)</f>
        <v>454</v>
      </c>
      <c r="E644" s="193">
        <f>SUM(E633:E643)</f>
        <v>270</v>
      </c>
      <c r="F644" s="221">
        <f>SUM(F633:F643)</f>
        <v>2348</v>
      </c>
      <c r="H644" s="11" t="s">
        <v>4</v>
      </c>
      <c r="I644" s="193">
        <f>SUM(I633:I643)</f>
        <v>9753</v>
      </c>
      <c r="J644" s="193">
        <f>SUM(J633:J643)</f>
        <v>1273</v>
      </c>
      <c r="K644" s="193">
        <f t="shared" ref="K644" si="248">SUM(K633:K643)</f>
        <v>657</v>
      </c>
      <c r="L644" s="221">
        <f>SUM(L633:L643)</f>
        <v>11683</v>
      </c>
      <c r="O644" s="11" t="s">
        <v>4</v>
      </c>
      <c r="P644" s="12">
        <f>SUM(P633:P643)</f>
        <v>0</v>
      </c>
      <c r="Q644" s="13">
        <f>SUM(Q633:Q643)</f>
        <v>0</v>
      </c>
      <c r="S644" s="11" t="s">
        <v>4</v>
      </c>
      <c r="T644" s="12">
        <f>SUM(T633:T643)</f>
        <v>345</v>
      </c>
      <c r="U644" s="13">
        <f>SUM(U633:U643)</f>
        <v>345</v>
      </c>
    </row>
    <row r="645" spans="1:22" x14ac:dyDescent="0.15">
      <c r="A645" s="1"/>
      <c r="B645" s="4" t="s">
        <v>749</v>
      </c>
      <c r="C645" s="215">
        <f>30+15+33+3</f>
        <v>81</v>
      </c>
      <c r="D645" s="215">
        <f>8+6+3+1</f>
        <v>18</v>
      </c>
      <c r="E645" s="216">
        <f>2+1+2+15</f>
        <v>20</v>
      </c>
      <c r="F645" s="220">
        <f t="shared" ref="F645:F668" si="249">SUM(C645:E645)</f>
        <v>119</v>
      </c>
      <c r="G645" s="211">
        <v>44707</v>
      </c>
      <c r="H645" s="6" t="s">
        <v>945</v>
      </c>
      <c r="I645" s="235">
        <v>200</v>
      </c>
      <c r="J645" s="215"/>
      <c r="K645" s="240"/>
      <c r="L645" s="220">
        <f t="shared" ref="L645:L664" si="250">SUM(I645:K645)</f>
        <v>200</v>
      </c>
      <c r="M645" s="211">
        <v>44707</v>
      </c>
      <c r="O645" s="4"/>
      <c r="P645" s="44"/>
      <c r="Q645" s="14">
        <f t="shared" ref="Q645:Q668" si="251">SUM(P645:P645)</f>
        <v>0</v>
      </c>
      <c r="R645" s="185"/>
      <c r="S645" s="247"/>
      <c r="T645" s="44"/>
      <c r="U645" s="14">
        <f t="shared" ref="U645:U668" si="252">SUM(T645:T645)</f>
        <v>0</v>
      </c>
      <c r="V645" s="185"/>
    </row>
    <row r="646" spans="1:22" x14ac:dyDescent="0.15">
      <c r="A646" s="1"/>
      <c r="B646" s="4" t="s">
        <v>946</v>
      </c>
      <c r="C646" s="216">
        <v>1</v>
      </c>
      <c r="D646" s="232">
        <v>1</v>
      </c>
      <c r="E646" s="232">
        <v>1</v>
      </c>
      <c r="F646" s="220">
        <f t="shared" si="249"/>
        <v>3</v>
      </c>
      <c r="G646" s="211">
        <v>44707</v>
      </c>
      <c r="H646" s="6" t="s">
        <v>745</v>
      </c>
      <c r="I646" s="215"/>
      <c r="J646" s="215">
        <v>100</v>
      </c>
      <c r="K646" s="216">
        <v>100</v>
      </c>
      <c r="L646" s="220">
        <f t="shared" si="250"/>
        <v>200</v>
      </c>
      <c r="M646" s="211">
        <v>44711</v>
      </c>
      <c r="O646" s="4"/>
      <c r="P646" s="15"/>
      <c r="Q646" s="14">
        <f t="shared" si="251"/>
        <v>0</v>
      </c>
      <c r="R646" s="186"/>
      <c r="S646" s="4"/>
      <c r="T646" s="15"/>
      <c r="U646" s="14">
        <f t="shared" si="252"/>
        <v>0</v>
      </c>
    </row>
    <row r="647" spans="1:22" x14ac:dyDescent="0.15">
      <c r="A647" s="1"/>
      <c r="B647" s="4" t="s">
        <v>749</v>
      </c>
      <c r="C647" s="216">
        <f>1+6+3+2+20+2+5</f>
        <v>39</v>
      </c>
      <c r="D647" s="232">
        <f>3+2+2</f>
        <v>7</v>
      </c>
      <c r="E647" s="232">
        <f>3</f>
        <v>3</v>
      </c>
      <c r="F647" s="220">
        <f t="shared" si="249"/>
        <v>49</v>
      </c>
      <c r="G647" s="248">
        <v>44708</v>
      </c>
      <c r="H647" s="6" t="s">
        <v>745</v>
      </c>
      <c r="I647" s="216">
        <v>400</v>
      </c>
      <c r="J647" s="232"/>
      <c r="K647" s="232"/>
      <c r="L647" s="220">
        <f t="shared" si="250"/>
        <v>400</v>
      </c>
      <c r="M647" s="211">
        <v>44712</v>
      </c>
      <c r="O647" s="4"/>
      <c r="P647" s="15"/>
      <c r="Q647" s="14">
        <f t="shared" si="251"/>
        <v>0</v>
      </c>
      <c r="R647" s="186"/>
      <c r="S647" s="4"/>
      <c r="T647" s="15"/>
      <c r="U647" s="14">
        <f t="shared" si="252"/>
        <v>0</v>
      </c>
    </row>
    <row r="648" spans="1:22" x14ac:dyDescent="0.15">
      <c r="A648" s="1"/>
      <c r="B648" s="4" t="s">
        <v>920</v>
      </c>
      <c r="C648" s="233">
        <v>1</v>
      </c>
      <c r="D648" s="234">
        <v>1</v>
      </c>
      <c r="E648" s="234">
        <v>1</v>
      </c>
      <c r="F648" s="220">
        <f t="shared" si="249"/>
        <v>3</v>
      </c>
      <c r="G648" s="211">
        <v>44712</v>
      </c>
      <c r="H648" s="6" t="s">
        <v>745</v>
      </c>
      <c r="I648" s="233"/>
      <c r="J648" s="234">
        <v>100</v>
      </c>
      <c r="K648" s="234"/>
      <c r="L648" s="220">
        <f t="shared" si="250"/>
        <v>100</v>
      </c>
      <c r="M648" s="211">
        <v>44713</v>
      </c>
      <c r="N648" s="186"/>
      <c r="O648" s="4"/>
      <c r="P648" s="15"/>
      <c r="Q648" s="14">
        <f t="shared" si="251"/>
        <v>0</v>
      </c>
      <c r="R648" s="186"/>
      <c r="S648" s="4"/>
      <c r="T648" s="15"/>
      <c r="U648" s="14">
        <f t="shared" si="252"/>
        <v>0</v>
      </c>
    </row>
    <row r="649" spans="1:22" x14ac:dyDescent="0.15">
      <c r="A649" s="1"/>
      <c r="B649" s="4" t="s">
        <v>749</v>
      </c>
      <c r="C649" s="233">
        <f>76+31+4+1+1+10+3+1+2+5+16</f>
        <v>150</v>
      </c>
      <c r="D649" s="234">
        <f>10+1+4+4+1+1+1</f>
        <v>22</v>
      </c>
      <c r="E649" s="234">
        <f>1+4+3+1+1+2</f>
        <v>12</v>
      </c>
      <c r="F649" s="220">
        <f t="shared" si="249"/>
        <v>184</v>
      </c>
      <c r="G649" s="211">
        <v>44711</v>
      </c>
      <c r="H649" s="6" t="s">
        <v>745</v>
      </c>
      <c r="I649" s="233">
        <v>200</v>
      </c>
      <c r="J649" s="234"/>
      <c r="K649" s="234">
        <v>100</v>
      </c>
      <c r="L649" s="220">
        <f t="shared" si="250"/>
        <v>300</v>
      </c>
      <c r="M649" s="211">
        <v>44716</v>
      </c>
      <c r="O649" s="4"/>
      <c r="P649" s="15"/>
      <c r="Q649" s="14">
        <f t="shared" si="251"/>
        <v>0</v>
      </c>
      <c r="R649" s="186"/>
      <c r="S649" s="4"/>
      <c r="T649" s="15"/>
      <c r="U649" s="14">
        <f t="shared" si="252"/>
        <v>0</v>
      </c>
    </row>
    <row r="650" spans="1:22" x14ac:dyDescent="0.15">
      <c r="A650" s="1"/>
      <c r="B650" s="4" t="s">
        <v>949</v>
      </c>
      <c r="C650" s="233">
        <v>100</v>
      </c>
      <c r="D650" s="234">
        <v>30</v>
      </c>
      <c r="E650" s="234">
        <v>10</v>
      </c>
      <c r="F650" s="220">
        <f t="shared" si="249"/>
        <v>140</v>
      </c>
      <c r="G650" s="211">
        <v>44712</v>
      </c>
      <c r="H650" s="6" t="s">
        <v>745</v>
      </c>
      <c r="I650" s="233">
        <v>200</v>
      </c>
      <c r="J650" s="234"/>
      <c r="K650" s="234"/>
      <c r="L650" s="220">
        <f t="shared" si="250"/>
        <v>200</v>
      </c>
      <c r="M650" s="211">
        <v>44718</v>
      </c>
      <c r="O650" s="4"/>
      <c r="P650" s="15"/>
      <c r="Q650" s="14">
        <f t="shared" si="251"/>
        <v>0</v>
      </c>
      <c r="R650" s="186"/>
      <c r="S650" s="4"/>
      <c r="T650" s="15"/>
      <c r="U650" s="14">
        <f t="shared" si="252"/>
        <v>0</v>
      </c>
    </row>
    <row r="651" spans="1:22" x14ac:dyDescent="0.15">
      <c r="A651" s="1"/>
      <c r="B651" s="4" t="s">
        <v>787</v>
      </c>
      <c r="C651" s="233">
        <v>5</v>
      </c>
      <c r="D651" s="233">
        <v>5</v>
      </c>
      <c r="E651" s="234">
        <v>5</v>
      </c>
      <c r="F651" s="220">
        <f t="shared" si="249"/>
        <v>15</v>
      </c>
      <c r="G651" s="211">
        <v>44712</v>
      </c>
      <c r="H651" s="6" t="s">
        <v>745</v>
      </c>
      <c r="I651" s="233">
        <v>400</v>
      </c>
      <c r="J651" s="234">
        <v>200</v>
      </c>
      <c r="K651" s="234"/>
      <c r="L651" s="220">
        <f t="shared" si="250"/>
        <v>600</v>
      </c>
      <c r="M651" s="211">
        <v>44721</v>
      </c>
      <c r="O651" s="4"/>
      <c r="P651" s="15"/>
      <c r="Q651" s="14">
        <f t="shared" si="251"/>
        <v>0</v>
      </c>
      <c r="R651" s="186"/>
      <c r="S651" s="4"/>
      <c r="T651" s="15"/>
      <c r="U651" s="14">
        <f t="shared" si="252"/>
        <v>0</v>
      </c>
    </row>
    <row r="652" spans="1:22" x14ac:dyDescent="0.15">
      <c r="A652" s="1"/>
      <c r="B652" s="4" t="s">
        <v>749</v>
      </c>
      <c r="C652" s="233">
        <f>44+4+15+6+4+7</f>
        <v>80</v>
      </c>
      <c r="D652" s="234">
        <f>6+1+5+1+4</f>
        <v>17</v>
      </c>
      <c r="E652" s="234">
        <f>2+2+6+4+1</f>
        <v>15</v>
      </c>
      <c r="F652" s="220">
        <f t="shared" si="249"/>
        <v>112</v>
      </c>
      <c r="G652" s="211">
        <v>44712</v>
      </c>
      <c r="H652" s="4"/>
      <c r="I652" s="233"/>
      <c r="J652" s="234"/>
      <c r="K652" s="234"/>
      <c r="L652" s="220">
        <f t="shared" si="250"/>
        <v>0</v>
      </c>
      <c r="O652" s="4"/>
      <c r="P652" s="15"/>
      <c r="Q652" s="14">
        <f t="shared" si="251"/>
        <v>0</v>
      </c>
      <c r="R652" s="186"/>
      <c r="S652" s="4"/>
      <c r="T652" s="15"/>
      <c r="U652" s="14">
        <f t="shared" si="252"/>
        <v>0</v>
      </c>
    </row>
    <row r="653" spans="1:22" x14ac:dyDescent="0.15">
      <c r="A653" s="1"/>
      <c r="B653" s="4" t="s">
        <v>477</v>
      </c>
      <c r="C653" s="233"/>
      <c r="D653" s="234">
        <v>20</v>
      </c>
      <c r="E653" s="234">
        <v>20</v>
      </c>
      <c r="F653" s="220">
        <f t="shared" si="249"/>
        <v>40</v>
      </c>
      <c r="G653" s="211">
        <v>44713</v>
      </c>
      <c r="H653" s="4"/>
      <c r="I653" s="187"/>
      <c r="J653" s="15"/>
      <c r="K653" s="15"/>
      <c r="L653" s="220">
        <f t="shared" si="250"/>
        <v>0</v>
      </c>
      <c r="O653" s="4"/>
      <c r="P653" s="15"/>
      <c r="Q653" s="14">
        <f t="shared" si="251"/>
        <v>0</v>
      </c>
      <c r="R653" s="186"/>
      <c r="S653" s="4"/>
      <c r="T653" s="15"/>
      <c r="U653" s="14">
        <f t="shared" si="252"/>
        <v>0</v>
      </c>
    </row>
    <row r="654" spans="1:22" x14ac:dyDescent="0.15">
      <c r="A654" s="1"/>
      <c r="B654" s="4" t="s">
        <v>959</v>
      </c>
      <c r="C654" s="233">
        <v>10</v>
      </c>
      <c r="D654" s="234">
        <v>10</v>
      </c>
      <c r="E654" s="234">
        <v>10</v>
      </c>
      <c r="F654" s="220">
        <f t="shared" si="249"/>
        <v>30</v>
      </c>
      <c r="G654" s="211">
        <v>44713</v>
      </c>
      <c r="H654" s="4"/>
      <c r="I654" s="187"/>
      <c r="J654" s="15"/>
      <c r="K654" s="15"/>
      <c r="L654" s="220">
        <f t="shared" si="250"/>
        <v>0</v>
      </c>
      <c r="O654" s="4"/>
      <c r="P654" s="15"/>
      <c r="Q654" s="14">
        <f t="shared" si="251"/>
        <v>0</v>
      </c>
      <c r="R654" s="186"/>
      <c r="S654" s="4"/>
      <c r="T654" s="15"/>
      <c r="U654" s="14">
        <f t="shared" si="252"/>
        <v>0</v>
      </c>
    </row>
    <row r="655" spans="1:22" x14ac:dyDescent="0.15">
      <c r="A655" s="1"/>
      <c r="B655" s="4" t="s">
        <v>749</v>
      </c>
      <c r="C655" s="233">
        <f>10+3+24+3+4</f>
        <v>44</v>
      </c>
      <c r="D655" s="234">
        <f>3+4</f>
        <v>7</v>
      </c>
      <c r="E655" s="234">
        <f>3+1</f>
        <v>4</v>
      </c>
      <c r="F655" s="220">
        <f t="shared" si="249"/>
        <v>55</v>
      </c>
      <c r="G655" s="211">
        <v>44713</v>
      </c>
      <c r="H655" s="4"/>
      <c r="I655" s="187"/>
      <c r="J655" s="15"/>
      <c r="K655" s="15"/>
      <c r="L655" s="220">
        <f t="shared" si="250"/>
        <v>0</v>
      </c>
      <c r="O655" s="4"/>
      <c r="P655" s="15"/>
      <c r="Q655" s="14">
        <f t="shared" si="251"/>
        <v>0</v>
      </c>
      <c r="R655" s="186"/>
      <c r="S655" s="4"/>
      <c r="T655" s="15"/>
      <c r="U655" s="14">
        <f t="shared" si="252"/>
        <v>0</v>
      </c>
    </row>
    <row r="656" spans="1:22" x14ac:dyDescent="0.15">
      <c r="A656" s="1"/>
      <c r="B656" s="4" t="s">
        <v>920</v>
      </c>
      <c r="C656" s="235">
        <v>1</v>
      </c>
      <c r="D656" s="234">
        <v>1</v>
      </c>
      <c r="E656" s="234">
        <v>1</v>
      </c>
      <c r="F656" s="220">
        <f t="shared" si="249"/>
        <v>3</v>
      </c>
      <c r="G656" s="211">
        <v>44715</v>
      </c>
      <c r="H656" s="6"/>
      <c r="I656" s="188"/>
      <c r="J656" s="15"/>
      <c r="K656" s="15"/>
      <c r="L656" s="220">
        <f t="shared" si="250"/>
        <v>0</v>
      </c>
      <c r="O656" s="6"/>
      <c r="P656" s="15"/>
      <c r="Q656" s="14">
        <f t="shared" si="251"/>
        <v>0</v>
      </c>
      <c r="R656" s="186"/>
      <c r="S656" s="6"/>
      <c r="T656" s="15"/>
      <c r="U656" s="14">
        <f t="shared" si="252"/>
        <v>0</v>
      </c>
    </row>
    <row r="657" spans="1:22" x14ac:dyDescent="0.15">
      <c r="A657" s="1"/>
      <c r="B657" s="4" t="s">
        <v>749</v>
      </c>
      <c r="C657" s="235">
        <f>11+23+7</f>
        <v>41</v>
      </c>
      <c r="D657" s="234">
        <f>1+1+5</f>
        <v>7</v>
      </c>
      <c r="E657" s="234">
        <f>1+1+1</f>
        <v>3</v>
      </c>
      <c r="F657" s="220">
        <f t="shared" si="249"/>
        <v>51</v>
      </c>
      <c r="G657" s="211">
        <v>44714</v>
      </c>
      <c r="H657" s="6"/>
      <c r="I657" s="188"/>
      <c r="J657" s="15"/>
      <c r="K657" s="15"/>
      <c r="L657" s="220">
        <f t="shared" si="250"/>
        <v>0</v>
      </c>
      <c r="O657" s="6"/>
      <c r="P657" s="15"/>
      <c r="Q657" s="14">
        <f t="shared" si="251"/>
        <v>0</v>
      </c>
      <c r="R657" s="186"/>
      <c r="S657" s="6"/>
      <c r="T657" s="15"/>
      <c r="U657" s="14">
        <f t="shared" si="252"/>
        <v>0</v>
      </c>
    </row>
    <row r="658" spans="1:22" x14ac:dyDescent="0.15">
      <c r="A658" s="1"/>
      <c r="B658" s="4" t="s">
        <v>920</v>
      </c>
      <c r="C658" s="233">
        <v>1</v>
      </c>
      <c r="D658" s="234">
        <v>1</v>
      </c>
      <c r="E658" s="234">
        <v>1</v>
      </c>
      <c r="F658" s="220">
        <f t="shared" si="249"/>
        <v>3</v>
      </c>
      <c r="G658" s="211">
        <v>44718</v>
      </c>
      <c r="H658" s="4"/>
      <c r="I658" s="187"/>
      <c r="J658" s="15"/>
      <c r="K658" s="15"/>
      <c r="L658" s="220">
        <f t="shared" si="250"/>
        <v>0</v>
      </c>
      <c r="O658" s="4"/>
      <c r="P658" s="15"/>
      <c r="Q658" s="14">
        <f t="shared" si="251"/>
        <v>0</v>
      </c>
      <c r="R658" s="186"/>
      <c r="S658" s="4"/>
      <c r="T658" s="15"/>
      <c r="U658" s="14">
        <f t="shared" si="252"/>
        <v>0</v>
      </c>
    </row>
    <row r="659" spans="1:22" x14ac:dyDescent="0.15">
      <c r="A659" s="1"/>
      <c r="B659" s="4" t="s">
        <v>958</v>
      </c>
      <c r="C659" s="233">
        <v>100</v>
      </c>
      <c r="D659" s="234"/>
      <c r="E659" s="234"/>
      <c r="F659" s="220">
        <f t="shared" si="249"/>
        <v>100</v>
      </c>
      <c r="G659" s="211">
        <v>44716</v>
      </c>
      <c r="H659" s="4"/>
      <c r="I659" s="187"/>
      <c r="J659" s="15"/>
      <c r="K659" s="15"/>
      <c r="L659" s="220">
        <f t="shared" si="250"/>
        <v>0</v>
      </c>
      <c r="O659" s="4"/>
      <c r="P659" s="15"/>
      <c r="Q659" s="14">
        <f t="shared" si="251"/>
        <v>0</v>
      </c>
      <c r="R659" s="186"/>
      <c r="S659" s="4"/>
      <c r="T659" s="15"/>
      <c r="U659" s="14">
        <f t="shared" si="252"/>
        <v>0</v>
      </c>
    </row>
    <row r="660" spans="1:22" x14ac:dyDescent="0.15">
      <c r="A660" s="1"/>
      <c r="B660" s="4" t="s">
        <v>749</v>
      </c>
      <c r="C660" s="235">
        <f>6+19+7</f>
        <v>32</v>
      </c>
      <c r="D660" s="234">
        <f>5+1+2</f>
        <v>8</v>
      </c>
      <c r="E660" s="234">
        <f>3+2+1</f>
        <v>6</v>
      </c>
      <c r="F660" s="220">
        <f t="shared" ref="F660" si="253">SUM(C660:E660)</f>
        <v>46</v>
      </c>
      <c r="G660" s="248">
        <v>44715</v>
      </c>
      <c r="H660" s="4"/>
      <c r="I660" s="187"/>
      <c r="J660" s="15"/>
      <c r="K660" s="15"/>
      <c r="L660" s="220">
        <f t="shared" si="250"/>
        <v>0</v>
      </c>
      <c r="O660" s="4"/>
      <c r="P660" s="15"/>
      <c r="Q660" s="14">
        <f t="shared" si="251"/>
        <v>0</v>
      </c>
      <c r="R660" s="186"/>
      <c r="S660" s="4"/>
      <c r="T660" s="15"/>
      <c r="U660" s="14">
        <f t="shared" si="252"/>
        <v>0</v>
      </c>
    </row>
    <row r="661" spans="1:22" x14ac:dyDescent="0.15">
      <c r="A661" s="1"/>
      <c r="B661" s="4" t="s">
        <v>958</v>
      </c>
      <c r="C661" s="235">
        <v>50</v>
      </c>
      <c r="D661" s="234"/>
      <c r="E661" s="234">
        <v>20</v>
      </c>
      <c r="F661" s="220">
        <f t="shared" si="249"/>
        <v>70</v>
      </c>
      <c r="G661" s="211">
        <v>44717</v>
      </c>
      <c r="H661" s="6"/>
      <c r="I661" s="188"/>
      <c r="J661" s="15"/>
      <c r="K661" s="15"/>
      <c r="L661" s="220">
        <f t="shared" si="250"/>
        <v>0</v>
      </c>
      <c r="O661" s="6"/>
      <c r="P661" s="15"/>
      <c r="Q661" s="14">
        <f t="shared" si="251"/>
        <v>0</v>
      </c>
      <c r="R661" s="186"/>
      <c r="S661" s="6"/>
      <c r="T661" s="15"/>
      <c r="U661" s="14">
        <f t="shared" si="252"/>
        <v>0</v>
      </c>
    </row>
    <row r="662" spans="1:22" x14ac:dyDescent="0.15">
      <c r="A662" s="1"/>
      <c r="B662" s="4" t="s">
        <v>959</v>
      </c>
      <c r="C662" s="233">
        <v>10</v>
      </c>
      <c r="D662" s="234">
        <v>10</v>
      </c>
      <c r="E662" s="234">
        <v>10</v>
      </c>
      <c r="F662" s="220">
        <f t="shared" si="249"/>
        <v>30</v>
      </c>
      <c r="G662" s="211">
        <v>44717</v>
      </c>
      <c r="H662" s="4"/>
      <c r="I662" s="187"/>
      <c r="J662" s="15"/>
      <c r="K662" s="15"/>
      <c r="L662" s="220">
        <f t="shared" si="250"/>
        <v>0</v>
      </c>
      <c r="O662" s="4"/>
      <c r="P662" s="15"/>
      <c r="Q662" s="14">
        <f t="shared" si="251"/>
        <v>0</v>
      </c>
      <c r="R662" s="186"/>
      <c r="S662" s="4"/>
      <c r="T662" s="15"/>
      <c r="U662" s="14">
        <f t="shared" si="252"/>
        <v>0</v>
      </c>
      <c r="V662" s="212"/>
    </row>
    <row r="663" spans="1:22" x14ac:dyDescent="0.15">
      <c r="A663" s="1"/>
      <c r="B663" s="4" t="s">
        <v>749</v>
      </c>
      <c r="C663" s="235">
        <f>2+2+12</f>
        <v>16</v>
      </c>
      <c r="D663" s="234">
        <f>2+1</f>
        <v>3</v>
      </c>
      <c r="E663" s="234">
        <f>2+1</f>
        <v>3</v>
      </c>
      <c r="F663" s="220">
        <f t="shared" si="249"/>
        <v>22</v>
      </c>
      <c r="G663" s="248">
        <v>44716</v>
      </c>
      <c r="H663" s="6"/>
      <c r="I663" s="188"/>
      <c r="J663" s="15"/>
      <c r="K663" s="15"/>
      <c r="L663" s="220">
        <f t="shared" si="250"/>
        <v>0</v>
      </c>
      <c r="O663" s="6"/>
      <c r="P663" s="15"/>
      <c r="Q663" s="14">
        <f t="shared" si="251"/>
        <v>0</v>
      </c>
      <c r="R663" s="186"/>
      <c r="S663" s="6"/>
      <c r="T663" s="15"/>
      <c r="U663" s="14">
        <f t="shared" si="252"/>
        <v>0</v>
      </c>
    </row>
    <row r="664" spans="1:22" x14ac:dyDescent="0.15">
      <c r="A664" s="1"/>
      <c r="B664" s="4" t="s">
        <v>749</v>
      </c>
      <c r="C664" s="233">
        <f>8+1+51+23+1+1+33+1+1+25+14+1+1+4+4+16+6</f>
        <v>191</v>
      </c>
      <c r="D664" s="234">
        <f>2+7+11+1+1+4+1+1+1+3+4</f>
        <v>36</v>
      </c>
      <c r="E664" s="234">
        <f>1+6+7+1+1+1+1+2</f>
        <v>20</v>
      </c>
      <c r="F664" s="220">
        <f t="shared" si="249"/>
        <v>247</v>
      </c>
      <c r="G664" s="248">
        <v>44718</v>
      </c>
      <c r="H664" s="4"/>
      <c r="I664" s="187"/>
      <c r="J664" s="15"/>
      <c r="K664" s="15"/>
      <c r="L664" s="220">
        <f t="shared" si="250"/>
        <v>0</v>
      </c>
      <c r="O664" s="4"/>
      <c r="P664" s="15"/>
      <c r="Q664" s="14">
        <f t="shared" si="251"/>
        <v>0</v>
      </c>
      <c r="R664" s="186"/>
      <c r="S664" s="4"/>
      <c r="T664" s="15"/>
      <c r="U664" s="14">
        <f t="shared" si="252"/>
        <v>0</v>
      </c>
      <c r="V664" s="212"/>
    </row>
    <row r="665" spans="1:22" x14ac:dyDescent="0.15">
      <c r="A665" s="75"/>
      <c r="B665" s="4" t="s">
        <v>749</v>
      </c>
      <c r="C665" s="233">
        <f>2+18+2+13+1</f>
        <v>36</v>
      </c>
      <c r="D665" s="234">
        <f>3+1+3+1</f>
        <v>8</v>
      </c>
      <c r="E665" s="234">
        <f>2+1</f>
        <v>3</v>
      </c>
      <c r="F665" s="220">
        <f t="shared" si="249"/>
        <v>47</v>
      </c>
      <c r="G665" s="248">
        <v>44719</v>
      </c>
      <c r="H665" s="6"/>
      <c r="I665" s="206"/>
      <c r="J665" s="206"/>
      <c r="K665" s="206"/>
      <c r="L665" s="220">
        <f>SUM(I665:K665)</f>
        <v>0</v>
      </c>
      <c r="M665" s="212"/>
      <c r="O665" s="4"/>
      <c r="P665" s="15"/>
      <c r="Q665" s="14">
        <f t="shared" si="251"/>
        <v>0</v>
      </c>
      <c r="R665" s="186"/>
      <c r="S665" s="4"/>
      <c r="T665" s="15"/>
      <c r="U665" s="14">
        <f t="shared" si="252"/>
        <v>0</v>
      </c>
      <c r="V665" s="186"/>
    </row>
    <row r="666" spans="1:22" x14ac:dyDescent="0.15">
      <c r="A666" s="1"/>
      <c r="B666" s="4" t="s">
        <v>749</v>
      </c>
      <c r="C666" s="233">
        <f>13+1+5+4+4+1+1</f>
        <v>29</v>
      </c>
      <c r="D666" s="234">
        <f>1+1</f>
        <v>2</v>
      </c>
      <c r="E666" s="234">
        <f>1</f>
        <v>1</v>
      </c>
      <c r="F666" s="220">
        <f t="shared" si="249"/>
        <v>32</v>
      </c>
      <c r="G666" s="248">
        <v>44720</v>
      </c>
      <c r="H666" s="6"/>
      <c r="I666" s="206"/>
      <c r="J666" s="206"/>
      <c r="K666" s="206"/>
      <c r="L666" s="220">
        <f>SUM(I666:K666)</f>
        <v>0</v>
      </c>
      <c r="M666" s="212"/>
      <c r="O666" s="4"/>
      <c r="P666" s="15"/>
      <c r="Q666" s="14">
        <f t="shared" si="251"/>
        <v>0</v>
      </c>
      <c r="R666" s="186"/>
      <c r="S666" s="4"/>
      <c r="T666" s="15"/>
      <c r="U666" s="14">
        <f t="shared" si="252"/>
        <v>0</v>
      </c>
      <c r="V666" s="212"/>
    </row>
    <row r="667" spans="1:22" x14ac:dyDescent="0.15">
      <c r="A667" s="1"/>
      <c r="B667" s="4" t="s">
        <v>960</v>
      </c>
      <c r="C667" s="233"/>
      <c r="D667" s="234">
        <v>10</v>
      </c>
      <c r="E667" s="234">
        <v>20</v>
      </c>
      <c r="F667" s="220">
        <f t="shared" si="249"/>
        <v>30</v>
      </c>
      <c r="G667" s="211">
        <v>44721</v>
      </c>
      <c r="H667" s="6"/>
      <c r="I667" s="206"/>
      <c r="J667" s="206"/>
      <c r="K667" s="206"/>
      <c r="L667" s="220">
        <f>SUM(I667:K667)</f>
        <v>0</v>
      </c>
      <c r="M667" s="212"/>
      <c r="O667" s="6"/>
      <c r="P667" s="15"/>
      <c r="Q667" s="14">
        <f t="shared" si="251"/>
        <v>0</v>
      </c>
      <c r="R667" s="186"/>
      <c r="S667" s="4"/>
      <c r="T667" s="15"/>
      <c r="U667" s="14">
        <f t="shared" si="252"/>
        <v>0</v>
      </c>
      <c r="V667" s="212"/>
    </row>
    <row r="668" spans="1:22" ht="14.25" thickBot="1" x14ac:dyDescent="0.2">
      <c r="A668" s="1"/>
      <c r="B668" s="6" t="s">
        <v>961</v>
      </c>
      <c r="C668" s="235">
        <v>10</v>
      </c>
      <c r="D668" s="234">
        <v>10</v>
      </c>
      <c r="E668" s="234">
        <v>10</v>
      </c>
      <c r="F668" s="220">
        <f t="shared" si="249"/>
        <v>30</v>
      </c>
      <c r="G668" s="211">
        <v>44721</v>
      </c>
      <c r="H668" s="6"/>
      <c r="I668" s="206"/>
      <c r="J668" s="206"/>
      <c r="K668" s="206"/>
      <c r="L668" s="220">
        <f t="shared" ref="L668" si="254">SUM(I668:K668)</f>
        <v>0</v>
      </c>
      <c r="M668" s="212"/>
      <c r="O668" s="6"/>
      <c r="P668" s="15"/>
      <c r="Q668" s="14">
        <f t="shared" si="251"/>
        <v>0</v>
      </c>
      <c r="R668" s="186"/>
      <c r="S668" s="6"/>
      <c r="T668" s="15"/>
      <c r="U668" s="14">
        <f t="shared" si="252"/>
        <v>0</v>
      </c>
      <c r="V668" s="186"/>
    </row>
    <row r="669" spans="1:22" ht="14.25" thickBot="1" x14ac:dyDescent="0.2">
      <c r="A669" s="1"/>
      <c r="B669" s="3" t="s">
        <v>5</v>
      </c>
      <c r="C669" s="16">
        <f>SUM(C645:C668)</f>
        <v>1028</v>
      </c>
      <c r="D669" s="16">
        <f>SUM(D645:D668)</f>
        <v>234</v>
      </c>
      <c r="E669" s="16">
        <f>SUM(E645:E668)</f>
        <v>199</v>
      </c>
      <c r="F669" s="223">
        <f>SUM(F645:F668)</f>
        <v>1461</v>
      </c>
      <c r="H669" s="3" t="s">
        <v>5</v>
      </c>
      <c r="I669" s="16">
        <f>SUM(I645:I668)</f>
        <v>1400</v>
      </c>
      <c r="J669" s="16">
        <f>SUM(J645:J668)</f>
        <v>400</v>
      </c>
      <c r="K669" s="16">
        <f>SUM(K645:K668)</f>
        <v>200</v>
      </c>
      <c r="L669" s="223">
        <f>SUM(L645:L668)</f>
        <v>2000</v>
      </c>
      <c r="O669" s="3" t="s">
        <v>5</v>
      </c>
      <c r="P669" s="16">
        <f>SUM(P645:P668)</f>
        <v>0</v>
      </c>
      <c r="Q669" s="17">
        <f>SUM(Q645:Q668)</f>
        <v>0</v>
      </c>
      <c r="S669" s="3" t="s">
        <v>5</v>
      </c>
      <c r="T669" s="16">
        <f>SUM(T645:T668)</f>
        <v>0</v>
      </c>
      <c r="U669" s="17">
        <f>SUM(U645:U668)</f>
        <v>0</v>
      </c>
    </row>
    <row r="670" spans="1:22" ht="14.25" thickBot="1" x14ac:dyDescent="0.2">
      <c r="A670" s="1"/>
      <c r="B670" s="18" t="s">
        <v>6</v>
      </c>
      <c r="C670" s="19">
        <f>C644-C669</f>
        <v>596</v>
      </c>
      <c r="D670" s="19">
        <f>D644-D669</f>
        <v>220</v>
      </c>
      <c r="E670" s="19">
        <f t="shared" ref="E670" si="255">E644-E669</f>
        <v>71</v>
      </c>
      <c r="F670" s="221">
        <f>F644-F669</f>
        <v>887</v>
      </c>
      <c r="H670" s="18" t="s">
        <v>6</v>
      </c>
      <c r="I670" s="19">
        <f>I644-I669</f>
        <v>8353</v>
      </c>
      <c r="J670" s="19">
        <f>J644-J669</f>
        <v>873</v>
      </c>
      <c r="K670" s="19">
        <f t="shared" ref="K670" si="256">K644-K669</f>
        <v>457</v>
      </c>
      <c r="L670" s="221">
        <f>L644-L669</f>
        <v>9683</v>
      </c>
      <c r="O670" s="18" t="s">
        <v>6</v>
      </c>
      <c r="P670" s="19">
        <f>P644-P669</f>
        <v>0</v>
      </c>
      <c r="Q670" s="13">
        <f>Q644-Q669</f>
        <v>0</v>
      </c>
      <c r="S670" s="18" t="s">
        <v>6</v>
      </c>
      <c r="T670" s="19">
        <f>T644-T669</f>
        <v>345</v>
      </c>
      <c r="U670" s="13">
        <f>U644-U669</f>
        <v>345</v>
      </c>
    </row>
    <row r="673" spans="1:22" ht="18" thickBot="1" x14ac:dyDescent="0.25">
      <c r="A673" s="27" t="s">
        <v>739</v>
      </c>
      <c r="B673" s="28"/>
      <c r="C673" s="28"/>
      <c r="D673" s="28"/>
      <c r="E673" s="28"/>
      <c r="F673" s="218"/>
      <c r="H673" s="27" t="s">
        <v>740</v>
      </c>
      <c r="I673" s="28"/>
      <c r="J673" s="28"/>
      <c r="K673" s="28"/>
      <c r="L673" s="218"/>
      <c r="O673" s="181" t="s">
        <v>737</v>
      </c>
      <c r="P673" s="182"/>
      <c r="Q673" s="182"/>
      <c r="R673" s="183"/>
      <c r="S673" s="181" t="s">
        <v>733</v>
      </c>
      <c r="T673" s="182"/>
      <c r="U673" s="182"/>
    </row>
    <row r="674" spans="1:22" ht="14.25" thickBot="1" x14ac:dyDescent="0.2">
      <c r="A674" s="1"/>
      <c r="B674" s="2"/>
      <c r="C674" s="194" t="s">
        <v>734</v>
      </c>
      <c r="D674" s="195" t="s">
        <v>706</v>
      </c>
      <c r="E674" s="2" t="s">
        <v>735</v>
      </c>
      <c r="F674" s="219" t="s">
        <v>1</v>
      </c>
      <c r="H674" s="2"/>
      <c r="I674" s="197" t="s">
        <v>734</v>
      </c>
      <c r="J674" s="195" t="s">
        <v>706</v>
      </c>
      <c r="K674" s="201" t="s">
        <v>735</v>
      </c>
      <c r="L674" s="219" t="s">
        <v>1</v>
      </c>
      <c r="O674" s="2"/>
      <c r="P674" s="3" t="s">
        <v>722</v>
      </c>
      <c r="Q674" s="2" t="s">
        <v>1</v>
      </c>
      <c r="S674" s="2"/>
      <c r="T674" s="3" t="s">
        <v>722</v>
      </c>
      <c r="U674" s="2" t="s">
        <v>1</v>
      </c>
    </row>
    <row r="675" spans="1:22" x14ac:dyDescent="0.15">
      <c r="A675" s="1"/>
      <c r="B675" s="164" t="s">
        <v>26</v>
      </c>
      <c r="C675" s="200">
        <f>C670</f>
        <v>596</v>
      </c>
      <c r="D675" s="164">
        <f t="shared" ref="D675:F675" si="257">D670</f>
        <v>220</v>
      </c>
      <c r="E675" s="164">
        <f t="shared" si="257"/>
        <v>71</v>
      </c>
      <c r="F675" s="222">
        <f t="shared" si="257"/>
        <v>887</v>
      </c>
      <c r="H675" s="164" t="s">
        <v>26</v>
      </c>
      <c r="I675" s="200">
        <f>I670</f>
        <v>8353</v>
      </c>
      <c r="J675" s="164">
        <f t="shared" ref="J675:L675" si="258">J670</f>
        <v>873</v>
      </c>
      <c r="K675" s="200">
        <f t="shared" si="258"/>
        <v>457</v>
      </c>
      <c r="L675" s="222">
        <f t="shared" si="258"/>
        <v>9683</v>
      </c>
      <c r="M675" s="210"/>
      <c r="O675" s="171" t="s">
        <v>26</v>
      </c>
      <c r="P675" s="200">
        <f>P670</f>
        <v>0</v>
      </c>
      <c r="Q675" s="180">
        <f>Q670</f>
        <v>0</v>
      </c>
      <c r="R675" s="185"/>
      <c r="S675" s="43" t="s">
        <v>26</v>
      </c>
      <c r="T675" s="38">
        <f>T670</f>
        <v>345</v>
      </c>
      <c r="U675" s="39">
        <f>U670</f>
        <v>345</v>
      </c>
    </row>
    <row r="676" spans="1:22" x14ac:dyDescent="0.15">
      <c r="A676" s="75"/>
      <c r="B676" s="6" t="s">
        <v>3</v>
      </c>
      <c r="C676" s="188"/>
      <c r="D676" s="6"/>
      <c r="E676" s="202">
        <v>100</v>
      </c>
      <c r="F676" s="220">
        <f t="shared" ref="F676:F685" si="259">SUM(C676:E676)</f>
        <v>100</v>
      </c>
      <c r="G676" s="211">
        <v>44727</v>
      </c>
      <c r="H676" s="6" t="s">
        <v>3</v>
      </c>
      <c r="I676" s="188"/>
      <c r="J676" s="6"/>
      <c r="K676" s="202"/>
      <c r="L676" s="220">
        <f t="shared" ref="L676:L685" si="260">SUM(I676:K676)</f>
        <v>0</v>
      </c>
      <c r="M676" s="211"/>
      <c r="O676" s="6" t="s">
        <v>3</v>
      </c>
      <c r="P676" s="7"/>
      <c r="Q676" s="5">
        <f t="shared" ref="Q676:Q685" si="261">SUM(P676:P676)</f>
        <v>0</v>
      </c>
      <c r="R676" s="186"/>
      <c r="S676" s="6" t="s">
        <v>3</v>
      </c>
      <c r="T676" s="7"/>
      <c r="U676" s="5">
        <f t="shared" ref="U676:U685" si="262">SUM(T676:T676)</f>
        <v>0</v>
      </c>
    </row>
    <row r="677" spans="1:22" x14ac:dyDescent="0.15">
      <c r="A677" s="1"/>
      <c r="B677" s="6" t="s">
        <v>3</v>
      </c>
      <c r="C677" s="6">
        <v>153</v>
      </c>
      <c r="D677" s="6"/>
      <c r="E677" s="4"/>
      <c r="F677" s="220">
        <f t="shared" si="259"/>
        <v>153</v>
      </c>
      <c r="G677" s="211">
        <v>44730</v>
      </c>
      <c r="H677" s="6" t="s">
        <v>3</v>
      </c>
      <c r="I677" s="188"/>
      <c r="J677" s="225"/>
      <c r="K677" s="243"/>
      <c r="L677" s="220">
        <f t="shared" si="260"/>
        <v>0</v>
      </c>
      <c r="M677" s="211"/>
      <c r="O677" s="6" t="s">
        <v>3</v>
      </c>
      <c r="P677" s="7"/>
      <c r="Q677" s="5">
        <f t="shared" si="261"/>
        <v>0</v>
      </c>
      <c r="R677" s="186"/>
      <c r="S677" s="6" t="s">
        <v>3</v>
      </c>
      <c r="T677" s="7"/>
      <c r="U677" s="5">
        <f t="shared" si="262"/>
        <v>0</v>
      </c>
      <c r="V677" s="185"/>
    </row>
    <row r="678" spans="1:22" x14ac:dyDescent="0.15">
      <c r="A678" s="1"/>
      <c r="B678" s="6" t="s">
        <v>968</v>
      </c>
      <c r="C678" s="7">
        <v>1</v>
      </c>
      <c r="D678" s="6">
        <v>1</v>
      </c>
      <c r="E678" s="4">
        <v>1</v>
      </c>
      <c r="F678" s="220">
        <f t="shared" si="259"/>
        <v>3</v>
      </c>
      <c r="G678" s="211">
        <v>44732</v>
      </c>
      <c r="H678" s="6" t="s">
        <v>3</v>
      </c>
      <c r="I678" s="188"/>
      <c r="J678" s="6"/>
      <c r="K678" s="202"/>
      <c r="L678" s="220">
        <f t="shared" si="260"/>
        <v>0</v>
      </c>
      <c r="M678" s="212"/>
      <c r="O678" s="6" t="s">
        <v>3</v>
      </c>
      <c r="P678" s="7"/>
      <c r="Q678" s="5">
        <f t="shared" si="261"/>
        <v>0</v>
      </c>
      <c r="R678" s="186"/>
      <c r="S678" s="6" t="s">
        <v>3</v>
      </c>
      <c r="T678" s="7"/>
      <c r="U678" s="5">
        <f t="shared" si="262"/>
        <v>0</v>
      </c>
    </row>
    <row r="679" spans="1:22" x14ac:dyDescent="0.15">
      <c r="A679" s="1"/>
      <c r="B679" s="6" t="s">
        <v>3</v>
      </c>
      <c r="C679" s="6">
        <v>200</v>
      </c>
      <c r="D679" s="6"/>
      <c r="E679" s="4"/>
      <c r="F679" s="220">
        <f t="shared" si="259"/>
        <v>200</v>
      </c>
      <c r="G679" s="211">
        <v>44734</v>
      </c>
      <c r="H679" s="6" t="s">
        <v>3</v>
      </c>
      <c r="I679" s="188"/>
      <c r="J679" s="6"/>
      <c r="K679" s="202"/>
      <c r="L679" s="220">
        <f t="shared" si="260"/>
        <v>0</v>
      </c>
      <c r="O679" s="6" t="s">
        <v>3</v>
      </c>
      <c r="P679" s="7"/>
      <c r="Q679" s="5">
        <f t="shared" si="261"/>
        <v>0</v>
      </c>
      <c r="R679" s="186"/>
      <c r="S679" s="6" t="s">
        <v>3</v>
      </c>
      <c r="T679" s="7"/>
      <c r="U679" s="5">
        <f t="shared" si="262"/>
        <v>0</v>
      </c>
    </row>
    <row r="680" spans="1:22" x14ac:dyDescent="0.15">
      <c r="A680" s="1"/>
      <c r="B680" s="6" t="s">
        <v>3</v>
      </c>
      <c r="C680" s="6">
        <v>400</v>
      </c>
      <c r="D680" s="6">
        <v>100</v>
      </c>
      <c r="E680" s="4"/>
      <c r="F680" s="220">
        <f t="shared" si="259"/>
        <v>500</v>
      </c>
      <c r="G680" s="211">
        <v>44736</v>
      </c>
      <c r="H680" s="6" t="s">
        <v>3</v>
      </c>
      <c r="I680" s="188"/>
      <c r="J680" s="6"/>
      <c r="K680" s="202"/>
      <c r="L680" s="220">
        <f t="shared" si="260"/>
        <v>0</v>
      </c>
      <c r="M680" s="211"/>
      <c r="O680" s="6" t="s">
        <v>3</v>
      </c>
      <c r="P680" s="7"/>
      <c r="Q680" s="5">
        <f t="shared" si="261"/>
        <v>0</v>
      </c>
      <c r="R680" s="186"/>
      <c r="S680" s="6" t="s">
        <v>3</v>
      </c>
      <c r="T680" s="7"/>
      <c r="U680" s="5">
        <f t="shared" si="262"/>
        <v>0</v>
      </c>
      <c r="V680" s="185"/>
    </row>
    <row r="681" spans="1:22" x14ac:dyDescent="0.15">
      <c r="A681" s="1"/>
      <c r="B681" s="6" t="s">
        <v>3</v>
      </c>
      <c r="C681" s="6">
        <v>400</v>
      </c>
      <c r="D681" s="6">
        <v>100</v>
      </c>
      <c r="E681" s="4">
        <v>100</v>
      </c>
      <c r="F681" s="220">
        <f t="shared" si="259"/>
        <v>600</v>
      </c>
      <c r="G681" s="211">
        <v>44740</v>
      </c>
      <c r="H681" s="6" t="s">
        <v>3</v>
      </c>
      <c r="I681" s="188"/>
      <c r="J681" s="6"/>
      <c r="K681" s="202"/>
      <c r="L681" s="220">
        <f t="shared" si="260"/>
        <v>0</v>
      </c>
      <c r="O681" s="6" t="s">
        <v>3</v>
      </c>
      <c r="P681" s="7"/>
      <c r="Q681" s="5">
        <f t="shared" si="261"/>
        <v>0</v>
      </c>
      <c r="R681" s="186"/>
      <c r="S681" s="6" t="s">
        <v>3</v>
      </c>
      <c r="T681" s="7"/>
      <c r="U681" s="5">
        <f t="shared" si="262"/>
        <v>0</v>
      </c>
    </row>
    <row r="682" spans="1:22" x14ac:dyDescent="0.15">
      <c r="A682" s="1"/>
      <c r="B682" s="6" t="s">
        <v>3</v>
      </c>
      <c r="C682" s="6"/>
      <c r="D682" s="225"/>
      <c r="E682" s="226"/>
      <c r="F682" s="220">
        <f t="shared" si="259"/>
        <v>0</v>
      </c>
      <c r="G682" s="212"/>
      <c r="H682" s="6" t="s">
        <v>3</v>
      </c>
      <c r="I682" s="188"/>
      <c r="J682" s="225"/>
      <c r="K682" s="243"/>
      <c r="L682" s="220">
        <f t="shared" si="260"/>
        <v>0</v>
      </c>
      <c r="M682" s="211"/>
      <c r="O682" s="6" t="s">
        <v>3</v>
      </c>
      <c r="P682" s="8"/>
      <c r="Q682" s="5">
        <f t="shared" si="261"/>
        <v>0</v>
      </c>
      <c r="R682" s="186"/>
      <c r="S682" s="6" t="s">
        <v>3</v>
      </c>
      <c r="T682" s="54"/>
      <c r="U682" s="5">
        <f t="shared" si="262"/>
        <v>0</v>
      </c>
      <c r="V682" s="211"/>
    </row>
    <row r="683" spans="1:22" x14ac:dyDescent="0.15">
      <c r="A683" s="1"/>
      <c r="B683" s="6" t="s">
        <v>3</v>
      </c>
      <c r="C683" s="6"/>
      <c r="D683" s="225"/>
      <c r="E683" s="226"/>
      <c r="F683" s="220">
        <f t="shared" si="259"/>
        <v>0</v>
      </c>
      <c r="H683" s="6" t="s">
        <v>3</v>
      </c>
      <c r="I683" s="188"/>
      <c r="J683" s="225"/>
      <c r="K683" s="243"/>
      <c r="L683" s="220">
        <f t="shared" si="260"/>
        <v>0</v>
      </c>
      <c r="M683" s="186"/>
      <c r="O683" s="6" t="s">
        <v>3</v>
      </c>
      <c r="P683" s="8"/>
      <c r="Q683" s="5">
        <f t="shared" si="261"/>
        <v>0</v>
      </c>
      <c r="R683" s="186"/>
      <c r="S683" s="6" t="s">
        <v>3</v>
      </c>
      <c r="T683" s="54"/>
      <c r="U683" s="5">
        <f t="shared" si="262"/>
        <v>0</v>
      </c>
      <c r="V683" s="186"/>
    </row>
    <row r="684" spans="1:22" x14ac:dyDescent="0.15">
      <c r="A684" s="1"/>
      <c r="B684" s="6" t="s">
        <v>3</v>
      </c>
      <c r="C684" s="6"/>
      <c r="D684" s="225"/>
      <c r="E684" s="226"/>
      <c r="F684" s="220">
        <f t="shared" si="259"/>
        <v>0</v>
      </c>
      <c r="H684" s="6" t="s">
        <v>956</v>
      </c>
      <c r="I684" s="188"/>
      <c r="J684" s="225"/>
      <c r="K684" s="243"/>
      <c r="L684" s="220">
        <f t="shared" si="260"/>
        <v>0</v>
      </c>
      <c r="M684" s="212"/>
      <c r="O684" s="6" t="s">
        <v>3</v>
      </c>
      <c r="P684" s="8"/>
      <c r="Q684" s="5">
        <f t="shared" si="261"/>
        <v>0</v>
      </c>
      <c r="R684" s="186"/>
      <c r="S684" s="6" t="s">
        <v>3</v>
      </c>
      <c r="T684" s="8"/>
      <c r="U684" s="5">
        <f t="shared" si="262"/>
        <v>0</v>
      </c>
      <c r="V684" s="186"/>
    </row>
    <row r="685" spans="1:22" ht="14.25" thickBot="1" x14ac:dyDescent="0.2">
      <c r="A685" s="1"/>
      <c r="B685" s="9" t="s">
        <v>3</v>
      </c>
      <c r="C685" s="236"/>
      <c r="D685" s="191"/>
      <c r="E685" s="192"/>
      <c r="F685" s="220">
        <f t="shared" si="259"/>
        <v>0</v>
      </c>
      <c r="H685" s="9" t="s">
        <v>3</v>
      </c>
      <c r="I685" s="198"/>
      <c r="J685" s="244"/>
      <c r="K685" s="245"/>
      <c r="L685" s="220">
        <f t="shared" si="260"/>
        <v>0</v>
      </c>
      <c r="O685" s="9" t="s">
        <v>3</v>
      </c>
      <c r="P685" s="10"/>
      <c r="Q685" s="5">
        <f t="shared" si="261"/>
        <v>0</v>
      </c>
      <c r="R685" s="186"/>
      <c r="S685" s="9" t="s">
        <v>3</v>
      </c>
      <c r="T685" s="10"/>
      <c r="U685" s="5">
        <f t="shared" si="262"/>
        <v>0</v>
      </c>
    </row>
    <row r="686" spans="1:22" ht="14.25" thickBot="1" x14ac:dyDescent="0.2">
      <c r="A686" s="1"/>
      <c r="B686" s="11" t="s">
        <v>4</v>
      </c>
      <c r="C686" s="193">
        <f>SUM(C675:C685)</f>
        <v>1750</v>
      </c>
      <c r="D686" s="193">
        <f>SUM(D675:D685)</f>
        <v>421</v>
      </c>
      <c r="E686" s="193">
        <f>SUM(E675:E685)</f>
        <v>272</v>
      </c>
      <c r="F686" s="221">
        <f>SUM(F675:F685)</f>
        <v>2443</v>
      </c>
      <c r="H686" s="11" t="s">
        <v>4</v>
      </c>
      <c r="I686" s="193">
        <f>SUM(I675:I685)</f>
        <v>8353</v>
      </c>
      <c r="J686" s="193">
        <f>SUM(J675:J685)</f>
        <v>873</v>
      </c>
      <c r="K686" s="193">
        <f t="shared" ref="K686" si="263">SUM(K675:K685)</f>
        <v>457</v>
      </c>
      <c r="L686" s="221">
        <f>SUM(L675:L685)</f>
        <v>9683</v>
      </c>
      <c r="O686" s="11" t="s">
        <v>4</v>
      </c>
      <c r="P686" s="12">
        <f>SUM(P675:P685)</f>
        <v>0</v>
      </c>
      <c r="Q686" s="13">
        <f>SUM(Q675:Q685)</f>
        <v>0</v>
      </c>
      <c r="S686" s="11" t="s">
        <v>4</v>
      </c>
      <c r="T686" s="12">
        <f>SUM(T675:T685)</f>
        <v>345</v>
      </c>
      <c r="U686" s="13">
        <f>SUM(U675:U685)</f>
        <v>345</v>
      </c>
    </row>
    <row r="687" spans="1:22" x14ac:dyDescent="0.15">
      <c r="A687" s="1"/>
      <c r="B687" s="4" t="s">
        <v>749</v>
      </c>
      <c r="C687" s="215">
        <f>3+10+3</f>
        <v>16</v>
      </c>
      <c r="D687" s="215">
        <f>1+1</f>
        <v>2</v>
      </c>
      <c r="E687" s="216">
        <v>1</v>
      </c>
      <c r="F687" s="220">
        <f t="shared" ref="F687:F710" si="264">SUM(C687:E687)</f>
        <v>19</v>
      </c>
      <c r="G687" s="211">
        <v>44721</v>
      </c>
      <c r="H687" s="6" t="s">
        <v>964</v>
      </c>
      <c r="I687" s="235"/>
      <c r="J687" s="215"/>
      <c r="K687" s="240">
        <v>100</v>
      </c>
      <c r="L687" s="220">
        <f t="shared" ref="L687:L699" si="265">SUM(I687:K687)</f>
        <v>100</v>
      </c>
      <c r="M687" s="211">
        <v>44727</v>
      </c>
      <c r="O687" s="4"/>
      <c r="P687" s="44"/>
      <c r="Q687" s="14">
        <f t="shared" ref="Q687:Q710" si="266">SUM(P687:P687)</f>
        <v>0</v>
      </c>
      <c r="R687" s="185"/>
      <c r="S687" s="247"/>
      <c r="T687" s="44"/>
      <c r="U687" s="14">
        <f t="shared" ref="U687:U703" si="267">SUM(T687:T687)</f>
        <v>0</v>
      </c>
      <c r="V687" s="185"/>
    </row>
    <row r="688" spans="1:22" x14ac:dyDescent="0.15">
      <c r="A688" s="1"/>
      <c r="B688" s="4" t="s">
        <v>920</v>
      </c>
      <c r="C688" s="216">
        <v>1</v>
      </c>
      <c r="D688" s="232">
        <v>1</v>
      </c>
      <c r="E688" s="232">
        <v>1</v>
      </c>
      <c r="F688" s="220">
        <f t="shared" si="264"/>
        <v>3</v>
      </c>
      <c r="G688" s="211">
        <v>44725</v>
      </c>
      <c r="H688" s="6" t="s">
        <v>965</v>
      </c>
      <c r="I688" s="215">
        <v>153</v>
      </c>
      <c r="J688" s="215"/>
      <c r="K688" s="216"/>
      <c r="L688" s="220">
        <f t="shared" si="265"/>
        <v>153</v>
      </c>
      <c r="M688" s="211">
        <v>44730</v>
      </c>
      <c r="O688" s="4"/>
      <c r="P688" s="15"/>
      <c r="Q688" s="14">
        <f t="shared" si="266"/>
        <v>0</v>
      </c>
      <c r="R688" s="186"/>
      <c r="S688" s="4"/>
      <c r="T688" s="15"/>
      <c r="U688" s="14">
        <f t="shared" si="267"/>
        <v>0</v>
      </c>
    </row>
    <row r="689" spans="1:22" x14ac:dyDescent="0.15">
      <c r="A689" s="1"/>
      <c r="B689" s="4" t="s">
        <v>749</v>
      </c>
      <c r="C689" s="216">
        <f>15+13+1+12+1+5+3+3</f>
        <v>53</v>
      </c>
      <c r="D689" s="232">
        <f>3+5+1+11+1+1+1</f>
        <v>23</v>
      </c>
      <c r="E689" s="232">
        <f>1+1+1+1+1</f>
        <v>5</v>
      </c>
      <c r="F689" s="220">
        <f t="shared" si="264"/>
        <v>81</v>
      </c>
      <c r="G689" s="248">
        <v>44722</v>
      </c>
      <c r="H689" s="6" t="s">
        <v>745</v>
      </c>
      <c r="I689" s="216">
        <v>200</v>
      </c>
      <c r="J689" s="232"/>
      <c r="K689" s="232"/>
      <c r="L689" s="220">
        <f t="shared" si="265"/>
        <v>200</v>
      </c>
      <c r="M689" s="211">
        <v>44734</v>
      </c>
      <c r="O689" s="4"/>
      <c r="P689" s="15"/>
      <c r="Q689" s="14">
        <f t="shared" si="266"/>
        <v>0</v>
      </c>
      <c r="R689" s="186"/>
      <c r="S689" s="4"/>
      <c r="T689" s="15"/>
      <c r="U689" s="14">
        <f t="shared" si="267"/>
        <v>0</v>
      </c>
    </row>
    <row r="690" spans="1:22" x14ac:dyDescent="0.15">
      <c r="A690" s="1"/>
      <c r="B690" s="4" t="s">
        <v>920</v>
      </c>
      <c r="C690" s="233">
        <v>2</v>
      </c>
      <c r="D690" s="234">
        <v>2</v>
      </c>
      <c r="E690" s="234">
        <v>2</v>
      </c>
      <c r="F690" s="220">
        <f t="shared" si="264"/>
        <v>6</v>
      </c>
      <c r="G690" s="211">
        <v>44726</v>
      </c>
      <c r="H690" s="6" t="s">
        <v>745</v>
      </c>
      <c r="I690" s="233">
        <v>400</v>
      </c>
      <c r="J690" s="234">
        <v>100</v>
      </c>
      <c r="K690" s="234"/>
      <c r="L690" s="220">
        <f t="shared" si="265"/>
        <v>500</v>
      </c>
      <c r="M690" s="211">
        <v>44736</v>
      </c>
      <c r="O690" s="4"/>
      <c r="P690" s="15"/>
      <c r="Q690" s="14">
        <f t="shared" si="266"/>
        <v>0</v>
      </c>
      <c r="R690" s="186"/>
      <c r="S690" s="4"/>
      <c r="T690" s="15"/>
      <c r="U690" s="14">
        <f t="shared" si="267"/>
        <v>0</v>
      </c>
    </row>
    <row r="691" spans="1:22" x14ac:dyDescent="0.15">
      <c r="A691" s="1"/>
      <c r="B691" s="4" t="s">
        <v>749</v>
      </c>
      <c r="C691" s="233">
        <f>10+36+5+17+2+8+3+8+1+6+1+1+2+1+6+1</f>
        <v>108</v>
      </c>
      <c r="D691" s="234">
        <f>1+3+1+1+1+1+1+3</f>
        <v>12</v>
      </c>
      <c r="E691" s="234">
        <f>4+1+2</f>
        <v>7</v>
      </c>
      <c r="F691" s="220">
        <f t="shared" si="264"/>
        <v>127</v>
      </c>
      <c r="G691" s="248">
        <v>44725</v>
      </c>
      <c r="H691" s="6" t="s">
        <v>745</v>
      </c>
      <c r="I691" s="233">
        <v>400</v>
      </c>
      <c r="J691" s="234">
        <v>100</v>
      </c>
      <c r="K691" s="234">
        <v>100</v>
      </c>
      <c r="L691" s="220">
        <f t="shared" si="265"/>
        <v>600</v>
      </c>
      <c r="M691" s="211">
        <v>44740</v>
      </c>
      <c r="O691" s="4"/>
      <c r="P691" s="15"/>
      <c r="Q691" s="14">
        <f t="shared" si="266"/>
        <v>0</v>
      </c>
      <c r="R691" s="186"/>
      <c r="S691" s="4"/>
      <c r="T691" s="15"/>
      <c r="U691" s="14">
        <f t="shared" si="267"/>
        <v>0</v>
      </c>
    </row>
    <row r="692" spans="1:22" x14ac:dyDescent="0.15">
      <c r="A692" s="1"/>
      <c r="B692" s="4" t="s">
        <v>962</v>
      </c>
      <c r="C692" s="233">
        <v>50</v>
      </c>
      <c r="D692" s="234"/>
      <c r="E692" s="234">
        <v>20</v>
      </c>
      <c r="F692" s="220">
        <f t="shared" si="264"/>
        <v>70</v>
      </c>
      <c r="G692" s="211">
        <v>44727</v>
      </c>
      <c r="H692" s="6"/>
      <c r="I692" s="233"/>
      <c r="J692" s="234"/>
      <c r="K692" s="234"/>
      <c r="L692" s="220">
        <f t="shared" si="265"/>
        <v>0</v>
      </c>
      <c r="M692" s="211"/>
      <c r="O692" s="4"/>
      <c r="P692" s="15"/>
      <c r="Q692" s="14">
        <f t="shared" si="266"/>
        <v>0</v>
      </c>
      <c r="R692" s="186"/>
      <c r="S692" s="4"/>
      <c r="T692" s="15"/>
      <c r="U692" s="14">
        <f t="shared" si="267"/>
        <v>0</v>
      </c>
    </row>
    <row r="693" spans="1:22" x14ac:dyDescent="0.15">
      <c r="A693" s="1"/>
      <c r="B693" s="4" t="s">
        <v>963</v>
      </c>
      <c r="C693" s="233">
        <v>40</v>
      </c>
      <c r="D693" s="234"/>
      <c r="E693" s="234"/>
      <c r="F693" s="220">
        <f t="shared" si="264"/>
        <v>40</v>
      </c>
      <c r="G693" s="211">
        <v>44732</v>
      </c>
      <c r="H693" s="4"/>
      <c r="I693" s="233"/>
      <c r="J693" s="234"/>
      <c r="K693" s="234"/>
      <c r="L693" s="220">
        <f t="shared" si="265"/>
        <v>0</v>
      </c>
      <c r="O693" s="4"/>
      <c r="P693" s="15"/>
      <c r="Q693" s="14">
        <f t="shared" si="266"/>
        <v>0</v>
      </c>
      <c r="R693" s="186"/>
      <c r="S693" s="4"/>
      <c r="T693" s="15"/>
      <c r="U693" s="14">
        <f t="shared" si="267"/>
        <v>0</v>
      </c>
    </row>
    <row r="694" spans="1:22" x14ac:dyDescent="0.15">
      <c r="A694" s="1"/>
      <c r="B694" s="4" t="s">
        <v>749</v>
      </c>
      <c r="C694" s="233">
        <f>15+1</f>
        <v>16</v>
      </c>
      <c r="D694" s="234">
        <f>1+4</f>
        <v>5</v>
      </c>
      <c r="E694" s="234">
        <v>2</v>
      </c>
      <c r="F694" s="220">
        <f t="shared" si="264"/>
        <v>23</v>
      </c>
      <c r="G694" s="211">
        <v>44726</v>
      </c>
      <c r="H694" s="4"/>
      <c r="I694" s="233"/>
      <c r="J694" s="234"/>
      <c r="K694" s="234"/>
      <c r="L694" s="220">
        <f t="shared" si="265"/>
        <v>0</v>
      </c>
      <c r="O694" s="4"/>
      <c r="P694" s="15"/>
      <c r="Q694" s="14">
        <f t="shared" si="266"/>
        <v>0</v>
      </c>
      <c r="R694" s="186"/>
      <c r="S694" s="4"/>
      <c r="T694" s="15"/>
      <c r="U694" s="14">
        <f t="shared" si="267"/>
        <v>0</v>
      </c>
    </row>
    <row r="695" spans="1:22" x14ac:dyDescent="0.15">
      <c r="A695" s="1"/>
      <c r="B695" s="4" t="s">
        <v>749</v>
      </c>
      <c r="C695" s="233">
        <f>6+20</f>
        <v>26</v>
      </c>
      <c r="D695" s="234">
        <v>1</v>
      </c>
      <c r="E695" s="234">
        <v>1</v>
      </c>
      <c r="F695" s="220">
        <f t="shared" si="264"/>
        <v>28</v>
      </c>
      <c r="G695" s="211">
        <v>44727</v>
      </c>
      <c r="H695" s="4"/>
      <c r="I695" s="187"/>
      <c r="J695" s="15"/>
      <c r="K695" s="15"/>
      <c r="L695" s="220">
        <f t="shared" si="265"/>
        <v>0</v>
      </c>
      <c r="O695" s="4"/>
      <c r="P695" s="15"/>
      <c r="Q695" s="14">
        <f t="shared" si="266"/>
        <v>0</v>
      </c>
      <c r="R695" s="186"/>
      <c r="S695" s="4"/>
      <c r="T695" s="15"/>
      <c r="U695" s="14">
        <f t="shared" si="267"/>
        <v>0</v>
      </c>
    </row>
    <row r="696" spans="1:22" x14ac:dyDescent="0.15">
      <c r="A696" s="1"/>
      <c r="B696" s="4" t="s">
        <v>749</v>
      </c>
      <c r="C696" s="233">
        <f>2+18</f>
        <v>20</v>
      </c>
      <c r="D696" s="234">
        <f>1+1</f>
        <v>2</v>
      </c>
      <c r="E696" s="234">
        <f>1+1</f>
        <v>2</v>
      </c>
      <c r="F696" s="220">
        <f t="shared" si="264"/>
        <v>24</v>
      </c>
      <c r="G696" s="211">
        <v>44728</v>
      </c>
      <c r="H696" s="4"/>
      <c r="I696" s="187"/>
      <c r="J696" s="15"/>
      <c r="K696" s="15"/>
      <c r="L696" s="220">
        <f t="shared" si="265"/>
        <v>0</v>
      </c>
      <c r="O696" s="4"/>
      <c r="P696" s="15"/>
      <c r="Q696" s="14">
        <f t="shared" si="266"/>
        <v>0</v>
      </c>
      <c r="R696" s="186"/>
      <c r="S696" s="4"/>
      <c r="T696" s="15"/>
      <c r="U696" s="14">
        <f t="shared" si="267"/>
        <v>0</v>
      </c>
    </row>
    <row r="697" spans="1:22" x14ac:dyDescent="0.15">
      <c r="A697" s="1"/>
      <c r="B697" s="4" t="s">
        <v>920</v>
      </c>
      <c r="C697" s="233">
        <v>1</v>
      </c>
      <c r="D697" s="234">
        <v>1</v>
      </c>
      <c r="E697" s="234">
        <v>1</v>
      </c>
      <c r="F697" s="220">
        <f t="shared" si="264"/>
        <v>3</v>
      </c>
      <c r="G697" s="211">
        <v>44732</v>
      </c>
      <c r="H697" s="4"/>
      <c r="I697" s="187"/>
      <c r="J697" s="15"/>
      <c r="K697" s="15"/>
      <c r="L697" s="220">
        <f t="shared" si="265"/>
        <v>0</v>
      </c>
      <c r="O697" s="4"/>
      <c r="P697" s="15"/>
      <c r="Q697" s="14">
        <f t="shared" si="266"/>
        <v>0</v>
      </c>
      <c r="R697" s="186"/>
      <c r="S697" s="4"/>
      <c r="T697" s="15"/>
      <c r="U697" s="14">
        <f t="shared" si="267"/>
        <v>0</v>
      </c>
    </row>
    <row r="698" spans="1:22" x14ac:dyDescent="0.15">
      <c r="A698" s="1"/>
      <c r="B698" s="4" t="s">
        <v>749</v>
      </c>
      <c r="C698" s="235">
        <f>5+15</f>
        <v>20</v>
      </c>
      <c r="D698" s="234"/>
      <c r="E698" s="234"/>
      <c r="F698" s="220">
        <f t="shared" si="264"/>
        <v>20</v>
      </c>
      <c r="G698" s="248">
        <v>44729</v>
      </c>
      <c r="H698" s="6"/>
      <c r="I698" s="188"/>
      <c r="J698" s="15"/>
      <c r="K698" s="15"/>
      <c r="L698" s="220">
        <f t="shared" si="265"/>
        <v>0</v>
      </c>
      <c r="O698" s="6"/>
      <c r="P698" s="15"/>
      <c r="Q698" s="14">
        <f t="shared" si="266"/>
        <v>0</v>
      </c>
      <c r="R698" s="186"/>
      <c r="S698" s="6"/>
      <c r="T698" s="15"/>
      <c r="U698" s="14">
        <f t="shared" si="267"/>
        <v>0</v>
      </c>
    </row>
    <row r="699" spans="1:22" x14ac:dyDescent="0.15">
      <c r="A699" s="1"/>
      <c r="B699" s="4" t="s">
        <v>749</v>
      </c>
      <c r="C699" s="235">
        <f>7+22</f>
        <v>29</v>
      </c>
      <c r="D699" s="234">
        <f>1+2</f>
        <v>3</v>
      </c>
      <c r="E699" s="234">
        <f>1+1</f>
        <v>2</v>
      </c>
      <c r="F699" s="220">
        <f t="shared" si="264"/>
        <v>34</v>
      </c>
      <c r="G699" s="248">
        <v>44730</v>
      </c>
      <c r="H699" s="6"/>
      <c r="I699" s="188"/>
      <c r="J699" s="15"/>
      <c r="K699" s="15"/>
      <c r="L699" s="220">
        <f t="shared" si="265"/>
        <v>0</v>
      </c>
      <c r="O699" s="6"/>
      <c r="P699" s="15"/>
      <c r="Q699" s="14">
        <f t="shared" si="266"/>
        <v>0</v>
      </c>
      <c r="R699" s="186"/>
      <c r="S699" s="6"/>
      <c r="T699" s="15"/>
      <c r="U699" s="14">
        <f t="shared" si="267"/>
        <v>0</v>
      </c>
    </row>
    <row r="700" spans="1:22" x14ac:dyDescent="0.15">
      <c r="A700" s="1"/>
      <c r="B700" s="4" t="s">
        <v>978</v>
      </c>
      <c r="C700" s="233">
        <v>100</v>
      </c>
      <c r="D700" s="234">
        <v>30</v>
      </c>
      <c r="E700" s="234">
        <v>30</v>
      </c>
      <c r="F700" s="220">
        <v>160</v>
      </c>
      <c r="G700" s="211">
        <v>44734</v>
      </c>
      <c r="H700" s="6"/>
      <c r="I700" s="206"/>
      <c r="J700" s="206"/>
      <c r="K700" s="206"/>
      <c r="L700" s="220">
        <f>SUM(I700:K700)</f>
        <v>0</v>
      </c>
      <c r="M700" s="212"/>
      <c r="O700" s="4"/>
      <c r="P700" s="15"/>
      <c r="Q700" s="14">
        <f t="shared" si="266"/>
        <v>0</v>
      </c>
      <c r="R700" s="186"/>
      <c r="S700" s="4"/>
      <c r="T700" s="15"/>
      <c r="U700" s="14">
        <f t="shared" si="267"/>
        <v>0</v>
      </c>
    </row>
    <row r="701" spans="1:22" x14ac:dyDescent="0.15">
      <c r="A701" s="1"/>
      <c r="B701" s="4" t="s">
        <v>749</v>
      </c>
      <c r="C701" s="233">
        <f>16+25+3+8+1+1+62+1</f>
        <v>117</v>
      </c>
      <c r="D701" s="234">
        <f>1+8+3+10+1+5+10</f>
        <v>38</v>
      </c>
      <c r="E701" s="234">
        <f>2+3+2</f>
        <v>7</v>
      </c>
      <c r="F701" s="220">
        <f t="shared" si="264"/>
        <v>162</v>
      </c>
      <c r="G701" s="211">
        <v>44732</v>
      </c>
      <c r="H701" s="6"/>
      <c r="I701" s="188"/>
      <c r="J701" s="188"/>
      <c r="K701" s="188"/>
      <c r="L701" s="220">
        <f>SUM(I701:K701)</f>
        <v>0</v>
      </c>
      <c r="M701" s="212"/>
      <c r="O701" s="4"/>
      <c r="P701" s="15"/>
      <c r="Q701" s="14">
        <f t="shared" si="266"/>
        <v>0</v>
      </c>
      <c r="R701" s="186"/>
      <c r="S701" s="4"/>
      <c r="T701" s="15"/>
      <c r="U701" s="14">
        <f t="shared" si="267"/>
        <v>0</v>
      </c>
    </row>
    <row r="702" spans="1:22" x14ac:dyDescent="0.15">
      <c r="A702" s="1"/>
      <c r="B702" s="4" t="s">
        <v>749</v>
      </c>
      <c r="C702" s="233">
        <f>1+18+35+1+1+3</f>
        <v>59</v>
      </c>
      <c r="D702" s="234">
        <f>1+6+1</f>
        <v>8</v>
      </c>
      <c r="E702" s="234">
        <f>1+5</f>
        <v>6</v>
      </c>
      <c r="F702" s="220">
        <f t="shared" si="264"/>
        <v>73</v>
      </c>
      <c r="G702" s="211">
        <v>44733</v>
      </c>
      <c r="H702" s="6"/>
      <c r="I702" s="188"/>
      <c r="J702" s="188"/>
      <c r="K702" s="188"/>
      <c r="L702" s="220">
        <f t="shared" ref="L702:L706" si="268">SUM(I702:K702)</f>
        <v>0</v>
      </c>
      <c r="M702" s="212"/>
      <c r="O702" s="4"/>
      <c r="P702" s="15"/>
      <c r="Q702" s="14">
        <f t="shared" si="266"/>
        <v>0</v>
      </c>
      <c r="R702" s="186"/>
      <c r="S702" s="4"/>
      <c r="T702" s="15"/>
      <c r="U702" s="14">
        <f t="shared" si="267"/>
        <v>0</v>
      </c>
    </row>
    <row r="703" spans="1:22" x14ac:dyDescent="0.15">
      <c r="A703" s="1"/>
      <c r="B703" s="4" t="s">
        <v>749</v>
      </c>
      <c r="C703" s="235">
        <f>29+12+2+1+9</f>
        <v>53</v>
      </c>
      <c r="D703" s="234">
        <f>1+1</f>
        <v>2</v>
      </c>
      <c r="E703" s="234">
        <f>1</f>
        <v>1</v>
      </c>
      <c r="F703" s="220">
        <f t="shared" si="264"/>
        <v>56</v>
      </c>
      <c r="G703" s="211">
        <v>44734</v>
      </c>
      <c r="H703" s="6"/>
      <c r="I703" s="188"/>
      <c r="J703" s="188"/>
      <c r="K703" s="188"/>
      <c r="L703" s="220">
        <f t="shared" si="268"/>
        <v>0</v>
      </c>
      <c r="M703" s="212"/>
      <c r="O703" s="6"/>
      <c r="P703" s="15"/>
      <c r="Q703" s="14">
        <f t="shared" si="266"/>
        <v>0</v>
      </c>
      <c r="R703" s="186"/>
      <c r="S703" s="6"/>
      <c r="T703" s="15"/>
      <c r="U703" s="14">
        <f t="shared" si="267"/>
        <v>0</v>
      </c>
      <c r="V703" s="186"/>
    </row>
    <row r="704" spans="1:22" x14ac:dyDescent="0.15">
      <c r="A704" s="1"/>
      <c r="B704" s="4" t="s">
        <v>764</v>
      </c>
      <c r="C704" s="233">
        <v>50</v>
      </c>
      <c r="D704" s="234">
        <v>20</v>
      </c>
      <c r="E704" s="234"/>
      <c r="F704" s="220">
        <f t="shared" si="264"/>
        <v>70</v>
      </c>
      <c r="G704" s="248">
        <v>44734</v>
      </c>
      <c r="H704" s="6"/>
      <c r="I704" s="188"/>
      <c r="J704" s="188"/>
      <c r="K704" s="188"/>
      <c r="L704" s="220">
        <f t="shared" si="268"/>
        <v>0</v>
      </c>
      <c r="M704" s="212"/>
      <c r="O704" s="4"/>
      <c r="P704" s="15"/>
      <c r="Q704" s="14">
        <f t="shared" si="266"/>
        <v>0</v>
      </c>
      <c r="R704" s="186"/>
      <c r="S704" s="6"/>
      <c r="T704" s="15"/>
      <c r="U704" s="14">
        <f t="shared" ref="U704:U706" si="269">SUM(T704:T704)</f>
        <v>0</v>
      </c>
      <c r="V704" s="186"/>
    </row>
    <row r="705" spans="1:22" x14ac:dyDescent="0.15">
      <c r="A705" s="1"/>
      <c r="B705" s="4" t="s">
        <v>920</v>
      </c>
      <c r="C705" s="235">
        <v>1</v>
      </c>
      <c r="D705" s="234">
        <v>1</v>
      </c>
      <c r="E705" s="234">
        <v>1</v>
      </c>
      <c r="F705" s="220">
        <f t="shared" si="264"/>
        <v>3</v>
      </c>
      <c r="G705" s="211">
        <v>44736</v>
      </c>
      <c r="H705" s="6"/>
      <c r="I705" s="188"/>
      <c r="J705" s="188"/>
      <c r="K705" s="188"/>
      <c r="L705" s="220">
        <f t="shared" si="268"/>
        <v>0</v>
      </c>
      <c r="M705" s="212"/>
      <c r="O705" s="6"/>
      <c r="P705" s="15"/>
      <c r="Q705" s="14">
        <f t="shared" si="266"/>
        <v>0</v>
      </c>
      <c r="R705" s="186"/>
      <c r="S705" s="4"/>
      <c r="T705" s="15"/>
      <c r="U705" s="14">
        <f t="shared" si="269"/>
        <v>0</v>
      </c>
      <c r="V705" s="212"/>
    </row>
    <row r="706" spans="1:22" x14ac:dyDescent="0.15">
      <c r="A706" s="1"/>
      <c r="B706" s="4" t="s">
        <v>749</v>
      </c>
      <c r="C706" s="233">
        <f>43+20+13+1+10+1+9</f>
        <v>97</v>
      </c>
      <c r="D706" s="234">
        <f>7+1+3+5+1+2+1</f>
        <v>20</v>
      </c>
      <c r="E706" s="234">
        <f>3+1+1+1+1</f>
        <v>7</v>
      </c>
      <c r="F706" s="220">
        <f t="shared" si="264"/>
        <v>124</v>
      </c>
      <c r="G706" s="211">
        <v>44735</v>
      </c>
      <c r="H706" s="6"/>
      <c r="I706" s="188"/>
      <c r="J706" s="188"/>
      <c r="K706" s="188"/>
      <c r="L706" s="220">
        <f t="shared" si="268"/>
        <v>0</v>
      </c>
      <c r="M706" s="212"/>
      <c r="O706" s="4"/>
      <c r="P706" s="15"/>
      <c r="Q706" s="14">
        <f t="shared" si="266"/>
        <v>0</v>
      </c>
      <c r="R706" s="186"/>
      <c r="S706" s="6"/>
      <c r="T706" s="15"/>
      <c r="U706" s="14">
        <f t="shared" si="269"/>
        <v>0</v>
      </c>
      <c r="V706" s="186"/>
    </row>
    <row r="707" spans="1:22" x14ac:dyDescent="0.15">
      <c r="A707" s="75"/>
      <c r="B707" s="4" t="s">
        <v>971</v>
      </c>
      <c r="C707" s="233">
        <v>5</v>
      </c>
      <c r="D707" s="234">
        <v>5</v>
      </c>
      <c r="E707" s="234">
        <v>5</v>
      </c>
      <c r="F707" s="220">
        <f t="shared" si="264"/>
        <v>15</v>
      </c>
      <c r="G707" s="211">
        <v>44737</v>
      </c>
      <c r="H707" s="6"/>
      <c r="I707" s="235"/>
      <c r="J707" s="235"/>
      <c r="K707" s="235"/>
      <c r="L707" s="220">
        <f>SUM(I707:K707)</f>
        <v>0</v>
      </c>
      <c r="M707" s="212"/>
      <c r="O707" s="4"/>
      <c r="P707" s="15"/>
      <c r="Q707" s="14">
        <f t="shared" si="266"/>
        <v>0</v>
      </c>
      <c r="R707" s="186"/>
      <c r="S707" s="4"/>
      <c r="T707" s="15"/>
      <c r="U707" s="14">
        <f t="shared" ref="U707:U710" si="270">SUM(T707:T707)</f>
        <v>0</v>
      </c>
      <c r="V707" s="212"/>
    </row>
    <row r="708" spans="1:22" x14ac:dyDescent="0.15">
      <c r="A708" s="1"/>
      <c r="B708" s="4" t="s">
        <v>749</v>
      </c>
      <c r="C708" s="233">
        <f>5+1+44+18+4+6+1+9-29</f>
        <v>59</v>
      </c>
      <c r="D708" s="234">
        <f>1+1+4+4+1+1+1+1+1-5</f>
        <v>10</v>
      </c>
      <c r="E708" s="234">
        <f>1+1+1+1+1+7+1-3</f>
        <v>10</v>
      </c>
      <c r="F708" s="220">
        <f t="shared" si="264"/>
        <v>79</v>
      </c>
      <c r="G708" s="248">
        <v>44736</v>
      </c>
      <c r="H708" s="6"/>
      <c r="I708" s="235"/>
      <c r="J708" s="235"/>
      <c r="K708" s="235"/>
      <c r="L708" s="220">
        <f t="shared" ref="L708:L710" si="271">SUM(I708:K708)</f>
        <v>0</v>
      </c>
      <c r="M708" s="212"/>
      <c r="O708" s="4"/>
      <c r="P708" s="15"/>
      <c r="Q708" s="14">
        <f t="shared" si="266"/>
        <v>0</v>
      </c>
      <c r="R708" s="186"/>
      <c r="S708" s="6"/>
      <c r="T708" s="15"/>
      <c r="U708" s="14">
        <f t="shared" si="270"/>
        <v>0</v>
      </c>
      <c r="V708" s="186"/>
    </row>
    <row r="709" spans="1:22" x14ac:dyDescent="0.15">
      <c r="A709" s="1"/>
      <c r="B709" s="4" t="s">
        <v>749</v>
      </c>
      <c r="C709" s="233">
        <f>25+198+1+76+3+17+12+10+3+2+1+2+1+2+1+50</f>
        <v>404</v>
      </c>
      <c r="D709" s="234">
        <f>31+27+3+12+4+2+1+2+1+9</f>
        <v>92</v>
      </c>
      <c r="E709" s="234">
        <f>9+16+5+12+3+2+1+5</f>
        <v>53</v>
      </c>
      <c r="F709" s="220">
        <f t="shared" si="264"/>
        <v>549</v>
      </c>
      <c r="G709" s="248">
        <v>44739</v>
      </c>
      <c r="H709" s="6"/>
      <c r="I709" s="233"/>
      <c r="J709" s="234"/>
      <c r="K709" s="234"/>
      <c r="L709" s="220">
        <f t="shared" si="271"/>
        <v>0</v>
      </c>
      <c r="M709" s="212"/>
      <c r="O709" s="6"/>
      <c r="P709" s="15"/>
      <c r="Q709" s="14">
        <f t="shared" si="266"/>
        <v>0</v>
      </c>
      <c r="R709" s="186"/>
      <c r="S709" s="6"/>
      <c r="T709" s="15"/>
      <c r="U709" s="14">
        <f t="shared" si="270"/>
        <v>0</v>
      </c>
      <c r="V709" s="186"/>
    </row>
    <row r="710" spans="1:22" ht="14.25" thickBot="1" x14ac:dyDescent="0.2">
      <c r="A710" s="1"/>
      <c r="B710" s="6" t="s">
        <v>972</v>
      </c>
      <c r="C710" s="235">
        <v>90</v>
      </c>
      <c r="D710" s="234">
        <v>30</v>
      </c>
      <c r="E710" s="234">
        <v>20</v>
      </c>
      <c r="F710" s="220">
        <f t="shared" si="264"/>
        <v>140</v>
      </c>
      <c r="G710" s="211">
        <v>44741</v>
      </c>
      <c r="H710" s="6"/>
      <c r="I710" s="235"/>
      <c r="J710" s="234"/>
      <c r="K710" s="234"/>
      <c r="L710" s="220">
        <f t="shared" si="271"/>
        <v>0</v>
      </c>
      <c r="M710" s="26"/>
      <c r="O710" s="6"/>
      <c r="P710" s="15"/>
      <c r="Q710" s="14">
        <f t="shared" si="266"/>
        <v>0</v>
      </c>
      <c r="R710" s="186"/>
      <c r="S710" s="6"/>
      <c r="T710" s="15"/>
      <c r="U710" s="14">
        <f t="shared" si="270"/>
        <v>0</v>
      </c>
      <c r="V710" s="26"/>
    </row>
    <row r="711" spans="1:22" ht="14.25" thickBot="1" x14ac:dyDescent="0.2">
      <c r="A711" s="1"/>
      <c r="B711" s="3" t="s">
        <v>5</v>
      </c>
      <c r="C711" s="16">
        <f>SUM(C687:C710)</f>
        <v>1417</v>
      </c>
      <c r="D711" s="16">
        <f>SUM(D687:D710)</f>
        <v>308</v>
      </c>
      <c r="E711" s="16">
        <f>SUM(E687:E710)</f>
        <v>184</v>
      </c>
      <c r="F711" s="223">
        <f>SUM(F687:F710)</f>
        <v>1909</v>
      </c>
      <c r="H711" s="3" t="s">
        <v>5</v>
      </c>
      <c r="I711" s="16">
        <f>SUM(I687:I710)</f>
        <v>1153</v>
      </c>
      <c r="J711" s="16">
        <f>SUM(J687:J710)</f>
        <v>200</v>
      </c>
      <c r="K711" s="16">
        <f>SUM(K687:K710)</f>
        <v>200</v>
      </c>
      <c r="L711" s="223">
        <f>SUM(L687:L710)</f>
        <v>1553</v>
      </c>
      <c r="O711" s="3" t="s">
        <v>5</v>
      </c>
      <c r="P711" s="16">
        <f>SUM(P687:P710)</f>
        <v>0</v>
      </c>
      <c r="Q711" s="17">
        <f>SUM(Q687:Q710)</f>
        <v>0</v>
      </c>
      <c r="S711" s="3" t="s">
        <v>5</v>
      </c>
      <c r="T711" s="16">
        <f>SUM(T687:T710)</f>
        <v>0</v>
      </c>
      <c r="U711" s="17">
        <f>SUM(U687:U710)</f>
        <v>0</v>
      </c>
    </row>
    <row r="712" spans="1:22" ht="14.25" thickBot="1" x14ac:dyDescent="0.2">
      <c r="A712" s="1"/>
      <c r="B712" s="18" t="s">
        <v>6</v>
      </c>
      <c r="C712" s="19">
        <f>C686-C711</f>
        <v>333</v>
      </c>
      <c r="D712" s="19">
        <f>D686-D711</f>
        <v>113</v>
      </c>
      <c r="E712" s="19">
        <f t="shared" ref="E712" si="272">E686-E711</f>
        <v>88</v>
      </c>
      <c r="F712" s="221">
        <f>F686-F711</f>
        <v>534</v>
      </c>
      <c r="H712" s="18" t="s">
        <v>6</v>
      </c>
      <c r="I712" s="19">
        <f>I686-I711</f>
        <v>7200</v>
      </c>
      <c r="J712" s="19">
        <f>J686-J711</f>
        <v>673</v>
      </c>
      <c r="K712" s="19">
        <f t="shared" ref="K712" si="273">K686-K711</f>
        <v>257</v>
      </c>
      <c r="L712" s="221">
        <f>L686-L711</f>
        <v>8130</v>
      </c>
      <c r="O712" s="18" t="s">
        <v>6</v>
      </c>
      <c r="P712" s="19">
        <f>P686-P711</f>
        <v>0</v>
      </c>
      <c r="Q712" s="13">
        <f>Q686-Q711</f>
        <v>0</v>
      </c>
      <c r="S712" s="18" t="s">
        <v>6</v>
      </c>
      <c r="T712" s="19">
        <f>T686-T711</f>
        <v>345</v>
      </c>
      <c r="U712" s="13">
        <f>U686-U711</f>
        <v>345</v>
      </c>
    </row>
    <row r="713" spans="1:22" x14ac:dyDescent="0.15">
      <c r="H713" s="209" t="s">
        <v>954</v>
      </c>
      <c r="S713" s="179"/>
    </row>
    <row r="715" spans="1:22" ht="18" thickBot="1" x14ac:dyDescent="0.25">
      <c r="A715" s="27" t="s">
        <v>739</v>
      </c>
      <c r="B715" s="28"/>
      <c r="C715" s="28"/>
      <c r="D715" s="28"/>
      <c r="E715" s="28"/>
      <c r="F715" s="218"/>
      <c r="H715" s="27" t="s">
        <v>740</v>
      </c>
      <c r="I715" s="28"/>
      <c r="J715" s="28"/>
      <c r="K715" s="28"/>
      <c r="L715" s="218"/>
      <c r="O715" s="181" t="s">
        <v>737</v>
      </c>
      <c r="P715" s="182"/>
      <c r="Q715" s="182"/>
      <c r="R715" s="183"/>
      <c r="S715" s="181" t="s">
        <v>733</v>
      </c>
      <c r="T715" s="182"/>
      <c r="U715" s="182"/>
    </row>
    <row r="716" spans="1:22" ht="14.25" thickBot="1" x14ac:dyDescent="0.2">
      <c r="A716" s="1"/>
      <c r="B716" s="2"/>
      <c r="C716" s="194" t="s">
        <v>734</v>
      </c>
      <c r="D716" s="195" t="s">
        <v>706</v>
      </c>
      <c r="E716" s="2" t="s">
        <v>735</v>
      </c>
      <c r="F716" s="219" t="s">
        <v>1</v>
      </c>
      <c r="H716" s="2"/>
      <c r="I716" s="197" t="s">
        <v>734</v>
      </c>
      <c r="J716" s="195" t="s">
        <v>706</v>
      </c>
      <c r="K716" s="201" t="s">
        <v>735</v>
      </c>
      <c r="L716" s="219" t="s">
        <v>1</v>
      </c>
      <c r="O716" s="2"/>
      <c r="P716" s="3" t="s">
        <v>722</v>
      </c>
      <c r="Q716" s="2" t="s">
        <v>1</v>
      </c>
      <c r="S716" s="2"/>
      <c r="T716" s="3" t="s">
        <v>722</v>
      </c>
      <c r="U716" s="2" t="s">
        <v>1</v>
      </c>
    </row>
    <row r="717" spans="1:22" x14ac:dyDescent="0.15">
      <c r="A717" s="1"/>
      <c r="B717" s="164" t="s">
        <v>26</v>
      </c>
      <c r="C717" s="200">
        <f>C712</f>
        <v>333</v>
      </c>
      <c r="D717" s="164">
        <f t="shared" ref="D717:F717" si="274">D712</f>
        <v>113</v>
      </c>
      <c r="E717" s="164">
        <f t="shared" si="274"/>
        <v>88</v>
      </c>
      <c r="F717" s="222">
        <f t="shared" si="274"/>
        <v>534</v>
      </c>
      <c r="H717" s="164" t="s">
        <v>26</v>
      </c>
      <c r="I717" s="200">
        <f>I712</f>
        <v>7200</v>
      </c>
      <c r="J717" s="164">
        <f t="shared" ref="J717:L717" si="275">J712</f>
        <v>673</v>
      </c>
      <c r="K717" s="200">
        <f t="shared" si="275"/>
        <v>257</v>
      </c>
      <c r="L717" s="222">
        <f t="shared" si="275"/>
        <v>8130</v>
      </c>
      <c r="M717" s="210"/>
      <c r="O717" s="171" t="s">
        <v>26</v>
      </c>
      <c r="P717" s="200">
        <f>P712</f>
        <v>0</v>
      </c>
      <c r="Q717" s="180">
        <f>Q712</f>
        <v>0</v>
      </c>
      <c r="R717" s="185"/>
      <c r="S717" s="43" t="s">
        <v>26</v>
      </c>
      <c r="T717" s="38">
        <f>T712</f>
        <v>345</v>
      </c>
      <c r="U717" s="39">
        <f>U712</f>
        <v>345</v>
      </c>
    </row>
    <row r="718" spans="1:22" x14ac:dyDescent="0.15">
      <c r="A718" s="75"/>
      <c r="B718" s="6" t="s">
        <v>3</v>
      </c>
      <c r="C718" s="188">
        <v>400</v>
      </c>
      <c r="D718" s="6">
        <v>100</v>
      </c>
      <c r="E718" s="202">
        <v>100</v>
      </c>
      <c r="F718" s="220">
        <f t="shared" ref="F718:F727" si="276">SUM(C718:E718)</f>
        <v>600</v>
      </c>
      <c r="G718" s="211">
        <v>44741</v>
      </c>
      <c r="H718" s="6" t="s">
        <v>3</v>
      </c>
      <c r="I718" s="188"/>
      <c r="J718" s="6"/>
      <c r="K718" s="202"/>
      <c r="L718" s="220">
        <f t="shared" ref="L718:L727" si="277">SUM(I718:K718)</f>
        <v>0</v>
      </c>
      <c r="M718" s="211"/>
      <c r="O718" s="6" t="s">
        <v>3</v>
      </c>
      <c r="P718" s="7"/>
      <c r="Q718" s="5">
        <f t="shared" ref="Q718:Q727" si="278">SUM(P718:P718)</f>
        <v>0</v>
      </c>
      <c r="R718" s="186"/>
      <c r="S718" s="6" t="s">
        <v>3</v>
      </c>
      <c r="T718" s="7"/>
      <c r="U718" s="5">
        <f t="shared" ref="U718:U727" si="279">SUM(T718:T718)</f>
        <v>0</v>
      </c>
    </row>
    <row r="719" spans="1:22" x14ac:dyDescent="0.15">
      <c r="A719" s="1"/>
      <c r="B719" s="6" t="s">
        <v>3</v>
      </c>
      <c r="C719" s="6">
        <v>600</v>
      </c>
      <c r="D719" s="6">
        <v>100</v>
      </c>
      <c r="E719" s="4">
        <v>100</v>
      </c>
      <c r="F719" s="220">
        <f t="shared" si="276"/>
        <v>800</v>
      </c>
      <c r="G719" s="211">
        <v>44742</v>
      </c>
      <c r="H719" s="6" t="s">
        <v>3</v>
      </c>
      <c r="I719" s="188"/>
      <c r="J719" s="225"/>
      <c r="K719" s="243"/>
      <c r="L719" s="220">
        <f t="shared" si="277"/>
        <v>0</v>
      </c>
      <c r="M719" s="211"/>
      <c r="O719" s="6" t="s">
        <v>3</v>
      </c>
      <c r="P719" s="7"/>
      <c r="Q719" s="5">
        <f t="shared" si="278"/>
        <v>0</v>
      </c>
      <c r="R719" s="186"/>
      <c r="S719" s="6" t="s">
        <v>3</v>
      </c>
      <c r="T719" s="7"/>
      <c r="U719" s="5">
        <f t="shared" si="279"/>
        <v>0</v>
      </c>
    </row>
    <row r="720" spans="1:22" x14ac:dyDescent="0.15">
      <c r="A720" s="1"/>
      <c r="B720" s="6" t="s">
        <v>3</v>
      </c>
      <c r="C720" s="7">
        <v>600</v>
      </c>
      <c r="D720" s="6">
        <v>100</v>
      </c>
      <c r="E720" s="4"/>
      <c r="F720" s="220">
        <f t="shared" si="276"/>
        <v>700</v>
      </c>
      <c r="G720" s="211">
        <v>44743</v>
      </c>
      <c r="H720" s="6" t="s">
        <v>3</v>
      </c>
      <c r="I720" s="188"/>
      <c r="J720" s="6"/>
      <c r="K720" s="202"/>
      <c r="L720" s="220">
        <f t="shared" si="277"/>
        <v>0</v>
      </c>
      <c r="M720" s="212"/>
      <c r="O720" s="6" t="s">
        <v>3</v>
      </c>
      <c r="P720" s="7"/>
      <c r="Q720" s="5">
        <f t="shared" si="278"/>
        <v>0</v>
      </c>
      <c r="R720" s="186"/>
      <c r="S720" s="6" t="s">
        <v>3</v>
      </c>
      <c r="T720" s="7"/>
      <c r="U720" s="5">
        <f t="shared" si="279"/>
        <v>0</v>
      </c>
    </row>
    <row r="721" spans="1:22" x14ac:dyDescent="0.15">
      <c r="A721" s="1"/>
      <c r="B721" s="6" t="s">
        <v>3</v>
      </c>
      <c r="C721" s="6">
        <v>400</v>
      </c>
      <c r="D721" s="6">
        <v>100</v>
      </c>
      <c r="E721" s="4">
        <v>57</v>
      </c>
      <c r="F721" s="220">
        <f t="shared" si="276"/>
        <v>557</v>
      </c>
      <c r="G721" s="211">
        <v>44744</v>
      </c>
      <c r="H721" s="6" t="s">
        <v>3</v>
      </c>
      <c r="I721" s="188"/>
      <c r="J721" s="6"/>
      <c r="K721" s="202"/>
      <c r="L721" s="220">
        <f t="shared" si="277"/>
        <v>0</v>
      </c>
      <c r="O721" s="6" t="s">
        <v>3</v>
      </c>
      <c r="P721" s="7"/>
      <c r="Q721" s="5">
        <f t="shared" si="278"/>
        <v>0</v>
      </c>
      <c r="R721" s="186"/>
      <c r="S721" s="6" t="s">
        <v>3</v>
      </c>
      <c r="T721" s="7"/>
      <c r="U721" s="5">
        <f t="shared" si="279"/>
        <v>0</v>
      </c>
    </row>
    <row r="722" spans="1:22" x14ac:dyDescent="0.15">
      <c r="A722" s="1"/>
      <c r="B722" s="6" t="s">
        <v>3</v>
      </c>
      <c r="C722" s="6">
        <v>400</v>
      </c>
      <c r="D722" s="6">
        <v>100</v>
      </c>
      <c r="E722" s="4">
        <v>100</v>
      </c>
      <c r="F722" s="220">
        <f t="shared" si="276"/>
        <v>600</v>
      </c>
      <c r="G722" s="211">
        <v>44749</v>
      </c>
      <c r="H722" s="6" t="s">
        <v>3</v>
      </c>
      <c r="I722" s="188"/>
      <c r="J722" s="6"/>
      <c r="K722" s="202"/>
      <c r="L722" s="220">
        <f t="shared" si="277"/>
        <v>0</v>
      </c>
      <c r="M722" s="211"/>
      <c r="O722" s="6" t="s">
        <v>3</v>
      </c>
      <c r="P722" s="7"/>
      <c r="Q722" s="5">
        <f t="shared" si="278"/>
        <v>0</v>
      </c>
      <c r="R722" s="186"/>
      <c r="S722" s="6" t="s">
        <v>3</v>
      </c>
      <c r="T722" s="7"/>
      <c r="U722" s="5">
        <f t="shared" si="279"/>
        <v>0</v>
      </c>
    </row>
    <row r="723" spans="1:22" x14ac:dyDescent="0.15">
      <c r="A723" s="1"/>
      <c r="B723" s="6" t="s">
        <v>3</v>
      </c>
      <c r="C723" s="6">
        <v>200</v>
      </c>
      <c r="D723" s="6">
        <v>100</v>
      </c>
      <c r="E723" s="4"/>
      <c r="F723" s="220">
        <f t="shared" si="276"/>
        <v>300</v>
      </c>
      <c r="G723" s="211">
        <v>44750</v>
      </c>
      <c r="H723" s="6" t="s">
        <v>3</v>
      </c>
      <c r="I723" s="188"/>
      <c r="J723" s="6"/>
      <c r="K723" s="202"/>
      <c r="L723" s="220">
        <f t="shared" si="277"/>
        <v>0</v>
      </c>
      <c r="O723" s="6" t="s">
        <v>3</v>
      </c>
      <c r="P723" s="7"/>
      <c r="Q723" s="5">
        <f t="shared" si="278"/>
        <v>0</v>
      </c>
      <c r="R723" s="186"/>
      <c r="S723" s="6" t="s">
        <v>3</v>
      </c>
      <c r="T723" s="7"/>
      <c r="U723" s="5">
        <f t="shared" si="279"/>
        <v>0</v>
      </c>
    </row>
    <row r="724" spans="1:22" x14ac:dyDescent="0.15">
      <c r="A724" s="1"/>
      <c r="B724" s="6" t="s">
        <v>3</v>
      </c>
      <c r="C724" s="6">
        <v>400</v>
      </c>
      <c r="D724" s="225">
        <v>100</v>
      </c>
      <c r="E724" s="226">
        <v>100</v>
      </c>
      <c r="F724" s="220">
        <f t="shared" si="276"/>
        <v>600</v>
      </c>
      <c r="G724" s="211">
        <v>44753</v>
      </c>
      <c r="H724" s="6" t="s">
        <v>3</v>
      </c>
      <c r="I724" s="188"/>
      <c r="J724" s="225"/>
      <c r="K724" s="243"/>
      <c r="L724" s="220">
        <f t="shared" si="277"/>
        <v>0</v>
      </c>
      <c r="M724" s="211"/>
      <c r="O724" s="6" t="s">
        <v>3</v>
      </c>
      <c r="P724" s="8"/>
      <c r="Q724" s="5">
        <f t="shared" si="278"/>
        <v>0</v>
      </c>
      <c r="R724" s="186"/>
      <c r="S724" s="6" t="s">
        <v>3</v>
      </c>
      <c r="T724" s="54"/>
      <c r="U724" s="5">
        <f t="shared" si="279"/>
        <v>0</v>
      </c>
    </row>
    <row r="725" spans="1:22" x14ac:dyDescent="0.15">
      <c r="A725" s="1"/>
      <c r="B725" s="6" t="s">
        <v>3</v>
      </c>
      <c r="C725" s="6"/>
      <c r="D725" s="225"/>
      <c r="E725" s="226"/>
      <c r="F725" s="220">
        <f t="shared" si="276"/>
        <v>0</v>
      </c>
      <c r="H725" s="6" t="s">
        <v>3</v>
      </c>
      <c r="I725" s="188">
        <v>0</v>
      </c>
      <c r="J725" s="225">
        <v>1000</v>
      </c>
      <c r="K725" s="243">
        <v>1000</v>
      </c>
      <c r="L725" s="220">
        <f t="shared" si="277"/>
        <v>2000</v>
      </c>
      <c r="M725" s="186" t="s">
        <v>983</v>
      </c>
      <c r="O725" s="6" t="s">
        <v>3</v>
      </c>
      <c r="P725" s="8"/>
      <c r="Q725" s="5">
        <f t="shared" si="278"/>
        <v>0</v>
      </c>
      <c r="R725" s="186"/>
      <c r="S725" s="6" t="s">
        <v>3</v>
      </c>
      <c r="T725" s="54">
        <v>1000</v>
      </c>
      <c r="U725" s="5">
        <f t="shared" si="279"/>
        <v>1000</v>
      </c>
      <c r="V725" s="186" t="s">
        <v>983</v>
      </c>
    </row>
    <row r="726" spans="1:22" x14ac:dyDescent="0.15">
      <c r="A726" s="1"/>
      <c r="B726" s="6" t="s">
        <v>3</v>
      </c>
      <c r="C726" s="205"/>
      <c r="D726" s="189"/>
      <c r="E726" s="190"/>
      <c r="F726" s="220">
        <f t="shared" si="276"/>
        <v>0</v>
      </c>
      <c r="H726" s="6" t="s">
        <v>956</v>
      </c>
      <c r="I726" s="188"/>
      <c r="J726" s="225"/>
      <c r="K726" s="243"/>
      <c r="L726" s="220">
        <f t="shared" si="277"/>
        <v>0</v>
      </c>
      <c r="M726" s="212"/>
      <c r="O726" s="6" t="s">
        <v>3</v>
      </c>
      <c r="P726" s="8"/>
      <c r="Q726" s="5">
        <f t="shared" si="278"/>
        <v>0</v>
      </c>
      <c r="R726" s="186"/>
      <c r="S726" s="6" t="s">
        <v>3</v>
      </c>
      <c r="T726" s="8"/>
      <c r="U726" s="5">
        <f t="shared" si="279"/>
        <v>0</v>
      </c>
      <c r="V726" s="186"/>
    </row>
    <row r="727" spans="1:22" ht="14.25" thickBot="1" x14ac:dyDescent="0.2">
      <c r="A727" s="1"/>
      <c r="B727" s="9" t="s">
        <v>3</v>
      </c>
      <c r="C727" s="236"/>
      <c r="D727" s="191"/>
      <c r="E727" s="192"/>
      <c r="F727" s="220">
        <f t="shared" si="276"/>
        <v>0</v>
      </c>
      <c r="H727" s="9" t="s">
        <v>3</v>
      </c>
      <c r="I727" s="198"/>
      <c r="J727" s="244"/>
      <c r="K727" s="245"/>
      <c r="L727" s="220">
        <f t="shared" si="277"/>
        <v>0</v>
      </c>
      <c r="O727" s="9" t="s">
        <v>3</v>
      </c>
      <c r="P727" s="10"/>
      <c r="Q727" s="5">
        <f t="shared" si="278"/>
        <v>0</v>
      </c>
      <c r="R727" s="186"/>
      <c r="S727" s="9" t="s">
        <v>3</v>
      </c>
      <c r="T727" s="10"/>
      <c r="U727" s="5">
        <f t="shared" si="279"/>
        <v>0</v>
      </c>
    </row>
    <row r="728" spans="1:22" ht="14.25" thickBot="1" x14ac:dyDescent="0.2">
      <c r="A728" s="1"/>
      <c r="B728" s="11" t="s">
        <v>4</v>
      </c>
      <c r="C728" s="193">
        <f>SUM(C717:C727)</f>
        <v>3333</v>
      </c>
      <c r="D728" s="193">
        <f>SUM(D717:D727)</f>
        <v>813</v>
      </c>
      <c r="E728" s="193">
        <f>SUM(E717:E727)</f>
        <v>545</v>
      </c>
      <c r="F728" s="221">
        <f>SUM(F717:F727)</f>
        <v>4691</v>
      </c>
      <c r="H728" s="11" t="s">
        <v>4</v>
      </c>
      <c r="I728" s="193">
        <f>SUM(I717:I727)</f>
        <v>7200</v>
      </c>
      <c r="J728" s="193">
        <f>SUM(J717:J727)</f>
        <v>1673</v>
      </c>
      <c r="K728" s="193">
        <f t="shared" ref="K728" si="280">SUM(K717:K727)</f>
        <v>1257</v>
      </c>
      <c r="L728" s="221">
        <f>SUM(L717:L727)</f>
        <v>10130</v>
      </c>
      <c r="O728" s="11" t="s">
        <v>4</v>
      </c>
      <c r="P728" s="12">
        <f>SUM(P717:P727)</f>
        <v>0</v>
      </c>
      <c r="Q728" s="13">
        <f>SUM(Q717:Q727)</f>
        <v>0</v>
      </c>
      <c r="S728" s="11" t="s">
        <v>4</v>
      </c>
      <c r="T728" s="12">
        <f>SUM(T717:T727)</f>
        <v>1345</v>
      </c>
      <c r="U728" s="13">
        <f>SUM(U717:U727)</f>
        <v>1345</v>
      </c>
    </row>
    <row r="729" spans="1:22" x14ac:dyDescent="0.15">
      <c r="A729" s="1"/>
      <c r="B729" s="4" t="s">
        <v>764</v>
      </c>
      <c r="C729" s="215">
        <v>10</v>
      </c>
      <c r="D729" s="215"/>
      <c r="E729" s="216">
        <v>20</v>
      </c>
      <c r="F729" s="220">
        <f t="shared" ref="F729:F752" si="281">SUM(C729:E729)</f>
        <v>30</v>
      </c>
      <c r="G729" s="211">
        <v>44741</v>
      </c>
      <c r="H729" s="6" t="s">
        <v>745</v>
      </c>
      <c r="I729" s="233">
        <v>400</v>
      </c>
      <c r="J729" s="234">
        <v>100</v>
      </c>
      <c r="K729" s="234">
        <v>100</v>
      </c>
      <c r="L729" s="220">
        <f t="shared" ref="L729" si="282">SUM(I729:K729)</f>
        <v>600</v>
      </c>
      <c r="M729" s="211">
        <v>44741</v>
      </c>
      <c r="O729" s="4"/>
      <c r="P729" s="44"/>
      <c r="Q729" s="14">
        <f t="shared" ref="Q729:Q752" si="283">SUM(P729:P729)</f>
        <v>0</v>
      </c>
      <c r="R729" s="185"/>
      <c r="S729" s="6" t="s">
        <v>989</v>
      </c>
      <c r="T729" s="44">
        <v>13</v>
      </c>
      <c r="U729" s="14">
        <f t="shared" ref="U729:U749" si="284">SUM(T729:T729)</f>
        <v>13</v>
      </c>
      <c r="V729" s="185">
        <v>44755</v>
      </c>
    </row>
    <row r="730" spans="1:22" x14ac:dyDescent="0.15">
      <c r="A730" s="1"/>
      <c r="B730" s="4" t="s">
        <v>787</v>
      </c>
      <c r="C730" s="216">
        <v>20</v>
      </c>
      <c r="D730" s="232">
        <v>20</v>
      </c>
      <c r="E730" s="232">
        <v>20</v>
      </c>
      <c r="F730" s="220">
        <f t="shared" si="281"/>
        <v>60</v>
      </c>
      <c r="G730" s="211">
        <v>44741</v>
      </c>
      <c r="H730" s="6" t="s">
        <v>745</v>
      </c>
      <c r="I730" s="215">
        <v>600</v>
      </c>
      <c r="J730" s="215">
        <v>100</v>
      </c>
      <c r="K730" s="216">
        <v>100</v>
      </c>
      <c r="L730" s="220">
        <f t="shared" ref="L730:L741" si="285">SUM(I730:K730)</f>
        <v>800</v>
      </c>
      <c r="M730" s="211">
        <v>44742</v>
      </c>
      <c r="O730" s="4"/>
      <c r="P730" s="15"/>
      <c r="Q730" s="14">
        <f t="shared" si="283"/>
        <v>0</v>
      </c>
      <c r="R730" s="186"/>
      <c r="S730" s="6" t="s">
        <v>993</v>
      </c>
      <c r="T730" s="15">
        <v>9</v>
      </c>
      <c r="U730" s="14">
        <f t="shared" si="284"/>
        <v>9</v>
      </c>
      <c r="V730" s="185">
        <v>44756</v>
      </c>
    </row>
    <row r="731" spans="1:22" x14ac:dyDescent="0.15">
      <c r="A731" s="1"/>
      <c r="B731" s="4" t="s">
        <v>749</v>
      </c>
      <c r="C731" s="216">
        <f>12+2+13+2+1+8+7+36+13+9+2+16+39+12+1+1+6+1+2+41+50+1+1</f>
        <v>276</v>
      </c>
      <c r="D731" s="232">
        <f>3+3+2+7+14+8+6+1+1+1+1+2+1</f>
        <v>50</v>
      </c>
      <c r="E731" s="232">
        <f>7+4+2+1+7+3+3+1+1+2+1+1</f>
        <v>33</v>
      </c>
      <c r="F731" s="220">
        <f t="shared" si="281"/>
        <v>359</v>
      </c>
      <c r="G731" s="248">
        <v>44740</v>
      </c>
      <c r="H731" s="6" t="s">
        <v>745</v>
      </c>
      <c r="I731" s="216">
        <v>600</v>
      </c>
      <c r="J731" s="232">
        <v>100</v>
      </c>
      <c r="K731" s="232"/>
      <c r="L731" s="220">
        <f t="shared" si="285"/>
        <v>700</v>
      </c>
      <c r="M731" s="211">
        <v>44743</v>
      </c>
      <c r="O731" s="4"/>
      <c r="P731" s="15"/>
      <c r="Q731" s="14">
        <f t="shared" si="283"/>
        <v>0</v>
      </c>
      <c r="R731" s="186"/>
      <c r="S731" s="4"/>
      <c r="T731" s="15"/>
      <c r="U731" s="14">
        <f t="shared" si="284"/>
        <v>0</v>
      </c>
    </row>
    <row r="732" spans="1:22" x14ac:dyDescent="0.15">
      <c r="A732" s="1"/>
      <c r="B732" s="4" t="s">
        <v>749</v>
      </c>
      <c r="C732" s="233">
        <f>90+2+8+38+3+5+8+41+3+12+30+1+1</f>
        <v>242</v>
      </c>
      <c r="D732" s="234">
        <f>5+5+19+10+1</f>
        <v>40</v>
      </c>
      <c r="E732" s="234">
        <f>5+1+3+4+1</f>
        <v>14</v>
      </c>
      <c r="F732" s="220">
        <f t="shared" si="281"/>
        <v>296</v>
      </c>
      <c r="G732" s="248">
        <v>44741</v>
      </c>
      <c r="H732" s="6" t="s">
        <v>745</v>
      </c>
      <c r="I732" s="233">
        <v>400</v>
      </c>
      <c r="J732" s="234">
        <v>100</v>
      </c>
      <c r="K732" s="234">
        <v>57</v>
      </c>
      <c r="L732" s="220">
        <f t="shared" si="285"/>
        <v>557</v>
      </c>
      <c r="M732" s="211">
        <v>44744</v>
      </c>
      <c r="O732" s="4"/>
      <c r="P732" s="15"/>
      <c r="Q732" s="14">
        <f t="shared" si="283"/>
        <v>0</v>
      </c>
      <c r="R732" s="186"/>
      <c r="S732" s="4"/>
      <c r="T732" s="15"/>
      <c r="U732" s="14">
        <f t="shared" si="284"/>
        <v>0</v>
      </c>
    </row>
    <row r="733" spans="1:22" x14ac:dyDescent="0.15">
      <c r="A733" s="1"/>
      <c r="B733" s="4" t="s">
        <v>973</v>
      </c>
      <c r="C733" s="233">
        <v>100</v>
      </c>
      <c r="D733" s="234">
        <v>20</v>
      </c>
      <c r="E733" s="234">
        <v>20</v>
      </c>
      <c r="F733" s="220">
        <f t="shared" si="281"/>
        <v>140</v>
      </c>
      <c r="G733" s="211">
        <v>44742</v>
      </c>
      <c r="H733" s="6" t="s">
        <v>977</v>
      </c>
      <c r="I733" s="233">
        <v>100</v>
      </c>
      <c r="J733" s="234"/>
      <c r="K733" s="234"/>
      <c r="L733" s="220">
        <f t="shared" si="285"/>
        <v>100</v>
      </c>
      <c r="M733" s="211">
        <v>44756</v>
      </c>
      <c r="O733" s="4"/>
      <c r="P733" s="15"/>
      <c r="Q733" s="14">
        <f t="shared" si="283"/>
        <v>0</v>
      </c>
      <c r="R733" s="186"/>
      <c r="S733" s="4"/>
      <c r="T733" s="15"/>
      <c r="U733" s="14">
        <f t="shared" si="284"/>
        <v>0</v>
      </c>
    </row>
    <row r="734" spans="1:22" x14ac:dyDescent="0.15">
      <c r="A734" s="1"/>
      <c r="B734" s="4" t="s">
        <v>979</v>
      </c>
      <c r="C734" s="233">
        <v>300</v>
      </c>
      <c r="D734" s="234">
        <v>100</v>
      </c>
      <c r="E734" s="234">
        <v>50</v>
      </c>
      <c r="F734" s="220">
        <f t="shared" si="281"/>
        <v>450</v>
      </c>
      <c r="G734" s="211">
        <v>44744</v>
      </c>
      <c r="H734" s="6" t="s">
        <v>745</v>
      </c>
      <c r="I734" s="233">
        <v>400</v>
      </c>
      <c r="J734" s="234">
        <v>100</v>
      </c>
      <c r="K734" s="234">
        <v>100</v>
      </c>
      <c r="L734" s="220">
        <f t="shared" si="285"/>
        <v>600</v>
      </c>
      <c r="M734" s="211">
        <v>44749</v>
      </c>
      <c r="O734" s="4"/>
      <c r="P734" s="15"/>
      <c r="Q734" s="14">
        <f t="shared" si="283"/>
        <v>0</v>
      </c>
      <c r="R734" s="186"/>
      <c r="S734" s="4"/>
      <c r="T734" s="15"/>
      <c r="U734" s="14">
        <f t="shared" si="284"/>
        <v>0</v>
      </c>
    </row>
    <row r="735" spans="1:22" x14ac:dyDescent="0.15">
      <c r="A735" s="1"/>
      <c r="B735" s="4" t="s">
        <v>880</v>
      </c>
      <c r="C735" s="233">
        <v>40</v>
      </c>
      <c r="D735" s="234"/>
      <c r="E735" s="234"/>
      <c r="F735" s="220">
        <f t="shared" si="281"/>
        <v>40</v>
      </c>
      <c r="G735" s="211">
        <v>44749</v>
      </c>
      <c r="H735" s="6" t="s">
        <v>745</v>
      </c>
      <c r="I735" s="233">
        <v>200</v>
      </c>
      <c r="J735" s="234">
        <v>100</v>
      </c>
      <c r="K735" s="234"/>
      <c r="L735" s="220">
        <f t="shared" si="285"/>
        <v>300</v>
      </c>
      <c r="M735" s="211">
        <v>44750</v>
      </c>
      <c r="O735" s="4"/>
      <c r="P735" s="15"/>
      <c r="Q735" s="14">
        <f t="shared" si="283"/>
        <v>0</v>
      </c>
      <c r="R735" s="186"/>
      <c r="S735" s="4"/>
      <c r="T735" s="15"/>
      <c r="U735" s="14">
        <f t="shared" si="284"/>
        <v>0</v>
      </c>
    </row>
    <row r="736" spans="1:22" x14ac:dyDescent="0.15">
      <c r="A736" s="1"/>
      <c r="B736" s="4" t="s">
        <v>749</v>
      </c>
      <c r="C736" s="233">
        <f>151+48+20+1+10+32+3</f>
        <v>265</v>
      </c>
      <c r="D736" s="234">
        <f>8+15+1+6+3+13</f>
        <v>46</v>
      </c>
      <c r="E736" s="234">
        <f>4+10+4+2+3+13</f>
        <v>36</v>
      </c>
      <c r="F736" s="220">
        <f t="shared" si="281"/>
        <v>347</v>
      </c>
      <c r="G736" s="248">
        <v>44742</v>
      </c>
      <c r="H736" s="6" t="s">
        <v>745</v>
      </c>
      <c r="I736" s="233">
        <v>400</v>
      </c>
      <c r="J736" s="234">
        <v>100</v>
      </c>
      <c r="K736" s="234">
        <v>100</v>
      </c>
      <c r="L736" s="220">
        <f t="shared" si="285"/>
        <v>600</v>
      </c>
      <c r="M736" s="211">
        <v>44753</v>
      </c>
      <c r="O736" s="4"/>
      <c r="P736" s="15"/>
      <c r="Q736" s="14">
        <f t="shared" si="283"/>
        <v>0</v>
      </c>
      <c r="R736" s="186"/>
      <c r="S736" s="4"/>
      <c r="T736" s="15"/>
      <c r="U736" s="14">
        <f t="shared" si="284"/>
        <v>0</v>
      </c>
    </row>
    <row r="737" spans="1:22" x14ac:dyDescent="0.15">
      <c r="A737" s="1"/>
      <c r="B737" s="4" t="s">
        <v>974</v>
      </c>
      <c r="C737" s="233">
        <v>100</v>
      </c>
      <c r="D737" s="234">
        <v>20</v>
      </c>
      <c r="E737" s="234"/>
      <c r="F737" s="220">
        <f t="shared" si="281"/>
        <v>120</v>
      </c>
      <c r="G737" s="211">
        <v>44744</v>
      </c>
      <c r="H737" s="6" t="s">
        <v>988</v>
      </c>
      <c r="I737" s="233">
        <v>56</v>
      </c>
      <c r="J737" s="15">
        <v>80</v>
      </c>
      <c r="K737" s="15">
        <v>42</v>
      </c>
      <c r="L737" s="220">
        <f t="shared" si="285"/>
        <v>178</v>
      </c>
      <c r="M737" s="211">
        <v>44755</v>
      </c>
      <c r="O737" s="4"/>
      <c r="P737" s="15"/>
      <c r="Q737" s="14">
        <f t="shared" si="283"/>
        <v>0</v>
      </c>
      <c r="R737" s="186"/>
      <c r="S737" s="4"/>
      <c r="T737" s="15"/>
      <c r="U737" s="14">
        <f t="shared" si="284"/>
        <v>0</v>
      </c>
    </row>
    <row r="738" spans="1:22" x14ac:dyDescent="0.15">
      <c r="A738" s="1"/>
      <c r="B738" s="4" t="s">
        <v>975</v>
      </c>
      <c r="C738" s="233">
        <v>10</v>
      </c>
      <c r="D738" s="234">
        <v>10</v>
      </c>
      <c r="E738" s="234">
        <v>10</v>
      </c>
      <c r="F738" s="220">
        <f t="shared" si="281"/>
        <v>30</v>
      </c>
      <c r="G738" s="211">
        <v>44744</v>
      </c>
      <c r="H738" s="6" t="s">
        <v>992</v>
      </c>
      <c r="I738" s="233">
        <v>28</v>
      </c>
      <c r="J738" s="15">
        <v>31</v>
      </c>
      <c r="K738" s="15">
        <v>21</v>
      </c>
      <c r="L738" s="220">
        <f t="shared" si="285"/>
        <v>80</v>
      </c>
      <c r="M738" s="211">
        <v>44756</v>
      </c>
      <c r="O738" s="4"/>
      <c r="P738" s="15"/>
      <c r="Q738" s="14">
        <f t="shared" si="283"/>
        <v>0</v>
      </c>
      <c r="R738" s="186"/>
      <c r="S738" s="4"/>
      <c r="T738" s="15"/>
      <c r="U738" s="14">
        <f t="shared" si="284"/>
        <v>0</v>
      </c>
    </row>
    <row r="739" spans="1:22" x14ac:dyDescent="0.15">
      <c r="A739" s="1"/>
      <c r="B739" s="4" t="s">
        <v>980</v>
      </c>
      <c r="C739" s="233">
        <v>200</v>
      </c>
      <c r="D739" s="234"/>
      <c r="E739" s="234"/>
      <c r="F739" s="220">
        <f t="shared" si="281"/>
        <v>200</v>
      </c>
      <c r="G739" s="211">
        <v>44745</v>
      </c>
      <c r="H739" s="6" t="s">
        <v>994</v>
      </c>
      <c r="I739" s="233">
        <v>100</v>
      </c>
      <c r="J739" s="15"/>
      <c r="K739" s="15"/>
      <c r="L739" s="220">
        <f t="shared" si="285"/>
        <v>100</v>
      </c>
      <c r="M739" s="211">
        <v>44755</v>
      </c>
      <c r="O739" s="4"/>
      <c r="P739" s="15"/>
      <c r="Q739" s="14">
        <f t="shared" si="283"/>
        <v>0</v>
      </c>
      <c r="R739" s="186"/>
      <c r="S739" s="4"/>
      <c r="T739" s="15"/>
      <c r="U739" s="14">
        <f t="shared" si="284"/>
        <v>0</v>
      </c>
    </row>
    <row r="740" spans="1:22" x14ac:dyDescent="0.15">
      <c r="A740" s="1"/>
      <c r="B740" s="4" t="s">
        <v>749</v>
      </c>
      <c r="C740" s="235">
        <f>1+137+9+1+20+18+43</f>
        <v>229</v>
      </c>
      <c r="D740" s="234">
        <f>7+6+21+12+2</f>
        <v>48</v>
      </c>
      <c r="E740" s="234">
        <f>3+9+12+8</f>
        <v>32</v>
      </c>
      <c r="F740" s="220">
        <f t="shared" si="281"/>
        <v>309</v>
      </c>
      <c r="G740" s="248">
        <v>44743</v>
      </c>
      <c r="H740" s="6" t="s">
        <v>995</v>
      </c>
      <c r="I740" s="235">
        <v>500</v>
      </c>
      <c r="J740" s="15"/>
      <c r="K740" s="15"/>
      <c r="L740" s="220">
        <f t="shared" si="285"/>
        <v>500</v>
      </c>
      <c r="M740" s="211">
        <v>44756</v>
      </c>
      <c r="O740" s="6"/>
      <c r="P740" s="15"/>
      <c r="Q740" s="14">
        <f t="shared" si="283"/>
        <v>0</v>
      </c>
      <c r="R740" s="186"/>
      <c r="S740" s="6"/>
      <c r="T740" s="15"/>
      <c r="U740" s="14">
        <f t="shared" si="284"/>
        <v>0</v>
      </c>
    </row>
    <row r="741" spans="1:22" x14ac:dyDescent="0.15">
      <c r="A741" s="1"/>
      <c r="B741" s="4" t="s">
        <v>749</v>
      </c>
      <c r="C741" s="235">
        <f>54+10+2+2+1+4+8+5+15</f>
        <v>101</v>
      </c>
      <c r="D741" s="234">
        <f>5+3+3+7+1+1+1</f>
        <v>21</v>
      </c>
      <c r="E741" s="234">
        <f>1+5+6+1+1</f>
        <v>14</v>
      </c>
      <c r="F741" s="220">
        <f t="shared" si="281"/>
        <v>136</v>
      </c>
      <c r="G741" s="248">
        <v>44744</v>
      </c>
      <c r="H741" s="6" t="s">
        <v>999</v>
      </c>
      <c r="I741" s="235">
        <v>60</v>
      </c>
      <c r="J741" s="15"/>
      <c r="K741" s="15"/>
      <c r="L741" s="220">
        <f t="shared" si="285"/>
        <v>60</v>
      </c>
      <c r="M741" s="211">
        <v>44757</v>
      </c>
      <c r="N741" s="186"/>
      <c r="O741" s="6"/>
      <c r="P741" s="15"/>
      <c r="Q741" s="14">
        <f t="shared" si="283"/>
        <v>0</v>
      </c>
      <c r="R741" s="186"/>
      <c r="S741" s="6"/>
      <c r="T741" s="15"/>
      <c r="U741" s="14">
        <f t="shared" si="284"/>
        <v>0</v>
      </c>
    </row>
    <row r="742" spans="1:22" x14ac:dyDescent="0.15">
      <c r="A742" s="1"/>
      <c r="B742" s="4" t="s">
        <v>976</v>
      </c>
      <c r="C742" s="233">
        <v>3</v>
      </c>
      <c r="D742" s="234"/>
      <c r="E742" s="234"/>
      <c r="F742" s="220">
        <f t="shared" si="281"/>
        <v>3</v>
      </c>
      <c r="G742" s="248">
        <v>44746</v>
      </c>
      <c r="H742" s="6" t="s">
        <v>1001</v>
      </c>
      <c r="I742" s="235">
        <v>75</v>
      </c>
      <c r="J742" s="206"/>
      <c r="K742" s="206"/>
      <c r="L742" s="220">
        <f>SUM(I742:K742)</f>
        <v>75</v>
      </c>
      <c r="M742" s="211">
        <v>44758</v>
      </c>
      <c r="O742" s="4"/>
      <c r="P742" s="15"/>
      <c r="Q742" s="14">
        <f t="shared" si="283"/>
        <v>0</v>
      </c>
      <c r="R742" s="186"/>
      <c r="S742" s="4"/>
      <c r="T742" s="15"/>
      <c r="U742" s="14">
        <f t="shared" si="284"/>
        <v>0</v>
      </c>
    </row>
    <row r="743" spans="1:22" x14ac:dyDescent="0.15">
      <c r="A743" s="1"/>
      <c r="B743" s="4" t="s">
        <v>749</v>
      </c>
      <c r="C743" s="233">
        <f>13+1+1+1+2+24+1+2+72+10+1+13</f>
        <v>141</v>
      </c>
      <c r="D743" s="234">
        <f>5+1+1+13+1+2+1+4</f>
        <v>28</v>
      </c>
      <c r="E743" s="234">
        <f>1+10+2+1+2</f>
        <v>16</v>
      </c>
      <c r="F743" s="220">
        <f t="shared" si="281"/>
        <v>185</v>
      </c>
      <c r="G743" s="248">
        <v>44746</v>
      </c>
      <c r="H743" s="6"/>
      <c r="I743" s="235"/>
      <c r="J743" s="188"/>
      <c r="K743" s="188"/>
      <c r="L743" s="220">
        <f>SUM(I743:K743)</f>
        <v>0</v>
      </c>
      <c r="M743" s="212"/>
      <c r="O743" s="4"/>
      <c r="P743" s="15"/>
      <c r="Q743" s="14">
        <f t="shared" si="283"/>
        <v>0</v>
      </c>
      <c r="R743" s="186"/>
      <c r="S743" s="4"/>
      <c r="T743" s="15"/>
      <c r="U743" s="14">
        <f t="shared" si="284"/>
        <v>0</v>
      </c>
    </row>
    <row r="744" spans="1:22" x14ac:dyDescent="0.15">
      <c r="A744" s="1"/>
      <c r="B744" s="4" t="s">
        <v>749</v>
      </c>
      <c r="C744" s="233">
        <f>2+1+1+3+1+2+1+3+3+4+1</f>
        <v>22</v>
      </c>
      <c r="D744" s="234">
        <f>1+2+1+4+1</f>
        <v>9</v>
      </c>
      <c r="E744" s="234">
        <f>1+1+1+4+1</f>
        <v>8</v>
      </c>
      <c r="F744" s="220">
        <f t="shared" si="281"/>
        <v>39</v>
      </c>
      <c r="G744" s="248">
        <v>44747</v>
      </c>
      <c r="H744" s="6"/>
      <c r="I744" s="235"/>
      <c r="J744" s="188"/>
      <c r="K744" s="188"/>
      <c r="L744" s="220">
        <f>SUM(I744:K744)</f>
        <v>0</v>
      </c>
      <c r="M744" s="212"/>
      <c r="O744" s="4"/>
      <c r="P744" s="15"/>
      <c r="Q744" s="14">
        <f t="shared" si="283"/>
        <v>0</v>
      </c>
      <c r="R744" s="186"/>
      <c r="S744" s="4"/>
      <c r="T744" s="15"/>
      <c r="U744" s="14">
        <f t="shared" si="284"/>
        <v>0</v>
      </c>
    </row>
    <row r="745" spans="1:22" x14ac:dyDescent="0.15">
      <c r="A745" s="1"/>
      <c r="B745" s="6" t="s">
        <v>981</v>
      </c>
      <c r="C745" s="235">
        <v>30</v>
      </c>
      <c r="D745" s="234">
        <v>30</v>
      </c>
      <c r="E745" s="234">
        <v>30</v>
      </c>
      <c r="F745" s="220">
        <f t="shared" si="281"/>
        <v>90</v>
      </c>
      <c r="G745" s="211">
        <v>44748</v>
      </c>
      <c r="H745" s="6"/>
      <c r="I745" s="235"/>
      <c r="J745" s="235"/>
      <c r="K745" s="235"/>
      <c r="L745" s="220">
        <f t="shared" ref="L745:L746" si="286">SUM(I745:K745)</f>
        <v>0</v>
      </c>
      <c r="M745" s="212"/>
      <c r="O745" s="6"/>
      <c r="P745" s="15"/>
      <c r="Q745" s="14">
        <f t="shared" si="283"/>
        <v>0</v>
      </c>
      <c r="R745" s="186"/>
      <c r="S745" s="6"/>
      <c r="T745" s="15"/>
      <c r="U745" s="14">
        <f t="shared" si="284"/>
        <v>0</v>
      </c>
    </row>
    <row r="746" spans="1:22" x14ac:dyDescent="0.15">
      <c r="A746" s="1"/>
      <c r="B746" s="4" t="s">
        <v>982</v>
      </c>
      <c r="C746" s="233">
        <v>200</v>
      </c>
      <c r="D746" s="234"/>
      <c r="E746" s="234"/>
      <c r="F746" s="220">
        <f t="shared" si="281"/>
        <v>200</v>
      </c>
      <c r="G746" s="211">
        <v>44749</v>
      </c>
      <c r="H746" s="247"/>
      <c r="I746" s="233"/>
      <c r="J746" s="234"/>
      <c r="K746" s="234"/>
      <c r="L746" s="220">
        <f t="shared" si="286"/>
        <v>0</v>
      </c>
      <c r="M746" s="212"/>
      <c r="O746" s="4"/>
      <c r="P746" s="15"/>
      <c r="Q746" s="14">
        <f t="shared" si="283"/>
        <v>0</v>
      </c>
      <c r="R746" s="186"/>
      <c r="S746" s="6"/>
      <c r="T746" s="15"/>
      <c r="U746" s="14">
        <f t="shared" si="284"/>
        <v>0</v>
      </c>
      <c r="V746" s="186"/>
    </row>
    <row r="747" spans="1:22" x14ac:dyDescent="0.15">
      <c r="A747" s="1"/>
      <c r="B747" s="4" t="s">
        <v>749</v>
      </c>
      <c r="C747" s="235">
        <f>1+1+1+4+2+1+3+3+1+4</f>
        <v>21</v>
      </c>
      <c r="D747" s="234">
        <f>1+1+2+3+3</f>
        <v>10</v>
      </c>
      <c r="E747" s="234">
        <f>1+1+2+3</f>
        <v>7</v>
      </c>
      <c r="F747" s="220">
        <f t="shared" si="281"/>
        <v>38</v>
      </c>
      <c r="G747" s="248">
        <v>44748</v>
      </c>
      <c r="H747" s="6"/>
      <c r="I747" s="235"/>
      <c r="J747" s="235"/>
      <c r="K747" s="235"/>
      <c r="L747" s="220">
        <f>SUM(I747:K747)</f>
        <v>0</v>
      </c>
      <c r="M747" s="212"/>
      <c r="O747" s="6"/>
      <c r="P747" s="15"/>
      <c r="Q747" s="14">
        <f t="shared" si="283"/>
        <v>0</v>
      </c>
      <c r="R747" s="186"/>
      <c r="S747" s="4"/>
      <c r="T747" s="15"/>
      <c r="U747" s="14">
        <f t="shared" si="284"/>
        <v>0</v>
      </c>
      <c r="V747" s="186"/>
    </row>
    <row r="748" spans="1:22" x14ac:dyDescent="0.15">
      <c r="A748" s="1"/>
      <c r="B748" s="4" t="s">
        <v>986</v>
      </c>
      <c r="C748" s="233">
        <v>200</v>
      </c>
      <c r="D748" s="234">
        <v>50</v>
      </c>
      <c r="E748" s="234">
        <v>20</v>
      </c>
      <c r="F748" s="220">
        <f t="shared" si="281"/>
        <v>270</v>
      </c>
      <c r="G748" s="211">
        <v>44750</v>
      </c>
      <c r="H748" s="6"/>
      <c r="I748" s="235"/>
      <c r="J748" s="235"/>
      <c r="K748" s="235"/>
      <c r="L748" s="220">
        <f>SUM(I748:K748)</f>
        <v>0</v>
      </c>
      <c r="M748" s="212"/>
      <c r="O748" s="4"/>
      <c r="P748" s="15"/>
      <c r="Q748" s="14">
        <f t="shared" si="283"/>
        <v>0</v>
      </c>
      <c r="R748" s="186"/>
      <c r="S748" s="6"/>
      <c r="T748" s="15"/>
      <c r="U748" s="14">
        <f t="shared" si="284"/>
        <v>0</v>
      </c>
      <c r="V748" s="186"/>
    </row>
    <row r="749" spans="1:22" x14ac:dyDescent="0.15">
      <c r="A749" s="75"/>
      <c r="B749" s="4" t="s">
        <v>749</v>
      </c>
      <c r="C749" s="233">
        <f>1+1+4+4</f>
        <v>10</v>
      </c>
      <c r="D749" s="234">
        <v>4</v>
      </c>
      <c r="E749" s="234">
        <v>4</v>
      </c>
      <c r="F749" s="220">
        <f t="shared" si="281"/>
        <v>18</v>
      </c>
      <c r="G749" s="211">
        <v>44749</v>
      </c>
      <c r="H749" s="247" t="s">
        <v>931</v>
      </c>
      <c r="I749" s="260"/>
      <c r="J749" s="260"/>
      <c r="K749" s="260"/>
      <c r="L749" s="250">
        <f>SUM(I749:K749)</f>
        <v>0</v>
      </c>
      <c r="M749" s="251"/>
      <c r="O749" s="4"/>
      <c r="P749" s="15"/>
      <c r="Q749" s="14">
        <f t="shared" si="283"/>
        <v>0</v>
      </c>
      <c r="R749" s="186"/>
      <c r="S749" s="6"/>
      <c r="T749" s="15"/>
      <c r="U749" s="14">
        <f t="shared" si="284"/>
        <v>0</v>
      </c>
      <c r="V749" s="212"/>
    </row>
    <row r="750" spans="1:22" x14ac:dyDescent="0.15">
      <c r="A750" s="1"/>
      <c r="B750" s="4" t="s">
        <v>991</v>
      </c>
      <c r="C750" s="233">
        <v>200</v>
      </c>
      <c r="D750" s="234">
        <v>50</v>
      </c>
      <c r="E750" s="234"/>
      <c r="F750" s="220">
        <f t="shared" si="281"/>
        <v>250</v>
      </c>
      <c r="G750" s="211">
        <v>44753</v>
      </c>
      <c r="H750" s="6" t="s">
        <v>929</v>
      </c>
      <c r="I750" s="235"/>
      <c r="J750" s="235"/>
      <c r="K750" s="235"/>
      <c r="L750" s="220">
        <f>SUM(I750:K750)</f>
        <v>0</v>
      </c>
      <c r="M750" s="212" t="s">
        <v>928</v>
      </c>
      <c r="O750" s="4"/>
      <c r="P750" s="15"/>
      <c r="Q750" s="14">
        <f t="shared" si="283"/>
        <v>0</v>
      </c>
      <c r="R750" s="186"/>
      <c r="S750" s="6" t="s">
        <v>966</v>
      </c>
      <c r="T750" s="15"/>
      <c r="U750" s="14">
        <f t="shared" ref="U750:U752" si="287">SUM(T750:T750)</f>
        <v>0</v>
      </c>
      <c r="V750" s="186" t="s">
        <v>967</v>
      </c>
    </row>
    <row r="751" spans="1:22" x14ac:dyDescent="0.15">
      <c r="A751" s="1"/>
      <c r="B751" s="4" t="s">
        <v>1002</v>
      </c>
      <c r="C751" s="233">
        <v>200</v>
      </c>
      <c r="D751" s="234">
        <v>50</v>
      </c>
      <c r="E751" s="234">
        <v>50</v>
      </c>
      <c r="F751" s="220">
        <f t="shared" si="281"/>
        <v>300</v>
      </c>
      <c r="G751" s="211">
        <v>44754</v>
      </c>
      <c r="H751" s="247" t="s">
        <v>932</v>
      </c>
      <c r="I751" s="260"/>
      <c r="J751" s="260"/>
      <c r="K751" s="260"/>
      <c r="L751" s="250">
        <f>SUM(I751:K751)</f>
        <v>0</v>
      </c>
      <c r="M751" s="251"/>
      <c r="O751" s="6"/>
      <c r="P751" s="15"/>
      <c r="Q751" s="14">
        <f t="shared" si="283"/>
        <v>0</v>
      </c>
      <c r="R751" s="186"/>
      <c r="S751" s="247" t="s">
        <v>1000</v>
      </c>
      <c r="T751" s="252"/>
      <c r="U751" s="255">
        <f t="shared" si="287"/>
        <v>0</v>
      </c>
      <c r="V751" s="251"/>
    </row>
    <row r="752" spans="1:22" ht="14.25" thickBot="1" x14ac:dyDescent="0.2">
      <c r="A752" s="1"/>
      <c r="B752" s="4" t="s">
        <v>749</v>
      </c>
      <c r="C752" s="235">
        <f>2+9+4+1</f>
        <v>16</v>
      </c>
      <c r="D752" s="234">
        <f>1+1</f>
        <v>2</v>
      </c>
      <c r="E752" s="234">
        <f>1</f>
        <v>1</v>
      </c>
      <c r="F752" s="220">
        <f t="shared" si="281"/>
        <v>19</v>
      </c>
      <c r="G752" s="248">
        <v>44750</v>
      </c>
      <c r="H752" s="6" t="s">
        <v>927</v>
      </c>
      <c r="I752" s="235"/>
      <c r="J752" s="235"/>
      <c r="K752" s="235"/>
      <c r="L752" s="220">
        <f t="shared" ref="L752" si="288">SUM(I752:K752)</f>
        <v>0</v>
      </c>
      <c r="M752" s="212" t="s">
        <v>928</v>
      </c>
      <c r="O752" s="6"/>
      <c r="P752" s="15"/>
      <c r="Q752" s="14">
        <f t="shared" si="283"/>
        <v>0</v>
      </c>
      <c r="R752" s="186"/>
      <c r="S752" s="6" t="s">
        <v>925</v>
      </c>
      <c r="T752" s="15"/>
      <c r="U752" s="14">
        <f t="shared" si="287"/>
        <v>0</v>
      </c>
      <c r="V752" s="186" t="s">
        <v>926</v>
      </c>
    </row>
    <row r="753" spans="1:22" ht="14.25" thickBot="1" x14ac:dyDescent="0.2">
      <c r="A753" s="1"/>
      <c r="B753" s="3" t="s">
        <v>5</v>
      </c>
      <c r="C753" s="16">
        <f>SUM(C729:C752)</f>
        <v>2936</v>
      </c>
      <c r="D753" s="16">
        <f>SUM(D729:D752)</f>
        <v>608</v>
      </c>
      <c r="E753" s="16">
        <f>SUM(E729:E752)</f>
        <v>385</v>
      </c>
      <c r="F753" s="223">
        <f>SUM(F729:F752)</f>
        <v>3929</v>
      </c>
      <c r="H753" s="3" t="s">
        <v>5</v>
      </c>
      <c r="I753" s="16">
        <f>SUM(I729:I752)</f>
        <v>3919</v>
      </c>
      <c r="J753" s="16">
        <f>SUM(J729:J752)</f>
        <v>811</v>
      </c>
      <c r="K753" s="16">
        <f>SUM(K729:K752)</f>
        <v>520</v>
      </c>
      <c r="L753" s="223">
        <f>SUM(L729:L752)</f>
        <v>5250</v>
      </c>
      <c r="O753" s="3" t="s">
        <v>5</v>
      </c>
      <c r="P753" s="16">
        <f>SUM(P729:P752)</f>
        <v>0</v>
      </c>
      <c r="Q753" s="17">
        <f>SUM(Q729:Q752)</f>
        <v>0</v>
      </c>
      <c r="S753" s="3" t="s">
        <v>5</v>
      </c>
      <c r="T753" s="16">
        <f>SUM(T729:T752)</f>
        <v>22</v>
      </c>
      <c r="U753" s="17">
        <f>SUM(U729:U752)</f>
        <v>22</v>
      </c>
    </row>
    <row r="754" spans="1:22" ht="14.25" thickBot="1" x14ac:dyDescent="0.2">
      <c r="A754" s="1"/>
      <c r="B754" s="18" t="s">
        <v>6</v>
      </c>
      <c r="C754" s="19">
        <f>C728-C753</f>
        <v>397</v>
      </c>
      <c r="D754" s="19">
        <f>D728-D753</f>
        <v>205</v>
      </c>
      <c r="E754" s="19">
        <f t="shared" ref="E754" si="289">E728-E753</f>
        <v>160</v>
      </c>
      <c r="F754" s="221">
        <f>F728-F753</f>
        <v>762</v>
      </c>
      <c r="H754" s="18" t="s">
        <v>6</v>
      </c>
      <c r="I754" s="19">
        <f>I728-I753</f>
        <v>3281</v>
      </c>
      <c r="J754" s="19">
        <f>J728-J753</f>
        <v>862</v>
      </c>
      <c r="K754" s="19">
        <f t="shared" ref="K754" si="290">K728-K753</f>
        <v>737</v>
      </c>
      <c r="L754" s="221">
        <f>L728-L753</f>
        <v>4880</v>
      </c>
      <c r="O754" s="18" t="s">
        <v>6</v>
      </c>
      <c r="P754" s="19">
        <f>P728-P753</f>
        <v>0</v>
      </c>
      <c r="Q754" s="13">
        <f>Q728-Q753</f>
        <v>0</v>
      </c>
      <c r="S754" s="18" t="s">
        <v>6</v>
      </c>
      <c r="T754" s="19">
        <f>T728-T753</f>
        <v>1323</v>
      </c>
      <c r="U754" s="13">
        <f>U728-U753</f>
        <v>1323</v>
      </c>
    </row>
    <row r="755" spans="1:22" x14ac:dyDescent="0.15">
      <c r="H755" s="209" t="s">
        <v>954</v>
      </c>
      <c r="S755" s="186"/>
    </row>
    <row r="757" spans="1:22" ht="18" thickBot="1" x14ac:dyDescent="0.25">
      <c r="A757" s="27" t="s">
        <v>739</v>
      </c>
      <c r="B757" s="28"/>
      <c r="C757" s="28"/>
      <c r="D757" s="28"/>
      <c r="E757" s="28"/>
      <c r="F757" s="218"/>
      <c r="H757" s="27" t="s">
        <v>740</v>
      </c>
      <c r="I757" s="28"/>
      <c r="J757" s="28"/>
      <c r="K757" s="28"/>
      <c r="L757" s="218"/>
      <c r="O757" s="181" t="s">
        <v>737</v>
      </c>
      <c r="P757" s="182"/>
      <c r="Q757" s="182"/>
      <c r="R757" s="183"/>
      <c r="S757" s="181" t="s">
        <v>733</v>
      </c>
      <c r="T757" s="182"/>
      <c r="U757" s="182"/>
    </row>
    <row r="758" spans="1:22" ht="14.25" thickBot="1" x14ac:dyDescent="0.2">
      <c r="A758" s="1"/>
      <c r="B758" s="2"/>
      <c r="C758" s="194" t="s">
        <v>734</v>
      </c>
      <c r="D758" s="195" t="s">
        <v>706</v>
      </c>
      <c r="E758" s="2" t="s">
        <v>735</v>
      </c>
      <c r="F758" s="219" t="s">
        <v>1</v>
      </c>
      <c r="H758" s="2"/>
      <c r="I758" s="197" t="s">
        <v>734</v>
      </c>
      <c r="J758" s="195" t="s">
        <v>706</v>
      </c>
      <c r="K758" s="201" t="s">
        <v>735</v>
      </c>
      <c r="L758" s="219" t="s">
        <v>1</v>
      </c>
      <c r="O758" s="2"/>
      <c r="P758" s="3" t="s">
        <v>722</v>
      </c>
      <c r="Q758" s="2" t="s">
        <v>1</v>
      </c>
      <c r="S758" s="2"/>
      <c r="T758" s="3" t="s">
        <v>722</v>
      </c>
      <c r="U758" s="2" t="s">
        <v>1</v>
      </c>
    </row>
    <row r="759" spans="1:22" x14ac:dyDescent="0.15">
      <c r="A759" s="1"/>
      <c r="B759" s="164" t="s">
        <v>26</v>
      </c>
      <c r="C759" s="200">
        <f>C754</f>
        <v>397</v>
      </c>
      <c r="D759" s="164">
        <f t="shared" ref="D759:F759" si="291">D754</f>
        <v>205</v>
      </c>
      <c r="E759" s="164">
        <f t="shared" si="291"/>
        <v>160</v>
      </c>
      <c r="F759" s="222">
        <f t="shared" si="291"/>
        <v>762</v>
      </c>
      <c r="H759" s="164" t="s">
        <v>26</v>
      </c>
      <c r="I759" s="200">
        <f>I754</f>
        <v>3281</v>
      </c>
      <c r="J759" s="164">
        <f t="shared" ref="J759:L759" si="292">J754</f>
        <v>862</v>
      </c>
      <c r="K759" s="200">
        <f t="shared" si="292"/>
        <v>737</v>
      </c>
      <c r="L759" s="222">
        <f t="shared" si="292"/>
        <v>4880</v>
      </c>
      <c r="O759" s="171" t="s">
        <v>26</v>
      </c>
      <c r="P759" s="200">
        <f>P754</f>
        <v>0</v>
      </c>
      <c r="Q759" s="180">
        <f>Q754</f>
        <v>0</v>
      </c>
      <c r="R759" s="185"/>
      <c r="S759" s="43" t="s">
        <v>26</v>
      </c>
      <c r="T759" s="38">
        <f>T754</f>
        <v>1323</v>
      </c>
      <c r="U759" s="39">
        <f>U754</f>
        <v>1323</v>
      </c>
    </row>
    <row r="760" spans="1:22" x14ac:dyDescent="0.15">
      <c r="A760" s="75"/>
      <c r="B760" s="6" t="s">
        <v>681</v>
      </c>
      <c r="C760" s="188">
        <v>20</v>
      </c>
      <c r="D760" s="6"/>
      <c r="E760" s="202"/>
      <c r="F760" s="220">
        <f t="shared" ref="F760:F769" si="293">SUM(C760:E760)</f>
        <v>20</v>
      </c>
      <c r="G760" s="248">
        <v>44753</v>
      </c>
      <c r="H760" s="6" t="s">
        <v>3</v>
      </c>
      <c r="I760" s="188"/>
      <c r="J760" s="6"/>
      <c r="K760" s="202"/>
      <c r="L760" s="220">
        <f t="shared" ref="L760:L769" si="294">SUM(I760:K760)</f>
        <v>0</v>
      </c>
      <c r="O760" s="6" t="s">
        <v>3</v>
      </c>
      <c r="P760" s="7"/>
      <c r="Q760" s="5">
        <f t="shared" ref="Q760:Q769" si="295">SUM(P760:P760)</f>
        <v>0</v>
      </c>
      <c r="R760" s="186"/>
      <c r="S760" s="6" t="s">
        <v>3</v>
      </c>
      <c r="T760" s="7"/>
      <c r="U760" s="5">
        <f t="shared" ref="U760:U769" si="296">SUM(T760:T760)</f>
        <v>0</v>
      </c>
    </row>
    <row r="761" spans="1:22" x14ac:dyDescent="0.15">
      <c r="A761" s="1"/>
      <c r="B761" s="6" t="s">
        <v>3</v>
      </c>
      <c r="C761" s="6">
        <v>200</v>
      </c>
      <c r="D761" s="205"/>
      <c r="E761" s="4">
        <v>100</v>
      </c>
      <c r="F761" s="220">
        <f t="shared" si="293"/>
        <v>300</v>
      </c>
      <c r="G761" s="211">
        <v>44755</v>
      </c>
      <c r="H761" s="6" t="s">
        <v>3</v>
      </c>
      <c r="I761" s="188">
        <v>1000</v>
      </c>
      <c r="J761" s="225"/>
      <c r="K761" s="243"/>
      <c r="L761" s="220">
        <f t="shared" ref="L761:L762" si="297">SUM(I761:K761)</f>
        <v>1000</v>
      </c>
      <c r="M761" s="211" t="s">
        <v>1008</v>
      </c>
      <c r="O761" s="6" t="s">
        <v>3</v>
      </c>
      <c r="P761" s="7"/>
      <c r="Q761" s="5">
        <f t="shared" si="295"/>
        <v>0</v>
      </c>
      <c r="R761" s="186"/>
      <c r="S761" s="6" t="s">
        <v>3</v>
      </c>
      <c r="T761" s="54">
        <v>1000</v>
      </c>
      <c r="U761" s="5">
        <f t="shared" ref="U761:U762" si="298">SUM(T761:T761)</f>
        <v>1000</v>
      </c>
      <c r="V761" s="185" t="s">
        <v>1008</v>
      </c>
    </row>
    <row r="762" spans="1:22" x14ac:dyDescent="0.15">
      <c r="A762" s="1"/>
      <c r="B762" s="6" t="s">
        <v>681</v>
      </c>
      <c r="C762" s="7">
        <v>67</v>
      </c>
      <c r="D762" s="6"/>
      <c r="E762" s="4"/>
      <c r="F762" s="220">
        <f t="shared" si="293"/>
        <v>67</v>
      </c>
      <c r="G762" s="248">
        <v>44754</v>
      </c>
      <c r="H762" s="6" t="s">
        <v>3</v>
      </c>
      <c r="I762" s="188"/>
      <c r="J762" s="225"/>
      <c r="K762" s="243"/>
      <c r="L762" s="220">
        <f t="shared" si="297"/>
        <v>0</v>
      </c>
      <c r="M762" s="212" t="s">
        <v>1034</v>
      </c>
      <c r="O762" s="6" t="s">
        <v>3</v>
      </c>
      <c r="P762" s="7"/>
      <c r="Q762" s="5">
        <f t="shared" si="295"/>
        <v>0</v>
      </c>
      <c r="R762" s="186"/>
      <c r="S762" s="6" t="s">
        <v>3</v>
      </c>
      <c r="T762" s="8"/>
      <c r="U762" s="5">
        <f t="shared" si="298"/>
        <v>0</v>
      </c>
      <c r="V762" s="212" t="s">
        <v>1034</v>
      </c>
    </row>
    <row r="763" spans="1:22" x14ac:dyDescent="0.15">
      <c r="A763" s="1"/>
      <c r="B763" s="6" t="s">
        <v>681</v>
      </c>
      <c r="C763" s="6">
        <f>20+19</f>
        <v>39</v>
      </c>
      <c r="D763" s="205"/>
      <c r="E763" s="207"/>
      <c r="F763" s="220">
        <f t="shared" si="293"/>
        <v>39</v>
      </c>
      <c r="G763" s="211">
        <v>44755</v>
      </c>
      <c r="H763" s="6" t="s">
        <v>3</v>
      </c>
      <c r="I763" s="188"/>
      <c r="J763" s="6"/>
      <c r="K763" s="202"/>
      <c r="L763" s="220">
        <f t="shared" si="294"/>
        <v>0</v>
      </c>
      <c r="O763" s="6" t="s">
        <v>3</v>
      </c>
      <c r="P763" s="7"/>
      <c r="Q763" s="5">
        <f t="shared" si="295"/>
        <v>0</v>
      </c>
      <c r="R763" s="186"/>
      <c r="S763" s="6" t="s">
        <v>3</v>
      </c>
      <c r="T763" s="7"/>
      <c r="U763" s="5">
        <f t="shared" si="296"/>
        <v>0</v>
      </c>
    </row>
    <row r="764" spans="1:22" x14ac:dyDescent="0.15">
      <c r="A764" s="1"/>
      <c r="B764" s="6" t="s">
        <v>3</v>
      </c>
      <c r="C764" s="6">
        <v>200</v>
      </c>
      <c r="D764" s="6">
        <v>100</v>
      </c>
      <c r="E764" s="4">
        <v>100</v>
      </c>
      <c r="F764" s="220">
        <f t="shared" si="293"/>
        <v>400</v>
      </c>
      <c r="G764" s="211">
        <v>44758</v>
      </c>
      <c r="H764" s="6" t="s">
        <v>3</v>
      </c>
      <c r="I764" s="188"/>
      <c r="J764" s="6"/>
      <c r="K764" s="202"/>
      <c r="L764" s="220">
        <f t="shared" si="294"/>
        <v>0</v>
      </c>
      <c r="O764" s="6" t="s">
        <v>3</v>
      </c>
      <c r="P764" s="7"/>
      <c r="Q764" s="5">
        <f t="shared" si="295"/>
        <v>0</v>
      </c>
      <c r="R764" s="186"/>
      <c r="S764" s="6" t="s">
        <v>3</v>
      </c>
      <c r="T764" s="7"/>
      <c r="U764" s="5">
        <f t="shared" si="296"/>
        <v>0</v>
      </c>
    </row>
    <row r="765" spans="1:22" x14ac:dyDescent="0.15">
      <c r="A765" s="75"/>
      <c r="B765" s="6" t="s">
        <v>64</v>
      </c>
      <c r="C765" s="6">
        <v>6</v>
      </c>
      <c r="D765" s="6">
        <v>6</v>
      </c>
      <c r="E765" s="4">
        <v>6</v>
      </c>
      <c r="F765" s="220">
        <f t="shared" si="293"/>
        <v>18</v>
      </c>
      <c r="G765" s="211">
        <v>44755</v>
      </c>
      <c r="H765" s="6" t="s">
        <v>3</v>
      </c>
      <c r="I765" s="188"/>
      <c r="J765" s="6"/>
      <c r="K765" s="202"/>
      <c r="L765" s="220">
        <f t="shared" si="294"/>
        <v>0</v>
      </c>
      <c r="O765" s="6" t="s">
        <v>3</v>
      </c>
      <c r="P765" s="7"/>
      <c r="Q765" s="5">
        <f t="shared" si="295"/>
        <v>0</v>
      </c>
      <c r="R765" s="186"/>
      <c r="S765" s="6" t="s">
        <v>3</v>
      </c>
      <c r="T765" s="7"/>
      <c r="U765" s="5">
        <f t="shared" si="296"/>
        <v>0</v>
      </c>
    </row>
    <row r="766" spans="1:22" x14ac:dyDescent="0.15">
      <c r="A766" s="75"/>
      <c r="B766" s="6" t="s">
        <v>968</v>
      </c>
      <c r="C766" s="6"/>
      <c r="D766" s="225"/>
      <c r="E766" s="226">
        <v>1</v>
      </c>
      <c r="F766" s="220">
        <f t="shared" si="293"/>
        <v>1</v>
      </c>
      <c r="G766" s="211">
        <v>44762</v>
      </c>
      <c r="H766" s="6" t="s">
        <v>3</v>
      </c>
      <c r="I766" s="188"/>
      <c r="J766" s="225"/>
      <c r="K766" s="243"/>
      <c r="L766" s="220">
        <f t="shared" si="294"/>
        <v>0</v>
      </c>
      <c r="O766" s="6" t="s">
        <v>3</v>
      </c>
      <c r="P766" s="8"/>
      <c r="Q766" s="5">
        <f t="shared" si="295"/>
        <v>0</v>
      </c>
      <c r="R766" s="186"/>
      <c r="S766" s="6" t="s">
        <v>3</v>
      </c>
      <c r="T766" s="54"/>
      <c r="U766" s="5">
        <f t="shared" si="296"/>
        <v>0</v>
      </c>
    </row>
    <row r="767" spans="1:22" x14ac:dyDescent="0.15">
      <c r="A767" s="75"/>
      <c r="B767" s="6" t="s">
        <v>3</v>
      </c>
      <c r="C767" s="6">
        <v>200</v>
      </c>
      <c r="D767" s="225"/>
      <c r="E767" s="226"/>
      <c r="F767" s="220">
        <f t="shared" si="293"/>
        <v>200</v>
      </c>
      <c r="G767" s="211">
        <v>44767</v>
      </c>
      <c r="H767" s="6" t="s">
        <v>3</v>
      </c>
      <c r="I767" s="261"/>
      <c r="J767" s="189"/>
      <c r="K767" s="262"/>
      <c r="L767" s="220">
        <f t="shared" si="294"/>
        <v>0</v>
      </c>
      <c r="M767" s="211"/>
      <c r="O767" s="6" t="s">
        <v>3</v>
      </c>
      <c r="P767" s="8"/>
      <c r="Q767" s="5">
        <f t="shared" si="295"/>
        <v>0</v>
      </c>
      <c r="R767" s="186"/>
      <c r="S767" s="6" t="s">
        <v>3</v>
      </c>
      <c r="T767" s="54"/>
      <c r="U767" s="5">
        <f t="shared" si="296"/>
        <v>0</v>
      </c>
      <c r="V767" s="185"/>
    </row>
    <row r="768" spans="1:22" x14ac:dyDescent="0.15">
      <c r="A768" s="1"/>
      <c r="B768" s="6" t="s">
        <v>3</v>
      </c>
      <c r="C768" s="6">
        <v>200</v>
      </c>
      <c r="D768" s="225">
        <v>100</v>
      </c>
      <c r="E768" s="226"/>
      <c r="F768" s="220">
        <f t="shared" si="293"/>
        <v>300</v>
      </c>
      <c r="G768" s="211">
        <v>44768</v>
      </c>
      <c r="H768" s="6" t="s">
        <v>3</v>
      </c>
      <c r="I768" s="188"/>
      <c r="J768" s="225"/>
      <c r="K768" s="243"/>
      <c r="L768" s="220">
        <f t="shared" si="294"/>
        <v>0</v>
      </c>
      <c r="M768" s="186"/>
      <c r="O768" s="6" t="s">
        <v>3</v>
      </c>
      <c r="P768" s="8"/>
      <c r="Q768" s="5">
        <f t="shared" si="295"/>
        <v>0</v>
      </c>
      <c r="R768" s="186"/>
      <c r="S768" s="6" t="s">
        <v>3</v>
      </c>
      <c r="T768" s="8"/>
      <c r="U768" s="5">
        <f t="shared" si="296"/>
        <v>0</v>
      </c>
      <c r="V768" s="186"/>
    </row>
    <row r="769" spans="1:23" ht="14.25" thickBot="1" x14ac:dyDescent="0.2">
      <c r="A769" s="1"/>
      <c r="B769" s="6" t="s">
        <v>681</v>
      </c>
      <c r="C769" s="9">
        <v>6</v>
      </c>
      <c r="D769" s="237"/>
      <c r="E769" s="238"/>
      <c r="F769" s="220">
        <f t="shared" si="293"/>
        <v>6</v>
      </c>
      <c r="G769" s="248">
        <v>44767</v>
      </c>
      <c r="H769" s="9" t="s">
        <v>3</v>
      </c>
      <c r="I769" s="198"/>
      <c r="J769" s="244"/>
      <c r="K769" s="245"/>
      <c r="L769" s="220">
        <f t="shared" si="294"/>
        <v>0</v>
      </c>
      <c r="O769" s="9" t="s">
        <v>3</v>
      </c>
      <c r="P769" s="10"/>
      <c r="Q769" s="5">
        <f t="shared" si="295"/>
        <v>0</v>
      </c>
      <c r="R769" s="186"/>
      <c r="S769" s="9" t="s">
        <v>3</v>
      </c>
      <c r="T769" s="10"/>
      <c r="U769" s="5">
        <f t="shared" si="296"/>
        <v>0</v>
      </c>
    </row>
    <row r="770" spans="1:23" ht="14.25" thickBot="1" x14ac:dyDescent="0.2">
      <c r="A770" s="1"/>
      <c r="B770" s="11" t="s">
        <v>4</v>
      </c>
      <c r="C770" s="193">
        <f>SUM(C759:C769)</f>
        <v>1335</v>
      </c>
      <c r="D770" s="193">
        <f>SUM(D759:D769)</f>
        <v>411</v>
      </c>
      <c r="E770" s="193">
        <f>SUM(E759:E769)</f>
        <v>367</v>
      </c>
      <c r="F770" s="221">
        <f>SUM(F759:F769)</f>
        <v>2113</v>
      </c>
      <c r="H770" s="11" t="s">
        <v>4</v>
      </c>
      <c r="I770" s="193">
        <f>SUM(I759:I769)</f>
        <v>4281</v>
      </c>
      <c r="J770" s="193">
        <f>SUM(J759:J769)</f>
        <v>862</v>
      </c>
      <c r="K770" s="193">
        <f t="shared" ref="K770" si="299">SUM(K759:K769)</f>
        <v>737</v>
      </c>
      <c r="L770" s="221">
        <f>SUM(L759:L769)</f>
        <v>5880</v>
      </c>
      <c r="O770" s="11" t="s">
        <v>4</v>
      </c>
      <c r="P770" s="12">
        <f>SUM(P759:P769)</f>
        <v>0</v>
      </c>
      <c r="Q770" s="13">
        <f>SUM(Q759:Q769)</f>
        <v>0</v>
      </c>
      <c r="S770" s="11" t="s">
        <v>4</v>
      </c>
      <c r="T770" s="12">
        <f>SUM(T759:T769)</f>
        <v>2323</v>
      </c>
      <c r="U770" s="13">
        <f>SUM(U759:U769)</f>
        <v>2323</v>
      </c>
    </row>
    <row r="771" spans="1:23" x14ac:dyDescent="0.15">
      <c r="A771" s="1"/>
      <c r="B771" s="4" t="s">
        <v>749</v>
      </c>
      <c r="C771" s="215">
        <f>7+3+1+2+1+1+20+1+1+4+1+1</f>
        <v>43</v>
      </c>
      <c r="D771" s="215">
        <f>1+1+2+1+1</f>
        <v>6</v>
      </c>
      <c r="E771" s="216">
        <f>1+1+1+1+1</f>
        <v>5</v>
      </c>
      <c r="F771" s="220">
        <f t="shared" ref="F771:F794" si="300">SUM(C771:E771)</f>
        <v>54</v>
      </c>
      <c r="G771" s="248">
        <v>44753</v>
      </c>
      <c r="H771" s="6" t="s">
        <v>998</v>
      </c>
      <c r="I771" s="235">
        <v>200</v>
      </c>
      <c r="J771" s="215"/>
      <c r="K771" s="240">
        <v>100</v>
      </c>
      <c r="L771" s="220">
        <f t="shared" ref="L771" si="301">SUM(I771:K771)</f>
        <v>300</v>
      </c>
      <c r="M771" s="211">
        <v>44755</v>
      </c>
      <c r="O771" s="4"/>
      <c r="P771" s="44"/>
      <c r="Q771" s="14">
        <f t="shared" ref="Q771:Q794" si="302">SUM(P771:P771)</f>
        <v>0</v>
      </c>
      <c r="R771" s="185"/>
      <c r="S771" s="6" t="s">
        <v>1003</v>
      </c>
      <c r="T771" s="44">
        <v>11</v>
      </c>
      <c r="U771" s="14">
        <f t="shared" ref="U771:U791" si="303">SUM(T771:T771)</f>
        <v>11</v>
      </c>
      <c r="V771" s="185">
        <v>44762</v>
      </c>
    </row>
    <row r="772" spans="1:23" x14ac:dyDescent="0.15">
      <c r="A772" s="1"/>
      <c r="B772" s="4" t="s">
        <v>990</v>
      </c>
      <c r="C772" s="216">
        <v>5</v>
      </c>
      <c r="D772" s="232"/>
      <c r="E772" s="232"/>
      <c r="F772" s="220">
        <f t="shared" si="300"/>
        <v>5</v>
      </c>
      <c r="G772" s="211">
        <v>44754</v>
      </c>
      <c r="H772" s="6" t="s">
        <v>745</v>
      </c>
      <c r="I772" s="215">
        <v>200</v>
      </c>
      <c r="J772" s="215">
        <v>100</v>
      </c>
      <c r="K772" s="216">
        <v>100</v>
      </c>
      <c r="L772" s="220">
        <f t="shared" ref="L772:L791" si="304">SUM(I772:K772)</f>
        <v>400</v>
      </c>
      <c r="M772" s="211">
        <v>44758</v>
      </c>
      <c r="O772" s="4"/>
      <c r="P772" s="15"/>
      <c r="Q772" s="14">
        <f t="shared" si="302"/>
        <v>0</v>
      </c>
      <c r="R772" s="186"/>
      <c r="S772" s="6" t="s">
        <v>1004</v>
      </c>
      <c r="T772" s="15">
        <v>9</v>
      </c>
      <c r="U772" s="14">
        <f t="shared" si="303"/>
        <v>9</v>
      </c>
      <c r="V772" s="185">
        <v>44763</v>
      </c>
    </row>
    <row r="773" spans="1:23" x14ac:dyDescent="0.15">
      <c r="A773" s="1"/>
      <c r="B773" s="4" t="s">
        <v>749</v>
      </c>
      <c r="C773" s="216">
        <f>7+4+4+6+6+1+3+1+1+9+5+1</f>
        <v>48</v>
      </c>
      <c r="D773" s="232">
        <f>7+1+6+1+3+2+3+1</f>
        <v>24</v>
      </c>
      <c r="E773" s="232">
        <f>7+1+6+13+3+1+1</f>
        <v>32</v>
      </c>
      <c r="F773" s="220">
        <f t="shared" si="300"/>
        <v>104</v>
      </c>
      <c r="G773" s="211">
        <v>44754</v>
      </c>
      <c r="H773" s="6" t="s">
        <v>977</v>
      </c>
      <c r="I773" s="216">
        <v>200</v>
      </c>
      <c r="J773" s="232"/>
      <c r="K773" s="232"/>
      <c r="L773" s="220">
        <f t="shared" si="304"/>
        <v>200</v>
      </c>
      <c r="M773" s="211">
        <v>44769</v>
      </c>
      <c r="O773" s="4"/>
      <c r="P773" s="15"/>
      <c r="Q773" s="14">
        <f t="shared" si="302"/>
        <v>0</v>
      </c>
      <c r="R773" s="186"/>
      <c r="S773" s="6" t="s">
        <v>1005</v>
      </c>
      <c r="T773" s="15">
        <v>15</v>
      </c>
      <c r="U773" s="14">
        <f t="shared" si="303"/>
        <v>15</v>
      </c>
      <c r="V773" s="185">
        <v>44764</v>
      </c>
    </row>
    <row r="774" spans="1:23" x14ac:dyDescent="0.15">
      <c r="A774" s="1"/>
      <c r="B774" s="4" t="s">
        <v>996</v>
      </c>
      <c r="C774" s="233">
        <v>100</v>
      </c>
      <c r="D774" s="234">
        <v>50</v>
      </c>
      <c r="E774" s="234">
        <v>20</v>
      </c>
      <c r="F774" s="220">
        <f t="shared" si="300"/>
        <v>170</v>
      </c>
      <c r="G774" s="211">
        <v>44755</v>
      </c>
      <c r="H774" s="4" t="s">
        <v>745</v>
      </c>
      <c r="I774" s="233">
        <v>200</v>
      </c>
      <c r="J774" s="234"/>
      <c r="K774" s="234"/>
      <c r="L774" s="220">
        <f t="shared" si="304"/>
        <v>200</v>
      </c>
      <c r="M774" s="211">
        <v>44767</v>
      </c>
      <c r="O774" s="4"/>
      <c r="P774" s="15"/>
      <c r="Q774" s="14">
        <f t="shared" si="302"/>
        <v>0</v>
      </c>
      <c r="R774" s="186"/>
      <c r="S774" s="6" t="s">
        <v>1009</v>
      </c>
      <c r="T774" s="15">
        <v>200</v>
      </c>
      <c r="U774" s="14">
        <f t="shared" si="303"/>
        <v>200</v>
      </c>
      <c r="V774" s="185">
        <v>44769</v>
      </c>
    </row>
    <row r="775" spans="1:23" x14ac:dyDescent="0.15">
      <c r="A775" s="1"/>
      <c r="B775" s="4" t="s">
        <v>997</v>
      </c>
      <c r="C775" s="233">
        <v>20</v>
      </c>
      <c r="D775" s="234">
        <v>20</v>
      </c>
      <c r="E775" s="234">
        <v>20</v>
      </c>
      <c r="F775" s="220">
        <f t="shared" si="300"/>
        <v>60</v>
      </c>
      <c r="G775" s="211">
        <v>44755</v>
      </c>
      <c r="H775" s="4" t="s">
        <v>745</v>
      </c>
      <c r="I775" s="233">
        <v>200</v>
      </c>
      <c r="J775" s="234">
        <v>100</v>
      </c>
      <c r="K775" s="234"/>
      <c r="L775" s="220">
        <f t="shared" si="304"/>
        <v>300</v>
      </c>
      <c r="M775" s="211">
        <v>44768</v>
      </c>
      <c r="O775" s="4"/>
      <c r="P775" s="15"/>
      <c r="Q775" s="14">
        <f t="shared" si="302"/>
        <v>0</v>
      </c>
      <c r="R775" s="186"/>
      <c r="S775" s="6" t="s">
        <v>1011</v>
      </c>
      <c r="T775" s="15">
        <v>17</v>
      </c>
      <c r="U775" s="14">
        <f t="shared" si="303"/>
        <v>17</v>
      </c>
      <c r="V775" s="185">
        <v>44768</v>
      </c>
    </row>
    <row r="776" spans="1:23" x14ac:dyDescent="0.15">
      <c r="A776" s="1"/>
      <c r="B776" s="4" t="s">
        <v>764</v>
      </c>
      <c r="C776" s="233">
        <v>100</v>
      </c>
      <c r="D776" s="234"/>
      <c r="E776" s="234">
        <v>20</v>
      </c>
      <c r="F776" s="220">
        <f t="shared" si="300"/>
        <v>120</v>
      </c>
      <c r="G776" s="211">
        <v>44755</v>
      </c>
      <c r="H776" s="6" t="s">
        <v>1014</v>
      </c>
      <c r="I776" s="233">
        <v>1200</v>
      </c>
      <c r="J776" s="234"/>
      <c r="K776" s="234"/>
      <c r="L776" s="220">
        <f t="shared" si="304"/>
        <v>1200</v>
      </c>
      <c r="M776" s="211">
        <v>44771</v>
      </c>
      <c r="O776" s="4"/>
      <c r="P776" s="15"/>
      <c r="Q776" s="14">
        <f t="shared" si="302"/>
        <v>0</v>
      </c>
      <c r="R776" s="186"/>
      <c r="S776" s="6" t="s">
        <v>1013</v>
      </c>
      <c r="T776" s="15">
        <v>10</v>
      </c>
      <c r="U776" s="14">
        <f t="shared" si="303"/>
        <v>10</v>
      </c>
      <c r="V776" s="185">
        <v>44769</v>
      </c>
      <c r="W776" s="186"/>
    </row>
    <row r="777" spans="1:23" x14ac:dyDescent="0.15">
      <c r="A777" s="1"/>
      <c r="B777" s="4" t="s">
        <v>749</v>
      </c>
      <c r="C777" s="233">
        <f>1+7+1</f>
        <v>9</v>
      </c>
      <c r="D777" s="234">
        <f>1+1+1</f>
        <v>3</v>
      </c>
      <c r="E777" s="234">
        <f>1+1</f>
        <v>2</v>
      </c>
      <c r="F777" s="220">
        <f t="shared" si="300"/>
        <v>14</v>
      </c>
      <c r="G777" s="211">
        <v>44755</v>
      </c>
      <c r="H777" s="4"/>
      <c r="I777" s="233"/>
      <c r="J777" s="234"/>
      <c r="K777" s="234"/>
      <c r="L777" s="220">
        <f t="shared" si="304"/>
        <v>0</v>
      </c>
      <c r="M777" s="211"/>
      <c r="O777" s="4"/>
      <c r="P777" s="15"/>
      <c r="Q777" s="14">
        <f t="shared" si="302"/>
        <v>0</v>
      </c>
      <c r="R777" s="186"/>
      <c r="S777" s="6" t="s">
        <v>1015</v>
      </c>
      <c r="T777" s="15">
        <v>350</v>
      </c>
      <c r="U777" s="14">
        <f t="shared" si="303"/>
        <v>350</v>
      </c>
      <c r="V777" s="185">
        <v>44771</v>
      </c>
    </row>
    <row r="778" spans="1:23" x14ac:dyDescent="0.15">
      <c r="A778" s="1"/>
      <c r="B778" s="4" t="s">
        <v>749</v>
      </c>
      <c r="C778" s="233">
        <f>3+1</f>
        <v>4</v>
      </c>
      <c r="D778" s="234"/>
      <c r="E778" s="234">
        <v>2</v>
      </c>
      <c r="F778" s="220">
        <f t="shared" si="300"/>
        <v>6</v>
      </c>
      <c r="G778" s="248">
        <v>44756</v>
      </c>
      <c r="H778" s="4"/>
      <c r="I778" s="233"/>
      <c r="J778" s="234"/>
      <c r="K778" s="234"/>
      <c r="L778" s="220">
        <f t="shared" si="304"/>
        <v>0</v>
      </c>
      <c r="O778" s="4"/>
      <c r="P778" s="15"/>
      <c r="Q778" s="14">
        <f t="shared" si="302"/>
        <v>0</v>
      </c>
      <c r="R778" s="186"/>
      <c r="S778" s="6" t="s">
        <v>1016</v>
      </c>
      <c r="T778" s="15">
        <v>7</v>
      </c>
      <c r="U778" s="14">
        <f t="shared" si="303"/>
        <v>7</v>
      </c>
      <c r="V778" s="185">
        <v>44770</v>
      </c>
      <c r="W778" s="186"/>
    </row>
    <row r="779" spans="1:23" x14ac:dyDescent="0.15">
      <c r="A779" s="1"/>
      <c r="B779" s="4" t="s">
        <v>1010</v>
      </c>
      <c r="C779" s="233">
        <v>200</v>
      </c>
      <c r="D779" s="234">
        <v>50</v>
      </c>
      <c r="E779" s="234">
        <v>50</v>
      </c>
      <c r="F779" s="220">
        <f t="shared" si="300"/>
        <v>300</v>
      </c>
      <c r="G779" s="211">
        <v>44758</v>
      </c>
      <c r="H779" s="4"/>
      <c r="I779" s="187"/>
      <c r="J779" s="15"/>
      <c r="K779" s="15"/>
      <c r="L779" s="220">
        <f t="shared" si="304"/>
        <v>0</v>
      </c>
      <c r="O779" s="4"/>
      <c r="P779" s="15"/>
      <c r="Q779" s="14">
        <f t="shared" si="302"/>
        <v>0</v>
      </c>
      <c r="R779" s="186"/>
      <c r="S779" s="6" t="s">
        <v>1018</v>
      </c>
      <c r="T779" s="15">
        <v>11</v>
      </c>
      <c r="U779" s="14">
        <f t="shared" si="303"/>
        <v>11</v>
      </c>
      <c r="V779" s="185">
        <v>44771</v>
      </c>
    </row>
    <row r="780" spans="1:23" x14ac:dyDescent="0.15">
      <c r="A780" s="1"/>
      <c r="B780" s="4" t="s">
        <v>749</v>
      </c>
      <c r="C780" s="233"/>
      <c r="D780" s="234">
        <v>1</v>
      </c>
      <c r="E780" s="234"/>
      <c r="F780" s="220">
        <f t="shared" si="300"/>
        <v>1</v>
      </c>
      <c r="G780" s="248">
        <v>44757</v>
      </c>
      <c r="H780" s="4"/>
      <c r="I780" s="187"/>
      <c r="J780" s="15"/>
      <c r="K780" s="15"/>
      <c r="L780" s="220">
        <f t="shared" si="304"/>
        <v>0</v>
      </c>
      <c r="O780" s="4"/>
      <c r="P780" s="15"/>
      <c r="Q780" s="14">
        <f t="shared" si="302"/>
        <v>0</v>
      </c>
      <c r="R780" s="186"/>
      <c r="S780" s="4"/>
      <c r="T780" s="15"/>
      <c r="U780" s="14">
        <f t="shared" si="303"/>
        <v>0</v>
      </c>
      <c r="V780" s="186"/>
    </row>
    <row r="781" spans="1:23" x14ac:dyDescent="0.15">
      <c r="A781" s="1"/>
      <c r="B781" s="4" t="s">
        <v>749</v>
      </c>
      <c r="C781" s="233">
        <f>1+1+2+2</f>
        <v>6</v>
      </c>
      <c r="D781" s="234">
        <f>2+1+1</f>
        <v>4</v>
      </c>
      <c r="E781" s="234">
        <f>2+1</f>
        <v>3</v>
      </c>
      <c r="F781" s="220">
        <f t="shared" si="300"/>
        <v>13</v>
      </c>
      <c r="G781" s="248">
        <v>44758</v>
      </c>
      <c r="H781" s="4"/>
      <c r="I781" s="187"/>
      <c r="J781" s="15"/>
      <c r="K781" s="15"/>
      <c r="L781" s="220">
        <f t="shared" si="304"/>
        <v>0</v>
      </c>
      <c r="O781" s="4"/>
      <c r="P781" s="15"/>
      <c r="Q781" s="14">
        <f t="shared" si="302"/>
        <v>0</v>
      </c>
      <c r="R781" s="186"/>
      <c r="S781" s="4"/>
      <c r="T781" s="15"/>
      <c r="U781" s="14">
        <f t="shared" si="303"/>
        <v>0</v>
      </c>
    </row>
    <row r="782" spans="1:23" x14ac:dyDescent="0.15">
      <c r="A782" s="1"/>
      <c r="B782" s="4" t="s">
        <v>749</v>
      </c>
      <c r="C782" s="235">
        <f>2+1+1+2+1</f>
        <v>7</v>
      </c>
      <c r="D782" s="234">
        <f>2+1+3+1+1+1+1</f>
        <v>10</v>
      </c>
      <c r="E782" s="234">
        <f>2+1+1</f>
        <v>4</v>
      </c>
      <c r="F782" s="220">
        <f t="shared" si="300"/>
        <v>21</v>
      </c>
      <c r="G782" s="248">
        <v>44761</v>
      </c>
      <c r="H782" s="6"/>
      <c r="I782" s="188"/>
      <c r="J782" s="15"/>
      <c r="K782" s="15"/>
      <c r="L782" s="220">
        <f t="shared" si="304"/>
        <v>0</v>
      </c>
      <c r="O782" s="6"/>
      <c r="P782" s="15"/>
      <c r="Q782" s="14">
        <f t="shared" si="302"/>
        <v>0</v>
      </c>
      <c r="R782" s="186"/>
      <c r="S782" s="6"/>
      <c r="T782" s="15"/>
      <c r="U782" s="14">
        <f t="shared" si="303"/>
        <v>0</v>
      </c>
    </row>
    <row r="783" spans="1:23" x14ac:dyDescent="0.15">
      <c r="A783" s="1"/>
      <c r="B783" s="4" t="s">
        <v>749</v>
      </c>
      <c r="C783" s="235">
        <f>1+1+1+1+1+1</f>
        <v>6</v>
      </c>
      <c r="D783" s="234">
        <f>1+1+1+1+1</f>
        <v>5</v>
      </c>
      <c r="E783" s="234">
        <f>1+1+1+1+1+1</f>
        <v>6</v>
      </c>
      <c r="F783" s="220">
        <f t="shared" si="300"/>
        <v>17</v>
      </c>
      <c r="G783" s="211">
        <v>44762</v>
      </c>
      <c r="H783" s="6"/>
      <c r="I783" s="188"/>
      <c r="J783" s="15"/>
      <c r="K783" s="15"/>
      <c r="L783" s="220">
        <f t="shared" si="304"/>
        <v>0</v>
      </c>
      <c r="O783" s="6"/>
      <c r="P783" s="15"/>
      <c r="Q783" s="14">
        <f t="shared" si="302"/>
        <v>0</v>
      </c>
      <c r="R783" s="186"/>
      <c r="S783" s="6"/>
      <c r="T783" s="15"/>
      <c r="U783" s="14">
        <f t="shared" si="303"/>
        <v>0</v>
      </c>
    </row>
    <row r="784" spans="1:23" x14ac:dyDescent="0.15">
      <c r="A784" s="1"/>
      <c r="B784" s="4" t="s">
        <v>764</v>
      </c>
      <c r="C784" s="233">
        <v>100</v>
      </c>
      <c r="D784" s="234">
        <v>50</v>
      </c>
      <c r="E784" s="234">
        <v>50</v>
      </c>
      <c r="F784" s="220">
        <f t="shared" si="300"/>
        <v>200</v>
      </c>
      <c r="G784" s="211">
        <v>44763</v>
      </c>
      <c r="H784" s="4"/>
      <c r="I784" s="187"/>
      <c r="J784" s="15"/>
      <c r="K784" s="15"/>
      <c r="L784" s="220">
        <f t="shared" si="304"/>
        <v>0</v>
      </c>
      <c r="O784" s="4"/>
      <c r="P784" s="15"/>
      <c r="Q784" s="14">
        <f t="shared" si="302"/>
        <v>0</v>
      </c>
      <c r="R784" s="186"/>
      <c r="S784" s="4"/>
      <c r="T784" s="15"/>
      <c r="U784" s="14">
        <f t="shared" si="303"/>
        <v>0</v>
      </c>
    </row>
    <row r="785" spans="1:22" x14ac:dyDescent="0.15">
      <c r="A785" s="1"/>
      <c r="B785" s="4" t="s">
        <v>787</v>
      </c>
      <c r="C785" s="233">
        <v>10</v>
      </c>
      <c r="D785" s="234">
        <v>10</v>
      </c>
      <c r="E785" s="234">
        <v>10</v>
      </c>
      <c r="F785" s="220">
        <f t="shared" si="300"/>
        <v>30</v>
      </c>
      <c r="G785" s="211">
        <v>44763</v>
      </c>
      <c r="H785" s="4"/>
      <c r="I785" s="187"/>
      <c r="J785" s="15"/>
      <c r="K785" s="15"/>
      <c r="L785" s="220">
        <f t="shared" si="304"/>
        <v>0</v>
      </c>
      <c r="O785" s="4"/>
      <c r="P785" s="15"/>
      <c r="Q785" s="14">
        <f t="shared" si="302"/>
        <v>0</v>
      </c>
      <c r="R785" s="186"/>
      <c r="S785" s="4"/>
      <c r="T785" s="15"/>
      <c r="U785" s="14">
        <f t="shared" si="303"/>
        <v>0</v>
      </c>
    </row>
    <row r="786" spans="1:22" x14ac:dyDescent="0.15">
      <c r="A786" s="1"/>
      <c r="B786" s="4" t="s">
        <v>749</v>
      </c>
      <c r="C786" s="233">
        <f>6+1+1</f>
        <v>8</v>
      </c>
      <c r="D786" s="234">
        <v>1</v>
      </c>
      <c r="E786" s="234">
        <v>3</v>
      </c>
      <c r="F786" s="220">
        <f t="shared" si="300"/>
        <v>12</v>
      </c>
      <c r="G786" s="248">
        <v>44763</v>
      </c>
      <c r="H786" s="6"/>
      <c r="I786" s="187"/>
      <c r="J786" s="15"/>
      <c r="K786" s="15"/>
      <c r="L786" s="220">
        <f t="shared" si="304"/>
        <v>0</v>
      </c>
      <c r="O786" s="4"/>
      <c r="P786" s="15"/>
      <c r="Q786" s="14">
        <f t="shared" si="302"/>
        <v>0</v>
      </c>
      <c r="R786" s="186"/>
      <c r="S786" s="4"/>
      <c r="T786" s="15"/>
      <c r="U786" s="14">
        <f t="shared" si="303"/>
        <v>0</v>
      </c>
    </row>
    <row r="787" spans="1:22" x14ac:dyDescent="0.15">
      <c r="A787" s="1"/>
      <c r="B787" s="4" t="s">
        <v>749</v>
      </c>
      <c r="C787" s="235">
        <f>10+1+3+3</f>
        <v>17</v>
      </c>
      <c r="D787" s="234">
        <f>1+4+1</f>
        <v>6</v>
      </c>
      <c r="E787" s="234">
        <f>5+1</f>
        <v>6</v>
      </c>
      <c r="F787" s="220">
        <f t="shared" si="300"/>
        <v>29</v>
      </c>
      <c r="G787" s="248">
        <v>44764</v>
      </c>
      <c r="H787" s="6"/>
      <c r="I787" s="188"/>
      <c r="J787" s="15"/>
      <c r="K787" s="15"/>
      <c r="L787" s="220">
        <f t="shared" si="304"/>
        <v>0</v>
      </c>
      <c r="O787" s="6"/>
      <c r="P787" s="15"/>
      <c r="Q787" s="14">
        <f t="shared" si="302"/>
        <v>0</v>
      </c>
      <c r="R787" s="186"/>
      <c r="S787" s="6"/>
      <c r="T787" s="15"/>
      <c r="U787" s="14">
        <f t="shared" si="303"/>
        <v>0</v>
      </c>
    </row>
    <row r="788" spans="1:22" x14ac:dyDescent="0.15">
      <c r="A788" s="1"/>
      <c r="B788" s="4" t="s">
        <v>1006</v>
      </c>
      <c r="C788" s="233">
        <v>80</v>
      </c>
      <c r="D788" s="234"/>
      <c r="E788" s="234"/>
      <c r="F788" s="220">
        <f t="shared" si="300"/>
        <v>80</v>
      </c>
      <c r="G788" s="211">
        <v>44765</v>
      </c>
      <c r="H788" s="6"/>
      <c r="I788" s="187"/>
      <c r="J788" s="15"/>
      <c r="K788" s="15"/>
      <c r="L788" s="220">
        <f t="shared" si="304"/>
        <v>0</v>
      </c>
      <c r="O788" s="4"/>
      <c r="P788" s="15"/>
      <c r="Q788" s="14">
        <f t="shared" si="302"/>
        <v>0</v>
      </c>
      <c r="R788" s="186"/>
      <c r="S788" s="6"/>
      <c r="T788" s="15"/>
      <c r="U788" s="14">
        <f t="shared" si="303"/>
        <v>0</v>
      </c>
      <c r="V788" s="186"/>
    </row>
    <row r="789" spans="1:22" x14ac:dyDescent="0.15">
      <c r="A789" s="1"/>
      <c r="B789" s="6" t="s">
        <v>1007</v>
      </c>
      <c r="C789" s="235">
        <v>20</v>
      </c>
      <c r="D789" s="234">
        <v>20</v>
      </c>
      <c r="E789" s="234">
        <v>20</v>
      </c>
      <c r="F789" s="220">
        <f t="shared" si="300"/>
        <v>60</v>
      </c>
      <c r="G789" s="211">
        <v>44765</v>
      </c>
      <c r="H789" s="6"/>
      <c r="I789" s="188"/>
      <c r="J789" s="15"/>
      <c r="K789" s="15"/>
      <c r="L789" s="220">
        <f t="shared" si="304"/>
        <v>0</v>
      </c>
      <c r="O789" s="6"/>
      <c r="P789" s="15"/>
      <c r="Q789" s="14">
        <f t="shared" si="302"/>
        <v>0</v>
      </c>
      <c r="R789" s="186"/>
      <c r="S789" s="4"/>
      <c r="T789" s="15"/>
      <c r="U789" s="14">
        <f t="shared" si="303"/>
        <v>0</v>
      </c>
      <c r="V789" s="186"/>
    </row>
    <row r="790" spans="1:22" x14ac:dyDescent="0.15">
      <c r="A790" s="1"/>
      <c r="B790" s="4" t="s">
        <v>1012</v>
      </c>
      <c r="C790" s="233">
        <v>200</v>
      </c>
      <c r="D790" s="234"/>
      <c r="E790" s="234"/>
      <c r="F790" s="220">
        <f t="shared" si="300"/>
        <v>200</v>
      </c>
      <c r="G790" s="211">
        <v>44768</v>
      </c>
      <c r="H790" s="4"/>
      <c r="I790" s="187"/>
      <c r="J790" s="15"/>
      <c r="K790" s="15"/>
      <c r="L790" s="220">
        <f t="shared" si="304"/>
        <v>0</v>
      </c>
      <c r="M790" s="212"/>
      <c r="O790" s="4"/>
      <c r="P790" s="15"/>
      <c r="Q790" s="14">
        <f t="shared" si="302"/>
        <v>0</v>
      </c>
      <c r="R790" s="186"/>
      <c r="S790" s="6"/>
      <c r="T790" s="15"/>
      <c r="U790" s="14">
        <f t="shared" si="303"/>
        <v>0</v>
      </c>
      <c r="V790" s="185"/>
    </row>
    <row r="791" spans="1:22" x14ac:dyDescent="0.15">
      <c r="A791" s="75"/>
      <c r="B791" s="4" t="s">
        <v>749</v>
      </c>
      <c r="C791" s="233">
        <f>5+4+1+1+1+1+2+1+2+1</f>
        <v>19</v>
      </c>
      <c r="D791" s="234">
        <f>4+4+1+1+3+1+2+1+1</f>
        <v>18</v>
      </c>
      <c r="E791" s="234">
        <v>10</v>
      </c>
      <c r="F791" s="220">
        <f t="shared" si="300"/>
        <v>47</v>
      </c>
      <c r="G791" s="248">
        <v>44767</v>
      </c>
      <c r="H791" s="247"/>
      <c r="I791" s="187"/>
      <c r="J791" s="234"/>
      <c r="K791" s="234"/>
      <c r="L791" s="220">
        <f t="shared" si="304"/>
        <v>0</v>
      </c>
      <c r="M791" s="212"/>
      <c r="O791" s="4"/>
      <c r="P791" s="15"/>
      <c r="Q791" s="14">
        <f t="shared" si="302"/>
        <v>0</v>
      </c>
      <c r="R791" s="186"/>
      <c r="S791" s="6"/>
      <c r="T791" s="15"/>
      <c r="U791" s="14">
        <f t="shared" si="303"/>
        <v>0</v>
      </c>
      <c r="V791" s="186"/>
    </row>
    <row r="792" spans="1:22" x14ac:dyDescent="0.15">
      <c r="A792" s="1"/>
      <c r="B792" s="4" t="s">
        <v>749</v>
      </c>
      <c r="C792" s="233">
        <f>1+58+3+2+1+4+2+5+32+1</f>
        <v>109</v>
      </c>
      <c r="D792" s="234">
        <f>1+10+2+2+2+1+8+1</f>
        <v>27</v>
      </c>
      <c r="E792" s="234">
        <v>10</v>
      </c>
      <c r="F792" s="220">
        <f t="shared" si="300"/>
        <v>146</v>
      </c>
      <c r="G792" s="248">
        <v>44768</v>
      </c>
      <c r="H792" s="4"/>
      <c r="I792" s="187"/>
      <c r="J792" s="15"/>
      <c r="K792" s="15"/>
      <c r="L792" s="220">
        <f t="shared" ref="L792:L794" si="305">SUM(I792:K792)</f>
        <v>0</v>
      </c>
      <c r="M792" s="212"/>
      <c r="O792" s="4"/>
      <c r="P792" s="15"/>
      <c r="Q792" s="14">
        <f t="shared" si="302"/>
        <v>0</v>
      </c>
      <c r="R792" s="186"/>
      <c r="S792" s="6"/>
      <c r="T792" s="15"/>
      <c r="U792" s="14">
        <f t="shared" ref="U792:U794" si="306">SUM(T792:T792)</f>
        <v>0</v>
      </c>
      <c r="V792" s="185"/>
    </row>
    <row r="793" spans="1:22" x14ac:dyDescent="0.15">
      <c r="A793" s="1"/>
      <c r="B793" s="4" t="s">
        <v>749</v>
      </c>
      <c r="C793" s="233">
        <f>7+2+23+8+21+16</f>
        <v>77</v>
      </c>
      <c r="D793" s="234">
        <f>10+2+1+4+10</f>
        <v>27</v>
      </c>
      <c r="E793" s="234">
        <v>4</v>
      </c>
      <c r="F793" s="220">
        <f t="shared" si="300"/>
        <v>108</v>
      </c>
      <c r="G793" s="248">
        <v>44769</v>
      </c>
      <c r="H793" s="247" t="s">
        <v>953</v>
      </c>
      <c r="I793" s="187"/>
      <c r="J793" s="234"/>
      <c r="K793" s="234"/>
      <c r="L793" s="220">
        <f t="shared" si="305"/>
        <v>0</v>
      </c>
      <c r="M793" s="212"/>
      <c r="O793" s="6"/>
      <c r="P793" s="15"/>
      <c r="Q793" s="14">
        <f t="shared" si="302"/>
        <v>0</v>
      </c>
      <c r="R793" s="186"/>
      <c r="S793" s="6" t="s">
        <v>953</v>
      </c>
      <c r="T793" s="15"/>
      <c r="U793" s="14">
        <f t="shared" si="306"/>
        <v>0</v>
      </c>
      <c r="V793" s="186"/>
    </row>
    <row r="794" spans="1:22" ht="14.25" thickBot="1" x14ac:dyDescent="0.2">
      <c r="A794" s="1"/>
      <c r="B794" s="6" t="s">
        <v>1017</v>
      </c>
      <c r="C794" s="235">
        <v>50</v>
      </c>
      <c r="D794" s="234">
        <v>50</v>
      </c>
      <c r="E794" s="234">
        <v>20</v>
      </c>
      <c r="F794" s="220">
        <f t="shared" si="300"/>
        <v>120</v>
      </c>
      <c r="G794" s="211">
        <v>44770</v>
      </c>
      <c r="H794" s="6" t="s">
        <v>950</v>
      </c>
      <c r="I794" s="188"/>
      <c r="J794" s="234"/>
      <c r="K794" s="234"/>
      <c r="L794" s="220">
        <f t="shared" si="305"/>
        <v>0</v>
      </c>
      <c r="M794" s="26" t="s">
        <v>951</v>
      </c>
      <c r="O794" s="6"/>
      <c r="P794" s="15"/>
      <c r="Q794" s="14">
        <f t="shared" si="302"/>
        <v>0</v>
      </c>
      <c r="R794" s="186"/>
      <c r="S794" s="6" t="s">
        <v>952</v>
      </c>
      <c r="T794" s="15"/>
      <c r="U794" s="14">
        <f t="shared" si="306"/>
        <v>0</v>
      </c>
      <c r="V794" s="26" t="s">
        <v>951</v>
      </c>
    </row>
    <row r="795" spans="1:22" ht="14.25" thickBot="1" x14ac:dyDescent="0.2">
      <c r="A795" s="1"/>
      <c r="B795" s="3" t="s">
        <v>5</v>
      </c>
      <c r="C795" s="16">
        <f>SUM(C771:C794)</f>
        <v>1238</v>
      </c>
      <c r="D795" s="16">
        <f>SUM(D771:D794)</f>
        <v>382</v>
      </c>
      <c r="E795" s="16">
        <f>SUM(E771:E794)</f>
        <v>297</v>
      </c>
      <c r="F795" s="223">
        <f>SUM(F771:F794)</f>
        <v>1917</v>
      </c>
      <c r="H795" s="3" t="s">
        <v>5</v>
      </c>
      <c r="I795" s="16">
        <f>SUM(I771:I794)</f>
        <v>2200</v>
      </c>
      <c r="J795" s="16">
        <f>SUM(J771:J794)</f>
        <v>200</v>
      </c>
      <c r="K795" s="16">
        <f>SUM(K771:K794)</f>
        <v>200</v>
      </c>
      <c r="L795" s="223">
        <f>SUM(L771:L794)</f>
        <v>2600</v>
      </c>
      <c r="O795" s="3" t="s">
        <v>5</v>
      </c>
      <c r="P795" s="16">
        <f>SUM(P771:P794)</f>
        <v>0</v>
      </c>
      <c r="Q795" s="17">
        <f>SUM(Q771:Q794)</f>
        <v>0</v>
      </c>
      <c r="S795" s="3" t="s">
        <v>5</v>
      </c>
      <c r="T795" s="16">
        <f>SUM(T771:T794)</f>
        <v>630</v>
      </c>
      <c r="U795" s="17">
        <f>SUM(U771:U794)</f>
        <v>630</v>
      </c>
    </row>
    <row r="796" spans="1:22" ht="14.25" thickBot="1" x14ac:dyDescent="0.2">
      <c r="A796" s="1"/>
      <c r="B796" s="18" t="s">
        <v>6</v>
      </c>
      <c r="C796" s="19">
        <f>C770-C795</f>
        <v>97</v>
      </c>
      <c r="D796" s="19">
        <f>D770-D795</f>
        <v>29</v>
      </c>
      <c r="E796" s="19">
        <f t="shared" ref="E796" si="307">E770-E795</f>
        <v>70</v>
      </c>
      <c r="F796" s="221">
        <f>F770-F795</f>
        <v>196</v>
      </c>
      <c r="H796" s="18" t="s">
        <v>6</v>
      </c>
      <c r="I796" s="19">
        <f>I770-I795</f>
        <v>2081</v>
      </c>
      <c r="J796" s="19">
        <f>J770-J795</f>
        <v>662</v>
      </c>
      <c r="K796" s="19">
        <f t="shared" ref="K796" si="308">K770-K795</f>
        <v>537</v>
      </c>
      <c r="L796" s="221">
        <f>L770-L795</f>
        <v>3280</v>
      </c>
      <c r="O796" s="18" t="s">
        <v>6</v>
      </c>
      <c r="P796" s="19">
        <f>P770-P795</f>
        <v>0</v>
      </c>
      <c r="Q796" s="13">
        <f>Q770-Q795</f>
        <v>0</v>
      </c>
      <c r="S796" s="18" t="s">
        <v>6</v>
      </c>
      <c r="T796" s="19">
        <f>T770-T795</f>
        <v>1693</v>
      </c>
      <c r="U796" s="13">
        <f>U770-U795</f>
        <v>1693</v>
      </c>
    </row>
    <row r="797" spans="1:22" x14ac:dyDescent="0.15">
      <c r="S797" s="179" t="s">
        <v>955</v>
      </c>
    </row>
    <row r="799" spans="1:22" ht="18" thickBot="1" x14ac:dyDescent="0.25">
      <c r="A799" s="27" t="s">
        <v>739</v>
      </c>
      <c r="B799" s="28"/>
      <c r="C799" s="28"/>
      <c r="D799" s="28"/>
      <c r="E799" s="28"/>
      <c r="F799" s="218"/>
      <c r="H799" s="27" t="s">
        <v>740</v>
      </c>
      <c r="I799" s="28"/>
      <c r="J799" s="28"/>
      <c r="K799" s="28"/>
      <c r="L799" s="218"/>
      <c r="O799" s="181" t="s">
        <v>737</v>
      </c>
      <c r="P799" s="182"/>
      <c r="Q799" s="182"/>
      <c r="R799" s="183"/>
      <c r="S799" s="181" t="s">
        <v>733</v>
      </c>
      <c r="T799" s="182"/>
      <c r="U799" s="182"/>
    </row>
    <row r="800" spans="1:22" ht="14.25" thickBot="1" x14ac:dyDescent="0.2">
      <c r="A800" s="1"/>
      <c r="B800" s="2"/>
      <c r="C800" s="194" t="s">
        <v>734</v>
      </c>
      <c r="D800" s="195" t="s">
        <v>706</v>
      </c>
      <c r="E800" s="2" t="s">
        <v>735</v>
      </c>
      <c r="F800" s="219" t="s">
        <v>1</v>
      </c>
      <c r="H800" s="2"/>
      <c r="I800" s="197" t="s">
        <v>734</v>
      </c>
      <c r="J800" s="195" t="s">
        <v>706</v>
      </c>
      <c r="K800" s="201" t="s">
        <v>735</v>
      </c>
      <c r="L800" s="219" t="s">
        <v>1</v>
      </c>
      <c r="O800" s="2"/>
      <c r="P800" s="3" t="s">
        <v>722</v>
      </c>
      <c r="Q800" s="2" t="s">
        <v>1</v>
      </c>
      <c r="S800" s="2"/>
      <c r="T800" s="3" t="s">
        <v>722</v>
      </c>
      <c r="U800" s="2" t="s">
        <v>1</v>
      </c>
    </row>
    <row r="801" spans="1:22" x14ac:dyDescent="0.15">
      <c r="A801" s="1"/>
      <c r="B801" s="164" t="s">
        <v>26</v>
      </c>
      <c r="C801" s="200">
        <f>C796</f>
        <v>97</v>
      </c>
      <c r="D801" s="164">
        <f t="shared" ref="D801:F801" si="309">D796</f>
        <v>29</v>
      </c>
      <c r="E801" s="164">
        <f t="shared" si="309"/>
        <v>70</v>
      </c>
      <c r="F801" s="222">
        <f t="shared" si="309"/>
        <v>196</v>
      </c>
      <c r="H801" s="164" t="s">
        <v>26</v>
      </c>
      <c r="I801" s="200">
        <f>I796</f>
        <v>2081</v>
      </c>
      <c r="J801" s="164">
        <f t="shared" ref="J801:L801" si="310">J796</f>
        <v>662</v>
      </c>
      <c r="K801" s="200">
        <f t="shared" si="310"/>
        <v>537</v>
      </c>
      <c r="L801" s="222">
        <f t="shared" si="310"/>
        <v>3280</v>
      </c>
      <c r="O801" s="171" t="s">
        <v>26</v>
      </c>
      <c r="P801" s="200">
        <f>P796</f>
        <v>0</v>
      </c>
      <c r="Q801" s="180">
        <f>Q796</f>
        <v>0</v>
      </c>
      <c r="R801" s="185"/>
      <c r="S801" s="43" t="s">
        <v>26</v>
      </c>
      <c r="T801" s="38">
        <f>T796</f>
        <v>1693</v>
      </c>
      <c r="U801" s="39">
        <f>U796</f>
        <v>1693</v>
      </c>
    </row>
    <row r="802" spans="1:22" x14ac:dyDescent="0.15">
      <c r="A802" s="75"/>
      <c r="B802" s="6" t="s">
        <v>3</v>
      </c>
      <c r="C802" s="188">
        <v>200</v>
      </c>
      <c r="D802" s="6">
        <v>100</v>
      </c>
      <c r="E802" s="202"/>
      <c r="F802" s="220">
        <f t="shared" ref="F802:F811" si="311">SUM(C802:E802)</f>
        <v>300</v>
      </c>
      <c r="G802" s="211">
        <v>44770</v>
      </c>
      <c r="H802" s="6" t="s">
        <v>3</v>
      </c>
      <c r="I802" s="188"/>
      <c r="J802" s="6"/>
      <c r="K802" s="202"/>
      <c r="L802" s="220">
        <f t="shared" ref="L802:L811" si="312">SUM(I802:K802)</f>
        <v>0</v>
      </c>
      <c r="O802" s="6" t="s">
        <v>3</v>
      </c>
      <c r="P802" s="7"/>
      <c r="Q802" s="5">
        <f t="shared" ref="Q802:Q811" si="313">SUM(P802:P802)</f>
        <v>0</v>
      </c>
      <c r="R802" s="186"/>
      <c r="S802" s="6" t="s">
        <v>3</v>
      </c>
      <c r="T802" s="7"/>
      <c r="U802" s="5">
        <f t="shared" ref="U802:U811" si="314">SUM(T802:T802)</f>
        <v>0</v>
      </c>
    </row>
    <row r="803" spans="1:22" x14ac:dyDescent="0.15">
      <c r="A803" s="1"/>
      <c r="B803" s="6" t="s">
        <v>3</v>
      </c>
      <c r="C803" s="6">
        <v>200</v>
      </c>
      <c r="D803" s="6">
        <v>100</v>
      </c>
      <c r="E803" s="4">
        <v>100</v>
      </c>
      <c r="F803" s="220">
        <f t="shared" si="311"/>
        <v>400</v>
      </c>
      <c r="G803" s="248">
        <v>44770</v>
      </c>
      <c r="H803" s="6" t="s">
        <v>3</v>
      </c>
      <c r="I803" s="188"/>
      <c r="J803" s="225"/>
      <c r="K803" s="243"/>
      <c r="L803" s="220">
        <f t="shared" ref="L803:L804" si="315">SUM(I803:K803)</f>
        <v>0</v>
      </c>
      <c r="M803" s="211"/>
      <c r="O803" s="6" t="s">
        <v>3</v>
      </c>
      <c r="P803" s="7"/>
      <c r="Q803" s="5">
        <f t="shared" si="313"/>
        <v>0</v>
      </c>
      <c r="R803" s="186"/>
      <c r="S803" s="6" t="s">
        <v>3</v>
      </c>
      <c r="T803" s="54"/>
      <c r="U803" s="5">
        <f t="shared" ref="U803:U804" si="316">SUM(T803:T803)</f>
        <v>0</v>
      </c>
      <c r="V803" s="185"/>
    </row>
    <row r="804" spans="1:22" x14ac:dyDescent="0.15">
      <c r="A804" s="1"/>
      <c r="B804" s="6" t="s">
        <v>681</v>
      </c>
      <c r="C804" s="7">
        <v>1</v>
      </c>
      <c r="D804" s="6"/>
      <c r="E804" s="4"/>
      <c r="F804" s="220">
        <f t="shared" si="311"/>
        <v>1</v>
      </c>
      <c r="G804" s="248">
        <v>44771</v>
      </c>
      <c r="H804" s="247" t="s">
        <v>1042</v>
      </c>
      <c r="I804" s="261">
        <v>500</v>
      </c>
      <c r="J804" s="225">
        <v>500</v>
      </c>
      <c r="K804" s="243">
        <v>500</v>
      </c>
      <c r="L804" s="220">
        <f t="shared" si="315"/>
        <v>1500</v>
      </c>
      <c r="M804" s="211">
        <v>44778</v>
      </c>
      <c r="O804" s="6" t="s">
        <v>3</v>
      </c>
      <c r="P804" s="7"/>
      <c r="Q804" s="5">
        <f t="shared" si="313"/>
        <v>0</v>
      </c>
      <c r="R804" s="186"/>
      <c r="S804" s="6" t="s">
        <v>3</v>
      </c>
      <c r="T804" s="54"/>
      <c r="U804" s="5">
        <f t="shared" si="316"/>
        <v>0</v>
      </c>
      <c r="V804" s="185"/>
    </row>
    <row r="805" spans="1:22" x14ac:dyDescent="0.15">
      <c r="A805" s="1"/>
      <c r="B805" s="6" t="s">
        <v>3</v>
      </c>
      <c r="C805" s="6">
        <v>200</v>
      </c>
      <c r="D805" s="205"/>
      <c r="E805" s="207"/>
      <c r="F805" s="220">
        <f t="shared" si="311"/>
        <v>200</v>
      </c>
      <c r="G805" s="211">
        <v>44772</v>
      </c>
      <c r="H805" s="6" t="s">
        <v>3</v>
      </c>
      <c r="I805" s="188"/>
      <c r="J805" s="6"/>
      <c r="K805" s="202"/>
      <c r="L805" s="220">
        <f t="shared" si="312"/>
        <v>0</v>
      </c>
      <c r="M805" s="212"/>
      <c r="O805" s="6" t="s">
        <v>3</v>
      </c>
      <c r="P805" s="7"/>
      <c r="Q805" s="5">
        <f t="shared" si="313"/>
        <v>0</v>
      </c>
      <c r="R805" s="186"/>
      <c r="S805" s="6" t="s">
        <v>3</v>
      </c>
      <c r="T805" s="7"/>
      <c r="U805" s="5">
        <f t="shared" si="314"/>
        <v>0</v>
      </c>
      <c r="V805" s="186"/>
    </row>
    <row r="806" spans="1:22" x14ac:dyDescent="0.15">
      <c r="A806" s="1"/>
      <c r="B806" s="6" t="s">
        <v>3</v>
      </c>
      <c r="C806" s="6">
        <v>200</v>
      </c>
      <c r="D806" s="6">
        <v>100</v>
      </c>
      <c r="E806" s="4">
        <v>100</v>
      </c>
      <c r="F806" s="220">
        <f t="shared" si="311"/>
        <v>400</v>
      </c>
      <c r="G806" s="211">
        <v>44775</v>
      </c>
      <c r="H806" s="6" t="s">
        <v>3</v>
      </c>
      <c r="I806" s="188"/>
      <c r="J806" s="6"/>
      <c r="K806" s="202"/>
      <c r="L806" s="220">
        <f t="shared" si="312"/>
        <v>0</v>
      </c>
      <c r="M806" s="212"/>
      <c r="O806" s="6" t="s">
        <v>3</v>
      </c>
      <c r="P806" s="7"/>
      <c r="Q806" s="5">
        <f t="shared" si="313"/>
        <v>0</v>
      </c>
      <c r="R806" s="186"/>
      <c r="S806" s="6" t="s">
        <v>3</v>
      </c>
      <c r="T806" s="7"/>
      <c r="U806" s="5">
        <f t="shared" si="314"/>
        <v>0</v>
      </c>
    </row>
    <row r="807" spans="1:22" x14ac:dyDescent="0.15">
      <c r="A807" s="75"/>
      <c r="B807" s="6" t="s">
        <v>3</v>
      </c>
      <c r="C807" s="6">
        <v>200</v>
      </c>
      <c r="D807" s="6"/>
      <c r="E807" s="4"/>
      <c r="F807" s="220">
        <f t="shared" si="311"/>
        <v>200</v>
      </c>
      <c r="G807" s="211">
        <v>44776</v>
      </c>
      <c r="H807" s="6" t="s">
        <v>3</v>
      </c>
      <c r="I807" s="188">
        <v>600</v>
      </c>
      <c r="J807" s="6"/>
      <c r="K807" s="202"/>
      <c r="L807" s="220">
        <f t="shared" si="312"/>
        <v>600</v>
      </c>
      <c r="M807" s="211" t="s">
        <v>1057</v>
      </c>
      <c r="O807" s="6" t="s">
        <v>3</v>
      </c>
      <c r="P807" s="7"/>
      <c r="Q807" s="5">
        <f t="shared" si="313"/>
        <v>0</v>
      </c>
      <c r="R807" s="186"/>
      <c r="S807" s="6" t="s">
        <v>3</v>
      </c>
      <c r="T807" s="7"/>
      <c r="U807" s="5">
        <f t="shared" si="314"/>
        <v>0</v>
      </c>
    </row>
    <row r="808" spans="1:22" x14ac:dyDescent="0.15">
      <c r="A808" s="75"/>
      <c r="B808" s="6" t="s">
        <v>3</v>
      </c>
      <c r="C808" s="6">
        <v>181</v>
      </c>
      <c r="D808" s="225"/>
      <c r="E808" s="226"/>
      <c r="F808" s="220">
        <f t="shared" si="311"/>
        <v>181</v>
      </c>
      <c r="G808" s="211">
        <v>44779</v>
      </c>
      <c r="H808" s="6" t="s">
        <v>3</v>
      </c>
      <c r="I808" s="188"/>
      <c r="J808" s="225"/>
      <c r="K808" s="243"/>
      <c r="L808" s="220">
        <f t="shared" si="312"/>
        <v>0</v>
      </c>
      <c r="M808" s="212" t="s">
        <v>1033</v>
      </c>
      <c r="O808" s="6" t="s">
        <v>3</v>
      </c>
      <c r="P808" s="8"/>
      <c r="Q808" s="5">
        <f t="shared" si="313"/>
        <v>0</v>
      </c>
      <c r="R808" s="186"/>
      <c r="S808" s="6" t="s">
        <v>3</v>
      </c>
      <c r="T808" s="54"/>
      <c r="U808" s="5">
        <f t="shared" si="314"/>
        <v>0</v>
      </c>
    </row>
    <row r="809" spans="1:22" x14ac:dyDescent="0.15">
      <c r="A809" s="75"/>
      <c r="B809" s="6" t="s">
        <v>3</v>
      </c>
      <c r="C809" s="6">
        <v>200</v>
      </c>
      <c r="D809" s="225">
        <v>100</v>
      </c>
      <c r="E809" s="226">
        <v>100</v>
      </c>
      <c r="F809" s="220">
        <f t="shared" si="311"/>
        <v>400</v>
      </c>
      <c r="G809" s="211">
        <v>44779</v>
      </c>
      <c r="H809" s="6" t="s">
        <v>3</v>
      </c>
      <c r="I809" s="188"/>
      <c r="J809" s="225"/>
      <c r="K809" s="243"/>
      <c r="L809" s="220">
        <f t="shared" si="312"/>
        <v>0</v>
      </c>
      <c r="M809" s="211"/>
      <c r="O809" s="6" t="s">
        <v>3</v>
      </c>
      <c r="P809" s="8"/>
      <c r="Q809" s="5">
        <f t="shared" si="313"/>
        <v>0</v>
      </c>
      <c r="R809" s="186"/>
      <c r="S809" s="6" t="s">
        <v>3</v>
      </c>
      <c r="T809" s="54"/>
      <c r="U809" s="5">
        <f t="shared" si="314"/>
        <v>0</v>
      </c>
      <c r="V809" s="185"/>
    </row>
    <row r="810" spans="1:22" x14ac:dyDescent="0.15">
      <c r="A810" s="1"/>
      <c r="B810" s="6" t="s">
        <v>3</v>
      </c>
      <c r="C810" s="6"/>
      <c r="D810" s="225"/>
      <c r="E810" s="226"/>
      <c r="F810" s="220">
        <f t="shared" si="311"/>
        <v>0</v>
      </c>
      <c r="G810" s="212"/>
      <c r="H810" s="6" t="s">
        <v>3</v>
      </c>
      <c r="I810" s="188"/>
      <c r="J810" s="225"/>
      <c r="K810" s="243"/>
      <c r="L810" s="220">
        <f t="shared" si="312"/>
        <v>0</v>
      </c>
      <c r="M810" s="186"/>
      <c r="O810" s="6" t="s">
        <v>3</v>
      </c>
      <c r="P810" s="8"/>
      <c r="Q810" s="5">
        <f t="shared" si="313"/>
        <v>0</v>
      </c>
      <c r="R810" s="186"/>
      <c r="S810" s="6" t="s">
        <v>3</v>
      </c>
      <c r="T810" s="8"/>
      <c r="U810" s="5">
        <f t="shared" si="314"/>
        <v>0</v>
      </c>
      <c r="V810" s="186"/>
    </row>
    <row r="811" spans="1:22" ht="14.25" thickBot="1" x14ac:dyDescent="0.2">
      <c r="A811" s="1"/>
      <c r="B811" s="6" t="s">
        <v>3</v>
      </c>
      <c r="C811" s="9"/>
      <c r="D811" s="237"/>
      <c r="E811" s="238"/>
      <c r="F811" s="220">
        <f t="shared" si="311"/>
        <v>0</v>
      </c>
      <c r="H811" s="9" t="s">
        <v>3</v>
      </c>
      <c r="I811" s="198"/>
      <c r="J811" s="244"/>
      <c r="K811" s="245"/>
      <c r="L811" s="220">
        <f t="shared" si="312"/>
        <v>0</v>
      </c>
      <c r="O811" s="9" t="s">
        <v>3</v>
      </c>
      <c r="P811" s="10"/>
      <c r="Q811" s="5">
        <f t="shared" si="313"/>
        <v>0</v>
      </c>
      <c r="R811" s="186"/>
      <c r="S811" s="9" t="s">
        <v>3</v>
      </c>
      <c r="T811" s="10"/>
      <c r="U811" s="5">
        <f t="shared" si="314"/>
        <v>0</v>
      </c>
    </row>
    <row r="812" spans="1:22" ht="14.25" thickBot="1" x14ac:dyDescent="0.2">
      <c r="A812" s="1"/>
      <c r="B812" s="11" t="s">
        <v>4</v>
      </c>
      <c r="C812" s="193">
        <f>SUM(C801:C811)</f>
        <v>1479</v>
      </c>
      <c r="D812" s="193">
        <f>SUM(D801:D811)</f>
        <v>429</v>
      </c>
      <c r="E812" s="193">
        <f>SUM(E801:E811)</f>
        <v>370</v>
      </c>
      <c r="F812" s="221">
        <f>SUM(F801:F811)</f>
        <v>2278</v>
      </c>
      <c r="H812" s="11" t="s">
        <v>4</v>
      </c>
      <c r="I812" s="193">
        <f>SUM(I801:I811)</f>
        <v>3181</v>
      </c>
      <c r="J812" s="193">
        <f>SUM(J801:J811)</f>
        <v>1162</v>
      </c>
      <c r="K812" s="193">
        <f t="shared" ref="K812" si="317">SUM(K801:K811)</f>
        <v>1037</v>
      </c>
      <c r="L812" s="221">
        <f>SUM(L801:L811)</f>
        <v>5380</v>
      </c>
      <c r="O812" s="11" t="s">
        <v>4</v>
      </c>
      <c r="P812" s="12">
        <f>SUM(P801:P811)</f>
        <v>0</v>
      </c>
      <c r="Q812" s="13">
        <f>SUM(Q801:Q811)</f>
        <v>0</v>
      </c>
      <c r="S812" s="11" t="s">
        <v>4</v>
      </c>
      <c r="T812" s="12">
        <f>SUM(T801:T811)</f>
        <v>1693</v>
      </c>
      <c r="U812" s="13">
        <f>SUM(U801:U811)</f>
        <v>1693</v>
      </c>
    </row>
    <row r="813" spans="1:22" x14ac:dyDescent="0.15">
      <c r="A813" s="1"/>
      <c r="B813" s="4" t="s">
        <v>1019</v>
      </c>
      <c r="C813" s="215">
        <v>100</v>
      </c>
      <c r="D813" s="215">
        <v>50</v>
      </c>
      <c r="E813" s="216">
        <v>30</v>
      </c>
      <c r="F813" s="220">
        <f t="shared" ref="F813:F836" si="318">SUM(C813:E813)</f>
        <v>180</v>
      </c>
      <c r="G813" s="211">
        <v>44772</v>
      </c>
      <c r="H813" s="4" t="s">
        <v>745</v>
      </c>
      <c r="I813" s="233">
        <v>200</v>
      </c>
      <c r="J813" s="234">
        <v>100</v>
      </c>
      <c r="K813" s="234"/>
      <c r="L813" s="220">
        <f t="shared" ref="L813" si="319">SUM(I813:K813)</f>
        <v>300</v>
      </c>
      <c r="M813" s="211">
        <v>44770</v>
      </c>
      <c r="O813" s="4"/>
      <c r="P813" s="44"/>
      <c r="Q813" s="14">
        <f t="shared" ref="Q813:Q836" si="320">SUM(P813:P813)</f>
        <v>0</v>
      </c>
      <c r="R813" s="185"/>
      <c r="S813" s="4" t="s">
        <v>1026</v>
      </c>
      <c r="T813" s="44">
        <v>500</v>
      </c>
      <c r="U813" s="14">
        <f t="shared" ref="U813:U836" si="321">SUM(T813:T813)</f>
        <v>500</v>
      </c>
      <c r="V813" s="185">
        <v>44783</v>
      </c>
    </row>
    <row r="814" spans="1:22" x14ac:dyDescent="0.15">
      <c r="A814" s="1"/>
      <c r="B814" s="4" t="s">
        <v>749</v>
      </c>
      <c r="C814" s="216">
        <f>14+1+4</f>
        <v>19</v>
      </c>
      <c r="D814" s="232">
        <f>3+1+4</f>
        <v>8</v>
      </c>
      <c r="E814" s="232">
        <f>4+4</f>
        <v>8</v>
      </c>
      <c r="F814" s="220">
        <f t="shared" si="318"/>
        <v>35</v>
      </c>
      <c r="G814" s="248">
        <v>44770</v>
      </c>
      <c r="H814" s="4" t="s">
        <v>745</v>
      </c>
      <c r="I814" s="215">
        <v>200</v>
      </c>
      <c r="J814" s="215">
        <v>100</v>
      </c>
      <c r="K814" s="216">
        <v>100</v>
      </c>
      <c r="L814" s="220">
        <f t="shared" ref="L814:L834" si="322">SUM(I814:K814)</f>
        <v>400</v>
      </c>
      <c r="M814" s="211">
        <v>44770</v>
      </c>
      <c r="O814" s="4"/>
      <c r="P814" s="15"/>
      <c r="Q814" s="14">
        <f t="shared" si="320"/>
        <v>0</v>
      </c>
      <c r="R814" s="186"/>
      <c r="S814" s="247" t="s">
        <v>1042</v>
      </c>
      <c r="T814" s="252">
        <v>500</v>
      </c>
      <c r="U814" s="255">
        <f t="shared" ref="U814" si="323">SUM(T814:T814)</f>
        <v>500</v>
      </c>
      <c r="V814" s="266">
        <v>44778</v>
      </c>
    </row>
    <row r="815" spans="1:22" x14ac:dyDescent="0.15">
      <c r="A815" s="1"/>
      <c r="B815" s="4" t="s">
        <v>1020</v>
      </c>
      <c r="C815" s="216">
        <v>100</v>
      </c>
      <c r="D815" s="232">
        <v>50</v>
      </c>
      <c r="E815" s="232"/>
      <c r="F815" s="220">
        <f t="shared" si="318"/>
        <v>150</v>
      </c>
      <c r="G815" s="211">
        <v>44774</v>
      </c>
      <c r="H815" s="4" t="s">
        <v>745</v>
      </c>
      <c r="I815" s="216">
        <v>200</v>
      </c>
      <c r="J815" s="232"/>
      <c r="K815" s="232"/>
      <c r="L815" s="220">
        <f t="shared" si="322"/>
        <v>200</v>
      </c>
      <c r="M815" s="211">
        <v>44772</v>
      </c>
      <c r="O815" s="4"/>
      <c r="P815" s="15"/>
      <c r="Q815" s="14">
        <f t="shared" si="320"/>
        <v>0</v>
      </c>
      <c r="R815" s="186"/>
      <c r="S815" s="6"/>
      <c r="T815" s="15"/>
      <c r="U815" s="14">
        <f t="shared" si="321"/>
        <v>0</v>
      </c>
      <c r="V815" s="185"/>
    </row>
    <row r="816" spans="1:22" x14ac:dyDescent="0.15">
      <c r="A816" s="1"/>
      <c r="B816" s="4" t="s">
        <v>749</v>
      </c>
      <c r="C816" s="233">
        <v>2</v>
      </c>
      <c r="D816" s="234">
        <v>2</v>
      </c>
      <c r="E816" s="234">
        <v>2</v>
      </c>
      <c r="F816" s="220">
        <f t="shared" si="318"/>
        <v>6</v>
      </c>
      <c r="G816" s="248">
        <v>44771</v>
      </c>
      <c r="H816" s="4" t="s">
        <v>745</v>
      </c>
      <c r="I816" s="233">
        <v>200</v>
      </c>
      <c r="J816" s="234">
        <v>100</v>
      </c>
      <c r="K816" s="234">
        <v>100</v>
      </c>
      <c r="L816" s="220">
        <f t="shared" si="322"/>
        <v>400</v>
      </c>
      <c r="M816" s="211">
        <v>44775</v>
      </c>
      <c r="O816" s="4"/>
      <c r="P816" s="15"/>
      <c r="Q816" s="14">
        <f t="shared" si="320"/>
        <v>0</v>
      </c>
      <c r="R816" s="186"/>
      <c r="S816" s="6"/>
      <c r="T816" s="15"/>
      <c r="U816" s="14">
        <f t="shared" si="321"/>
        <v>0</v>
      </c>
      <c r="V816" s="185"/>
    </row>
    <row r="817" spans="1:22" x14ac:dyDescent="0.15">
      <c r="A817" s="1"/>
      <c r="B817" s="4" t="s">
        <v>1021</v>
      </c>
      <c r="C817" s="233">
        <f>3+1</f>
        <v>4</v>
      </c>
      <c r="D817" s="234">
        <f>1+1</f>
        <v>2</v>
      </c>
      <c r="E817" s="234">
        <v>1</v>
      </c>
      <c r="F817" s="220">
        <f t="shared" si="318"/>
        <v>7</v>
      </c>
      <c r="G817" s="248">
        <v>44772</v>
      </c>
      <c r="H817" s="6" t="s">
        <v>1026</v>
      </c>
      <c r="I817" s="233">
        <v>500</v>
      </c>
      <c r="J817" s="234"/>
      <c r="K817" s="234"/>
      <c r="L817" s="220">
        <f t="shared" si="322"/>
        <v>500</v>
      </c>
      <c r="M817" s="211">
        <v>44783</v>
      </c>
      <c r="O817" s="4"/>
      <c r="P817" s="15"/>
      <c r="Q817" s="14">
        <f t="shared" si="320"/>
        <v>0</v>
      </c>
      <c r="R817" s="186"/>
      <c r="S817" s="6"/>
      <c r="T817" s="15"/>
      <c r="U817" s="14">
        <f t="shared" si="321"/>
        <v>0</v>
      </c>
      <c r="V817" s="185"/>
    </row>
    <row r="818" spans="1:22" x14ac:dyDescent="0.15">
      <c r="A818" s="1"/>
      <c r="B818" s="6" t="s">
        <v>1022</v>
      </c>
      <c r="C818" s="233">
        <v>1</v>
      </c>
      <c r="D818" s="234">
        <v>1</v>
      </c>
      <c r="E818" s="234">
        <v>1</v>
      </c>
      <c r="F818" s="220">
        <f t="shared" si="318"/>
        <v>3</v>
      </c>
      <c r="G818" s="211">
        <v>44775</v>
      </c>
      <c r="H818" s="4" t="s">
        <v>745</v>
      </c>
      <c r="I818" s="233">
        <v>200</v>
      </c>
      <c r="J818" s="234"/>
      <c r="K818" s="234"/>
      <c r="L818" s="220">
        <f t="shared" si="322"/>
        <v>200</v>
      </c>
      <c r="M818" s="211">
        <v>44776</v>
      </c>
      <c r="O818" s="4"/>
      <c r="P818" s="15"/>
      <c r="Q818" s="14">
        <f t="shared" si="320"/>
        <v>0</v>
      </c>
      <c r="R818" s="186"/>
      <c r="S818" s="6"/>
      <c r="T818" s="15"/>
      <c r="U818" s="14">
        <f t="shared" si="321"/>
        <v>0</v>
      </c>
      <c r="V818" s="185"/>
    </row>
    <row r="819" spans="1:22" x14ac:dyDescent="0.15">
      <c r="A819" s="1"/>
      <c r="B819" s="4" t="s">
        <v>1023</v>
      </c>
      <c r="C819" s="233">
        <v>100</v>
      </c>
      <c r="D819" s="234">
        <v>40</v>
      </c>
      <c r="E819" s="234">
        <v>40</v>
      </c>
      <c r="F819" s="220">
        <f t="shared" si="318"/>
        <v>180</v>
      </c>
      <c r="G819" s="211">
        <v>44775</v>
      </c>
      <c r="H819" s="4" t="s">
        <v>745</v>
      </c>
      <c r="I819" s="233">
        <v>181</v>
      </c>
      <c r="J819" s="234"/>
      <c r="K819" s="234"/>
      <c r="L819" s="220">
        <f t="shared" si="322"/>
        <v>181</v>
      </c>
      <c r="M819" s="211">
        <v>44779</v>
      </c>
      <c r="O819" s="4"/>
      <c r="P819" s="15"/>
      <c r="Q819" s="14">
        <f t="shared" si="320"/>
        <v>0</v>
      </c>
      <c r="R819" s="186"/>
      <c r="S819" s="4"/>
      <c r="T819" s="15"/>
      <c r="U819" s="14">
        <f t="shared" si="321"/>
        <v>0</v>
      </c>
    </row>
    <row r="820" spans="1:22" x14ac:dyDescent="0.15">
      <c r="A820" s="1"/>
      <c r="B820" s="4" t="s">
        <v>787</v>
      </c>
      <c r="C820" s="233">
        <v>5</v>
      </c>
      <c r="D820" s="234">
        <v>5</v>
      </c>
      <c r="E820" s="234">
        <v>5</v>
      </c>
      <c r="F820" s="220">
        <f t="shared" si="318"/>
        <v>15</v>
      </c>
      <c r="G820" s="211">
        <v>44775</v>
      </c>
      <c r="H820" s="4" t="s">
        <v>745</v>
      </c>
      <c r="I820" s="233">
        <v>200</v>
      </c>
      <c r="J820" s="234">
        <v>100</v>
      </c>
      <c r="K820" s="234">
        <v>100</v>
      </c>
      <c r="L820" s="220">
        <f t="shared" si="322"/>
        <v>400</v>
      </c>
      <c r="M820" s="211">
        <v>44779</v>
      </c>
      <c r="O820" s="4"/>
      <c r="P820" s="15"/>
      <c r="Q820" s="14">
        <f t="shared" si="320"/>
        <v>0</v>
      </c>
      <c r="R820" s="186"/>
      <c r="S820" s="4"/>
      <c r="T820" s="15"/>
      <c r="U820" s="14">
        <f t="shared" si="321"/>
        <v>0</v>
      </c>
    </row>
    <row r="821" spans="1:22" x14ac:dyDescent="0.15">
      <c r="A821" s="1"/>
      <c r="B821" s="4" t="s">
        <v>1024</v>
      </c>
      <c r="C821" s="233">
        <v>200</v>
      </c>
      <c r="D821" s="234"/>
      <c r="E821" s="234"/>
      <c r="F821" s="220">
        <f t="shared" si="318"/>
        <v>200</v>
      </c>
      <c r="G821" s="211">
        <v>44775</v>
      </c>
      <c r="H821" s="4" t="s">
        <v>745</v>
      </c>
      <c r="I821" s="233">
        <v>200</v>
      </c>
      <c r="J821" s="15">
        <v>100</v>
      </c>
      <c r="K821" s="15"/>
      <c r="L821" s="220">
        <f t="shared" si="322"/>
        <v>300</v>
      </c>
      <c r="M821" s="211">
        <v>44791</v>
      </c>
      <c r="O821" s="4"/>
      <c r="P821" s="15"/>
      <c r="Q821" s="14">
        <f t="shared" si="320"/>
        <v>0</v>
      </c>
      <c r="R821" s="186"/>
      <c r="S821" s="4"/>
      <c r="T821" s="15"/>
      <c r="U821" s="14">
        <f t="shared" si="321"/>
        <v>0</v>
      </c>
    </row>
    <row r="822" spans="1:22" x14ac:dyDescent="0.15">
      <c r="A822" s="1"/>
      <c r="B822" s="4" t="s">
        <v>749</v>
      </c>
      <c r="C822" s="233">
        <f>1+1+1+1+6+6+2+1</f>
        <v>19</v>
      </c>
      <c r="D822" s="234">
        <f>1+6+1+1+1</f>
        <v>10</v>
      </c>
      <c r="E822" s="234">
        <f>1+1+6</f>
        <v>8</v>
      </c>
      <c r="F822" s="220">
        <f t="shared" si="318"/>
        <v>37</v>
      </c>
      <c r="G822" s="248">
        <v>44774</v>
      </c>
      <c r="H822" s="4" t="s">
        <v>745</v>
      </c>
      <c r="I822" s="233">
        <v>200</v>
      </c>
      <c r="J822" s="15"/>
      <c r="K822" s="15"/>
      <c r="L822" s="220">
        <f t="shared" si="322"/>
        <v>200</v>
      </c>
      <c r="M822" s="211">
        <v>44791</v>
      </c>
      <c r="O822" s="4"/>
      <c r="P822" s="15"/>
      <c r="Q822" s="14">
        <f t="shared" si="320"/>
        <v>0</v>
      </c>
      <c r="R822" s="186"/>
      <c r="S822" s="4"/>
      <c r="T822" s="15"/>
      <c r="U822" s="14">
        <f t="shared" si="321"/>
        <v>0</v>
      </c>
    </row>
    <row r="823" spans="1:22" x14ac:dyDescent="0.15">
      <c r="A823" s="1"/>
      <c r="B823" s="4" t="s">
        <v>1025</v>
      </c>
      <c r="C823" s="233">
        <v>200</v>
      </c>
      <c r="D823" s="234">
        <v>30</v>
      </c>
      <c r="E823" s="234">
        <v>30</v>
      </c>
      <c r="F823" s="220">
        <f t="shared" si="318"/>
        <v>260</v>
      </c>
      <c r="G823" s="211">
        <v>44776</v>
      </c>
      <c r="H823" s="4"/>
      <c r="I823" s="187"/>
      <c r="J823" s="15"/>
      <c r="K823" s="15"/>
      <c r="L823" s="220">
        <f t="shared" si="322"/>
        <v>0</v>
      </c>
      <c r="O823" s="4"/>
      <c r="P823" s="15"/>
      <c r="Q823" s="14">
        <f t="shared" si="320"/>
        <v>0</v>
      </c>
      <c r="R823" s="186"/>
      <c r="S823" s="4"/>
      <c r="T823" s="15"/>
      <c r="U823" s="14">
        <f t="shared" si="321"/>
        <v>0</v>
      </c>
    </row>
    <row r="824" spans="1:22" x14ac:dyDescent="0.15">
      <c r="A824" s="1"/>
      <c r="B824" s="4" t="s">
        <v>749</v>
      </c>
      <c r="C824" s="235">
        <f>1+3+3+1</f>
        <v>8</v>
      </c>
      <c r="D824" s="234">
        <f>3+1</f>
        <v>4</v>
      </c>
      <c r="E824" s="234">
        <f>3+1</f>
        <v>4</v>
      </c>
      <c r="F824" s="220">
        <f t="shared" si="318"/>
        <v>16</v>
      </c>
      <c r="G824" s="248">
        <v>44775</v>
      </c>
      <c r="H824" s="6"/>
      <c r="I824" s="188"/>
      <c r="J824" s="15"/>
      <c r="K824" s="15"/>
      <c r="L824" s="220">
        <f t="shared" si="322"/>
        <v>0</v>
      </c>
      <c r="O824" s="6"/>
      <c r="P824" s="15"/>
      <c r="Q824" s="14">
        <f t="shared" si="320"/>
        <v>0</v>
      </c>
      <c r="R824" s="186"/>
      <c r="S824" s="6"/>
      <c r="T824" s="15"/>
      <c r="U824" s="14">
        <f t="shared" si="321"/>
        <v>0</v>
      </c>
    </row>
    <row r="825" spans="1:22" x14ac:dyDescent="0.15">
      <c r="A825" s="1"/>
      <c r="B825" s="6" t="s">
        <v>1027</v>
      </c>
      <c r="C825" s="235">
        <v>3</v>
      </c>
      <c r="D825" s="234">
        <v>3</v>
      </c>
      <c r="E825" s="234">
        <v>3</v>
      </c>
      <c r="F825" s="220">
        <f t="shared" si="318"/>
        <v>9</v>
      </c>
      <c r="G825" s="211">
        <v>44777</v>
      </c>
      <c r="H825" s="6"/>
      <c r="I825" s="188"/>
      <c r="J825" s="15"/>
      <c r="K825" s="15"/>
      <c r="L825" s="220">
        <f t="shared" si="322"/>
        <v>0</v>
      </c>
      <c r="O825" s="6"/>
      <c r="P825" s="15"/>
      <c r="Q825" s="14">
        <f t="shared" si="320"/>
        <v>0</v>
      </c>
      <c r="R825" s="186"/>
      <c r="S825" s="6"/>
      <c r="T825" s="15"/>
      <c r="U825" s="14">
        <f t="shared" si="321"/>
        <v>0</v>
      </c>
    </row>
    <row r="826" spans="1:22" x14ac:dyDescent="0.15">
      <c r="A826" s="1"/>
      <c r="B826" s="4" t="s">
        <v>749</v>
      </c>
      <c r="C826" s="233">
        <v>1</v>
      </c>
      <c r="D826" s="234"/>
      <c r="E826" s="234"/>
      <c r="F826" s="220">
        <f t="shared" si="318"/>
        <v>1</v>
      </c>
      <c r="G826" s="248">
        <v>44776</v>
      </c>
      <c r="H826" s="4"/>
      <c r="I826" s="187"/>
      <c r="J826" s="15"/>
      <c r="K826" s="15"/>
      <c r="L826" s="220">
        <f t="shared" si="322"/>
        <v>0</v>
      </c>
      <c r="O826" s="4"/>
      <c r="P826" s="15"/>
      <c r="Q826" s="14">
        <f t="shared" si="320"/>
        <v>0</v>
      </c>
      <c r="R826" s="186"/>
      <c r="S826" s="4"/>
      <c r="T826" s="15"/>
      <c r="U826" s="14">
        <f t="shared" si="321"/>
        <v>0</v>
      </c>
    </row>
    <row r="827" spans="1:22" x14ac:dyDescent="0.15">
      <c r="A827" s="1"/>
      <c r="B827" s="6" t="s">
        <v>1028</v>
      </c>
      <c r="C827" s="233">
        <v>4</v>
      </c>
      <c r="D827" s="234">
        <v>4</v>
      </c>
      <c r="E827" s="234">
        <v>4</v>
      </c>
      <c r="F827" s="220">
        <f t="shared" si="318"/>
        <v>12</v>
      </c>
      <c r="G827" s="211">
        <v>44778</v>
      </c>
      <c r="H827" s="4"/>
      <c r="I827" s="187"/>
      <c r="J827" s="15"/>
      <c r="K827" s="15"/>
      <c r="L827" s="220">
        <f t="shared" si="322"/>
        <v>0</v>
      </c>
      <c r="O827" s="4"/>
      <c r="P827" s="15"/>
      <c r="Q827" s="14">
        <f t="shared" si="320"/>
        <v>0</v>
      </c>
      <c r="R827" s="186"/>
      <c r="S827" s="4"/>
      <c r="T827" s="15"/>
      <c r="U827" s="14">
        <f t="shared" si="321"/>
        <v>0</v>
      </c>
    </row>
    <row r="828" spans="1:22" x14ac:dyDescent="0.15">
      <c r="A828" s="1"/>
      <c r="B828" s="4" t="s">
        <v>749</v>
      </c>
      <c r="C828" s="233">
        <f>1+1+2</f>
        <v>4</v>
      </c>
      <c r="D828" s="234">
        <v>1</v>
      </c>
      <c r="E828" s="234">
        <v>1</v>
      </c>
      <c r="F828" s="220">
        <f t="shared" si="318"/>
        <v>6</v>
      </c>
      <c r="G828" s="211">
        <v>44777</v>
      </c>
      <c r="H828" s="6"/>
      <c r="I828" s="187"/>
      <c r="J828" s="15"/>
      <c r="K828" s="15"/>
      <c r="L828" s="220">
        <f t="shared" si="322"/>
        <v>0</v>
      </c>
      <c r="O828" s="4"/>
      <c r="P828" s="15"/>
      <c r="Q828" s="14">
        <f t="shared" si="320"/>
        <v>0</v>
      </c>
      <c r="R828" s="186"/>
      <c r="S828" s="4"/>
      <c r="T828" s="15"/>
      <c r="U828" s="14">
        <f t="shared" si="321"/>
        <v>0</v>
      </c>
    </row>
    <row r="829" spans="1:22" x14ac:dyDescent="0.15">
      <c r="A829" s="1"/>
      <c r="B829" s="4" t="s">
        <v>1029</v>
      </c>
      <c r="C829" s="235">
        <v>200</v>
      </c>
      <c r="D829" s="234">
        <v>40</v>
      </c>
      <c r="E829" s="234">
        <v>30</v>
      </c>
      <c r="F829" s="220">
        <f t="shared" si="318"/>
        <v>270</v>
      </c>
      <c r="G829" s="211">
        <v>44779</v>
      </c>
      <c r="H829" s="6"/>
      <c r="I829" s="188"/>
      <c r="J829" s="15"/>
      <c r="K829" s="15"/>
      <c r="L829" s="220">
        <f t="shared" si="322"/>
        <v>0</v>
      </c>
      <c r="O829" s="6"/>
      <c r="P829" s="15"/>
      <c r="Q829" s="14">
        <f t="shared" si="320"/>
        <v>0</v>
      </c>
      <c r="R829" s="186"/>
      <c r="S829" s="6"/>
      <c r="T829" s="15"/>
      <c r="U829" s="14">
        <f t="shared" si="321"/>
        <v>0</v>
      </c>
    </row>
    <row r="830" spans="1:22" x14ac:dyDescent="0.15">
      <c r="A830" s="1"/>
      <c r="B830" s="4" t="s">
        <v>749</v>
      </c>
      <c r="C830" s="233">
        <f>1+2+1+2+3+1</f>
        <v>10</v>
      </c>
      <c r="D830" s="234">
        <f>1+1+2+1+1</f>
        <v>6</v>
      </c>
      <c r="E830" s="234">
        <f>1+2</f>
        <v>3</v>
      </c>
      <c r="F830" s="220">
        <f t="shared" si="318"/>
        <v>19</v>
      </c>
      <c r="G830" s="248">
        <v>44778</v>
      </c>
      <c r="H830" s="6"/>
      <c r="I830" s="187"/>
      <c r="J830" s="15"/>
      <c r="K830" s="15"/>
      <c r="L830" s="220">
        <f t="shared" si="322"/>
        <v>0</v>
      </c>
      <c r="O830" s="4"/>
      <c r="P830" s="15"/>
      <c r="Q830" s="14">
        <f t="shared" si="320"/>
        <v>0</v>
      </c>
      <c r="R830" s="186"/>
      <c r="S830" s="6"/>
      <c r="T830" s="15"/>
      <c r="U830" s="14">
        <f t="shared" si="321"/>
        <v>0</v>
      </c>
      <c r="V830" s="186"/>
    </row>
    <row r="831" spans="1:22" x14ac:dyDescent="0.15">
      <c r="A831" s="1"/>
      <c r="B831" s="4" t="s">
        <v>764</v>
      </c>
      <c r="C831" s="235">
        <v>100</v>
      </c>
      <c r="D831" s="234">
        <v>20</v>
      </c>
      <c r="E831" s="234">
        <v>20</v>
      </c>
      <c r="F831" s="220">
        <f t="shared" si="318"/>
        <v>140</v>
      </c>
      <c r="G831" s="211">
        <v>44779</v>
      </c>
      <c r="H831" s="6"/>
      <c r="I831" s="188"/>
      <c r="J831" s="15"/>
      <c r="K831" s="15"/>
      <c r="L831" s="220">
        <f t="shared" si="322"/>
        <v>0</v>
      </c>
      <c r="M831" s="212"/>
      <c r="O831" s="6"/>
      <c r="P831" s="15"/>
      <c r="Q831" s="14">
        <f t="shared" si="320"/>
        <v>0</v>
      </c>
      <c r="R831" s="186"/>
      <c r="S831" s="4"/>
      <c r="T831" s="15"/>
      <c r="U831" s="14">
        <f t="shared" si="321"/>
        <v>0</v>
      </c>
      <c r="V831" s="186"/>
    </row>
    <row r="832" spans="1:22" x14ac:dyDescent="0.15">
      <c r="A832" s="1"/>
      <c r="B832" s="4" t="s">
        <v>1030</v>
      </c>
      <c r="C832" s="233"/>
      <c r="D832" s="234">
        <v>40</v>
      </c>
      <c r="E832" s="234"/>
      <c r="F832" s="220">
        <f t="shared" si="318"/>
        <v>40</v>
      </c>
      <c r="G832" s="211">
        <v>44780</v>
      </c>
      <c r="H832" s="4"/>
      <c r="I832" s="187"/>
      <c r="J832" s="15"/>
      <c r="K832" s="15"/>
      <c r="L832" s="220">
        <f t="shared" si="322"/>
        <v>0</v>
      </c>
      <c r="M832" s="212"/>
      <c r="O832" s="4"/>
      <c r="P832" s="15"/>
      <c r="Q832" s="14">
        <f t="shared" si="320"/>
        <v>0</v>
      </c>
      <c r="R832" s="186"/>
      <c r="S832" s="6"/>
      <c r="T832" s="15"/>
      <c r="U832" s="14">
        <f t="shared" si="321"/>
        <v>0</v>
      </c>
      <c r="V832" s="186"/>
    </row>
    <row r="833" spans="1:22" x14ac:dyDescent="0.15">
      <c r="A833" s="75"/>
      <c r="B833" s="4" t="s">
        <v>749</v>
      </c>
      <c r="C833" s="233">
        <f>1+2+1+3</f>
        <v>7</v>
      </c>
      <c r="D833" s="234">
        <f>1+1</f>
        <v>2</v>
      </c>
      <c r="E833" s="234">
        <f>1+2+1</f>
        <v>4</v>
      </c>
      <c r="F833" s="220">
        <f t="shared" si="318"/>
        <v>13</v>
      </c>
      <c r="G833" s="211">
        <v>44779</v>
      </c>
      <c r="H833" s="4"/>
      <c r="I833" s="187"/>
      <c r="J833" s="15"/>
      <c r="K833" s="15"/>
      <c r="L833" s="220">
        <f t="shared" si="322"/>
        <v>0</v>
      </c>
      <c r="M833" s="212"/>
      <c r="O833" s="4"/>
      <c r="P833" s="15"/>
      <c r="Q833" s="14">
        <f t="shared" si="320"/>
        <v>0</v>
      </c>
      <c r="R833" s="186"/>
      <c r="S833" s="6"/>
      <c r="T833" s="15"/>
      <c r="U833" s="14">
        <f t="shared" si="321"/>
        <v>0</v>
      </c>
      <c r="V833" s="211"/>
    </row>
    <row r="834" spans="1:22" x14ac:dyDescent="0.15">
      <c r="A834" s="1"/>
      <c r="B834" s="6" t="s">
        <v>1031</v>
      </c>
      <c r="C834" s="233">
        <v>1</v>
      </c>
      <c r="D834" s="234">
        <v>1</v>
      </c>
      <c r="E834" s="234">
        <v>1</v>
      </c>
      <c r="F834" s="220">
        <f t="shared" si="318"/>
        <v>3</v>
      </c>
      <c r="G834" s="211">
        <v>44782</v>
      </c>
      <c r="H834" s="4"/>
      <c r="I834" s="187"/>
      <c r="J834" s="206"/>
      <c r="K834" s="206"/>
      <c r="L834" s="220">
        <f t="shared" si="322"/>
        <v>0</v>
      </c>
      <c r="M834" s="212"/>
      <c r="O834" s="4"/>
      <c r="P834" s="15"/>
      <c r="Q834" s="14">
        <f t="shared" si="320"/>
        <v>0</v>
      </c>
      <c r="R834" s="186"/>
      <c r="S834" s="6"/>
      <c r="T834" s="15"/>
      <c r="U834" s="14">
        <f t="shared" si="321"/>
        <v>0</v>
      </c>
      <c r="V834" s="211"/>
    </row>
    <row r="835" spans="1:22" x14ac:dyDescent="0.15">
      <c r="A835" s="1"/>
      <c r="B835" s="4" t="s">
        <v>1032</v>
      </c>
      <c r="C835" s="233">
        <v>100</v>
      </c>
      <c r="D835" s="234"/>
      <c r="E835" s="234"/>
      <c r="F835" s="220">
        <f t="shared" si="318"/>
        <v>100</v>
      </c>
      <c r="G835" s="211">
        <v>44782</v>
      </c>
      <c r="H835" s="247" t="s">
        <v>957</v>
      </c>
      <c r="I835" s="265"/>
      <c r="J835" s="252"/>
      <c r="K835" s="252"/>
      <c r="L835" s="250">
        <f t="shared" ref="L835:L836" si="324">SUM(I835:K835)</f>
        <v>0</v>
      </c>
      <c r="M835" s="212"/>
      <c r="O835" s="6"/>
      <c r="P835" s="15"/>
      <c r="Q835" s="14">
        <f t="shared" si="320"/>
        <v>0</v>
      </c>
      <c r="R835" s="186"/>
      <c r="S835" s="247" t="s">
        <v>1054</v>
      </c>
      <c r="T835" s="252"/>
      <c r="U835" s="255">
        <f t="shared" si="321"/>
        <v>0</v>
      </c>
      <c r="V835" s="256"/>
    </row>
    <row r="836" spans="1:22" ht="14.25" thickBot="1" x14ac:dyDescent="0.2">
      <c r="A836" s="1"/>
      <c r="B836" s="4" t="s">
        <v>749</v>
      </c>
      <c r="C836" s="235">
        <f>2+8+1+2+1+1+2+3</f>
        <v>20</v>
      </c>
      <c r="D836" s="234">
        <f>2+1</f>
        <v>3</v>
      </c>
      <c r="E836" s="234">
        <f>2+1</f>
        <v>3</v>
      </c>
      <c r="F836" s="220">
        <f t="shared" si="318"/>
        <v>26</v>
      </c>
      <c r="G836" s="211">
        <v>44781</v>
      </c>
      <c r="H836" s="6" t="s">
        <v>969</v>
      </c>
      <c r="I836" s="187"/>
      <c r="J836" s="206"/>
      <c r="K836" s="206"/>
      <c r="L836" s="220">
        <f t="shared" si="324"/>
        <v>0</v>
      </c>
      <c r="M836" s="212" t="s">
        <v>970</v>
      </c>
      <c r="O836" s="6"/>
      <c r="P836" s="15"/>
      <c r="Q836" s="14">
        <f t="shared" si="320"/>
        <v>0</v>
      </c>
      <c r="R836" s="186"/>
      <c r="S836" s="4" t="s">
        <v>969</v>
      </c>
      <c r="T836" s="15"/>
      <c r="U836" s="14">
        <f t="shared" si="321"/>
        <v>0</v>
      </c>
      <c r="V836" s="212" t="s">
        <v>970</v>
      </c>
    </row>
    <row r="837" spans="1:22" ht="14.25" thickBot="1" x14ac:dyDescent="0.2">
      <c r="A837" s="1"/>
      <c r="B837" s="3" t="s">
        <v>5</v>
      </c>
      <c r="C837" s="16">
        <f>SUM(C813:C836)</f>
        <v>1208</v>
      </c>
      <c r="D837" s="16">
        <f>SUM(D813:D836)</f>
        <v>322</v>
      </c>
      <c r="E837" s="16">
        <f>SUM(E813:E836)</f>
        <v>198</v>
      </c>
      <c r="F837" s="223">
        <f>SUM(F813:F836)</f>
        <v>1728</v>
      </c>
      <c r="H837" s="3" t="s">
        <v>5</v>
      </c>
      <c r="I837" s="16">
        <f>SUM(I813:I836)</f>
        <v>2281</v>
      </c>
      <c r="J837" s="16">
        <f>SUM(J813:J836)</f>
        <v>500</v>
      </c>
      <c r="K837" s="16">
        <f>SUM(K813:K836)</f>
        <v>300</v>
      </c>
      <c r="L837" s="223">
        <f>SUM(L813:L836)</f>
        <v>3081</v>
      </c>
      <c r="O837" s="3" t="s">
        <v>5</v>
      </c>
      <c r="P837" s="16">
        <f>SUM(P813:P836)</f>
        <v>0</v>
      </c>
      <c r="Q837" s="17">
        <f>SUM(Q813:Q836)</f>
        <v>0</v>
      </c>
      <c r="S837" s="3" t="s">
        <v>5</v>
      </c>
      <c r="T837" s="16">
        <f>SUM(T813:T836)</f>
        <v>1000</v>
      </c>
      <c r="U837" s="17">
        <f>SUM(U813:U836)</f>
        <v>1000</v>
      </c>
    </row>
    <row r="838" spans="1:22" ht="14.25" thickBot="1" x14ac:dyDescent="0.2">
      <c r="A838" s="1"/>
      <c r="B838" s="18" t="s">
        <v>6</v>
      </c>
      <c r="C838" s="19">
        <f>C812-C837</f>
        <v>271</v>
      </c>
      <c r="D838" s="19">
        <f>D812-D837</f>
        <v>107</v>
      </c>
      <c r="E838" s="19">
        <f t="shared" ref="E838" si="325">E812-E837</f>
        <v>172</v>
      </c>
      <c r="F838" s="221">
        <f>F812-F837</f>
        <v>550</v>
      </c>
      <c r="H838" s="18" t="s">
        <v>6</v>
      </c>
      <c r="I838" s="19">
        <f>I812-I837</f>
        <v>900</v>
      </c>
      <c r="J838" s="19">
        <f>J812-J837</f>
        <v>662</v>
      </c>
      <c r="K838" s="19">
        <f t="shared" ref="K838" si="326">K812-K837</f>
        <v>737</v>
      </c>
      <c r="L838" s="221">
        <f>L812-L837</f>
        <v>2299</v>
      </c>
      <c r="O838" s="18" t="s">
        <v>6</v>
      </c>
      <c r="P838" s="19">
        <f>P812-P837</f>
        <v>0</v>
      </c>
      <c r="Q838" s="13">
        <f>Q812-Q837</f>
        <v>0</v>
      </c>
      <c r="S838" s="18" t="s">
        <v>6</v>
      </c>
      <c r="T838" s="19">
        <f>T812-T837</f>
        <v>693</v>
      </c>
      <c r="U838" s="13">
        <f>U812-U837</f>
        <v>693</v>
      </c>
    </row>
    <row r="841" spans="1:22" ht="18" thickBot="1" x14ac:dyDescent="0.25">
      <c r="A841" s="27" t="s">
        <v>739</v>
      </c>
      <c r="B841" s="28"/>
      <c r="C841" s="28"/>
      <c r="D841" s="28"/>
      <c r="E841" s="28"/>
      <c r="F841" s="218"/>
      <c r="H841" s="27" t="s">
        <v>740</v>
      </c>
      <c r="I841" s="28"/>
      <c r="J841" s="28"/>
      <c r="K841" s="28"/>
      <c r="L841" s="218"/>
      <c r="O841" s="181" t="s">
        <v>737</v>
      </c>
      <c r="P841" s="182"/>
      <c r="Q841" s="182"/>
      <c r="R841" s="183"/>
      <c r="S841" s="181" t="s">
        <v>733</v>
      </c>
      <c r="T841" s="182"/>
      <c r="U841" s="182"/>
    </row>
    <row r="842" spans="1:22" ht="14.25" thickBot="1" x14ac:dyDescent="0.2">
      <c r="A842" s="1"/>
      <c r="B842" s="2"/>
      <c r="C842" s="194" t="s">
        <v>734</v>
      </c>
      <c r="D842" s="195" t="s">
        <v>706</v>
      </c>
      <c r="E842" s="2" t="s">
        <v>735</v>
      </c>
      <c r="F842" s="219" t="s">
        <v>1</v>
      </c>
      <c r="H842" s="2"/>
      <c r="I842" s="197" t="s">
        <v>734</v>
      </c>
      <c r="J842" s="195" t="s">
        <v>706</v>
      </c>
      <c r="K842" s="201" t="s">
        <v>735</v>
      </c>
      <c r="L842" s="219" t="s">
        <v>1</v>
      </c>
      <c r="O842" s="2"/>
      <c r="P842" s="3" t="s">
        <v>722</v>
      </c>
      <c r="Q842" s="2" t="s">
        <v>1</v>
      </c>
      <c r="S842" s="2"/>
      <c r="T842" s="3" t="s">
        <v>722</v>
      </c>
      <c r="U842" s="2" t="s">
        <v>1</v>
      </c>
    </row>
    <row r="843" spans="1:22" x14ac:dyDescent="0.15">
      <c r="A843" s="1"/>
      <c r="B843" s="164" t="s">
        <v>26</v>
      </c>
      <c r="C843" s="200">
        <f>C838</f>
        <v>271</v>
      </c>
      <c r="D843" s="164">
        <f t="shared" ref="D843:F843" si="327">D838</f>
        <v>107</v>
      </c>
      <c r="E843" s="164">
        <f t="shared" si="327"/>
        <v>172</v>
      </c>
      <c r="F843" s="222">
        <f t="shared" si="327"/>
        <v>550</v>
      </c>
      <c r="H843" s="164" t="s">
        <v>26</v>
      </c>
      <c r="I843" s="200">
        <f>I838</f>
        <v>900</v>
      </c>
      <c r="J843" s="164">
        <f t="shared" ref="J843:L843" si="328">J838</f>
        <v>662</v>
      </c>
      <c r="K843" s="200">
        <f t="shared" si="328"/>
        <v>737</v>
      </c>
      <c r="L843" s="222">
        <f t="shared" si="328"/>
        <v>2299</v>
      </c>
      <c r="O843" s="171" t="s">
        <v>26</v>
      </c>
      <c r="P843" s="200">
        <f>P838</f>
        <v>0</v>
      </c>
      <c r="Q843" s="180">
        <f>Q838</f>
        <v>0</v>
      </c>
      <c r="R843" s="185"/>
      <c r="S843" s="43" t="s">
        <v>26</v>
      </c>
      <c r="T843" s="38">
        <f>T838</f>
        <v>693</v>
      </c>
      <c r="U843" s="39">
        <f>U838</f>
        <v>693</v>
      </c>
    </row>
    <row r="844" spans="1:22" x14ac:dyDescent="0.15">
      <c r="A844" s="75"/>
      <c r="B844" s="6" t="s">
        <v>801</v>
      </c>
      <c r="C844" s="188">
        <v>1</v>
      </c>
      <c r="D844" s="6">
        <v>1</v>
      </c>
      <c r="E844" s="202">
        <v>1</v>
      </c>
      <c r="F844" s="220">
        <f t="shared" ref="F844:F853" si="329">SUM(C844:E844)</f>
        <v>3</v>
      </c>
      <c r="G844" s="248">
        <v>44783</v>
      </c>
      <c r="H844" s="6" t="s">
        <v>3</v>
      </c>
      <c r="I844" s="188"/>
      <c r="J844" s="6"/>
      <c r="K844" s="202"/>
      <c r="L844" s="220">
        <f t="shared" ref="L844:L846" si="330">SUM(I844:K844)</f>
        <v>0</v>
      </c>
      <c r="O844" s="6" t="s">
        <v>3</v>
      </c>
      <c r="P844" s="7"/>
      <c r="Q844" s="5">
        <f t="shared" ref="Q844:Q853" si="331">SUM(P844:P844)</f>
        <v>0</v>
      </c>
      <c r="R844" s="186"/>
      <c r="S844" s="6" t="s">
        <v>3</v>
      </c>
      <c r="T844" s="7"/>
      <c r="U844" s="5">
        <f t="shared" ref="U844:U846" si="332">SUM(T844:T844)</f>
        <v>0</v>
      </c>
    </row>
    <row r="845" spans="1:22" x14ac:dyDescent="0.15">
      <c r="A845" s="1"/>
      <c r="B845" s="6" t="s">
        <v>3</v>
      </c>
      <c r="C845" s="6"/>
      <c r="D845" s="205"/>
      <c r="E845" s="4"/>
      <c r="F845" s="220">
        <f t="shared" si="329"/>
        <v>0</v>
      </c>
      <c r="H845" s="6" t="s">
        <v>3</v>
      </c>
      <c r="I845" s="188"/>
      <c r="J845" s="6"/>
      <c r="K845" s="202"/>
      <c r="L845" s="220">
        <f t="shared" si="330"/>
        <v>0</v>
      </c>
      <c r="O845" s="6" t="s">
        <v>3</v>
      </c>
      <c r="P845" s="7"/>
      <c r="Q845" s="5">
        <f t="shared" si="331"/>
        <v>0</v>
      </c>
      <c r="R845" s="186"/>
      <c r="S845" s="6" t="s">
        <v>3</v>
      </c>
      <c r="T845" s="7"/>
      <c r="U845" s="5">
        <f t="shared" si="332"/>
        <v>0</v>
      </c>
    </row>
    <row r="846" spans="1:22" x14ac:dyDescent="0.15">
      <c r="A846" s="1"/>
      <c r="B846" s="6" t="s">
        <v>3</v>
      </c>
      <c r="C846" s="7">
        <v>200</v>
      </c>
      <c r="D846" s="6">
        <v>100</v>
      </c>
      <c r="E846" s="4"/>
      <c r="F846" s="220">
        <f t="shared" si="329"/>
        <v>300</v>
      </c>
      <c r="G846" s="211">
        <v>44791</v>
      </c>
      <c r="H846" s="6" t="s">
        <v>3</v>
      </c>
      <c r="I846" s="188"/>
      <c r="J846" s="6"/>
      <c r="K846" s="202"/>
      <c r="L846" s="220">
        <f t="shared" si="330"/>
        <v>0</v>
      </c>
      <c r="O846" s="6" t="s">
        <v>3</v>
      </c>
      <c r="P846" s="7"/>
      <c r="Q846" s="5">
        <f t="shared" si="331"/>
        <v>0</v>
      </c>
      <c r="R846" s="186"/>
      <c r="S846" s="6" t="s">
        <v>3</v>
      </c>
      <c r="T846" s="7"/>
      <c r="U846" s="5">
        <f t="shared" si="332"/>
        <v>0</v>
      </c>
    </row>
    <row r="847" spans="1:22" x14ac:dyDescent="0.15">
      <c r="A847" s="1"/>
      <c r="B847" s="6" t="s">
        <v>3</v>
      </c>
      <c r="C847" s="6">
        <v>200</v>
      </c>
      <c r="D847" s="205"/>
      <c r="E847" s="207"/>
      <c r="F847" s="220">
        <f t="shared" si="329"/>
        <v>200</v>
      </c>
      <c r="G847" s="211">
        <v>44791</v>
      </c>
      <c r="H847" s="6" t="s">
        <v>3</v>
      </c>
      <c r="I847" s="188"/>
      <c r="J847" s="6"/>
      <c r="K847" s="202"/>
      <c r="L847" s="220">
        <f t="shared" ref="L847:L853" si="333">SUM(I847:K847)</f>
        <v>0</v>
      </c>
      <c r="O847" s="6" t="s">
        <v>3</v>
      </c>
      <c r="P847" s="7"/>
      <c r="Q847" s="5">
        <f t="shared" si="331"/>
        <v>0</v>
      </c>
      <c r="R847" s="186"/>
      <c r="S847" s="6" t="s">
        <v>3</v>
      </c>
      <c r="T847" s="7"/>
      <c r="U847" s="5">
        <f t="shared" ref="U847:U853" si="334">SUM(T847:T847)</f>
        <v>0</v>
      </c>
    </row>
    <row r="848" spans="1:22" x14ac:dyDescent="0.15">
      <c r="A848" s="1"/>
      <c r="B848" s="6" t="s">
        <v>968</v>
      </c>
      <c r="C848" s="6">
        <v>2</v>
      </c>
      <c r="D848" s="6"/>
      <c r="E848" s="4"/>
      <c r="F848" s="220">
        <f t="shared" si="329"/>
        <v>2</v>
      </c>
      <c r="G848" s="211">
        <v>44793</v>
      </c>
      <c r="H848" s="6" t="s">
        <v>3</v>
      </c>
      <c r="I848" s="188"/>
      <c r="J848" s="6"/>
      <c r="K848" s="202"/>
      <c r="L848" s="220">
        <f t="shared" si="333"/>
        <v>0</v>
      </c>
      <c r="O848" s="6" t="s">
        <v>3</v>
      </c>
      <c r="P848" s="7"/>
      <c r="Q848" s="5">
        <f t="shared" si="331"/>
        <v>0</v>
      </c>
      <c r="R848" s="186"/>
      <c r="S848" s="6" t="s">
        <v>3</v>
      </c>
      <c r="T848" s="7"/>
      <c r="U848" s="5">
        <f t="shared" si="334"/>
        <v>0</v>
      </c>
    </row>
    <row r="849" spans="1:22" x14ac:dyDescent="0.15">
      <c r="A849" s="75"/>
      <c r="B849" s="246" t="s">
        <v>1049</v>
      </c>
      <c r="C849" s="246">
        <v>6</v>
      </c>
      <c r="D849" s="246">
        <v>-2</v>
      </c>
      <c r="E849" s="259">
        <v>0</v>
      </c>
      <c r="F849" s="257">
        <f t="shared" si="329"/>
        <v>4</v>
      </c>
      <c r="G849" s="263">
        <v>44796</v>
      </c>
      <c r="H849" s="6" t="s">
        <v>3</v>
      </c>
      <c r="I849" s="188"/>
      <c r="J849" s="6"/>
      <c r="K849" s="202"/>
      <c r="L849" s="220">
        <f t="shared" si="333"/>
        <v>0</v>
      </c>
      <c r="O849" s="6" t="s">
        <v>3</v>
      </c>
      <c r="P849" s="7"/>
      <c r="Q849" s="5">
        <f t="shared" si="331"/>
        <v>0</v>
      </c>
      <c r="R849" s="186"/>
      <c r="S849" s="6" t="s">
        <v>3</v>
      </c>
      <c r="T849" s="7"/>
      <c r="U849" s="5">
        <f t="shared" si="334"/>
        <v>0</v>
      </c>
    </row>
    <row r="850" spans="1:22" x14ac:dyDescent="0.15">
      <c r="A850" s="75"/>
      <c r="B850" s="6" t="s">
        <v>3</v>
      </c>
      <c r="C850" s="6"/>
      <c r="D850" s="225"/>
      <c r="E850" s="226"/>
      <c r="F850" s="220">
        <f t="shared" si="329"/>
        <v>0</v>
      </c>
      <c r="H850" s="6" t="s">
        <v>3</v>
      </c>
      <c r="I850" s="188"/>
      <c r="J850" s="225"/>
      <c r="K850" s="243"/>
      <c r="L850" s="220">
        <f t="shared" si="333"/>
        <v>0</v>
      </c>
      <c r="O850" s="6" t="s">
        <v>3</v>
      </c>
      <c r="P850" s="8"/>
      <c r="Q850" s="5">
        <f t="shared" si="331"/>
        <v>0</v>
      </c>
      <c r="R850" s="186"/>
      <c r="S850" s="6" t="s">
        <v>3</v>
      </c>
      <c r="T850" s="54"/>
      <c r="U850" s="5">
        <f t="shared" si="334"/>
        <v>0</v>
      </c>
    </row>
    <row r="851" spans="1:22" x14ac:dyDescent="0.15">
      <c r="A851" s="75"/>
      <c r="B851" s="6" t="s">
        <v>3</v>
      </c>
      <c r="C851" s="6"/>
      <c r="D851" s="225"/>
      <c r="E851" s="226"/>
      <c r="F851" s="220">
        <f t="shared" si="329"/>
        <v>0</v>
      </c>
      <c r="H851" s="6" t="s">
        <v>3</v>
      </c>
      <c r="I851" s="188"/>
      <c r="J851" s="225"/>
      <c r="K851" s="243"/>
      <c r="L851" s="220">
        <f t="shared" si="333"/>
        <v>0</v>
      </c>
      <c r="M851" s="211"/>
      <c r="O851" s="6" t="s">
        <v>3</v>
      </c>
      <c r="P851" s="8"/>
      <c r="Q851" s="5">
        <f t="shared" si="331"/>
        <v>0</v>
      </c>
      <c r="R851" s="186"/>
      <c r="S851" s="6" t="s">
        <v>3</v>
      </c>
      <c r="T851" s="54"/>
      <c r="U851" s="5">
        <f t="shared" si="334"/>
        <v>0</v>
      </c>
      <c r="V851" s="185"/>
    </row>
    <row r="852" spans="1:22" x14ac:dyDescent="0.15">
      <c r="A852" s="1"/>
      <c r="B852" s="6" t="s">
        <v>3</v>
      </c>
      <c r="C852" s="6"/>
      <c r="D852" s="225"/>
      <c r="E852" s="226"/>
      <c r="F852" s="220">
        <f t="shared" si="329"/>
        <v>0</v>
      </c>
      <c r="G852" s="212"/>
      <c r="H852" s="6" t="s">
        <v>3</v>
      </c>
      <c r="I852" s="188"/>
      <c r="J852" s="225"/>
      <c r="K852" s="243"/>
      <c r="L852" s="220">
        <f t="shared" si="333"/>
        <v>0</v>
      </c>
      <c r="M852" s="186"/>
      <c r="O852" s="6" t="s">
        <v>3</v>
      </c>
      <c r="P852" s="8"/>
      <c r="Q852" s="5">
        <f t="shared" si="331"/>
        <v>0</v>
      </c>
      <c r="R852" s="186"/>
      <c r="S852" s="6" t="s">
        <v>3</v>
      </c>
      <c r="T852" s="8"/>
      <c r="U852" s="5">
        <f t="shared" si="334"/>
        <v>0</v>
      </c>
      <c r="V852" s="186"/>
    </row>
    <row r="853" spans="1:22" ht="14.25" thickBot="1" x14ac:dyDescent="0.2">
      <c r="A853" s="1"/>
      <c r="B853" s="6" t="s">
        <v>3</v>
      </c>
      <c r="C853" s="9"/>
      <c r="D853" s="237"/>
      <c r="E853" s="238"/>
      <c r="F853" s="220">
        <f t="shared" si="329"/>
        <v>0</v>
      </c>
      <c r="H853" s="9" t="s">
        <v>3</v>
      </c>
      <c r="I853" s="198"/>
      <c r="J853" s="244"/>
      <c r="K853" s="245"/>
      <c r="L853" s="220">
        <f t="shared" si="333"/>
        <v>0</v>
      </c>
      <c r="O853" s="9" t="s">
        <v>3</v>
      </c>
      <c r="P853" s="10"/>
      <c r="Q853" s="5">
        <f t="shared" si="331"/>
        <v>0</v>
      </c>
      <c r="R853" s="186"/>
      <c r="S853" s="9" t="s">
        <v>3</v>
      </c>
      <c r="T853" s="10"/>
      <c r="U853" s="5">
        <f t="shared" si="334"/>
        <v>0</v>
      </c>
    </row>
    <row r="854" spans="1:22" ht="14.25" thickBot="1" x14ac:dyDescent="0.2">
      <c r="A854" s="1"/>
      <c r="B854" s="11" t="s">
        <v>4</v>
      </c>
      <c r="C854" s="193">
        <f>SUM(C843:C853)</f>
        <v>680</v>
      </c>
      <c r="D854" s="193">
        <f>SUM(D843:D853)</f>
        <v>206</v>
      </c>
      <c r="E854" s="193">
        <f>SUM(E843:E853)</f>
        <v>173</v>
      </c>
      <c r="F854" s="221">
        <f>SUM(F843:F853)</f>
        <v>1059</v>
      </c>
      <c r="H854" s="11" t="s">
        <v>4</v>
      </c>
      <c r="I854" s="193">
        <f>SUM(I843:I853)</f>
        <v>900</v>
      </c>
      <c r="J854" s="193">
        <f>SUM(J843:J853)</f>
        <v>662</v>
      </c>
      <c r="K854" s="193">
        <f t="shared" ref="K854" si="335">SUM(K843:K853)</f>
        <v>737</v>
      </c>
      <c r="L854" s="221">
        <f>SUM(L843:L853)</f>
        <v>2299</v>
      </c>
      <c r="O854" s="11" t="s">
        <v>4</v>
      </c>
      <c r="P854" s="12">
        <f>SUM(P843:P853)</f>
        <v>0</v>
      </c>
      <c r="Q854" s="13">
        <f>SUM(Q843:Q853)</f>
        <v>0</v>
      </c>
      <c r="S854" s="11" t="s">
        <v>4</v>
      </c>
      <c r="T854" s="12">
        <f>SUM(T843:T853)</f>
        <v>693</v>
      </c>
      <c r="U854" s="13">
        <f>SUM(U843:U853)</f>
        <v>693</v>
      </c>
    </row>
    <row r="855" spans="1:22" x14ac:dyDescent="0.15">
      <c r="A855" s="1"/>
      <c r="B855" s="4" t="s">
        <v>1035</v>
      </c>
      <c r="C855" s="215">
        <v>3</v>
      </c>
      <c r="D855" s="215">
        <v>3</v>
      </c>
      <c r="E855" s="216">
        <v>1</v>
      </c>
      <c r="F855" s="220">
        <f t="shared" ref="F855:F878" si="336">SUM(C855:E855)</f>
        <v>7</v>
      </c>
      <c r="G855" s="211">
        <v>44781</v>
      </c>
      <c r="H855" s="6"/>
      <c r="I855" s="235"/>
      <c r="J855" s="215"/>
      <c r="K855" s="240"/>
      <c r="L855" s="220">
        <f t="shared" ref="L855:L875" si="337">SUM(I855:K855)</f>
        <v>0</v>
      </c>
      <c r="M855" s="211"/>
      <c r="O855" s="4"/>
      <c r="P855" s="44"/>
      <c r="Q855" s="14">
        <f t="shared" ref="Q855:Q878" si="338">SUM(P855:P855)</f>
        <v>0</v>
      </c>
      <c r="R855" s="185"/>
      <c r="S855" s="6"/>
      <c r="T855" s="44"/>
      <c r="U855" s="14">
        <f t="shared" ref="U855:U876" si="339">SUM(T855:T855)</f>
        <v>0</v>
      </c>
      <c r="V855" s="185"/>
    </row>
    <row r="856" spans="1:22" x14ac:dyDescent="0.15">
      <c r="A856" s="1"/>
      <c r="B856" s="6" t="s">
        <v>1036</v>
      </c>
      <c r="C856" s="216">
        <v>3</v>
      </c>
      <c r="D856" s="232">
        <v>3</v>
      </c>
      <c r="E856" s="232">
        <v>3</v>
      </c>
      <c r="F856" s="220">
        <f t="shared" si="336"/>
        <v>9</v>
      </c>
      <c r="G856" s="211">
        <v>44783</v>
      </c>
      <c r="H856" s="6"/>
      <c r="I856" s="215"/>
      <c r="J856" s="215"/>
      <c r="K856" s="216"/>
      <c r="L856" s="220">
        <f t="shared" si="337"/>
        <v>0</v>
      </c>
      <c r="M856" s="211"/>
      <c r="O856" s="4"/>
      <c r="P856" s="15"/>
      <c r="Q856" s="14">
        <f t="shared" si="338"/>
        <v>0</v>
      </c>
      <c r="R856" s="186"/>
      <c r="S856" s="6"/>
      <c r="T856" s="15"/>
      <c r="U856" s="14">
        <f t="shared" si="339"/>
        <v>0</v>
      </c>
      <c r="V856" s="185"/>
    </row>
    <row r="857" spans="1:22" x14ac:dyDescent="0.15">
      <c r="A857" s="1"/>
      <c r="B857" s="4" t="s">
        <v>1037</v>
      </c>
      <c r="C857" s="216">
        <v>100</v>
      </c>
      <c r="D857" s="232">
        <v>40</v>
      </c>
      <c r="E857" s="232"/>
      <c r="F857" s="220">
        <f t="shared" si="336"/>
        <v>140</v>
      </c>
      <c r="G857" s="211">
        <v>44783</v>
      </c>
      <c r="H857" s="6"/>
      <c r="I857" s="216"/>
      <c r="J857" s="232"/>
      <c r="K857" s="232"/>
      <c r="L857" s="220">
        <f t="shared" si="337"/>
        <v>0</v>
      </c>
      <c r="M857" s="211"/>
      <c r="O857" s="4"/>
      <c r="P857" s="15"/>
      <c r="Q857" s="14">
        <f t="shared" si="338"/>
        <v>0</v>
      </c>
      <c r="R857" s="186"/>
      <c r="S857" s="6"/>
      <c r="T857" s="15"/>
      <c r="U857" s="14">
        <f t="shared" si="339"/>
        <v>0</v>
      </c>
      <c r="V857" s="185"/>
    </row>
    <row r="858" spans="1:22" x14ac:dyDescent="0.15">
      <c r="A858" s="1"/>
      <c r="B858" s="4" t="s">
        <v>749</v>
      </c>
      <c r="C858" s="233"/>
      <c r="D858" s="234"/>
      <c r="E858" s="234">
        <v>1</v>
      </c>
      <c r="F858" s="220">
        <f t="shared" si="336"/>
        <v>1</v>
      </c>
      <c r="G858" s="211">
        <v>44782</v>
      </c>
      <c r="H858" s="4"/>
      <c r="I858" s="233"/>
      <c r="J858" s="234"/>
      <c r="K858" s="234"/>
      <c r="L858" s="220">
        <f t="shared" si="337"/>
        <v>0</v>
      </c>
      <c r="M858" s="211"/>
      <c r="O858" s="4"/>
      <c r="P858" s="15"/>
      <c r="Q858" s="14">
        <f t="shared" si="338"/>
        <v>0</v>
      </c>
      <c r="R858" s="186"/>
      <c r="S858" s="6"/>
      <c r="T858" s="15"/>
      <c r="U858" s="14">
        <f t="shared" si="339"/>
        <v>0</v>
      </c>
      <c r="V858" s="185"/>
    </row>
    <row r="859" spans="1:22" x14ac:dyDescent="0.15">
      <c r="A859" s="1"/>
      <c r="B859" s="6" t="s">
        <v>1038</v>
      </c>
      <c r="C859" s="233">
        <v>3</v>
      </c>
      <c r="D859" s="234">
        <v>3</v>
      </c>
      <c r="E859" s="234">
        <v>3</v>
      </c>
      <c r="F859" s="220">
        <f t="shared" si="336"/>
        <v>9</v>
      </c>
      <c r="G859" s="211">
        <v>44785</v>
      </c>
      <c r="H859" s="4"/>
      <c r="I859" s="233"/>
      <c r="J859" s="234"/>
      <c r="K859" s="234"/>
      <c r="L859" s="220">
        <f t="shared" si="337"/>
        <v>0</v>
      </c>
      <c r="M859" s="211"/>
      <c r="O859" s="4"/>
      <c r="P859" s="15"/>
      <c r="Q859" s="14">
        <f t="shared" si="338"/>
        <v>0</v>
      </c>
      <c r="R859" s="186"/>
      <c r="S859" s="6"/>
      <c r="T859" s="15"/>
      <c r="U859" s="14">
        <f t="shared" si="339"/>
        <v>0</v>
      </c>
      <c r="V859" s="185"/>
    </row>
    <row r="860" spans="1:22" x14ac:dyDescent="0.15">
      <c r="A860" s="1"/>
      <c r="B860" s="4" t="s">
        <v>749</v>
      </c>
      <c r="C860" s="233">
        <f>1+2+1</f>
        <v>4</v>
      </c>
      <c r="D860" s="234">
        <f>1</f>
        <v>1</v>
      </c>
      <c r="E860" s="234">
        <f>1</f>
        <v>1</v>
      </c>
      <c r="F860" s="220">
        <f t="shared" si="336"/>
        <v>6</v>
      </c>
      <c r="G860" s="211">
        <v>44783</v>
      </c>
      <c r="H860" s="4"/>
      <c r="I860" s="233"/>
      <c r="J860" s="234"/>
      <c r="K860" s="234"/>
      <c r="L860" s="220">
        <f t="shared" si="337"/>
        <v>0</v>
      </c>
      <c r="O860" s="4"/>
      <c r="P860" s="15"/>
      <c r="Q860" s="14">
        <f t="shared" si="338"/>
        <v>0</v>
      </c>
      <c r="R860" s="186"/>
      <c r="S860" s="6"/>
      <c r="T860" s="15"/>
      <c r="U860" s="14">
        <f t="shared" si="339"/>
        <v>0</v>
      </c>
      <c r="V860" s="185"/>
    </row>
    <row r="861" spans="1:22" x14ac:dyDescent="0.15">
      <c r="A861" s="1"/>
      <c r="B861" s="4" t="s">
        <v>1039</v>
      </c>
      <c r="C861" s="233">
        <v>80</v>
      </c>
      <c r="D861" s="234">
        <v>20</v>
      </c>
      <c r="E861" s="234">
        <v>20</v>
      </c>
      <c r="F861" s="220">
        <f t="shared" si="336"/>
        <v>120</v>
      </c>
      <c r="G861" s="211">
        <v>44785</v>
      </c>
      <c r="H861" s="4"/>
      <c r="I861" s="233"/>
      <c r="J861" s="234"/>
      <c r="K861" s="234"/>
      <c r="L861" s="220">
        <f t="shared" si="337"/>
        <v>0</v>
      </c>
      <c r="O861" s="4"/>
      <c r="P861" s="15"/>
      <c r="Q861" s="14">
        <f t="shared" si="338"/>
        <v>0</v>
      </c>
      <c r="R861" s="186"/>
      <c r="S861" s="4"/>
      <c r="T861" s="15"/>
      <c r="U861" s="14">
        <f t="shared" si="339"/>
        <v>0</v>
      </c>
    </row>
    <row r="862" spans="1:22" x14ac:dyDescent="0.15">
      <c r="A862" s="1"/>
      <c r="B862" s="4" t="s">
        <v>1040</v>
      </c>
      <c r="C862" s="233">
        <v>40</v>
      </c>
      <c r="D862" s="234"/>
      <c r="E862" s="234"/>
      <c r="F862" s="220">
        <f t="shared" si="336"/>
        <v>40</v>
      </c>
      <c r="G862" s="211">
        <v>44796</v>
      </c>
      <c r="H862" s="4"/>
      <c r="I862" s="233"/>
      <c r="J862" s="234"/>
      <c r="K862" s="234"/>
      <c r="L862" s="220">
        <f t="shared" si="337"/>
        <v>0</v>
      </c>
      <c r="O862" s="4"/>
      <c r="P862" s="15"/>
      <c r="Q862" s="14">
        <f t="shared" si="338"/>
        <v>0</v>
      </c>
      <c r="R862" s="186"/>
      <c r="S862" s="4"/>
      <c r="T862" s="15"/>
      <c r="U862" s="14">
        <f t="shared" si="339"/>
        <v>0</v>
      </c>
    </row>
    <row r="863" spans="1:22" x14ac:dyDescent="0.15">
      <c r="A863" s="1"/>
      <c r="B863" s="4" t="s">
        <v>749</v>
      </c>
      <c r="C863" s="233">
        <f>1+3</f>
        <v>4</v>
      </c>
      <c r="D863" s="234">
        <f>1+1+3</f>
        <v>5</v>
      </c>
      <c r="E863" s="234">
        <f>1+3</f>
        <v>4</v>
      </c>
      <c r="F863" s="220">
        <f>SUM(C863:E863)</f>
        <v>13</v>
      </c>
      <c r="G863" s="248">
        <v>44784</v>
      </c>
      <c r="H863" s="4"/>
      <c r="I863" s="187"/>
      <c r="J863" s="15"/>
      <c r="K863" s="15"/>
      <c r="L863" s="220">
        <f t="shared" si="337"/>
        <v>0</v>
      </c>
      <c r="O863" s="4"/>
      <c r="P863" s="15"/>
      <c r="Q863" s="14">
        <f t="shared" si="338"/>
        <v>0</v>
      </c>
      <c r="R863" s="186"/>
      <c r="S863" s="4"/>
      <c r="T863" s="15"/>
      <c r="U863" s="14">
        <f t="shared" si="339"/>
        <v>0</v>
      </c>
    </row>
    <row r="864" spans="1:22" x14ac:dyDescent="0.15">
      <c r="A864" s="1"/>
      <c r="B864" s="4" t="s">
        <v>749</v>
      </c>
      <c r="C864" s="233">
        <f>3+8+1+2+1</f>
        <v>15</v>
      </c>
      <c r="D864" s="234">
        <f>1+3+2+1</f>
        <v>7</v>
      </c>
      <c r="E864" s="234">
        <f>3+2+1</f>
        <v>6</v>
      </c>
      <c r="F864" s="220">
        <f t="shared" si="336"/>
        <v>28</v>
      </c>
      <c r="G864" s="248">
        <v>44790</v>
      </c>
      <c r="H864" s="4"/>
      <c r="I864" s="187"/>
      <c r="J864" s="15"/>
      <c r="K864" s="15"/>
      <c r="L864" s="220">
        <f t="shared" si="337"/>
        <v>0</v>
      </c>
      <c r="O864" s="4"/>
      <c r="P864" s="15"/>
      <c r="Q864" s="14">
        <f t="shared" si="338"/>
        <v>0</v>
      </c>
      <c r="R864" s="186"/>
      <c r="S864" s="4"/>
      <c r="T864" s="15"/>
      <c r="U864" s="14">
        <f t="shared" si="339"/>
        <v>0</v>
      </c>
    </row>
    <row r="865" spans="1:22" x14ac:dyDescent="0.15">
      <c r="A865" s="1"/>
      <c r="B865" s="4" t="s">
        <v>1041</v>
      </c>
      <c r="C865" s="233">
        <v>40</v>
      </c>
      <c r="D865" s="234"/>
      <c r="E865" s="234"/>
      <c r="F865" s="220">
        <f t="shared" si="336"/>
        <v>40</v>
      </c>
      <c r="G865" s="211">
        <v>44791</v>
      </c>
      <c r="H865" s="4"/>
      <c r="I865" s="187"/>
      <c r="J865" s="15"/>
      <c r="K865" s="15"/>
      <c r="L865" s="220">
        <f t="shared" si="337"/>
        <v>0</v>
      </c>
      <c r="O865" s="4"/>
      <c r="P865" s="15"/>
      <c r="Q865" s="14">
        <f t="shared" si="338"/>
        <v>0</v>
      </c>
      <c r="R865" s="186"/>
      <c r="S865" s="4"/>
      <c r="T865" s="15"/>
      <c r="U865" s="14">
        <f t="shared" si="339"/>
        <v>0</v>
      </c>
    </row>
    <row r="866" spans="1:22" x14ac:dyDescent="0.15">
      <c r="A866" s="1"/>
      <c r="B866" s="4" t="s">
        <v>749</v>
      </c>
      <c r="C866" s="235">
        <f>8+4</f>
        <v>12</v>
      </c>
      <c r="D866" s="234">
        <f>1</f>
        <v>1</v>
      </c>
      <c r="E866" s="234">
        <f>2</f>
        <v>2</v>
      </c>
      <c r="F866" s="220">
        <f t="shared" si="336"/>
        <v>15</v>
      </c>
      <c r="G866" s="211">
        <v>44791</v>
      </c>
      <c r="H866" s="6"/>
      <c r="I866" s="188"/>
      <c r="J866" s="15"/>
      <c r="K866" s="15"/>
      <c r="L866" s="220">
        <f t="shared" si="337"/>
        <v>0</v>
      </c>
      <c r="O866" s="6"/>
      <c r="P866" s="15"/>
      <c r="Q866" s="14">
        <f t="shared" si="338"/>
        <v>0</v>
      </c>
      <c r="R866" s="186"/>
      <c r="S866" s="6"/>
      <c r="T866" s="15"/>
      <c r="U866" s="14">
        <f t="shared" si="339"/>
        <v>0</v>
      </c>
    </row>
    <row r="867" spans="1:22" x14ac:dyDescent="0.15">
      <c r="A867" s="1"/>
      <c r="B867" s="4" t="s">
        <v>1043</v>
      </c>
      <c r="C867" s="235">
        <v>100</v>
      </c>
      <c r="D867" s="234"/>
      <c r="E867" s="234"/>
      <c r="F867" s="220">
        <f t="shared" si="336"/>
        <v>100</v>
      </c>
      <c r="G867" s="211">
        <v>44792</v>
      </c>
      <c r="H867" s="6"/>
      <c r="I867" s="188"/>
      <c r="J867" s="15"/>
      <c r="K867" s="15"/>
      <c r="L867" s="220">
        <f t="shared" si="337"/>
        <v>0</v>
      </c>
      <c r="O867" s="6"/>
      <c r="P867" s="15"/>
      <c r="Q867" s="14">
        <f t="shared" si="338"/>
        <v>0</v>
      </c>
      <c r="R867" s="186"/>
      <c r="S867" s="6"/>
      <c r="T867" s="15"/>
      <c r="U867" s="14">
        <f t="shared" si="339"/>
        <v>0</v>
      </c>
    </row>
    <row r="868" spans="1:22" x14ac:dyDescent="0.15">
      <c r="A868" s="1"/>
      <c r="B868" s="4" t="s">
        <v>1044</v>
      </c>
      <c r="C868" s="233">
        <v>50</v>
      </c>
      <c r="D868" s="234">
        <v>20</v>
      </c>
      <c r="E868" s="234">
        <v>20</v>
      </c>
      <c r="F868" s="220">
        <f t="shared" si="336"/>
        <v>90</v>
      </c>
      <c r="G868" s="211">
        <v>44792</v>
      </c>
      <c r="H868" s="4"/>
      <c r="I868" s="187"/>
      <c r="J868" s="15"/>
      <c r="K868" s="15"/>
      <c r="L868" s="220">
        <f t="shared" si="337"/>
        <v>0</v>
      </c>
      <c r="O868" s="4"/>
      <c r="P868" s="15"/>
      <c r="Q868" s="14">
        <f t="shared" si="338"/>
        <v>0</v>
      </c>
      <c r="R868" s="186"/>
      <c r="S868" s="4"/>
      <c r="T868" s="15"/>
      <c r="U868" s="14">
        <f t="shared" si="339"/>
        <v>0</v>
      </c>
    </row>
    <row r="869" spans="1:22" x14ac:dyDescent="0.15">
      <c r="A869" s="1"/>
      <c r="B869" s="4" t="s">
        <v>1045</v>
      </c>
      <c r="C869" s="233">
        <v>5</v>
      </c>
      <c r="D869" s="234">
        <v>5</v>
      </c>
      <c r="E869" s="234">
        <v>5</v>
      </c>
      <c r="F869" s="220">
        <f t="shared" si="336"/>
        <v>15</v>
      </c>
      <c r="G869" s="211">
        <v>44792</v>
      </c>
      <c r="H869" s="4"/>
      <c r="I869" s="187"/>
      <c r="J869" s="15"/>
      <c r="K869" s="15"/>
      <c r="L869" s="220">
        <f t="shared" si="337"/>
        <v>0</v>
      </c>
      <c r="O869" s="4"/>
      <c r="P869" s="15"/>
      <c r="Q869" s="14">
        <f t="shared" si="338"/>
        <v>0</v>
      </c>
      <c r="R869" s="186"/>
      <c r="S869" s="4"/>
      <c r="T869" s="15"/>
      <c r="U869" s="14">
        <f t="shared" si="339"/>
        <v>0</v>
      </c>
    </row>
    <row r="870" spans="1:22" x14ac:dyDescent="0.15">
      <c r="A870" s="1"/>
      <c r="B870" s="4" t="s">
        <v>1046</v>
      </c>
      <c r="C870" s="233">
        <v>1</v>
      </c>
      <c r="D870" s="234"/>
      <c r="E870" s="234">
        <v>3</v>
      </c>
      <c r="F870" s="220">
        <f t="shared" si="336"/>
        <v>4</v>
      </c>
      <c r="G870" s="248">
        <v>44791</v>
      </c>
      <c r="H870" s="6"/>
      <c r="I870" s="187"/>
      <c r="J870" s="15"/>
      <c r="K870" s="15"/>
      <c r="L870" s="220">
        <f t="shared" si="337"/>
        <v>0</v>
      </c>
      <c r="O870" s="4"/>
      <c r="P870" s="15"/>
      <c r="Q870" s="14">
        <f t="shared" si="338"/>
        <v>0</v>
      </c>
      <c r="R870" s="186"/>
      <c r="S870" s="4"/>
      <c r="T870" s="15"/>
      <c r="U870" s="14">
        <f t="shared" si="339"/>
        <v>0</v>
      </c>
    </row>
    <row r="871" spans="1:22" x14ac:dyDescent="0.15">
      <c r="A871" s="1"/>
      <c r="B871" s="4" t="s">
        <v>749</v>
      </c>
      <c r="C871" s="235">
        <f>8+1</f>
        <v>9</v>
      </c>
      <c r="D871" s="234">
        <f>1+1</f>
        <v>2</v>
      </c>
      <c r="E871" s="234">
        <f>1</f>
        <v>1</v>
      </c>
      <c r="F871" s="220">
        <f t="shared" si="336"/>
        <v>12</v>
      </c>
      <c r="G871" s="248">
        <v>44792</v>
      </c>
      <c r="H871" s="6"/>
      <c r="I871" s="188"/>
      <c r="J871" s="15"/>
      <c r="K871" s="15"/>
      <c r="L871" s="220">
        <f t="shared" si="337"/>
        <v>0</v>
      </c>
      <c r="O871" s="6"/>
      <c r="P871" s="15"/>
      <c r="Q871" s="14">
        <f t="shared" si="338"/>
        <v>0</v>
      </c>
      <c r="R871" s="186"/>
      <c r="S871" s="6"/>
      <c r="T871" s="15"/>
      <c r="U871" s="14">
        <f t="shared" si="339"/>
        <v>0</v>
      </c>
    </row>
    <row r="872" spans="1:22" x14ac:dyDescent="0.15">
      <c r="A872" s="1"/>
      <c r="B872" s="4" t="s">
        <v>749</v>
      </c>
      <c r="C872" s="233">
        <v>1</v>
      </c>
      <c r="D872" s="234"/>
      <c r="E872" s="234"/>
      <c r="F872" s="220">
        <f t="shared" si="336"/>
        <v>1</v>
      </c>
      <c r="G872" s="248">
        <v>44793</v>
      </c>
      <c r="H872" s="6"/>
      <c r="I872" s="187"/>
      <c r="J872" s="15"/>
      <c r="K872" s="15"/>
      <c r="L872" s="220">
        <f t="shared" si="337"/>
        <v>0</v>
      </c>
      <c r="O872" s="4"/>
      <c r="P872" s="15"/>
      <c r="Q872" s="14">
        <f t="shared" si="338"/>
        <v>0</v>
      </c>
      <c r="R872" s="186"/>
      <c r="S872" s="6"/>
      <c r="T872" s="15"/>
      <c r="U872" s="14">
        <f t="shared" si="339"/>
        <v>0</v>
      </c>
      <c r="V872" s="186"/>
    </row>
    <row r="873" spans="1:22" x14ac:dyDescent="0.15">
      <c r="A873" s="1"/>
      <c r="B873" s="6" t="s">
        <v>1047</v>
      </c>
      <c r="C873" s="235">
        <v>1</v>
      </c>
      <c r="D873" s="234">
        <v>1</v>
      </c>
      <c r="E873" s="234">
        <v>1</v>
      </c>
      <c r="F873" s="220">
        <f t="shared" si="336"/>
        <v>3</v>
      </c>
      <c r="G873" s="211">
        <v>44796</v>
      </c>
      <c r="H873" s="6"/>
      <c r="I873" s="188"/>
      <c r="J873" s="15"/>
      <c r="K873" s="15"/>
      <c r="L873" s="220">
        <f t="shared" si="337"/>
        <v>0</v>
      </c>
      <c r="M873" s="212"/>
      <c r="O873" s="6"/>
      <c r="P873" s="15"/>
      <c r="Q873" s="14">
        <f t="shared" si="338"/>
        <v>0</v>
      </c>
      <c r="R873" s="186"/>
      <c r="S873" s="4"/>
      <c r="T873" s="15"/>
      <c r="U873" s="14">
        <f t="shared" si="339"/>
        <v>0</v>
      </c>
      <c r="V873" s="186"/>
    </row>
    <row r="874" spans="1:22" x14ac:dyDescent="0.15">
      <c r="A874" s="1"/>
      <c r="B874" s="4" t="s">
        <v>1048</v>
      </c>
      <c r="C874" s="233">
        <v>100</v>
      </c>
      <c r="D874" s="234"/>
      <c r="E874" s="234"/>
      <c r="F874" s="220">
        <f t="shared" si="336"/>
        <v>100</v>
      </c>
      <c r="G874" s="211">
        <v>44796</v>
      </c>
      <c r="H874" s="4"/>
      <c r="I874" s="187"/>
      <c r="J874" s="15"/>
      <c r="K874" s="15"/>
      <c r="L874" s="220">
        <f t="shared" si="337"/>
        <v>0</v>
      </c>
      <c r="M874" s="212"/>
      <c r="O874" s="4"/>
      <c r="P874" s="15"/>
      <c r="Q874" s="14">
        <f t="shared" si="338"/>
        <v>0</v>
      </c>
      <c r="R874" s="186"/>
      <c r="S874" s="6"/>
      <c r="T874" s="15"/>
      <c r="U874" s="14">
        <f t="shared" si="339"/>
        <v>0</v>
      </c>
      <c r="V874" s="186"/>
    </row>
    <row r="875" spans="1:22" x14ac:dyDescent="0.15">
      <c r="A875" s="75"/>
      <c r="B875" s="4" t="s">
        <v>749</v>
      </c>
      <c r="C875" s="233">
        <v>1</v>
      </c>
      <c r="D875" s="234"/>
      <c r="E875" s="234"/>
      <c r="F875" s="220">
        <f t="shared" si="336"/>
        <v>1</v>
      </c>
      <c r="G875" s="248">
        <v>44795</v>
      </c>
      <c r="H875" s="6"/>
      <c r="I875" s="187"/>
      <c r="J875" s="15"/>
      <c r="K875" s="15"/>
      <c r="L875" s="220">
        <f t="shared" si="337"/>
        <v>0</v>
      </c>
      <c r="M875" s="212"/>
      <c r="O875" s="4"/>
      <c r="P875" s="15"/>
      <c r="Q875" s="14">
        <f t="shared" si="338"/>
        <v>0</v>
      </c>
      <c r="R875" s="186"/>
      <c r="S875" s="6"/>
      <c r="T875" s="15"/>
      <c r="U875" s="14">
        <f t="shared" si="339"/>
        <v>0</v>
      </c>
      <c r="V875" s="186"/>
    </row>
    <row r="876" spans="1:22" x14ac:dyDescent="0.15">
      <c r="A876" s="1"/>
      <c r="B876" s="4" t="s">
        <v>749</v>
      </c>
      <c r="C876" s="233">
        <v>1</v>
      </c>
      <c r="D876" s="234">
        <v>1</v>
      </c>
      <c r="E876" s="234">
        <v>1</v>
      </c>
      <c r="F876" s="220">
        <f t="shared" si="336"/>
        <v>3</v>
      </c>
      <c r="G876" s="248">
        <v>44796</v>
      </c>
      <c r="H876" s="6"/>
      <c r="I876" s="187"/>
      <c r="J876" s="15"/>
      <c r="K876" s="15"/>
      <c r="L876" s="220">
        <f t="shared" ref="L876:L878" si="340">SUM(I876:K876)</f>
        <v>0</v>
      </c>
      <c r="M876" s="212"/>
      <c r="O876" s="4"/>
      <c r="P876" s="15"/>
      <c r="Q876" s="14">
        <f t="shared" si="338"/>
        <v>0</v>
      </c>
      <c r="R876" s="186"/>
      <c r="S876" s="4"/>
      <c r="T876" s="15"/>
      <c r="U876" s="14">
        <f t="shared" si="339"/>
        <v>0</v>
      </c>
      <c r="V876" s="212"/>
    </row>
    <row r="877" spans="1:22" x14ac:dyDescent="0.15">
      <c r="A877" s="1"/>
      <c r="B877" s="4" t="s">
        <v>749</v>
      </c>
      <c r="C877" s="233">
        <v>1</v>
      </c>
      <c r="D877" s="234">
        <v>1</v>
      </c>
      <c r="E877" s="234"/>
      <c r="F877" s="220">
        <f t="shared" si="336"/>
        <v>2</v>
      </c>
      <c r="G877" s="248">
        <v>44797</v>
      </c>
      <c r="H877" s="6"/>
      <c r="I877" s="187"/>
      <c r="J877" s="15"/>
      <c r="K877" s="15"/>
      <c r="L877" s="220">
        <f t="shared" si="340"/>
        <v>0</v>
      </c>
      <c r="M877" s="212"/>
      <c r="O877" s="6"/>
      <c r="P877" s="15"/>
      <c r="Q877" s="14">
        <f t="shared" si="338"/>
        <v>0</v>
      </c>
      <c r="R877" s="186"/>
      <c r="S877" s="4"/>
      <c r="T877" s="15"/>
      <c r="U877" s="14">
        <f t="shared" ref="U877:U878" si="341">SUM(T877:T877)</f>
        <v>0</v>
      </c>
      <c r="V877" s="212"/>
    </row>
    <row r="878" spans="1:22" ht="14.25" thickBot="1" x14ac:dyDescent="0.2">
      <c r="A878" s="1"/>
      <c r="B878" s="6" t="s">
        <v>764</v>
      </c>
      <c r="C878" s="235">
        <v>50</v>
      </c>
      <c r="D878" s="234">
        <v>10</v>
      </c>
      <c r="E878" s="234"/>
      <c r="F878" s="220">
        <f t="shared" si="336"/>
        <v>60</v>
      </c>
      <c r="G878" s="211">
        <v>44800</v>
      </c>
      <c r="H878" s="6"/>
      <c r="I878" s="187"/>
      <c r="J878" s="15"/>
      <c r="K878" s="15"/>
      <c r="L878" s="220">
        <f t="shared" si="340"/>
        <v>0</v>
      </c>
      <c r="M878" s="212"/>
      <c r="O878" s="6"/>
      <c r="P878" s="15"/>
      <c r="Q878" s="14">
        <f t="shared" si="338"/>
        <v>0</v>
      </c>
      <c r="R878" s="186"/>
      <c r="S878" s="4"/>
      <c r="T878" s="15"/>
      <c r="U878" s="14">
        <f t="shared" si="341"/>
        <v>0</v>
      </c>
      <c r="V878" s="212"/>
    </row>
    <row r="879" spans="1:22" ht="14.25" thickBot="1" x14ac:dyDescent="0.2">
      <c r="A879" s="1"/>
      <c r="B879" s="3" t="s">
        <v>5</v>
      </c>
      <c r="C879" s="16">
        <f>SUM(C855:C878)</f>
        <v>624</v>
      </c>
      <c r="D879" s="16">
        <f>SUM(D855:D878)</f>
        <v>123</v>
      </c>
      <c r="E879" s="16">
        <f>SUM(E855:E878)</f>
        <v>72</v>
      </c>
      <c r="F879" s="223">
        <f>SUM(F855:F878)</f>
        <v>819</v>
      </c>
      <c r="H879" s="3" t="s">
        <v>5</v>
      </c>
      <c r="I879" s="16">
        <f>SUM(I855:I878)</f>
        <v>0</v>
      </c>
      <c r="J879" s="16">
        <f>SUM(J855:J878)</f>
        <v>0</v>
      </c>
      <c r="K879" s="16">
        <f>SUM(K855:K878)</f>
        <v>0</v>
      </c>
      <c r="L879" s="223">
        <f>SUM(L855:L878)</f>
        <v>0</v>
      </c>
      <c r="O879" s="3" t="s">
        <v>5</v>
      </c>
      <c r="P879" s="16">
        <f>SUM(P855:P878)</f>
        <v>0</v>
      </c>
      <c r="Q879" s="17">
        <f>SUM(Q855:Q878)</f>
        <v>0</v>
      </c>
      <c r="S879" s="3" t="s">
        <v>5</v>
      </c>
      <c r="T879" s="16">
        <f>SUM(T855:T878)</f>
        <v>0</v>
      </c>
      <c r="U879" s="17">
        <f>SUM(U855:U878)</f>
        <v>0</v>
      </c>
    </row>
    <row r="880" spans="1:22" ht="14.25" thickBot="1" x14ac:dyDescent="0.2">
      <c r="A880" s="1"/>
      <c r="B880" s="18" t="s">
        <v>6</v>
      </c>
      <c r="C880" s="19">
        <f>C854-C879</f>
        <v>56</v>
      </c>
      <c r="D880" s="19">
        <f>D854-D879</f>
        <v>83</v>
      </c>
      <c r="E880" s="19">
        <f t="shared" ref="E880" si="342">E854-E879</f>
        <v>101</v>
      </c>
      <c r="F880" s="221">
        <f>F854-F879</f>
        <v>240</v>
      </c>
      <c r="H880" s="18" t="s">
        <v>6</v>
      </c>
      <c r="I880" s="19">
        <f>I854-I879</f>
        <v>900</v>
      </c>
      <c r="J880" s="19">
        <f>J854-J879</f>
        <v>662</v>
      </c>
      <c r="K880" s="19">
        <f t="shared" ref="K880" si="343">K854-K879</f>
        <v>737</v>
      </c>
      <c r="L880" s="221">
        <f>L854-L879</f>
        <v>2299</v>
      </c>
      <c r="O880" s="18" t="s">
        <v>6</v>
      </c>
      <c r="P880" s="19">
        <f>P854-P879</f>
        <v>0</v>
      </c>
      <c r="Q880" s="13">
        <f>Q854-Q879</f>
        <v>0</v>
      </c>
      <c r="S880" s="18" t="s">
        <v>6</v>
      </c>
      <c r="T880" s="19">
        <f>T854-T879</f>
        <v>693</v>
      </c>
      <c r="U880" s="13">
        <f>U854-U879</f>
        <v>693</v>
      </c>
    </row>
    <row r="883" spans="1:23" ht="18" thickBot="1" x14ac:dyDescent="0.25">
      <c r="A883" s="27" t="s">
        <v>739</v>
      </c>
      <c r="B883" s="28"/>
      <c r="C883" s="28"/>
      <c r="D883" s="28"/>
      <c r="E883" s="28"/>
      <c r="F883" s="218"/>
      <c r="H883" s="27" t="s">
        <v>740</v>
      </c>
      <c r="I883" s="28"/>
      <c r="J883" s="28"/>
      <c r="K883" s="28"/>
      <c r="L883" s="218"/>
      <c r="O883" s="181" t="s">
        <v>737</v>
      </c>
      <c r="P883" s="182"/>
      <c r="Q883" s="182"/>
      <c r="R883" s="183"/>
      <c r="S883" s="181" t="s">
        <v>733</v>
      </c>
      <c r="T883" s="182"/>
      <c r="U883" s="182"/>
    </row>
    <row r="884" spans="1:23" ht="14.25" thickBot="1" x14ac:dyDescent="0.2">
      <c r="A884" s="1"/>
      <c r="B884" s="2"/>
      <c r="C884" s="194" t="s">
        <v>734</v>
      </c>
      <c r="D884" s="195" t="s">
        <v>706</v>
      </c>
      <c r="E884" s="2" t="s">
        <v>735</v>
      </c>
      <c r="F884" s="219" t="s">
        <v>1</v>
      </c>
      <c r="H884" s="2"/>
      <c r="I884" s="197" t="s">
        <v>734</v>
      </c>
      <c r="J884" s="195" t="s">
        <v>706</v>
      </c>
      <c r="K884" s="201" t="s">
        <v>735</v>
      </c>
      <c r="L884" s="219" t="s">
        <v>1</v>
      </c>
      <c r="O884" s="2"/>
      <c r="P884" s="3" t="s">
        <v>722</v>
      </c>
      <c r="Q884" s="2" t="s">
        <v>1</v>
      </c>
      <c r="S884" s="2"/>
      <c r="T884" s="3" t="s">
        <v>722</v>
      </c>
      <c r="U884" s="2" t="s">
        <v>1</v>
      </c>
    </row>
    <row r="885" spans="1:23" x14ac:dyDescent="0.15">
      <c r="A885" s="1"/>
      <c r="B885" s="164" t="s">
        <v>26</v>
      </c>
      <c r="C885" s="200">
        <f>C880</f>
        <v>56</v>
      </c>
      <c r="D885" s="164">
        <f t="shared" ref="D885:F885" si="344">D880</f>
        <v>83</v>
      </c>
      <c r="E885" s="164">
        <f t="shared" si="344"/>
        <v>101</v>
      </c>
      <c r="F885" s="222">
        <f t="shared" si="344"/>
        <v>240</v>
      </c>
      <c r="H885" s="164" t="s">
        <v>26</v>
      </c>
      <c r="I885" s="200">
        <f>I880</f>
        <v>900</v>
      </c>
      <c r="J885" s="164">
        <f t="shared" ref="J885:L885" si="345">J880</f>
        <v>662</v>
      </c>
      <c r="K885" s="200">
        <f t="shared" si="345"/>
        <v>737</v>
      </c>
      <c r="L885" s="222">
        <f t="shared" si="345"/>
        <v>2299</v>
      </c>
      <c r="O885" s="171" t="s">
        <v>26</v>
      </c>
      <c r="P885" s="200">
        <f>P880</f>
        <v>0</v>
      </c>
      <c r="Q885" s="180">
        <f>Q880</f>
        <v>0</v>
      </c>
      <c r="R885" s="185"/>
      <c r="S885" s="43" t="s">
        <v>26</v>
      </c>
      <c r="T885" s="38">
        <f>T880</f>
        <v>693</v>
      </c>
      <c r="U885" s="39">
        <f>U880</f>
        <v>693</v>
      </c>
    </row>
    <row r="886" spans="1:23" x14ac:dyDescent="0.15">
      <c r="A886" s="75"/>
      <c r="B886" s="6" t="s">
        <v>3</v>
      </c>
      <c r="C886" s="188">
        <v>100</v>
      </c>
      <c r="D886" s="6"/>
      <c r="E886" s="202"/>
      <c r="F886" s="220">
        <f t="shared" ref="F886:F895" si="346">SUM(C886:E886)</f>
        <v>100</v>
      </c>
      <c r="G886" s="211">
        <v>44799</v>
      </c>
      <c r="H886" s="171" t="s">
        <v>3</v>
      </c>
      <c r="I886" s="241">
        <v>-600</v>
      </c>
      <c r="J886" s="171"/>
      <c r="K886" s="264"/>
      <c r="L886" s="222">
        <f t="shared" ref="L886:L895" si="347">SUM(I886:K886)</f>
        <v>-600</v>
      </c>
      <c r="M886" s="242">
        <v>44791</v>
      </c>
      <c r="O886" s="6" t="s">
        <v>3</v>
      </c>
      <c r="P886" s="7"/>
      <c r="Q886" s="5">
        <f t="shared" ref="Q886:Q895" si="348">SUM(P886:P886)</f>
        <v>0</v>
      </c>
      <c r="R886" s="186"/>
      <c r="S886" s="6" t="s">
        <v>3</v>
      </c>
      <c r="T886" s="7"/>
      <c r="U886" s="5">
        <f t="shared" ref="U886:U895" si="349">SUM(T886:T886)</f>
        <v>0</v>
      </c>
    </row>
    <row r="887" spans="1:23" x14ac:dyDescent="0.15">
      <c r="A887" s="1"/>
      <c r="B887" s="6" t="s">
        <v>3</v>
      </c>
      <c r="C887" s="6">
        <v>100</v>
      </c>
      <c r="D887" s="205"/>
      <c r="E887" s="4"/>
      <c r="F887" s="220">
        <f t="shared" si="346"/>
        <v>100</v>
      </c>
      <c r="G887" s="211">
        <v>44810</v>
      </c>
      <c r="H887" s="6" t="s">
        <v>3</v>
      </c>
      <c r="I887" s="188">
        <v>3000</v>
      </c>
      <c r="J887" s="225">
        <v>500</v>
      </c>
      <c r="K887" s="243">
        <v>500</v>
      </c>
      <c r="L887" s="220">
        <f t="shared" si="347"/>
        <v>4000</v>
      </c>
      <c r="M887" s="211" t="s">
        <v>1058</v>
      </c>
      <c r="O887" s="6" t="s">
        <v>3</v>
      </c>
      <c r="P887" s="7"/>
      <c r="Q887" s="5">
        <f t="shared" si="348"/>
        <v>0</v>
      </c>
      <c r="R887" s="186"/>
      <c r="S887" s="6" t="s">
        <v>3</v>
      </c>
      <c r="T887" s="54">
        <v>1000</v>
      </c>
      <c r="U887" s="5">
        <f t="shared" si="349"/>
        <v>1000</v>
      </c>
      <c r="V887" s="185" t="s">
        <v>1058</v>
      </c>
      <c r="W887" s="186"/>
    </row>
    <row r="888" spans="1:23" x14ac:dyDescent="0.15">
      <c r="A888" s="1"/>
      <c r="B888" s="6" t="s">
        <v>1060</v>
      </c>
      <c r="C888" s="7">
        <v>2</v>
      </c>
      <c r="D888" s="6">
        <v>17</v>
      </c>
      <c r="E888" s="4">
        <v>24</v>
      </c>
      <c r="F888" s="220">
        <f t="shared" si="346"/>
        <v>43</v>
      </c>
      <c r="G888" s="211">
        <v>44816</v>
      </c>
      <c r="H888" s="6" t="s">
        <v>968</v>
      </c>
      <c r="I888" s="188">
        <v>71</v>
      </c>
      <c r="J888" s="225"/>
      <c r="K888" s="243"/>
      <c r="L888" s="220">
        <f t="shared" si="347"/>
        <v>71</v>
      </c>
      <c r="M888" s="211">
        <v>44817</v>
      </c>
      <c r="O888" s="6" t="s">
        <v>3</v>
      </c>
      <c r="P888" s="7"/>
      <c r="Q888" s="5">
        <f t="shared" si="348"/>
        <v>0</v>
      </c>
      <c r="R888" s="186"/>
      <c r="S888" s="6" t="s">
        <v>3</v>
      </c>
      <c r="T888" s="8"/>
      <c r="U888" s="5">
        <f t="shared" si="349"/>
        <v>0</v>
      </c>
      <c r="V888" s="186" t="s">
        <v>987</v>
      </c>
      <c r="W888" s="186"/>
    </row>
    <row r="889" spans="1:23" x14ac:dyDescent="0.15">
      <c r="A889" s="1"/>
      <c r="B889" s="6" t="s">
        <v>3</v>
      </c>
      <c r="C889" s="6">
        <v>100</v>
      </c>
      <c r="D889" s="205"/>
      <c r="E889" s="207"/>
      <c r="F889" s="220">
        <f t="shared" si="346"/>
        <v>100</v>
      </c>
      <c r="G889" s="211">
        <v>44818</v>
      </c>
      <c r="H889" s="6" t="s">
        <v>3</v>
      </c>
      <c r="I889" s="188"/>
      <c r="J889" s="6"/>
      <c r="K889" s="202"/>
      <c r="L889" s="220">
        <f t="shared" ref="L889" si="350">SUM(I889:K889)</f>
        <v>0</v>
      </c>
      <c r="O889" s="6" t="s">
        <v>3</v>
      </c>
      <c r="P889" s="7"/>
      <c r="Q889" s="5">
        <f t="shared" si="348"/>
        <v>0</v>
      </c>
      <c r="R889" s="186"/>
      <c r="S889" s="6" t="s">
        <v>3</v>
      </c>
      <c r="T889" s="7"/>
      <c r="U889" s="5">
        <f t="shared" si="349"/>
        <v>0</v>
      </c>
      <c r="V889" s="186"/>
      <c r="W889" s="186"/>
    </row>
    <row r="890" spans="1:23" x14ac:dyDescent="0.15">
      <c r="A890" s="1"/>
      <c r="B890" s="6" t="s">
        <v>3</v>
      </c>
      <c r="C890" s="6">
        <v>100</v>
      </c>
      <c r="D890" s="6"/>
      <c r="E890" s="4"/>
      <c r="F890" s="220">
        <f t="shared" si="346"/>
        <v>100</v>
      </c>
      <c r="G890" s="211">
        <v>44825</v>
      </c>
      <c r="H890" s="6" t="s">
        <v>3</v>
      </c>
      <c r="I890" s="188"/>
      <c r="J890" s="6"/>
      <c r="K890" s="202"/>
      <c r="L890" s="220">
        <f t="shared" si="347"/>
        <v>0</v>
      </c>
      <c r="O890" s="6" t="s">
        <v>3</v>
      </c>
      <c r="P890" s="7"/>
      <c r="Q890" s="5">
        <f t="shared" si="348"/>
        <v>0</v>
      </c>
      <c r="R890" s="186"/>
      <c r="S890" s="6" t="s">
        <v>64</v>
      </c>
      <c r="T890" s="7">
        <v>285</v>
      </c>
      <c r="U890" s="5">
        <f t="shared" si="349"/>
        <v>285</v>
      </c>
      <c r="V890" s="185">
        <v>44841</v>
      </c>
      <c r="W890" s="186"/>
    </row>
    <row r="891" spans="1:23" x14ac:dyDescent="0.15">
      <c r="A891" s="75"/>
      <c r="B891" s="6" t="s">
        <v>3</v>
      </c>
      <c r="C891" s="6"/>
      <c r="D891" s="6"/>
      <c r="E891" s="4"/>
      <c r="F891" s="220">
        <f t="shared" si="346"/>
        <v>0</v>
      </c>
      <c r="G891" s="211"/>
      <c r="H891" s="6" t="s">
        <v>3</v>
      </c>
      <c r="I891" s="188"/>
      <c r="J891" s="6"/>
      <c r="K891" s="202"/>
      <c r="L891" s="220">
        <f t="shared" si="347"/>
        <v>0</v>
      </c>
      <c r="O891" s="6" t="s">
        <v>3</v>
      </c>
      <c r="P891" s="7"/>
      <c r="Q891" s="5">
        <f t="shared" si="348"/>
        <v>0</v>
      </c>
      <c r="R891" s="186"/>
      <c r="S891" s="6" t="s">
        <v>3</v>
      </c>
      <c r="T891" s="7"/>
      <c r="U891" s="5">
        <f t="shared" si="349"/>
        <v>0</v>
      </c>
    </row>
    <row r="892" spans="1:23" x14ac:dyDescent="0.15">
      <c r="A892" s="75"/>
      <c r="B892" s="6" t="s">
        <v>3</v>
      </c>
      <c r="C892" s="6"/>
      <c r="D892" s="225"/>
      <c r="E892" s="226"/>
      <c r="F892" s="220">
        <f t="shared" si="346"/>
        <v>0</v>
      </c>
      <c r="G892" s="212"/>
      <c r="H892" s="6" t="s">
        <v>3</v>
      </c>
      <c r="I892" s="188"/>
      <c r="J892" s="225"/>
      <c r="K892" s="243"/>
      <c r="L892" s="220">
        <f t="shared" si="347"/>
        <v>0</v>
      </c>
      <c r="O892" s="6" t="s">
        <v>3</v>
      </c>
      <c r="P892" s="8"/>
      <c r="Q892" s="5">
        <f t="shared" si="348"/>
        <v>0</v>
      </c>
      <c r="R892" s="186"/>
      <c r="S892" s="6" t="s">
        <v>3</v>
      </c>
      <c r="T892" s="54"/>
      <c r="U892" s="5">
        <f t="shared" si="349"/>
        <v>0</v>
      </c>
    </row>
    <row r="893" spans="1:23" x14ac:dyDescent="0.15">
      <c r="A893" s="75"/>
      <c r="B893" s="6" t="s">
        <v>3</v>
      </c>
      <c r="C893" s="6"/>
      <c r="D893" s="225"/>
      <c r="E893" s="226"/>
      <c r="F893" s="220">
        <f t="shared" si="346"/>
        <v>0</v>
      </c>
      <c r="G893" s="212"/>
      <c r="H893" s="6" t="s">
        <v>3</v>
      </c>
      <c r="I893" s="188"/>
      <c r="J893" s="225"/>
      <c r="K893" s="243"/>
      <c r="L893" s="220">
        <f t="shared" si="347"/>
        <v>0</v>
      </c>
      <c r="M893" s="211"/>
      <c r="O893" s="6" t="s">
        <v>3</v>
      </c>
      <c r="P893" s="8"/>
      <c r="Q893" s="5">
        <f t="shared" si="348"/>
        <v>0</v>
      </c>
      <c r="R893" s="186"/>
      <c r="S893" s="6" t="s">
        <v>3</v>
      </c>
      <c r="T893" s="54"/>
      <c r="U893" s="5">
        <f t="shared" si="349"/>
        <v>0</v>
      </c>
      <c r="V893" s="185"/>
    </row>
    <row r="894" spans="1:23" x14ac:dyDescent="0.15">
      <c r="A894" s="1"/>
      <c r="B894" s="6" t="s">
        <v>3</v>
      </c>
      <c r="C894" s="6"/>
      <c r="D894" s="225"/>
      <c r="E894" s="226"/>
      <c r="F894" s="220">
        <f t="shared" si="346"/>
        <v>0</v>
      </c>
      <c r="G894" s="212"/>
      <c r="H894" s="6" t="s">
        <v>3</v>
      </c>
      <c r="I894" s="188"/>
      <c r="J894" s="225"/>
      <c r="K894" s="243"/>
      <c r="L894" s="220">
        <f t="shared" si="347"/>
        <v>0</v>
      </c>
      <c r="M894" s="186"/>
      <c r="O894" s="6" t="s">
        <v>3</v>
      </c>
      <c r="P894" s="8"/>
      <c r="Q894" s="5">
        <f t="shared" si="348"/>
        <v>0</v>
      </c>
      <c r="R894" s="186"/>
      <c r="S894" s="6" t="s">
        <v>3</v>
      </c>
      <c r="T894" s="8"/>
      <c r="U894" s="5">
        <f t="shared" si="349"/>
        <v>0</v>
      </c>
      <c r="V894" s="186"/>
    </row>
    <row r="895" spans="1:23" ht="14.25" thickBot="1" x14ac:dyDescent="0.2">
      <c r="A895" s="1"/>
      <c r="B895" s="6" t="s">
        <v>3</v>
      </c>
      <c r="C895" s="9"/>
      <c r="D895" s="237"/>
      <c r="E895" s="238"/>
      <c r="F895" s="220">
        <f t="shared" si="346"/>
        <v>0</v>
      </c>
      <c r="G895" s="212"/>
      <c r="H895" s="9" t="s">
        <v>3</v>
      </c>
      <c r="I895" s="198"/>
      <c r="J895" s="244"/>
      <c r="K895" s="245"/>
      <c r="L895" s="220">
        <f t="shared" si="347"/>
        <v>0</v>
      </c>
      <c r="O895" s="9" t="s">
        <v>3</v>
      </c>
      <c r="P895" s="10"/>
      <c r="Q895" s="5">
        <f t="shared" si="348"/>
        <v>0</v>
      </c>
      <c r="R895" s="186"/>
      <c r="S895" s="9" t="s">
        <v>3</v>
      </c>
      <c r="T895" s="10"/>
      <c r="U895" s="5">
        <f t="shared" si="349"/>
        <v>0</v>
      </c>
    </row>
    <row r="896" spans="1:23" ht="14.25" thickBot="1" x14ac:dyDescent="0.2">
      <c r="A896" s="1"/>
      <c r="B896" s="11" t="s">
        <v>4</v>
      </c>
      <c r="C896" s="193">
        <f>SUM(C885:C895)</f>
        <v>458</v>
      </c>
      <c r="D896" s="193">
        <f>SUM(D885:D895)</f>
        <v>100</v>
      </c>
      <c r="E896" s="193">
        <f>SUM(E885:E895)</f>
        <v>125</v>
      </c>
      <c r="F896" s="221">
        <f>SUM(F885:F895)</f>
        <v>683</v>
      </c>
      <c r="H896" s="11" t="s">
        <v>4</v>
      </c>
      <c r="I896" s="193">
        <f>SUM(I885:I895)</f>
        <v>3371</v>
      </c>
      <c r="J896" s="193">
        <f>SUM(J885:J895)</f>
        <v>1162</v>
      </c>
      <c r="K896" s="193">
        <f t="shared" ref="K896" si="351">SUM(K885:K895)</f>
        <v>1237</v>
      </c>
      <c r="L896" s="221">
        <f>SUM(L885:L895)</f>
        <v>5770</v>
      </c>
      <c r="O896" s="11" t="s">
        <v>4</v>
      </c>
      <c r="P896" s="12">
        <f>SUM(P885:P895)</f>
        <v>0</v>
      </c>
      <c r="Q896" s="13">
        <f>SUM(Q885:Q895)</f>
        <v>0</v>
      </c>
      <c r="S896" s="11" t="s">
        <v>4</v>
      </c>
      <c r="T896" s="12">
        <f>SUM(T885:T895)</f>
        <v>1978</v>
      </c>
      <c r="U896" s="13">
        <f>SUM(U885:U895)</f>
        <v>1978</v>
      </c>
    </row>
    <row r="897" spans="1:22" x14ac:dyDescent="0.15">
      <c r="A897" s="1"/>
      <c r="B897" s="4" t="s">
        <v>749</v>
      </c>
      <c r="C897" s="215">
        <v>2</v>
      </c>
      <c r="D897" s="215"/>
      <c r="E897" s="216"/>
      <c r="F897" s="220">
        <f t="shared" ref="F897:F904" si="352">SUM(C897:E897)</f>
        <v>2</v>
      </c>
      <c r="G897" s="211">
        <v>44798</v>
      </c>
      <c r="H897" s="6" t="s">
        <v>1050</v>
      </c>
      <c r="I897" s="235">
        <v>100</v>
      </c>
      <c r="J897" s="215"/>
      <c r="K897" s="240"/>
      <c r="L897" s="220">
        <f t="shared" ref="L897:L920" si="353">SUM(I897:K897)</f>
        <v>100</v>
      </c>
      <c r="M897" s="211">
        <v>44799</v>
      </c>
      <c r="O897" s="4"/>
      <c r="P897" s="44"/>
      <c r="Q897" s="14">
        <f t="shared" ref="Q897:Q920" si="354">SUM(P897:P897)</f>
        <v>0</v>
      </c>
      <c r="R897" s="185"/>
      <c r="S897" s="6"/>
      <c r="T897" s="44"/>
      <c r="U897" s="14">
        <f t="shared" ref="U897:U920" si="355">SUM(T897:T897)</f>
        <v>0</v>
      </c>
      <c r="V897" s="185"/>
    </row>
    <row r="898" spans="1:22" x14ac:dyDescent="0.15">
      <c r="A898" s="1"/>
      <c r="B898" s="4" t="s">
        <v>749</v>
      </c>
      <c r="C898" s="216"/>
      <c r="D898" s="232">
        <v>1</v>
      </c>
      <c r="E898" s="232"/>
      <c r="F898" s="220">
        <f t="shared" si="352"/>
        <v>1</v>
      </c>
      <c r="G898" s="211">
        <v>44799</v>
      </c>
      <c r="H898" s="6" t="s">
        <v>1052</v>
      </c>
      <c r="I898" s="215">
        <v>70</v>
      </c>
      <c r="J898" s="215"/>
      <c r="K898" s="216"/>
      <c r="L898" s="220">
        <f t="shared" si="353"/>
        <v>70</v>
      </c>
      <c r="M898" s="211">
        <v>44806</v>
      </c>
      <c r="O898" s="4"/>
      <c r="P898" s="15"/>
      <c r="Q898" s="14">
        <f t="shared" si="354"/>
        <v>0</v>
      </c>
      <c r="R898" s="186"/>
      <c r="S898" s="6"/>
      <c r="T898" s="15"/>
      <c r="U898" s="14">
        <f t="shared" si="355"/>
        <v>0</v>
      </c>
      <c r="V898" s="185"/>
    </row>
    <row r="899" spans="1:22" x14ac:dyDescent="0.15">
      <c r="A899" s="1"/>
      <c r="B899" s="4" t="s">
        <v>749</v>
      </c>
      <c r="C899" s="216">
        <f>1+1+1+1</f>
        <v>4</v>
      </c>
      <c r="D899" s="232">
        <f>1+1</f>
        <v>2</v>
      </c>
      <c r="E899" s="232">
        <f>1+1</f>
        <v>2</v>
      </c>
      <c r="F899" s="220">
        <f t="shared" si="352"/>
        <v>8</v>
      </c>
      <c r="G899" s="211">
        <v>44802</v>
      </c>
      <c r="H899" s="6" t="s">
        <v>1056</v>
      </c>
      <c r="I899" s="216">
        <v>70</v>
      </c>
      <c r="J899" s="232"/>
      <c r="K899" s="232"/>
      <c r="L899" s="220">
        <f t="shared" si="353"/>
        <v>70</v>
      </c>
      <c r="M899" s="211">
        <v>44806</v>
      </c>
      <c r="O899" s="4"/>
      <c r="P899" s="15"/>
      <c r="Q899" s="14">
        <f t="shared" si="354"/>
        <v>0</v>
      </c>
      <c r="R899" s="186"/>
      <c r="S899" s="6"/>
      <c r="T899" s="15"/>
      <c r="U899" s="14">
        <f t="shared" si="355"/>
        <v>0</v>
      </c>
      <c r="V899" s="185"/>
    </row>
    <row r="900" spans="1:22" x14ac:dyDescent="0.15">
      <c r="A900" s="1"/>
      <c r="B900" s="4" t="s">
        <v>1051</v>
      </c>
      <c r="C900" s="233">
        <v>50</v>
      </c>
      <c r="D900" s="234"/>
      <c r="E900" s="234"/>
      <c r="F900" s="220">
        <f t="shared" si="352"/>
        <v>50</v>
      </c>
      <c r="G900" s="211">
        <v>44803</v>
      </c>
      <c r="H900" s="4" t="s">
        <v>1059</v>
      </c>
      <c r="I900" s="233">
        <v>100</v>
      </c>
      <c r="J900" s="234"/>
      <c r="K900" s="234"/>
      <c r="L900" s="220">
        <f t="shared" si="353"/>
        <v>100</v>
      </c>
      <c r="M900" s="211">
        <v>44810</v>
      </c>
      <c r="O900" s="4"/>
      <c r="P900" s="15"/>
      <c r="Q900" s="14">
        <f t="shared" si="354"/>
        <v>0</v>
      </c>
      <c r="R900" s="186"/>
      <c r="S900" s="6"/>
      <c r="T900" s="15"/>
      <c r="U900" s="14">
        <f t="shared" si="355"/>
        <v>0</v>
      </c>
      <c r="V900" s="185"/>
    </row>
    <row r="901" spans="1:22" x14ac:dyDescent="0.15">
      <c r="A901" s="1"/>
      <c r="B901" s="4" t="s">
        <v>749</v>
      </c>
      <c r="C901" s="233"/>
      <c r="D901" s="234">
        <v>1</v>
      </c>
      <c r="E901" s="234"/>
      <c r="F901" s="220">
        <f t="shared" ref="F901:F903" si="356">SUM(C901:E901)</f>
        <v>1</v>
      </c>
      <c r="G901" s="211">
        <v>44804</v>
      </c>
      <c r="H901" s="4" t="s">
        <v>745</v>
      </c>
      <c r="I901" s="233">
        <v>100</v>
      </c>
      <c r="J901" s="234"/>
      <c r="K901" s="234"/>
      <c r="L901" s="220">
        <f t="shared" si="353"/>
        <v>100</v>
      </c>
      <c r="M901" s="211">
        <v>44818</v>
      </c>
      <c r="N901" s="186"/>
      <c r="O901" s="4"/>
      <c r="P901" s="15"/>
      <c r="Q901" s="14">
        <f t="shared" si="354"/>
        <v>0</v>
      </c>
      <c r="R901" s="186"/>
      <c r="S901" s="6"/>
      <c r="T901" s="15"/>
      <c r="U901" s="14">
        <f t="shared" si="355"/>
        <v>0</v>
      </c>
      <c r="V901" s="185"/>
    </row>
    <row r="902" spans="1:22" x14ac:dyDescent="0.15">
      <c r="A902" s="1"/>
      <c r="B902" s="6" t="s">
        <v>1055</v>
      </c>
      <c r="C902" s="233">
        <v>50</v>
      </c>
      <c r="D902" s="234">
        <v>10</v>
      </c>
      <c r="E902" s="234">
        <v>10</v>
      </c>
      <c r="F902" s="220">
        <f t="shared" si="356"/>
        <v>70</v>
      </c>
      <c r="G902" s="211">
        <v>44806</v>
      </c>
      <c r="H902" s="4" t="s">
        <v>745</v>
      </c>
      <c r="I902" s="233">
        <v>100</v>
      </c>
      <c r="J902" s="234"/>
      <c r="K902" s="234"/>
      <c r="L902" s="220">
        <f t="shared" si="353"/>
        <v>100</v>
      </c>
      <c r="M902" s="211">
        <v>44825</v>
      </c>
      <c r="N902" s="186"/>
      <c r="O902" s="4"/>
      <c r="P902" s="15"/>
      <c r="Q902" s="14">
        <f t="shared" si="354"/>
        <v>0</v>
      </c>
      <c r="R902" s="186"/>
      <c r="S902" s="6"/>
      <c r="T902" s="15"/>
      <c r="U902" s="14">
        <f t="shared" si="355"/>
        <v>0</v>
      </c>
      <c r="V902" s="185"/>
    </row>
    <row r="903" spans="1:22" x14ac:dyDescent="0.15">
      <c r="A903" s="1"/>
      <c r="B903" s="4" t="s">
        <v>749</v>
      </c>
      <c r="C903" s="233">
        <v>1</v>
      </c>
      <c r="D903" s="234">
        <v>1</v>
      </c>
      <c r="E903" s="234">
        <v>1</v>
      </c>
      <c r="F903" s="220">
        <f t="shared" si="356"/>
        <v>3</v>
      </c>
      <c r="G903" s="211">
        <v>44805</v>
      </c>
      <c r="H903" s="164"/>
      <c r="I903" s="267"/>
      <c r="J903" s="268"/>
      <c r="K903" s="268"/>
      <c r="L903" s="222">
        <f t="shared" si="353"/>
        <v>0</v>
      </c>
      <c r="M903" s="210"/>
      <c r="N903" s="186"/>
      <c r="O903" s="4"/>
      <c r="P903" s="15"/>
      <c r="Q903" s="14">
        <f t="shared" si="354"/>
        <v>0</v>
      </c>
      <c r="R903" s="186"/>
      <c r="S903" s="4"/>
      <c r="T903" s="15"/>
      <c r="U903" s="14">
        <f t="shared" si="355"/>
        <v>0</v>
      </c>
    </row>
    <row r="904" spans="1:22" x14ac:dyDescent="0.15">
      <c r="A904" s="1"/>
      <c r="B904" s="4" t="s">
        <v>749</v>
      </c>
      <c r="C904" s="233">
        <v>12</v>
      </c>
      <c r="D904" s="234">
        <v>1</v>
      </c>
      <c r="E904" s="234"/>
      <c r="F904" s="220">
        <f t="shared" si="352"/>
        <v>13</v>
      </c>
      <c r="G904" s="211">
        <v>44806</v>
      </c>
      <c r="H904" s="4"/>
      <c r="I904" s="233"/>
      <c r="J904" s="234"/>
      <c r="K904" s="234"/>
      <c r="L904" s="220">
        <f t="shared" si="353"/>
        <v>0</v>
      </c>
      <c r="M904" s="212"/>
      <c r="N904" s="186"/>
      <c r="O904" s="4"/>
      <c r="P904" s="15"/>
      <c r="Q904" s="14">
        <f t="shared" si="354"/>
        <v>0</v>
      </c>
      <c r="R904" s="186"/>
      <c r="S904" s="4"/>
      <c r="T904" s="15"/>
      <c r="U904" s="14">
        <f t="shared" si="355"/>
        <v>0</v>
      </c>
    </row>
    <row r="905" spans="1:22" x14ac:dyDescent="0.15">
      <c r="A905" s="1"/>
      <c r="B905" s="4" t="s">
        <v>787</v>
      </c>
      <c r="C905" s="233">
        <v>5</v>
      </c>
      <c r="D905" s="234">
        <v>5</v>
      </c>
      <c r="E905" s="234">
        <v>5</v>
      </c>
      <c r="F905" s="220">
        <f>SUM(C905:E905)</f>
        <v>15</v>
      </c>
      <c r="G905" s="248">
        <v>44806</v>
      </c>
      <c r="H905" s="4"/>
      <c r="I905" s="187"/>
      <c r="J905" s="15"/>
      <c r="K905" s="15"/>
      <c r="L905" s="220">
        <f t="shared" si="353"/>
        <v>0</v>
      </c>
      <c r="M905" s="212"/>
      <c r="N905" s="186"/>
      <c r="O905" s="4"/>
      <c r="P905" s="15"/>
      <c r="Q905" s="14">
        <f t="shared" si="354"/>
        <v>0</v>
      </c>
      <c r="R905" s="186"/>
      <c r="S905" s="4"/>
      <c r="T905" s="15"/>
      <c r="U905" s="14">
        <f t="shared" si="355"/>
        <v>0</v>
      </c>
    </row>
    <row r="906" spans="1:22" x14ac:dyDescent="0.15">
      <c r="A906" s="1"/>
      <c r="B906" s="4" t="s">
        <v>749</v>
      </c>
      <c r="C906" s="233">
        <v>2</v>
      </c>
      <c r="D906" s="234"/>
      <c r="E906" s="234"/>
      <c r="F906" s="220">
        <f t="shared" ref="F906:F920" si="357">SUM(C906:E906)</f>
        <v>2</v>
      </c>
      <c r="G906" s="248">
        <v>44809</v>
      </c>
      <c r="H906" s="4"/>
      <c r="I906" s="187"/>
      <c r="J906" s="15"/>
      <c r="K906" s="15"/>
      <c r="L906" s="220">
        <f t="shared" si="353"/>
        <v>0</v>
      </c>
      <c r="M906" s="212"/>
      <c r="N906" s="186"/>
      <c r="O906" s="4"/>
      <c r="P906" s="15"/>
      <c r="Q906" s="14">
        <f t="shared" si="354"/>
        <v>0</v>
      </c>
      <c r="R906" s="186"/>
      <c r="S906" s="4"/>
      <c r="T906" s="15"/>
      <c r="U906" s="14">
        <f t="shared" si="355"/>
        <v>0</v>
      </c>
    </row>
    <row r="907" spans="1:22" x14ac:dyDescent="0.15">
      <c r="A907" s="1"/>
      <c r="B907" s="4" t="s">
        <v>749</v>
      </c>
      <c r="C907" s="233">
        <f>1+4+1</f>
        <v>6</v>
      </c>
      <c r="D907" s="234">
        <f>1+1</f>
        <v>2</v>
      </c>
      <c r="E907" s="234"/>
      <c r="F907" s="220">
        <f t="shared" si="357"/>
        <v>8</v>
      </c>
      <c r="G907" s="211">
        <v>44810</v>
      </c>
      <c r="H907" s="4"/>
      <c r="I907" s="187"/>
      <c r="J907" s="15"/>
      <c r="K907" s="15"/>
      <c r="L907" s="220">
        <f t="shared" si="353"/>
        <v>0</v>
      </c>
      <c r="O907" s="4"/>
      <c r="P907" s="15"/>
      <c r="Q907" s="14">
        <f t="shared" si="354"/>
        <v>0</v>
      </c>
      <c r="R907" s="186"/>
      <c r="S907" s="4"/>
      <c r="T907" s="15"/>
      <c r="U907" s="14">
        <f t="shared" si="355"/>
        <v>0</v>
      </c>
    </row>
    <row r="908" spans="1:22" x14ac:dyDescent="0.15">
      <c r="A908" s="1"/>
      <c r="B908" s="4" t="s">
        <v>749</v>
      </c>
      <c r="C908" s="235">
        <v>4</v>
      </c>
      <c r="D908" s="234">
        <v>1</v>
      </c>
      <c r="E908" s="234">
        <v>1</v>
      </c>
      <c r="F908" s="220">
        <f t="shared" si="357"/>
        <v>6</v>
      </c>
      <c r="G908" s="211">
        <v>44811</v>
      </c>
      <c r="H908" s="6"/>
      <c r="I908" s="188"/>
      <c r="J908" s="15"/>
      <c r="K908" s="15"/>
      <c r="L908" s="220">
        <f t="shared" si="353"/>
        <v>0</v>
      </c>
      <c r="O908" s="6"/>
      <c r="P908" s="15"/>
      <c r="Q908" s="14">
        <f t="shared" si="354"/>
        <v>0</v>
      </c>
      <c r="R908" s="186"/>
      <c r="S908" s="6"/>
      <c r="T908" s="15"/>
      <c r="U908" s="14">
        <f t="shared" si="355"/>
        <v>0</v>
      </c>
    </row>
    <row r="909" spans="1:22" x14ac:dyDescent="0.15">
      <c r="A909" s="1"/>
      <c r="B909" s="4" t="s">
        <v>749</v>
      </c>
      <c r="C909" s="235">
        <v>5</v>
      </c>
      <c r="D909" s="234">
        <v>2</v>
      </c>
      <c r="E909" s="234"/>
      <c r="F909" s="220">
        <f t="shared" si="357"/>
        <v>7</v>
      </c>
      <c r="G909" s="211">
        <v>44812</v>
      </c>
      <c r="H909" s="6"/>
      <c r="I909" s="188"/>
      <c r="J909" s="15"/>
      <c r="K909" s="15"/>
      <c r="L909" s="220">
        <f t="shared" si="353"/>
        <v>0</v>
      </c>
      <c r="O909" s="6"/>
      <c r="P909" s="15"/>
      <c r="Q909" s="14">
        <f t="shared" si="354"/>
        <v>0</v>
      </c>
      <c r="R909" s="186"/>
      <c r="S909" s="6"/>
      <c r="T909" s="15"/>
      <c r="U909" s="14">
        <f t="shared" si="355"/>
        <v>0</v>
      </c>
    </row>
    <row r="910" spans="1:22" x14ac:dyDescent="0.15">
      <c r="A910" s="1"/>
      <c r="B910" s="4" t="s">
        <v>749</v>
      </c>
      <c r="C910" s="233">
        <f>1+15+3+25+1</f>
        <v>45</v>
      </c>
      <c r="D910" s="234">
        <f>1+1</f>
        <v>2</v>
      </c>
      <c r="E910" s="234">
        <f>3+1</f>
        <v>4</v>
      </c>
      <c r="F910" s="220">
        <f t="shared" si="357"/>
        <v>51</v>
      </c>
      <c r="G910" s="211">
        <v>44816</v>
      </c>
      <c r="H910" s="4"/>
      <c r="I910" s="187"/>
      <c r="J910" s="15"/>
      <c r="K910" s="15"/>
      <c r="L910" s="220">
        <f t="shared" si="353"/>
        <v>0</v>
      </c>
      <c r="O910" s="4"/>
      <c r="P910" s="15"/>
      <c r="Q910" s="14">
        <f t="shared" si="354"/>
        <v>0</v>
      </c>
      <c r="R910" s="186"/>
      <c r="S910" s="4"/>
      <c r="T910" s="15"/>
      <c r="U910" s="14">
        <f t="shared" si="355"/>
        <v>0</v>
      </c>
    </row>
    <row r="911" spans="1:22" x14ac:dyDescent="0.15">
      <c r="A911" s="1"/>
      <c r="B911" s="6" t="s">
        <v>1061</v>
      </c>
      <c r="C911" s="233">
        <v>1</v>
      </c>
      <c r="D911" s="234">
        <v>1</v>
      </c>
      <c r="E911" s="234">
        <v>1</v>
      </c>
      <c r="F911" s="220">
        <f t="shared" si="357"/>
        <v>3</v>
      </c>
      <c r="G911" s="211">
        <v>44818</v>
      </c>
      <c r="H911" s="4"/>
      <c r="I911" s="187"/>
      <c r="J911" s="15"/>
      <c r="K911" s="15"/>
      <c r="L911" s="220">
        <f t="shared" si="353"/>
        <v>0</v>
      </c>
      <c r="O911" s="4"/>
      <c r="P911" s="15"/>
      <c r="Q911" s="14">
        <f t="shared" si="354"/>
        <v>0</v>
      </c>
      <c r="R911" s="186"/>
      <c r="S911" s="4"/>
      <c r="T911" s="15"/>
      <c r="U911" s="14">
        <f t="shared" si="355"/>
        <v>0</v>
      </c>
    </row>
    <row r="912" spans="1:22" x14ac:dyDescent="0.15">
      <c r="A912" s="1"/>
      <c r="B912" s="4" t="s">
        <v>749</v>
      </c>
      <c r="C912" s="233">
        <f>1+6</f>
        <v>7</v>
      </c>
      <c r="D912" s="234"/>
      <c r="E912" s="234"/>
      <c r="F912" s="220">
        <f t="shared" si="357"/>
        <v>7</v>
      </c>
      <c r="G912" s="248">
        <v>44817</v>
      </c>
      <c r="H912" s="6"/>
      <c r="I912" s="187"/>
      <c r="J912" s="15"/>
      <c r="K912" s="15"/>
      <c r="L912" s="220">
        <f t="shared" si="353"/>
        <v>0</v>
      </c>
      <c r="O912" s="4"/>
      <c r="P912" s="15"/>
      <c r="Q912" s="14">
        <f t="shared" si="354"/>
        <v>0</v>
      </c>
      <c r="R912" s="186"/>
      <c r="S912" s="4"/>
      <c r="T912" s="15"/>
      <c r="U912" s="14">
        <f t="shared" si="355"/>
        <v>0</v>
      </c>
    </row>
    <row r="913" spans="1:22" x14ac:dyDescent="0.15">
      <c r="A913" s="1"/>
      <c r="B913" s="4" t="s">
        <v>764</v>
      </c>
      <c r="C913" s="235">
        <v>70</v>
      </c>
      <c r="D913" s="234"/>
      <c r="E913" s="234"/>
      <c r="F913" s="220">
        <f t="shared" si="357"/>
        <v>70</v>
      </c>
      <c r="G913" s="248">
        <v>44817</v>
      </c>
      <c r="H913" s="6"/>
      <c r="I913" s="188"/>
      <c r="J913" s="15"/>
      <c r="K913" s="15"/>
      <c r="L913" s="220">
        <f t="shared" si="353"/>
        <v>0</v>
      </c>
      <c r="O913" s="6"/>
      <c r="P913" s="15"/>
      <c r="Q913" s="14">
        <f t="shared" si="354"/>
        <v>0</v>
      </c>
      <c r="R913" s="186"/>
      <c r="S913" s="6"/>
      <c r="T913" s="15"/>
      <c r="U913" s="14">
        <f t="shared" si="355"/>
        <v>0</v>
      </c>
    </row>
    <row r="914" spans="1:22" x14ac:dyDescent="0.15">
      <c r="A914" s="1"/>
      <c r="B914" s="4" t="s">
        <v>749</v>
      </c>
      <c r="C914" s="233">
        <f>3+3</f>
        <v>6</v>
      </c>
      <c r="D914" s="234"/>
      <c r="E914" s="234"/>
      <c r="F914" s="220">
        <f t="shared" si="357"/>
        <v>6</v>
      </c>
      <c r="G914" s="248">
        <v>44818</v>
      </c>
      <c r="H914" s="6"/>
      <c r="I914" s="187"/>
      <c r="J914" s="15"/>
      <c r="K914" s="15"/>
      <c r="L914" s="220">
        <f t="shared" si="353"/>
        <v>0</v>
      </c>
      <c r="O914" s="4"/>
      <c r="P914" s="15"/>
      <c r="Q914" s="14">
        <f t="shared" si="354"/>
        <v>0</v>
      </c>
      <c r="R914" s="186"/>
      <c r="S914" s="6"/>
      <c r="T914" s="15"/>
      <c r="U914" s="14">
        <f t="shared" si="355"/>
        <v>0</v>
      </c>
      <c r="V914" s="186"/>
    </row>
    <row r="915" spans="1:22" x14ac:dyDescent="0.15">
      <c r="A915" s="1"/>
      <c r="B915" s="4" t="s">
        <v>749</v>
      </c>
      <c r="C915" s="235">
        <v>9</v>
      </c>
      <c r="D915" s="234">
        <v>3</v>
      </c>
      <c r="E915" s="234">
        <v>1</v>
      </c>
      <c r="F915" s="220">
        <f t="shared" si="357"/>
        <v>13</v>
      </c>
      <c r="G915" s="211">
        <v>44819</v>
      </c>
      <c r="H915" s="6"/>
      <c r="I915" s="188"/>
      <c r="J915" s="15"/>
      <c r="K915" s="15"/>
      <c r="L915" s="220">
        <f t="shared" si="353"/>
        <v>0</v>
      </c>
      <c r="M915" s="212"/>
      <c r="O915" s="6"/>
      <c r="P915" s="15"/>
      <c r="Q915" s="14">
        <f t="shared" si="354"/>
        <v>0</v>
      </c>
      <c r="R915" s="186"/>
      <c r="S915" s="4"/>
      <c r="T915" s="15"/>
      <c r="U915" s="14">
        <f t="shared" si="355"/>
        <v>0</v>
      </c>
      <c r="V915" s="186"/>
    </row>
    <row r="916" spans="1:22" x14ac:dyDescent="0.15">
      <c r="A916" s="1"/>
      <c r="B916" s="6" t="s">
        <v>1062</v>
      </c>
      <c r="C916" s="233">
        <v>1</v>
      </c>
      <c r="D916" s="234">
        <v>1</v>
      </c>
      <c r="E916" s="234">
        <v>1</v>
      </c>
      <c r="F916" s="220">
        <f t="shared" si="357"/>
        <v>3</v>
      </c>
      <c r="G916" s="211">
        <v>44824</v>
      </c>
      <c r="H916" s="4"/>
      <c r="I916" s="187"/>
      <c r="J916" s="15"/>
      <c r="K916" s="15"/>
      <c r="L916" s="220">
        <f t="shared" si="353"/>
        <v>0</v>
      </c>
      <c r="M916" s="212"/>
      <c r="O916" s="4"/>
      <c r="P916" s="15"/>
      <c r="Q916" s="14">
        <f t="shared" si="354"/>
        <v>0</v>
      </c>
      <c r="R916" s="186"/>
      <c r="S916" s="6"/>
      <c r="T916" s="15"/>
      <c r="U916" s="14">
        <f t="shared" si="355"/>
        <v>0</v>
      </c>
      <c r="V916" s="186"/>
    </row>
    <row r="917" spans="1:22" x14ac:dyDescent="0.15">
      <c r="A917" s="75"/>
      <c r="B917" s="4" t="s">
        <v>749</v>
      </c>
      <c r="C917" s="233">
        <v>7</v>
      </c>
      <c r="D917" s="234">
        <v>1</v>
      </c>
      <c r="E917" s="234"/>
      <c r="F917" s="220">
        <f t="shared" si="357"/>
        <v>8</v>
      </c>
      <c r="G917" s="248">
        <v>44820</v>
      </c>
      <c r="H917" s="6"/>
      <c r="I917" s="187"/>
      <c r="J917" s="15"/>
      <c r="K917" s="15"/>
      <c r="L917" s="220">
        <f t="shared" si="353"/>
        <v>0</v>
      </c>
      <c r="M917" s="212"/>
      <c r="O917" s="4"/>
      <c r="P917" s="15"/>
      <c r="Q917" s="14">
        <f t="shared" si="354"/>
        <v>0</v>
      </c>
      <c r="R917" s="186"/>
      <c r="S917" s="6"/>
      <c r="T917" s="15"/>
      <c r="U917" s="14">
        <f t="shared" si="355"/>
        <v>0</v>
      </c>
      <c r="V917" s="186"/>
    </row>
    <row r="918" spans="1:22" x14ac:dyDescent="0.15">
      <c r="A918" s="1"/>
      <c r="B918" s="4" t="s">
        <v>749</v>
      </c>
      <c r="C918" s="233">
        <v>4</v>
      </c>
      <c r="D918" s="234"/>
      <c r="E918" s="234"/>
      <c r="F918" s="220">
        <f t="shared" ref="F918:F919" si="358">SUM(C918:E918)</f>
        <v>4</v>
      </c>
      <c r="G918" s="248">
        <v>44821</v>
      </c>
      <c r="H918" s="6"/>
      <c r="I918" s="187"/>
      <c r="J918" s="15"/>
      <c r="K918" s="15"/>
      <c r="L918" s="220">
        <f t="shared" ref="L918" si="359">SUM(I918:K918)</f>
        <v>0</v>
      </c>
      <c r="M918" s="212"/>
      <c r="O918" s="4"/>
      <c r="P918" s="15"/>
      <c r="Q918" s="14">
        <f t="shared" si="354"/>
        <v>0</v>
      </c>
      <c r="R918" s="186"/>
      <c r="S918" s="4"/>
      <c r="T918" s="15"/>
      <c r="U918" s="14">
        <f t="shared" si="355"/>
        <v>0</v>
      </c>
      <c r="V918" s="212"/>
    </row>
    <row r="919" spans="1:22" x14ac:dyDescent="0.15">
      <c r="A919" s="1"/>
      <c r="B919" s="4" t="s">
        <v>749</v>
      </c>
      <c r="C919" s="235">
        <f>29+1+1</f>
        <v>31</v>
      </c>
      <c r="D919" s="234">
        <f>1+4+1</f>
        <v>6</v>
      </c>
      <c r="E919" s="234">
        <f>1+3</f>
        <v>4</v>
      </c>
      <c r="F919" s="220">
        <f t="shared" si="358"/>
        <v>41</v>
      </c>
      <c r="G919" s="211">
        <v>44824</v>
      </c>
      <c r="H919" s="247" t="s">
        <v>985</v>
      </c>
      <c r="I919" s="265"/>
      <c r="J919" s="252"/>
      <c r="K919" s="252"/>
      <c r="L919" s="250">
        <f t="shared" si="353"/>
        <v>0</v>
      </c>
      <c r="M919" s="212"/>
      <c r="O919" s="6"/>
      <c r="P919" s="15"/>
      <c r="Q919" s="14">
        <f t="shared" si="354"/>
        <v>0</v>
      </c>
      <c r="R919" s="186"/>
      <c r="S919" s="254" t="s">
        <v>1053</v>
      </c>
      <c r="T919" s="252"/>
      <c r="U919" s="255">
        <f t="shared" si="355"/>
        <v>0</v>
      </c>
      <c r="V919" s="212"/>
    </row>
    <row r="920" spans="1:22" ht="14.25" thickBot="1" x14ac:dyDescent="0.2">
      <c r="A920" s="1"/>
      <c r="B920" s="4"/>
      <c r="C920" s="235"/>
      <c r="D920" s="234"/>
      <c r="E920" s="234"/>
      <c r="F920" s="220">
        <f t="shared" si="357"/>
        <v>0</v>
      </c>
      <c r="G920" s="211"/>
      <c r="H920" s="6" t="s">
        <v>771</v>
      </c>
      <c r="I920" s="187"/>
      <c r="J920" s="206"/>
      <c r="K920" s="206"/>
      <c r="L920" s="220">
        <f t="shared" si="353"/>
        <v>0</v>
      </c>
      <c r="M920" s="212" t="s">
        <v>984</v>
      </c>
      <c r="O920" s="6"/>
      <c r="P920" s="15"/>
      <c r="Q920" s="14">
        <f t="shared" si="354"/>
        <v>0</v>
      </c>
      <c r="R920" s="186"/>
      <c r="S920" s="4" t="s">
        <v>771</v>
      </c>
      <c r="T920" s="15"/>
      <c r="U920" s="14">
        <f t="shared" si="355"/>
        <v>0</v>
      </c>
      <c r="V920" s="212" t="s">
        <v>984</v>
      </c>
    </row>
    <row r="921" spans="1:22" ht="14.25" thickBot="1" x14ac:dyDescent="0.2">
      <c r="A921" s="1"/>
      <c r="B921" s="3" t="s">
        <v>5</v>
      </c>
      <c r="C921" s="16">
        <f>SUM(C897:C920)</f>
        <v>322</v>
      </c>
      <c r="D921" s="16">
        <f>SUM(D897:D920)</f>
        <v>40</v>
      </c>
      <c r="E921" s="16">
        <f>SUM(E897:E920)</f>
        <v>30</v>
      </c>
      <c r="F921" s="223">
        <f>SUM(F897:F920)</f>
        <v>392</v>
      </c>
      <c r="H921" s="3" t="s">
        <v>5</v>
      </c>
      <c r="I921" s="16">
        <f>SUM(I897:I920)</f>
        <v>540</v>
      </c>
      <c r="J921" s="16">
        <f>SUM(J897:J920)</f>
        <v>0</v>
      </c>
      <c r="K921" s="16">
        <f>SUM(K897:K920)</f>
        <v>0</v>
      </c>
      <c r="L921" s="223">
        <f>SUM(L897:L920)</f>
        <v>540</v>
      </c>
      <c r="O921" s="3" t="s">
        <v>5</v>
      </c>
      <c r="P921" s="16">
        <f>SUM(P897:P920)</f>
        <v>0</v>
      </c>
      <c r="Q921" s="17">
        <f>SUM(Q897:Q920)</f>
        <v>0</v>
      </c>
      <c r="S921" s="3" t="s">
        <v>5</v>
      </c>
      <c r="T921" s="16">
        <f>SUM(T897:T920)</f>
        <v>0</v>
      </c>
      <c r="U921" s="17">
        <f>SUM(U897:U920)</f>
        <v>0</v>
      </c>
    </row>
    <row r="922" spans="1:22" ht="14.25" thickBot="1" x14ac:dyDescent="0.2">
      <c r="A922" s="1"/>
      <c r="B922" s="18" t="s">
        <v>6</v>
      </c>
      <c r="C922" s="19">
        <f>C896-C921</f>
        <v>136</v>
      </c>
      <c r="D922" s="19">
        <f>D896-D921</f>
        <v>60</v>
      </c>
      <c r="E922" s="19">
        <f t="shared" ref="E922" si="360">E896-E921</f>
        <v>95</v>
      </c>
      <c r="F922" s="221">
        <f>F896-F921</f>
        <v>291</v>
      </c>
      <c r="H922" s="18" t="s">
        <v>6</v>
      </c>
      <c r="I922" s="19">
        <f>I896-I921</f>
        <v>2831</v>
      </c>
      <c r="J922" s="19">
        <f>J896-J921</f>
        <v>1162</v>
      </c>
      <c r="K922" s="19">
        <f t="shared" ref="K922" si="361">K896-K921</f>
        <v>1237</v>
      </c>
      <c r="L922" s="221">
        <f>L896-L921</f>
        <v>5230</v>
      </c>
      <c r="O922" s="18" t="s">
        <v>6</v>
      </c>
      <c r="P922" s="19">
        <f>P896-P921</f>
        <v>0</v>
      </c>
      <c r="Q922" s="13">
        <f>Q896-Q921</f>
        <v>0</v>
      </c>
      <c r="S922" s="18" t="s">
        <v>6</v>
      </c>
      <c r="T922" s="19">
        <f>T896-T921</f>
        <v>1978</v>
      </c>
      <c r="U922" s="13">
        <f>U896-U921</f>
        <v>1978</v>
      </c>
    </row>
    <row r="925" spans="1:22" ht="18" thickBot="1" x14ac:dyDescent="0.25">
      <c r="A925" s="27" t="s">
        <v>739</v>
      </c>
      <c r="B925" s="28"/>
      <c r="C925" s="28"/>
      <c r="D925" s="28"/>
      <c r="E925" s="28"/>
      <c r="F925" s="218"/>
      <c r="H925" s="27" t="s">
        <v>740</v>
      </c>
      <c r="I925" s="28"/>
      <c r="J925" s="28"/>
      <c r="K925" s="28"/>
      <c r="L925" s="218"/>
      <c r="O925" s="181" t="s">
        <v>737</v>
      </c>
      <c r="P925" s="182"/>
      <c r="Q925" s="182"/>
      <c r="R925" s="183"/>
      <c r="S925" s="181" t="s">
        <v>733</v>
      </c>
      <c r="T925" s="182"/>
      <c r="U925" s="182"/>
    </row>
    <row r="926" spans="1:22" ht="14.25" thickBot="1" x14ac:dyDescent="0.2">
      <c r="A926" s="1"/>
      <c r="B926" s="2"/>
      <c r="C926" s="194" t="s">
        <v>734</v>
      </c>
      <c r="D926" s="195" t="s">
        <v>706</v>
      </c>
      <c r="E926" s="2" t="s">
        <v>735</v>
      </c>
      <c r="F926" s="219" t="s">
        <v>1</v>
      </c>
      <c r="H926" s="2"/>
      <c r="I926" s="197" t="s">
        <v>734</v>
      </c>
      <c r="J926" s="195" t="s">
        <v>706</v>
      </c>
      <c r="K926" s="201" t="s">
        <v>735</v>
      </c>
      <c r="L926" s="219" t="s">
        <v>1</v>
      </c>
      <c r="O926" s="2"/>
      <c r="P926" s="3" t="s">
        <v>722</v>
      </c>
      <c r="Q926" s="2" t="s">
        <v>1</v>
      </c>
      <c r="S926" s="2"/>
      <c r="T926" s="3" t="s">
        <v>722</v>
      </c>
      <c r="U926" s="2" t="s">
        <v>1</v>
      </c>
    </row>
    <row r="927" spans="1:22" x14ac:dyDescent="0.15">
      <c r="A927" s="1"/>
      <c r="B927" s="164" t="s">
        <v>26</v>
      </c>
      <c r="C927" s="200">
        <f>C922</f>
        <v>136</v>
      </c>
      <c r="D927" s="164">
        <f t="shared" ref="D927:F927" si="362">D922</f>
        <v>60</v>
      </c>
      <c r="E927" s="164">
        <f t="shared" si="362"/>
        <v>95</v>
      </c>
      <c r="F927" s="222">
        <f t="shared" si="362"/>
        <v>291</v>
      </c>
      <c r="H927" s="164" t="s">
        <v>26</v>
      </c>
      <c r="I927" s="200">
        <f>I922</f>
        <v>2831</v>
      </c>
      <c r="J927" s="164">
        <f t="shared" ref="J927:L927" si="363">J922</f>
        <v>1162</v>
      </c>
      <c r="K927" s="200">
        <f t="shared" si="363"/>
        <v>1237</v>
      </c>
      <c r="L927" s="222">
        <f t="shared" si="363"/>
        <v>5230</v>
      </c>
      <c r="O927" s="171" t="s">
        <v>26</v>
      </c>
      <c r="P927" s="200">
        <f>P922</f>
        <v>0</v>
      </c>
      <c r="Q927" s="180">
        <f>Q922</f>
        <v>0</v>
      </c>
      <c r="R927" s="185"/>
      <c r="S927" s="43" t="s">
        <v>26</v>
      </c>
      <c r="T927" s="38">
        <f>T922</f>
        <v>1978</v>
      </c>
      <c r="U927" s="39">
        <f>U922</f>
        <v>1978</v>
      </c>
    </row>
    <row r="928" spans="1:22" x14ac:dyDescent="0.15">
      <c r="A928" s="75"/>
      <c r="B928" s="6" t="s">
        <v>3</v>
      </c>
      <c r="C928" s="6">
        <v>50</v>
      </c>
      <c r="D928" s="6"/>
      <c r="E928" s="4"/>
      <c r="F928" s="220">
        <f t="shared" ref="F928:F931" si="364">SUM(C928:E928)</f>
        <v>50</v>
      </c>
      <c r="G928" s="211">
        <v>44839</v>
      </c>
      <c r="H928" s="6" t="s">
        <v>3</v>
      </c>
      <c r="I928" s="188"/>
      <c r="J928" s="225"/>
      <c r="K928" s="243"/>
      <c r="L928" s="220">
        <f t="shared" ref="L928:L929" si="365">SUM(I928:K928)</f>
        <v>0</v>
      </c>
      <c r="M928" s="211"/>
      <c r="O928" s="6" t="s">
        <v>3</v>
      </c>
      <c r="P928" s="7"/>
      <c r="Q928" s="5">
        <f t="shared" ref="Q928:Q937" si="366">SUM(P928:P928)</f>
        <v>0</v>
      </c>
      <c r="R928" s="186"/>
      <c r="S928" s="6" t="s">
        <v>3</v>
      </c>
      <c r="T928" s="7"/>
      <c r="U928" s="5">
        <f t="shared" ref="U928:U937" si="367">SUM(T928:T928)</f>
        <v>0</v>
      </c>
    </row>
    <row r="929" spans="1:22" x14ac:dyDescent="0.15">
      <c r="A929" s="1"/>
      <c r="B929" s="6" t="s">
        <v>3</v>
      </c>
      <c r="C929" s="6">
        <v>100</v>
      </c>
      <c r="D929" s="6"/>
      <c r="E929" s="4"/>
      <c r="F929" s="220">
        <f t="shared" si="364"/>
        <v>100</v>
      </c>
      <c r="G929" s="211">
        <v>44852</v>
      </c>
      <c r="H929" s="6" t="s">
        <v>64</v>
      </c>
      <c r="I929" s="188">
        <v>35</v>
      </c>
      <c r="J929" s="6"/>
      <c r="K929" s="202"/>
      <c r="L929" s="220">
        <f t="shared" si="365"/>
        <v>35</v>
      </c>
      <c r="M929" s="211">
        <v>44841</v>
      </c>
      <c r="O929" s="6" t="s">
        <v>3</v>
      </c>
      <c r="P929" s="7"/>
      <c r="Q929" s="5">
        <f t="shared" si="366"/>
        <v>0</v>
      </c>
      <c r="R929" s="186"/>
      <c r="S929" s="6" t="s">
        <v>3</v>
      </c>
      <c r="T929" s="54"/>
      <c r="U929" s="5">
        <f t="shared" si="367"/>
        <v>0</v>
      </c>
      <c r="V929" s="185"/>
    </row>
    <row r="930" spans="1:22" x14ac:dyDescent="0.15">
      <c r="A930" s="1"/>
      <c r="B930" s="6" t="s">
        <v>3</v>
      </c>
      <c r="C930" s="6"/>
      <c r="D930" s="6"/>
      <c r="E930" s="4"/>
      <c r="F930" s="220">
        <f t="shared" si="364"/>
        <v>0</v>
      </c>
      <c r="G930" s="211"/>
      <c r="H930" s="6" t="s">
        <v>3</v>
      </c>
      <c r="I930" s="188"/>
      <c r="J930" s="225"/>
      <c r="K930" s="243"/>
      <c r="L930" s="220">
        <f t="shared" ref="L930:L937" si="368">SUM(I930:K930)</f>
        <v>0</v>
      </c>
      <c r="M930" s="211"/>
      <c r="O930" s="6" t="s">
        <v>3</v>
      </c>
      <c r="P930" s="7"/>
      <c r="Q930" s="5">
        <f t="shared" si="366"/>
        <v>0</v>
      </c>
      <c r="R930" s="186"/>
      <c r="S930" s="6" t="s">
        <v>3</v>
      </c>
      <c r="T930" s="8"/>
      <c r="U930" s="5">
        <f t="shared" si="367"/>
        <v>0</v>
      </c>
      <c r="V930" s="186"/>
    </row>
    <row r="931" spans="1:22" x14ac:dyDescent="0.15">
      <c r="A931" s="1"/>
      <c r="B931" s="6" t="s">
        <v>3</v>
      </c>
      <c r="C931" s="6"/>
      <c r="D931" s="6"/>
      <c r="E931" s="4"/>
      <c r="F931" s="220">
        <f t="shared" si="364"/>
        <v>0</v>
      </c>
      <c r="G931" s="211"/>
      <c r="H931" s="6" t="s">
        <v>3</v>
      </c>
      <c r="I931" s="188"/>
      <c r="J931" s="6"/>
      <c r="K931" s="202"/>
      <c r="L931" s="220">
        <f t="shared" ref="L931" si="369">SUM(I931:K931)</f>
        <v>0</v>
      </c>
      <c r="O931" s="6" t="s">
        <v>3</v>
      </c>
      <c r="P931" s="7"/>
      <c r="Q931" s="5">
        <f t="shared" si="366"/>
        <v>0</v>
      </c>
      <c r="R931" s="186"/>
      <c r="S931" s="6" t="s">
        <v>3</v>
      </c>
      <c r="T931" s="7"/>
      <c r="U931" s="5">
        <f t="shared" si="367"/>
        <v>0</v>
      </c>
      <c r="V931" s="186"/>
    </row>
    <row r="932" spans="1:22" x14ac:dyDescent="0.15">
      <c r="A932" s="1"/>
      <c r="B932" s="6" t="s">
        <v>3</v>
      </c>
      <c r="C932" s="6"/>
      <c r="D932" s="6"/>
      <c r="E932" s="4"/>
      <c r="F932" s="220">
        <f t="shared" ref="F932:F937" si="370">SUM(C932:E932)</f>
        <v>0</v>
      </c>
      <c r="G932" s="211"/>
      <c r="H932" s="6" t="s">
        <v>3</v>
      </c>
      <c r="I932" s="188"/>
      <c r="J932" s="6"/>
      <c r="K932" s="202"/>
      <c r="L932" s="220">
        <f t="shared" si="368"/>
        <v>0</v>
      </c>
      <c r="O932" s="6" t="s">
        <v>3</v>
      </c>
      <c r="P932" s="7"/>
      <c r="Q932" s="5">
        <f t="shared" si="366"/>
        <v>0</v>
      </c>
      <c r="R932" s="186"/>
      <c r="S932" s="6" t="s">
        <v>3</v>
      </c>
      <c r="T932" s="7"/>
      <c r="U932" s="5">
        <f t="shared" si="367"/>
        <v>0</v>
      </c>
      <c r="V932" s="185"/>
    </row>
    <row r="933" spans="1:22" x14ac:dyDescent="0.15">
      <c r="A933" s="75"/>
      <c r="B933" s="6" t="s">
        <v>3</v>
      </c>
      <c r="C933" s="6"/>
      <c r="D933" s="6"/>
      <c r="E933" s="4"/>
      <c r="F933" s="220">
        <f t="shared" si="370"/>
        <v>0</v>
      </c>
      <c r="G933" s="211"/>
      <c r="H933" s="6" t="s">
        <v>3</v>
      </c>
      <c r="I933" s="188"/>
      <c r="J933" s="6"/>
      <c r="K933" s="202"/>
      <c r="L933" s="220">
        <f t="shared" si="368"/>
        <v>0</v>
      </c>
      <c r="O933" s="6" t="s">
        <v>3</v>
      </c>
      <c r="P933" s="7"/>
      <c r="Q933" s="5">
        <f t="shared" si="366"/>
        <v>0</v>
      </c>
      <c r="R933" s="186"/>
      <c r="S933" s="6" t="s">
        <v>3</v>
      </c>
      <c r="T933" s="7"/>
      <c r="U933" s="5">
        <f t="shared" si="367"/>
        <v>0</v>
      </c>
    </row>
    <row r="934" spans="1:22" x14ac:dyDescent="0.15">
      <c r="A934" s="75"/>
      <c r="B934" s="6" t="s">
        <v>3</v>
      </c>
      <c r="C934" s="6"/>
      <c r="D934" s="225"/>
      <c r="E934" s="226"/>
      <c r="F934" s="220">
        <f t="shared" si="370"/>
        <v>0</v>
      </c>
      <c r="G934" s="212"/>
      <c r="H934" s="6" t="s">
        <v>3</v>
      </c>
      <c r="I934" s="188"/>
      <c r="J934" s="225"/>
      <c r="K934" s="243"/>
      <c r="L934" s="220">
        <f t="shared" si="368"/>
        <v>0</v>
      </c>
      <c r="O934" s="6" t="s">
        <v>3</v>
      </c>
      <c r="P934" s="8"/>
      <c r="Q934" s="5">
        <f t="shared" si="366"/>
        <v>0</v>
      </c>
      <c r="R934" s="186"/>
      <c r="S934" s="6" t="s">
        <v>3</v>
      </c>
      <c r="T934" s="54"/>
      <c r="U934" s="5">
        <f t="shared" si="367"/>
        <v>0</v>
      </c>
    </row>
    <row r="935" spans="1:22" x14ac:dyDescent="0.15">
      <c r="A935" s="75"/>
      <c r="B935" s="6" t="s">
        <v>3</v>
      </c>
      <c r="C935" s="6"/>
      <c r="D935" s="225"/>
      <c r="E935" s="226"/>
      <c r="F935" s="220">
        <f t="shared" si="370"/>
        <v>0</v>
      </c>
      <c r="G935" s="212"/>
      <c r="H935" s="6" t="s">
        <v>3</v>
      </c>
      <c r="I935" s="188"/>
      <c r="J935" s="225"/>
      <c r="K935" s="243"/>
      <c r="L935" s="220">
        <f t="shared" si="368"/>
        <v>0</v>
      </c>
      <c r="M935" s="211"/>
      <c r="O935" s="6" t="s">
        <v>3</v>
      </c>
      <c r="P935" s="8"/>
      <c r="Q935" s="5">
        <f t="shared" si="366"/>
        <v>0</v>
      </c>
      <c r="R935" s="186"/>
      <c r="S935" s="6" t="s">
        <v>3</v>
      </c>
      <c r="T935" s="54"/>
      <c r="U935" s="5">
        <f t="shared" si="367"/>
        <v>0</v>
      </c>
      <c r="V935" s="185"/>
    </row>
    <row r="936" spans="1:22" x14ac:dyDescent="0.15">
      <c r="A936" s="1"/>
      <c r="B936" s="6" t="s">
        <v>3</v>
      </c>
      <c r="C936" s="6"/>
      <c r="D936" s="225"/>
      <c r="E936" s="226"/>
      <c r="F936" s="220">
        <f t="shared" si="370"/>
        <v>0</v>
      </c>
      <c r="G936" s="212"/>
      <c r="H936" s="6" t="s">
        <v>3</v>
      </c>
      <c r="I936" s="188"/>
      <c r="J936" s="225"/>
      <c r="K936" s="243"/>
      <c r="L936" s="220">
        <f t="shared" si="368"/>
        <v>0</v>
      </c>
      <c r="M936" s="186"/>
      <c r="O936" s="6" t="s">
        <v>3</v>
      </c>
      <c r="P936" s="8"/>
      <c r="Q936" s="5">
        <f t="shared" si="366"/>
        <v>0</v>
      </c>
      <c r="R936" s="186"/>
      <c r="S936" s="6" t="s">
        <v>3</v>
      </c>
      <c r="T936" s="8"/>
      <c r="U936" s="5">
        <f t="shared" si="367"/>
        <v>0</v>
      </c>
      <c r="V936" s="186"/>
    </row>
    <row r="937" spans="1:22" ht="14.25" thickBot="1" x14ac:dyDescent="0.2">
      <c r="A937" s="1"/>
      <c r="B937" s="6" t="s">
        <v>3</v>
      </c>
      <c r="C937" s="9"/>
      <c r="D937" s="237"/>
      <c r="E937" s="238"/>
      <c r="F937" s="220">
        <f t="shared" si="370"/>
        <v>0</v>
      </c>
      <c r="G937" s="212"/>
      <c r="H937" s="9" t="s">
        <v>3</v>
      </c>
      <c r="I937" s="198"/>
      <c r="J937" s="244"/>
      <c r="K937" s="245"/>
      <c r="L937" s="220">
        <f t="shared" si="368"/>
        <v>0</v>
      </c>
      <c r="O937" s="9" t="s">
        <v>3</v>
      </c>
      <c r="P937" s="10"/>
      <c r="Q937" s="5">
        <f t="shared" si="366"/>
        <v>0</v>
      </c>
      <c r="R937" s="186"/>
      <c r="S937" s="9" t="s">
        <v>3</v>
      </c>
      <c r="T937" s="10"/>
      <c r="U937" s="5">
        <f t="shared" si="367"/>
        <v>0</v>
      </c>
    </row>
    <row r="938" spans="1:22" ht="14.25" thickBot="1" x14ac:dyDescent="0.2">
      <c r="A938" s="1"/>
      <c r="B938" s="11" t="s">
        <v>4</v>
      </c>
      <c r="C938" s="193">
        <f>SUM(C927:C937)</f>
        <v>286</v>
      </c>
      <c r="D938" s="193">
        <f>SUM(D927:D937)</f>
        <v>60</v>
      </c>
      <c r="E938" s="193">
        <f>SUM(E927:E937)</f>
        <v>95</v>
      </c>
      <c r="F938" s="221">
        <f>SUM(F927:F937)</f>
        <v>441</v>
      </c>
      <c r="H938" s="11" t="s">
        <v>4</v>
      </c>
      <c r="I938" s="193">
        <f>SUM(I927:I937)</f>
        <v>2866</v>
      </c>
      <c r="J938" s="193">
        <f>SUM(J927:J937)</f>
        <v>1162</v>
      </c>
      <c r="K938" s="193">
        <f t="shared" ref="K938" si="371">SUM(K927:K937)</f>
        <v>1237</v>
      </c>
      <c r="L938" s="221">
        <f>SUM(L927:L937)</f>
        <v>5265</v>
      </c>
      <c r="O938" s="11" t="s">
        <v>4</v>
      </c>
      <c r="P938" s="12">
        <f>SUM(P927:P937)</f>
        <v>0</v>
      </c>
      <c r="Q938" s="13">
        <f>SUM(Q927:Q937)</f>
        <v>0</v>
      </c>
      <c r="S938" s="11" t="s">
        <v>4</v>
      </c>
      <c r="T938" s="12">
        <f>SUM(T927:T937)</f>
        <v>1978</v>
      </c>
      <c r="U938" s="13">
        <f>SUM(U927:U937)</f>
        <v>1978</v>
      </c>
    </row>
    <row r="939" spans="1:22" x14ac:dyDescent="0.15">
      <c r="A939" s="1"/>
      <c r="B939" s="6" t="s">
        <v>1063</v>
      </c>
      <c r="C939" s="233">
        <v>1</v>
      </c>
      <c r="D939" s="234">
        <v>1</v>
      </c>
      <c r="E939" s="234">
        <v>1</v>
      </c>
      <c r="F939" s="220">
        <f t="shared" ref="F939:F942" si="372">SUM(C939:E939)</f>
        <v>3</v>
      </c>
      <c r="G939" s="211">
        <v>44826</v>
      </c>
      <c r="H939" s="4" t="s">
        <v>745</v>
      </c>
      <c r="I939" s="233">
        <v>50</v>
      </c>
      <c r="J939" s="234"/>
      <c r="K939" s="234"/>
      <c r="L939" s="220">
        <f t="shared" ref="L939" si="373">SUM(I939:K939)</f>
        <v>50</v>
      </c>
      <c r="M939" s="211">
        <v>44839</v>
      </c>
      <c r="O939" s="4"/>
      <c r="P939" s="44"/>
      <c r="Q939" s="14">
        <f t="shared" ref="Q939:Q962" si="374">SUM(P939:P939)</f>
        <v>0</v>
      </c>
      <c r="R939" s="185"/>
      <c r="S939" s="6"/>
      <c r="T939" s="44"/>
      <c r="U939" s="14">
        <f t="shared" ref="U939:U962" si="375">SUM(T939:T939)</f>
        <v>0</v>
      </c>
      <c r="V939" s="185"/>
    </row>
    <row r="940" spans="1:22" x14ac:dyDescent="0.15">
      <c r="A940" s="1"/>
      <c r="B940" s="4" t="s">
        <v>749</v>
      </c>
      <c r="C940" s="233">
        <f>7+10</f>
        <v>17</v>
      </c>
      <c r="D940" s="234"/>
      <c r="E940" s="234"/>
      <c r="F940" s="220">
        <f t="shared" si="372"/>
        <v>17</v>
      </c>
      <c r="G940" s="248">
        <v>44825</v>
      </c>
      <c r="H940" s="4" t="s">
        <v>745</v>
      </c>
      <c r="I940" s="233">
        <v>100</v>
      </c>
      <c r="J940" s="234"/>
      <c r="K940" s="234"/>
      <c r="L940" s="220">
        <f t="shared" ref="L940:L943" si="376">SUM(I940:K940)</f>
        <v>100</v>
      </c>
      <c r="M940" s="211">
        <v>44852</v>
      </c>
      <c r="O940" s="4"/>
      <c r="P940" s="15"/>
      <c r="Q940" s="14">
        <f t="shared" si="374"/>
        <v>0</v>
      </c>
      <c r="R940" s="186"/>
      <c r="S940" s="6"/>
      <c r="T940" s="15"/>
      <c r="U940" s="14">
        <f t="shared" si="375"/>
        <v>0</v>
      </c>
      <c r="V940" s="185"/>
    </row>
    <row r="941" spans="1:22" x14ac:dyDescent="0.15">
      <c r="A941" s="1"/>
      <c r="B941" s="4" t="s">
        <v>749</v>
      </c>
      <c r="C941" s="233">
        <v>4</v>
      </c>
      <c r="D941" s="234"/>
      <c r="E941" s="234"/>
      <c r="F941" s="220">
        <f t="shared" si="372"/>
        <v>4</v>
      </c>
      <c r="G941" s="248">
        <v>44826</v>
      </c>
      <c r="H941" s="4"/>
      <c r="I941" s="233"/>
      <c r="J941" s="234"/>
      <c r="K941" s="234"/>
      <c r="L941" s="220">
        <f t="shared" si="376"/>
        <v>0</v>
      </c>
      <c r="M941" s="212"/>
      <c r="O941" s="4"/>
      <c r="P941" s="15"/>
      <c r="Q941" s="14">
        <f t="shared" si="374"/>
        <v>0</v>
      </c>
      <c r="R941" s="186"/>
      <c r="S941" s="6"/>
      <c r="T941" s="15"/>
      <c r="U941" s="14">
        <f t="shared" si="375"/>
        <v>0</v>
      </c>
      <c r="V941" s="185"/>
    </row>
    <row r="942" spans="1:22" x14ac:dyDescent="0.15">
      <c r="A942" s="1"/>
      <c r="B942" s="6" t="s">
        <v>1064</v>
      </c>
      <c r="C942" s="233">
        <v>1</v>
      </c>
      <c r="D942" s="234">
        <v>1</v>
      </c>
      <c r="E942" s="234">
        <v>1</v>
      </c>
      <c r="F942" s="220">
        <f t="shared" si="372"/>
        <v>3</v>
      </c>
      <c r="G942" s="211">
        <v>44831</v>
      </c>
      <c r="H942" s="4"/>
      <c r="I942" s="233"/>
      <c r="J942" s="234"/>
      <c r="K942" s="234"/>
      <c r="L942" s="220">
        <f t="shared" si="376"/>
        <v>0</v>
      </c>
      <c r="M942" s="212"/>
      <c r="O942" s="4"/>
      <c r="P942" s="15"/>
      <c r="Q942" s="14">
        <f t="shared" si="374"/>
        <v>0</v>
      </c>
      <c r="R942" s="186"/>
      <c r="S942" s="6"/>
      <c r="T942" s="15"/>
      <c r="U942" s="14">
        <f t="shared" si="375"/>
        <v>0</v>
      </c>
      <c r="V942" s="185"/>
    </row>
    <row r="943" spans="1:22" x14ac:dyDescent="0.15">
      <c r="A943" s="1"/>
      <c r="B943" s="4" t="s">
        <v>749</v>
      </c>
      <c r="C943" s="233">
        <f>34+1+1-10</f>
        <v>26</v>
      </c>
      <c r="D943" s="234"/>
      <c r="E943" s="234"/>
      <c r="F943" s="220">
        <f t="shared" ref="F943:F960" si="377">SUM(C943:E943)</f>
        <v>26</v>
      </c>
      <c r="G943" s="248">
        <v>44830</v>
      </c>
      <c r="H943" s="4"/>
      <c r="I943" s="233"/>
      <c r="J943" s="234"/>
      <c r="K943" s="234"/>
      <c r="L943" s="220">
        <f t="shared" si="376"/>
        <v>0</v>
      </c>
      <c r="M943" s="212"/>
      <c r="O943" s="4"/>
      <c r="P943" s="15"/>
      <c r="Q943" s="14">
        <f t="shared" si="374"/>
        <v>0</v>
      </c>
      <c r="R943" s="186"/>
      <c r="S943" s="6"/>
      <c r="T943" s="15"/>
      <c r="U943" s="14">
        <f t="shared" si="375"/>
        <v>0</v>
      </c>
      <c r="V943" s="185"/>
    </row>
    <row r="944" spans="1:22" x14ac:dyDescent="0.15">
      <c r="A944" s="1"/>
      <c r="B944" s="4" t="s">
        <v>749</v>
      </c>
      <c r="C944" s="233">
        <v>1</v>
      </c>
      <c r="D944" s="234"/>
      <c r="E944" s="234"/>
      <c r="F944" s="220">
        <f t="shared" si="377"/>
        <v>1</v>
      </c>
      <c r="G944" s="248">
        <v>44831</v>
      </c>
      <c r="H944" s="4"/>
      <c r="I944" s="233"/>
      <c r="J944" s="234"/>
      <c r="K944" s="234"/>
      <c r="L944" s="220">
        <f t="shared" ref="L944:L959" si="378">SUM(I944:K944)</f>
        <v>0</v>
      </c>
      <c r="M944" s="212"/>
      <c r="O944" s="4"/>
      <c r="P944" s="15"/>
      <c r="Q944" s="14">
        <f t="shared" si="374"/>
        <v>0</v>
      </c>
      <c r="R944" s="186"/>
      <c r="S944" s="6"/>
      <c r="T944" s="15"/>
      <c r="U944" s="14">
        <f t="shared" si="375"/>
        <v>0</v>
      </c>
      <c r="V944" s="185"/>
    </row>
    <row r="945" spans="1:22" x14ac:dyDescent="0.15">
      <c r="A945" s="1"/>
      <c r="B945" s="4" t="s">
        <v>749</v>
      </c>
      <c r="C945" s="233">
        <v>5</v>
      </c>
      <c r="D945" s="234"/>
      <c r="E945" s="234"/>
      <c r="F945" s="220">
        <f t="shared" si="377"/>
        <v>5</v>
      </c>
      <c r="G945" s="248">
        <v>44833</v>
      </c>
      <c r="H945" s="4"/>
      <c r="I945" s="233"/>
      <c r="J945" s="234"/>
      <c r="K945" s="234"/>
      <c r="L945" s="220">
        <f t="shared" si="378"/>
        <v>0</v>
      </c>
      <c r="M945" s="212"/>
      <c r="O945" s="4"/>
      <c r="P945" s="15"/>
      <c r="Q945" s="14">
        <f t="shared" si="374"/>
        <v>0</v>
      </c>
      <c r="R945" s="186"/>
      <c r="S945" s="4"/>
      <c r="T945" s="15"/>
      <c r="U945" s="14">
        <f t="shared" si="375"/>
        <v>0</v>
      </c>
    </row>
    <row r="946" spans="1:22" x14ac:dyDescent="0.15">
      <c r="A946" s="1"/>
      <c r="B946" s="4" t="s">
        <v>749</v>
      </c>
      <c r="C946" s="233">
        <v>14</v>
      </c>
      <c r="D946" s="234"/>
      <c r="E946" s="234"/>
      <c r="F946" s="220">
        <f t="shared" si="377"/>
        <v>14</v>
      </c>
      <c r="G946" s="248">
        <v>44834</v>
      </c>
      <c r="H946" s="4"/>
      <c r="I946" s="233"/>
      <c r="J946" s="234"/>
      <c r="K946" s="234"/>
      <c r="L946" s="220">
        <f t="shared" si="378"/>
        <v>0</v>
      </c>
      <c r="M946" s="212"/>
      <c r="O946" s="4"/>
      <c r="P946" s="15"/>
      <c r="Q946" s="14">
        <f t="shared" si="374"/>
        <v>0</v>
      </c>
      <c r="R946" s="186"/>
      <c r="S946" s="4"/>
      <c r="T946" s="15"/>
      <c r="U946" s="14">
        <f t="shared" si="375"/>
        <v>0</v>
      </c>
    </row>
    <row r="947" spans="1:22" x14ac:dyDescent="0.15">
      <c r="A947" s="1"/>
      <c r="B947" s="4" t="s">
        <v>749</v>
      </c>
      <c r="C947" s="233">
        <v>3</v>
      </c>
      <c r="D947" s="234"/>
      <c r="E947" s="234"/>
      <c r="F947" s="220">
        <f t="shared" si="377"/>
        <v>3</v>
      </c>
      <c r="G947" s="248">
        <v>44835</v>
      </c>
      <c r="H947" s="4"/>
      <c r="I947" s="187"/>
      <c r="J947" s="15"/>
      <c r="K947" s="15"/>
      <c r="L947" s="220">
        <f t="shared" si="378"/>
        <v>0</v>
      </c>
      <c r="M947" s="212"/>
      <c r="O947" s="4"/>
      <c r="P947" s="15"/>
      <c r="Q947" s="14">
        <f t="shared" si="374"/>
        <v>0</v>
      </c>
      <c r="R947" s="186"/>
      <c r="S947" s="4"/>
      <c r="T947" s="15"/>
      <c r="U947" s="14">
        <f t="shared" si="375"/>
        <v>0</v>
      </c>
    </row>
    <row r="948" spans="1:22" x14ac:dyDescent="0.15">
      <c r="A948" s="1"/>
      <c r="B948" s="4" t="s">
        <v>749</v>
      </c>
      <c r="C948" s="233">
        <v>3</v>
      </c>
      <c r="D948" s="234"/>
      <c r="E948" s="234"/>
      <c r="F948" s="220">
        <f t="shared" si="377"/>
        <v>3</v>
      </c>
      <c r="G948" s="248">
        <v>44837</v>
      </c>
      <c r="H948" s="4"/>
      <c r="I948" s="187"/>
      <c r="J948" s="15"/>
      <c r="K948" s="15"/>
      <c r="L948" s="220">
        <f t="shared" si="378"/>
        <v>0</v>
      </c>
      <c r="M948" s="212"/>
      <c r="O948" s="4"/>
      <c r="P948" s="15"/>
      <c r="Q948" s="14">
        <f t="shared" si="374"/>
        <v>0</v>
      </c>
      <c r="R948" s="186"/>
      <c r="S948" s="4"/>
      <c r="T948" s="15"/>
      <c r="U948" s="14">
        <f t="shared" si="375"/>
        <v>0</v>
      </c>
    </row>
    <row r="949" spans="1:22" x14ac:dyDescent="0.15">
      <c r="A949" s="1"/>
      <c r="B949" s="4" t="s">
        <v>749</v>
      </c>
      <c r="C949" s="233">
        <f>3+3</f>
        <v>6</v>
      </c>
      <c r="D949" s="234">
        <v>1</v>
      </c>
      <c r="E949" s="234">
        <v>1</v>
      </c>
      <c r="F949" s="220">
        <f t="shared" si="377"/>
        <v>8</v>
      </c>
      <c r="G949" s="248">
        <v>44838</v>
      </c>
      <c r="H949" s="4"/>
      <c r="I949" s="187"/>
      <c r="J949" s="15"/>
      <c r="K949" s="15"/>
      <c r="L949" s="220">
        <f t="shared" si="378"/>
        <v>0</v>
      </c>
      <c r="O949" s="4"/>
      <c r="P949" s="15"/>
      <c r="Q949" s="14">
        <f t="shared" si="374"/>
        <v>0</v>
      </c>
      <c r="R949" s="186"/>
      <c r="S949" s="4"/>
      <c r="T949" s="15"/>
      <c r="U949" s="14">
        <f t="shared" si="375"/>
        <v>0</v>
      </c>
    </row>
    <row r="950" spans="1:22" x14ac:dyDescent="0.15">
      <c r="A950" s="1"/>
      <c r="B950" s="4" t="s">
        <v>764</v>
      </c>
      <c r="C950" s="233">
        <v>3</v>
      </c>
      <c r="D950" s="234">
        <v>3</v>
      </c>
      <c r="E950" s="234">
        <v>3</v>
      </c>
      <c r="F950" s="220">
        <f t="shared" si="377"/>
        <v>9</v>
      </c>
      <c r="G950" s="248">
        <v>44838</v>
      </c>
      <c r="H950" s="6"/>
      <c r="I950" s="188"/>
      <c r="J950" s="15"/>
      <c r="K950" s="15"/>
      <c r="L950" s="220">
        <f t="shared" si="378"/>
        <v>0</v>
      </c>
      <c r="O950" s="6"/>
      <c r="P950" s="15"/>
      <c r="Q950" s="14">
        <f t="shared" si="374"/>
        <v>0</v>
      </c>
      <c r="R950" s="186"/>
      <c r="S950" s="6"/>
      <c r="T950" s="15"/>
      <c r="U950" s="14">
        <f t="shared" si="375"/>
        <v>0</v>
      </c>
    </row>
    <row r="951" spans="1:22" x14ac:dyDescent="0.15">
      <c r="A951" s="1"/>
      <c r="B951" s="4" t="s">
        <v>764</v>
      </c>
      <c r="C951" s="233">
        <v>20</v>
      </c>
      <c r="D951" s="234"/>
      <c r="E951" s="234"/>
      <c r="F951" s="220">
        <f t="shared" si="377"/>
        <v>20</v>
      </c>
      <c r="G951" s="248">
        <v>44838</v>
      </c>
      <c r="H951" s="6"/>
      <c r="I951" s="188"/>
      <c r="J951" s="15"/>
      <c r="K951" s="15"/>
      <c r="L951" s="220">
        <f t="shared" si="378"/>
        <v>0</v>
      </c>
      <c r="O951" s="6"/>
      <c r="P951" s="15"/>
      <c r="Q951" s="14">
        <f t="shared" si="374"/>
        <v>0</v>
      </c>
      <c r="R951" s="186"/>
      <c r="S951" s="6"/>
      <c r="T951" s="15"/>
      <c r="U951" s="14">
        <f t="shared" si="375"/>
        <v>0</v>
      </c>
    </row>
    <row r="952" spans="1:22" x14ac:dyDescent="0.15">
      <c r="A952" s="1"/>
      <c r="B952" s="4" t="s">
        <v>749</v>
      </c>
      <c r="C952" s="233">
        <v>3</v>
      </c>
      <c r="D952" s="234"/>
      <c r="E952" s="234"/>
      <c r="F952" s="220">
        <f t="shared" si="377"/>
        <v>3</v>
      </c>
      <c r="G952" s="248">
        <v>44839</v>
      </c>
      <c r="H952" s="4"/>
      <c r="I952" s="187"/>
      <c r="J952" s="15"/>
      <c r="K952" s="15"/>
      <c r="L952" s="220">
        <f t="shared" si="378"/>
        <v>0</v>
      </c>
      <c r="O952" s="4"/>
      <c r="P952" s="15"/>
      <c r="Q952" s="14">
        <f t="shared" si="374"/>
        <v>0</v>
      </c>
      <c r="R952" s="186"/>
      <c r="S952" s="4"/>
      <c r="T952" s="15"/>
      <c r="U952" s="14">
        <f t="shared" si="375"/>
        <v>0</v>
      </c>
    </row>
    <row r="953" spans="1:22" x14ac:dyDescent="0.15">
      <c r="A953" s="1"/>
      <c r="B953" s="4" t="s">
        <v>749</v>
      </c>
      <c r="C953" s="233">
        <v>3</v>
      </c>
      <c r="D953" s="234"/>
      <c r="E953" s="234"/>
      <c r="F953" s="220">
        <f t="shared" si="377"/>
        <v>3</v>
      </c>
      <c r="G953" s="248">
        <v>44840</v>
      </c>
      <c r="H953" s="4"/>
      <c r="I953" s="187"/>
      <c r="J953" s="15"/>
      <c r="K953" s="15"/>
      <c r="L953" s="220">
        <f t="shared" si="378"/>
        <v>0</v>
      </c>
      <c r="O953" s="4"/>
      <c r="P953" s="15"/>
      <c r="Q953" s="14">
        <f t="shared" si="374"/>
        <v>0</v>
      </c>
      <c r="R953" s="186"/>
      <c r="S953" s="4"/>
      <c r="T953" s="15"/>
      <c r="U953" s="14">
        <f t="shared" si="375"/>
        <v>0</v>
      </c>
    </row>
    <row r="954" spans="1:22" x14ac:dyDescent="0.15">
      <c r="A954" s="1"/>
      <c r="B954" s="4" t="s">
        <v>749</v>
      </c>
      <c r="C954" s="233">
        <v>8</v>
      </c>
      <c r="D954" s="234"/>
      <c r="E954" s="234">
        <v>1</v>
      </c>
      <c r="F954" s="220">
        <f t="shared" si="377"/>
        <v>9</v>
      </c>
      <c r="G954" s="248">
        <v>44845</v>
      </c>
      <c r="H954" s="6"/>
      <c r="I954" s="187"/>
      <c r="J954" s="15"/>
      <c r="K954" s="15"/>
      <c r="L954" s="220">
        <f t="shared" si="378"/>
        <v>0</v>
      </c>
      <c r="O954" s="4"/>
      <c r="P954" s="15"/>
      <c r="Q954" s="14">
        <f t="shared" si="374"/>
        <v>0</v>
      </c>
      <c r="R954" s="186"/>
      <c r="S954" s="4"/>
      <c r="T954" s="15"/>
      <c r="U954" s="14">
        <f t="shared" si="375"/>
        <v>0</v>
      </c>
    </row>
    <row r="955" spans="1:22" x14ac:dyDescent="0.15">
      <c r="A955" s="1"/>
      <c r="B955" s="4" t="s">
        <v>749</v>
      </c>
      <c r="C955" s="233"/>
      <c r="D955" s="234">
        <v>2</v>
      </c>
      <c r="E955" s="234"/>
      <c r="F955" s="220">
        <f t="shared" si="377"/>
        <v>2</v>
      </c>
      <c r="G955" s="248">
        <v>44846</v>
      </c>
      <c r="H955" s="6"/>
      <c r="I955" s="188"/>
      <c r="J955" s="15"/>
      <c r="K955" s="15"/>
      <c r="L955" s="220">
        <f t="shared" si="378"/>
        <v>0</v>
      </c>
      <c r="O955" s="6"/>
      <c r="P955" s="15"/>
      <c r="Q955" s="14">
        <f t="shared" si="374"/>
        <v>0</v>
      </c>
      <c r="R955" s="186"/>
      <c r="S955" s="6"/>
      <c r="T955" s="15"/>
      <c r="U955" s="14">
        <f t="shared" si="375"/>
        <v>0</v>
      </c>
    </row>
    <row r="956" spans="1:22" x14ac:dyDescent="0.15">
      <c r="A956" s="1"/>
      <c r="B956" s="4" t="s">
        <v>749</v>
      </c>
      <c r="C956" s="233">
        <v>2</v>
      </c>
      <c r="D956" s="234"/>
      <c r="E956" s="234"/>
      <c r="F956" s="220">
        <f t="shared" si="377"/>
        <v>2</v>
      </c>
      <c r="G956" s="248">
        <v>44847</v>
      </c>
      <c r="H956" s="6"/>
      <c r="I956" s="187"/>
      <c r="J956" s="15"/>
      <c r="K956" s="15"/>
      <c r="L956" s="220">
        <f t="shared" si="378"/>
        <v>0</v>
      </c>
      <c r="O956" s="4"/>
      <c r="P956" s="15"/>
      <c r="Q956" s="14">
        <f t="shared" si="374"/>
        <v>0</v>
      </c>
      <c r="R956" s="186"/>
      <c r="S956" s="6"/>
      <c r="T956" s="15"/>
      <c r="U956" s="14">
        <f t="shared" si="375"/>
        <v>0</v>
      </c>
      <c r="V956" s="186"/>
    </row>
    <row r="957" spans="1:22" x14ac:dyDescent="0.15">
      <c r="A957" s="1"/>
      <c r="B957" s="4" t="s">
        <v>749</v>
      </c>
      <c r="C957" s="233">
        <v>5</v>
      </c>
      <c r="D957" s="234"/>
      <c r="E957" s="234"/>
      <c r="F957" s="220">
        <f t="shared" si="377"/>
        <v>5</v>
      </c>
      <c r="G957" s="248">
        <v>44851</v>
      </c>
      <c r="H957" s="6"/>
      <c r="I957" s="188"/>
      <c r="J957" s="15"/>
      <c r="K957" s="15"/>
      <c r="L957" s="220">
        <f t="shared" si="378"/>
        <v>0</v>
      </c>
      <c r="M957" s="212"/>
      <c r="O957" s="6"/>
      <c r="P957" s="15"/>
      <c r="Q957" s="14">
        <f t="shared" si="374"/>
        <v>0</v>
      </c>
      <c r="R957" s="186"/>
      <c r="S957" s="4"/>
      <c r="T957" s="15"/>
      <c r="U957" s="14">
        <f t="shared" si="375"/>
        <v>0</v>
      </c>
      <c r="V957" s="186"/>
    </row>
    <row r="958" spans="1:22" x14ac:dyDescent="0.15">
      <c r="A958" s="1"/>
      <c r="B958" s="4" t="s">
        <v>1065</v>
      </c>
      <c r="C958" s="233">
        <v>20</v>
      </c>
      <c r="D958" s="234">
        <v>5</v>
      </c>
      <c r="E958" s="234">
        <v>5</v>
      </c>
      <c r="F958" s="220">
        <f t="shared" si="377"/>
        <v>30</v>
      </c>
      <c r="G958" s="211">
        <v>44851</v>
      </c>
      <c r="H958" s="4"/>
      <c r="I958" s="187"/>
      <c r="J958" s="15"/>
      <c r="K958" s="15"/>
      <c r="L958" s="220">
        <f t="shared" si="378"/>
        <v>0</v>
      </c>
      <c r="M958" s="212"/>
      <c r="O958" s="4"/>
      <c r="P958" s="15"/>
      <c r="Q958" s="14">
        <f t="shared" si="374"/>
        <v>0</v>
      </c>
      <c r="R958" s="186"/>
      <c r="S958" s="6"/>
      <c r="T958" s="15"/>
      <c r="U958" s="14">
        <f t="shared" si="375"/>
        <v>0</v>
      </c>
      <c r="V958" s="186"/>
    </row>
    <row r="959" spans="1:22" x14ac:dyDescent="0.15">
      <c r="A959" s="75"/>
      <c r="B959" s="4" t="s">
        <v>749</v>
      </c>
      <c r="C959" s="233">
        <v>1</v>
      </c>
      <c r="D959" s="234"/>
      <c r="E959" s="234"/>
      <c r="F959" s="220">
        <f t="shared" si="377"/>
        <v>1</v>
      </c>
      <c r="G959" s="248">
        <v>44852</v>
      </c>
      <c r="H959" s="6"/>
      <c r="I959" s="187"/>
      <c r="J959" s="15"/>
      <c r="K959" s="15"/>
      <c r="L959" s="220">
        <f t="shared" si="378"/>
        <v>0</v>
      </c>
      <c r="M959" s="212"/>
      <c r="O959" s="4"/>
      <c r="P959" s="15"/>
      <c r="Q959" s="14">
        <f t="shared" si="374"/>
        <v>0</v>
      </c>
      <c r="R959" s="186"/>
      <c r="S959" s="6"/>
      <c r="T959" s="15"/>
      <c r="U959" s="14">
        <f t="shared" si="375"/>
        <v>0</v>
      </c>
      <c r="V959" s="186"/>
    </row>
    <row r="960" spans="1:22" x14ac:dyDescent="0.15">
      <c r="A960" s="1"/>
      <c r="B960" s="4" t="s">
        <v>749</v>
      </c>
      <c r="C960" s="233">
        <f>3+1</f>
        <v>4</v>
      </c>
      <c r="D960" s="234"/>
      <c r="E960" s="234"/>
      <c r="F960" s="220">
        <f t="shared" si="377"/>
        <v>4</v>
      </c>
      <c r="G960" s="248">
        <v>44853</v>
      </c>
      <c r="H960" s="6"/>
      <c r="I960" s="187"/>
      <c r="J960" s="15"/>
      <c r="K960" s="15"/>
      <c r="L960" s="220">
        <f t="shared" ref="L960:L961" si="379">SUM(I960:K960)</f>
        <v>0</v>
      </c>
      <c r="M960" s="212"/>
      <c r="O960" s="4"/>
      <c r="P960" s="15"/>
      <c r="Q960" s="14">
        <f t="shared" si="374"/>
        <v>0</v>
      </c>
      <c r="R960" s="186"/>
      <c r="S960" s="4"/>
      <c r="T960" s="15"/>
      <c r="U960" s="14">
        <f t="shared" si="375"/>
        <v>0</v>
      </c>
      <c r="V960" s="212"/>
    </row>
    <row r="961" spans="1:22" x14ac:dyDescent="0.15">
      <c r="A961" s="1"/>
      <c r="B961" s="4" t="s">
        <v>749</v>
      </c>
      <c r="C961" s="233">
        <v>1</v>
      </c>
      <c r="D961" s="234"/>
      <c r="E961" s="234"/>
      <c r="F961" s="220">
        <f t="shared" ref="F961:F962" si="380">SUM(C961:E961)</f>
        <v>1</v>
      </c>
      <c r="G961" s="248">
        <v>44855</v>
      </c>
      <c r="H961" s="6"/>
      <c r="I961" s="187"/>
      <c r="J961" s="15"/>
      <c r="K961" s="15"/>
      <c r="L961" s="220">
        <f t="shared" si="379"/>
        <v>0</v>
      </c>
      <c r="M961" s="212"/>
      <c r="O961" s="6"/>
      <c r="P961" s="15"/>
      <c r="Q961" s="14">
        <f t="shared" si="374"/>
        <v>0</v>
      </c>
      <c r="R961" s="186"/>
      <c r="S961" s="4"/>
      <c r="T961" s="15"/>
      <c r="U961" s="14">
        <f t="shared" si="375"/>
        <v>0</v>
      </c>
      <c r="V961" s="212"/>
    </row>
    <row r="962" spans="1:22" ht="14.25" thickBot="1" x14ac:dyDescent="0.2">
      <c r="A962" s="1"/>
      <c r="B962" s="4" t="s">
        <v>749</v>
      </c>
      <c r="C962" s="235">
        <f>2+1</f>
        <v>3</v>
      </c>
      <c r="D962" s="234"/>
      <c r="E962" s="234"/>
      <c r="F962" s="220">
        <f t="shared" si="380"/>
        <v>3</v>
      </c>
      <c r="G962" s="211">
        <v>44872</v>
      </c>
      <c r="H962" s="6"/>
      <c r="I962" s="187"/>
      <c r="J962" s="15"/>
      <c r="K962" s="15"/>
      <c r="L962" s="220">
        <f t="shared" ref="L962" si="381">SUM(I962:K962)</f>
        <v>0</v>
      </c>
      <c r="M962" s="212"/>
      <c r="O962" s="6"/>
      <c r="P962" s="15"/>
      <c r="Q962" s="14">
        <f t="shared" si="374"/>
        <v>0</v>
      </c>
      <c r="R962" s="186"/>
      <c r="S962" s="4"/>
      <c r="T962" s="15"/>
      <c r="U962" s="14">
        <f t="shared" si="375"/>
        <v>0</v>
      </c>
      <c r="V962" s="212"/>
    </row>
    <row r="963" spans="1:22" ht="14.25" thickBot="1" x14ac:dyDescent="0.2">
      <c r="A963" s="1"/>
      <c r="B963" s="3" t="s">
        <v>5</v>
      </c>
      <c r="C963" s="16">
        <f>SUM(C939:C962)</f>
        <v>154</v>
      </c>
      <c r="D963" s="16">
        <f>SUM(D939:D962)</f>
        <v>13</v>
      </c>
      <c r="E963" s="16">
        <f>SUM(E939:E962)</f>
        <v>12</v>
      </c>
      <c r="F963" s="223">
        <f>SUM(F939:F962)</f>
        <v>179</v>
      </c>
      <c r="H963" s="3" t="s">
        <v>5</v>
      </c>
      <c r="I963" s="16">
        <f>SUM(I939:I962)</f>
        <v>150</v>
      </c>
      <c r="J963" s="16">
        <f>SUM(J939:J962)</f>
        <v>0</v>
      </c>
      <c r="K963" s="16">
        <f>SUM(K939:K962)</f>
        <v>0</v>
      </c>
      <c r="L963" s="223">
        <f>SUM(L939:L962)</f>
        <v>150</v>
      </c>
      <c r="O963" s="3" t="s">
        <v>5</v>
      </c>
      <c r="P963" s="16">
        <f>SUM(P939:P962)</f>
        <v>0</v>
      </c>
      <c r="Q963" s="17">
        <f>SUM(Q939:Q962)</f>
        <v>0</v>
      </c>
      <c r="S963" s="3" t="s">
        <v>5</v>
      </c>
      <c r="T963" s="16">
        <f>SUM(T939:T962)</f>
        <v>0</v>
      </c>
      <c r="U963" s="17">
        <f>SUM(U939:U962)</f>
        <v>0</v>
      </c>
    </row>
    <row r="964" spans="1:22" ht="14.25" thickBot="1" x14ac:dyDescent="0.2">
      <c r="A964" s="1"/>
      <c r="B964" s="18" t="s">
        <v>6</v>
      </c>
      <c r="C964" s="19">
        <f>C938-C963</f>
        <v>132</v>
      </c>
      <c r="D964" s="19">
        <f>D938-D963</f>
        <v>47</v>
      </c>
      <c r="E964" s="19">
        <f t="shared" ref="E964" si="382">E938-E963</f>
        <v>83</v>
      </c>
      <c r="F964" s="221">
        <f>F938-F963</f>
        <v>262</v>
      </c>
      <c r="H964" s="18" t="s">
        <v>6</v>
      </c>
      <c r="I964" s="19">
        <f>I938-I963</f>
        <v>2716</v>
      </c>
      <c r="J964" s="19">
        <f>J938-J963</f>
        <v>1162</v>
      </c>
      <c r="K964" s="19">
        <f t="shared" ref="K964" si="383">K938-K963</f>
        <v>1237</v>
      </c>
      <c r="L964" s="221">
        <f>L938-L963</f>
        <v>5115</v>
      </c>
      <c r="O964" s="18" t="s">
        <v>6</v>
      </c>
      <c r="P964" s="19">
        <f>P938-P963</f>
        <v>0</v>
      </c>
      <c r="Q964" s="13">
        <f>Q938-Q963</f>
        <v>0</v>
      </c>
      <c r="S964" s="18" t="s">
        <v>6</v>
      </c>
      <c r="T964" s="19">
        <f>T938-T963</f>
        <v>1978</v>
      </c>
      <c r="U964" s="13">
        <f>U938-U963</f>
        <v>1978</v>
      </c>
    </row>
    <row r="967" spans="1:22" ht="18" thickBot="1" x14ac:dyDescent="0.25">
      <c r="A967" s="27" t="s">
        <v>739</v>
      </c>
      <c r="B967" s="28"/>
      <c r="C967" s="28"/>
      <c r="D967" s="28"/>
      <c r="E967" s="28"/>
      <c r="F967" s="218"/>
      <c r="H967" s="27" t="s">
        <v>740</v>
      </c>
      <c r="I967" s="28"/>
      <c r="J967" s="28"/>
      <c r="K967" s="28"/>
      <c r="L967" s="218"/>
      <c r="O967" s="181" t="s">
        <v>737</v>
      </c>
      <c r="P967" s="182"/>
      <c r="Q967" s="182"/>
      <c r="R967" s="183"/>
      <c r="S967" s="181" t="s">
        <v>733</v>
      </c>
      <c r="T967" s="182"/>
      <c r="U967" s="182"/>
    </row>
    <row r="968" spans="1:22" ht="14.25" thickBot="1" x14ac:dyDescent="0.2">
      <c r="A968" s="1"/>
      <c r="B968" s="2"/>
      <c r="C968" s="194" t="s">
        <v>734</v>
      </c>
      <c r="D968" s="195" t="s">
        <v>706</v>
      </c>
      <c r="E968" s="2" t="s">
        <v>735</v>
      </c>
      <c r="F968" s="219" t="s">
        <v>1</v>
      </c>
      <c r="H968" s="2"/>
      <c r="I968" s="197" t="s">
        <v>734</v>
      </c>
      <c r="J968" s="195" t="s">
        <v>706</v>
      </c>
      <c r="K968" s="201" t="s">
        <v>735</v>
      </c>
      <c r="L968" s="219" t="s">
        <v>1</v>
      </c>
      <c r="O968" s="2"/>
      <c r="P968" s="3" t="s">
        <v>722</v>
      </c>
      <c r="Q968" s="2" t="s">
        <v>1</v>
      </c>
      <c r="S968" s="2"/>
      <c r="T968" s="3" t="s">
        <v>722</v>
      </c>
      <c r="U968" s="2" t="s">
        <v>1</v>
      </c>
    </row>
    <row r="969" spans="1:22" x14ac:dyDescent="0.15">
      <c r="A969" s="1"/>
      <c r="B969" s="164" t="s">
        <v>26</v>
      </c>
      <c r="C969" s="200">
        <f>C964</f>
        <v>132</v>
      </c>
      <c r="D969" s="164">
        <f t="shared" ref="D969:F969" si="384">D964</f>
        <v>47</v>
      </c>
      <c r="E969" s="164">
        <f t="shared" si="384"/>
        <v>83</v>
      </c>
      <c r="F969" s="222">
        <f t="shared" si="384"/>
        <v>262</v>
      </c>
      <c r="H969" s="164" t="s">
        <v>26</v>
      </c>
      <c r="I969" s="200">
        <f>I964</f>
        <v>2716</v>
      </c>
      <c r="J969" s="164">
        <f t="shared" ref="J969:L969" si="385">J964</f>
        <v>1162</v>
      </c>
      <c r="K969" s="200">
        <f t="shared" si="385"/>
        <v>1237</v>
      </c>
      <c r="L969" s="222">
        <f t="shared" si="385"/>
        <v>5115</v>
      </c>
      <c r="O969" s="171" t="s">
        <v>26</v>
      </c>
      <c r="P969" s="200">
        <f>P964</f>
        <v>0</v>
      </c>
      <c r="Q969" s="180">
        <f>Q964</f>
        <v>0</v>
      </c>
      <c r="R969" s="185"/>
      <c r="S969" s="43" t="s">
        <v>26</v>
      </c>
      <c r="T969" s="38">
        <f>T964</f>
        <v>1978</v>
      </c>
      <c r="U969" s="39">
        <f>U964</f>
        <v>1978</v>
      </c>
    </row>
    <row r="970" spans="1:22" x14ac:dyDescent="0.15">
      <c r="A970" s="75"/>
      <c r="B970" s="6" t="s">
        <v>64</v>
      </c>
      <c r="C970" s="6">
        <v>6</v>
      </c>
      <c r="D970" s="6">
        <v>3</v>
      </c>
      <c r="E970" s="4">
        <v>3</v>
      </c>
      <c r="F970" s="220">
        <f t="shared" ref="F970:F971" si="386">SUM(C970:E970)</f>
        <v>12</v>
      </c>
      <c r="G970" s="211">
        <v>44881</v>
      </c>
      <c r="H970" s="6" t="s">
        <v>1070</v>
      </c>
      <c r="I970" s="188"/>
      <c r="J970" s="225"/>
      <c r="K970" s="243">
        <v>17</v>
      </c>
      <c r="L970" s="220">
        <f t="shared" ref="L970:L979" si="387">SUM(I970:K970)</f>
        <v>17</v>
      </c>
      <c r="M970" s="211">
        <v>44912</v>
      </c>
      <c r="O970" s="6" t="s">
        <v>3</v>
      </c>
      <c r="P970" s="7"/>
      <c r="Q970" s="5">
        <f t="shared" ref="Q970:Q979" si="388">SUM(P970:P970)</f>
        <v>0</v>
      </c>
      <c r="R970" s="186"/>
      <c r="S970" s="6" t="s">
        <v>3</v>
      </c>
      <c r="T970" s="7"/>
      <c r="U970" s="5">
        <f t="shared" ref="U970:U979" si="389">SUM(T970:T970)</f>
        <v>0</v>
      </c>
    </row>
    <row r="971" spans="1:22" x14ac:dyDescent="0.15">
      <c r="A971" s="1"/>
      <c r="B971" s="6" t="s">
        <v>3</v>
      </c>
      <c r="C971" s="6"/>
      <c r="D971" s="6"/>
      <c r="E971" s="4"/>
      <c r="F971" s="220">
        <f t="shared" si="386"/>
        <v>0</v>
      </c>
      <c r="G971" s="211"/>
      <c r="H971" s="6" t="s">
        <v>71</v>
      </c>
      <c r="I971" s="188">
        <v>51</v>
      </c>
      <c r="J971" s="225"/>
      <c r="K971" s="243"/>
      <c r="L971" s="220">
        <f t="shared" ref="L971" si="390">SUM(I971:K971)</f>
        <v>51</v>
      </c>
      <c r="M971" s="211">
        <v>44912</v>
      </c>
      <c r="O971" s="6" t="s">
        <v>3</v>
      </c>
      <c r="P971" s="7"/>
      <c r="Q971" s="5">
        <f t="shared" si="388"/>
        <v>0</v>
      </c>
      <c r="R971" s="186"/>
      <c r="S971" s="6" t="s">
        <v>3</v>
      </c>
      <c r="T971" s="54"/>
      <c r="U971" s="5">
        <f t="shared" si="389"/>
        <v>0</v>
      </c>
    </row>
    <row r="972" spans="1:22" x14ac:dyDescent="0.15">
      <c r="A972" s="1"/>
      <c r="B972" s="6" t="s">
        <v>3</v>
      </c>
      <c r="C972" s="6"/>
      <c r="D972" s="6"/>
      <c r="E972" s="4"/>
      <c r="F972" s="220">
        <f t="shared" ref="F972:F979" si="391">SUM(C972:E972)</f>
        <v>0</v>
      </c>
      <c r="G972" s="211"/>
      <c r="H972" s="6" t="s">
        <v>3</v>
      </c>
      <c r="I972" s="188"/>
      <c r="J972" s="225"/>
      <c r="K972" s="243"/>
      <c r="L972" s="220">
        <f t="shared" si="387"/>
        <v>0</v>
      </c>
      <c r="M972" s="211"/>
      <c r="O972" s="6" t="s">
        <v>3</v>
      </c>
      <c r="P972" s="7"/>
      <c r="Q972" s="5">
        <f t="shared" si="388"/>
        <v>0</v>
      </c>
      <c r="R972" s="186"/>
      <c r="S972" s="6" t="s">
        <v>3</v>
      </c>
      <c r="T972" s="8"/>
      <c r="U972" s="5">
        <f t="shared" si="389"/>
        <v>0</v>
      </c>
    </row>
    <row r="973" spans="1:22" x14ac:dyDescent="0.15">
      <c r="A973" s="1"/>
      <c r="B973" s="6" t="s">
        <v>3</v>
      </c>
      <c r="C973" s="6"/>
      <c r="D973" s="6"/>
      <c r="E973" s="4"/>
      <c r="F973" s="220">
        <f t="shared" si="391"/>
        <v>0</v>
      </c>
      <c r="G973" s="211"/>
      <c r="H973" s="6" t="s">
        <v>3</v>
      </c>
      <c r="I973" s="188"/>
      <c r="J973" s="6"/>
      <c r="K973" s="202"/>
      <c r="L973" s="220">
        <f t="shared" si="387"/>
        <v>0</v>
      </c>
      <c r="O973" s="6" t="s">
        <v>3</v>
      </c>
      <c r="P973" s="7"/>
      <c r="Q973" s="5">
        <f t="shared" si="388"/>
        <v>0</v>
      </c>
      <c r="R973" s="186"/>
      <c r="S973" s="6" t="s">
        <v>3</v>
      </c>
      <c r="T973" s="7"/>
      <c r="U973" s="5">
        <f t="shared" si="389"/>
        <v>0</v>
      </c>
    </row>
    <row r="974" spans="1:22" x14ac:dyDescent="0.15">
      <c r="A974" s="1"/>
      <c r="B974" s="6" t="s">
        <v>3</v>
      </c>
      <c r="C974" s="6"/>
      <c r="D974" s="6"/>
      <c r="E974" s="4"/>
      <c r="F974" s="220">
        <f t="shared" si="391"/>
        <v>0</v>
      </c>
      <c r="G974" s="211"/>
      <c r="H974" s="6" t="s">
        <v>3</v>
      </c>
      <c r="I974" s="188"/>
      <c r="J974" s="6"/>
      <c r="K974" s="202"/>
      <c r="L974" s="220">
        <f t="shared" si="387"/>
        <v>0</v>
      </c>
      <c r="O974" s="6" t="s">
        <v>3</v>
      </c>
      <c r="P974" s="7"/>
      <c r="Q974" s="5">
        <f t="shared" si="388"/>
        <v>0</v>
      </c>
      <c r="R974" s="186"/>
      <c r="S974" s="6" t="s">
        <v>3</v>
      </c>
      <c r="T974" s="7"/>
      <c r="U974" s="5">
        <f t="shared" si="389"/>
        <v>0</v>
      </c>
    </row>
    <row r="975" spans="1:22" x14ac:dyDescent="0.15">
      <c r="A975" s="75"/>
      <c r="B975" s="6" t="s">
        <v>3</v>
      </c>
      <c r="C975" s="6"/>
      <c r="D975" s="6"/>
      <c r="E975" s="4"/>
      <c r="F975" s="220">
        <f t="shared" si="391"/>
        <v>0</v>
      </c>
      <c r="G975" s="211"/>
      <c r="H975" s="6" t="s">
        <v>3</v>
      </c>
      <c r="I975" s="188"/>
      <c r="J975" s="6"/>
      <c r="K975" s="202"/>
      <c r="L975" s="220">
        <f t="shared" si="387"/>
        <v>0</v>
      </c>
      <c r="O975" s="6" t="s">
        <v>3</v>
      </c>
      <c r="P975" s="7"/>
      <c r="Q975" s="5">
        <f t="shared" si="388"/>
        <v>0</v>
      </c>
      <c r="R975" s="186"/>
      <c r="S975" s="6" t="s">
        <v>3</v>
      </c>
      <c r="T975" s="7"/>
      <c r="U975" s="5">
        <f t="shared" si="389"/>
        <v>0</v>
      </c>
    </row>
    <row r="976" spans="1:22" x14ac:dyDescent="0.15">
      <c r="A976" s="75"/>
      <c r="B976" s="6" t="s">
        <v>3</v>
      </c>
      <c r="C976" s="6"/>
      <c r="D976" s="225"/>
      <c r="E976" s="226"/>
      <c r="F976" s="220">
        <f t="shared" si="391"/>
        <v>0</v>
      </c>
      <c r="G976" s="212"/>
      <c r="H976" s="6" t="s">
        <v>3</v>
      </c>
      <c r="I976" s="188"/>
      <c r="J976" s="225"/>
      <c r="K976" s="243"/>
      <c r="L976" s="220">
        <f t="shared" si="387"/>
        <v>0</v>
      </c>
      <c r="O976" s="6" t="s">
        <v>3</v>
      </c>
      <c r="P976" s="8"/>
      <c r="Q976" s="5">
        <f t="shared" si="388"/>
        <v>0</v>
      </c>
      <c r="R976" s="186"/>
      <c r="S976" s="6" t="s">
        <v>3</v>
      </c>
      <c r="T976" s="54"/>
      <c r="U976" s="5">
        <f t="shared" si="389"/>
        <v>0</v>
      </c>
    </row>
    <row r="977" spans="1:21" x14ac:dyDescent="0.15">
      <c r="A977" s="75"/>
      <c r="B977" s="6" t="s">
        <v>3</v>
      </c>
      <c r="C977" s="6"/>
      <c r="D977" s="225"/>
      <c r="E977" s="226"/>
      <c r="F977" s="220">
        <f t="shared" si="391"/>
        <v>0</v>
      </c>
      <c r="G977" s="212"/>
      <c r="H977" s="6" t="s">
        <v>3</v>
      </c>
      <c r="I977" s="188"/>
      <c r="J977" s="225"/>
      <c r="K977" s="243"/>
      <c r="L977" s="220">
        <f t="shared" si="387"/>
        <v>0</v>
      </c>
      <c r="M977" s="211"/>
      <c r="O977" s="6" t="s">
        <v>3</v>
      </c>
      <c r="P977" s="8"/>
      <c r="Q977" s="5">
        <f t="shared" si="388"/>
        <v>0</v>
      </c>
      <c r="R977" s="186"/>
      <c r="S977" s="6" t="s">
        <v>3</v>
      </c>
      <c r="T977" s="54"/>
      <c r="U977" s="5">
        <f t="shared" si="389"/>
        <v>0</v>
      </c>
    </row>
    <row r="978" spans="1:21" x14ac:dyDescent="0.15">
      <c r="A978" s="1"/>
      <c r="B978" s="6" t="s">
        <v>3</v>
      </c>
      <c r="C978" s="6"/>
      <c r="D978" s="225"/>
      <c r="E978" s="226"/>
      <c r="F978" s="220">
        <f t="shared" si="391"/>
        <v>0</v>
      </c>
      <c r="G978" s="212"/>
      <c r="H978" s="6" t="s">
        <v>3</v>
      </c>
      <c r="I978" s="188"/>
      <c r="J978" s="225"/>
      <c r="K978" s="243"/>
      <c r="L978" s="220">
        <f t="shared" si="387"/>
        <v>0</v>
      </c>
      <c r="M978" s="186"/>
      <c r="O978" s="6" t="s">
        <v>3</v>
      </c>
      <c r="P978" s="8"/>
      <c r="Q978" s="5">
        <f t="shared" si="388"/>
        <v>0</v>
      </c>
      <c r="R978" s="186"/>
      <c r="S978" s="6" t="s">
        <v>3</v>
      </c>
      <c r="T978" s="8"/>
      <c r="U978" s="5">
        <f t="shared" si="389"/>
        <v>0</v>
      </c>
    </row>
    <row r="979" spans="1:21" ht="14.25" thickBot="1" x14ac:dyDescent="0.2">
      <c r="A979" s="1"/>
      <c r="B979" s="6" t="s">
        <v>3</v>
      </c>
      <c r="C979" s="9"/>
      <c r="D979" s="237"/>
      <c r="E979" s="238"/>
      <c r="F979" s="220">
        <f t="shared" si="391"/>
        <v>0</v>
      </c>
      <c r="G979" s="212"/>
      <c r="H979" s="9" t="s">
        <v>3</v>
      </c>
      <c r="I979" s="198"/>
      <c r="J979" s="244"/>
      <c r="K979" s="245"/>
      <c r="L979" s="220">
        <f t="shared" si="387"/>
        <v>0</v>
      </c>
      <c r="O979" s="9" t="s">
        <v>3</v>
      </c>
      <c r="P979" s="10"/>
      <c r="Q979" s="5">
        <f t="shared" si="388"/>
        <v>0</v>
      </c>
      <c r="R979" s="186"/>
      <c r="S979" s="9" t="s">
        <v>3</v>
      </c>
      <c r="T979" s="10"/>
      <c r="U979" s="5">
        <f t="shared" si="389"/>
        <v>0</v>
      </c>
    </row>
    <row r="980" spans="1:21" ht="14.25" thickBot="1" x14ac:dyDescent="0.2">
      <c r="A980" s="1"/>
      <c r="B980" s="11" t="s">
        <v>4</v>
      </c>
      <c r="C980" s="193">
        <f>SUM(C969:C979)</f>
        <v>138</v>
      </c>
      <c r="D980" s="193">
        <f>SUM(D969:D979)</f>
        <v>50</v>
      </c>
      <c r="E980" s="193">
        <f>SUM(E969:E979)</f>
        <v>86</v>
      </c>
      <c r="F980" s="221">
        <f>SUM(F969:F979)</f>
        <v>274</v>
      </c>
      <c r="H980" s="11" t="s">
        <v>4</v>
      </c>
      <c r="I980" s="193">
        <f>SUM(I969:I979)</f>
        <v>2767</v>
      </c>
      <c r="J980" s="193">
        <f>SUM(J969:J979)</f>
        <v>1162</v>
      </c>
      <c r="K980" s="193">
        <f t="shared" ref="K980" si="392">SUM(K969:K979)</f>
        <v>1254</v>
      </c>
      <c r="L980" s="221">
        <f>SUM(L969:L979)</f>
        <v>5183</v>
      </c>
      <c r="O980" s="11" t="s">
        <v>4</v>
      </c>
      <c r="P980" s="12">
        <f>SUM(P969:P979)</f>
        <v>0</v>
      </c>
      <c r="Q980" s="13">
        <f>SUM(Q969:Q979)</f>
        <v>0</v>
      </c>
      <c r="S980" s="11" t="s">
        <v>4</v>
      </c>
      <c r="T980" s="12">
        <f>SUM(T969:T979)</f>
        <v>1978</v>
      </c>
      <c r="U980" s="13">
        <f>SUM(U969:U979)</f>
        <v>1978</v>
      </c>
    </row>
    <row r="981" spans="1:21" x14ac:dyDescent="0.15">
      <c r="A981" s="1"/>
      <c r="B981" s="4" t="s">
        <v>749</v>
      </c>
      <c r="C981" s="233"/>
      <c r="D981" s="234">
        <v>1</v>
      </c>
      <c r="E981" s="234"/>
      <c r="F981" s="220">
        <f t="shared" ref="F981:F1002" si="393">SUM(C981:E981)</f>
        <v>1</v>
      </c>
      <c r="G981" s="211">
        <v>44875</v>
      </c>
      <c r="H981" s="4"/>
      <c r="I981" s="233"/>
      <c r="J981" s="234"/>
      <c r="K981" s="234"/>
      <c r="L981" s="220">
        <f t="shared" ref="L981:L982" si="394">SUM(I981:K981)</f>
        <v>0</v>
      </c>
      <c r="M981" s="212"/>
      <c r="O981" s="4"/>
      <c r="P981" s="44"/>
      <c r="Q981" s="14">
        <f t="shared" ref="Q981:Q1004" si="395">SUM(P981:P981)</f>
        <v>0</v>
      </c>
      <c r="R981" s="185"/>
      <c r="S981" s="6"/>
      <c r="T981" s="44"/>
      <c r="U981" s="14">
        <f t="shared" ref="U981:U1004" si="396">SUM(T981:T981)</f>
        <v>0</v>
      </c>
    </row>
    <row r="982" spans="1:21" x14ac:dyDescent="0.15">
      <c r="A982" s="1"/>
      <c r="B982" s="4" t="s">
        <v>749</v>
      </c>
      <c r="C982" s="233">
        <f>4+1</f>
        <v>5</v>
      </c>
      <c r="D982" s="234"/>
      <c r="E982" s="234"/>
      <c r="F982" s="220">
        <f t="shared" si="393"/>
        <v>5</v>
      </c>
      <c r="G982" s="248">
        <v>44876</v>
      </c>
      <c r="H982" s="4"/>
      <c r="I982" s="233"/>
      <c r="J982" s="234"/>
      <c r="K982" s="234"/>
      <c r="L982" s="220">
        <f t="shared" si="394"/>
        <v>0</v>
      </c>
      <c r="M982" s="212"/>
      <c r="O982" s="4"/>
      <c r="P982" s="15"/>
      <c r="Q982" s="14">
        <f t="shared" si="395"/>
        <v>0</v>
      </c>
      <c r="R982" s="186"/>
      <c r="S982" s="6"/>
      <c r="T982" s="15"/>
      <c r="U982" s="14">
        <f t="shared" si="396"/>
        <v>0</v>
      </c>
    </row>
    <row r="983" spans="1:21" x14ac:dyDescent="0.15">
      <c r="A983" s="1"/>
      <c r="B983" s="4" t="s">
        <v>764</v>
      </c>
      <c r="C983" s="233">
        <v>20</v>
      </c>
      <c r="D983" s="234"/>
      <c r="E983" s="234"/>
      <c r="F983" s="220">
        <f t="shared" si="393"/>
        <v>20</v>
      </c>
      <c r="G983" s="248">
        <v>44881</v>
      </c>
      <c r="H983" s="4"/>
      <c r="I983" s="233"/>
      <c r="J983" s="234"/>
      <c r="K983" s="234"/>
      <c r="L983" s="220">
        <f t="shared" ref="L983:L1004" si="397">SUM(I983:K983)</f>
        <v>0</v>
      </c>
      <c r="M983" s="212"/>
      <c r="O983" s="4"/>
      <c r="P983" s="15"/>
      <c r="Q983" s="14">
        <f t="shared" si="395"/>
        <v>0</v>
      </c>
      <c r="R983" s="186"/>
      <c r="S983" s="6"/>
      <c r="T983" s="15"/>
      <c r="U983" s="14">
        <f t="shared" si="396"/>
        <v>0</v>
      </c>
    </row>
    <row r="984" spans="1:21" x14ac:dyDescent="0.15">
      <c r="A984" s="1"/>
      <c r="B984" s="4" t="s">
        <v>749</v>
      </c>
      <c r="C984" s="233">
        <v>1</v>
      </c>
      <c r="D984" s="234"/>
      <c r="E984" s="234"/>
      <c r="F984" s="220">
        <f t="shared" si="393"/>
        <v>1</v>
      </c>
      <c r="G984" s="211">
        <v>44881</v>
      </c>
      <c r="H984" s="4"/>
      <c r="I984" s="233"/>
      <c r="J984" s="234"/>
      <c r="K984" s="234"/>
      <c r="L984" s="220">
        <f t="shared" si="397"/>
        <v>0</v>
      </c>
      <c r="M984" s="212"/>
      <c r="O984" s="4"/>
      <c r="P984" s="15"/>
      <c r="Q984" s="14">
        <f t="shared" si="395"/>
        <v>0</v>
      </c>
      <c r="R984" s="186"/>
      <c r="S984" s="6"/>
      <c r="T984" s="15"/>
      <c r="U984" s="14">
        <f t="shared" si="396"/>
        <v>0</v>
      </c>
    </row>
    <row r="985" spans="1:21" x14ac:dyDescent="0.15">
      <c r="A985" s="1"/>
      <c r="B985" s="4" t="s">
        <v>749</v>
      </c>
      <c r="C985" s="233">
        <v>2</v>
      </c>
      <c r="D985" s="234"/>
      <c r="E985" s="234"/>
      <c r="F985" s="220">
        <f t="shared" si="393"/>
        <v>2</v>
      </c>
      <c r="G985" s="248">
        <v>44882</v>
      </c>
      <c r="H985" s="4"/>
      <c r="I985" s="233"/>
      <c r="J985" s="234"/>
      <c r="K985" s="234"/>
      <c r="L985" s="220">
        <f t="shared" si="397"/>
        <v>0</v>
      </c>
      <c r="M985" s="212"/>
      <c r="O985" s="4"/>
      <c r="P985" s="15"/>
      <c r="Q985" s="14">
        <f t="shared" si="395"/>
        <v>0</v>
      </c>
      <c r="R985" s="186"/>
      <c r="S985" s="6"/>
      <c r="T985" s="15"/>
      <c r="U985" s="14">
        <f t="shared" si="396"/>
        <v>0</v>
      </c>
    </row>
    <row r="986" spans="1:21" x14ac:dyDescent="0.15">
      <c r="A986" s="1"/>
      <c r="B986" s="4" t="s">
        <v>1066</v>
      </c>
      <c r="C986" s="233"/>
      <c r="D986" s="234"/>
      <c r="E986" s="234">
        <v>10</v>
      </c>
      <c r="F986" s="220">
        <f t="shared" si="393"/>
        <v>10</v>
      </c>
      <c r="G986" s="211">
        <v>44884</v>
      </c>
      <c r="H986" s="4"/>
      <c r="I986" s="233"/>
      <c r="J986" s="234"/>
      <c r="K986" s="234"/>
      <c r="L986" s="220">
        <f t="shared" si="397"/>
        <v>0</v>
      </c>
      <c r="M986" s="212"/>
      <c r="O986" s="4"/>
      <c r="P986" s="15"/>
      <c r="Q986" s="14">
        <f t="shared" si="395"/>
        <v>0</v>
      </c>
      <c r="R986" s="186"/>
      <c r="S986" s="6"/>
      <c r="T986" s="15"/>
      <c r="U986" s="14">
        <f t="shared" si="396"/>
        <v>0</v>
      </c>
    </row>
    <row r="987" spans="1:21" x14ac:dyDescent="0.15">
      <c r="A987" s="1"/>
      <c r="B987" s="4" t="s">
        <v>749</v>
      </c>
      <c r="C987" s="233">
        <v>3</v>
      </c>
      <c r="D987" s="234"/>
      <c r="E987" s="234"/>
      <c r="F987" s="220">
        <f t="shared" si="393"/>
        <v>3</v>
      </c>
      <c r="G987" s="248">
        <v>44889</v>
      </c>
      <c r="H987" s="4"/>
      <c r="I987" s="233"/>
      <c r="J987" s="234"/>
      <c r="K987" s="234"/>
      <c r="L987" s="220">
        <f t="shared" si="397"/>
        <v>0</v>
      </c>
      <c r="M987" s="212"/>
      <c r="O987" s="4"/>
      <c r="P987" s="15"/>
      <c r="Q987" s="14">
        <f t="shared" si="395"/>
        <v>0</v>
      </c>
      <c r="R987" s="186"/>
      <c r="S987" s="4"/>
      <c r="T987" s="15"/>
      <c r="U987" s="14">
        <f t="shared" si="396"/>
        <v>0</v>
      </c>
    </row>
    <row r="988" spans="1:21" x14ac:dyDescent="0.15">
      <c r="A988" s="1"/>
      <c r="B988" s="4" t="s">
        <v>1067</v>
      </c>
      <c r="C988" s="233">
        <v>10</v>
      </c>
      <c r="D988" s="234"/>
      <c r="E988" s="234"/>
      <c r="F988" s="220">
        <f t="shared" si="393"/>
        <v>10</v>
      </c>
      <c r="G988" s="211">
        <v>44891</v>
      </c>
      <c r="H988" s="4"/>
      <c r="I988" s="233"/>
      <c r="J988" s="234"/>
      <c r="K988" s="234"/>
      <c r="L988" s="220">
        <f t="shared" si="397"/>
        <v>0</v>
      </c>
      <c r="M988" s="212"/>
      <c r="O988" s="4"/>
      <c r="P988" s="15"/>
      <c r="Q988" s="14">
        <f t="shared" si="395"/>
        <v>0</v>
      </c>
      <c r="R988" s="186"/>
      <c r="S988" s="4"/>
      <c r="T988" s="15"/>
      <c r="U988" s="14">
        <f t="shared" si="396"/>
        <v>0</v>
      </c>
    </row>
    <row r="989" spans="1:21" x14ac:dyDescent="0.15">
      <c r="A989" s="1"/>
      <c r="B989" s="4" t="s">
        <v>1068</v>
      </c>
      <c r="C989" s="233">
        <v>5</v>
      </c>
      <c r="D989" s="234">
        <v>5</v>
      </c>
      <c r="E989" s="234">
        <v>5</v>
      </c>
      <c r="F989" s="220">
        <f t="shared" si="393"/>
        <v>15</v>
      </c>
      <c r="G989" s="211">
        <v>44891</v>
      </c>
      <c r="H989" s="4"/>
      <c r="I989" s="187"/>
      <c r="J989" s="15"/>
      <c r="K989" s="15"/>
      <c r="L989" s="220">
        <f t="shared" si="397"/>
        <v>0</v>
      </c>
      <c r="M989" s="212"/>
      <c r="O989" s="4"/>
      <c r="P989" s="15"/>
      <c r="Q989" s="14">
        <f t="shared" si="395"/>
        <v>0</v>
      </c>
      <c r="R989" s="186"/>
      <c r="S989" s="4"/>
      <c r="T989" s="15"/>
      <c r="U989" s="14">
        <f t="shared" si="396"/>
        <v>0</v>
      </c>
    </row>
    <row r="990" spans="1:21" x14ac:dyDescent="0.15">
      <c r="A990" s="1"/>
      <c r="B990" s="4" t="s">
        <v>749</v>
      </c>
      <c r="C990" s="233">
        <f>3+1</f>
        <v>4</v>
      </c>
      <c r="D990" s="234"/>
      <c r="E990" s="234"/>
      <c r="F990" s="220">
        <f t="shared" si="393"/>
        <v>4</v>
      </c>
      <c r="G990" s="211">
        <v>44893</v>
      </c>
      <c r="H990" s="4"/>
      <c r="I990" s="187"/>
      <c r="J990" s="15"/>
      <c r="K990" s="15"/>
      <c r="L990" s="220">
        <f t="shared" si="397"/>
        <v>0</v>
      </c>
      <c r="M990" s="212"/>
      <c r="O990" s="4"/>
      <c r="P990" s="15"/>
      <c r="Q990" s="14">
        <f t="shared" si="395"/>
        <v>0</v>
      </c>
      <c r="R990" s="186"/>
      <c r="S990" s="4"/>
      <c r="T990" s="15"/>
      <c r="U990" s="14">
        <f t="shared" si="396"/>
        <v>0</v>
      </c>
    </row>
    <row r="991" spans="1:21" x14ac:dyDescent="0.15">
      <c r="A991" s="1"/>
      <c r="B991" s="4" t="s">
        <v>749</v>
      </c>
      <c r="C991" s="233">
        <v>1</v>
      </c>
      <c r="D991" s="234">
        <v>1</v>
      </c>
      <c r="E991" s="234">
        <v>1</v>
      </c>
      <c r="F991" s="220">
        <f t="shared" si="393"/>
        <v>3</v>
      </c>
      <c r="G991" s="248">
        <v>44901</v>
      </c>
      <c r="H991" s="4"/>
      <c r="I991" s="187"/>
      <c r="J991" s="15"/>
      <c r="K991" s="15"/>
      <c r="L991" s="220">
        <f t="shared" si="397"/>
        <v>0</v>
      </c>
      <c r="O991" s="4"/>
      <c r="P991" s="15"/>
      <c r="Q991" s="14">
        <f t="shared" si="395"/>
        <v>0</v>
      </c>
      <c r="R991" s="186"/>
      <c r="S991" s="4"/>
      <c r="T991" s="15"/>
      <c r="U991" s="14">
        <f t="shared" si="396"/>
        <v>0</v>
      </c>
    </row>
    <row r="992" spans="1:21" x14ac:dyDescent="0.15">
      <c r="A992" s="1"/>
      <c r="B992" s="4" t="s">
        <v>764</v>
      </c>
      <c r="C992" s="233"/>
      <c r="D992" s="234"/>
      <c r="E992" s="234">
        <v>5</v>
      </c>
      <c r="F992" s="220">
        <f t="shared" si="393"/>
        <v>5</v>
      </c>
      <c r="G992" s="211">
        <v>44903</v>
      </c>
      <c r="H992" s="6"/>
      <c r="I992" s="188"/>
      <c r="J992" s="15"/>
      <c r="K992" s="15"/>
      <c r="L992" s="220">
        <f t="shared" si="397"/>
        <v>0</v>
      </c>
      <c r="O992" s="6"/>
      <c r="P992" s="15"/>
      <c r="Q992" s="14">
        <f t="shared" si="395"/>
        <v>0</v>
      </c>
      <c r="R992" s="186"/>
      <c r="S992" s="6"/>
      <c r="T992" s="15"/>
      <c r="U992" s="14">
        <f t="shared" si="396"/>
        <v>0</v>
      </c>
    </row>
    <row r="993" spans="1:21" x14ac:dyDescent="0.15">
      <c r="A993" s="1"/>
      <c r="B993" s="4" t="s">
        <v>749</v>
      </c>
      <c r="C993" s="233">
        <v>2</v>
      </c>
      <c r="D993" s="234">
        <v>1</v>
      </c>
      <c r="E993" s="234"/>
      <c r="F993" s="220">
        <f t="shared" si="393"/>
        <v>3</v>
      </c>
      <c r="G993" s="248">
        <v>44903</v>
      </c>
      <c r="H993" s="6"/>
      <c r="I993" s="188"/>
      <c r="J993" s="15"/>
      <c r="K993" s="15"/>
      <c r="L993" s="220">
        <f t="shared" si="397"/>
        <v>0</v>
      </c>
      <c r="O993" s="6"/>
      <c r="P993" s="15"/>
      <c r="Q993" s="14">
        <f t="shared" si="395"/>
        <v>0</v>
      </c>
      <c r="R993" s="186"/>
      <c r="S993" s="6"/>
      <c r="T993" s="15"/>
      <c r="U993" s="14">
        <f t="shared" si="396"/>
        <v>0</v>
      </c>
    </row>
    <row r="994" spans="1:21" x14ac:dyDescent="0.15">
      <c r="A994" s="1"/>
      <c r="B994" s="4" t="s">
        <v>749</v>
      </c>
      <c r="C994" s="233">
        <v>1</v>
      </c>
      <c r="D994" s="234">
        <v>1</v>
      </c>
      <c r="E994" s="234">
        <v>1</v>
      </c>
      <c r="F994" s="220">
        <f t="shared" si="393"/>
        <v>3</v>
      </c>
      <c r="G994" s="248">
        <v>44907</v>
      </c>
      <c r="H994" s="4"/>
      <c r="I994" s="187"/>
      <c r="J994" s="15"/>
      <c r="K994" s="15"/>
      <c r="L994" s="220">
        <f t="shared" si="397"/>
        <v>0</v>
      </c>
      <c r="O994" s="4"/>
      <c r="P994" s="15"/>
      <c r="Q994" s="14">
        <f t="shared" si="395"/>
        <v>0</v>
      </c>
      <c r="R994" s="186"/>
      <c r="S994" s="4"/>
      <c r="T994" s="15"/>
      <c r="U994" s="14">
        <f t="shared" si="396"/>
        <v>0</v>
      </c>
    </row>
    <row r="995" spans="1:21" x14ac:dyDescent="0.15">
      <c r="A995" s="1"/>
      <c r="B995" s="4" t="s">
        <v>764</v>
      </c>
      <c r="C995" s="233">
        <v>10</v>
      </c>
      <c r="D995" s="234"/>
      <c r="E995" s="234"/>
      <c r="F995" s="220">
        <f t="shared" si="393"/>
        <v>10</v>
      </c>
      <c r="G995" s="211">
        <v>44909</v>
      </c>
      <c r="H995" s="4"/>
      <c r="I995" s="187"/>
      <c r="J995" s="15"/>
      <c r="K995" s="15"/>
      <c r="L995" s="220">
        <f t="shared" si="397"/>
        <v>0</v>
      </c>
      <c r="O995" s="4"/>
      <c r="P995" s="15"/>
      <c r="Q995" s="14">
        <f t="shared" si="395"/>
        <v>0</v>
      </c>
      <c r="R995" s="186"/>
      <c r="S995" s="4"/>
      <c r="T995" s="15"/>
      <c r="U995" s="14">
        <f t="shared" si="396"/>
        <v>0</v>
      </c>
    </row>
    <row r="996" spans="1:21" x14ac:dyDescent="0.15">
      <c r="A996" s="1"/>
      <c r="B996" s="4" t="s">
        <v>749</v>
      </c>
      <c r="C996" s="233">
        <v>2</v>
      </c>
      <c r="D996" s="234"/>
      <c r="E996" s="234"/>
      <c r="F996" s="220">
        <f t="shared" si="393"/>
        <v>2</v>
      </c>
      <c r="G996" s="248">
        <v>44908</v>
      </c>
      <c r="H996" s="6"/>
      <c r="I996" s="187"/>
      <c r="J996" s="15"/>
      <c r="K996" s="15"/>
      <c r="L996" s="220">
        <f t="shared" si="397"/>
        <v>0</v>
      </c>
      <c r="O996" s="4"/>
      <c r="P996" s="15"/>
      <c r="Q996" s="14">
        <f t="shared" si="395"/>
        <v>0</v>
      </c>
      <c r="R996" s="186"/>
      <c r="S996" s="4"/>
      <c r="T996" s="15"/>
      <c r="U996" s="14">
        <f t="shared" si="396"/>
        <v>0</v>
      </c>
    </row>
    <row r="997" spans="1:21" x14ac:dyDescent="0.15">
      <c r="A997" s="1"/>
      <c r="B997" s="4" t="s">
        <v>1069</v>
      </c>
      <c r="C997" s="233"/>
      <c r="D997" s="234"/>
      <c r="E997" s="234">
        <v>20</v>
      </c>
      <c r="F997" s="220">
        <f t="shared" si="393"/>
        <v>20</v>
      </c>
      <c r="G997" s="248">
        <v>44912</v>
      </c>
      <c r="H997" s="6"/>
      <c r="I997" s="188"/>
      <c r="J997" s="15"/>
      <c r="K997" s="15"/>
      <c r="L997" s="220">
        <f t="shared" si="397"/>
        <v>0</v>
      </c>
      <c r="O997" s="6"/>
      <c r="P997" s="15"/>
      <c r="Q997" s="14">
        <f t="shared" si="395"/>
        <v>0</v>
      </c>
      <c r="R997" s="186"/>
      <c r="S997" s="6"/>
      <c r="T997" s="15"/>
      <c r="U997" s="14">
        <f t="shared" si="396"/>
        <v>0</v>
      </c>
    </row>
    <row r="998" spans="1:21" x14ac:dyDescent="0.15">
      <c r="A998" s="1"/>
      <c r="B998" s="4" t="s">
        <v>1071</v>
      </c>
      <c r="C998" s="233">
        <v>10</v>
      </c>
      <c r="D998" s="234"/>
      <c r="E998" s="234"/>
      <c r="F998" s="220">
        <f t="shared" si="393"/>
        <v>10</v>
      </c>
      <c r="G998" s="211">
        <v>44916</v>
      </c>
      <c r="H998" s="6"/>
      <c r="I998" s="187"/>
      <c r="J998" s="15"/>
      <c r="K998" s="15"/>
      <c r="L998" s="220">
        <f t="shared" si="397"/>
        <v>0</v>
      </c>
      <c r="O998" s="4"/>
      <c r="P998" s="15"/>
      <c r="Q998" s="14">
        <f t="shared" si="395"/>
        <v>0</v>
      </c>
      <c r="R998" s="186"/>
      <c r="S998" s="6"/>
      <c r="T998" s="15"/>
      <c r="U998" s="14">
        <f t="shared" si="396"/>
        <v>0</v>
      </c>
    </row>
    <row r="999" spans="1:21" x14ac:dyDescent="0.15">
      <c r="A999" s="1"/>
      <c r="B999" s="4" t="s">
        <v>749</v>
      </c>
      <c r="C999" s="233">
        <v>2</v>
      </c>
      <c r="D999" s="234"/>
      <c r="E999" s="234"/>
      <c r="F999" s="220">
        <f t="shared" si="393"/>
        <v>2</v>
      </c>
      <c r="G999" s="248">
        <v>44921</v>
      </c>
      <c r="H999" s="6"/>
      <c r="I999" s="188"/>
      <c r="J999" s="15"/>
      <c r="K999" s="15"/>
      <c r="L999" s="220">
        <f t="shared" si="397"/>
        <v>0</v>
      </c>
      <c r="M999" s="212"/>
      <c r="O999" s="6"/>
      <c r="P999" s="15"/>
      <c r="Q999" s="14">
        <f t="shared" si="395"/>
        <v>0</v>
      </c>
      <c r="R999" s="186"/>
      <c r="S999" s="4"/>
      <c r="T999" s="15"/>
      <c r="U999" s="14">
        <f t="shared" si="396"/>
        <v>0</v>
      </c>
    </row>
    <row r="1000" spans="1:21" x14ac:dyDescent="0.15">
      <c r="A1000" s="1"/>
      <c r="B1000" s="4" t="s">
        <v>749</v>
      </c>
      <c r="C1000" s="233">
        <v>1</v>
      </c>
      <c r="D1000" s="234"/>
      <c r="E1000" s="234"/>
      <c r="F1000" s="220">
        <f t="shared" si="393"/>
        <v>1</v>
      </c>
      <c r="G1000" s="211">
        <v>44923</v>
      </c>
      <c r="H1000" s="4"/>
      <c r="I1000" s="187"/>
      <c r="J1000" s="15"/>
      <c r="K1000" s="15"/>
      <c r="L1000" s="220">
        <f t="shared" si="397"/>
        <v>0</v>
      </c>
      <c r="M1000" s="212"/>
      <c r="O1000" s="4"/>
      <c r="P1000" s="15"/>
      <c r="Q1000" s="14">
        <f t="shared" si="395"/>
        <v>0</v>
      </c>
      <c r="R1000" s="186"/>
      <c r="S1000" s="6"/>
      <c r="T1000" s="15"/>
      <c r="U1000" s="14">
        <f t="shared" si="396"/>
        <v>0</v>
      </c>
    </row>
    <row r="1001" spans="1:21" x14ac:dyDescent="0.15">
      <c r="A1001" s="75"/>
      <c r="B1001" s="4" t="s">
        <v>1072</v>
      </c>
      <c r="C1001" s="233">
        <v>5</v>
      </c>
      <c r="D1001" s="234">
        <v>5</v>
      </c>
      <c r="E1001" s="234">
        <v>5</v>
      </c>
      <c r="F1001" s="220">
        <f t="shared" si="393"/>
        <v>15</v>
      </c>
      <c r="G1001" s="211">
        <v>44932</v>
      </c>
      <c r="H1001" s="6"/>
      <c r="I1001" s="187"/>
      <c r="J1001" s="15"/>
      <c r="K1001" s="15"/>
      <c r="L1001" s="220">
        <f t="shared" si="397"/>
        <v>0</v>
      </c>
      <c r="M1001" s="212"/>
      <c r="O1001" s="4"/>
      <c r="P1001" s="15"/>
      <c r="Q1001" s="14">
        <f t="shared" si="395"/>
        <v>0</v>
      </c>
      <c r="R1001" s="186"/>
      <c r="S1001" s="6"/>
      <c r="T1001" s="15"/>
      <c r="U1001" s="14">
        <f t="shared" si="396"/>
        <v>0</v>
      </c>
    </row>
    <row r="1002" spans="1:21" x14ac:dyDescent="0.15">
      <c r="A1002" s="1"/>
      <c r="B1002" s="4" t="s">
        <v>1073</v>
      </c>
      <c r="C1002" s="233">
        <v>10</v>
      </c>
      <c r="D1002" s="234"/>
      <c r="E1002" s="234">
        <v>5</v>
      </c>
      <c r="F1002" s="220">
        <f t="shared" si="393"/>
        <v>15</v>
      </c>
      <c r="G1002" s="211">
        <v>44932</v>
      </c>
      <c r="H1002" s="6"/>
      <c r="I1002" s="187"/>
      <c r="J1002" s="15"/>
      <c r="K1002" s="15"/>
      <c r="L1002" s="220">
        <f t="shared" si="397"/>
        <v>0</v>
      </c>
      <c r="M1002" s="212"/>
      <c r="O1002" s="4"/>
      <c r="P1002" s="15"/>
      <c r="Q1002" s="14">
        <f t="shared" si="395"/>
        <v>0</v>
      </c>
      <c r="R1002" s="186"/>
      <c r="S1002" s="4"/>
      <c r="T1002" s="15"/>
      <c r="U1002" s="14">
        <f t="shared" si="396"/>
        <v>0</v>
      </c>
    </row>
    <row r="1003" spans="1:21" x14ac:dyDescent="0.15">
      <c r="A1003" s="1"/>
      <c r="B1003" s="4" t="s">
        <v>749</v>
      </c>
      <c r="C1003" s="233">
        <v>1</v>
      </c>
      <c r="D1003" s="234"/>
      <c r="E1003" s="234">
        <v>1</v>
      </c>
      <c r="F1003" s="220">
        <f t="shared" ref="F1003:F1004" si="398">SUM(C1003:E1003)</f>
        <v>2</v>
      </c>
      <c r="G1003" s="248">
        <v>44931</v>
      </c>
      <c r="H1003" s="6"/>
      <c r="I1003" s="187"/>
      <c r="J1003" s="15"/>
      <c r="K1003" s="15"/>
      <c r="L1003" s="220">
        <f t="shared" si="397"/>
        <v>0</v>
      </c>
      <c r="M1003" s="212"/>
      <c r="O1003" s="6"/>
      <c r="P1003" s="15"/>
      <c r="Q1003" s="14">
        <f t="shared" si="395"/>
        <v>0</v>
      </c>
      <c r="R1003" s="186"/>
      <c r="S1003" s="4"/>
      <c r="T1003" s="15"/>
      <c r="U1003" s="14">
        <f t="shared" si="396"/>
        <v>0</v>
      </c>
    </row>
    <row r="1004" spans="1:21" ht="14.25" thickBot="1" x14ac:dyDescent="0.2">
      <c r="A1004" s="1"/>
      <c r="B1004" s="4" t="s">
        <v>749</v>
      </c>
      <c r="C1004" s="235">
        <v>1</v>
      </c>
      <c r="D1004" s="234"/>
      <c r="E1004" s="234"/>
      <c r="F1004" s="220">
        <f t="shared" si="398"/>
        <v>1</v>
      </c>
      <c r="G1004" s="211">
        <v>44936</v>
      </c>
      <c r="H1004" s="4"/>
      <c r="I1004" s="233"/>
      <c r="J1004" s="206"/>
      <c r="K1004" s="206"/>
      <c r="L1004" s="220">
        <f t="shared" si="397"/>
        <v>0</v>
      </c>
      <c r="M1004" s="212"/>
      <c r="O1004" s="6"/>
      <c r="P1004" s="15"/>
      <c r="Q1004" s="14">
        <f t="shared" si="395"/>
        <v>0</v>
      </c>
      <c r="R1004" s="186"/>
      <c r="S1004" s="4"/>
      <c r="T1004" s="15"/>
      <c r="U1004" s="14">
        <f t="shared" si="396"/>
        <v>0</v>
      </c>
    </row>
    <row r="1005" spans="1:21" ht="14.25" thickBot="1" x14ac:dyDescent="0.2">
      <c r="A1005" s="1"/>
      <c r="B1005" s="3" t="s">
        <v>5</v>
      </c>
      <c r="C1005" s="16">
        <f>SUM(C981:C1004)</f>
        <v>96</v>
      </c>
      <c r="D1005" s="16">
        <f>SUM(D981:D1004)</f>
        <v>14</v>
      </c>
      <c r="E1005" s="16">
        <f>SUM(E981:E1004)</f>
        <v>53</v>
      </c>
      <c r="F1005" s="223">
        <f>SUM(F981:F1004)</f>
        <v>163</v>
      </c>
      <c r="H1005" s="3" t="s">
        <v>5</v>
      </c>
      <c r="I1005" s="16">
        <f>SUM(I981:I1004)</f>
        <v>0</v>
      </c>
      <c r="J1005" s="16">
        <f>SUM(J981:J1004)</f>
        <v>0</v>
      </c>
      <c r="K1005" s="16">
        <f>SUM(K981:K1004)</f>
        <v>0</v>
      </c>
      <c r="L1005" s="223">
        <f>SUM(L981:L1004)</f>
        <v>0</v>
      </c>
      <c r="O1005" s="3" t="s">
        <v>5</v>
      </c>
      <c r="P1005" s="16">
        <f>SUM(P981:P1004)</f>
        <v>0</v>
      </c>
      <c r="Q1005" s="17">
        <f>SUM(Q981:Q1004)</f>
        <v>0</v>
      </c>
      <c r="S1005" s="3" t="s">
        <v>5</v>
      </c>
      <c r="T1005" s="16">
        <f>SUM(T981:T1004)</f>
        <v>0</v>
      </c>
      <c r="U1005" s="17">
        <f>SUM(U981:U1004)</f>
        <v>0</v>
      </c>
    </row>
    <row r="1006" spans="1:21" ht="14.25" thickBot="1" x14ac:dyDescent="0.2">
      <c r="A1006" s="1"/>
      <c r="B1006" s="18" t="s">
        <v>6</v>
      </c>
      <c r="C1006" s="19">
        <f>C980-C1005</f>
        <v>42</v>
      </c>
      <c r="D1006" s="19">
        <f>D980-D1005</f>
        <v>36</v>
      </c>
      <c r="E1006" s="19">
        <f t="shared" ref="E1006" si="399">E980-E1005</f>
        <v>33</v>
      </c>
      <c r="F1006" s="221">
        <f>F980-F1005</f>
        <v>111</v>
      </c>
      <c r="H1006" s="18" t="s">
        <v>6</v>
      </c>
      <c r="I1006" s="19">
        <f>I980-I1005</f>
        <v>2767</v>
      </c>
      <c r="J1006" s="19">
        <f>J980-J1005</f>
        <v>1162</v>
      </c>
      <c r="K1006" s="19">
        <f t="shared" ref="K1006" si="400">K980-K1005</f>
        <v>1254</v>
      </c>
      <c r="L1006" s="221">
        <f>L980-L1005</f>
        <v>5183</v>
      </c>
      <c r="O1006" s="18" t="s">
        <v>6</v>
      </c>
      <c r="P1006" s="19">
        <f>P980-P1005</f>
        <v>0</v>
      </c>
      <c r="Q1006" s="13">
        <f>Q980-Q1005</f>
        <v>0</v>
      </c>
      <c r="S1006" s="18" t="s">
        <v>6</v>
      </c>
      <c r="T1006" s="19">
        <f>T980-T1005</f>
        <v>1978</v>
      </c>
      <c r="U1006" s="13">
        <f>U980-U1005</f>
        <v>1978</v>
      </c>
    </row>
    <row r="1009" spans="1:21" ht="18" thickBot="1" x14ac:dyDescent="0.25">
      <c r="A1009" s="27" t="s">
        <v>739</v>
      </c>
      <c r="B1009" s="28"/>
      <c r="C1009" s="28"/>
      <c r="D1009" s="28"/>
      <c r="E1009" s="28"/>
      <c r="F1009" s="218"/>
      <c r="H1009" s="27" t="s">
        <v>740</v>
      </c>
      <c r="I1009" s="28"/>
      <c r="J1009" s="28"/>
      <c r="K1009" s="28"/>
      <c r="L1009" s="218"/>
      <c r="O1009" s="181" t="s">
        <v>737</v>
      </c>
      <c r="P1009" s="182"/>
      <c r="Q1009" s="182"/>
      <c r="R1009" s="183"/>
      <c r="S1009" s="181" t="s">
        <v>733</v>
      </c>
      <c r="T1009" s="182"/>
      <c r="U1009" s="182"/>
    </row>
    <row r="1010" spans="1:21" ht="14.25" thickBot="1" x14ac:dyDescent="0.2">
      <c r="A1010" s="1"/>
      <c r="B1010" s="2"/>
      <c r="C1010" s="194" t="s">
        <v>734</v>
      </c>
      <c r="D1010" s="195" t="s">
        <v>706</v>
      </c>
      <c r="E1010" s="2" t="s">
        <v>735</v>
      </c>
      <c r="F1010" s="219" t="s">
        <v>1</v>
      </c>
      <c r="H1010" s="2"/>
      <c r="I1010" s="197" t="s">
        <v>734</v>
      </c>
      <c r="J1010" s="195" t="s">
        <v>706</v>
      </c>
      <c r="K1010" s="201" t="s">
        <v>735</v>
      </c>
      <c r="L1010" s="219" t="s">
        <v>1</v>
      </c>
      <c r="O1010" s="2"/>
      <c r="P1010" s="3" t="s">
        <v>722</v>
      </c>
      <c r="Q1010" s="2" t="s">
        <v>1</v>
      </c>
      <c r="S1010" s="2"/>
      <c r="T1010" s="3" t="s">
        <v>722</v>
      </c>
      <c r="U1010" s="2" t="s">
        <v>1</v>
      </c>
    </row>
    <row r="1011" spans="1:21" x14ac:dyDescent="0.15">
      <c r="A1011" s="1"/>
      <c r="B1011" s="164" t="s">
        <v>26</v>
      </c>
      <c r="C1011" s="200">
        <f>C1006</f>
        <v>42</v>
      </c>
      <c r="D1011" s="164">
        <f t="shared" ref="D1011:F1011" si="401">D1006</f>
        <v>36</v>
      </c>
      <c r="E1011" s="164">
        <f t="shared" si="401"/>
        <v>33</v>
      </c>
      <c r="F1011" s="222">
        <f t="shared" si="401"/>
        <v>111</v>
      </c>
      <c r="H1011" s="164" t="s">
        <v>26</v>
      </c>
      <c r="I1011" s="200">
        <f>I1006</f>
        <v>2767</v>
      </c>
      <c r="J1011" s="164">
        <f t="shared" ref="J1011:L1011" si="402">J1006</f>
        <v>1162</v>
      </c>
      <c r="K1011" s="200">
        <f t="shared" si="402"/>
        <v>1254</v>
      </c>
      <c r="L1011" s="222">
        <f t="shared" si="402"/>
        <v>5183</v>
      </c>
      <c r="O1011" s="171" t="s">
        <v>26</v>
      </c>
      <c r="P1011" s="200">
        <f>P1006</f>
        <v>0</v>
      </c>
      <c r="Q1011" s="180">
        <f>Q1006</f>
        <v>0</v>
      </c>
      <c r="R1011" s="185"/>
      <c r="S1011" s="43" t="s">
        <v>26</v>
      </c>
      <c r="T1011" s="38">
        <f>T1006</f>
        <v>1978</v>
      </c>
      <c r="U1011" s="39">
        <f>U1006</f>
        <v>1978</v>
      </c>
    </row>
    <row r="1012" spans="1:21" x14ac:dyDescent="0.15">
      <c r="A1012" s="75"/>
      <c r="B1012" s="6" t="s">
        <v>3</v>
      </c>
      <c r="C1012" s="6">
        <v>100</v>
      </c>
      <c r="D1012" s="6"/>
      <c r="E1012" s="4"/>
      <c r="F1012" s="220">
        <f t="shared" ref="F1012" si="403">SUM(C1012:E1012)</f>
        <v>100</v>
      </c>
      <c r="G1012" s="211">
        <v>44947</v>
      </c>
      <c r="H1012" s="6" t="s">
        <v>1070</v>
      </c>
      <c r="I1012" s="188"/>
      <c r="J1012" s="225"/>
      <c r="K1012" s="243">
        <v>17</v>
      </c>
      <c r="L1012" s="220">
        <f t="shared" ref="L1012:L1021" si="404">SUM(I1012:K1012)</f>
        <v>17</v>
      </c>
      <c r="M1012" s="211">
        <v>44912</v>
      </c>
      <c r="O1012" s="6" t="s">
        <v>3</v>
      </c>
      <c r="P1012" s="7"/>
      <c r="Q1012" s="5">
        <f t="shared" ref="Q1012:Q1021" si="405">SUM(P1012:P1012)</f>
        <v>0</v>
      </c>
      <c r="R1012" s="186"/>
      <c r="S1012" s="6" t="s">
        <v>3</v>
      </c>
      <c r="T1012" s="7"/>
      <c r="U1012" s="5">
        <f t="shared" ref="U1012:U1021" si="406">SUM(T1012:T1012)</f>
        <v>0</v>
      </c>
    </row>
    <row r="1013" spans="1:21" x14ac:dyDescent="0.15">
      <c r="A1013" s="1"/>
      <c r="B1013" s="6" t="s">
        <v>3</v>
      </c>
      <c r="C1013" s="6"/>
      <c r="D1013" s="6">
        <v>10</v>
      </c>
      <c r="E1013" s="4">
        <v>10</v>
      </c>
      <c r="F1013" s="220">
        <f t="shared" ref="F1013:F1021" si="407">SUM(C1013:E1013)</f>
        <v>20</v>
      </c>
      <c r="G1013" s="211">
        <v>44961</v>
      </c>
      <c r="H1013" s="6" t="s">
        <v>71</v>
      </c>
      <c r="I1013" s="188">
        <v>51</v>
      </c>
      <c r="J1013" s="225"/>
      <c r="K1013" s="243"/>
      <c r="L1013" s="220">
        <f t="shared" si="404"/>
        <v>51</v>
      </c>
      <c r="M1013" s="211">
        <v>44912</v>
      </c>
      <c r="O1013" s="6" t="s">
        <v>3</v>
      </c>
      <c r="P1013" s="7"/>
      <c r="Q1013" s="5">
        <f t="shared" si="405"/>
        <v>0</v>
      </c>
      <c r="R1013" s="186"/>
      <c r="S1013" s="6" t="s">
        <v>3</v>
      </c>
      <c r="T1013" s="54"/>
      <c r="U1013" s="5">
        <f t="shared" si="406"/>
        <v>0</v>
      </c>
    </row>
    <row r="1014" spans="1:21" x14ac:dyDescent="0.15">
      <c r="A1014" s="1"/>
      <c r="B1014" s="6" t="s">
        <v>3</v>
      </c>
      <c r="C1014" s="6">
        <v>100</v>
      </c>
      <c r="D1014" s="6">
        <v>20</v>
      </c>
      <c r="E1014" s="4">
        <v>20</v>
      </c>
      <c r="F1014" s="220">
        <f t="shared" si="407"/>
        <v>140</v>
      </c>
      <c r="G1014" s="211">
        <v>44971</v>
      </c>
      <c r="H1014" s="6" t="s">
        <v>3</v>
      </c>
      <c r="I1014" s="188"/>
      <c r="J1014" s="225"/>
      <c r="K1014" s="243"/>
      <c r="L1014" s="220">
        <f t="shared" si="404"/>
        <v>0</v>
      </c>
      <c r="M1014" s="211"/>
      <c r="O1014" s="6" t="s">
        <v>3</v>
      </c>
      <c r="P1014" s="7"/>
      <c r="Q1014" s="5">
        <f t="shared" si="405"/>
        <v>0</v>
      </c>
      <c r="R1014" s="186"/>
      <c r="S1014" s="6" t="s">
        <v>3</v>
      </c>
      <c r="T1014" s="8"/>
      <c r="U1014" s="5">
        <f t="shared" si="406"/>
        <v>0</v>
      </c>
    </row>
    <row r="1015" spans="1:21" x14ac:dyDescent="0.15">
      <c r="A1015" s="1"/>
      <c r="B1015" s="6" t="s">
        <v>3</v>
      </c>
      <c r="C1015" s="6"/>
      <c r="D1015" s="6"/>
      <c r="E1015" s="4"/>
      <c r="F1015" s="220">
        <f t="shared" si="407"/>
        <v>0</v>
      </c>
      <c r="G1015" s="211"/>
      <c r="H1015" s="6" t="s">
        <v>3</v>
      </c>
      <c r="I1015" s="188"/>
      <c r="J1015" s="6"/>
      <c r="K1015" s="202"/>
      <c r="L1015" s="220">
        <f t="shared" si="404"/>
        <v>0</v>
      </c>
      <c r="O1015" s="6" t="s">
        <v>3</v>
      </c>
      <c r="P1015" s="7"/>
      <c r="Q1015" s="5">
        <f t="shared" si="405"/>
        <v>0</v>
      </c>
      <c r="R1015" s="186"/>
      <c r="S1015" s="6" t="s">
        <v>3</v>
      </c>
      <c r="T1015" s="7"/>
      <c r="U1015" s="5">
        <f t="shared" si="406"/>
        <v>0</v>
      </c>
    </row>
    <row r="1016" spans="1:21" x14ac:dyDescent="0.15">
      <c r="A1016" s="1"/>
      <c r="B1016" s="6" t="s">
        <v>3</v>
      </c>
      <c r="C1016" s="6"/>
      <c r="D1016" s="6"/>
      <c r="E1016" s="4"/>
      <c r="F1016" s="220">
        <f t="shared" si="407"/>
        <v>0</v>
      </c>
      <c r="G1016" s="211"/>
      <c r="H1016" s="6" t="s">
        <v>3</v>
      </c>
      <c r="I1016" s="188"/>
      <c r="J1016" s="6"/>
      <c r="K1016" s="202"/>
      <c r="L1016" s="220">
        <f t="shared" si="404"/>
        <v>0</v>
      </c>
      <c r="O1016" s="6" t="s">
        <v>3</v>
      </c>
      <c r="P1016" s="7"/>
      <c r="Q1016" s="5">
        <f t="shared" si="405"/>
        <v>0</v>
      </c>
      <c r="R1016" s="186"/>
      <c r="S1016" s="6" t="s">
        <v>3</v>
      </c>
      <c r="T1016" s="7"/>
      <c r="U1016" s="5">
        <f t="shared" si="406"/>
        <v>0</v>
      </c>
    </row>
    <row r="1017" spans="1:21" x14ac:dyDescent="0.15">
      <c r="A1017" s="75"/>
      <c r="B1017" s="6" t="s">
        <v>3</v>
      </c>
      <c r="C1017" s="6"/>
      <c r="D1017" s="6"/>
      <c r="E1017" s="4"/>
      <c r="F1017" s="220">
        <f t="shared" si="407"/>
        <v>0</v>
      </c>
      <c r="G1017" s="211"/>
      <c r="H1017" s="6" t="s">
        <v>3</v>
      </c>
      <c r="I1017" s="188"/>
      <c r="J1017" s="6"/>
      <c r="K1017" s="202"/>
      <c r="L1017" s="220">
        <f t="shared" si="404"/>
        <v>0</v>
      </c>
      <c r="O1017" s="6" t="s">
        <v>3</v>
      </c>
      <c r="P1017" s="7"/>
      <c r="Q1017" s="5">
        <f t="shared" si="405"/>
        <v>0</v>
      </c>
      <c r="R1017" s="186"/>
      <c r="S1017" s="6" t="s">
        <v>3</v>
      </c>
      <c r="T1017" s="7"/>
      <c r="U1017" s="5">
        <f t="shared" si="406"/>
        <v>0</v>
      </c>
    </row>
    <row r="1018" spans="1:21" x14ac:dyDescent="0.15">
      <c r="A1018" s="75"/>
      <c r="B1018" s="6" t="s">
        <v>3</v>
      </c>
      <c r="C1018" s="6"/>
      <c r="D1018" s="225"/>
      <c r="E1018" s="226"/>
      <c r="F1018" s="220">
        <f t="shared" si="407"/>
        <v>0</v>
      </c>
      <c r="G1018" s="212"/>
      <c r="H1018" s="6" t="s">
        <v>3</v>
      </c>
      <c r="I1018" s="188"/>
      <c r="J1018" s="225"/>
      <c r="K1018" s="243"/>
      <c r="L1018" s="220">
        <f t="shared" si="404"/>
        <v>0</v>
      </c>
      <c r="O1018" s="6" t="s">
        <v>3</v>
      </c>
      <c r="P1018" s="8"/>
      <c r="Q1018" s="5">
        <f t="shared" si="405"/>
        <v>0</v>
      </c>
      <c r="R1018" s="186"/>
      <c r="S1018" s="6" t="s">
        <v>3</v>
      </c>
      <c r="T1018" s="54"/>
      <c r="U1018" s="5">
        <f t="shared" si="406"/>
        <v>0</v>
      </c>
    </row>
    <row r="1019" spans="1:21" x14ac:dyDescent="0.15">
      <c r="A1019" s="75"/>
      <c r="B1019" s="6" t="s">
        <v>3</v>
      </c>
      <c r="C1019" s="6"/>
      <c r="D1019" s="225"/>
      <c r="E1019" s="226"/>
      <c r="F1019" s="220">
        <f t="shared" si="407"/>
        <v>0</v>
      </c>
      <c r="G1019" s="212"/>
      <c r="H1019" s="6" t="s">
        <v>3</v>
      </c>
      <c r="I1019" s="188"/>
      <c r="J1019" s="225"/>
      <c r="K1019" s="243"/>
      <c r="L1019" s="220">
        <f t="shared" si="404"/>
        <v>0</v>
      </c>
      <c r="M1019" s="211"/>
      <c r="O1019" s="6" t="s">
        <v>3</v>
      </c>
      <c r="P1019" s="8"/>
      <c r="Q1019" s="5">
        <f t="shared" si="405"/>
        <v>0</v>
      </c>
      <c r="R1019" s="186"/>
      <c r="S1019" s="6" t="s">
        <v>3</v>
      </c>
      <c r="T1019" s="54"/>
      <c r="U1019" s="5">
        <f t="shared" si="406"/>
        <v>0</v>
      </c>
    </row>
    <row r="1020" spans="1:21" x14ac:dyDescent="0.15">
      <c r="A1020" s="1"/>
      <c r="B1020" s="6" t="s">
        <v>3</v>
      </c>
      <c r="C1020" s="6"/>
      <c r="D1020" s="225"/>
      <c r="E1020" s="226"/>
      <c r="F1020" s="220">
        <f t="shared" si="407"/>
        <v>0</v>
      </c>
      <c r="G1020" s="212"/>
      <c r="H1020" s="6" t="s">
        <v>3</v>
      </c>
      <c r="I1020" s="188"/>
      <c r="J1020" s="225"/>
      <c r="K1020" s="243"/>
      <c r="L1020" s="220">
        <f t="shared" si="404"/>
        <v>0</v>
      </c>
      <c r="M1020" s="186"/>
      <c r="O1020" s="6" t="s">
        <v>3</v>
      </c>
      <c r="P1020" s="8"/>
      <c r="Q1020" s="5">
        <f t="shared" si="405"/>
        <v>0</v>
      </c>
      <c r="R1020" s="186"/>
      <c r="S1020" s="6" t="s">
        <v>3</v>
      </c>
      <c r="T1020" s="8"/>
      <c r="U1020" s="5">
        <f t="shared" si="406"/>
        <v>0</v>
      </c>
    </row>
    <row r="1021" spans="1:21" ht="14.25" thickBot="1" x14ac:dyDescent="0.2">
      <c r="A1021" s="1"/>
      <c r="B1021" s="6" t="s">
        <v>3</v>
      </c>
      <c r="C1021" s="9"/>
      <c r="D1021" s="237"/>
      <c r="E1021" s="238"/>
      <c r="F1021" s="220">
        <f t="shared" si="407"/>
        <v>0</v>
      </c>
      <c r="G1021" s="212"/>
      <c r="H1021" s="9" t="s">
        <v>3</v>
      </c>
      <c r="I1021" s="198"/>
      <c r="J1021" s="244"/>
      <c r="K1021" s="245"/>
      <c r="L1021" s="220">
        <f t="shared" si="404"/>
        <v>0</v>
      </c>
      <c r="O1021" s="9" t="s">
        <v>3</v>
      </c>
      <c r="P1021" s="10"/>
      <c r="Q1021" s="5">
        <f t="shared" si="405"/>
        <v>0</v>
      </c>
      <c r="R1021" s="186"/>
      <c r="S1021" s="9" t="s">
        <v>3</v>
      </c>
      <c r="T1021" s="10"/>
      <c r="U1021" s="5">
        <f t="shared" si="406"/>
        <v>0</v>
      </c>
    </row>
    <row r="1022" spans="1:21" ht="14.25" thickBot="1" x14ac:dyDescent="0.2">
      <c r="A1022" s="1"/>
      <c r="B1022" s="11" t="s">
        <v>4</v>
      </c>
      <c r="C1022" s="193">
        <f>SUM(C1011:C1021)</f>
        <v>242</v>
      </c>
      <c r="D1022" s="193">
        <f>SUM(D1011:D1021)</f>
        <v>66</v>
      </c>
      <c r="E1022" s="193">
        <f>SUM(E1011:E1021)</f>
        <v>63</v>
      </c>
      <c r="F1022" s="221">
        <f>SUM(F1011:F1021)</f>
        <v>371</v>
      </c>
      <c r="H1022" s="11" t="s">
        <v>4</v>
      </c>
      <c r="I1022" s="193">
        <f>SUM(I1011:I1021)</f>
        <v>2818</v>
      </c>
      <c r="J1022" s="193">
        <f>SUM(J1011:J1021)</f>
        <v>1162</v>
      </c>
      <c r="K1022" s="193">
        <f t="shared" ref="K1022" si="408">SUM(K1011:K1021)</f>
        <v>1271</v>
      </c>
      <c r="L1022" s="221">
        <f>SUM(L1011:L1021)</f>
        <v>5251</v>
      </c>
      <c r="O1022" s="11" t="s">
        <v>4</v>
      </c>
      <c r="P1022" s="12">
        <f>SUM(P1011:P1021)</f>
        <v>0</v>
      </c>
      <c r="Q1022" s="13">
        <f>SUM(Q1011:Q1021)</f>
        <v>0</v>
      </c>
      <c r="S1022" s="11" t="s">
        <v>4</v>
      </c>
      <c r="T1022" s="12">
        <f>SUM(T1011:T1021)</f>
        <v>1978</v>
      </c>
      <c r="U1022" s="13">
        <f>SUM(U1011:U1021)</f>
        <v>1978</v>
      </c>
    </row>
    <row r="1023" spans="1:21" x14ac:dyDescent="0.15">
      <c r="A1023" s="1"/>
      <c r="B1023" s="4" t="s">
        <v>1074</v>
      </c>
      <c r="C1023" s="233">
        <v>10</v>
      </c>
      <c r="D1023" s="234"/>
      <c r="E1023" s="234"/>
      <c r="F1023" s="220">
        <f t="shared" ref="F1023:F1046" si="409">SUM(C1023:E1023)</f>
        <v>10</v>
      </c>
      <c r="G1023" s="211">
        <v>44939</v>
      </c>
      <c r="H1023" s="4" t="s">
        <v>840</v>
      </c>
      <c r="I1023" s="233">
        <v>100</v>
      </c>
      <c r="J1023" s="234"/>
      <c r="K1023" s="234"/>
      <c r="L1023" s="220">
        <f t="shared" ref="L1023:L1046" si="410">SUM(I1023:K1023)</f>
        <v>100</v>
      </c>
      <c r="M1023" s="211">
        <v>44947</v>
      </c>
      <c r="O1023" s="4"/>
      <c r="P1023" s="44"/>
      <c r="Q1023" s="14">
        <f t="shared" ref="Q1023:Q1046" si="411">SUM(P1023:P1023)</f>
        <v>0</v>
      </c>
      <c r="R1023" s="185"/>
      <c r="S1023" s="6"/>
      <c r="T1023" s="44"/>
      <c r="U1023" s="14">
        <f t="shared" ref="U1023:U1046" si="412">SUM(T1023:T1023)</f>
        <v>0</v>
      </c>
    </row>
    <row r="1024" spans="1:21" x14ac:dyDescent="0.15">
      <c r="A1024" s="1"/>
      <c r="B1024" s="4" t="s">
        <v>1075</v>
      </c>
      <c r="C1024" s="233">
        <v>1</v>
      </c>
      <c r="D1024" s="234">
        <v>1</v>
      </c>
      <c r="E1024" s="234">
        <v>1</v>
      </c>
      <c r="F1024" s="220">
        <f t="shared" si="409"/>
        <v>3</v>
      </c>
      <c r="G1024" s="248">
        <v>44938</v>
      </c>
      <c r="H1024" s="4" t="s">
        <v>840</v>
      </c>
      <c r="I1024" s="233"/>
      <c r="J1024" s="234">
        <v>10</v>
      </c>
      <c r="K1024" s="234">
        <v>10</v>
      </c>
      <c r="L1024" s="220">
        <f t="shared" si="410"/>
        <v>20</v>
      </c>
      <c r="M1024" s="211">
        <v>44961</v>
      </c>
      <c r="O1024" s="4"/>
      <c r="P1024" s="15"/>
      <c r="Q1024" s="14">
        <f t="shared" si="411"/>
        <v>0</v>
      </c>
      <c r="R1024" s="186"/>
      <c r="S1024" s="6"/>
      <c r="T1024" s="15"/>
      <c r="U1024" s="14">
        <f t="shared" si="412"/>
        <v>0</v>
      </c>
    </row>
    <row r="1025" spans="1:21" x14ac:dyDescent="0.15">
      <c r="A1025" s="1"/>
      <c r="B1025" s="4" t="s">
        <v>749</v>
      </c>
      <c r="C1025" s="233"/>
      <c r="D1025" s="234"/>
      <c r="E1025" s="234">
        <v>1</v>
      </c>
      <c r="F1025" s="220">
        <f t="shared" si="409"/>
        <v>1</v>
      </c>
      <c r="G1025" s="248">
        <v>44939</v>
      </c>
      <c r="H1025" s="4" t="s">
        <v>840</v>
      </c>
      <c r="I1025" s="233">
        <v>100</v>
      </c>
      <c r="J1025" s="234">
        <v>20</v>
      </c>
      <c r="K1025" s="234">
        <v>20</v>
      </c>
      <c r="L1025" s="220">
        <f t="shared" si="410"/>
        <v>140</v>
      </c>
      <c r="M1025" s="211">
        <v>44971</v>
      </c>
      <c r="O1025" s="4"/>
      <c r="P1025" s="15"/>
      <c r="Q1025" s="14">
        <f t="shared" si="411"/>
        <v>0</v>
      </c>
      <c r="R1025" s="186"/>
      <c r="S1025" s="6"/>
      <c r="T1025" s="15"/>
      <c r="U1025" s="14">
        <f t="shared" si="412"/>
        <v>0</v>
      </c>
    </row>
    <row r="1026" spans="1:21" x14ac:dyDescent="0.15">
      <c r="A1026" s="1"/>
      <c r="B1026" s="4" t="s">
        <v>749</v>
      </c>
      <c r="C1026" s="233">
        <v>4</v>
      </c>
      <c r="D1026" s="234"/>
      <c r="E1026" s="234">
        <v>1</v>
      </c>
      <c r="F1026" s="220">
        <f t="shared" si="409"/>
        <v>5</v>
      </c>
      <c r="G1026" s="211">
        <v>44942</v>
      </c>
      <c r="H1026" s="4"/>
      <c r="I1026" s="233"/>
      <c r="J1026" s="234"/>
      <c r="K1026" s="234"/>
      <c r="L1026" s="220">
        <f t="shared" si="410"/>
        <v>0</v>
      </c>
      <c r="M1026" s="212"/>
      <c r="O1026" s="4"/>
      <c r="P1026" s="15"/>
      <c r="Q1026" s="14">
        <f t="shared" si="411"/>
        <v>0</v>
      </c>
      <c r="R1026" s="186"/>
      <c r="S1026" s="6"/>
      <c r="T1026" s="15"/>
      <c r="U1026" s="14">
        <f t="shared" si="412"/>
        <v>0</v>
      </c>
    </row>
    <row r="1027" spans="1:21" x14ac:dyDescent="0.15">
      <c r="A1027" s="1"/>
      <c r="B1027" s="4" t="s">
        <v>1076</v>
      </c>
      <c r="C1027" s="233">
        <v>1</v>
      </c>
      <c r="D1027" s="234">
        <v>1</v>
      </c>
      <c r="E1027" s="234">
        <v>1</v>
      </c>
      <c r="F1027" s="220">
        <f t="shared" si="409"/>
        <v>3</v>
      </c>
      <c r="G1027" s="248">
        <v>44944</v>
      </c>
      <c r="H1027" s="4"/>
      <c r="I1027" s="233"/>
      <c r="J1027" s="234"/>
      <c r="K1027" s="234"/>
      <c r="L1027" s="220">
        <f t="shared" si="410"/>
        <v>0</v>
      </c>
      <c r="M1027" s="212"/>
      <c r="O1027" s="4"/>
      <c r="P1027" s="15"/>
      <c r="Q1027" s="14">
        <f t="shared" si="411"/>
        <v>0</v>
      </c>
      <c r="R1027" s="186"/>
      <c r="S1027" s="6"/>
      <c r="T1027" s="15"/>
      <c r="U1027" s="14">
        <f t="shared" si="412"/>
        <v>0</v>
      </c>
    </row>
    <row r="1028" spans="1:21" x14ac:dyDescent="0.15">
      <c r="A1028" s="1"/>
      <c r="B1028" s="4" t="s">
        <v>1077</v>
      </c>
      <c r="C1028" s="233">
        <v>5</v>
      </c>
      <c r="D1028" s="234">
        <v>5</v>
      </c>
      <c r="E1028" s="234">
        <v>5</v>
      </c>
      <c r="F1028" s="220">
        <f t="shared" si="409"/>
        <v>15</v>
      </c>
      <c r="G1028" s="211">
        <v>44946</v>
      </c>
      <c r="H1028" s="4"/>
      <c r="I1028" s="233"/>
      <c r="J1028" s="234"/>
      <c r="K1028" s="234"/>
      <c r="L1028" s="220">
        <f t="shared" si="410"/>
        <v>0</v>
      </c>
      <c r="M1028" s="212"/>
      <c r="O1028" s="4"/>
      <c r="P1028" s="15"/>
      <c r="Q1028" s="14">
        <f t="shared" si="411"/>
        <v>0</v>
      </c>
      <c r="R1028" s="186"/>
      <c r="S1028" s="6"/>
      <c r="T1028" s="15"/>
      <c r="U1028" s="14">
        <f t="shared" si="412"/>
        <v>0</v>
      </c>
    </row>
    <row r="1029" spans="1:21" x14ac:dyDescent="0.15">
      <c r="A1029" s="1"/>
      <c r="B1029" s="4" t="s">
        <v>1078</v>
      </c>
      <c r="C1029" s="233">
        <v>2</v>
      </c>
      <c r="D1029" s="234">
        <v>2</v>
      </c>
      <c r="E1029" s="234">
        <v>2</v>
      </c>
      <c r="F1029" s="220">
        <f t="shared" si="409"/>
        <v>6</v>
      </c>
      <c r="G1029" s="211">
        <v>44949</v>
      </c>
      <c r="H1029" s="4"/>
      <c r="I1029" s="233"/>
      <c r="J1029" s="234"/>
      <c r="K1029" s="234"/>
      <c r="L1029" s="220">
        <f t="shared" si="410"/>
        <v>0</v>
      </c>
      <c r="M1029" s="212"/>
      <c r="O1029" s="4"/>
      <c r="P1029" s="15"/>
      <c r="Q1029" s="14">
        <f t="shared" si="411"/>
        <v>0</v>
      </c>
      <c r="R1029" s="186"/>
      <c r="S1029" s="4"/>
      <c r="T1029" s="15"/>
      <c r="U1029" s="14">
        <f t="shared" si="412"/>
        <v>0</v>
      </c>
    </row>
    <row r="1030" spans="1:21" x14ac:dyDescent="0.15">
      <c r="A1030" s="1"/>
      <c r="B1030" s="4" t="s">
        <v>749</v>
      </c>
      <c r="C1030" s="233">
        <v>3</v>
      </c>
      <c r="D1030" s="234"/>
      <c r="E1030" s="234"/>
      <c r="F1030" s="220">
        <f t="shared" si="409"/>
        <v>3</v>
      </c>
      <c r="G1030" s="211">
        <v>44947</v>
      </c>
      <c r="H1030" s="4"/>
      <c r="I1030" s="233"/>
      <c r="J1030" s="234"/>
      <c r="K1030" s="234"/>
      <c r="L1030" s="220">
        <f t="shared" si="410"/>
        <v>0</v>
      </c>
      <c r="M1030" s="212"/>
      <c r="O1030" s="4"/>
      <c r="P1030" s="15"/>
      <c r="Q1030" s="14">
        <f t="shared" si="411"/>
        <v>0</v>
      </c>
      <c r="R1030" s="186"/>
      <c r="S1030" s="4"/>
      <c r="T1030" s="15"/>
      <c r="U1030" s="14">
        <f t="shared" si="412"/>
        <v>0</v>
      </c>
    </row>
    <row r="1031" spans="1:21" x14ac:dyDescent="0.15">
      <c r="A1031" s="1"/>
      <c r="B1031" s="4" t="s">
        <v>749</v>
      </c>
      <c r="C1031" s="233">
        <v>1</v>
      </c>
      <c r="D1031" s="234">
        <v>1</v>
      </c>
      <c r="E1031" s="234">
        <v>1</v>
      </c>
      <c r="F1031" s="220">
        <f t="shared" si="409"/>
        <v>3</v>
      </c>
      <c r="G1031" s="211">
        <v>44950</v>
      </c>
      <c r="H1031" s="4"/>
      <c r="I1031" s="187"/>
      <c r="J1031" s="15"/>
      <c r="K1031" s="15"/>
      <c r="L1031" s="220">
        <f t="shared" si="410"/>
        <v>0</v>
      </c>
      <c r="M1031" s="212"/>
      <c r="O1031" s="4"/>
      <c r="P1031" s="15"/>
      <c r="Q1031" s="14">
        <f t="shared" si="411"/>
        <v>0</v>
      </c>
      <c r="R1031" s="186"/>
      <c r="S1031" s="4"/>
      <c r="T1031" s="15"/>
      <c r="U1031" s="14">
        <f t="shared" si="412"/>
        <v>0</v>
      </c>
    </row>
    <row r="1032" spans="1:21" x14ac:dyDescent="0.15">
      <c r="A1032" s="1"/>
      <c r="B1032" s="4" t="s">
        <v>749</v>
      </c>
      <c r="C1032" s="233">
        <v>1</v>
      </c>
      <c r="D1032" s="234"/>
      <c r="E1032" s="234"/>
      <c r="F1032" s="220">
        <f t="shared" si="409"/>
        <v>1</v>
      </c>
      <c r="G1032" s="211">
        <v>44952</v>
      </c>
      <c r="H1032" s="4"/>
      <c r="I1032" s="187"/>
      <c r="J1032" s="15"/>
      <c r="K1032" s="15"/>
      <c r="L1032" s="220">
        <f t="shared" si="410"/>
        <v>0</v>
      </c>
      <c r="M1032" s="212"/>
      <c r="O1032" s="4"/>
      <c r="P1032" s="15"/>
      <c r="Q1032" s="14">
        <f t="shared" si="411"/>
        <v>0</v>
      </c>
      <c r="R1032" s="186"/>
      <c r="S1032" s="4"/>
      <c r="T1032" s="15"/>
      <c r="U1032" s="14">
        <f t="shared" si="412"/>
        <v>0</v>
      </c>
    </row>
    <row r="1033" spans="1:21" x14ac:dyDescent="0.15">
      <c r="A1033" s="1"/>
      <c r="B1033" s="4" t="s">
        <v>749</v>
      </c>
      <c r="C1033" s="233">
        <v>3</v>
      </c>
      <c r="D1033" s="234">
        <v>3</v>
      </c>
      <c r="E1033" s="234">
        <v>1</v>
      </c>
      <c r="F1033" s="220">
        <f t="shared" si="409"/>
        <v>7</v>
      </c>
      <c r="G1033" s="248">
        <v>44956</v>
      </c>
      <c r="H1033" s="4"/>
      <c r="I1033" s="187"/>
      <c r="J1033" s="15"/>
      <c r="K1033" s="15"/>
      <c r="L1033" s="220">
        <f t="shared" si="410"/>
        <v>0</v>
      </c>
      <c r="O1033" s="4"/>
      <c r="P1033" s="15"/>
      <c r="Q1033" s="14">
        <f t="shared" si="411"/>
        <v>0</v>
      </c>
      <c r="R1033" s="186"/>
      <c r="S1033" s="4"/>
      <c r="T1033" s="15"/>
      <c r="U1033" s="14">
        <f t="shared" si="412"/>
        <v>0</v>
      </c>
    </row>
    <row r="1034" spans="1:21" x14ac:dyDescent="0.15">
      <c r="A1034" s="1"/>
      <c r="B1034" s="4" t="s">
        <v>749</v>
      </c>
      <c r="C1034" s="233"/>
      <c r="D1034" s="234"/>
      <c r="E1034" s="234">
        <v>1</v>
      </c>
      <c r="F1034" s="220">
        <f t="shared" si="409"/>
        <v>1</v>
      </c>
      <c r="G1034" s="211">
        <v>44958</v>
      </c>
      <c r="H1034" s="6"/>
      <c r="I1034" s="188"/>
      <c r="J1034" s="15"/>
      <c r="K1034" s="15"/>
      <c r="L1034" s="220">
        <f t="shared" si="410"/>
        <v>0</v>
      </c>
      <c r="O1034" s="6"/>
      <c r="P1034" s="15"/>
      <c r="Q1034" s="14">
        <f t="shared" si="411"/>
        <v>0</v>
      </c>
      <c r="R1034" s="186"/>
      <c r="S1034" s="6"/>
      <c r="T1034" s="15"/>
      <c r="U1034" s="14">
        <f t="shared" si="412"/>
        <v>0</v>
      </c>
    </row>
    <row r="1035" spans="1:21" x14ac:dyDescent="0.15">
      <c r="A1035" s="1"/>
      <c r="B1035" s="4" t="s">
        <v>749</v>
      </c>
      <c r="C1035" s="233"/>
      <c r="D1035" s="234">
        <v>1</v>
      </c>
      <c r="E1035" s="234"/>
      <c r="F1035" s="220">
        <f t="shared" si="409"/>
        <v>1</v>
      </c>
      <c r="G1035" s="211">
        <v>44959</v>
      </c>
      <c r="H1035" s="6"/>
      <c r="I1035" s="188"/>
      <c r="J1035" s="15"/>
      <c r="K1035" s="15"/>
      <c r="L1035" s="220">
        <f t="shared" si="410"/>
        <v>0</v>
      </c>
      <c r="O1035" s="6"/>
      <c r="P1035" s="15"/>
      <c r="Q1035" s="14">
        <f t="shared" si="411"/>
        <v>0</v>
      </c>
      <c r="R1035" s="186"/>
      <c r="S1035" s="6"/>
      <c r="T1035" s="15"/>
      <c r="U1035" s="14">
        <f t="shared" si="412"/>
        <v>0</v>
      </c>
    </row>
    <row r="1036" spans="1:21" x14ac:dyDescent="0.15">
      <c r="A1036" s="1"/>
      <c r="B1036" s="4" t="s">
        <v>764</v>
      </c>
      <c r="C1036" s="233">
        <v>20</v>
      </c>
      <c r="D1036" s="234">
        <v>10</v>
      </c>
      <c r="E1036" s="234">
        <v>10</v>
      </c>
      <c r="F1036" s="220">
        <f t="shared" si="409"/>
        <v>40</v>
      </c>
      <c r="G1036" s="211">
        <v>44960</v>
      </c>
      <c r="H1036" s="4"/>
      <c r="I1036" s="187"/>
      <c r="J1036" s="15"/>
      <c r="K1036" s="15"/>
      <c r="L1036" s="220">
        <f t="shared" si="410"/>
        <v>0</v>
      </c>
      <c r="O1036" s="4"/>
      <c r="P1036" s="15"/>
      <c r="Q1036" s="14">
        <f t="shared" si="411"/>
        <v>0</v>
      </c>
      <c r="R1036" s="186"/>
      <c r="S1036" s="4"/>
      <c r="T1036" s="15"/>
      <c r="U1036" s="14">
        <f t="shared" si="412"/>
        <v>0</v>
      </c>
    </row>
    <row r="1037" spans="1:21" x14ac:dyDescent="0.15">
      <c r="A1037" s="1"/>
      <c r="B1037" s="4" t="s">
        <v>749</v>
      </c>
      <c r="C1037" s="233">
        <f>1+2</f>
        <v>3</v>
      </c>
      <c r="D1037" s="234"/>
      <c r="E1037" s="234"/>
      <c r="F1037" s="220">
        <f t="shared" si="409"/>
        <v>3</v>
      </c>
      <c r="G1037" s="211">
        <v>44963</v>
      </c>
      <c r="H1037" s="4"/>
      <c r="I1037" s="187"/>
      <c r="J1037" s="15"/>
      <c r="K1037" s="15"/>
      <c r="L1037" s="220">
        <f t="shared" si="410"/>
        <v>0</v>
      </c>
      <c r="O1037" s="4"/>
      <c r="P1037" s="15"/>
      <c r="Q1037" s="14">
        <f t="shared" si="411"/>
        <v>0</v>
      </c>
      <c r="R1037" s="186"/>
      <c r="S1037" s="4"/>
      <c r="T1037" s="15"/>
      <c r="U1037" s="14">
        <f t="shared" si="412"/>
        <v>0</v>
      </c>
    </row>
    <row r="1038" spans="1:21" x14ac:dyDescent="0.15">
      <c r="A1038" s="1"/>
      <c r="B1038" s="4" t="s">
        <v>1079</v>
      </c>
      <c r="C1038" s="233">
        <v>20</v>
      </c>
      <c r="D1038" s="234"/>
      <c r="E1038" s="234"/>
      <c r="F1038" s="220">
        <f t="shared" si="409"/>
        <v>20</v>
      </c>
      <c r="G1038" s="211">
        <v>44965</v>
      </c>
      <c r="H1038" s="6"/>
      <c r="I1038" s="187"/>
      <c r="J1038" s="15"/>
      <c r="K1038" s="15"/>
      <c r="L1038" s="220">
        <f t="shared" si="410"/>
        <v>0</v>
      </c>
      <c r="O1038" s="4"/>
      <c r="P1038" s="15"/>
      <c r="Q1038" s="14">
        <f t="shared" si="411"/>
        <v>0</v>
      </c>
      <c r="R1038" s="186"/>
      <c r="S1038" s="4"/>
      <c r="T1038" s="15"/>
      <c r="U1038" s="14">
        <f t="shared" si="412"/>
        <v>0</v>
      </c>
    </row>
    <row r="1039" spans="1:21" x14ac:dyDescent="0.15">
      <c r="A1039" s="1"/>
      <c r="B1039" s="4" t="s">
        <v>749</v>
      </c>
      <c r="C1039" s="233">
        <v>1</v>
      </c>
      <c r="D1039" s="234">
        <v>1</v>
      </c>
      <c r="E1039" s="234"/>
      <c r="F1039" s="220">
        <f t="shared" si="409"/>
        <v>2</v>
      </c>
      <c r="G1039" s="248">
        <v>44966</v>
      </c>
      <c r="H1039" s="6"/>
      <c r="I1039" s="188"/>
      <c r="J1039" s="15"/>
      <c r="K1039" s="15"/>
      <c r="L1039" s="220">
        <f t="shared" si="410"/>
        <v>0</v>
      </c>
      <c r="O1039" s="6"/>
      <c r="P1039" s="15"/>
      <c r="Q1039" s="14">
        <f t="shared" si="411"/>
        <v>0</v>
      </c>
      <c r="R1039" s="186"/>
      <c r="S1039" s="6"/>
      <c r="T1039" s="15"/>
      <c r="U1039" s="14">
        <f t="shared" si="412"/>
        <v>0</v>
      </c>
    </row>
    <row r="1040" spans="1:21" x14ac:dyDescent="0.15">
      <c r="A1040" s="1"/>
      <c r="B1040" s="4" t="s">
        <v>1080</v>
      </c>
      <c r="C1040" s="233">
        <v>10</v>
      </c>
      <c r="D1040" s="234">
        <v>10</v>
      </c>
      <c r="E1040" s="234">
        <v>10</v>
      </c>
      <c r="F1040" s="220">
        <f t="shared" si="409"/>
        <v>30</v>
      </c>
      <c r="G1040" s="211">
        <v>44971</v>
      </c>
      <c r="H1040" s="6"/>
      <c r="I1040" s="187"/>
      <c r="J1040" s="15"/>
      <c r="K1040" s="15"/>
      <c r="L1040" s="220">
        <f t="shared" si="410"/>
        <v>0</v>
      </c>
      <c r="O1040" s="4"/>
      <c r="P1040" s="15"/>
      <c r="Q1040" s="14">
        <f t="shared" si="411"/>
        <v>0</v>
      </c>
      <c r="R1040" s="186"/>
      <c r="S1040" s="6"/>
      <c r="T1040" s="15"/>
      <c r="U1040" s="14">
        <f t="shared" si="412"/>
        <v>0</v>
      </c>
    </row>
    <row r="1041" spans="1:21" x14ac:dyDescent="0.15">
      <c r="A1041" s="1"/>
      <c r="B1041" s="4" t="s">
        <v>1081</v>
      </c>
      <c r="C1041" s="233">
        <v>30</v>
      </c>
      <c r="D1041" s="234"/>
      <c r="E1041" s="234">
        <v>5</v>
      </c>
      <c r="F1041" s="220">
        <f t="shared" si="409"/>
        <v>35</v>
      </c>
      <c r="G1041" s="211">
        <v>44971</v>
      </c>
      <c r="H1041" s="6"/>
      <c r="I1041" s="188"/>
      <c r="J1041" s="15"/>
      <c r="K1041" s="15"/>
      <c r="L1041" s="220">
        <f t="shared" si="410"/>
        <v>0</v>
      </c>
      <c r="M1041" s="212"/>
      <c r="O1041" s="6"/>
      <c r="P1041" s="15"/>
      <c r="Q1041" s="14">
        <f t="shared" si="411"/>
        <v>0</v>
      </c>
      <c r="R1041" s="186"/>
      <c r="S1041" s="4"/>
      <c r="T1041" s="15"/>
      <c r="U1041" s="14">
        <f t="shared" si="412"/>
        <v>0</v>
      </c>
    </row>
    <row r="1042" spans="1:21" x14ac:dyDescent="0.15">
      <c r="A1042" s="1"/>
      <c r="B1042" s="4" t="s">
        <v>749</v>
      </c>
      <c r="C1042" s="233">
        <f>1+1</f>
        <v>2</v>
      </c>
      <c r="D1042" s="234">
        <v>1</v>
      </c>
      <c r="E1042" s="234">
        <v>1</v>
      </c>
      <c r="F1042" s="220">
        <f t="shared" si="409"/>
        <v>4</v>
      </c>
      <c r="G1042" s="211">
        <v>44970</v>
      </c>
      <c r="H1042" s="4"/>
      <c r="I1042" s="187"/>
      <c r="J1042" s="15"/>
      <c r="K1042" s="15"/>
      <c r="L1042" s="220">
        <f t="shared" si="410"/>
        <v>0</v>
      </c>
      <c r="M1042" s="212"/>
      <c r="O1042" s="4"/>
      <c r="P1042" s="15"/>
      <c r="Q1042" s="14">
        <f t="shared" si="411"/>
        <v>0</v>
      </c>
      <c r="R1042" s="186"/>
      <c r="S1042" s="6"/>
      <c r="T1042" s="15"/>
      <c r="U1042" s="14">
        <f t="shared" si="412"/>
        <v>0</v>
      </c>
    </row>
    <row r="1043" spans="1:21" x14ac:dyDescent="0.15">
      <c r="A1043" s="75"/>
      <c r="B1043" s="4" t="s">
        <v>749</v>
      </c>
      <c r="C1043" s="233">
        <v>1</v>
      </c>
      <c r="D1043" s="234"/>
      <c r="E1043" s="234"/>
      <c r="F1043" s="220">
        <f t="shared" si="409"/>
        <v>1</v>
      </c>
      <c r="G1043" s="211">
        <v>44972</v>
      </c>
      <c r="H1043" s="6"/>
      <c r="I1043" s="187"/>
      <c r="J1043" s="15"/>
      <c r="K1043" s="15"/>
      <c r="L1043" s="220">
        <f t="shared" si="410"/>
        <v>0</v>
      </c>
      <c r="M1043" s="212"/>
      <c r="O1043" s="4"/>
      <c r="P1043" s="15"/>
      <c r="Q1043" s="14">
        <f t="shared" si="411"/>
        <v>0</v>
      </c>
      <c r="R1043" s="186"/>
      <c r="S1043" s="6"/>
      <c r="T1043" s="15"/>
      <c r="U1043" s="14">
        <f t="shared" si="412"/>
        <v>0</v>
      </c>
    </row>
    <row r="1044" spans="1:21" x14ac:dyDescent="0.15">
      <c r="A1044" s="1"/>
      <c r="B1044" s="4" t="s">
        <v>1082</v>
      </c>
      <c r="C1044" s="233">
        <v>30</v>
      </c>
      <c r="D1044" s="234"/>
      <c r="E1044" s="234"/>
      <c r="F1044" s="220">
        <f t="shared" si="409"/>
        <v>30</v>
      </c>
      <c r="G1044" s="211">
        <v>44973</v>
      </c>
      <c r="H1044" s="6"/>
      <c r="I1044" s="187"/>
      <c r="J1044" s="15"/>
      <c r="K1044" s="15"/>
      <c r="L1044" s="220">
        <f t="shared" si="410"/>
        <v>0</v>
      </c>
      <c r="M1044" s="212"/>
      <c r="O1044" s="4"/>
      <c r="P1044" s="15"/>
      <c r="Q1044" s="14">
        <f t="shared" si="411"/>
        <v>0</v>
      </c>
      <c r="R1044" s="186"/>
      <c r="S1044" s="4"/>
      <c r="T1044" s="15"/>
      <c r="U1044" s="14">
        <f t="shared" si="412"/>
        <v>0</v>
      </c>
    </row>
    <row r="1045" spans="1:21" x14ac:dyDescent="0.15">
      <c r="A1045" s="1"/>
      <c r="B1045" s="4" t="s">
        <v>1083</v>
      </c>
      <c r="C1045" s="233">
        <v>5</v>
      </c>
      <c r="D1045" s="234">
        <v>5</v>
      </c>
      <c r="E1045" s="234">
        <v>5</v>
      </c>
      <c r="F1045" s="220">
        <f t="shared" si="409"/>
        <v>15</v>
      </c>
      <c r="G1045" s="211">
        <v>44973</v>
      </c>
      <c r="H1045" s="6"/>
      <c r="I1045" s="187"/>
      <c r="J1045" s="15"/>
      <c r="K1045" s="15"/>
      <c r="L1045" s="220">
        <f t="shared" si="410"/>
        <v>0</v>
      </c>
      <c r="M1045" s="212"/>
      <c r="O1045" s="6"/>
      <c r="P1045" s="15"/>
      <c r="Q1045" s="14">
        <f t="shared" si="411"/>
        <v>0</v>
      </c>
      <c r="R1045" s="186"/>
      <c r="S1045" s="4"/>
      <c r="T1045" s="15"/>
      <c r="U1045" s="14">
        <f t="shared" si="412"/>
        <v>0</v>
      </c>
    </row>
    <row r="1046" spans="1:21" ht="14.25" thickBot="1" x14ac:dyDescent="0.2">
      <c r="A1046" s="1"/>
      <c r="B1046" s="4" t="s">
        <v>749</v>
      </c>
      <c r="C1046" s="235"/>
      <c r="D1046" s="234">
        <v>1</v>
      </c>
      <c r="E1046" s="234"/>
      <c r="F1046" s="220">
        <f t="shared" si="409"/>
        <v>1</v>
      </c>
      <c r="G1046" s="211">
        <v>44974</v>
      </c>
      <c r="H1046" s="4"/>
      <c r="I1046" s="233"/>
      <c r="J1046" s="206"/>
      <c r="K1046" s="206"/>
      <c r="L1046" s="220">
        <f t="shared" si="410"/>
        <v>0</v>
      </c>
      <c r="M1046" s="212"/>
      <c r="O1046" s="6"/>
      <c r="P1046" s="15"/>
      <c r="Q1046" s="14">
        <f t="shared" si="411"/>
        <v>0</v>
      </c>
      <c r="R1046" s="186"/>
      <c r="S1046" s="4"/>
      <c r="T1046" s="15"/>
      <c r="U1046" s="14">
        <f t="shared" si="412"/>
        <v>0</v>
      </c>
    </row>
    <row r="1047" spans="1:21" ht="14.25" thickBot="1" x14ac:dyDescent="0.2">
      <c r="A1047" s="1"/>
      <c r="B1047" s="3" t="s">
        <v>5</v>
      </c>
      <c r="C1047" s="16">
        <f>SUM(C1023:C1046)</f>
        <v>153</v>
      </c>
      <c r="D1047" s="16">
        <f>SUM(D1023:D1046)</f>
        <v>42</v>
      </c>
      <c r="E1047" s="16">
        <f>SUM(E1023:E1046)</f>
        <v>45</v>
      </c>
      <c r="F1047" s="223">
        <f>SUM(F1023:F1046)</f>
        <v>240</v>
      </c>
      <c r="H1047" s="3" t="s">
        <v>5</v>
      </c>
      <c r="I1047" s="16">
        <f>SUM(I1023:I1046)</f>
        <v>200</v>
      </c>
      <c r="J1047" s="16">
        <f>SUM(J1023:J1046)</f>
        <v>30</v>
      </c>
      <c r="K1047" s="16">
        <f>SUM(K1023:K1046)</f>
        <v>30</v>
      </c>
      <c r="L1047" s="223">
        <f>SUM(L1023:L1046)</f>
        <v>260</v>
      </c>
      <c r="O1047" s="3" t="s">
        <v>5</v>
      </c>
      <c r="P1047" s="16">
        <f>SUM(P1023:P1046)</f>
        <v>0</v>
      </c>
      <c r="Q1047" s="17">
        <f>SUM(Q1023:Q1046)</f>
        <v>0</v>
      </c>
      <c r="S1047" s="3" t="s">
        <v>5</v>
      </c>
      <c r="T1047" s="16">
        <f>SUM(T1023:T1046)</f>
        <v>0</v>
      </c>
      <c r="U1047" s="17">
        <f>SUM(U1023:U1046)</f>
        <v>0</v>
      </c>
    </row>
    <row r="1048" spans="1:21" ht="14.25" thickBot="1" x14ac:dyDescent="0.2">
      <c r="A1048" s="1"/>
      <c r="B1048" s="18" t="s">
        <v>6</v>
      </c>
      <c r="C1048" s="19">
        <f>C1022-C1047</f>
        <v>89</v>
      </c>
      <c r="D1048" s="19">
        <f>D1022-D1047</f>
        <v>24</v>
      </c>
      <c r="E1048" s="19">
        <f t="shared" ref="E1048" si="413">E1022-E1047</f>
        <v>18</v>
      </c>
      <c r="F1048" s="221">
        <f>F1022-F1047</f>
        <v>131</v>
      </c>
      <c r="H1048" s="18" t="s">
        <v>6</v>
      </c>
      <c r="I1048" s="19">
        <f>I1022-I1047</f>
        <v>2618</v>
      </c>
      <c r="J1048" s="19">
        <f>J1022-J1047</f>
        <v>1132</v>
      </c>
      <c r="K1048" s="19">
        <f t="shared" ref="K1048" si="414">K1022-K1047</f>
        <v>1241</v>
      </c>
      <c r="L1048" s="221">
        <f>L1022-L1047</f>
        <v>4991</v>
      </c>
      <c r="O1048" s="18" t="s">
        <v>6</v>
      </c>
      <c r="P1048" s="19">
        <f>P1022-P1047</f>
        <v>0</v>
      </c>
      <c r="Q1048" s="13">
        <f>Q1022-Q1047</f>
        <v>0</v>
      </c>
      <c r="S1048" s="18" t="s">
        <v>6</v>
      </c>
      <c r="T1048" s="19">
        <f>T1022-T1047</f>
        <v>1978</v>
      </c>
      <c r="U1048" s="13">
        <f>U1022-U1047</f>
        <v>1978</v>
      </c>
    </row>
    <row r="1051" spans="1:21" ht="18" thickBot="1" x14ac:dyDescent="0.25">
      <c r="A1051" s="27" t="s">
        <v>739</v>
      </c>
      <c r="B1051" s="28"/>
      <c r="C1051" s="28"/>
      <c r="D1051" s="28"/>
      <c r="E1051" s="28"/>
      <c r="F1051" s="218"/>
      <c r="H1051" s="27" t="s">
        <v>740</v>
      </c>
      <c r="I1051" s="28"/>
      <c r="J1051" s="28"/>
      <c r="K1051" s="28"/>
      <c r="L1051" s="218"/>
      <c r="O1051" s="181" t="s">
        <v>737</v>
      </c>
      <c r="P1051" s="182"/>
      <c r="Q1051" s="182"/>
      <c r="R1051" s="183"/>
      <c r="S1051" s="181" t="s">
        <v>733</v>
      </c>
      <c r="T1051" s="182"/>
      <c r="U1051" s="182"/>
    </row>
    <row r="1052" spans="1:21" ht="14.25" thickBot="1" x14ac:dyDescent="0.2">
      <c r="A1052" s="1"/>
      <c r="B1052" s="2"/>
      <c r="C1052" s="194" t="s">
        <v>734</v>
      </c>
      <c r="D1052" s="195" t="s">
        <v>706</v>
      </c>
      <c r="E1052" s="2" t="s">
        <v>735</v>
      </c>
      <c r="F1052" s="219" t="s">
        <v>1</v>
      </c>
      <c r="H1052" s="2"/>
      <c r="I1052" s="197" t="s">
        <v>734</v>
      </c>
      <c r="J1052" s="195" t="s">
        <v>706</v>
      </c>
      <c r="K1052" s="201" t="s">
        <v>735</v>
      </c>
      <c r="L1052" s="219" t="s">
        <v>1</v>
      </c>
      <c r="O1052" s="2"/>
      <c r="P1052" s="3" t="s">
        <v>722</v>
      </c>
      <c r="Q1052" s="2" t="s">
        <v>1</v>
      </c>
      <c r="S1052" s="2"/>
      <c r="T1052" s="3" t="s">
        <v>722</v>
      </c>
      <c r="U1052" s="2" t="s">
        <v>1</v>
      </c>
    </row>
    <row r="1053" spans="1:21" x14ac:dyDescent="0.15">
      <c r="A1053" s="1"/>
      <c r="B1053" s="164" t="s">
        <v>26</v>
      </c>
      <c r="C1053" s="200">
        <f>C1048</f>
        <v>89</v>
      </c>
      <c r="D1053" s="164">
        <f t="shared" ref="D1053:F1053" si="415">D1048</f>
        <v>24</v>
      </c>
      <c r="E1053" s="164">
        <f t="shared" si="415"/>
        <v>18</v>
      </c>
      <c r="F1053" s="222">
        <f t="shared" si="415"/>
        <v>131</v>
      </c>
      <c r="H1053" s="164" t="s">
        <v>26</v>
      </c>
      <c r="I1053" s="200">
        <f>I1048</f>
        <v>2618</v>
      </c>
      <c r="J1053" s="164">
        <f t="shared" ref="J1053:L1053" si="416">J1048</f>
        <v>1132</v>
      </c>
      <c r="K1053" s="200">
        <f t="shared" si="416"/>
        <v>1241</v>
      </c>
      <c r="L1053" s="222">
        <f t="shared" si="416"/>
        <v>4991</v>
      </c>
      <c r="O1053" s="171" t="s">
        <v>26</v>
      </c>
      <c r="P1053" s="200">
        <f>P1048</f>
        <v>0</v>
      </c>
      <c r="Q1053" s="180">
        <f>Q1048</f>
        <v>0</v>
      </c>
      <c r="R1053" s="185"/>
      <c r="S1053" s="43" t="s">
        <v>26</v>
      </c>
      <c r="T1053" s="38">
        <f>T1048</f>
        <v>1978</v>
      </c>
      <c r="U1053" s="39">
        <f>U1048</f>
        <v>1978</v>
      </c>
    </row>
    <row r="1054" spans="1:21" x14ac:dyDescent="0.15">
      <c r="A1054" s="75"/>
      <c r="B1054" s="6" t="s">
        <v>3</v>
      </c>
      <c r="C1054" s="6">
        <v>100</v>
      </c>
      <c r="D1054" s="6">
        <v>20</v>
      </c>
      <c r="E1054" s="4">
        <v>20</v>
      </c>
      <c r="F1054" s="220">
        <f t="shared" ref="F1054:F1056" si="417">SUM(C1054:E1054)</f>
        <v>140</v>
      </c>
      <c r="G1054" s="211">
        <v>44987</v>
      </c>
      <c r="H1054" s="6" t="s">
        <v>3</v>
      </c>
      <c r="I1054" s="188"/>
      <c r="J1054" s="225"/>
      <c r="K1054" s="243"/>
      <c r="L1054" s="220">
        <f t="shared" ref="L1054:L1055" si="418">SUM(I1054:K1054)</f>
        <v>0</v>
      </c>
      <c r="M1054" s="211"/>
      <c r="O1054" s="6" t="s">
        <v>3</v>
      </c>
      <c r="P1054" s="7"/>
      <c r="Q1054" s="5">
        <f t="shared" ref="Q1054:Q1063" si="419">SUM(P1054:P1054)</f>
        <v>0</v>
      </c>
      <c r="R1054" s="186"/>
      <c r="S1054" s="6" t="s">
        <v>3</v>
      </c>
      <c r="T1054" s="7"/>
      <c r="U1054" s="5">
        <f t="shared" ref="U1054:U1063" si="420">SUM(T1054:T1054)</f>
        <v>0</v>
      </c>
    </row>
    <row r="1055" spans="1:21" x14ac:dyDescent="0.15">
      <c r="A1055" s="1"/>
      <c r="B1055" s="6" t="s">
        <v>3</v>
      </c>
      <c r="C1055" s="6"/>
      <c r="D1055" s="6">
        <v>100</v>
      </c>
      <c r="E1055" s="4">
        <v>100</v>
      </c>
      <c r="F1055" s="220">
        <f t="shared" si="417"/>
        <v>200</v>
      </c>
      <c r="G1055" s="211">
        <v>44989</v>
      </c>
      <c r="H1055" s="6" t="s">
        <v>3</v>
      </c>
      <c r="I1055" s="188"/>
      <c r="J1055" s="225"/>
      <c r="K1055" s="243"/>
      <c r="L1055" s="220">
        <f t="shared" si="418"/>
        <v>0</v>
      </c>
      <c r="M1055" s="211"/>
      <c r="O1055" s="6" t="s">
        <v>3</v>
      </c>
      <c r="P1055" s="7"/>
      <c r="Q1055" s="5">
        <f t="shared" si="419"/>
        <v>0</v>
      </c>
      <c r="R1055" s="186"/>
      <c r="S1055" s="6" t="s">
        <v>3</v>
      </c>
      <c r="T1055" s="54"/>
      <c r="U1055" s="5">
        <f t="shared" si="420"/>
        <v>0</v>
      </c>
    </row>
    <row r="1056" spans="1:21" x14ac:dyDescent="0.15">
      <c r="A1056" s="1"/>
      <c r="B1056" s="6" t="s">
        <v>3</v>
      </c>
      <c r="C1056" s="6">
        <v>99</v>
      </c>
      <c r="D1056" s="6"/>
      <c r="E1056" s="4"/>
      <c r="F1056" s="220">
        <f t="shared" si="417"/>
        <v>99</v>
      </c>
      <c r="G1056" s="211">
        <v>44994</v>
      </c>
      <c r="H1056" s="6" t="s">
        <v>3</v>
      </c>
      <c r="I1056" s="188"/>
      <c r="J1056" s="225"/>
      <c r="K1056" s="243"/>
      <c r="L1056" s="220">
        <f t="shared" ref="L1056:L1063" si="421">SUM(I1056:K1056)</f>
        <v>0</v>
      </c>
      <c r="M1056" s="211"/>
      <c r="O1056" s="6" t="s">
        <v>3</v>
      </c>
      <c r="P1056" s="7"/>
      <c r="Q1056" s="5">
        <f t="shared" si="419"/>
        <v>0</v>
      </c>
      <c r="R1056" s="186"/>
      <c r="S1056" s="6" t="s">
        <v>3</v>
      </c>
      <c r="T1056" s="8"/>
      <c r="U1056" s="5">
        <f t="shared" si="420"/>
        <v>0</v>
      </c>
    </row>
    <row r="1057" spans="1:22" x14ac:dyDescent="0.15">
      <c r="A1057" s="1"/>
      <c r="B1057" s="6" t="s">
        <v>3</v>
      </c>
      <c r="C1057" s="6">
        <v>200</v>
      </c>
      <c r="D1057" s="6"/>
      <c r="E1057" s="4"/>
      <c r="F1057" s="220">
        <f t="shared" ref="F1057:F1063" si="422">SUM(C1057:E1057)</f>
        <v>200</v>
      </c>
      <c r="G1057" s="211">
        <v>45008</v>
      </c>
      <c r="H1057" s="6" t="s">
        <v>3</v>
      </c>
      <c r="I1057" s="188"/>
      <c r="J1057" s="6"/>
      <c r="K1057" s="202"/>
      <c r="L1057" s="220">
        <f t="shared" si="421"/>
        <v>0</v>
      </c>
      <c r="O1057" s="6" t="s">
        <v>3</v>
      </c>
      <c r="P1057" s="7"/>
      <c r="Q1057" s="5">
        <f t="shared" si="419"/>
        <v>0</v>
      </c>
      <c r="R1057" s="186"/>
      <c r="S1057" s="6" t="s">
        <v>3</v>
      </c>
      <c r="T1057" s="7"/>
      <c r="U1057" s="5">
        <f t="shared" si="420"/>
        <v>0</v>
      </c>
    </row>
    <row r="1058" spans="1:22" x14ac:dyDescent="0.15">
      <c r="A1058" s="1"/>
      <c r="B1058" s="6" t="s">
        <v>3</v>
      </c>
      <c r="C1058" s="6"/>
      <c r="D1058" s="6"/>
      <c r="E1058" s="4"/>
      <c r="F1058" s="220">
        <f t="shared" si="422"/>
        <v>0</v>
      </c>
      <c r="G1058" s="211"/>
      <c r="H1058" s="6" t="s">
        <v>3</v>
      </c>
      <c r="I1058" s="188"/>
      <c r="J1058" s="6"/>
      <c r="K1058" s="202"/>
      <c r="L1058" s="220">
        <f t="shared" si="421"/>
        <v>0</v>
      </c>
      <c r="O1058" s="6" t="s">
        <v>3</v>
      </c>
      <c r="P1058" s="7"/>
      <c r="Q1058" s="5">
        <f t="shared" si="419"/>
        <v>0</v>
      </c>
      <c r="R1058" s="186"/>
      <c r="S1058" s="6" t="s">
        <v>3</v>
      </c>
      <c r="T1058" s="7"/>
      <c r="U1058" s="5">
        <f t="shared" si="420"/>
        <v>0</v>
      </c>
    </row>
    <row r="1059" spans="1:22" x14ac:dyDescent="0.15">
      <c r="A1059" s="75"/>
      <c r="B1059" s="6" t="s">
        <v>3</v>
      </c>
      <c r="C1059" s="6"/>
      <c r="D1059" s="6"/>
      <c r="E1059" s="4"/>
      <c r="F1059" s="220">
        <f t="shared" si="422"/>
        <v>0</v>
      </c>
      <c r="G1059" s="211"/>
      <c r="H1059" s="6" t="s">
        <v>3</v>
      </c>
      <c r="I1059" s="188"/>
      <c r="J1059" s="6"/>
      <c r="K1059" s="202"/>
      <c r="L1059" s="220">
        <f t="shared" si="421"/>
        <v>0</v>
      </c>
      <c r="O1059" s="6" t="s">
        <v>3</v>
      </c>
      <c r="P1059" s="7"/>
      <c r="Q1059" s="5">
        <f t="shared" si="419"/>
        <v>0</v>
      </c>
      <c r="R1059" s="186"/>
      <c r="S1059" s="6" t="s">
        <v>3</v>
      </c>
      <c r="T1059" s="7"/>
      <c r="U1059" s="5">
        <f t="shared" si="420"/>
        <v>0</v>
      </c>
    </row>
    <row r="1060" spans="1:22" x14ac:dyDescent="0.15">
      <c r="A1060" s="75"/>
      <c r="B1060" s="6" t="s">
        <v>3</v>
      </c>
      <c r="C1060" s="6"/>
      <c r="D1060" s="225"/>
      <c r="E1060" s="226"/>
      <c r="F1060" s="220">
        <f t="shared" si="422"/>
        <v>0</v>
      </c>
      <c r="G1060" s="212"/>
      <c r="H1060" s="6" t="s">
        <v>3</v>
      </c>
      <c r="I1060" s="188"/>
      <c r="J1060" s="225"/>
      <c r="K1060" s="243"/>
      <c r="L1060" s="220">
        <f t="shared" si="421"/>
        <v>0</v>
      </c>
      <c r="O1060" s="6" t="s">
        <v>3</v>
      </c>
      <c r="P1060" s="8"/>
      <c r="Q1060" s="5">
        <f t="shared" si="419"/>
        <v>0</v>
      </c>
      <c r="R1060" s="186"/>
      <c r="S1060" s="6" t="s">
        <v>3</v>
      </c>
      <c r="T1060" s="54"/>
      <c r="U1060" s="5">
        <f t="shared" si="420"/>
        <v>0</v>
      </c>
    </row>
    <row r="1061" spans="1:22" x14ac:dyDescent="0.15">
      <c r="A1061" s="75"/>
      <c r="B1061" s="6" t="s">
        <v>3</v>
      </c>
      <c r="C1061" s="6"/>
      <c r="D1061" s="225"/>
      <c r="E1061" s="226"/>
      <c r="F1061" s="220">
        <f t="shared" si="422"/>
        <v>0</v>
      </c>
      <c r="G1061" s="212"/>
      <c r="H1061" s="6" t="s">
        <v>3</v>
      </c>
      <c r="I1061" s="188"/>
      <c r="J1061" s="225"/>
      <c r="K1061" s="243"/>
      <c r="L1061" s="220">
        <f t="shared" si="421"/>
        <v>0</v>
      </c>
      <c r="M1061" s="211"/>
      <c r="O1061" s="6" t="s">
        <v>3</v>
      </c>
      <c r="P1061" s="8"/>
      <c r="Q1061" s="5">
        <f t="shared" si="419"/>
        <v>0</v>
      </c>
      <c r="R1061" s="186"/>
      <c r="S1061" s="6" t="s">
        <v>3</v>
      </c>
      <c r="T1061" s="54"/>
      <c r="U1061" s="5">
        <f t="shared" si="420"/>
        <v>0</v>
      </c>
    </row>
    <row r="1062" spans="1:22" x14ac:dyDescent="0.15">
      <c r="A1062" s="1"/>
      <c r="B1062" s="6" t="s">
        <v>3</v>
      </c>
      <c r="C1062" s="6"/>
      <c r="D1062" s="225"/>
      <c r="E1062" s="226"/>
      <c r="F1062" s="220">
        <f t="shared" si="422"/>
        <v>0</v>
      </c>
      <c r="G1062" s="212"/>
      <c r="H1062" s="6" t="s">
        <v>3</v>
      </c>
      <c r="I1062" s="188"/>
      <c r="J1062" s="225"/>
      <c r="K1062" s="243"/>
      <c r="L1062" s="220">
        <f t="shared" si="421"/>
        <v>0</v>
      </c>
      <c r="M1062" s="186"/>
      <c r="O1062" s="6" t="s">
        <v>3</v>
      </c>
      <c r="P1062" s="8"/>
      <c r="Q1062" s="5">
        <f t="shared" si="419"/>
        <v>0</v>
      </c>
      <c r="R1062" s="186"/>
      <c r="S1062" s="6" t="s">
        <v>3</v>
      </c>
      <c r="T1062" s="8"/>
      <c r="U1062" s="5">
        <f t="shared" si="420"/>
        <v>0</v>
      </c>
    </row>
    <row r="1063" spans="1:22" ht="14.25" thickBot="1" x14ac:dyDescent="0.2">
      <c r="A1063" s="1"/>
      <c r="B1063" s="6" t="s">
        <v>3</v>
      </c>
      <c r="C1063" s="9"/>
      <c r="D1063" s="237"/>
      <c r="E1063" s="238"/>
      <c r="F1063" s="220">
        <f t="shared" si="422"/>
        <v>0</v>
      </c>
      <c r="G1063" s="212"/>
      <c r="H1063" s="9" t="s">
        <v>3</v>
      </c>
      <c r="I1063" s="198"/>
      <c r="J1063" s="244"/>
      <c r="K1063" s="245"/>
      <c r="L1063" s="220">
        <f t="shared" si="421"/>
        <v>0</v>
      </c>
      <c r="O1063" s="9" t="s">
        <v>3</v>
      </c>
      <c r="P1063" s="10"/>
      <c r="Q1063" s="5">
        <f t="shared" si="419"/>
        <v>0</v>
      </c>
      <c r="R1063" s="186"/>
      <c r="S1063" s="9" t="s">
        <v>3</v>
      </c>
      <c r="T1063" s="10"/>
      <c r="U1063" s="5">
        <f t="shared" si="420"/>
        <v>0</v>
      </c>
    </row>
    <row r="1064" spans="1:22" ht="14.25" thickBot="1" x14ac:dyDescent="0.2">
      <c r="A1064" s="1"/>
      <c r="B1064" s="11" t="s">
        <v>4</v>
      </c>
      <c r="C1064" s="193">
        <f>SUM(C1053:C1063)</f>
        <v>488</v>
      </c>
      <c r="D1064" s="193">
        <f>SUM(D1053:D1063)</f>
        <v>144</v>
      </c>
      <c r="E1064" s="193">
        <f>SUM(E1053:E1063)</f>
        <v>138</v>
      </c>
      <c r="F1064" s="221">
        <f>SUM(F1053:F1063)</f>
        <v>770</v>
      </c>
      <c r="H1064" s="11" t="s">
        <v>4</v>
      </c>
      <c r="I1064" s="193">
        <f>SUM(I1053:I1063)</f>
        <v>2618</v>
      </c>
      <c r="J1064" s="193">
        <f>SUM(J1053:J1063)</f>
        <v>1132</v>
      </c>
      <c r="K1064" s="193">
        <f t="shared" ref="K1064" si="423">SUM(K1053:K1063)</f>
        <v>1241</v>
      </c>
      <c r="L1064" s="221">
        <f>SUM(L1053:L1063)</f>
        <v>4991</v>
      </c>
      <c r="O1064" s="11" t="s">
        <v>4</v>
      </c>
      <c r="P1064" s="12">
        <f>SUM(P1053:P1063)</f>
        <v>0</v>
      </c>
      <c r="Q1064" s="13">
        <f>SUM(Q1053:Q1063)</f>
        <v>0</v>
      </c>
      <c r="S1064" s="11" t="s">
        <v>4</v>
      </c>
      <c r="T1064" s="12">
        <f>SUM(T1053:T1063)</f>
        <v>1978</v>
      </c>
      <c r="U1064" s="13">
        <f>SUM(U1053:U1063)</f>
        <v>1978</v>
      </c>
    </row>
    <row r="1065" spans="1:22" x14ac:dyDescent="0.15">
      <c r="A1065" s="1"/>
      <c r="B1065" s="4" t="s">
        <v>1084</v>
      </c>
      <c r="C1065" s="233">
        <v>2</v>
      </c>
      <c r="D1065" s="234">
        <v>2</v>
      </c>
      <c r="E1065" s="234">
        <v>2</v>
      </c>
      <c r="F1065" s="220">
        <f t="shared" ref="F1065:F1086" si="424">SUM(C1065:E1065)</f>
        <v>6</v>
      </c>
      <c r="G1065" s="211">
        <v>44977</v>
      </c>
      <c r="H1065" s="4" t="s">
        <v>1096</v>
      </c>
      <c r="I1065" s="233">
        <v>100</v>
      </c>
      <c r="J1065" s="234">
        <v>20</v>
      </c>
      <c r="K1065" s="234">
        <v>20</v>
      </c>
      <c r="L1065" s="220">
        <f t="shared" ref="L1065:L1067" si="425">SUM(I1065:K1065)</f>
        <v>140</v>
      </c>
      <c r="M1065" s="211">
        <v>44987</v>
      </c>
      <c r="O1065" s="4"/>
      <c r="P1065" s="44"/>
      <c r="Q1065" s="14">
        <f t="shared" ref="Q1065:Q1088" si="426">SUM(P1065:P1065)</f>
        <v>0</v>
      </c>
      <c r="R1065" s="185"/>
      <c r="S1065" s="4"/>
      <c r="T1065" s="44"/>
      <c r="U1065" s="14">
        <f t="shared" ref="U1065:U1083" si="427">SUM(T1065:T1065)</f>
        <v>0</v>
      </c>
      <c r="V1065" s="211"/>
    </row>
    <row r="1066" spans="1:22" x14ac:dyDescent="0.15">
      <c r="A1066" s="1"/>
      <c r="B1066" s="4" t="s">
        <v>749</v>
      </c>
      <c r="C1066" s="233">
        <v>1</v>
      </c>
      <c r="D1066" s="234"/>
      <c r="E1066" s="234"/>
      <c r="F1066" s="220">
        <f t="shared" si="424"/>
        <v>1</v>
      </c>
      <c r="G1066" s="211">
        <v>44975</v>
      </c>
      <c r="H1066" s="4" t="s">
        <v>745</v>
      </c>
      <c r="I1066" s="233"/>
      <c r="J1066" s="234">
        <v>100</v>
      </c>
      <c r="K1066" s="234">
        <v>100</v>
      </c>
      <c r="L1066" s="220">
        <f t="shared" si="425"/>
        <v>200</v>
      </c>
      <c r="M1066" s="211">
        <v>44989</v>
      </c>
      <c r="O1066" s="4"/>
      <c r="P1066" s="15"/>
      <c r="Q1066" s="14">
        <f t="shared" si="426"/>
        <v>0</v>
      </c>
      <c r="R1066" s="186"/>
      <c r="S1066" s="6"/>
      <c r="T1066" s="15"/>
      <c r="U1066" s="14">
        <f t="shared" si="427"/>
        <v>0</v>
      </c>
      <c r="V1066" s="209"/>
    </row>
    <row r="1067" spans="1:22" x14ac:dyDescent="0.15">
      <c r="A1067" s="1"/>
      <c r="B1067" s="4" t="s">
        <v>749</v>
      </c>
      <c r="C1067" s="233">
        <v>2</v>
      </c>
      <c r="D1067" s="234"/>
      <c r="E1067" s="234"/>
      <c r="F1067" s="220">
        <f t="shared" si="424"/>
        <v>2</v>
      </c>
      <c r="G1067" s="211">
        <v>44977</v>
      </c>
      <c r="H1067" s="4" t="s">
        <v>745</v>
      </c>
      <c r="I1067" s="233">
        <v>99</v>
      </c>
      <c r="J1067" s="234"/>
      <c r="K1067" s="234"/>
      <c r="L1067" s="220">
        <f t="shared" si="425"/>
        <v>99</v>
      </c>
      <c r="M1067" s="211">
        <v>44994</v>
      </c>
      <c r="O1067" s="4"/>
      <c r="P1067" s="15"/>
      <c r="Q1067" s="14">
        <f t="shared" si="426"/>
        <v>0</v>
      </c>
      <c r="R1067" s="186"/>
      <c r="S1067" s="6"/>
      <c r="T1067" s="15"/>
      <c r="U1067" s="14">
        <f t="shared" si="427"/>
        <v>0</v>
      </c>
      <c r="V1067" s="209"/>
    </row>
    <row r="1068" spans="1:22" x14ac:dyDescent="0.15">
      <c r="A1068" s="1"/>
      <c r="B1068" s="4" t="s">
        <v>749</v>
      </c>
      <c r="C1068" s="233">
        <v>1</v>
      </c>
      <c r="D1068" s="234"/>
      <c r="E1068" s="234"/>
      <c r="F1068" s="220">
        <f t="shared" si="424"/>
        <v>1</v>
      </c>
      <c r="G1068" s="211">
        <v>44979</v>
      </c>
      <c r="H1068" s="4" t="s">
        <v>745</v>
      </c>
      <c r="I1068" s="233">
        <v>200</v>
      </c>
      <c r="J1068" s="234"/>
      <c r="K1068" s="234"/>
      <c r="L1068" s="220">
        <f t="shared" ref="L1068:L1085" si="428">SUM(I1068:K1068)</f>
        <v>200</v>
      </c>
      <c r="M1068" s="211">
        <v>45008</v>
      </c>
      <c r="O1068" s="4"/>
      <c r="P1068" s="15"/>
      <c r="Q1068" s="14">
        <f t="shared" si="426"/>
        <v>0</v>
      </c>
      <c r="R1068" s="186"/>
      <c r="S1068" s="6"/>
      <c r="T1068" s="15"/>
      <c r="U1068" s="14">
        <f t="shared" si="427"/>
        <v>0</v>
      </c>
      <c r="V1068" s="209"/>
    </row>
    <row r="1069" spans="1:22" x14ac:dyDescent="0.15">
      <c r="A1069" s="1"/>
      <c r="B1069" s="4" t="s">
        <v>749</v>
      </c>
      <c r="C1069" s="233">
        <v>1</v>
      </c>
      <c r="D1069" s="234"/>
      <c r="E1069" s="234"/>
      <c r="F1069" s="220">
        <f t="shared" si="424"/>
        <v>1</v>
      </c>
      <c r="G1069" s="211">
        <v>44984</v>
      </c>
      <c r="H1069" s="4" t="s">
        <v>745</v>
      </c>
      <c r="I1069" s="233">
        <v>200</v>
      </c>
      <c r="J1069" s="234"/>
      <c r="K1069" s="234"/>
      <c r="L1069" s="220">
        <f t="shared" si="428"/>
        <v>200</v>
      </c>
      <c r="M1069" s="211">
        <v>45013</v>
      </c>
      <c r="O1069" s="4"/>
      <c r="P1069" s="15"/>
      <c r="Q1069" s="14">
        <f t="shared" si="426"/>
        <v>0</v>
      </c>
      <c r="R1069" s="186"/>
      <c r="S1069" s="6"/>
      <c r="T1069" s="15"/>
      <c r="U1069" s="14">
        <f t="shared" si="427"/>
        <v>0</v>
      </c>
      <c r="V1069" s="209"/>
    </row>
    <row r="1070" spans="1:22" x14ac:dyDescent="0.15">
      <c r="A1070" s="1"/>
      <c r="B1070" s="4" t="s">
        <v>1093</v>
      </c>
      <c r="C1070" s="233">
        <v>30</v>
      </c>
      <c r="D1070" s="234">
        <v>10</v>
      </c>
      <c r="E1070" s="234">
        <v>10</v>
      </c>
      <c r="F1070" s="220">
        <f t="shared" si="424"/>
        <v>50</v>
      </c>
      <c r="G1070" s="211">
        <v>44986</v>
      </c>
      <c r="H1070" s="4" t="s">
        <v>745</v>
      </c>
      <c r="I1070" s="233"/>
      <c r="J1070" s="234">
        <v>24</v>
      </c>
      <c r="K1070" s="234">
        <v>19</v>
      </c>
      <c r="L1070" s="220">
        <f t="shared" ref="L1070:L1071" si="429">SUM(I1070:K1070)</f>
        <v>43</v>
      </c>
      <c r="M1070" s="211">
        <v>45031</v>
      </c>
      <c r="O1070" s="4"/>
      <c r="P1070" s="15"/>
      <c r="Q1070" s="14">
        <f t="shared" si="426"/>
        <v>0</v>
      </c>
      <c r="R1070" s="186"/>
      <c r="S1070" s="6"/>
      <c r="T1070" s="15"/>
      <c r="U1070" s="14">
        <f t="shared" si="427"/>
        <v>0</v>
      </c>
      <c r="V1070" s="209"/>
    </row>
    <row r="1071" spans="1:22" x14ac:dyDescent="0.15">
      <c r="A1071" s="1"/>
      <c r="B1071" s="4" t="s">
        <v>749</v>
      </c>
      <c r="C1071" s="233">
        <v>1</v>
      </c>
      <c r="D1071" s="234"/>
      <c r="E1071" s="234"/>
      <c r="F1071" s="220">
        <f t="shared" si="424"/>
        <v>1</v>
      </c>
      <c r="G1071" s="211">
        <v>44986</v>
      </c>
      <c r="H1071" s="4"/>
      <c r="I1071" s="233"/>
      <c r="J1071" s="234"/>
      <c r="K1071" s="234"/>
      <c r="L1071" s="220">
        <f t="shared" si="429"/>
        <v>0</v>
      </c>
      <c r="M1071" s="212"/>
      <c r="O1071" s="4"/>
      <c r="P1071" s="15"/>
      <c r="Q1071" s="14">
        <f t="shared" si="426"/>
        <v>0</v>
      </c>
      <c r="R1071" s="186"/>
      <c r="S1071" s="4"/>
      <c r="T1071" s="15"/>
      <c r="U1071" s="14">
        <f t="shared" si="427"/>
        <v>0</v>
      </c>
      <c r="V1071" s="209"/>
    </row>
    <row r="1072" spans="1:22" x14ac:dyDescent="0.15">
      <c r="A1072" s="1"/>
      <c r="B1072" s="4" t="s">
        <v>749</v>
      </c>
      <c r="C1072" s="233">
        <v>1</v>
      </c>
      <c r="D1072" s="234"/>
      <c r="E1072" s="234"/>
      <c r="F1072" s="220">
        <f t="shared" si="424"/>
        <v>1</v>
      </c>
      <c r="G1072" s="211">
        <v>44988</v>
      </c>
      <c r="H1072" s="4"/>
      <c r="I1072" s="233"/>
      <c r="J1072" s="234"/>
      <c r="K1072" s="234"/>
      <c r="L1072" s="220">
        <f t="shared" si="428"/>
        <v>0</v>
      </c>
      <c r="M1072" s="212"/>
      <c r="O1072" s="4"/>
      <c r="P1072" s="15"/>
      <c r="Q1072" s="14">
        <f t="shared" si="426"/>
        <v>0</v>
      </c>
      <c r="R1072" s="186"/>
      <c r="S1072" s="4"/>
      <c r="T1072" s="15"/>
      <c r="U1072" s="14">
        <f t="shared" si="427"/>
        <v>0</v>
      </c>
      <c r="V1072" s="209"/>
    </row>
    <row r="1073" spans="1:22" x14ac:dyDescent="0.15">
      <c r="A1073" s="1"/>
      <c r="B1073" s="4" t="s">
        <v>749</v>
      </c>
      <c r="C1073" s="233">
        <f>1+6+2</f>
        <v>9</v>
      </c>
      <c r="D1073" s="234">
        <f>1+1</f>
        <v>2</v>
      </c>
      <c r="E1073" s="234">
        <f>1+1</f>
        <v>2</v>
      </c>
      <c r="F1073" s="220">
        <f t="shared" si="424"/>
        <v>13</v>
      </c>
      <c r="G1073" s="211">
        <v>44991</v>
      </c>
      <c r="H1073" s="4"/>
      <c r="I1073" s="187"/>
      <c r="J1073" s="15"/>
      <c r="K1073" s="15"/>
      <c r="L1073" s="220">
        <f t="shared" si="428"/>
        <v>0</v>
      </c>
      <c r="M1073" s="212"/>
      <c r="O1073" s="4"/>
      <c r="P1073" s="15"/>
      <c r="Q1073" s="14">
        <f t="shared" si="426"/>
        <v>0</v>
      </c>
      <c r="R1073" s="186"/>
      <c r="S1073" s="4"/>
      <c r="T1073" s="15"/>
      <c r="U1073" s="14">
        <f t="shared" si="427"/>
        <v>0</v>
      </c>
      <c r="V1073" s="209"/>
    </row>
    <row r="1074" spans="1:22" x14ac:dyDescent="0.15">
      <c r="A1074" s="1"/>
      <c r="B1074" s="4" t="s">
        <v>1099</v>
      </c>
      <c r="C1074" s="233">
        <v>50</v>
      </c>
      <c r="D1074" s="234"/>
      <c r="E1074" s="234">
        <v>10</v>
      </c>
      <c r="F1074" s="220">
        <f t="shared" si="424"/>
        <v>60</v>
      </c>
      <c r="G1074" s="211">
        <v>44993</v>
      </c>
      <c r="H1074" s="4"/>
      <c r="I1074" s="187"/>
      <c r="J1074" s="15"/>
      <c r="K1074" s="15"/>
      <c r="L1074" s="220">
        <f t="shared" si="428"/>
        <v>0</v>
      </c>
      <c r="M1074" s="212"/>
      <c r="O1074" s="4"/>
      <c r="P1074" s="15"/>
      <c r="Q1074" s="14">
        <f t="shared" si="426"/>
        <v>0</v>
      </c>
      <c r="R1074" s="186"/>
      <c r="S1074" s="4"/>
      <c r="T1074" s="15"/>
      <c r="U1074" s="14">
        <f t="shared" si="427"/>
        <v>0</v>
      </c>
      <c r="V1074" s="209"/>
    </row>
    <row r="1075" spans="1:22" x14ac:dyDescent="0.15">
      <c r="A1075" s="1"/>
      <c r="B1075" s="4" t="s">
        <v>1100</v>
      </c>
      <c r="C1075" s="233">
        <v>10</v>
      </c>
      <c r="D1075" s="234">
        <v>10</v>
      </c>
      <c r="E1075" s="234">
        <v>10</v>
      </c>
      <c r="F1075" s="220">
        <f t="shared" si="424"/>
        <v>30</v>
      </c>
      <c r="G1075" s="211">
        <v>44993</v>
      </c>
      <c r="H1075" s="4"/>
      <c r="I1075" s="187"/>
      <c r="J1075" s="15"/>
      <c r="K1075" s="15"/>
      <c r="L1075" s="220">
        <f t="shared" si="428"/>
        <v>0</v>
      </c>
      <c r="O1075" s="4"/>
      <c r="P1075" s="15"/>
      <c r="Q1075" s="14">
        <f t="shared" si="426"/>
        <v>0</v>
      </c>
      <c r="R1075" s="186"/>
      <c r="S1075" s="4"/>
      <c r="T1075" s="15"/>
      <c r="U1075" s="14">
        <f t="shared" si="427"/>
        <v>0</v>
      </c>
      <c r="V1075" s="209"/>
    </row>
    <row r="1076" spans="1:22" x14ac:dyDescent="0.15">
      <c r="A1076" s="1"/>
      <c r="B1076" s="4" t="s">
        <v>749</v>
      </c>
      <c r="C1076" s="233">
        <v>1</v>
      </c>
      <c r="D1076" s="234"/>
      <c r="E1076" s="234"/>
      <c r="F1076" s="220">
        <f t="shared" si="424"/>
        <v>1</v>
      </c>
      <c r="G1076" s="211">
        <v>44992</v>
      </c>
      <c r="H1076" s="6"/>
      <c r="I1076" s="188"/>
      <c r="J1076" s="15"/>
      <c r="K1076" s="15"/>
      <c r="L1076" s="220">
        <f t="shared" si="428"/>
        <v>0</v>
      </c>
      <c r="O1076" s="6"/>
      <c r="P1076" s="15"/>
      <c r="Q1076" s="14">
        <f t="shared" si="426"/>
        <v>0</v>
      </c>
      <c r="R1076" s="186"/>
      <c r="S1076" s="6"/>
      <c r="T1076" s="15"/>
      <c r="U1076" s="14">
        <f t="shared" si="427"/>
        <v>0</v>
      </c>
      <c r="V1076" s="209"/>
    </row>
    <row r="1077" spans="1:22" x14ac:dyDescent="0.15">
      <c r="A1077" s="1"/>
      <c r="B1077" s="4" t="s">
        <v>867</v>
      </c>
      <c r="C1077" s="233">
        <v>1</v>
      </c>
      <c r="D1077" s="234"/>
      <c r="E1077" s="234"/>
      <c r="F1077" s="220">
        <f t="shared" si="424"/>
        <v>1</v>
      </c>
      <c r="G1077" s="211">
        <v>44994</v>
      </c>
      <c r="H1077" s="6"/>
      <c r="I1077" s="188"/>
      <c r="J1077" s="15"/>
      <c r="K1077" s="15"/>
      <c r="L1077" s="220">
        <f t="shared" si="428"/>
        <v>0</v>
      </c>
      <c r="O1077" s="6"/>
      <c r="P1077" s="15"/>
      <c r="Q1077" s="14">
        <f t="shared" si="426"/>
        <v>0</v>
      </c>
      <c r="R1077" s="186"/>
      <c r="S1077" s="6"/>
      <c r="T1077" s="15"/>
      <c r="U1077" s="14">
        <f t="shared" si="427"/>
        <v>0</v>
      </c>
      <c r="V1077" s="209"/>
    </row>
    <row r="1078" spans="1:22" x14ac:dyDescent="0.15">
      <c r="A1078" s="1"/>
      <c r="B1078" s="4" t="s">
        <v>749</v>
      </c>
      <c r="C1078" s="233">
        <f>3+2</f>
        <v>5</v>
      </c>
      <c r="D1078" s="234">
        <v>1</v>
      </c>
      <c r="E1078" s="234"/>
      <c r="F1078" s="220">
        <f t="shared" si="424"/>
        <v>6</v>
      </c>
      <c r="G1078" s="211">
        <v>44993</v>
      </c>
      <c r="H1078" s="4"/>
      <c r="I1078" s="187"/>
      <c r="J1078" s="15"/>
      <c r="K1078" s="15"/>
      <c r="L1078" s="220">
        <f t="shared" si="428"/>
        <v>0</v>
      </c>
      <c r="O1078" s="4"/>
      <c r="P1078" s="15"/>
      <c r="Q1078" s="14">
        <f t="shared" si="426"/>
        <v>0</v>
      </c>
      <c r="R1078" s="186"/>
      <c r="S1078" s="4"/>
      <c r="T1078" s="15"/>
      <c r="U1078" s="14">
        <f t="shared" si="427"/>
        <v>0</v>
      </c>
      <c r="V1078" s="209"/>
    </row>
    <row r="1079" spans="1:22" x14ac:dyDescent="0.15">
      <c r="A1079" s="1"/>
      <c r="B1079" s="4" t="s">
        <v>749</v>
      </c>
      <c r="C1079" s="233">
        <v>4</v>
      </c>
      <c r="D1079" s="234"/>
      <c r="E1079" s="234"/>
      <c r="F1079" s="220">
        <f t="shared" si="424"/>
        <v>4</v>
      </c>
      <c r="G1079" s="211">
        <v>44994</v>
      </c>
      <c r="H1079" s="4"/>
      <c r="I1079" s="187"/>
      <c r="J1079" s="15"/>
      <c r="K1079" s="15"/>
      <c r="L1079" s="220">
        <f t="shared" si="428"/>
        <v>0</v>
      </c>
      <c r="O1079" s="4"/>
      <c r="P1079" s="15"/>
      <c r="Q1079" s="14">
        <f t="shared" si="426"/>
        <v>0</v>
      </c>
      <c r="R1079" s="186"/>
      <c r="S1079" s="4"/>
      <c r="T1079" s="15"/>
      <c r="U1079" s="14">
        <f t="shared" si="427"/>
        <v>0</v>
      </c>
      <c r="V1079" s="209"/>
    </row>
    <row r="1080" spans="1:22" x14ac:dyDescent="0.15">
      <c r="A1080" s="1"/>
      <c r="B1080" s="4" t="s">
        <v>749</v>
      </c>
      <c r="C1080" s="233">
        <f>2+4</f>
        <v>6</v>
      </c>
      <c r="D1080" s="234"/>
      <c r="E1080" s="234"/>
      <c r="F1080" s="220">
        <f t="shared" si="424"/>
        <v>6</v>
      </c>
      <c r="G1080" s="211">
        <v>44995</v>
      </c>
      <c r="H1080" s="6"/>
      <c r="I1080" s="187"/>
      <c r="J1080" s="15"/>
      <c r="K1080" s="15"/>
      <c r="L1080" s="220">
        <f t="shared" si="428"/>
        <v>0</v>
      </c>
      <c r="O1080" s="4"/>
      <c r="P1080" s="15"/>
      <c r="Q1080" s="14">
        <f t="shared" si="426"/>
        <v>0</v>
      </c>
      <c r="R1080" s="186"/>
      <c r="S1080" s="4"/>
      <c r="T1080" s="15"/>
      <c r="U1080" s="14">
        <f t="shared" si="427"/>
        <v>0</v>
      </c>
      <c r="V1080" s="209"/>
    </row>
    <row r="1081" spans="1:22" x14ac:dyDescent="0.15">
      <c r="A1081" s="1"/>
      <c r="B1081" s="4" t="s">
        <v>749</v>
      </c>
      <c r="C1081" s="233">
        <f>10+4</f>
        <v>14</v>
      </c>
      <c r="D1081" s="234">
        <v>1</v>
      </c>
      <c r="E1081" s="234">
        <v>4</v>
      </c>
      <c r="F1081" s="220">
        <f t="shared" si="424"/>
        <v>19</v>
      </c>
      <c r="G1081" s="211">
        <v>44998</v>
      </c>
      <c r="H1081" s="6"/>
      <c r="I1081" s="188"/>
      <c r="J1081" s="15"/>
      <c r="K1081" s="15"/>
      <c r="L1081" s="220">
        <f t="shared" si="428"/>
        <v>0</v>
      </c>
      <c r="O1081" s="6"/>
      <c r="P1081" s="15"/>
      <c r="Q1081" s="14">
        <f t="shared" si="426"/>
        <v>0</v>
      </c>
      <c r="R1081" s="186"/>
      <c r="S1081" s="6"/>
      <c r="T1081" s="15"/>
      <c r="U1081" s="14">
        <f t="shared" si="427"/>
        <v>0</v>
      </c>
      <c r="V1081" s="209"/>
    </row>
    <row r="1082" spans="1:22" x14ac:dyDescent="0.15">
      <c r="A1082" s="1"/>
      <c r="B1082" s="4" t="s">
        <v>749</v>
      </c>
      <c r="C1082" s="233">
        <f>1+3</f>
        <v>4</v>
      </c>
      <c r="D1082" s="234"/>
      <c r="E1082" s="234"/>
      <c r="F1082" s="220">
        <f t="shared" si="424"/>
        <v>4</v>
      </c>
      <c r="G1082" s="211">
        <v>44999</v>
      </c>
      <c r="H1082" s="6"/>
      <c r="I1082" s="187"/>
      <c r="J1082" s="15"/>
      <c r="K1082" s="15"/>
      <c r="L1082" s="220">
        <f t="shared" si="428"/>
        <v>0</v>
      </c>
      <c r="O1082" s="4"/>
      <c r="P1082" s="15"/>
      <c r="Q1082" s="14">
        <f t="shared" si="426"/>
        <v>0</v>
      </c>
      <c r="R1082" s="186"/>
      <c r="S1082" s="6"/>
      <c r="T1082" s="15"/>
      <c r="U1082" s="14">
        <f t="shared" si="427"/>
        <v>0</v>
      </c>
      <c r="V1082" s="209"/>
    </row>
    <row r="1083" spans="1:22" x14ac:dyDescent="0.15">
      <c r="A1083" s="1"/>
      <c r="B1083" s="4" t="s">
        <v>749</v>
      </c>
      <c r="C1083" s="233">
        <v>1</v>
      </c>
      <c r="D1083" s="234">
        <v>1</v>
      </c>
      <c r="E1083" s="234">
        <v>1</v>
      </c>
      <c r="F1083" s="220">
        <f t="shared" si="424"/>
        <v>3</v>
      </c>
      <c r="G1083" s="211">
        <v>45000</v>
      </c>
      <c r="H1083" s="6"/>
      <c r="I1083" s="188"/>
      <c r="J1083" s="15"/>
      <c r="K1083" s="15"/>
      <c r="L1083" s="220">
        <f t="shared" si="428"/>
        <v>0</v>
      </c>
      <c r="M1083" s="212"/>
      <c r="O1083" s="6"/>
      <c r="P1083" s="15"/>
      <c r="Q1083" s="14">
        <f t="shared" si="426"/>
        <v>0</v>
      </c>
      <c r="R1083" s="186"/>
      <c r="S1083" s="4"/>
      <c r="T1083" s="15"/>
      <c r="U1083" s="14">
        <f t="shared" si="427"/>
        <v>0</v>
      </c>
      <c r="V1083" s="209"/>
    </row>
    <row r="1084" spans="1:22" x14ac:dyDescent="0.15">
      <c r="A1084" s="1"/>
      <c r="B1084" s="4" t="s">
        <v>1102</v>
      </c>
      <c r="C1084" s="233">
        <v>2</v>
      </c>
      <c r="D1084" s="234">
        <v>1</v>
      </c>
      <c r="E1084" s="234">
        <v>1</v>
      </c>
      <c r="F1084" s="220">
        <f t="shared" si="424"/>
        <v>4</v>
      </c>
      <c r="G1084" s="211">
        <v>45001</v>
      </c>
      <c r="H1084" s="4"/>
      <c r="I1084" s="187"/>
      <c r="J1084" s="15"/>
      <c r="K1084" s="15"/>
      <c r="L1084" s="220">
        <f t="shared" si="428"/>
        <v>0</v>
      </c>
      <c r="M1084" s="212"/>
      <c r="O1084" s="4"/>
      <c r="P1084" s="15"/>
      <c r="Q1084" s="14">
        <f t="shared" si="426"/>
        <v>0</v>
      </c>
      <c r="R1084" s="186"/>
      <c r="S1084" s="4"/>
      <c r="T1084" s="15"/>
      <c r="U1084" s="14">
        <f t="shared" ref="U1084:U1088" si="430">SUM(T1084:T1084)</f>
        <v>0</v>
      </c>
      <c r="V1084" s="209"/>
    </row>
    <row r="1085" spans="1:22" x14ac:dyDescent="0.15">
      <c r="A1085" s="75"/>
      <c r="B1085" s="4" t="s">
        <v>1112</v>
      </c>
      <c r="C1085" s="233">
        <v>50</v>
      </c>
      <c r="D1085" s="234">
        <v>20</v>
      </c>
      <c r="E1085" s="234">
        <v>10</v>
      </c>
      <c r="F1085" s="220">
        <f t="shared" si="424"/>
        <v>80</v>
      </c>
      <c r="G1085" s="211">
        <v>45003</v>
      </c>
      <c r="H1085" s="6"/>
      <c r="I1085" s="187"/>
      <c r="J1085" s="15"/>
      <c r="K1085" s="15"/>
      <c r="L1085" s="220">
        <f t="shared" si="428"/>
        <v>0</v>
      </c>
      <c r="M1085" s="212"/>
      <c r="O1085" s="4"/>
      <c r="P1085" s="15"/>
      <c r="Q1085" s="14">
        <f t="shared" si="426"/>
        <v>0</v>
      </c>
      <c r="R1085" s="186"/>
      <c r="S1085" s="4"/>
      <c r="T1085" s="15"/>
      <c r="U1085" s="14">
        <f t="shared" si="430"/>
        <v>0</v>
      </c>
      <c r="V1085" s="209"/>
    </row>
    <row r="1086" spans="1:22" x14ac:dyDescent="0.15">
      <c r="A1086" s="1"/>
      <c r="B1086" s="4" t="s">
        <v>787</v>
      </c>
      <c r="C1086" s="233">
        <v>10</v>
      </c>
      <c r="D1086" s="234">
        <v>10</v>
      </c>
      <c r="E1086" s="234">
        <v>10</v>
      </c>
      <c r="F1086" s="220">
        <f t="shared" si="424"/>
        <v>30</v>
      </c>
      <c r="G1086" s="211">
        <v>45003</v>
      </c>
      <c r="H1086" s="6"/>
      <c r="I1086" s="187"/>
      <c r="J1086" s="15"/>
      <c r="K1086" s="15"/>
      <c r="L1086" s="220">
        <f t="shared" ref="L1086:L1088" si="431">SUM(I1086:K1086)</f>
        <v>0</v>
      </c>
      <c r="M1086" s="212"/>
      <c r="O1086" s="4"/>
      <c r="P1086" s="15"/>
      <c r="Q1086" s="14">
        <f t="shared" si="426"/>
        <v>0</v>
      </c>
      <c r="R1086" s="186"/>
      <c r="S1086" s="4"/>
      <c r="T1086" s="15"/>
      <c r="U1086" s="14">
        <f t="shared" si="430"/>
        <v>0</v>
      </c>
      <c r="V1086" s="209"/>
    </row>
    <row r="1087" spans="1:22" x14ac:dyDescent="0.15">
      <c r="A1087" s="1"/>
      <c r="B1087" s="4" t="s">
        <v>749</v>
      </c>
      <c r="C1087" s="233">
        <v>9</v>
      </c>
      <c r="D1087" s="234">
        <v>2</v>
      </c>
      <c r="E1087" s="234">
        <v>1</v>
      </c>
      <c r="F1087" s="220">
        <f t="shared" ref="F1087:F1088" si="432">SUM(C1087:E1087)</f>
        <v>12</v>
      </c>
      <c r="G1087" s="211">
        <v>45005</v>
      </c>
      <c r="H1087" s="6"/>
      <c r="I1087" s="187"/>
      <c r="J1087" s="15"/>
      <c r="K1087" s="15"/>
      <c r="L1087" s="220">
        <f t="shared" si="431"/>
        <v>0</v>
      </c>
      <c r="M1087" s="212"/>
      <c r="O1087" s="6"/>
      <c r="P1087" s="15"/>
      <c r="Q1087" s="14">
        <f t="shared" si="426"/>
        <v>0</v>
      </c>
      <c r="R1087" s="186"/>
      <c r="S1087" s="4"/>
      <c r="T1087" s="15"/>
      <c r="U1087" s="14">
        <f t="shared" si="430"/>
        <v>0</v>
      </c>
      <c r="V1087" s="209"/>
    </row>
    <row r="1088" spans="1:22" ht="14.25" thickBot="1" x14ac:dyDescent="0.2">
      <c r="A1088" s="1"/>
      <c r="B1088" s="6" t="s">
        <v>1124</v>
      </c>
      <c r="C1088" s="235">
        <v>40</v>
      </c>
      <c r="D1088" s="234"/>
      <c r="E1088" s="234"/>
      <c r="F1088" s="220">
        <f t="shared" si="432"/>
        <v>40</v>
      </c>
      <c r="G1088" s="211">
        <v>45007</v>
      </c>
      <c r="H1088" s="6"/>
      <c r="I1088" s="187"/>
      <c r="J1088" s="15"/>
      <c r="K1088" s="15"/>
      <c r="L1088" s="220">
        <f t="shared" si="431"/>
        <v>0</v>
      </c>
      <c r="M1088" s="212"/>
      <c r="O1088" s="6"/>
      <c r="P1088" s="15"/>
      <c r="Q1088" s="14">
        <f t="shared" si="426"/>
        <v>0</v>
      </c>
      <c r="R1088" s="186"/>
      <c r="S1088" s="4"/>
      <c r="T1088" s="15"/>
      <c r="U1088" s="14">
        <f t="shared" si="430"/>
        <v>0</v>
      </c>
      <c r="V1088" s="209"/>
    </row>
    <row r="1089" spans="1:24" ht="14.25" thickBot="1" x14ac:dyDescent="0.2">
      <c r="A1089" s="1"/>
      <c r="B1089" s="3" t="s">
        <v>5</v>
      </c>
      <c r="C1089" s="16">
        <f>SUM(C1065:C1088)</f>
        <v>255</v>
      </c>
      <c r="D1089" s="16">
        <f>SUM(D1065:D1088)</f>
        <v>60</v>
      </c>
      <c r="E1089" s="16">
        <f>SUM(E1065:E1088)</f>
        <v>61</v>
      </c>
      <c r="F1089" s="223">
        <f>SUM(F1065:F1088)</f>
        <v>376</v>
      </c>
      <c r="H1089" s="3" t="s">
        <v>5</v>
      </c>
      <c r="I1089" s="16">
        <f>SUM(I1065:I1088)</f>
        <v>599</v>
      </c>
      <c r="J1089" s="16">
        <f>SUM(J1065:J1088)</f>
        <v>144</v>
      </c>
      <c r="K1089" s="16">
        <f>SUM(K1065:K1088)</f>
        <v>139</v>
      </c>
      <c r="L1089" s="223">
        <f>SUM(L1065:L1088)</f>
        <v>882</v>
      </c>
      <c r="M1089"/>
      <c r="N1089" s="209">
        <v>0</v>
      </c>
      <c r="O1089" s="3" t="s">
        <v>5</v>
      </c>
      <c r="P1089" s="16">
        <f>SUM(P1065:P1088)</f>
        <v>0</v>
      </c>
      <c r="Q1089" s="17">
        <f>SUM(Q1065:Q1088)</f>
        <v>0</v>
      </c>
      <c r="S1089" s="3" t="s">
        <v>5</v>
      </c>
      <c r="T1089" s="16">
        <f>SUM(T1065:T1088)</f>
        <v>0</v>
      </c>
      <c r="U1089" s="17">
        <f>SUM(U1065:U1088)</f>
        <v>0</v>
      </c>
      <c r="W1089" s="209"/>
      <c r="X1089" s="209"/>
    </row>
    <row r="1090" spans="1:24" ht="14.25" thickBot="1" x14ac:dyDescent="0.2">
      <c r="A1090" s="1"/>
      <c r="B1090" s="18" t="s">
        <v>6</v>
      </c>
      <c r="C1090" s="19">
        <f>C1064-C1089</f>
        <v>233</v>
      </c>
      <c r="D1090" s="19">
        <f>D1064-D1089</f>
        <v>84</v>
      </c>
      <c r="E1090" s="19">
        <f t="shared" ref="E1090" si="433">E1064-E1089</f>
        <v>77</v>
      </c>
      <c r="F1090" s="221">
        <f>F1064-F1089</f>
        <v>394</v>
      </c>
      <c r="H1090" s="18" t="s">
        <v>6</v>
      </c>
      <c r="I1090" s="19">
        <f>I1064-I1089</f>
        <v>2019</v>
      </c>
      <c r="J1090" s="19">
        <f>J1064-J1089</f>
        <v>988</v>
      </c>
      <c r="K1090" s="19">
        <f t="shared" ref="K1090" si="434">K1064-K1089</f>
        <v>1102</v>
      </c>
      <c r="L1090" s="221">
        <f>L1064-L1089</f>
        <v>4109</v>
      </c>
      <c r="O1090" s="18" t="s">
        <v>6</v>
      </c>
      <c r="P1090" s="19">
        <f>P1064-P1089</f>
        <v>0</v>
      </c>
      <c r="Q1090" s="13">
        <f>Q1064-Q1089</f>
        <v>0</v>
      </c>
      <c r="S1090" s="18" t="s">
        <v>6</v>
      </c>
      <c r="T1090" s="19">
        <f>T1064-T1089</f>
        <v>1978</v>
      </c>
      <c r="U1090" s="13">
        <f>U1064-U1089</f>
        <v>1978</v>
      </c>
    </row>
    <row r="1093" spans="1:24" ht="18" thickBot="1" x14ac:dyDescent="0.25">
      <c r="A1093" s="27" t="s">
        <v>739</v>
      </c>
      <c r="B1093" s="28"/>
      <c r="C1093" s="28"/>
      <c r="D1093" s="28"/>
      <c r="E1093" s="28"/>
      <c r="F1093" s="218"/>
      <c r="H1093" s="27" t="s">
        <v>740</v>
      </c>
      <c r="I1093" s="28"/>
      <c r="J1093" s="28"/>
      <c r="K1093" s="28"/>
      <c r="L1093" s="218"/>
      <c r="O1093" s="181" t="s">
        <v>737</v>
      </c>
      <c r="P1093" s="182"/>
      <c r="Q1093" s="182"/>
      <c r="R1093" s="183"/>
      <c r="S1093" s="181" t="s">
        <v>733</v>
      </c>
      <c r="T1093" s="182"/>
      <c r="U1093" s="182"/>
    </row>
    <row r="1094" spans="1:24" ht="14.25" thickBot="1" x14ac:dyDescent="0.2">
      <c r="A1094" s="1"/>
      <c r="B1094" s="2"/>
      <c r="C1094" s="194" t="s">
        <v>734</v>
      </c>
      <c r="D1094" s="195" t="s">
        <v>706</v>
      </c>
      <c r="E1094" s="2" t="s">
        <v>735</v>
      </c>
      <c r="F1094" s="219" t="s">
        <v>1</v>
      </c>
      <c r="H1094" s="2"/>
      <c r="I1094" s="197" t="s">
        <v>734</v>
      </c>
      <c r="J1094" s="195" t="s">
        <v>706</v>
      </c>
      <c r="K1094" s="201" t="s">
        <v>735</v>
      </c>
      <c r="L1094" s="219" t="s">
        <v>1</v>
      </c>
      <c r="O1094" s="2"/>
      <c r="P1094" s="3" t="s">
        <v>722</v>
      </c>
      <c r="Q1094" s="2" t="s">
        <v>1</v>
      </c>
      <c r="S1094" s="2"/>
      <c r="T1094" s="3" t="s">
        <v>722</v>
      </c>
      <c r="U1094" s="2" t="s">
        <v>1</v>
      </c>
    </row>
    <row r="1095" spans="1:24" x14ac:dyDescent="0.15">
      <c r="A1095" s="1"/>
      <c r="B1095" s="164" t="s">
        <v>26</v>
      </c>
      <c r="C1095" s="200">
        <f>C1090</f>
        <v>233</v>
      </c>
      <c r="D1095" s="164">
        <f t="shared" ref="D1095:F1095" si="435">D1090</f>
        <v>84</v>
      </c>
      <c r="E1095" s="164">
        <f t="shared" si="435"/>
        <v>77</v>
      </c>
      <c r="F1095" s="222">
        <f t="shared" si="435"/>
        <v>394</v>
      </c>
      <c r="H1095" s="164" t="s">
        <v>26</v>
      </c>
      <c r="I1095" s="200">
        <f>I1090</f>
        <v>2019</v>
      </c>
      <c r="J1095" s="164">
        <f t="shared" ref="J1095:L1095" si="436">J1090</f>
        <v>988</v>
      </c>
      <c r="K1095" s="200">
        <f t="shared" si="436"/>
        <v>1102</v>
      </c>
      <c r="L1095" s="222">
        <f t="shared" si="436"/>
        <v>4109</v>
      </c>
      <c r="O1095" s="171" t="s">
        <v>26</v>
      </c>
      <c r="P1095" s="200">
        <f>P1090</f>
        <v>0</v>
      </c>
      <c r="Q1095" s="180">
        <f>Q1090</f>
        <v>0</v>
      </c>
      <c r="R1095" s="185"/>
      <c r="S1095" s="43" t="s">
        <v>26</v>
      </c>
      <c r="T1095" s="38">
        <f>T1090</f>
        <v>1978</v>
      </c>
      <c r="U1095" s="39">
        <f>U1090</f>
        <v>1978</v>
      </c>
    </row>
    <row r="1096" spans="1:24" x14ac:dyDescent="0.15">
      <c r="A1096" s="75"/>
      <c r="B1096" s="6" t="s">
        <v>3</v>
      </c>
      <c r="C1096" s="6">
        <v>200</v>
      </c>
      <c r="D1096" s="6"/>
      <c r="E1096" s="4"/>
      <c r="F1096" s="220">
        <f t="shared" ref="F1096:F1105" si="437">SUM(C1096:E1096)</f>
        <v>200</v>
      </c>
      <c r="G1096" s="211">
        <v>45013</v>
      </c>
      <c r="H1096" s="6" t="s">
        <v>3</v>
      </c>
      <c r="I1096" s="188"/>
      <c r="J1096" s="225"/>
      <c r="K1096" s="243"/>
      <c r="L1096" s="220">
        <f t="shared" ref="L1096:L1105" si="438">SUM(I1096:K1096)</f>
        <v>0</v>
      </c>
      <c r="M1096" s="211"/>
      <c r="O1096" s="6" t="s">
        <v>3</v>
      </c>
      <c r="P1096" s="7"/>
      <c r="Q1096" s="5">
        <f t="shared" ref="Q1096:Q1105" si="439">SUM(P1096:P1096)</f>
        <v>0</v>
      </c>
      <c r="R1096" s="186"/>
      <c r="S1096" s="6" t="s">
        <v>3</v>
      </c>
      <c r="T1096" s="7"/>
      <c r="U1096" s="5">
        <f t="shared" ref="U1096:U1105" si="440">SUM(T1096:T1096)</f>
        <v>0</v>
      </c>
    </row>
    <row r="1097" spans="1:24" x14ac:dyDescent="0.15">
      <c r="A1097" s="1"/>
      <c r="B1097" s="6" t="s">
        <v>3</v>
      </c>
      <c r="C1097" s="6">
        <v>200</v>
      </c>
      <c r="D1097" s="6"/>
      <c r="E1097" s="4"/>
      <c r="F1097" s="220">
        <f t="shared" si="437"/>
        <v>200</v>
      </c>
      <c r="G1097" s="211">
        <v>45017</v>
      </c>
      <c r="H1097" s="6" t="s">
        <v>3</v>
      </c>
      <c r="I1097" s="188"/>
      <c r="J1097" s="225"/>
      <c r="K1097" s="243"/>
      <c r="L1097" s="220">
        <f t="shared" si="438"/>
        <v>0</v>
      </c>
      <c r="M1097" s="211"/>
      <c r="O1097" s="6" t="s">
        <v>3</v>
      </c>
      <c r="P1097" s="7"/>
      <c r="Q1097" s="5">
        <f t="shared" si="439"/>
        <v>0</v>
      </c>
      <c r="R1097" s="186"/>
      <c r="S1097" s="6" t="s">
        <v>3</v>
      </c>
      <c r="T1097" s="54"/>
      <c r="U1097" s="5">
        <f t="shared" si="440"/>
        <v>0</v>
      </c>
    </row>
    <row r="1098" spans="1:24" x14ac:dyDescent="0.15">
      <c r="A1098" s="1"/>
      <c r="B1098" s="6" t="s">
        <v>3</v>
      </c>
      <c r="C1098" s="6"/>
      <c r="D1098" s="6">
        <v>24</v>
      </c>
      <c r="E1098" s="4">
        <v>19</v>
      </c>
      <c r="F1098" s="220">
        <f t="shared" si="437"/>
        <v>43</v>
      </c>
      <c r="G1098" s="211">
        <v>45031</v>
      </c>
      <c r="H1098" s="6" t="s">
        <v>3</v>
      </c>
      <c r="I1098" s="188"/>
      <c r="J1098" s="225"/>
      <c r="K1098" s="243"/>
      <c r="L1098" s="220">
        <f t="shared" si="438"/>
        <v>0</v>
      </c>
      <c r="M1098" s="211"/>
      <c r="O1098" s="6" t="s">
        <v>3</v>
      </c>
      <c r="P1098" s="7"/>
      <c r="Q1098" s="5">
        <f t="shared" si="439"/>
        <v>0</v>
      </c>
      <c r="R1098" s="186"/>
      <c r="S1098" s="6" t="s">
        <v>3</v>
      </c>
      <c r="T1098" s="8"/>
      <c r="U1098" s="5">
        <f t="shared" si="440"/>
        <v>0</v>
      </c>
    </row>
    <row r="1099" spans="1:24" x14ac:dyDescent="0.15">
      <c r="A1099" s="1"/>
      <c r="B1099" s="6" t="s">
        <v>3</v>
      </c>
      <c r="C1099" s="6"/>
      <c r="D1099" s="6"/>
      <c r="E1099" s="4"/>
      <c r="F1099" s="220">
        <f t="shared" si="437"/>
        <v>0</v>
      </c>
      <c r="G1099" s="211"/>
      <c r="H1099" s="6" t="s">
        <v>3</v>
      </c>
      <c r="I1099" s="188"/>
      <c r="J1099" s="225"/>
      <c r="K1099" s="243"/>
      <c r="L1099" s="220">
        <f t="shared" ref="L1099" si="441">SUM(I1099:K1099)</f>
        <v>0</v>
      </c>
      <c r="M1099" s="211"/>
      <c r="O1099" s="6" t="s">
        <v>3</v>
      </c>
      <c r="P1099" s="7"/>
      <c r="Q1099" s="5">
        <f t="shared" si="439"/>
        <v>0</v>
      </c>
      <c r="R1099" s="186"/>
      <c r="S1099" s="6" t="s">
        <v>3</v>
      </c>
      <c r="T1099" s="8"/>
      <c r="U1099" s="5">
        <f t="shared" ref="U1099" si="442">SUM(T1099:T1099)</f>
        <v>0</v>
      </c>
    </row>
    <row r="1100" spans="1:24" x14ac:dyDescent="0.15">
      <c r="A1100" s="1"/>
      <c r="B1100" s="6" t="s">
        <v>3</v>
      </c>
      <c r="C1100" s="6"/>
      <c r="D1100" s="6"/>
      <c r="E1100" s="4"/>
      <c r="F1100" s="220">
        <f t="shared" si="437"/>
        <v>0</v>
      </c>
      <c r="G1100" s="211"/>
      <c r="H1100" s="6" t="s">
        <v>3</v>
      </c>
      <c r="I1100" s="188"/>
      <c r="J1100" s="6"/>
      <c r="K1100" s="202"/>
      <c r="L1100" s="220">
        <f t="shared" si="438"/>
        <v>0</v>
      </c>
      <c r="O1100" s="6" t="s">
        <v>3</v>
      </c>
      <c r="P1100" s="7"/>
      <c r="Q1100" s="5">
        <f t="shared" si="439"/>
        <v>0</v>
      </c>
      <c r="R1100" s="186"/>
      <c r="S1100" s="6" t="s">
        <v>3</v>
      </c>
      <c r="T1100" s="7"/>
      <c r="U1100" s="5">
        <f t="shared" si="440"/>
        <v>0</v>
      </c>
    </row>
    <row r="1101" spans="1:24" x14ac:dyDescent="0.15">
      <c r="A1101" s="75"/>
      <c r="B1101" s="6" t="s">
        <v>3</v>
      </c>
      <c r="C1101" s="6"/>
      <c r="D1101" s="6"/>
      <c r="E1101" s="4"/>
      <c r="F1101" s="220">
        <f t="shared" si="437"/>
        <v>0</v>
      </c>
      <c r="G1101" s="211"/>
      <c r="H1101" s="6" t="s">
        <v>3</v>
      </c>
      <c r="I1101" s="188"/>
      <c r="J1101" s="6"/>
      <c r="K1101" s="202"/>
      <c r="L1101" s="220">
        <f t="shared" si="438"/>
        <v>0</v>
      </c>
      <c r="O1101" s="6" t="s">
        <v>3</v>
      </c>
      <c r="P1101" s="7"/>
      <c r="Q1101" s="5">
        <f t="shared" si="439"/>
        <v>0</v>
      </c>
      <c r="R1101" s="186"/>
      <c r="S1101" s="6" t="s">
        <v>3</v>
      </c>
      <c r="T1101" s="7"/>
      <c r="U1101" s="5">
        <f t="shared" si="440"/>
        <v>0</v>
      </c>
    </row>
    <row r="1102" spans="1:24" x14ac:dyDescent="0.15">
      <c r="A1102" s="75"/>
      <c r="B1102" s="6" t="s">
        <v>3</v>
      </c>
      <c r="C1102" s="6"/>
      <c r="D1102" s="225"/>
      <c r="E1102" s="226"/>
      <c r="F1102" s="220">
        <f t="shared" si="437"/>
        <v>0</v>
      </c>
      <c r="G1102" s="212"/>
      <c r="H1102" s="6" t="s">
        <v>3</v>
      </c>
      <c r="I1102" s="188"/>
      <c r="J1102" s="225"/>
      <c r="K1102" s="243"/>
      <c r="L1102" s="220">
        <f t="shared" si="438"/>
        <v>0</v>
      </c>
      <c r="O1102" s="6" t="s">
        <v>3</v>
      </c>
      <c r="P1102" s="8"/>
      <c r="Q1102" s="5">
        <f t="shared" si="439"/>
        <v>0</v>
      </c>
      <c r="R1102" s="186"/>
      <c r="S1102" s="6" t="s">
        <v>3</v>
      </c>
      <c r="T1102" s="54"/>
      <c r="U1102" s="5">
        <f t="shared" si="440"/>
        <v>0</v>
      </c>
    </row>
    <row r="1103" spans="1:24" x14ac:dyDescent="0.15">
      <c r="A1103" s="75"/>
      <c r="B1103" s="6" t="s">
        <v>3</v>
      </c>
      <c r="C1103" s="6"/>
      <c r="D1103" s="225"/>
      <c r="E1103" s="226"/>
      <c r="F1103" s="220">
        <f t="shared" si="437"/>
        <v>0</v>
      </c>
      <c r="G1103" s="212"/>
      <c r="H1103" s="6" t="s">
        <v>3</v>
      </c>
      <c r="I1103" s="188"/>
      <c r="J1103" s="225"/>
      <c r="K1103" s="243"/>
      <c r="L1103" s="220">
        <f t="shared" si="438"/>
        <v>0</v>
      </c>
      <c r="M1103" s="211"/>
      <c r="O1103" s="6" t="s">
        <v>3</v>
      </c>
      <c r="P1103" s="8"/>
      <c r="Q1103" s="5">
        <f t="shared" si="439"/>
        <v>0</v>
      </c>
      <c r="R1103" s="186"/>
      <c r="S1103" s="6" t="s">
        <v>3</v>
      </c>
      <c r="T1103" s="54"/>
      <c r="U1103" s="5">
        <f t="shared" si="440"/>
        <v>0</v>
      </c>
    </row>
    <row r="1104" spans="1:24" x14ac:dyDescent="0.15">
      <c r="A1104" s="1"/>
      <c r="B1104" s="6" t="s">
        <v>3</v>
      </c>
      <c r="C1104" s="6"/>
      <c r="D1104" s="225"/>
      <c r="E1104" s="226"/>
      <c r="F1104" s="220">
        <f t="shared" si="437"/>
        <v>0</v>
      </c>
      <c r="G1104" s="212"/>
      <c r="H1104" s="6" t="s">
        <v>3</v>
      </c>
      <c r="I1104" s="188"/>
      <c r="J1104" s="225"/>
      <c r="K1104" s="243"/>
      <c r="L1104" s="220">
        <f t="shared" si="438"/>
        <v>0</v>
      </c>
      <c r="M1104" s="186"/>
      <c r="O1104" s="6" t="s">
        <v>3</v>
      </c>
      <c r="P1104" s="8"/>
      <c r="Q1104" s="5">
        <f t="shared" si="439"/>
        <v>0</v>
      </c>
      <c r="R1104" s="186"/>
      <c r="S1104" s="6" t="s">
        <v>3</v>
      </c>
      <c r="T1104" s="8"/>
      <c r="U1104" s="5">
        <f t="shared" si="440"/>
        <v>0</v>
      </c>
    </row>
    <row r="1105" spans="1:22" ht="14.25" thickBot="1" x14ac:dyDescent="0.2">
      <c r="A1105" s="1"/>
      <c r="B1105" s="6" t="s">
        <v>3</v>
      </c>
      <c r="C1105" s="9"/>
      <c r="D1105" s="237"/>
      <c r="E1105" s="238"/>
      <c r="F1105" s="220">
        <f t="shared" si="437"/>
        <v>0</v>
      </c>
      <c r="G1105" s="212"/>
      <c r="H1105" s="9" t="s">
        <v>3</v>
      </c>
      <c r="I1105" s="198"/>
      <c r="J1105" s="244"/>
      <c r="K1105" s="245"/>
      <c r="L1105" s="220">
        <f t="shared" si="438"/>
        <v>0</v>
      </c>
      <c r="O1105" s="9" t="s">
        <v>3</v>
      </c>
      <c r="P1105" s="10"/>
      <c r="Q1105" s="5">
        <f t="shared" si="439"/>
        <v>0</v>
      </c>
      <c r="R1105" s="186"/>
      <c r="S1105" s="9" t="s">
        <v>3</v>
      </c>
      <c r="T1105" s="10"/>
      <c r="U1105" s="5">
        <f t="shared" si="440"/>
        <v>0</v>
      </c>
    </row>
    <row r="1106" spans="1:22" ht="14.25" thickBot="1" x14ac:dyDescent="0.2">
      <c r="A1106" s="1"/>
      <c r="B1106" s="11" t="s">
        <v>4</v>
      </c>
      <c r="C1106" s="193">
        <f>SUM(C1095:C1105)</f>
        <v>633</v>
      </c>
      <c r="D1106" s="193">
        <f>SUM(D1095:D1105)</f>
        <v>108</v>
      </c>
      <c r="E1106" s="193">
        <f>SUM(E1095:E1105)</f>
        <v>96</v>
      </c>
      <c r="F1106" s="221">
        <f>SUM(F1095:F1105)</f>
        <v>837</v>
      </c>
      <c r="H1106" s="11" t="s">
        <v>4</v>
      </c>
      <c r="I1106" s="193">
        <f>SUM(I1095:I1105)</f>
        <v>2019</v>
      </c>
      <c r="J1106" s="193">
        <f>SUM(J1095:J1105)</f>
        <v>988</v>
      </c>
      <c r="K1106" s="193">
        <f t="shared" ref="K1106" si="443">SUM(K1095:K1105)</f>
        <v>1102</v>
      </c>
      <c r="L1106" s="221">
        <f>SUM(L1095:L1105)</f>
        <v>4109</v>
      </c>
      <c r="O1106" s="11" t="s">
        <v>4</v>
      </c>
      <c r="P1106" s="12">
        <f>SUM(P1095:P1105)</f>
        <v>0</v>
      </c>
      <c r="Q1106" s="13">
        <f>SUM(Q1095:Q1105)</f>
        <v>0</v>
      </c>
      <c r="S1106" s="11" t="s">
        <v>4</v>
      </c>
      <c r="T1106" s="12">
        <f>SUM(T1095:T1105)</f>
        <v>1978</v>
      </c>
      <c r="U1106" s="13">
        <f>SUM(U1095:U1105)</f>
        <v>1978</v>
      </c>
    </row>
    <row r="1107" spans="1:22" x14ac:dyDescent="0.15">
      <c r="A1107" s="1"/>
      <c r="B1107" s="4" t="s">
        <v>749</v>
      </c>
      <c r="C1107" s="233">
        <f>3+2</f>
        <v>5</v>
      </c>
      <c r="D1107" s="234">
        <v>1</v>
      </c>
      <c r="E1107" s="234">
        <v>1</v>
      </c>
      <c r="F1107" s="220">
        <f t="shared" ref="F1107:F1130" si="444">SUM(C1107:E1107)</f>
        <v>7</v>
      </c>
      <c r="G1107" s="211">
        <v>45007</v>
      </c>
      <c r="H1107" s="4" t="s">
        <v>899</v>
      </c>
      <c r="I1107" s="233">
        <v>200</v>
      </c>
      <c r="J1107" s="234"/>
      <c r="K1107" s="234"/>
      <c r="L1107" s="220">
        <f t="shared" ref="L1107" si="445">SUM(I1107:K1107)</f>
        <v>200</v>
      </c>
      <c r="M1107" s="211">
        <v>45022</v>
      </c>
      <c r="O1107" s="4"/>
      <c r="P1107" s="44"/>
      <c r="Q1107" s="14">
        <f t="shared" ref="Q1107:Q1130" si="446">SUM(P1107:P1107)</f>
        <v>0</v>
      </c>
      <c r="R1107" s="185"/>
      <c r="S1107" s="4" t="s">
        <v>899</v>
      </c>
      <c r="T1107" s="44">
        <v>150</v>
      </c>
      <c r="U1107" s="14">
        <f t="shared" ref="U1107" si="447">SUM(T1107:T1107)</f>
        <v>150</v>
      </c>
      <c r="V1107" s="211">
        <v>45022</v>
      </c>
    </row>
    <row r="1108" spans="1:22" x14ac:dyDescent="0.15">
      <c r="A1108" s="1"/>
      <c r="B1108" s="4" t="s">
        <v>749</v>
      </c>
      <c r="C1108" s="233">
        <v>2</v>
      </c>
      <c r="D1108" s="234"/>
      <c r="E1108" s="234"/>
      <c r="F1108" s="220">
        <f t="shared" si="444"/>
        <v>2</v>
      </c>
      <c r="G1108" s="211">
        <v>45008</v>
      </c>
      <c r="H1108" s="4" t="s">
        <v>915</v>
      </c>
      <c r="I1108" s="208">
        <v>100</v>
      </c>
      <c r="J1108" s="234"/>
      <c r="K1108" s="234"/>
      <c r="L1108" s="220">
        <f t="shared" ref="L1108:L1125" si="448">SUM(I1108:K1108)</f>
        <v>100</v>
      </c>
      <c r="M1108" s="211">
        <v>45038</v>
      </c>
      <c r="O1108" s="4"/>
      <c r="P1108" s="15"/>
      <c r="Q1108" s="14">
        <f t="shared" si="446"/>
        <v>0</v>
      </c>
      <c r="R1108" s="186"/>
      <c r="S1108" s="6"/>
      <c r="T1108" s="15"/>
      <c r="U1108" s="14">
        <f t="shared" ref="U1108:U1130" si="449">SUM(T1108:T1108)</f>
        <v>0</v>
      </c>
    </row>
    <row r="1109" spans="1:22" x14ac:dyDescent="0.15">
      <c r="A1109" s="1"/>
      <c r="B1109" s="4" t="s">
        <v>749</v>
      </c>
      <c r="C1109" s="233">
        <v>3</v>
      </c>
      <c r="D1109" s="234"/>
      <c r="E1109" s="234">
        <v>1</v>
      </c>
      <c r="F1109" s="220">
        <f t="shared" si="444"/>
        <v>4</v>
      </c>
      <c r="G1109" s="211">
        <v>45009</v>
      </c>
      <c r="H1109" s="4"/>
      <c r="I1109" s="208"/>
      <c r="J1109" s="234"/>
      <c r="K1109" s="234"/>
      <c r="L1109" s="220">
        <f t="shared" si="448"/>
        <v>0</v>
      </c>
      <c r="M1109" s="212"/>
      <c r="O1109" s="4"/>
      <c r="P1109" s="15"/>
      <c r="Q1109" s="14">
        <f t="shared" si="446"/>
        <v>0</v>
      </c>
      <c r="R1109" s="186"/>
      <c r="S1109" s="6"/>
      <c r="T1109" s="15"/>
      <c r="U1109" s="14">
        <f t="shared" si="449"/>
        <v>0</v>
      </c>
    </row>
    <row r="1110" spans="1:22" x14ac:dyDescent="0.15">
      <c r="A1110" s="1"/>
      <c r="B1110" s="4" t="s">
        <v>764</v>
      </c>
      <c r="C1110" s="233">
        <v>60</v>
      </c>
      <c r="D1110" s="234">
        <v>10</v>
      </c>
      <c r="E1110" s="234"/>
      <c r="F1110" s="220">
        <f t="shared" si="444"/>
        <v>70</v>
      </c>
      <c r="G1110" s="211">
        <v>45012</v>
      </c>
      <c r="H1110" s="4"/>
      <c r="I1110" s="208"/>
      <c r="J1110" s="234"/>
      <c r="K1110" s="234"/>
      <c r="L1110" s="220">
        <f t="shared" si="448"/>
        <v>0</v>
      </c>
      <c r="M1110" s="212"/>
      <c r="O1110" s="4"/>
      <c r="P1110" s="15"/>
      <c r="Q1110" s="14">
        <f t="shared" si="446"/>
        <v>0</v>
      </c>
      <c r="R1110" s="186"/>
      <c r="S1110" s="6"/>
      <c r="T1110" s="15"/>
      <c r="U1110" s="14">
        <f t="shared" si="449"/>
        <v>0</v>
      </c>
    </row>
    <row r="1111" spans="1:22" x14ac:dyDescent="0.15">
      <c r="A1111" s="1"/>
      <c r="B1111" s="4" t="s">
        <v>749</v>
      </c>
      <c r="C1111" s="233">
        <f>4+11+7</f>
        <v>22</v>
      </c>
      <c r="D1111" s="234">
        <f>1+1</f>
        <v>2</v>
      </c>
      <c r="E1111" s="234">
        <v>1</v>
      </c>
      <c r="F1111" s="220">
        <f t="shared" si="444"/>
        <v>25</v>
      </c>
      <c r="G1111" s="211">
        <v>45012</v>
      </c>
      <c r="H1111" s="4"/>
      <c r="I1111" s="208"/>
      <c r="J1111" s="234"/>
      <c r="K1111" s="234"/>
      <c r="L1111" s="220">
        <f t="shared" si="448"/>
        <v>0</v>
      </c>
      <c r="M1111" s="212"/>
      <c r="O1111" s="4"/>
      <c r="P1111" s="15"/>
      <c r="Q1111" s="14">
        <f t="shared" si="446"/>
        <v>0</v>
      </c>
      <c r="R1111" s="186"/>
      <c r="S1111" s="6"/>
      <c r="T1111" s="15"/>
      <c r="U1111" s="14">
        <f t="shared" si="449"/>
        <v>0</v>
      </c>
    </row>
    <row r="1112" spans="1:22" x14ac:dyDescent="0.15">
      <c r="A1112" s="1"/>
      <c r="B1112" s="4" t="s">
        <v>764</v>
      </c>
      <c r="C1112" s="233">
        <v>50</v>
      </c>
      <c r="D1112" s="234"/>
      <c r="E1112" s="234">
        <v>10</v>
      </c>
      <c r="F1112" s="220">
        <f t="shared" si="444"/>
        <v>60</v>
      </c>
      <c r="G1112" s="211">
        <v>45012</v>
      </c>
      <c r="H1112" s="4"/>
      <c r="I1112" s="208"/>
      <c r="J1112" s="234"/>
      <c r="K1112" s="234"/>
      <c r="L1112" s="220">
        <f t="shared" si="448"/>
        <v>0</v>
      </c>
      <c r="M1112" s="212"/>
      <c r="O1112" s="4"/>
      <c r="P1112" s="15"/>
      <c r="Q1112" s="14">
        <f t="shared" si="446"/>
        <v>0</v>
      </c>
      <c r="R1112" s="186"/>
      <c r="S1112" s="6"/>
      <c r="T1112" s="15"/>
      <c r="U1112" s="14">
        <f t="shared" si="449"/>
        <v>0</v>
      </c>
    </row>
    <row r="1113" spans="1:22" x14ac:dyDescent="0.15">
      <c r="A1113" s="1"/>
      <c r="B1113" s="4" t="s">
        <v>749</v>
      </c>
      <c r="C1113" s="233">
        <v>31</v>
      </c>
      <c r="D1113" s="234"/>
      <c r="E1113" s="234"/>
      <c r="F1113" s="220">
        <f t="shared" si="444"/>
        <v>31</v>
      </c>
      <c r="G1113" s="211">
        <v>45013</v>
      </c>
      <c r="H1113" s="4"/>
      <c r="I1113" s="208"/>
      <c r="J1113" s="234"/>
      <c r="K1113" s="234"/>
      <c r="L1113" s="220">
        <f t="shared" si="448"/>
        <v>0</v>
      </c>
      <c r="M1113" s="212"/>
      <c r="O1113" s="4"/>
      <c r="P1113" s="15"/>
      <c r="Q1113" s="14">
        <f t="shared" si="446"/>
        <v>0</v>
      </c>
      <c r="R1113" s="186"/>
      <c r="S1113" s="4"/>
      <c r="T1113" s="15"/>
      <c r="U1113" s="14">
        <f t="shared" si="449"/>
        <v>0</v>
      </c>
    </row>
    <row r="1114" spans="1:22" x14ac:dyDescent="0.15">
      <c r="A1114" s="1"/>
      <c r="B1114" s="4" t="s">
        <v>749</v>
      </c>
      <c r="C1114" s="233">
        <v>15</v>
      </c>
      <c r="D1114" s="234"/>
      <c r="E1114" s="234"/>
      <c r="F1114" s="220">
        <f t="shared" si="444"/>
        <v>15</v>
      </c>
      <c r="G1114" s="211">
        <v>45014</v>
      </c>
      <c r="H1114" s="4"/>
      <c r="I1114" s="208"/>
      <c r="J1114" s="234"/>
      <c r="K1114" s="234"/>
      <c r="L1114" s="220">
        <f t="shared" si="448"/>
        <v>0</v>
      </c>
      <c r="M1114" s="212"/>
      <c r="O1114" s="4"/>
      <c r="P1114" s="15"/>
      <c r="Q1114" s="14">
        <f t="shared" si="446"/>
        <v>0</v>
      </c>
      <c r="R1114" s="186"/>
      <c r="S1114" s="4"/>
      <c r="T1114" s="15"/>
      <c r="U1114" s="14">
        <f t="shared" si="449"/>
        <v>0</v>
      </c>
    </row>
    <row r="1115" spans="1:22" x14ac:dyDescent="0.15">
      <c r="A1115" s="1"/>
      <c r="B1115" s="4" t="s">
        <v>749</v>
      </c>
      <c r="C1115" s="233">
        <v>4</v>
      </c>
      <c r="D1115" s="234">
        <v>2</v>
      </c>
      <c r="E1115" s="234">
        <v>2</v>
      </c>
      <c r="F1115" s="220">
        <f t="shared" si="444"/>
        <v>8</v>
      </c>
      <c r="G1115" s="211">
        <v>45016</v>
      </c>
      <c r="H1115" s="4"/>
      <c r="I1115" s="208"/>
      <c r="J1115" s="15"/>
      <c r="K1115" s="15"/>
      <c r="L1115" s="220">
        <f t="shared" si="448"/>
        <v>0</v>
      </c>
      <c r="M1115" s="212"/>
      <c r="O1115" s="4"/>
      <c r="P1115" s="15"/>
      <c r="Q1115" s="14">
        <f t="shared" si="446"/>
        <v>0</v>
      </c>
      <c r="R1115" s="186"/>
      <c r="S1115" s="4"/>
      <c r="T1115" s="15"/>
      <c r="U1115" s="14">
        <f t="shared" si="449"/>
        <v>0</v>
      </c>
    </row>
    <row r="1116" spans="1:22" x14ac:dyDescent="0.15">
      <c r="A1116" s="1"/>
      <c r="B1116" s="4" t="s">
        <v>749</v>
      </c>
      <c r="C1116" s="233">
        <v>6</v>
      </c>
      <c r="D1116" s="234">
        <v>2</v>
      </c>
      <c r="E1116" s="234">
        <v>1</v>
      </c>
      <c r="F1116" s="220">
        <f t="shared" si="444"/>
        <v>9</v>
      </c>
      <c r="G1116" s="211">
        <v>45019</v>
      </c>
      <c r="H1116" s="4"/>
      <c r="I1116" s="208"/>
      <c r="J1116" s="15"/>
      <c r="K1116" s="15"/>
      <c r="L1116" s="220">
        <f t="shared" si="448"/>
        <v>0</v>
      </c>
      <c r="M1116" s="212"/>
      <c r="O1116" s="4"/>
      <c r="P1116" s="15"/>
      <c r="Q1116" s="14">
        <f t="shared" si="446"/>
        <v>0</v>
      </c>
      <c r="R1116" s="186"/>
      <c r="S1116" s="4"/>
      <c r="T1116" s="15"/>
      <c r="U1116" s="14">
        <f t="shared" si="449"/>
        <v>0</v>
      </c>
    </row>
    <row r="1117" spans="1:22" x14ac:dyDescent="0.15">
      <c r="A1117" s="1"/>
      <c r="B1117" s="4" t="s">
        <v>764</v>
      </c>
      <c r="C1117" s="233">
        <v>50</v>
      </c>
      <c r="D1117" s="234"/>
      <c r="E1117" s="234"/>
      <c r="F1117" s="220">
        <f t="shared" si="444"/>
        <v>50</v>
      </c>
      <c r="G1117" s="211">
        <v>45019</v>
      </c>
      <c r="H1117" s="4"/>
      <c r="I1117" s="208"/>
      <c r="J1117" s="15"/>
      <c r="K1117" s="15"/>
      <c r="L1117" s="220">
        <f t="shared" si="448"/>
        <v>0</v>
      </c>
      <c r="O1117" s="4"/>
      <c r="P1117" s="15"/>
      <c r="Q1117" s="14">
        <f t="shared" si="446"/>
        <v>0</v>
      </c>
      <c r="R1117" s="186"/>
      <c r="S1117" s="4"/>
      <c r="T1117" s="15"/>
      <c r="U1117" s="14">
        <f t="shared" si="449"/>
        <v>0</v>
      </c>
    </row>
    <row r="1118" spans="1:22" x14ac:dyDescent="0.15">
      <c r="A1118" s="1"/>
      <c r="B1118" s="4" t="s">
        <v>764</v>
      </c>
      <c r="C1118" s="233"/>
      <c r="D1118" s="234">
        <v>10</v>
      </c>
      <c r="E1118" s="234">
        <v>10</v>
      </c>
      <c r="F1118" s="220">
        <f t="shared" si="444"/>
        <v>20</v>
      </c>
      <c r="G1118" s="211">
        <v>45019</v>
      </c>
      <c r="H1118" s="6"/>
      <c r="I1118" s="206"/>
      <c r="J1118" s="15"/>
      <c r="K1118" s="15"/>
      <c r="L1118" s="220">
        <f t="shared" si="448"/>
        <v>0</v>
      </c>
      <c r="O1118" s="6"/>
      <c r="P1118" s="15"/>
      <c r="Q1118" s="14">
        <f t="shared" si="446"/>
        <v>0</v>
      </c>
      <c r="R1118" s="186"/>
      <c r="S1118" s="6"/>
      <c r="T1118" s="15"/>
      <c r="U1118" s="14">
        <f t="shared" si="449"/>
        <v>0</v>
      </c>
    </row>
    <row r="1119" spans="1:22" x14ac:dyDescent="0.15">
      <c r="A1119" s="1"/>
      <c r="B1119" s="4" t="s">
        <v>1131</v>
      </c>
      <c r="C1119" s="233">
        <v>10</v>
      </c>
      <c r="D1119" s="234">
        <v>10</v>
      </c>
      <c r="E1119" s="234">
        <v>10</v>
      </c>
      <c r="F1119" s="220">
        <f t="shared" si="444"/>
        <v>30</v>
      </c>
      <c r="G1119" s="211">
        <v>45019</v>
      </c>
      <c r="H1119" s="6"/>
      <c r="I1119" s="206"/>
      <c r="J1119" s="15"/>
      <c r="K1119" s="15"/>
      <c r="L1119" s="220">
        <f t="shared" si="448"/>
        <v>0</v>
      </c>
      <c r="O1119" s="6"/>
      <c r="P1119" s="15"/>
      <c r="Q1119" s="14">
        <f t="shared" si="446"/>
        <v>0</v>
      </c>
      <c r="R1119" s="186"/>
      <c r="S1119" s="6"/>
      <c r="T1119" s="15"/>
      <c r="U1119" s="14">
        <f t="shared" si="449"/>
        <v>0</v>
      </c>
    </row>
    <row r="1120" spans="1:22" x14ac:dyDescent="0.15">
      <c r="A1120" s="1"/>
      <c r="B1120" s="4" t="s">
        <v>749</v>
      </c>
      <c r="C1120" s="233">
        <v>2</v>
      </c>
      <c r="D1120" s="234"/>
      <c r="E1120" s="234"/>
      <c r="F1120" s="220">
        <f t="shared" si="444"/>
        <v>2</v>
      </c>
      <c r="G1120" s="211">
        <v>45020</v>
      </c>
      <c r="H1120" s="4"/>
      <c r="I1120" s="208"/>
      <c r="J1120" s="15"/>
      <c r="K1120" s="15"/>
      <c r="L1120" s="220">
        <f t="shared" si="448"/>
        <v>0</v>
      </c>
      <c r="O1120" s="4"/>
      <c r="P1120" s="15"/>
      <c r="Q1120" s="14">
        <f t="shared" si="446"/>
        <v>0</v>
      </c>
      <c r="R1120" s="186"/>
      <c r="S1120" s="4"/>
      <c r="T1120" s="15"/>
      <c r="U1120" s="14">
        <f t="shared" si="449"/>
        <v>0</v>
      </c>
    </row>
    <row r="1121" spans="1:22" x14ac:dyDescent="0.15">
      <c r="A1121" s="1"/>
      <c r="B1121" s="4" t="s">
        <v>749</v>
      </c>
      <c r="C1121" s="233">
        <v>1</v>
      </c>
      <c r="D1121" s="234">
        <v>2</v>
      </c>
      <c r="E1121" s="234"/>
      <c r="F1121" s="220">
        <f t="shared" si="444"/>
        <v>3</v>
      </c>
      <c r="G1121" s="211">
        <v>45021</v>
      </c>
      <c r="H1121" s="4"/>
      <c r="I1121" s="208"/>
      <c r="J1121" s="15"/>
      <c r="K1121" s="15"/>
      <c r="L1121" s="220">
        <f t="shared" si="448"/>
        <v>0</v>
      </c>
      <c r="O1121" s="4"/>
      <c r="P1121" s="15"/>
      <c r="Q1121" s="14">
        <f t="shared" si="446"/>
        <v>0</v>
      </c>
      <c r="R1121" s="186"/>
      <c r="S1121" s="4"/>
      <c r="T1121" s="15"/>
      <c r="U1121" s="14">
        <f t="shared" si="449"/>
        <v>0</v>
      </c>
    </row>
    <row r="1122" spans="1:22" x14ac:dyDescent="0.15">
      <c r="A1122" s="1"/>
      <c r="B1122" s="4" t="s">
        <v>749</v>
      </c>
      <c r="C1122" s="233">
        <f>3+9</f>
        <v>12</v>
      </c>
      <c r="D1122" s="234">
        <v>1</v>
      </c>
      <c r="E1122" s="234"/>
      <c r="F1122" s="220">
        <f t="shared" si="444"/>
        <v>13</v>
      </c>
      <c r="G1122" s="211">
        <v>45026</v>
      </c>
      <c r="H1122" s="6"/>
      <c r="I1122" s="208"/>
      <c r="J1122" s="15"/>
      <c r="K1122" s="15"/>
      <c r="L1122" s="220">
        <f t="shared" si="448"/>
        <v>0</v>
      </c>
      <c r="O1122" s="4"/>
      <c r="P1122" s="15"/>
      <c r="Q1122" s="14">
        <f t="shared" si="446"/>
        <v>0</v>
      </c>
      <c r="R1122" s="186"/>
      <c r="S1122" s="4"/>
      <c r="T1122" s="15"/>
      <c r="U1122" s="14">
        <f t="shared" si="449"/>
        <v>0</v>
      </c>
    </row>
    <row r="1123" spans="1:22" x14ac:dyDescent="0.15">
      <c r="A1123" s="1"/>
      <c r="B1123" s="4" t="s">
        <v>1133</v>
      </c>
      <c r="C1123" s="233">
        <v>40</v>
      </c>
      <c r="D1123" s="234"/>
      <c r="E1123" s="234"/>
      <c r="F1123" s="220">
        <f t="shared" si="444"/>
        <v>40</v>
      </c>
      <c r="G1123" s="211">
        <v>45026</v>
      </c>
      <c r="H1123" s="6"/>
      <c r="I1123" s="206"/>
      <c r="J1123" s="15"/>
      <c r="K1123" s="15"/>
      <c r="L1123" s="220">
        <f t="shared" si="448"/>
        <v>0</v>
      </c>
      <c r="O1123" s="6"/>
      <c r="P1123" s="15"/>
      <c r="Q1123" s="14">
        <f t="shared" si="446"/>
        <v>0</v>
      </c>
      <c r="R1123" s="186"/>
      <c r="S1123" s="6"/>
      <c r="T1123" s="15"/>
      <c r="U1123" s="14">
        <f t="shared" si="449"/>
        <v>0</v>
      </c>
    </row>
    <row r="1124" spans="1:22" x14ac:dyDescent="0.15">
      <c r="A1124" s="1"/>
      <c r="B1124" s="4" t="s">
        <v>764</v>
      </c>
      <c r="C1124" s="233">
        <v>50</v>
      </c>
      <c r="D1124" s="234"/>
      <c r="E1124" s="234"/>
      <c r="F1124" s="220">
        <f t="shared" si="444"/>
        <v>50</v>
      </c>
      <c r="G1124" s="211">
        <v>45027</v>
      </c>
      <c r="H1124" s="6"/>
      <c r="I1124" s="208"/>
      <c r="J1124" s="15"/>
      <c r="K1124" s="15"/>
      <c r="L1124" s="220">
        <f t="shared" si="448"/>
        <v>0</v>
      </c>
      <c r="O1124" s="4"/>
      <c r="P1124" s="15"/>
      <c r="Q1124" s="14">
        <f t="shared" si="446"/>
        <v>0</v>
      </c>
      <c r="R1124" s="186"/>
      <c r="S1124" s="6"/>
      <c r="T1124" s="15"/>
      <c r="U1124" s="14">
        <f t="shared" si="449"/>
        <v>0</v>
      </c>
    </row>
    <row r="1125" spans="1:22" x14ac:dyDescent="0.15">
      <c r="A1125" s="1"/>
      <c r="B1125" s="4" t="s">
        <v>749</v>
      </c>
      <c r="C1125" s="233">
        <v>9</v>
      </c>
      <c r="D1125" s="234">
        <v>3</v>
      </c>
      <c r="E1125" s="234"/>
      <c r="F1125" s="220">
        <f t="shared" si="444"/>
        <v>12</v>
      </c>
      <c r="G1125" s="211">
        <v>45027</v>
      </c>
      <c r="H1125" s="6"/>
      <c r="I1125" s="206"/>
      <c r="J1125" s="15"/>
      <c r="K1125" s="15"/>
      <c r="L1125" s="220">
        <f t="shared" si="448"/>
        <v>0</v>
      </c>
      <c r="M1125" s="212"/>
      <c r="O1125" s="6"/>
      <c r="P1125" s="15"/>
      <c r="Q1125" s="14">
        <f t="shared" si="446"/>
        <v>0</v>
      </c>
      <c r="R1125" s="186"/>
      <c r="S1125" s="4"/>
      <c r="T1125" s="15"/>
      <c r="U1125" s="14">
        <f t="shared" si="449"/>
        <v>0</v>
      </c>
    </row>
    <row r="1126" spans="1:22" x14ac:dyDescent="0.15">
      <c r="A1126" s="1"/>
      <c r="B1126" s="4" t="s">
        <v>749</v>
      </c>
      <c r="C1126" s="233">
        <f>7+1</f>
        <v>8</v>
      </c>
      <c r="D1126" s="234"/>
      <c r="E1126" s="234">
        <v>1</v>
      </c>
      <c r="F1126" s="220">
        <f t="shared" si="444"/>
        <v>9</v>
      </c>
      <c r="G1126" s="211">
        <v>45028</v>
      </c>
      <c r="H1126" s="6"/>
      <c r="I1126" s="206"/>
      <c r="J1126" s="15"/>
      <c r="K1126" s="15"/>
      <c r="L1126" s="220">
        <f t="shared" ref="L1126:L1127" si="450">SUM(I1126:K1126)</f>
        <v>0</v>
      </c>
      <c r="M1126" s="212"/>
      <c r="O1126" s="4"/>
      <c r="P1126" s="15"/>
      <c r="Q1126" s="14">
        <f t="shared" si="446"/>
        <v>0</v>
      </c>
      <c r="R1126" s="186"/>
      <c r="S1126" s="4"/>
      <c r="T1126" s="15"/>
      <c r="U1126" s="14">
        <f t="shared" ref="U1126" si="451">SUM(T1126:T1126)</f>
        <v>0</v>
      </c>
      <c r="V1126" s="186"/>
    </row>
    <row r="1127" spans="1:22" x14ac:dyDescent="0.15">
      <c r="A1127" s="75"/>
      <c r="B1127" s="4" t="s">
        <v>749</v>
      </c>
      <c r="C1127" s="233">
        <v>4</v>
      </c>
      <c r="D1127" s="234">
        <v>1</v>
      </c>
      <c r="E1127" s="234">
        <f>2+2</f>
        <v>4</v>
      </c>
      <c r="F1127" s="220">
        <f t="shared" si="444"/>
        <v>9</v>
      </c>
      <c r="G1127" s="211">
        <v>45029</v>
      </c>
      <c r="H1127" s="6"/>
      <c r="I1127" s="206"/>
      <c r="J1127" s="15"/>
      <c r="K1127" s="15"/>
      <c r="L1127" s="220">
        <f t="shared" si="450"/>
        <v>0</v>
      </c>
      <c r="M1127" s="212"/>
      <c r="O1127" s="4"/>
      <c r="P1127" s="15"/>
      <c r="Q1127" s="14">
        <f t="shared" si="446"/>
        <v>0</v>
      </c>
      <c r="R1127" s="186"/>
      <c r="S1127" s="6" t="s">
        <v>1101</v>
      </c>
      <c r="T1127" s="15"/>
      <c r="U1127" s="14">
        <f t="shared" si="449"/>
        <v>0</v>
      </c>
      <c r="V1127" s="186" t="s">
        <v>893</v>
      </c>
    </row>
    <row r="1128" spans="1:22" x14ac:dyDescent="0.15">
      <c r="A1128" s="1"/>
      <c r="B1128" s="4" t="s">
        <v>749</v>
      </c>
      <c r="C1128" s="233">
        <v>1</v>
      </c>
      <c r="D1128" s="234">
        <v>1</v>
      </c>
      <c r="E1128" s="234"/>
      <c r="F1128" s="220">
        <f t="shared" si="444"/>
        <v>2</v>
      </c>
      <c r="G1128" s="211">
        <v>45030</v>
      </c>
      <c r="H1128" s="6"/>
      <c r="I1128" s="206"/>
      <c r="J1128" s="15"/>
      <c r="K1128" s="15"/>
      <c r="L1128" s="220">
        <f t="shared" ref="L1128" si="452">SUM(I1128:K1128)</f>
        <v>0</v>
      </c>
      <c r="M1128" s="212"/>
      <c r="O1128" s="4"/>
      <c r="P1128" s="15"/>
      <c r="Q1128" s="14">
        <f t="shared" si="446"/>
        <v>0</v>
      </c>
      <c r="R1128" s="186"/>
      <c r="S1128" s="4" t="s">
        <v>1094</v>
      </c>
      <c r="T1128" s="15"/>
      <c r="U1128" s="14">
        <f t="shared" si="449"/>
        <v>0</v>
      </c>
      <c r="V1128" s="186" t="s">
        <v>1095</v>
      </c>
    </row>
    <row r="1129" spans="1:22" x14ac:dyDescent="0.15">
      <c r="A1129" s="1"/>
      <c r="B1129" s="4" t="s">
        <v>749</v>
      </c>
      <c r="C1129" s="233">
        <v>3</v>
      </c>
      <c r="D1129" s="234"/>
      <c r="E1129" s="234"/>
      <c r="F1129" s="220">
        <f t="shared" si="444"/>
        <v>3</v>
      </c>
      <c r="G1129" s="211">
        <v>45031</v>
      </c>
      <c r="H1129" s="254" t="s">
        <v>1086</v>
      </c>
      <c r="I1129" s="258"/>
      <c r="J1129" s="252"/>
      <c r="K1129" s="252"/>
      <c r="L1129" s="250">
        <f t="shared" ref="L1129:L1130" si="453">SUM(I1129:K1129)</f>
        <v>0</v>
      </c>
      <c r="M1129" s="212"/>
      <c r="O1129" s="6"/>
      <c r="P1129" s="15"/>
      <c r="Q1129" s="14">
        <f t="shared" si="446"/>
        <v>0</v>
      </c>
      <c r="R1129" s="186"/>
      <c r="S1129" s="254" t="s">
        <v>1086</v>
      </c>
      <c r="T1129" s="252"/>
      <c r="U1129" s="255">
        <f t="shared" si="449"/>
        <v>0</v>
      </c>
      <c r="V1129" s="186"/>
    </row>
    <row r="1130" spans="1:22" ht="14.25" thickBot="1" x14ac:dyDescent="0.2">
      <c r="A1130" s="1"/>
      <c r="B1130" s="4" t="s">
        <v>749</v>
      </c>
      <c r="C1130" s="235">
        <f>2+1+12+3</f>
        <v>18</v>
      </c>
      <c r="D1130" s="234">
        <v>1</v>
      </c>
      <c r="E1130" s="234"/>
      <c r="F1130" s="220">
        <f t="shared" si="444"/>
        <v>19</v>
      </c>
      <c r="G1130" s="211">
        <v>45033</v>
      </c>
      <c r="H1130" s="4" t="s">
        <v>885</v>
      </c>
      <c r="I1130" s="208"/>
      <c r="J1130" s="206"/>
      <c r="K1130" s="206"/>
      <c r="L1130" s="220">
        <f t="shared" si="453"/>
        <v>0</v>
      </c>
      <c r="M1130" s="212" t="s">
        <v>1085</v>
      </c>
      <c r="O1130" s="6"/>
      <c r="P1130" s="15"/>
      <c r="Q1130" s="14">
        <f t="shared" si="446"/>
        <v>0</v>
      </c>
      <c r="R1130" s="186"/>
      <c r="S1130" s="4" t="s">
        <v>885</v>
      </c>
      <c r="T1130" s="15"/>
      <c r="U1130" s="14">
        <f t="shared" si="449"/>
        <v>0</v>
      </c>
      <c r="V1130" s="212" t="s">
        <v>1085</v>
      </c>
    </row>
    <row r="1131" spans="1:22" ht="14.25" thickBot="1" x14ac:dyDescent="0.2">
      <c r="A1131" s="1"/>
      <c r="B1131" s="3" t="s">
        <v>5</v>
      </c>
      <c r="C1131" s="16">
        <f>SUM(C1107:C1130)</f>
        <v>406</v>
      </c>
      <c r="D1131" s="16">
        <f>SUM(D1107:D1130)</f>
        <v>46</v>
      </c>
      <c r="E1131" s="16">
        <f>SUM(E1107:E1130)</f>
        <v>41</v>
      </c>
      <c r="F1131" s="223">
        <f>SUM(F1107:F1130)</f>
        <v>493</v>
      </c>
      <c r="H1131" s="3" t="s">
        <v>5</v>
      </c>
      <c r="I1131" s="16">
        <f>SUM(I1107:I1130)</f>
        <v>300</v>
      </c>
      <c r="J1131" s="16">
        <f>SUM(J1107:J1130)</f>
        <v>0</v>
      </c>
      <c r="K1131" s="16">
        <f>SUM(K1107:K1130)</f>
        <v>0</v>
      </c>
      <c r="L1131" s="223">
        <f>SUM(L1107:L1130)</f>
        <v>300</v>
      </c>
      <c r="M1131" t="s">
        <v>1087</v>
      </c>
      <c r="O1131" s="3" t="s">
        <v>5</v>
      </c>
      <c r="P1131" s="16">
        <f>SUM(P1107:P1130)</f>
        <v>0</v>
      </c>
      <c r="Q1131" s="17">
        <f>SUM(Q1107:Q1130)</f>
        <v>0</v>
      </c>
      <c r="S1131" s="3" t="s">
        <v>5</v>
      </c>
      <c r="T1131" s="16">
        <f>SUM(T1107:T1130)</f>
        <v>150</v>
      </c>
      <c r="U1131" s="17">
        <f>SUM(U1107:U1130)</f>
        <v>150</v>
      </c>
      <c r="V1131" t="s">
        <v>1087</v>
      </c>
    </row>
    <row r="1132" spans="1:22" ht="14.25" thickBot="1" x14ac:dyDescent="0.2">
      <c r="A1132" s="1"/>
      <c r="B1132" s="18" t="s">
        <v>6</v>
      </c>
      <c r="C1132" s="19">
        <f>C1106-C1131</f>
        <v>227</v>
      </c>
      <c r="D1132" s="19">
        <f>D1106-D1131</f>
        <v>62</v>
      </c>
      <c r="E1132" s="19">
        <f t="shared" ref="E1132" si="454">E1106-E1131</f>
        <v>55</v>
      </c>
      <c r="F1132" s="221">
        <f>F1106-F1131</f>
        <v>344</v>
      </c>
      <c r="H1132" s="18" t="s">
        <v>6</v>
      </c>
      <c r="I1132" s="19">
        <f>I1106-I1131</f>
        <v>1719</v>
      </c>
      <c r="J1132" s="19">
        <f>J1106-J1131</f>
        <v>988</v>
      </c>
      <c r="K1132" s="19">
        <f t="shared" ref="K1132" si="455">K1106-K1131</f>
        <v>1102</v>
      </c>
      <c r="L1132" s="221">
        <f>L1106-L1131</f>
        <v>3809</v>
      </c>
      <c r="N1132" t="s">
        <v>1113</v>
      </c>
      <c r="O1132" s="18" t="s">
        <v>6</v>
      </c>
      <c r="P1132" s="19">
        <f>P1106-P1131</f>
        <v>0</v>
      </c>
      <c r="Q1132" s="13">
        <f>Q1106-Q1131</f>
        <v>0</v>
      </c>
      <c r="S1132" s="18" t="s">
        <v>6</v>
      </c>
      <c r="T1132" s="19">
        <f>T1106-T1131</f>
        <v>1828</v>
      </c>
      <c r="U1132" s="13">
        <f>U1106-U1131</f>
        <v>1828</v>
      </c>
    </row>
    <row r="1133" spans="1:22" x14ac:dyDescent="0.15">
      <c r="M1133"/>
      <c r="N1133">
        <v>0</v>
      </c>
    </row>
    <row r="1134" spans="1:22" x14ac:dyDescent="0.15">
      <c r="M1134"/>
      <c r="N1134">
        <v>422</v>
      </c>
    </row>
    <row r="1135" spans="1:22" ht="18" thickBot="1" x14ac:dyDescent="0.25">
      <c r="A1135" s="27" t="s">
        <v>739</v>
      </c>
      <c r="B1135" s="28"/>
      <c r="C1135" s="28"/>
      <c r="D1135" s="28"/>
      <c r="E1135" s="28"/>
      <c r="F1135" s="218"/>
      <c r="H1135" s="27" t="s">
        <v>740</v>
      </c>
      <c r="I1135" s="28"/>
      <c r="J1135" s="28"/>
      <c r="K1135" s="28"/>
      <c r="L1135" s="218"/>
      <c r="O1135" s="181" t="s">
        <v>737</v>
      </c>
      <c r="P1135" s="182"/>
      <c r="Q1135" s="182"/>
      <c r="R1135" s="183"/>
      <c r="S1135" s="181" t="s">
        <v>733</v>
      </c>
      <c r="T1135" s="182"/>
      <c r="U1135" s="182"/>
    </row>
    <row r="1136" spans="1:22" ht="14.25" thickBot="1" x14ac:dyDescent="0.2">
      <c r="A1136" s="1"/>
      <c r="B1136" s="2"/>
      <c r="C1136" s="194" t="s">
        <v>734</v>
      </c>
      <c r="D1136" s="195" t="s">
        <v>706</v>
      </c>
      <c r="E1136" s="2" t="s">
        <v>735</v>
      </c>
      <c r="F1136" s="219" t="s">
        <v>1</v>
      </c>
      <c r="H1136" s="2"/>
      <c r="I1136" s="197" t="s">
        <v>734</v>
      </c>
      <c r="J1136" s="195" t="s">
        <v>706</v>
      </c>
      <c r="K1136" s="201" t="s">
        <v>735</v>
      </c>
      <c r="L1136" s="219" t="s">
        <v>1</v>
      </c>
      <c r="O1136" s="2"/>
      <c r="P1136" s="3" t="s">
        <v>722</v>
      </c>
      <c r="Q1136" s="2" t="s">
        <v>1</v>
      </c>
      <c r="S1136" s="2"/>
      <c r="T1136" s="3" t="s">
        <v>722</v>
      </c>
      <c r="U1136" s="2" t="s">
        <v>1</v>
      </c>
    </row>
    <row r="1137" spans="1:22" x14ac:dyDescent="0.15">
      <c r="A1137" s="1"/>
      <c r="B1137" s="164" t="s">
        <v>26</v>
      </c>
      <c r="C1137" s="200">
        <f>C1132</f>
        <v>227</v>
      </c>
      <c r="D1137" s="164">
        <f t="shared" ref="D1137:F1137" si="456">D1132</f>
        <v>62</v>
      </c>
      <c r="E1137" s="164">
        <f t="shared" si="456"/>
        <v>55</v>
      </c>
      <c r="F1137" s="222">
        <f t="shared" si="456"/>
        <v>344</v>
      </c>
      <c r="H1137" s="164" t="s">
        <v>26</v>
      </c>
      <c r="I1137" s="200">
        <f>I1132</f>
        <v>1719</v>
      </c>
      <c r="J1137" s="164">
        <f t="shared" ref="J1137:L1137" si="457">J1132</f>
        <v>988</v>
      </c>
      <c r="K1137" s="200">
        <f t="shared" si="457"/>
        <v>1102</v>
      </c>
      <c r="L1137" s="222">
        <f t="shared" si="457"/>
        <v>3809</v>
      </c>
      <c r="O1137" s="171" t="s">
        <v>26</v>
      </c>
      <c r="P1137" s="200">
        <f>P1132</f>
        <v>0</v>
      </c>
      <c r="Q1137" s="180">
        <f>Q1132</f>
        <v>0</v>
      </c>
      <c r="R1137" s="185"/>
      <c r="S1137" s="43" t="s">
        <v>26</v>
      </c>
      <c r="T1137" s="38">
        <f>T1132</f>
        <v>1828</v>
      </c>
      <c r="U1137" s="39">
        <f>U1132</f>
        <v>1828</v>
      </c>
    </row>
    <row r="1138" spans="1:22" x14ac:dyDescent="0.15">
      <c r="A1138" s="75"/>
      <c r="B1138" s="6" t="s">
        <v>3</v>
      </c>
      <c r="C1138" s="6">
        <v>200</v>
      </c>
      <c r="D1138" s="6">
        <v>100</v>
      </c>
      <c r="E1138" s="4">
        <v>100</v>
      </c>
      <c r="F1138" s="220">
        <f t="shared" ref="F1138:F1147" si="458">SUM(C1138:E1138)</f>
        <v>400</v>
      </c>
      <c r="G1138" s="211">
        <v>45035</v>
      </c>
      <c r="H1138" s="6" t="s">
        <v>3</v>
      </c>
      <c r="I1138" s="188"/>
      <c r="J1138" s="225"/>
      <c r="K1138" s="243"/>
      <c r="L1138" s="220">
        <f t="shared" ref="L1138:L1147" si="459">SUM(I1138:K1138)</f>
        <v>0</v>
      </c>
      <c r="M1138" s="211"/>
      <c r="O1138" s="6" t="s">
        <v>3</v>
      </c>
      <c r="P1138" s="7"/>
      <c r="Q1138" s="5">
        <f t="shared" ref="Q1138:Q1147" si="460">SUM(P1138:P1138)</f>
        <v>0</v>
      </c>
      <c r="R1138" s="186"/>
      <c r="S1138" s="6" t="s">
        <v>3</v>
      </c>
      <c r="T1138" s="7"/>
      <c r="U1138" s="5">
        <f t="shared" ref="U1138:U1147" si="461">SUM(T1138:T1138)</f>
        <v>0</v>
      </c>
      <c r="V1138" s="269"/>
    </row>
    <row r="1139" spans="1:22" x14ac:dyDescent="0.15">
      <c r="A1139" s="1"/>
      <c r="B1139" s="6" t="s">
        <v>3</v>
      </c>
      <c r="C1139" s="6">
        <v>200</v>
      </c>
      <c r="D1139" s="6"/>
      <c r="E1139" s="4"/>
      <c r="F1139" s="220">
        <f t="shared" si="458"/>
        <v>200</v>
      </c>
      <c r="G1139" s="211">
        <v>45055</v>
      </c>
      <c r="H1139" s="6" t="s">
        <v>3</v>
      </c>
      <c r="I1139" s="188"/>
      <c r="J1139" s="225"/>
      <c r="K1139" s="243"/>
      <c r="L1139" s="220">
        <f t="shared" si="459"/>
        <v>0</v>
      </c>
      <c r="M1139" s="211"/>
      <c r="O1139" s="6" t="s">
        <v>3</v>
      </c>
      <c r="P1139" s="7"/>
      <c r="Q1139" s="5">
        <f t="shared" si="460"/>
        <v>0</v>
      </c>
      <c r="R1139" s="186"/>
      <c r="S1139" s="6" t="s">
        <v>3</v>
      </c>
      <c r="T1139" s="54"/>
      <c r="U1139" s="5">
        <f t="shared" si="461"/>
        <v>0</v>
      </c>
    </row>
    <row r="1140" spans="1:22" x14ac:dyDescent="0.15">
      <c r="A1140" s="1"/>
      <c r="B1140" s="6" t="s">
        <v>3</v>
      </c>
      <c r="C1140" s="6">
        <v>219</v>
      </c>
      <c r="D1140" s="6">
        <v>70</v>
      </c>
      <c r="E1140" s="4">
        <v>80</v>
      </c>
      <c r="F1140" s="220">
        <f t="shared" si="458"/>
        <v>369</v>
      </c>
      <c r="G1140" s="211">
        <v>45059</v>
      </c>
      <c r="H1140" s="6" t="s">
        <v>3</v>
      </c>
      <c r="I1140" s="188"/>
      <c r="J1140" s="225"/>
      <c r="K1140" s="243"/>
      <c r="L1140" s="220">
        <f t="shared" si="459"/>
        <v>0</v>
      </c>
      <c r="M1140" s="211"/>
      <c r="O1140" s="6" t="s">
        <v>3</v>
      </c>
      <c r="P1140" s="7"/>
      <c r="Q1140" s="5">
        <f t="shared" si="460"/>
        <v>0</v>
      </c>
      <c r="R1140" s="186"/>
      <c r="S1140" s="6" t="s">
        <v>3</v>
      </c>
      <c r="T1140" s="8"/>
      <c r="U1140" s="5">
        <f t="shared" si="461"/>
        <v>0</v>
      </c>
    </row>
    <row r="1141" spans="1:22" x14ac:dyDescent="0.15">
      <c r="A1141" s="1"/>
      <c r="B1141" s="6" t="s">
        <v>3</v>
      </c>
      <c r="C1141" s="6"/>
      <c r="D1141" s="6"/>
      <c r="E1141" s="4"/>
      <c r="F1141" s="220">
        <f t="shared" si="458"/>
        <v>0</v>
      </c>
      <c r="H1141" s="6" t="s">
        <v>3</v>
      </c>
      <c r="I1141" s="188">
        <v>6000</v>
      </c>
      <c r="J1141" s="6"/>
      <c r="K1141" s="202"/>
      <c r="L1141" s="220">
        <f t="shared" si="459"/>
        <v>6000</v>
      </c>
      <c r="M1141" s="211">
        <v>45056</v>
      </c>
      <c r="O1141" s="6" t="s">
        <v>3</v>
      </c>
      <c r="P1141" s="7"/>
      <c r="Q1141" s="5">
        <f t="shared" si="460"/>
        <v>0</v>
      </c>
      <c r="R1141" s="186"/>
      <c r="S1141" s="6" t="s">
        <v>3</v>
      </c>
      <c r="T1141" s="7">
        <v>2000</v>
      </c>
      <c r="U1141" s="5">
        <f t="shared" si="461"/>
        <v>2000</v>
      </c>
      <c r="V1141" s="185">
        <v>45056</v>
      </c>
    </row>
    <row r="1142" spans="1:22" x14ac:dyDescent="0.15">
      <c r="A1142" s="1"/>
      <c r="B1142" s="6" t="s">
        <v>3</v>
      </c>
      <c r="C1142" s="6"/>
      <c r="D1142" s="6"/>
      <c r="E1142" s="4"/>
      <c r="F1142" s="220">
        <f t="shared" si="458"/>
        <v>0</v>
      </c>
      <c r="H1142" s="6" t="s">
        <v>3</v>
      </c>
      <c r="I1142" s="188"/>
      <c r="J1142" s="6"/>
      <c r="K1142" s="202"/>
      <c r="L1142" s="220">
        <f t="shared" si="459"/>
        <v>0</v>
      </c>
      <c r="O1142" s="6" t="s">
        <v>3</v>
      </c>
      <c r="P1142" s="7"/>
      <c r="Q1142" s="5">
        <f t="shared" si="460"/>
        <v>0</v>
      </c>
      <c r="R1142" s="186"/>
      <c r="S1142" s="6" t="s">
        <v>3</v>
      </c>
      <c r="T1142" s="8"/>
      <c r="U1142" s="5">
        <f t="shared" ref="U1142" si="462">SUM(T1142:T1142)</f>
        <v>0</v>
      </c>
    </row>
    <row r="1143" spans="1:22" x14ac:dyDescent="0.15">
      <c r="A1143" s="75"/>
      <c r="B1143" s="6" t="s">
        <v>3</v>
      </c>
      <c r="C1143" s="6"/>
      <c r="D1143" s="6"/>
      <c r="E1143" s="4"/>
      <c r="F1143" s="220">
        <f t="shared" si="458"/>
        <v>0</v>
      </c>
      <c r="H1143" s="6" t="s">
        <v>3</v>
      </c>
      <c r="I1143" s="188"/>
      <c r="J1143" s="6"/>
      <c r="K1143" s="202"/>
      <c r="L1143" s="220">
        <f t="shared" si="459"/>
        <v>0</v>
      </c>
      <c r="O1143" s="6" t="s">
        <v>3</v>
      </c>
      <c r="P1143" s="7"/>
      <c r="Q1143" s="5">
        <f t="shared" si="460"/>
        <v>0</v>
      </c>
      <c r="R1143" s="186"/>
      <c r="S1143" s="6" t="s">
        <v>3</v>
      </c>
      <c r="T1143" s="7"/>
      <c r="U1143" s="5">
        <f t="shared" si="461"/>
        <v>0</v>
      </c>
    </row>
    <row r="1144" spans="1:22" x14ac:dyDescent="0.15">
      <c r="A1144" s="75"/>
      <c r="B1144" s="6" t="s">
        <v>3</v>
      </c>
      <c r="C1144" s="6"/>
      <c r="D1144" s="225"/>
      <c r="E1144" s="226"/>
      <c r="F1144" s="220">
        <f t="shared" si="458"/>
        <v>0</v>
      </c>
      <c r="H1144" s="6" t="s">
        <v>3</v>
      </c>
      <c r="I1144" s="188"/>
      <c r="J1144" s="225"/>
      <c r="K1144" s="243"/>
      <c r="L1144" s="220">
        <f t="shared" si="459"/>
        <v>0</v>
      </c>
      <c r="O1144" s="6" t="s">
        <v>3</v>
      </c>
      <c r="P1144" s="8"/>
      <c r="Q1144" s="5">
        <f t="shared" si="460"/>
        <v>0</v>
      </c>
      <c r="R1144" s="186"/>
      <c r="S1144" s="6" t="s">
        <v>3</v>
      </c>
      <c r="T1144" s="54"/>
      <c r="U1144" s="5">
        <f t="shared" si="461"/>
        <v>0</v>
      </c>
    </row>
    <row r="1145" spans="1:22" x14ac:dyDescent="0.15">
      <c r="A1145" s="75"/>
      <c r="B1145" s="6" t="s">
        <v>3</v>
      </c>
      <c r="C1145" s="6"/>
      <c r="D1145" s="225"/>
      <c r="E1145" s="226"/>
      <c r="F1145" s="220">
        <f t="shared" si="458"/>
        <v>0</v>
      </c>
      <c r="H1145" s="6" t="s">
        <v>3</v>
      </c>
      <c r="I1145" s="188"/>
      <c r="J1145" s="225"/>
      <c r="K1145" s="243"/>
      <c r="L1145" s="220">
        <f t="shared" si="459"/>
        <v>0</v>
      </c>
      <c r="M1145" s="211"/>
      <c r="O1145" s="6" t="s">
        <v>3</v>
      </c>
      <c r="P1145" s="8"/>
      <c r="Q1145" s="5">
        <f t="shared" si="460"/>
        <v>0</v>
      </c>
      <c r="R1145" s="186"/>
      <c r="S1145" s="6" t="s">
        <v>3</v>
      </c>
      <c r="T1145" s="54"/>
      <c r="U1145" s="5">
        <f t="shared" si="461"/>
        <v>0</v>
      </c>
    </row>
    <row r="1146" spans="1:22" x14ac:dyDescent="0.15">
      <c r="A1146" s="1"/>
      <c r="B1146" s="6" t="s">
        <v>3</v>
      </c>
      <c r="C1146" s="6"/>
      <c r="D1146" s="225"/>
      <c r="E1146" s="226"/>
      <c r="F1146" s="220">
        <f t="shared" si="458"/>
        <v>0</v>
      </c>
      <c r="H1146" s="6" t="s">
        <v>3</v>
      </c>
      <c r="I1146" s="188"/>
      <c r="J1146" s="225"/>
      <c r="K1146" s="243"/>
      <c r="L1146" s="220">
        <f t="shared" si="459"/>
        <v>0</v>
      </c>
      <c r="M1146" s="186"/>
      <c r="O1146" s="6" t="s">
        <v>3</v>
      </c>
      <c r="P1146" s="8"/>
      <c r="Q1146" s="5">
        <f t="shared" si="460"/>
        <v>0</v>
      </c>
      <c r="R1146" s="186"/>
      <c r="S1146" s="6" t="s">
        <v>3</v>
      </c>
      <c r="T1146" s="8"/>
      <c r="U1146" s="5">
        <f t="shared" si="461"/>
        <v>0</v>
      </c>
    </row>
    <row r="1147" spans="1:22" ht="14.25" thickBot="1" x14ac:dyDescent="0.2">
      <c r="A1147" s="1"/>
      <c r="B1147" s="6" t="s">
        <v>3</v>
      </c>
      <c r="C1147" s="9"/>
      <c r="D1147" s="237"/>
      <c r="E1147" s="238"/>
      <c r="F1147" s="220">
        <f t="shared" si="458"/>
        <v>0</v>
      </c>
      <c r="H1147" s="9" t="s">
        <v>3</v>
      </c>
      <c r="I1147" s="198"/>
      <c r="J1147" s="244"/>
      <c r="K1147" s="245"/>
      <c r="L1147" s="220">
        <f t="shared" si="459"/>
        <v>0</v>
      </c>
      <c r="O1147" s="9" t="s">
        <v>3</v>
      </c>
      <c r="P1147" s="10"/>
      <c r="Q1147" s="5">
        <f t="shared" si="460"/>
        <v>0</v>
      </c>
      <c r="R1147" s="186"/>
      <c r="S1147" s="9" t="s">
        <v>3</v>
      </c>
      <c r="T1147" s="10"/>
      <c r="U1147" s="5">
        <f t="shared" si="461"/>
        <v>0</v>
      </c>
    </row>
    <row r="1148" spans="1:22" ht="14.25" thickBot="1" x14ac:dyDescent="0.2">
      <c r="A1148" s="1"/>
      <c r="B1148" s="11" t="s">
        <v>4</v>
      </c>
      <c r="C1148" s="193">
        <f>SUM(C1137:C1147)</f>
        <v>846</v>
      </c>
      <c r="D1148" s="193">
        <f>SUM(D1137:D1147)</f>
        <v>232</v>
      </c>
      <c r="E1148" s="193">
        <f>SUM(E1137:E1147)</f>
        <v>235</v>
      </c>
      <c r="F1148" s="221">
        <f>SUM(F1137:F1147)</f>
        <v>1313</v>
      </c>
      <c r="H1148" s="11" t="s">
        <v>4</v>
      </c>
      <c r="I1148" s="193">
        <f>SUM(I1137:I1147)</f>
        <v>7719</v>
      </c>
      <c r="J1148" s="193">
        <f>SUM(J1137:J1147)</f>
        <v>988</v>
      </c>
      <c r="K1148" s="193">
        <f t="shared" ref="K1148" si="463">SUM(K1137:K1147)</f>
        <v>1102</v>
      </c>
      <c r="L1148" s="221">
        <f>SUM(L1137:L1147)</f>
        <v>9809</v>
      </c>
      <c r="O1148" s="11" t="s">
        <v>4</v>
      </c>
      <c r="P1148" s="12">
        <f>SUM(P1137:P1147)</f>
        <v>0</v>
      </c>
      <c r="Q1148" s="13">
        <f>SUM(Q1137:Q1147)</f>
        <v>0</v>
      </c>
      <c r="S1148" s="11" t="s">
        <v>4</v>
      </c>
      <c r="T1148" s="12">
        <f>SUM(T1137:T1147)</f>
        <v>3828</v>
      </c>
      <c r="U1148" s="13">
        <f>SUM(U1137:U1147)</f>
        <v>3828</v>
      </c>
    </row>
    <row r="1149" spans="1:22" x14ac:dyDescent="0.15">
      <c r="A1149" s="1"/>
      <c r="B1149" s="4" t="s">
        <v>1134</v>
      </c>
      <c r="C1149" s="233">
        <v>50</v>
      </c>
      <c r="D1149" s="234">
        <v>10</v>
      </c>
      <c r="E1149" s="234">
        <v>30</v>
      </c>
      <c r="F1149" s="220">
        <f t="shared" ref="F1149:F1172" si="464">SUM(C1149:E1149)</f>
        <v>90</v>
      </c>
      <c r="G1149" s="211">
        <v>45034</v>
      </c>
      <c r="H1149" s="4" t="s">
        <v>745</v>
      </c>
      <c r="I1149" s="208">
        <v>200</v>
      </c>
      <c r="J1149" s="234"/>
      <c r="K1149" s="234"/>
      <c r="L1149" s="220">
        <f t="shared" ref="L1149:L1172" si="465">SUM(I1149:K1149)</f>
        <v>200</v>
      </c>
      <c r="M1149" s="211">
        <v>45017</v>
      </c>
      <c r="O1149" s="4"/>
      <c r="P1149" s="44"/>
      <c r="Q1149" s="14">
        <f t="shared" ref="Q1149:Q1172" si="466">SUM(P1149:P1149)</f>
        <v>0</v>
      </c>
      <c r="R1149" s="185"/>
      <c r="S1149" s="4" t="s">
        <v>1142</v>
      </c>
      <c r="T1149" s="44">
        <v>30</v>
      </c>
      <c r="U1149" s="14">
        <f t="shared" ref="U1149:U1172" si="467">SUM(T1149:T1149)</f>
        <v>30</v>
      </c>
      <c r="V1149" s="211">
        <v>45047</v>
      </c>
    </row>
    <row r="1150" spans="1:22" x14ac:dyDescent="0.15">
      <c r="A1150" s="1"/>
      <c r="B1150" s="4" t="s">
        <v>787</v>
      </c>
      <c r="C1150" s="233">
        <v>10</v>
      </c>
      <c r="D1150" s="234">
        <v>10</v>
      </c>
      <c r="E1150" s="234">
        <v>10</v>
      </c>
      <c r="F1150" s="220">
        <f t="shared" si="464"/>
        <v>30</v>
      </c>
      <c r="G1150" s="211">
        <v>45034</v>
      </c>
      <c r="H1150" s="4" t="s">
        <v>745</v>
      </c>
      <c r="I1150" s="208">
        <v>200</v>
      </c>
      <c r="J1150" s="234">
        <v>100</v>
      </c>
      <c r="K1150" s="234">
        <v>100</v>
      </c>
      <c r="L1150" s="220">
        <f t="shared" si="465"/>
        <v>400</v>
      </c>
      <c r="M1150" s="211">
        <v>45035</v>
      </c>
      <c r="O1150" s="4"/>
      <c r="P1150" s="15"/>
      <c r="Q1150" s="14">
        <f t="shared" si="466"/>
        <v>0</v>
      </c>
      <c r="R1150" s="186"/>
      <c r="S1150" s="4" t="s">
        <v>1143</v>
      </c>
      <c r="T1150" s="15">
        <v>30</v>
      </c>
      <c r="U1150" s="14">
        <f t="shared" si="467"/>
        <v>30</v>
      </c>
      <c r="V1150" s="211">
        <v>45054</v>
      </c>
    </row>
    <row r="1151" spans="1:22" x14ac:dyDescent="0.15">
      <c r="A1151" s="1"/>
      <c r="B1151" s="4" t="s">
        <v>749</v>
      </c>
      <c r="C1151" s="233">
        <v>6</v>
      </c>
      <c r="D1151" s="234"/>
      <c r="E1151" s="234"/>
      <c r="F1151" s="220">
        <f t="shared" si="464"/>
        <v>6</v>
      </c>
      <c r="G1151" s="248">
        <v>45034</v>
      </c>
      <c r="H1151" s="6" t="s">
        <v>1141</v>
      </c>
      <c r="I1151" s="208">
        <v>50</v>
      </c>
      <c r="J1151" s="234">
        <v>30</v>
      </c>
      <c r="K1151" s="234">
        <v>20</v>
      </c>
      <c r="L1151" s="220">
        <f t="shared" si="465"/>
        <v>100</v>
      </c>
      <c r="M1151" s="211">
        <v>45047</v>
      </c>
      <c r="O1151" s="4"/>
      <c r="P1151" s="15"/>
      <c r="Q1151" s="14">
        <f t="shared" si="466"/>
        <v>0</v>
      </c>
      <c r="R1151" s="186"/>
      <c r="S1151" s="6" t="s">
        <v>1144</v>
      </c>
      <c r="T1151" s="15">
        <v>9</v>
      </c>
      <c r="U1151" s="14">
        <f t="shared" si="467"/>
        <v>9</v>
      </c>
      <c r="V1151" s="211">
        <v>45048</v>
      </c>
    </row>
    <row r="1152" spans="1:22" x14ac:dyDescent="0.15">
      <c r="A1152" s="1"/>
      <c r="B1152" s="4" t="s">
        <v>1135</v>
      </c>
      <c r="C1152" s="233"/>
      <c r="D1152" s="234">
        <v>20</v>
      </c>
      <c r="E1152" s="234">
        <v>20</v>
      </c>
      <c r="F1152" s="220">
        <f t="shared" si="464"/>
        <v>40</v>
      </c>
      <c r="G1152" s="211">
        <v>45035</v>
      </c>
      <c r="H1152" s="6" t="s">
        <v>1147</v>
      </c>
      <c r="I1152" s="208">
        <v>20</v>
      </c>
      <c r="J1152" s="234"/>
      <c r="K1152" s="234"/>
      <c r="L1152" s="220">
        <f t="shared" si="465"/>
        <v>20</v>
      </c>
      <c r="M1152" s="211">
        <v>45049</v>
      </c>
      <c r="O1152" s="4"/>
      <c r="P1152" s="15"/>
      <c r="Q1152" s="14">
        <f t="shared" si="466"/>
        <v>0</v>
      </c>
      <c r="R1152" s="186"/>
      <c r="S1152" s="4" t="s">
        <v>1153</v>
      </c>
      <c r="T1152" s="15">
        <v>9</v>
      </c>
      <c r="U1152" s="14">
        <f t="shared" si="467"/>
        <v>9</v>
      </c>
      <c r="V1152" s="211">
        <v>45063</v>
      </c>
    </row>
    <row r="1153" spans="1:21" x14ac:dyDescent="0.15">
      <c r="A1153" s="1"/>
      <c r="B1153" s="4" t="s">
        <v>749</v>
      </c>
      <c r="C1153" s="233">
        <f>2+3</f>
        <v>5</v>
      </c>
      <c r="D1153" s="234"/>
      <c r="E1153" s="234">
        <f>1+1</f>
        <v>2</v>
      </c>
      <c r="F1153" s="220">
        <f t="shared" si="464"/>
        <v>7</v>
      </c>
      <c r="G1153" s="248">
        <v>45036</v>
      </c>
      <c r="H1153" s="4" t="s">
        <v>745</v>
      </c>
      <c r="I1153" s="208">
        <v>200</v>
      </c>
      <c r="J1153" s="234"/>
      <c r="K1153" s="234"/>
      <c r="L1153" s="220">
        <f t="shared" si="465"/>
        <v>200</v>
      </c>
      <c r="M1153" s="211">
        <v>45055</v>
      </c>
      <c r="O1153" s="4"/>
      <c r="P1153" s="15"/>
      <c r="Q1153" s="14">
        <f t="shared" si="466"/>
        <v>0</v>
      </c>
      <c r="R1153" s="186"/>
      <c r="S1153" s="6"/>
      <c r="T1153" s="15"/>
      <c r="U1153" s="14">
        <f t="shared" si="467"/>
        <v>0</v>
      </c>
    </row>
    <row r="1154" spans="1:21" x14ac:dyDescent="0.15">
      <c r="A1154" s="1"/>
      <c r="B1154" s="4" t="s">
        <v>749</v>
      </c>
      <c r="C1154" s="233">
        <v>8</v>
      </c>
      <c r="D1154" s="234"/>
      <c r="E1154" s="234">
        <v>1</v>
      </c>
      <c r="F1154" s="220">
        <f t="shared" si="464"/>
        <v>9</v>
      </c>
      <c r="G1154" s="248">
        <v>45037</v>
      </c>
      <c r="H1154" s="4" t="s">
        <v>1149</v>
      </c>
      <c r="I1154" s="208">
        <v>200</v>
      </c>
      <c r="J1154" s="234"/>
      <c r="K1154" s="234"/>
      <c r="L1154" s="220">
        <f t="shared" si="465"/>
        <v>200</v>
      </c>
      <c r="M1154" s="211">
        <v>45061</v>
      </c>
      <c r="O1154" s="4"/>
      <c r="P1154" s="15"/>
      <c r="Q1154" s="14">
        <f t="shared" si="466"/>
        <v>0</v>
      </c>
      <c r="R1154" s="186"/>
      <c r="S1154" s="6"/>
      <c r="T1154" s="15"/>
      <c r="U1154" s="14">
        <f t="shared" si="467"/>
        <v>0</v>
      </c>
    </row>
    <row r="1155" spans="1:21" x14ac:dyDescent="0.15">
      <c r="A1155" s="1"/>
      <c r="B1155" s="4" t="s">
        <v>1140</v>
      </c>
      <c r="C1155" s="233">
        <v>11</v>
      </c>
      <c r="D1155" s="234">
        <v>11</v>
      </c>
      <c r="E1155" s="234">
        <v>11</v>
      </c>
      <c r="F1155" s="220">
        <f t="shared" si="464"/>
        <v>33</v>
      </c>
      <c r="G1155" s="211">
        <v>45041</v>
      </c>
      <c r="H1155" s="4" t="s">
        <v>745</v>
      </c>
      <c r="I1155" s="208">
        <v>219</v>
      </c>
      <c r="J1155" s="234">
        <v>70</v>
      </c>
      <c r="K1155" s="234">
        <v>80</v>
      </c>
      <c r="L1155" s="220">
        <f t="shared" si="465"/>
        <v>369</v>
      </c>
      <c r="M1155" s="211">
        <v>45059</v>
      </c>
      <c r="O1155" s="4"/>
      <c r="P1155" s="15"/>
      <c r="Q1155" s="14">
        <f t="shared" si="466"/>
        <v>0</v>
      </c>
      <c r="R1155" s="186"/>
      <c r="S1155" s="4"/>
      <c r="T1155" s="15"/>
      <c r="U1155" s="14">
        <f t="shared" si="467"/>
        <v>0</v>
      </c>
    </row>
    <row r="1156" spans="1:21" x14ac:dyDescent="0.15">
      <c r="A1156" s="1"/>
      <c r="B1156" s="4" t="s">
        <v>749</v>
      </c>
      <c r="C1156" s="233">
        <f>5+13+1+10</f>
        <v>29</v>
      </c>
      <c r="D1156" s="234">
        <v>2</v>
      </c>
      <c r="E1156" s="234"/>
      <c r="F1156" s="220">
        <f t="shared" si="464"/>
        <v>31</v>
      </c>
      <c r="G1156" s="248">
        <v>45040</v>
      </c>
      <c r="H1156" s="6" t="s">
        <v>1153</v>
      </c>
      <c r="I1156" s="208">
        <v>74</v>
      </c>
      <c r="J1156" s="234"/>
      <c r="K1156" s="234"/>
      <c r="L1156" s="220">
        <f t="shared" si="465"/>
        <v>74</v>
      </c>
      <c r="M1156" s="211">
        <v>45063</v>
      </c>
      <c r="O1156" s="4"/>
      <c r="P1156" s="15"/>
      <c r="Q1156" s="14">
        <f t="shared" si="466"/>
        <v>0</v>
      </c>
      <c r="R1156" s="186"/>
      <c r="S1156" s="4"/>
      <c r="T1156" s="15"/>
      <c r="U1156" s="14">
        <f t="shared" si="467"/>
        <v>0</v>
      </c>
    </row>
    <row r="1157" spans="1:21" x14ac:dyDescent="0.15">
      <c r="A1157" s="1"/>
      <c r="B1157" s="4" t="s">
        <v>764</v>
      </c>
      <c r="C1157" s="233">
        <v>80</v>
      </c>
      <c r="D1157" s="234"/>
      <c r="E1157" s="234"/>
      <c r="F1157" s="220">
        <f t="shared" si="464"/>
        <v>80</v>
      </c>
      <c r="G1157" s="211">
        <v>45041</v>
      </c>
      <c r="H1157" s="4"/>
      <c r="I1157" s="208"/>
      <c r="J1157" s="15"/>
      <c r="K1157" s="15"/>
      <c r="L1157" s="220">
        <f t="shared" si="465"/>
        <v>0</v>
      </c>
      <c r="M1157" s="212"/>
      <c r="O1157" s="4"/>
      <c r="P1157" s="15"/>
      <c r="Q1157" s="14">
        <f t="shared" si="466"/>
        <v>0</v>
      </c>
      <c r="R1157" s="186"/>
      <c r="S1157" s="4"/>
      <c r="T1157" s="15"/>
      <c r="U1157" s="14">
        <f t="shared" si="467"/>
        <v>0</v>
      </c>
    </row>
    <row r="1158" spans="1:21" x14ac:dyDescent="0.15">
      <c r="A1158" s="1"/>
      <c r="B1158" s="4" t="s">
        <v>749</v>
      </c>
      <c r="C1158" s="233">
        <f>3+4</f>
        <v>7</v>
      </c>
      <c r="D1158" s="234">
        <v>1</v>
      </c>
      <c r="E1158" s="234">
        <v>3</v>
      </c>
      <c r="F1158" s="220">
        <f t="shared" si="464"/>
        <v>11</v>
      </c>
      <c r="G1158" s="248">
        <v>45041</v>
      </c>
      <c r="H1158" s="4"/>
      <c r="I1158" s="208"/>
      <c r="J1158" s="15"/>
      <c r="K1158" s="15"/>
      <c r="L1158" s="220">
        <f t="shared" si="465"/>
        <v>0</v>
      </c>
      <c r="M1158" s="212"/>
      <c r="O1158" s="4"/>
      <c r="P1158" s="15"/>
      <c r="Q1158" s="14">
        <f t="shared" si="466"/>
        <v>0</v>
      </c>
      <c r="R1158" s="186"/>
      <c r="S1158" s="4"/>
      <c r="T1158" s="15"/>
      <c r="U1158" s="14">
        <f t="shared" si="467"/>
        <v>0</v>
      </c>
    </row>
    <row r="1159" spans="1:21" x14ac:dyDescent="0.15">
      <c r="A1159" s="1"/>
      <c r="B1159" s="4" t="s">
        <v>749</v>
      </c>
      <c r="C1159" s="233">
        <v>14</v>
      </c>
      <c r="D1159" s="234">
        <v>6</v>
      </c>
      <c r="E1159" s="234">
        <v>1</v>
      </c>
      <c r="F1159" s="220">
        <f t="shared" si="464"/>
        <v>21</v>
      </c>
      <c r="G1159" s="248">
        <v>45042</v>
      </c>
      <c r="H1159" s="4"/>
      <c r="I1159" s="208"/>
      <c r="J1159" s="15"/>
      <c r="K1159" s="15"/>
      <c r="L1159" s="220">
        <f t="shared" si="465"/>
        <v>0</v>
      </c>
      <c r="O1159" s="4"/>
      <c r="P1159" s="15"/>
      <c r="Q1159" s="14">
        <f t="shared" si="466"/>
        <v>0</v>
      </c>
      <c r="R1159" s="186"/>
      <c r="S1159" s="4"/>
      <c r="T1159" s="15"/>
      <c r="U1159" s="14">
        <f t="shared" si="467"/>
        <v>0</v>
      </c>
    </row>
    <row r="1160" spans="1:21" x14ac:dyDescent="0.15">
      <c r="A1160" s="1"/>
      <c r="B1160" s="4" t="s">
        <v>749</v>
      </c>
      <c r="C1160" s="233">
        <v>2</v>
      </c>
      <c r="D1160" s="234"/>
      <c r="E1160" s="234"/>
      <c r="F1160" s="220">
        <f t="shared" si="464"/>
        <v>2</v>
      </c>
      <c r="G1160" s="248">
        <v>45043</v>
      </c>
      <c r="H1160" s="6"/>
      <c r="I1160" s="206"/>
      <c r="J1160" s="15"/>
      <c r="K1160" s="15"/>
      <c r="L1160" s="220">
        <f t="shared" si="465"/>
        <v>0</v>
      </c>
      <c r="O1160" s="6"/>
      <c r="P1160" s="15"/>
      <c r="Q1160" s="14">
        <f t="shared" si="466"/>
        <v>0</v>
      </c>
      <c r="R1160" s="186"/>
      <c r="S1160" s="6"/>
      <c r="T1160" s="15"/>
      <c r="U1160" s="14">
        <f t="shared" si="467"/>
        <v>0</v>
      </c>
    </row>
    <row r="1161" spans="1:21" x14ac:dyDescent="0.15">
      <c r="A1161" s="1"/>
      <c r="B1161" s="4" t="s">
        <v>749</v>
      </c>
      <c r="C1161" s="233">
        <v>4</v>
      </c>
      <c r="D1161" s="234"/>
      <c r="E1161" s="234">
        <v>1</v>
      </c>
      <c r="F1161" s="220">
        <f t="shared" si="464"/>
        <v>5</v>
      </c>
      <c r="G1161" s="248">
        <v>45044</v>
      </c>
      <c r="H1161" s="6"/>
      <c r="I1161" s="206"/>
      <c r="J1161" s="15"/>
      <c r="K1161" s="15"/>
      <c r="L1161" s="220">
        <f t="shared" si="465"/>
        <v>0</v>
      </c>
      <c r="O1161" s="6"/>
      <c r="P1161" s="15"/>
      <c r="Q1161" s="14">
        <f t="shared" si="466"/>
        <v>0</v>
      </c>
      <c r="R1161" s="186"/>
      <c r="S1161" s="6"/>
      <c r="T1161" s="15"/>
      <c r="U1161" s="14">
        <f t="shared" si="467"/>
        <v>0</v>
      </c>
    </row>
    <row r="1162" spans="1:21" x14ac:dyDescent="0.15">
      <c r="A1162" s="1"/>
      <c r="B1162" s="4" t="s">
        <v>1145</v>
      </c>
      <c r="C1162" s="233">
        <v>60</v>
      </c>
      <c r="D1162" s="234"/>
      <c r="E1162" s="234"/>
      <c r="F1162" s="220">
        <f t="shared" si="464"/>
        <v>60</v>
      </c>
      <c r="G1162" s="211">
        <v>45047</v>
      </c>
      <c r="H1162" s="4"/>
      <c r="I1162" s="208"/>
      <c r="J1162" s="15"/>
      <c r="K1162" s="15"/>
      <c r="L1162" s="220">
        <f t="shared" si="465"/>
        <v>0</v>
      </c>
      <c r="O1162" s="4"/>
      <c r="P1162" s="15"/>
      <c r="Q1162" s="14">
        <f t="shared" si="466"/>
        <v>0</v>
      </c>
      <c r="R1162" s="186"/>
      <c r="S1162" s="4"/>
      <c r="T1162" s="15"/>
      <c r="U1162" s="14">
        <f t="shared" si="467"/>
        <v>0</v>
      </c>
    </row>
    <row r="1163" spans="1:21" x14ac:dyDescent="0.15">
      <c r="A1163" s="1"/>
      <c r="B1163" s="4" t="s">
        <v>1146</v>
      </c>
      <c r="C1163" s="233">
        <v>10</v>
      </c>
      <c r="D1163" s="234">
        <v>10</v>
      </c>
      <c r="E1163" s="234">
        <v>10</v>
      </c>
      <c r="F1163" s="220">
        <f t="shared" si="464"/>
        <v>30</v>
      </c>
      <c r="G1163" s="211">
        <v>45047</v>
      </c>
      <c r="H1163" s="4"/>
      <c r="I1163" s="208"/>
      <c r="J1163" s="15"/>
      <c r="K1163" s="15"/>
      <c r="L1163" s="220">
        <f t="shared" si="465"/>
        <v>0</v>
      </c>
      <c r="O1163" s="4"/>
      <c r="P1163" s="15"/>
      <c r="Q1163" s="14">
        <f t="shared" si="466"/>
        <v>0</v>
      </c>
      <c r="R1163" s="186"/>
      <c r="S1163" s="4"/>
      <c r="T1163" s="15"/>
      <c r="U1163" s="14">
        <f t="shared" si="467"/>
        <v>0</v>
      </c>
    </row>
    <row r="1164" spans="1:21" x14ac:dyDescent="0.15">
      <c r="A1164" s="1"/>
      <c r="B1164" s="4" t="s">
        <v>749</v>
      </c>
      <c r="C1164" s="233">
        <f>1+29</f>
        <v>30</v>
      </c>
      <c r="D1164" s="234">
        <v>7</v>
      </c>
      <c r="E1164" s="234">
        <v>3</v>
      </c>
      <c r="F1164" s="220">
        <f t="shared" si="464"/>
        <v>40</v>
      </c>
      <c r="G1164" s="248">
        <v>45047</v>
      </c>
      <c r="H1164" s="6"/>
      <c r="I1164" s="208"/>
      <c r="J1164" s="15"/>
      <c r="K1164" s="15"/>
      <c r="L1164" s="220">
        <f t="shared" si="465"/>
        <v>0</v>
      </c>
      <c r="O1164" s="4"/>
      <c r="P1164" s="15"/>
      <c r="Q1164" s="14">
        <f t="shared" si="466"/>
        <v>0</v>
      </c>
      <c r="R1164" s="186"/>
      <c r="S1164" s="4"/>
      <c r="T1164" s="15"/>
      <c r="U1164" s="14">
        <f t="shared" si="467"/>
        <v>0</v>
      </c>
    </row>
    <row r="1165" spans="1:21" x14ac:dyDescent="0.15">
      <c r="A1165" s="1"/>
      <c r="B1165" s="4" t="s">
        <v>749</v>
      </c>
      <c r="C1165" s="233">
        <f>1+3</f>
        <v>4</v>
      </c>
      <c r="D1165" s="234">
        <v>1</v>
      </c>
      <c r="E1165" s="234"/>
      <c r="F1165" s="220">
        <f t="shared" si="464"/>
        <v>5</v>
      </c>
      <c r="G1165" s="248">
        <v>45048</v>
      </c>
      <c r="H1165" s="6"/>
      <c r="I1165" s="206"/>
      <c r="J1165" s="15"/>
      <c r="K1165" s="15"/>
      <c r="L1165" s="220">
        <f t="shared" si="465"/>
        <v>0</v>
      </c>
      <c r="O1165" s="6"/>
      <c r="P1165" s="15"/>
      <c r="Q1165" s="14">
        <f t="shared" si="466"/>
        <v>0</v>
      </c>
      <c r="R1165" s="186"/>
      <c r="S1165" s="6"/>
      <c r="T1165" s="15"/>
      <c r="U1165" s="14">
        <f t="shared" si="467"/>
        <v>0</v>
      </c>
    </row>
    <row r="1166" spans="1:21" x14ac:dyDescent="0.15">
      <c r="A1166" s="1"/>
      <c r="B1166" s="4" t="s">
        <v>749</v>
      </c>
      <c r="C1166" s="233">
        <f>15+11+2+13</f>
        <v>41</v>
      </c>
      <c r="D1166" s="234">
        <f>2+4</f>
        <v>6</v>
      </c>
      <c r="E1166" s="234">
        <f>1+4</f>
        <v>5</v>
      </c>
      <c r="F1166" s="220">
        <f t="shared" si="464"/>
        <v>52</v>
      </c>
      <c r="G1166" s="248">
        <v>45054</v>
      </c>
      <c r="H1166" s="6"/>
      <c r="I1166" s="208"/>
      <c r="J1166" s="15"/>
      <c r="K1166" s="15"/>
      <c r="L1166" s="220">
        <f t="shared" si="465"/>
        <v>0</v>
      </c>
      <c r="O1166" s="4"/>
      <c r="P1166" s="15"/>
      <c r="Q1166" s="14">
        <f t="shared" si="466"/>
        <v>0</v>
      </c>
      <c r="R1166" s="186"/>
      <c r="S1166" s="6"/>
      <c r="T1166" s="15"/>
      <c r="U1166" s="14">
        <f t="shared" si="467"/>
        <v>0</v>
      </c>
    </row>
    <row r="1167" spans="1:21" x14ac:dyDescent="0.15">
      <c r="A1167" s="1"/>
      <c r="B1167" s="4" t="s">
        <v>749</v>
      </c>
      <c r="C1167" s="233">
        <f>2+6</f>
        <v>8</v>
      </c>
      <c r="D1167" s="234">
        <f>1+1</f>
        <v>2</v>
      </c>
      <c r="E1167" s="234">
        <v>1</v>
      </c>
      <c r="F1167" s="220">
        <f t="shared" si="464"/>
        <v>11</v>
      </c>
      <c r="G1167" s="248">
        <v>45055</v>
      </c>
      <c r="H1167" s="6"/>
      <c r="I1167" s="208"/>
      <c r="J1167" s="15"/>
      <c r="K1167" s="15"/>
      <c r="L1167" s="220">
        <f t="shared" si="465"/>
        <v>0</v>
      </c>
      <c r="M1167" s="212"/>
      <c r="O1167" s="6"/>
      <c r="P1167" s="15"/>
      <c r="Q1167" s="14">
        <f t="shared" si="466"/>
        <v>0</v>
      </c>
      <c r="R1167" s="186"/>
      <c r="S1167" s="4"/>
      <c r="T1167" s="15"/>
      <c r="U1167" s="14">
        <f t="shared" si="467"/>
        <v>0</v>
      </c>
    </row>
    <row r="1168" spans="1:21" x14ac:dyDescent="0.15">
      <c r="A1168" s="1"/>
      <c r="B1168" s="4" t="s">
        <v>764</v>
      </c>
      <c r="C1168" s="233">
        <v>80</v>
      </c>
      <c r="D1168" s="234"/>
      <c r="E1168" s="234"/>
      <c r="F1168" s="220">
        <f t="shared" si="464"/>
        <v>80</v>
      </c>
      <c r="G1168" s="211">
        <v>45055</v>
      </c>
      <c r="H1168" s="6" t="s">
        <v>1111</v>
      </c>
      <c r="I1168" s="208"/>
      <c r="J1168" s="15"/>
      <c r="K1168" s="15"/>
      <c r="L1168" s="220">
        <f t="shared" ref="L1168" si="468">SUM(I1168:K1168)</f>
        <v>0</v>
      </c>
      <c r="M1168" s="212" t="s">
        <v>1108</v>
      </c>
      <c r="O1168" s="4"/>
      <c r="P1168" s="15"/>
      <c r="Q1168" s="14">
        <f t="shared" si="466"/>
        <v>0</v>
      </c>
      <c r="R1168" s="186"/>
      <c r="S1168" s="6"/>
      <c r="T1168" s="15"/>
      <c r="U1168" s="14">
        <f t="shared" si="467"/>
        <v>0</v>
      </c>
    </row>
    <row r="1169" spans="1:25" x14ac:dyDescent="0.15">
      <c r="A1169" s="75"/>
      <c r="B1169" s="4" t="s">
        <v>764</v>
      </c>
      <c r="C1169" s="233">
        <v>20</v>
      </c>
      <c r="D1169" s="234"/>
      <c r="E1169" s="234"/>
      <c r="F1169" s="220">
        <f t="shared" si="464"/>
        <v>20</v>
      </c>
      <c r="G1169" s="211">
        <v>45055</v>
      </c>
      <c r="H1169" s="254" t="s">
        <v>1128</v>
      </c>
      <c r="I1169" s="270"/>
      <c r="J1169" s="252"/>
      <c r="K1169" s="252"/>
      <c r="L1169" s="250">
        <f t="shared" si="465"/>
        <v>0</v>
      </c>
      <c r="M1169" s="251"/>
      <c r="O1169" s="4"/>
      <c r="P1169" s="15"/>
      <c r="Q1169" s="14">
        <f t="shared" si="466"/>
        <v>0</v>
      </c>
      <c r="R1169" s="186"/>
      <c r="S1169" s="4"/>
      <c r="T1169" s="15"/>
      <c r="U1169" s="14">
        <f t="shared" si="467"/>
        <v>0</v>
      </c>
      <c r="V1169" s="212"/>
    </row>
    <row r="1170" spans="1:25" x14ac:dyDescent="0.15">
      <c r="A1170" s="1"/>
      <c r="B1170" s="4" t="s">
        <v>749</v>
      </c>
      <c r="C1170" s="233">
        <f>1+30</f>
        <v>31</v>
      </c>
      <c r="D1170" s="234">
        <v>7</v>
      </c>
      <c r="E1170" s="234">
        <f>1+8</f>
        <v>9</v>
      </c>
      <c r="F1170" s="220">
        <f t="shared" si="464"/>
        <v>47</v>
      </c>
      <c r="G1170" s="248">
        <v>45056</v>
      </c>
      <c r="H1170" s="6" t="s">
        <v>1107</v>
      </c>
      <c r="I1170" s="208"/>
      <c r="J1170" s="271"/>
      <c r="K1170" s="271"/>
      <c r="L1170" s="220">
        <f t="shared" si="465"/>
        <v>0</v>
      </c>
      <c r="M1170" s="212" t="s">
        <v>1109</v>
      </c>
      <c r="O1170" s="4"/>
      <c r="P1170" s="15"/>
      <c r="Q1170" s="14">
        <f t="shared" si="466"/>
        <v>0</v>
      </c>
      <c r="R1170" s="186"/>
      <c r="S1170" s="4" t="s">
        <v>1106</v>
      </c>
      <c r="T1170" s="15"/>
      <c r="U1170" s="14">
        <f t="shared" ref="U1170" si="469">SUM(T1170:T1170)</f>
        <v>0</v>
      </c>
      <c r="V1170" s="212" t="s">
        <v>1108</v>
      </c>
    </row>
    <row r="1171" spans="1:25" x14ac:dyDescent="0.15">
      <c r="A1171" s="1"/>
      <c r="B1171" s="4" t="s">
        <v>1148</v>
      </c>
      <c r="C1171" s="233">
        <v>1</v>
      </c>
      <c r="D1171" s="234">
        <v>1</v>
      </c>
      <c r="E1171" s="234">
        <v>1</v>
      </c>
      <c r="F1171" s="220">
        <f t="shared" si="464"/>
        <v>3</v>
      </c>
      <c r="G1171" s="211">
        <v>45058</v>
      </c>
      <c r="H1171" s="4" t="s">
        <v>1110</v>
      </c>
      <c r="I1171" s="208"/>
      <c r="J1171" s="272"/>
      <c r="K1171" s="272"/>
      <c r="L1171" s="220">
        <f t="shared" si="465"/>
        <v>0</v>
      </c>
      <c r="M1171" s="212" t="s">
        <v>1109</v>
      </c>
      <c r="O1171" s="6"/>
      <c r="P1171" s="15"/>
      <c r="Q1171" s="14">
        <f t="shared" si="466"/>
        <v>0</v>
      </c>
      <c r="R1171" s="186"/>
      <c r="S1171" s="4" t="s">
        <v>1107</v>
      </c>
      <c r="T1171" s="15"/>
      <c r="U1171" s="14">
        <f t="shared" si="467"/>
        <v>0</v>
      </c>
      <c r="V1171" s="186" t="s">
        <v>1109</v>
      </c>
    </row>
    <row r="1172" spans="1:25" ht="14.25" thickBot="1" x14ac:dyDescent="0.2">
      <c r="A1172" s="1"/>
      <c r="B1172" s="4" t="s">
        <v>749</v>
      </c>
      <c r="C1172" s="235">
        <v>32</v>
      </c>
      <c r="D1172" s="234">
        <v>3</v>
      </c>
      <c r="E1172" s="234">
        <v>1</v>
      </c>
      <c r="F1172" s="220">
        <f t="shared" si="464"/>
        <v>36</v>
      </c>
      <c r="G1172" s="248">
        <v>45057</v>
      </c>
      <c r="H1172" s="4" t="s">
        <v>1103</v>
      </c>
      <c r="I1172" s="208"/>
      <c r="J1172" s="206"/>
      <c r="K1172" s="206"/>
      <c r="L1172" s="220">
        <f t="shared" si="465"/>
        <v>0</v>
      </c>
      <c r="M1172" s="211">
        <v>45061</v>
      </c>
      <c r="O1172" s="6"/>
      <c r="P1172" s="15"/>
      <c r="Q1172" s="14">
        <f t="shared" si="466"/>
        <v>0</v>
      </c>
      <c r="R1172" s="186"/>
      <c r="S1172" s="4" t="s">
        <v>1097</v>
      </c>
      <c r="T1172" s="15"/>
      <c r="U1172" s="14">
        <f t="shared" si="467"/>
        <v>0</v>
      </c>
      <c r="V1172" s="212" t="s">
        <v>1098</v>
      </c>
    </row>
    <row r="1173" spans="1:25" ht="14.25" thickBot="1" x14ac:dyDescent="0.2">
      <c r="A1173" s="1"/>
      <c r="B1173" s="3" t="s">
        <v>5</v>
      </c>
      <c r="C1173" s="16">
        <f>SUM(C1149:C1172)</f>
        <v>543</v>
      </c>
      <c r="D1173" s="16">
        <f>SUM(D1149:D1172)</f>
        <v>97</v>
      </c>
      <c r="E1173" s="16">
        <f>SUM(E1149:E1172)</f>
        <v>109</v>
      </c>
      <c r="F1173" s="223">
        <f>SUM(F1149:F1172)</f>
        <v>749</v>
      </c>
      <c r="H1173" s="3" t="s">
        <v>5</v>
      </c>
      <c r="I1173" s="16">
        <f>SUM(I1149:I1172)</f>
        <v>1163</v>
      </c>
      <c r="J1173" s="16">
        <f>SUM(J1149:J1172)</f>
        <v>200</v>
      </c>
      <c r="K1173" s="16">
        <f>SUM(K1149:K1172)</f>
        <v>200</v>
      </c>
      <c r="L1173" s="223">
        <f>SUM(L1149:L1172)</f>
        <v>1563</v>
      </c>
      <c r="O1173" s="3" t="s">
        <v>5</v>
      </c>
      <c r="P1173" s="16">
        <f>SUM(P1149:P1172)</f>
        <v>0</v>
      </c>
      <c r="Q1173" s="17">
        <f>SUM(Q1149:Q1172)</f>
        <v>0</v>
      </c>
      <c r="S1173" s="3" t="s">
        <v>5</v>
      </c>
      <c r="T1173" s="16">
        <f>SUM(T1149:T1172)</f>
        <v>78</v>
      </c>
      <c r="U1173" s="17">
        <f>SUM(U1149:U1172)</f>
        <v>78</v>
      </c>
    </row>
    <row r="1174" spans="1:25" ht="14.25" thickBot="1" x14ac:dyDescent="0.2">
      <c r="A1174" s="1"/>
      <c r="B1174" s="18" t="s">
        <v>6</v>
      </c>
      <c r="C1174" s="19">
        <f>C1148-C1173</f>
        <v>303</v>
      </c>
      <c r="D1174" s="19">
        <f>D1148-D1173</f>
        <v>135</v>
      </c>
      <c r="E1174" s="19">
        <f t="shared" ref="E1174" si="470">E1148-E1173</f>
        <v>126</v>
      </c>
      <c r="F1174" s="221">
        <f>F1148-F1173</f>
        <v>564</v>
      </c>
      <c r="H1174" s="18" t="s">
        <v>6</v>
      </c>
      <c r="I1174" s="19">
        <f>I1148-I1173</f>
        <v>6556</v>
      </c>
      <c r="J1174" s="19">
        <f>J1148-J1173</f>
        <v>788</v>
      </c>
      <c r="K1174" s="19">
        <f t="shared" ref="K1174" si="471">K1148-K1173</f>
        <v>902</v>
      </c>
      <c r="L1174" s="221">
        <f>L1148-L1173</f>
        <v>8246</v>
      </c>
      <c r="N1174" t="s">
        <v>1113</v>
      </c>
      <c r="O1174" s="18" t="s">
        <v>6</v>
      </c>
      <c r="P1174" s="19">
        <f>P1148-P1173</f>
        <v>0</v>
      </c>
      <c r="Q1174" s="13">
        <f>Q1148-Q1173</f>
        <v>0</v>
      </c>
      <c r="S1174" s="18" t="s">
        <v>6</v>
      </c>
      <c r="T1174" s="19">
        <f>T1148-T1173</f>
        <v>3750</v>
      </c>
      <c r="U1174" s="13">
        <f>U1148-U1173</f>
        <v>3750</v>
      </c>
      <c r="W1174" t="s">
        <v>1114</v>
      </c>
      <c r="X1174" t="s">
        <v>1113</v>
      </c>
    </row>
    <row r="1175" spans="1:25" x14ac:dyDescent="0.15">
      <c r="M1175" t="s">
        <v>1087</v>
      </c>
      <c r="N1175">
        <v>0</v>
      </c>
      <c r="V1175" t="s">
        <v>1087</v>
      </c>
      <c r="W1175">
        <v>450</v>
      </c>
      <c r="X1175">
        <v>341</v>
      </c>
    </row>
    <row r="1176" spans="1:25" x14ac:dyDescent="0.15">
      <c r="M1176" t="s">
        <v>1088</v>
      </c>
      <c r="N1176">
        <v>422</v>
      </c>
      <c r="V1176" t="s">
        <v>1088</v>
      </c>
      <c r="W1176">
        <v>2744</v>
      </c>
      <c r="X1176">
        <v>2598</v>
      </c>
    </row>
    <row r="1177" spans="1:25" ht="18" thickBot="1" x14ac:dyDescent="0.25">
      <c r="B1177" s="27" t="s">
        <v>739</v>
      </c>
      <c r="C1177" s="28"/>
      <c r="D1177" s="28"/>
      <c r="E1177" s="28"/>
      <c r="F1177" s="218"/>
      <c r="H1177" s="27" t="s">
        <v>740</v>
      </c>
      <c r="I1177" s="28"/>
      <c r="J1177" s="28"/>
      <c r="K1177" s="28"/>
      <c r="L1177" s="218"/>
      <c r="M1177" t="s">
        <v>1089</v>
      </c>
      <c r="N1177">
        <v>1427</v>
      </c>
      <c r="O1177" s="181" t="s">
        <v>737</v>
      </c>
      <c r="P1177" s="182"/>
      <c r="Q1177" s="182"/>
      <c r="R1177" s="183"/>
      <c r="S1177" s="181" t="s">
        <v>733</v>
      </c>
      <c r="T1177" s="182"/>
      <c r="U1177" s="182"/>
      <c r="V1177" t="s">
        <v>1089</v>
      </c>
      <c r="W1177">
        <v>550</v>
      </c>
      <c r="X1177">
        <v>690</v>
      </c>
    </row>
    <row r="1178" spans="1:25" ht="14.25" thickBot="1" x14ac:dyDescent="0.2">
      <c r="B1178" s="2"/>
      <c r="C1178" s="194" t="s">
        <v>734</v>
      </c>
      <c r="D1178" s="195" t="s">
        <v>706</v>
      </c>
      <c r="E1178" s="2" t="s">
        <v>735</v>
      </c>
      <c r="F1178" s="219" t="s">
        <v>1</v>
      </c>
      <c r="H1178" s="2"/>
      <c r="I1178" s="197" t="s">
        <v>734</v>
      </c>
      <c r="J1178" s="195" t="s">
        <v>706</v>
      </c>
      <c r="K1178" s="201" t="s">
        <v>735</v>
      </c>
      <c r="L1178" s="219" t="s">
        <v>1</v>
      </c>
      <c r="M1178" t="s">
        <v>1090</v>
      </c>
      <c r="N1178">
        <v>401</v>
      </c>
      <c r="O1178" s="2"/>
      <c r="P1178" s="3" t="s">
        <v>722</v>
      </c>
      <c r="Q1178" s="2" t="s">
        <v>1</v>
      </c>
      <c r="S1178" s="2"/>
      <c r="T1178" s="3" t="s">
        <v>722</v>
      </c>
      <c r="U1178" s="2" t="s">
        <v>1</v>
      </c>
      <c r="V1178" t="s">
        <v>1090</v>
      </c>
      <c r="W1178">
        <v>500</v>
      </c>
      <c r="X1178">
        <v>181</v>
      </c>
    </row>
    <row r="1179" spans="1:25" x14ac:dyDescent="0.15">
      <c r="B1179" s="164" t="s">
        <v>26</v>
      </c>
      <c r="C1179" s="200">
        <f>C1174</f>
        <v>303</v>
      </c>
      <c r="D1179" s="164">
        <f t="shared" ref="D1179:F1179" si="472">D1174</f>
        <v>135</v>
      </c>
      <c r="E1179" s="164">
        <f t="shared" si="472"/>
        <v>126</v>
      </c>
      <c r="F1179" s="222">
        <f t="shared" si="472"/>
        <v>564</v>
      </c>
      <c r="H1179" s="164" t="s">
        <v>26</v>
      </c>
      <c r="I1179" s="200">
        <f>I1174</f>
        <v>6556</v>
      </c>
      <c r="J1179" s="164">
        <f t="shared" ref="J1179:L1179" si="473">J1174</f>
        <v>788</v>
      </c>
      <c r="K1179" s="200">
        <f t="shared" si="473"/>
        <v>902</v>
      </c>
      <c r="L1179" s="222">
        <f t="shared" si="473"/>
        <v>8246</v>
      </c>
      <c r="M1179" t="s">
        <v>1091</v>
      </c>
      <c r="N1179">
        <v>277</v>
      </c>
      <c r="O1179" s="171" t="s">
        <v>26</v>
      </c>
      <c r="P1179" s="200">
        <f>P1174</f>
        <v>0</v>
      </c>
      <c r="Q1179" s="180">
        <f>Q1174</f>
        <v>0</v>
      </c>
      <c r="R1179" s="185"/>
      <c r="S1179" s="43" t="s">
        <v>26</v>
      </c>
      <c r="T1179" s="38">
        <f>T1174</f>
        <v>3750</v>
      </c>
      <c r="U1179" s="39">
        <f>U1174</f>
        <v>3750</v>
      </c>
      <c r="V1179" t="s">
        <v>1091</v>
      </c>
      <c r="W1179">
        <v>0</v>
      </c>
      <c r="X1179">
        <v>146</v>
      </c>
      <c r="Y1179" t="s">
        <v>1092</v>
      </c>
    </row>
    <row r="1180" spans="1:25" x14ac:dyDescent="0.15">
      <c r="B1180" s="6" t="s">
        <v>3</v>
      </c>
      <c r="C1180" s="6">
        <v>200</v>
      </c>
      <c r="D1180" s="6"/>
      <c r="E1180" s="4"/>
      <c r="F1180" s="220">
        <f t="shared" ref="F1180:F1189" si="474">SUM(C1180:E1180)</f>
        <v>200</v>
      </c>
      <c r="G1180" s="211">
        <v>45064</v>
      </c>
      <c r="H1180" s="6" t="s">
        <v>3</v>
      </c>
      <c r="I1180" s="188"/>
      <c r="J1180" s="225"/>
      <c r="K1180" s="243"/>
      <c r="L1180" s="220">
        <f t="shared" ref="L1180:L1189" si="475">SUM(I1180:K1180)</f>
        <v>0</v>
      </c>
      <c r="M1180" s="269" t="s">
        <v>1105</v>
      </c>
      <c r="N1180">
        <f>SUM(N1175:N1179)</f>
        <v>2527</v>
      </c>
      <c r="O1180" s="6" t="s">
        <v>3</v>
      </c>
      <c r="P1180" s="7"/>
      <c r="Q1180" s="5">
        <f t="shared" ref="Q1180:Q1189" si="476">SUM(P1180:P1180)</f>
        <v>0</v>
      </c>
      <c r="R1180" s="186"/>
      <c r="S1180" s="6" t="s">
        <v>3</v>
      </c>
      <c r="T1180" s="7"/>
      <c r="U1180" s="5">
        <f t="shared" ref="U1180:U1189" si="477">SUM(T1180:T1180)</f>
        <v>0</v>
      </c>
      <c r="V1180" s="269" t="s">
        <v>1105</v>
      </c>
      <c r="W1180">
        <f>SUM(W1175:W1179)</f>
        <v>4244</v>
      </c>
      <c r="Y1180">
        <v>3959</v>
      </c>
    </row>
    <row r="1181" spans="1:25" x14ac:dyDescent="0.15">
      <c r="B1181" s="6" t="s">
        <v>3</v>
      </c>
      <c r="C1181" s="6">
        <v>200</v>
      </c>
      <c r="D1181" s="6"/>
      <c r="E1181" s="4"/>
      <c r="F1181" s="220">
        <f t="shared" si="474"/>
        <v>200</v>
      </c>
      <c r="G1181" s="211">
        <v>45072</v>
      </c>
      <c r="H1181" s="6" t="s">
        <v>3</v>
      </c>
      <c r="I1181" s="188"/>
      <c r="J1181" s="225"/>
      <c r="K1181" s="243"/>
      <c r="L1181" s="220">
        <f t="shared" si="475"/>
        <v>0</v>
      </c>
      <c r="O1181" s="6" t="s">
        <v>3</v>
      </c>
      <c r="P1181" s="7"/>
      <c r="Q1181" s="5">
        <f t="shared" si="476"/>
        <v>0</v>
      </c>
      <c r="R1181" s="186"/>
      <c r="S1181" s="6" t="s">
        <v>3</v>
      </c>
      <c r="T1181" s="54"/>
      <c r="U1181" s="5">
        <f t="shared" si="477"/>
        <v>0</v>
      </c>
    </row>
    <row r="1182" spans="1:25" x14ac:dyDescent="0.15">
      <c r="B1182" s="6" t="s">
        <v>3</v>
      </c>
      <c r="C1182" s="6">
        <v>200</v>
      </c>
      <c r="D1182" s="6">
        <v>100</v>
      </c>
      <c r="E1182" s="4">
        <v>100</v>
      </c>
      <c r="F1182" s="220">
        <f t="shared" si="474"/>
        <v>400</v>
      </c>
      <c r="G1182" s="211">
        <v>45077</v>
      </c>
      <c r="H1182" s="6" t="s">
        <v>3</v>
      </c>
      <c r="I1182" s="188"/>
      <c r="J1182" s="225"/>
      <c r="K1182" s="243"/>
      <c r="L1182" s="220">
        <f t="shared" si="475"/>
        <v>0</v>
      </c>
      <c r="O1182" s="6" t="s">
        <v>3</v>
      </c>
      <c r="P1182" s="7"/>
      <c r="Q1182" s="5">
        <f t="shared" si="476"/>
        <v>0</v>
      </c>
      <c r="R1182" s="186"/>
      <c r="S1182" s="6" t="s">
        <v>3</v>
      </c>
      <c r="T1182" s="54"/>
      <c r="U1182" s="5">
        <f t="shared" ref="U1182" si="478">SUM(T1182:T1182)</f>
        <v>0</v>
      </c>
    </row>
    <row r="1183" spans="1:25" x14ac:dyDescent="0.15">
      <c r="B1183" s="6" t="s">
        <v>3</v>
      </c>
      <c r="C1183" s="6"/>
      <c r="D1183" s="6"/>
      <c r="E1183" s="4"/>
      <c r="F1183" s="220">
        <f t="shared" si="474"/>
        <v>0</v>
      </c>
      <c r="H1183" s="6" t="s">
        <v>3</v>
      </c>
      <c r="I1183" s="188"/>
      <c r="J1183" s="225"/>
      <c r="K1183" s="243"/>
      <c r="L1183" s="220">
        <f t="shared" si="475"/>
        <v>0</v>
      </c>
      <c r="O1183" s="6" t="s">
        <v>3</v>
      </c>
      <c r="P1183" s="7"/>
      <c r="Q1183" s="5">
        <f t="shared" si="476"/>
        <v>0</v>
      </c>
      <c r="R1183" s="186"/>
      <c r="S1183" s="6" t="s">
        <v>3</v>
      </c>
      <c r="T1183" s="54"/>
      <c r="U1183" s="5">
        <f t="shared" si="477"/>
        <v>0</v>
      </c>
    </row>
    <row r="1184" spans="1:25" x14ac:dyDescent="0.15">
      <c r="B1184" s="6" t="s">
        <v>3</v>
      </c>
      <c r="C1184" s="6"/>
      <c r="D1184" s="6"/>
      <c r="E1184" s="4"/>
      <c r="F1184" s="220">
        <f t="shared" si="474"/>
        <v>0</v>
      </c>
      <c r="H1184" s="6" t="s">
        <v>3</v>
      </c>
      <c r="I1184" s="188"/>
      <c r="J1184" s="225"/>
      <c r="K1184" s="243"/>
      <c r="L1184" s="220">
        <f t="shared" si="475"/>
        <v>0</v>
      </c>
      <c r="O1184" s="6" t="s">
        <v>3</v>
      </c>
      <c r="P1184" s="7"/>
      <c r="Q1184" s="5">
        <f t="shared" si="476"/>
        <v>0</v>
      </c>
      <c r="R1184" s="186"/>
      <c r="S1184" s="6" t="s">
        <v>3</v>
      </c>
      <c r="T1184" s="54"/>
      <c r="U1184" s="5">
        <f t="shared" si="477"/>
        <v>0</v>
      </c>
    </row>
    <row r="1185" spans="2:22" x14ac:dyDescent="0.15">
      <c r="B1185" s="6" t="s">
        <v>3</v>
      </c>
      <c r="C1185" s="6"/>
      <c r="D1185" s="6"/>
      <c r="E1185" s="4"/>
      <c r="F1185" s="220">
        <f t="shared" si="474"/>
        <v>0</v>
      </c>
      <c r="H1185" s="6" t="s">
        <v>3</v>
      </c>
      <c r="I1185" s="188"/>
      <c r="J1185" s="6"/>
      <c r="K1185" s="202"/>
      <c r="L1185" s="220">
        <f t="shared" si="475"/>
        <v>0</v>
      </c>
      <c r="O1185" s="6" t="s">
        <v>3</v>
      </c>
      <c r="P1185" s="7"/>
      <c r="Q1185" s="5">
        <f t="shared" si="476"/>
        <v>0</v>
      </c>
      <c r="R1185" s="186"/>
      <c r="S1185" s="6" t="s">
        <v>3</v>
      </c>
      <c r="T1185" s="7"/>
      <c r="U1185" s="5">
        <f t="shared" si="477"/>
        <v>0</v>
      </c>
    </row>
    <row r="1186" spans="2:22" x14ac:dyDescent="0.15">
      <c r="B1186" s="6" t="s">
        <v>3</v>
      </c>
      <c r="C1186" s="6"/>
      <c r="D1186" s="225"/>
      <c r="E1186" s="226"/>
      <c r="F1186" s="220">
        <f t="shared" si="474"/>
        <v>0</v>
      </c>
      <c r="H1186" s="6" t="s">
        <v>3</v>
      </c>
      <c r="I1186" s="188"/>
      <c r="J1186" s="225"/>
      <c r="K1186" s="243"/>
      <c r="L1186" s="220">
        <f t="shared" si="475"/>
        <v>0</v>
      </c>
      <c r="O1186" s="6" t="s">
        <v>3</v>
      </c>
      <c r="P1186" s="8"/>
      <c r="Q1186" s="5">
        <f t="shared" si="476"/>
        <v>0</v>
      </c>
      <c r="R1186" s="186"/>
      <c r="S1186" s="6" t="s">
        <v>3</v>
      </c>
      <c r="T1186" s="54"/>
      <c r="U1186" s="5">
        <f t="shared" si="477"/>
        <v>0</v>
      </c>
    </row>
    <row r="1187" spans="2:22" x14ac:dyDescent="0.15">
      <c r="B1187" s="6" t="s">
        <v>3</v>
      </c>
      <c r="C1187" s="6"/>
      <c r="D1187" s="225"/>
      <c r="E1187" s="226"/>
      <c r="F1187" s="220">
        <f t="shared" si="474"/>
        <v>0</v>
      </c>
      <c r="H1187" s="6" t="s">
        <v>3</v>
      </c>
      <c r="I1187" s="188"/>
      <c r="J1187" s="225"/>
      <c r="K1187" s="243"/>
      <c r="L1187" s="220">
        <f t="shared" si="475"/>
        <v>0</v>
      </c>
      <c r="O1187" s="6" t="s">
        <v>3</v>
      </c>
      <c r="P1187" s="8"/>
      <c r="Q1187" s="5">
        <f t="shared" si="476"/>
        <v>0</v>
      </c>
      <c r="R1187" s="186"/>
      <c r="S1187" s="6" t="s">
        <v>3</v>
      </c>
      <c r="T1187" s="54"/>
      <c r="U1187" s="5">
        <f t="shared" si="477"/>
        <v>0</v>
      </c>
    </row>
    <row r="1188" spans="2:22" x14ac:dyDescent="0.15">
      <c r="B1188" s="6" t="s">
        <v>3</v>
      </c>
      <c r="C1188" s="6"/>
      <c r="D1188" s="225"/>
      <c r="E1188" s="226"/>
      <c r="F1188" s="220">
        <f t="shared" si="474"/>
        <v>0</v>
      </c>
      <c r="H1188" s="6" t="s">
        <v>3</v>
      </c>
      <c r="I1188" s="188"/>
      <c r="J1188" s="225"/>
      <c r="K1188" s="243"/>
      <c r="L1188" s="220">
        <f t="shared" si="475"/>
        <v>0</v>
      </c>
      <c r="O1188" s="6" t="s">
        <v>3</v>
      </c>
      <c r="P1188" s="8"/>
      <c r="Q1188" s="5">
        <f t="shared" si="476"/>
        <v>0</v>
      </c>
      <c r="R1188" s="186"/>
      <c r="S1188" s="6" t="s">
        <v>3</v>
      </c>
      <c r="T1188" s="54"/>
      <c r="U1188" s="5">
        <f t="shared" si="477"/>
        <v>0</v>
      </c>
    </row>
    <row r="1189" spans="2:22" ht="14.25" thickBot="1" x14ac:dyDescent="0.2">
      <c r="B1189" s="6" t="s">
        <v>3</v>
      </c>
      <c r="C1189" s="9"/>
      <c r="D1189" s="237"/>
      <c r="E1189" s="238"/>
      <c r="F1189" s="220">
        <f t="shared" si="474"/>
        <v>0</v>
      </c>
      <c r="H1189" s="9" t="s">
        <v>3</v>
      </c>
      <c r="I1189" s="198"/>
      <c r="J1189" s="244"/>
      <c r="K1189" s="245"/>
      <c r="L1189" s="220">
        <f t="shared" si="475"/>
        <v>0</v>
      </c>
      <c r="O1189" s="9" t="s">
        <v>3</v>
      </c>
      <c r="P1189" s="10"/>
      <c r="Q1189" s="5">
        <f t="shared" si="476"/>
        <v>0</v>
      </c>
      <c r="R1189" s="186"/>
      <c r="S1189" s="9" t="s">
        <v>3</v>
      </c>
      <c r="T1189" s="101"/>
      <c r="U1189" s="5">
        <f t="shared" si="477"/>
        <v>0</v>
      </c>
    </row>
    <row r="1190" spans="2:22" ht="14.25" thickBot="1" x14ac:dyDescent="0.2">
      <c r="B1190" s="11" t="s">
        <v>4</v>
      </c>
      <c r="C1190" s="193">
        <f>SUM(C1179:C1189)</f>
        <v>903</v>
      </c>
      <c r="D1190" s="193">
        <f>SUM(D1179:D1189)</f>
        <v>235</v>
      </c>
      <c r="E1190" s="193">
        <f>SUM(E1179:E1189)</f>
        <v>226</v>
      </c>
      <c r="F1190" s="221">
        <f>SUM(F1179:F1189)</f>
        <v>1364</v>
      </c>
      <c r="H1190" s="11" t="s">
        <v>4</v>
      </c>
      <c r="I1190" s="193">
        <f>SUM(I1179:I1189)</f>
        <v>6556</v>
      </c>
      <c r="J1190" s="193">
        <f>SUM(J1179:J1189)</f>
        <v>788</v>
      </c>
      <c r="K1190" s="193">
        <f t="shared" ref="K1190" si="479">SUM(K1179:K1189)</f>
        <v>902</v>
      </c>
      <c r="L1190" s="221">
        <f>SUM(L1179:L1189)</f>
        <v>8246</v>
      </c>
      <c r="O1190" s="11" t="s">
        <v>4</v>
      </c>
      <c r="P1190" s="12">
        <f>SUM(P1179:P1189)</f>
        <v>0</v>
      </c>
      <c r="Q1190" s="13">
        <f>SUM(Q1179:Q1189)</f>
        <v>0</v>
      </c>
      <c r="S1190" s="11" t="s">
        <v>4</v>
      </c>
      <c r="T1190" s="12">
        <f>SUM(T1179:T1189)</f>
        <v>3750</v>
      </c>
      <c r="U1190" s="13">
        <f>SUM(U1179:U1189)</f>
        <v>3750</v>
      </c>
    </row>
    <row r="1191" spans="2:22" x14ac:dyDescent="0.15">
      <c r="B1191" s="4" t="s">
        <v>749</v>
      </c>
      <c r="C1191" s="233">
        <f>4+3+2</f>
        <v>9</v>
      </c>
      <c r="D1191" s="234">
        <v>2</v>
      </c>
      <c r="E1191" s="234"/>
      <c r="F1191" s="220">
        <f t="shared" ref="F1191:F1214" si="480">SUM(C1191:E1191)</f>
        <v>11</v>
      </c>
      <c r="G1191" s="248">
        <v>45058</v>
      </c>
      <c r="H1191" s="4" t="s">
        <v>1150</v>
      </c>
      <c r="I1191" s="208">
        <v>200</v>
      </c>
      <c r="J1191" s="15"/>
      <c r="K1191" s="15"/>
      <c r="L1191" s="220">
        <f t="shared" ref="L1191:L1214" si="481">SUM(I1191:K1191)</f>
        <v>200</v>
      </c>
      <c r="M1191" s="211">
        <v>45064</v>
      </c>
      <c r="O1191" s="4"/>
      <c r="P1191" s="44"/>
      <c r="Q1191" s="14">
        <f t="shared" ref="Q1191:Q1214" si="482">SUM(P1191:P1191)</f>
        <v>0</v>
      </c>
      <c r="R1191" s="185"/>
      <c r="S1191" s="4" t="s">
        <v>1150</v>
      </c>
      <c r="T1191" s="163">
        <v>100</v>
      </c>
      <c r="U1191" s="14">
        <f t="shared" ref="U1191:U1208" si="483">SUM(T1191:T1191)</f>
        <v>100</v>
      </c>
      <c r="V1191" s="211">
        <v>45064</v>
      </c>
    </row>
    <row r="1192" spans="2:22" x14ac:dyDescent="0.15">
      <c r="B1192" s="4" t="s">
        <v>749</v>
      </c>
      <c r="C1192" s="233">
        <v>2</v>
      </c>
      <c r="D1192" s="234"/>
      <c r="E1192" s="234"/>
      <c r="F1192" s="220">
        <f t="shared" si="480"/>
        <v>2</v>
      </c>
      <c r="G1192" s="248">
        <v>45059</v>
      </c>
      <c r="H1192" s="4" t="s">
        <v>1164</v>
      </c>
      <c r="I1192" s="208">
        <v>13</v>
      </c>
      <c r="J1192" s="15">
        <v>39</v>
      </c>
      <c r="K1192" s="15">
        <v>4</v>
      </c>
      <c r="L1192" s="220">
        <f t="shared" si="481"/>
        <v>56</v>
      </c>
      <c r="M1192" s="211">
        <v>45063</v>
      </c>
      <c r="O1192" s="4"/>
      <c r="P1192" s="15"/>
      <c r="Q1192" s="14">
        <f t="shared" si="482"/>
        <v>0</v>
      </c>
      <c r="R1192" s="186"/>
      <c r="S1192" s="6" t="s">
        <v>920</v>
      </c>
      <c r="T1192" s="261">
        <v>27</v>
      </c>
      <c r="U1192" s="14">
        <f t="shared" si="483"/>
        <v>27</v>
      </c>
      <c r="V1192" s="211">
        <v>45065</v>
      </c>
    </row>
    <row r="1193" spans="2:22" x14ac:dyDescent="0.15">
      <c r="B1193" s="4" t="s">
        <v>920</v>
      </c>
      <c r="C1193" s="233">
        <v>2</v>
      </c>
      <c r="D1193" s="234">
        <v>2</v>
      </c>
      <c r="E1193" s="234">
        <v>2</v>
      </c>
      <c r="F1193" s="220">
        <f t="shared" si="480"/>
        <v>6</v>
      </c>
      <c r="G1193" s="211">
        <v>45062</v>
      </c>
      <c r="H1193" s="4" t="s">
        <v>745</v>
      </c>
      <c r="I1193" s="208">
        <v>200</v>
      </c>
      <c r="J1193" s="15"/>
      <c r="K1193" s="15"/>
      <c r="L1193" s="220">
        <f t="shared" si="481"/>
        <v>200</v>
      </c>
      <c r="M1193" s="211">
        <v>45064</v>
      </c>
      <c r="O1193" s="4"/>
      <c r="P1193" s="15"/>
      <c r="Q1193" s="14">
        <f t="shared" si="482"/>
        <v>0</v>
      </c>
      <c r="R1193" s="186"/>
      <c r="S1193" s="4" t="s">
        <v>1162</v>
      </c>
      <c r="T1193" s="261">
        <v>650</v>
      </c>
      <c r="U1193" s="14">
        <f t="shared" si="483"/>
        <v>650</v>
      </c>
      <c r="V1193" s="211">
        <v>45079</v>
      </c>
    </row>
    <row r="1194" spans="2:22" x14ac:dyDescent="0.15">
      <c r="B1194" s="4" t="s">
        <v>749</v>
      </c>
      <c r="C1194" s="233">
        <v>71</v>
      </c>
      <c r="D1194" s="234">
        <v>12</v>
      </c>
      <c r="E1194" s="234">
        <v>3</v>
      </c>
      <c r="F1194" s="220">
        <f t="shared" si="480"/>
        <v>86</v>
      </c>
      <c r="G1194" s="248">
        <v>45061</v>
      </c>
      <c r="H1194" s="4" t="s">
        <v>1155</v>
      </c>
      <c r="I1194" s="208">
        <v>75</v>
      </c>
      <c r="J1194" s="15"/>
      <c r="K1194" s="15"/>
      <c r="L1194" s="220">
        <f t="shared" si="481"/>
        <v>75</v>
      </c>
      <c r="M1194" s="211">
        <v>45065</v>
      </c>
      <c r="O1194" s="4"/>
      <c r="P1194" s="15"/>
      <c r="Q1194" s="14">
        <f t="shared" si="482"/>
        <v>0</v>
      </c>
      <c r="R1194" s="186"/>
      <c r="S1194" s="6"/>
      <c r="T1194" s="261"/>
      <c r="U1194" s="14">
        <f t="shared" si="483"/>
        <v>0</v>
      </c>
      <c r="V1194" s="209"/>
    </row>
    <row r="1195" spans="2:22" x14ac:dyDescent="0.15">
      <c r="B1195" s="4" t="s">
        <v>749</v>
      </c>
      <c r="C1195" s="233">
        <f>2+31</f>
        <v>33</v>
      </c>
      <c r="D1195" s="234">
        <v>4</v>
      </c>
      <c r="E1195" s="234">
        <f>1+9</f>
        <v>10</v>
      </c>
      <c r="F1195" s="220">
        <f t="shared" si="480"/>
        <v>47</v>
      </c>
      <c r="G1195" s="248">
        <v>45062</v>
      </c>
      <c r="H1195" s="4" t="s">
        <v>1156</v>
      </c>
      <c r="I1195" s="208">
        <v>15</v>
      </c>
      <c r="J1195" s="15"/>
      <c r="K1195" s="15"/>
      <c r="L1195" s="220">
        <f t="shared" si="481"/>
        <v>15</v>
      </c>
      <c r="M1195" s="211">
        <v>45066</v>
      </c>
      <c r="O1195" s="4"/>
      <c r="P1195" s="15"/>
      <c r="Q1195" s="14">
        <f t="shared" si="482"/>
        <v>0</v>
      </c>
      <c r="R1195" s="186"/>
      <c r="S1195" s="6"/>
      <c r="T1195" s="261"/>
      <c r="U1195" s="14">
        <f t="shared" si="483"/>
        <v>0</v>
      </c>
      <c r="V1195" s="209"/>
    </row>
    <row r="1196" spans="2:22" x14ac:dyDescent="0.15">
      <c r="B1196" s="4" t="s">
        <v>920</v>
      </c>
      <c r="C1196" s="233">
        <v>3</v>
      </c>
      <c r="D1196" s="234">
        <v>3</v>
      </c>
      <c r="E1196" s="234">
        <v>3</v>
      </c>
      <c r="F1196" s="220">
        <f t="shared" si="480"/>
        <v>9</v>
      </c>
      <c r="G1196" s="211">
        <v>45064</v>
      </c>
      <c r="H1196" s="4" t="s">
        <v>1158</v>
      </c>
      <c r="I1196" s="208">
        <v>24</v>
      </c>
      <c r="J1196" s="15"/>
      <c r="K1196" s="15"/>
      <c r="L1196" s="220">
        <f t="shared" si="481"/>
        <v>24</v>
      </c>
      <c r="M1196" s="211">
        <v>45069</v>
      </c>
      <c r="O1196" s="4"/>
      <c r="P1196" s="15"/>
      <c r="Q1196" s="14">
        <f t="shared" si="482"/>
        <v>0</v>
      </c>
      <c r="R1196" s="186"/>
      <c r="S1196" s="6"/>
      <c r="T1196" s="261"/>
      <c r="U1196" s="14">
        <f t="shared" si="483"/>
        <v>0</v>
      </c>
      <c r="V1196" s="209"/>
    </row>
    <row r="1197" spans="2:22" x14ac:dyDescent="0.15">
      <c r="B1197" s="4" t="s">
        <v>749</v>
      </c>
      <c r="C1197" s="233">
        <f>17+21</f>
        <v>38</v>
      </c>
      <c r="D1197" s="234">
        <v>3</v>
      </c>
      <c r="E1197" s="234">
        <f>1+2</f>
        <v>3</v>
      </c>
      <c r="F1197" s="220">
        <f t="shared" si="480"/>
        <v>44</v>
      </c>
      <c r="G1197" s="211">
        <v>45063</v>
      </c>
      <c r="H1197" s="4" t="s">
        <v>1159</v>
      </c>
      <c r="I1197" s="208">
        <v>200</v>
      </c>
      <c r="J1197" s="15"/>
      <c r="K1197" s="15"/>
      <c r="L1197" s="220">
        <f t="shared" si="481"/>
        <v>200</v>
      </c>
      <c r="M1197" s="211">
        <v>45072</v>
      </c>
      <c r="O1197" s="4"/>
      <c r="P1197" s="15"/>
      <c r="Q1197" s="14">
        <f t="shared" si="482"/>
        <v>0</v>
      </c>
      <c r="R1197" s="186"/>
      <c r="S1197" s="4"/>
      <c r="T1197" s="261"/>
      <c r="U1197" s="14">
        <f t="shared" si="483"/>
        <v>0</v>
      </c>
      <c r="V1197" s="209"/>
    </row>
    <row r="1198" spans="2:22" x14ac:dyDescent="0.15">
      <c r="B1198" s="4" t="s">
        <v>1154</v>
      </c>
      <c r="C1198" s="233"/>
      <c r="D1198" s="234">
        <v>20</v>
      </c>
      <c r="E1198" s="234">
        <v>20</v>
      </c>
      <c r="F1198" s="220">
        <f t="shared" si="480"/>
        <v>40</v>
      </c>
      <c r="G1198" s="211">
        <v>45065</v>
      </c>
      <c r="H1198" s="4" t="s">
        <v>745</v>
      </c>
      <c r="I1198" s="208">
        <v>200</v>
      </c>
      <c r="J1198" s="15">
        <v>100</v>
      </c>
      <c r="K1198" s="15">
        <v>100</v>
      </c>
      <c r="L1198" s="220">
        <f t="shared" si="481"/>
        <v>400</v>
      </c>
      <c r="M1198" s="211">
        <v>45077</v>
      </c>
      <c r="O1198" s="4"/>
      <c r="P1198" s="15"/>
      <c r="Q1198" s="14">
        <f t="shared" si="482"/>
        <v>0</v>
      </c>
      <c r="R1198" s="186"/>
      <c r="S1198" s="4"/>
      <c r="T1198" s="261"/>
      <c r="U1198" s="14">
        <f t="shared" si="483"/>
        <v>0</v>
      </c>
      <c r="V1198" s="209"/>
    </row>
    <row r="1199" spans="2:22" x14ac:dyDescent="0.15">
      <c r="B1199" s="4" t="s">
        <v>749</v>
      </c>
      <c r="C1199" s="233">
        <f>3+31</f>
        <v>34</v>
      </c>
      <c r="D1199" s="234">
        <f>1+4</f>
        <v>5</v>
      </c>
      <c r="E1199" s="234">
        <v>4</v>
      </c>
      <c r="F1199" s="220">
        <f t="shared" si="480"/>
        <v>43</v>
      </c>
      <c r="G1199" s="248">
        <v>45064</v>
      </c>
      <c r="H1199" s="4" t="s">
        <v>1162</v>
      </c>
      <c r="I1199" s="208">
        <v>900</v>
      </c>
      <c r="J1199" s="15"/>
      <c r="K1199" s="15"/>
      <c r="L1199" s="220">
        <f t="shared" si="481"/>
        <v>900</v>
      </c>
      <c r="M1199" s="211">
        <v>45079</v>
      </c>
      <c r="O1199" s="4"/>
      <c r="P1199" s="15"/>
      <c r="Q1199" s="14">
        <f t="shared" si="482"/>
        <v>0</v>
      </c>
      <c r="R1199" s="186"/>
      <c r="S1199" s="4"/>
      <c r="T1199" s="261"/>
      <c r="U1199" s="14">
        <f t="shared" si="483"/>
        <v>0</v>
      </c>
      <c r="V1199" s="209"/>
    </row>
    <row r="1200" spans="2:22" x14ac:dyDescent="0.15">
      <c r="B1200" s="4" t="s">
        <v>749</v>
      </c>
      <c r="C1200" s="233">
        <f>4+18</f>
        <v>22</v>
      </c>
      <c r="D1200" s="234">
        <v>6</v>
      </c>
      <c r="E1200" s="234">
        <v>2</v>
      </c>
      <c r="F1200" s="220">
        <f t="shared" si="480"/>
        <v>30</v>
      </c>
      <c r="G1200" s="211">
        <v>45065</v>
      </c>
      <c r="H1200" s="4" t="s">
        <v>1165</v>
      </c>
      <c r="I1200" s="208">
        <v>200</v>
      </c>
      <c r="J1200" s="15"/>
      <c r="K1200" s="15"/>
      <c r="L1200" s="220">
        <f t="shared" si="481"/>
        <v>200</v>
      </c>
      <c r="M1200" s="211">
        <v>45080</v>
      </c>
      <c r="O1200" s="4"/>
      <c r="P1200" s="15"/>
      <c r="Q1200" s="14">
        <f t="shared" si="482"/>
        <v>0</v>
      </c>
      <c r="R1200" s="186"/>
      <c r="S1200" s="4"/>
      <c r="T1200" s="261"/>
      <c r="U1200" s="14">
        <f t="shared" si="483"/>
        <v>0</v>
      </c>
      <c r="V1200" s="209"/>
    </row>
    <row r="1201" spans="1:24" x14ac:dyDescent="0.15">
      <c r="B1201" s="4" t="s">
        <v>1157</v>
      </c>
      <c r="C1201" s="233">
        <v>50</v>
      </c>
      <c r="D1201" s="234"/>
      <c r="E1201" s="234"/>
      <c r="F1201" s="220">
        <f t="shared" si="480"/>
        <v>50</v>
      </c>
      <c r="G1201" s="211">
        <v>45065</v>
      </c>
      <c r="H1201" s="6"/>
      <c r="I1201" s="206"/>
      <c r="J1201" s="15"/>
      <c r="K1201" s="15"/>
      <c r="L1201" s="220">
        <f t="shared" ref="L1201" si="484">SUM(I1201:K1201)</f>
        <v>0</v>
      </c>
      <c r="O1201" s="4"/>
      <c r="P1201" s="15"/>
      <c r="Q1201" s="14">
        <f t="shared" si="482"/>
        <v>0</v>
      </c>
      <c r="R1201" s="186"/>
      <c r="S1201" s="4"/>
      <c r="T1201" s="261"/>
      <c r="U1201" s="14">
        <f t="shared" si="483"/>
        <v>0</v>
      </c>
      <c r="V1201" s="209"/>
    </row>
    <row r="1202" spans="1:24" x14ac:dyDescent="0.15">
      <c r="B1202" s="4" t="s">
        <v>764</v>
      </c>
      <c r="C1202" s="233">
        <v>30</v>
      </c>
      <c r="D1202" s="234"/>
      <c r="E1202" s="234"/>
      <c r="F1202" s="220">
        <f t="shared" si="480"/>
        <v>30</v>
      </c>
      <c r="G1202" s="211">
        <v>45066</v>
      </c>
      <c r="H1202" s="6"/>
      <c r="I1202" s="206"/>
      <c r="J1202" s="15"/>
      <c r="K1202" s="15"/>
      <c r="L1202" s="220">
        <f t="shared" si="481"/>
        <v>0</v>
      </c>
      <c r="O1202" s="6"/>
      <c r="P1202" s="15"/>
      <c r="Q1202" s="14">
        <f t="shared" si="482"/>
        <v>0</v>
      </c>
      <c r="R1202" s="186"/>
      <c r="S1202" s="6"/>
      <c r="T1202" s="261"/>
      <c r="U1202" s="14">
        <f t="shared" si="483"/>
        <v>0</v>
      </c>
      <c r="V1202" s="209"/>
    </row>
    <row r="1203" spans="1:24" x14ac:dyDescent="0.15">
      <c r="B1203" s="4" t="s">
        <v>749</v>
      </c>
      <c r="C1203" s="233">
        <v>2</v>
      </c>
      <c r="D1203" s="234">
        <v>1</v>
      </c>
      <c r="E1203" s="234"/>
      <c r="F1203" s="220">
        <f t="shared" si="480"/>
        <v>3</v>
      </c>
      <c r="G1203" s="211">
        <v>45066</v>
      </c>
      <c r="H1203" s="6"/>
      <c r="I1203" s="206"/>
      <c r="J1203" s="15"/>
      <c r="K1203" s="15"/>
      <c r="L1203" s="220">
        <f t="shared" si="481"/>
        <v>0</v>
      </c>
      <c r="O1203" s="6"/>
      <c r="P1203" s="15"/>
      <c r="Q1203" s="14">
        <f t="shared" si="482"/>
        <v>0</v>
      </c>
      <c r="R1203" s="186"/>
      <c r="S1203" s="6"/>
      <c r="T1203" s="261"/>
      <c r="U1203" s="14">
        <f t="shared" si="483"/>
        <v>0</v>
      </c>
      <c r="V1203" s="209"/>
    </row>
    <row r="1204" spans="1:24" x14ac:dyDescent="0.15">
      <c r="B1204" s="4" t="s">
        <v>749</v>
      </c>
      <c r="C1204" s="233">
        <f>39+2</f>
        <v>41</v>
      </c>
      <c r="D1204" s="234">
        <f>1+4</f>
        <v>5</v>
      </c>
      <c r="E1204" s="234">
        <v>1</v>
      </c>
      <c r="F1204" s="220">
        <f t="shared" si="480"/>
        <v>47</v>
      </c>
      <c r="G1204" s="248">
        <v>45068</v>
      </c>
      <c r="H1204" s="4"/>
      <c r="I1204" s="208"/>
      <c r="J1204" s="15"/>
      <c r="K1204" s="15"/>
      <c r="L1204" s="220">
        <f t="shared" si="481"/>
        <v>0</v>
      </c>
      <c r="O1204" s="4"/>
      <c r="P1204" s="15"/>
      <c r="Q1204" s="14">
        <f t="shared" si="482"/>
        <v>0</v>
      </c>
      <c r="R1204" s="186"/>
      <c r="S1204" s="4"/>
      <c r="T1204" s="261"/>
      <c r="U1204" s="14">
        <f t="shared" si="483"/>
        <v>0</v>
      </c>
      <c r="V1204" s="209"/>
    </row>
    <row r="1205" spans="1:24" x14ac:dyDescent="0.15">
      <c r="B1205" s="4" t="s">
        <v>749</v>
      </c>
      <c r="C1205" s="233">
        <f>4+3</f>
        <v>7</v>
      </c>
      <c r="D1205" s="234">
        <v>2</v>
      </c>
      <c r="E1205" s="234">
        <v>1</v>
      </c>
      <c r="F1205" s="220">
        <f t="shared" si="480"/>
        <v>10</v>
      </c>
      <c r="G1205" s="248">
        <v>45069</v>
      </c>
      <c r="H1205" s="4"/>
      <c r="I1205" s="208"/>
      <c r="J1205" s="15"/>
      <c r="K1205" s="15"/>
      <c r="L1205" s="220">
        <f t="shared" si="481"/>
        <v>0</v>
      </c>
      <c r="O1205" s="4"/>
      <c r="P1205" s="15"/>
      <c r="Q1205" s="14">
        <f t="shared" si="482"/>
        <v>0</v>
      </c>
      <c r="R1205" s="186"/>
      <c r="S1205" s="4"/>
      <c r="T1205" s="261"/>
      <c r="U1205" s="14">
        <f t="shared" si="483"/>
        <v>0</v>
      </c>
      <c r="V1205" s="209"/>
    </row>
    <row r="1206" spans="1:24" x14ac:dyDescent="0.15">
      <c r="B1206" s="4" t="s">
        <v>764</v>
      </c>
      <c r="C1206" s="233"/>
      <c r="D1206" s="234"/>
      <c r="E1206" s="234">
        <v>20</v>
      </c>
      <c r="F1206" s="220">
        <f t="shared" si="480"/>
        <v>20</v>
      </c>
      <c r="G1206" s="211">
        <v>45070</v>
      </c>
      <c r="H1206" s="6"/>
      <c r="I1206" s="208"/>
      <c r="J1206" s="15"/>
      <c r="K1206" s="15"/>
      <c r="L1206" s="220">
        <f t="shared" si="481"/>
        <v>0</v>
      </c>
      <c r="O1206" s="4"/>
      <c r="P1206" s="15"/>
      <c r="Q1206" s="14">
        <f t="shared" si="482"/>
        <v>0</v>
      </c>
      <c r="R1206" s="186"/>
      <c r="S1206" s="4"/>
      <c r="T1206" s="261"/>
      <c r="U1206" s="14">
        <f t="shared" si="483"/>
        <v>0</v>
      </c>
      <c r="V1206" s="209"/>
    </row>
    <row r="1207" spans="1:24" x14ac:dyDescent="0.15">
      <c r="B1207" s="4" t="s">
        <v>749</v>
      </c>
      <c r="C1207" s="233">
        <f>1+15+9</f>
        <v>25</v>
      </c>
      <c r="D1207" s="234">
        <v>3</v>
      </c>
      <c r="E1207" s="234">
        <v>1</v>
      </c>
      <c r="F1207" s="220">
        <f t="shared" si="480"/>
        <v>29</v>
      </c>
      <c r="G1207" s="211">
        <v>45070</v>
      </c>
      <c r="H1207" s="6"/>
      <c r="I1207" s="206"/>
      <c r="J1207" s="15"/>
      <c r="K1207" s="15"/>
      <c r="L1207" s="220">
        <f t="shared" si="481"/>
        <v>0</v>
      </c>
      <c r="O1207" s="6"/>
      <c r="P1207" s="15"/>
      <c r="Q1207" s="14">
        <f t="shared" si="482"/>
        <v>0</v>
      </c>
      <c r="R1207" s="186"/>
      <c r="S1207" s="6"/>
      <c r="T1207" s="261"/>
      <c r="U1207" s="14">
        <f t="shared" si="483"/>
        <v>0</v>
      </c>
      <c r="V1207" s="209"/>
    </row>
    <row r="1208" spans="1:24" x14ac:dyDescent="0.15">
      <c r="B1208" s="4" t="s">
        <v>749</v>
      </c>
      <c r="C1208" s="233">
        <f>12+29</f>
        <v>41</v>
      </c>
      <c r="D1208" s="234">
        <f>6+5</f>
        <v>11</v>
      </c>
      <c r="E1208" s="234">
        <v>2</v>
      </c>
      <c r="F1208" s="220">
        <f t="shared" si="480"/>
        <v>54</v>
      </c>
      <c r="G1208" s="211">
        <v>45071</v>
      </c>
      <c r="H1208" s="6"/>
      <c r="I1208" s="208"/>
      <c r="J1208" s="15"/>
      <c r="K1208" s="15"/>
      <c r="L1208" s="220">
        <f t="shared" si="481"/>
        <v>0</v>
      </c>
      <c r="O1208" s="4"/>
      <c r="P1208" s="15"/>
      <c r="Q1208" s="14">
        <f t="shared" si="482"/>
        <v>0</v>
      </c>
      <c r="R1208" s="186"/>
      <c r="S1208" s="171"/>
      <c r="T1208" s="261"/>
      <c r="U1208" s="14">
        <f t="shared" si="483"/>
        <v>0</v>
      </c>
      <c r="V1208" s="209"/>
    </row>
    <row r="1209" spans="1:24" x14ac:dyDescent="0.15">
      <c r="B1209" s="4" t="s">
        <v>1160</v>
      </c>
      <c r="C1209" s="233">
        <v>30</v>
      </c>
      <c r="D1209" s="234"/>
      <c r="E1209" s="234"/>
      <c r="F1209" s="220">
        <f t="shared" si="480"/>
        <v>30</v>
      </c>
      <c r="G1209" s="211">
        <v>45072</v>
      </c>
      <c r="H1209" s="6"/>
      <c r="I1209" s="206"/>
      <c r="J1209" s="15"/>
      <c r="K1209" s="15"/>
      <c r="L1209" s="220">
        <f t="shared" si="481"/>
        <v>0</v>
      </c>
      <c r="O1209" s="6"/>
      <c r="P1209" s="15"/>
      <c r="Q1209" s="14">
        <f t="shared" si="482"/>
        <v>0</v>
      </c>
      <c r="R1209" s="186"/>
      <c r="S1209" s="171"/>
      <c r="T1209" s="261"/>
      <c r="U1209" s="14">
        <f t="shared" ref="U1209:U1214" si="485">SUM(T1209:T1209)</f>
        <v>0</v>
      </c>
      <c r="V1209" s="209"/>
    </row>
    <row r="1210" spans="1:24" x14ac:dyDescent="0.15">
      <c r="B1210" s="4" t="s">
        <v>749</v>
      </c>
      <c r="C1210" s="233">
        <f>1+45</f>
        <v>46</v>
      </c>
      <c r="D1210" s="234">
        <v>5</v>
      </c>
      <c r="E1210" s="234">
        <f>1+1</f>
        <v>2</v>
      </c>
      <c r="F1210" s="220">
        <f t="shared" si="480"/>
        <v>53</v>
      </c>
      <c r="G1210" s="248">
        <v>45072</v>
      </c>
      <c r="H1210" s="4"/>
      <c r="I1210" s="208"/>
      <c r="J1210" s="15"/>
      <c r="K1210" s="15"/>
      <c r="L1210" s="220">
        <f t="shared" si="481"/>
        <v>0</v>
      </c>
      <c r="O1210" s="4"/>
      <c r="P1210" s="15"/>
      <c r="Q1210" s="14">
        <f t="shared" si="482"/>
        <v>0</v>
      </c>
      <c r="R1210" s="186"/>
      <c r="S1210" s="171"/>
      <c r="T1210" s="261"/>
      <c r="U1210" s="14">
        <f t="shared" si="485"/>
        <v>0</v>
      </c>
      <c r="V1210" s="209"/>
    </row>
    <row r="1211" spans="1:24" x14ac:dyDescent="0.15">
      <c r="B1211" s="4" t="s">
        <v>749</v>
      </c>
      <c r="C1211" s="233">
        <f>1+1+3+15+25+1+23+10+1</f>
        <v>80</v>
      </c>
      <c r="D1211" s="234">
        <f>1+1+7+4+4+2</f>
        <v>19</v>
      </c>
      <c r="E1211" s="234">
        <f>6+1+1+5</f>
        <v>13</v>
      </c>
      <c r="F1211" s="220">
        <f t="shared" si="480"/>
        <v>112</v>
      </c>
      <c r="G1211" s="248">
        <v>45075</v>
      </c>
      <c r="H1211" s="4"/>
      <c r="I1211" s="208"/>
      <c r="J1211" s="15"/>
      <c r="K1211" s="15"/>
      <c r="L1211" s="220">
        <f t="shared" ref="L1211" si="486">SUM(I1211:K1211)</f>
        <v>0</v>
      </c>
      <c r="O1211" s="4"/>
      <c r="P1211" s="15"/>
      <c r="Q1211" s="14">
        <f t="shared" si="482"/>
        <v>0</v>
      </c>
      <c r="R1211" s="186"/>
      <c r="S1211" s="171"/>
      <c r="T1211" s="261"/>
      <c r="U1211" s="14">
        <f t="shared" si="485"/>
        <v>0</v>
      </c>
    </row>
    <row r="1212" spans="1:24" x14ac:dyDescent="0.15">
      <c r="A1212" s="186"/>
      <c r="B1212" s="4" t="s">
        <v>1161</v>
      </c>
      <c r="C1212" s="233">
        <v>4</v>
      </c>
      <c r="D1212" s="234">
        <v>4</v>
      </c>
      <c r="E1212" s="234">
        <v>4</v>
      </c>
      <c r="F1212" s="220">
        <f t="shared" si="480"/>
        <v>12</v>
      </c>
      <c r="G1212" s="211">
        <v>45077</v>
      </c>
      <c r="H1212" s="4"/>
      <c r="I1212" s="208"/>
      <c r="J1212" s="15"/>
      <c r="K1212" s="15"/>
      <c r="L1212" s="220">
        <f t="shared" ref="L1212" si="487">SUM(I1212:K1212)</f>
        <v>0</v>
      </c>
      <c r="O1212" s="4"/>
      <c r="P1212" s="15"/>
      <c r="Q1212" s="14">
        <f t="shared" si="482"/>
        <v>0</v>
      </c>
      <c r="R1212" s="186"/>
      <c r="S1212" s="6" t="s">
        <v>1129</v>
      </c>
      <c r="T1212" s="15"/>
      <c r="U1212" s="14">
        <f t="shared" si="485"/>
        <v>0</v>
      </c>
      <c r="V1212" s="186" t="s">
        <v>1130</v>
      </c>
    </row>
    <row r="1213" spans="1:24" x14ac:dyDescent="0.15">
      <c r="A1213" s="186"/>
      <c r="B1213" s="4" t="s">
        <v>749</v>
      </c>
      <c r="C1213" s="233">
        <f>6+34</f>
        <v>40</v>
      </c>
      <c r="D1213" s="234">
        <v>10</v>
      </c>
      <c r="E1213" s="234">
        <f>1+6</f>
        <v>7</v>
      </c>
      <c r="F1213" s="220">
        <f t="shared" si="480"/>
        <v>57</v>
      </c>
      <c r="G1213" s="211">
        <v>45076</v>
      </c>
      <c r="H1213" s="254" t="s">
        <v>1115</v>
      </c>
      <c r="I1213" s="249">
        <v>0</v>
      </c>
      <c r="J1213" s="249"/>
      <c r="K1213" s="249" t="s">
        <v>1127</v>
      </c>
      <c r="L1213" s="250">
        <f t="shared" si="481"/>
        <v>0</v>
      </c>
      <c r="M1213" s="251"/>
      <c r="O1213" s="6"/>
      <c r="P1213" s="15"/>
      <c r="Q1213" s="14">
        <f t="shared" si="482"/>
        <v>0</v>
      </c>
      <c r="R1213" s="186"/>
      <c r="S1213" s="254" t="s">
        <v>1116</v>
      </c>
      <c r="T1213" s="252"/>
      <c r="U1213" s="255">
        <f t="shared" si="485"/>
        <v>0</v>
      </c>
      <c r="V1213" s="256"/>
    </row>
    <row r="1214" spans="1:24" ht="14.25" thickBot="1" x14ac:dyDescent="0.2">
      <c r="B1214" s="6" t="s">
        <v>1163</v>
      </c>
      <c r="C1214" s="235">
        <v>50</v>
      </c>
      <c r="D1214" s="234"/>
      <c r="E1214" s="234"/>
      <c r="F1214" s="220">
        <f t="shared" si="480"/>
        <v>50</v>
      </c>
      <c r="G1214" s="211">
        <v>45077</v>
      </c>
      <c r="H1214" s="4" t="s">
        <v>1104</v>
      </c>
      <c r="I1214" s="206">
        <f>600-200-400</f>
        <v>0</v>
      </c>
      <c r="J1214" s="206"/>
      <c r="K1214" s="206"/>
      <c r="L1214" s="220">
        <f t="shared" si="481"/>
        <v>0</v>
      </c>
      <c r="M1214" s="186" t="s">
        <v>1132</v>
      </c>
      <c r="O1214" s="6"/>
      <c r="P1214" s="15"/>
      <c r="Q1214" s="14">
        <f t="shared" si="482"/>
        <v>0</v>
      </c>
      <c r="R1214" s="186"/>
      <c r="S1214" s="4" t="s">
        <v>1104</v>
      </c>
      <c r="T1214" s="15"/>
      <c r="U1214" s="14">
        <f t="shared" si="485"/>
        <v>0</v>
      </c>
      <c r="V1214" s="186" t="s">
        <v>1132</v>
      </c>
    </row>
    <row r="1215" spans="1:24" ht="14.25" thickBot="1" x14ac:dyDescent="0.2">
      <c r="B1215" s="3" t="s">
        <v>5</v>
      </c>
      <c r="C1215" s="16">
        <f>SUM(C1191:C1214)</f>
        <v>660</v>
      </c>
      <c r="D1215" s="16">
        <f>SUM(D1191:D1214)</f>
        <v>117</v>
      </c>
      <c r="E1215" s="16">
        <f>SUM(E1191:E1214)</f>
        <v>98</v>
      </c>
      <c r="F1215" s="223">
        <f>SUM(F1191:F1214)</f>
        <v>875</v>
      </c>
      <c r="H1215" s="3" t="s">
        <v>5</v>
      </c>
      <c r="I1215" s="16">
        <f>SUM(I1191:I1214)</f>
        <v>2027</v>
      </c>
      <c r="J1215" s="16">
        <f>SUM(J1191:J1214)</f>
        <v>139</v>
      </c>
      <c r="K1215" s="16">
        <f>SUM(K1191:K1214)</f>
        <v>104</v>
      </c>
      <c r="L1215" s="223">
        <f>SUM(L1191:L1214)</f>
        <v>2270</v>
      </c>
      <c r="M1215" t="s">
        <v>1088</v>
      </c>
      <c r="N1215">
        <v>422</v>
      </c>
      <c r="O1215" s="3" t="s">
        <v>5</v>
      </c>
      <c r="P1215" s="16">
        <f>SUM(P1191:P1214)</f>
        <v>0</v>
      </c>
      <c r="Q1215" s="17">
        <f>SUM(Q1191:Q1214)</f>
        <v>0</v>
      </c>
      <c r="S1215" s="3" t="s">
        <v>5</v>
      </c>
      <c r="T1215" s="16">
        <f>SUM(T1191:T1214)</f>
        <v>777</v>
      </c>
      <c r="U1215" s="17">
        <f>SUM(U1191:U1214)</f>
        <v>777</v>
      </c>
      <c r="V1215" t="s">
        <v>1088</v>
      </c>
      <c r="W1215">
        <v>2744</v>
      </c>
      <c r="X1215">
        <v>2598</v>
      </c>
    </row>
    <row r="1216" spans="1:24" ht="14.25" thickBot="1" x14ac:dyDescent="0.2">
      <c r="B1216" s="18" t="s">
        <v>6</v>
      </c>
      <c r="C1216" s="19">
        <f>C1190-C1215</f>
        <v>243</v>
      </c>
      <c r="D1216" s="19">
        <f>D1190-D1215</f>
        <v>118</v>
      </c>
      <c r="E1216" s="19">
        <f t="shared" ref="E1216" si="488">E1190-E1215</f>
        <v>128</v>
      </c>
      <c r="F1216" s="221">
        <f>F1190-F1215</f>
        <v>489</v>
      </c>
      <c r="H1216" s="18" t="s">
        <v>6</v>
      </c>
      <c r="I1216" s="19">
        <f>I1190-I1215</f>
        <v>4529</v>
      </c>
      <c r="J1216" s="19">
        <f>J1190-J1215</f>
        <v>649</v>
      </c>
      <c r="K1216" s="19">
        <f t="shared" ref="K1216" si="489">K1190-K1215</f>
        <v>798</v>
      </c>
      <c r="L1216" s="221">
        <f>L1190-L1215</f>
        <v>5976</v>
      </c>
      <c r="M1216"/>
      <c r="O1216" s="18" t="s">
        <v>6</v>
      </c>
      <c r="P1216" s="19">
        <f>P1190-P1215</f>
        <v>0</v>
      </c>
      <c r="Q1216" s="13">
        <f>Q1190-Q1215</f>
        <v>0</v>
      </c>
      <c r="S1216" s="18" t="s">
        <v>6</v>
      </c>
      <c r="T1216" s="19">
        <f>T1190-T1215</f>
        <v>2973</v>
      </c>
      <c r="U1216" s="13">
        <f>U1190-U1215</f>
        <v>2973</v>
      </c>
    </row>
    <row r="1219" spans="2:21" ht="18" thickBot="1" x14ac:dyDescent="0.25">
      <c r="B1219" s="27" t="s">
        <v>739</v>
      </c>
      <c r="C1219" s="28"/>
      <c r="D1219" s="28"/>
      <c r="E1219" s="28"/>
      <c r="F1219" s="218"/>
      <c r="H1219" s="27" t="s">
        <v>740</v>
      </c>
      <c r="I1219" s="28"/>
      <c r="J1219" s="28"/>
      <c r="K1219" s="28"/>
      <c r="L1219" s="218"/>
      <c r="M1219"/>
      <c r="O1219" s="181" t="s">
        <v>737</v>
      </c>
      <c r="P1219" s="182"/>
      <c r="Q1219" s="182"/>
      <c r="R1219" s="183"/>
      <c r="S1219" s="181" t="s">
        <v>733</v>
      </c>
      <c r="T1219" s="182"/>
      <c r="U1219" s="182"/>
    </row>
    <row r="1220" spans="2:21" ht="14.25" thickBot="1" x14ac:dyDescent="0.2">
      <c r="B1220" s="2"/>
      <c r="C1220" s="194" t="s">
        <v>734</v>
      </c>
      <c r="D1220" s="195" t="s">
        <v>706</v>
      </c>
      <c r="E1220" s="2" t="s">
        <v>735</v>
      </c>
      <c r="F1220" s="219" t="s">
        <v>1</v>
      </c>
      <c r="H1220" s="2"/>
      <c r="I1220" s="197" t="s">
        <v>734</v>
      </c>
      <c r="J1220" s="195" t="s">
        <v>706</v>
      </c>
      <c r="K1220" s="201" t="s">
        <v>735</v>
      </c>
      <c r="L1220" s="219" t="s">
        <v>1</v>
      </c>
      <c r="M1220"/>
      <c r="O1220" s="2"/>
      <c r="P1220" s="3" t="s">
        <v>722</v>
      </c>
      <c r="Q1220" s="2" t="s">
        <v>1</v>
      </c>
      <c r="S1220" s="2"/>
      <c r="T1220" s="3" t="s">
        <v>722</v>
      </c>
      <c r="U1220" s="2" t="s">
        <v>1</v>
      </c>
    </row>
    <row r="1221" spans="2:21" x14ac:dyDescent="0.15">
      <c r="B1221" s="164" t="s">
        <v>26</v>
      </c>
      <c r="C1221" s="200">
        <f>C1216</f>
        <v>243</v>
      </c>
      <c r="D1221" s="164">
        <f t="shared" ref="D1221:F1221" si="490">D1216</f>
        <v>118</v>
      </c>
      <c r="E1221" s="164">
        <f t="shared" si="490"/>
        <v>128</v>
      </c>
      <c r="F1221" s="222">
        <f t="shared" si="490"/>
        <v>489</v>
      </c>
      <c r="H1221" s="164" t="s">
        <v>26</v>
      </c>
      <c r="I1221" s="200">
        <f>I1216</f>
        <v>4529</v>
      </c>
      <c r="J1221" s="164">
        <f t="shared" ref="J1221:L1221" si="491">J1216</f>
        <v>649</v>
      </c>
      <c r="K1221" s="200">
        <f t="shared" si="491"/>
        <v>798</v>
      </c>
      <c r="L1221" s="222">
        <f t="shared" si="491"/>
        <v>5976</v>
      </c>
      <c r="M1221"/>
      <c r="O1221" s="171" t="s">
        <v>26</v>
      </c>
      <c r="P1221" s="200">
        <f>P1216</f>
        <v>0</v>
      </c>
      <c r="Q1221" s="180">
        <f>Q1216</f>
        <v>0</v>
      </c>
      <c r="R1221" s="185"/>
      <c r="S1221" s="43" t="s">
        <v>26</v>
      </c>
      <c r="T1221" s="38">
        <f>T1216</f>
        <v>2973</v>
      </c>
      <c r="U1221" s="39">
        <f>U1216</f>
        <v>2973</v>
      </c>
    </row>
    <row r="1222" spans="2:21" x14ac:dyDescent="0.15">
      <c r="B1222" s="6" t="s">
        <v>3</v>
      </c>
      <c r="C1222" s="6">
        <v>400</v>
      </c>
      <c r="D1222" s="6">
        <v>100</v>
      </c>
      <c r="E1222" s="4">
        <v>100</v>
      </c>
      <c r="F1222" s="220">
        <f t="shared" ref="F1222:F1231" si="492">SUM(C1222:E1222)</f>
        <v>600</v>
      </c>
      <c r="G1222" s="211">
        <v>45080</v>
      </c>
      <c r="H1222" s="6" t="s">
        <v>3</v>
      </c>
      <c r="I1222" s="188"/>
      <c r="J1222" s="225"/>
      <c r="K1222" s="243"/>
      <c r="L1222" s="220">
        <f t="shared" ref="L1222:L1231" si="493">SUM(I1222:K1222)</f>
        <v>0</v>
      </c>
      <c r="M1222" s="269"/>
      <c r="O1222" s="6" t="s">
        <v>3</v>
      </c>
      <c r="P1222" s="7"/>
      <c r="Q1222" s="5">
        <f t="shared" ref="Q1222:Q1231" si="494">SUM(P1222:P1222)</f>
        <v>0</v>
      </c>
      <c r="R1222" s="186"/>
      <c r="S1222" s="6" t="s">
        <v>3</v>
      </c>
      <c r="T1222" s="7"/>
      <c r="U1222" s="5">
        <f t="shared" ref="U1222:U1231" si="495">SUM(T1222:T1222)</f>
        <v>0</v>
      </c>
    </row>
    <row r="1223" spans="2:21" x14ac:dyDescent="0.15">
      <c r="B1223" s="6" t="s">
        <v>3</v>
      </c>
      <c r="C1223" s="6">
        <v>200</v>
      </c>
      <c r="D1223" s="6"/>
      <c r="E1223" s="4"/>
      <c r="F1223" s="220">
        <f t="shared" si="492"/>
        <v>200</v>
      </c>
      <c r="G1223" s="211">
        <v>45086</v>
      </c>
      <c r="H1223" s="6" t="s">
        <v>3</v>
      </c>
      <c r="I1223" s="188"/>
      <c r="J1223" s="225"/>
      <c r="K1223" s="243"/>
      <c r="L1223" s="220">
        <f t="shared" si="493"/>
        <v>0</v>
      </c>
      <c r="O1223" s="6" t="s">
        <v>3</v>
      </c>
      <c r="P1223" s="7"/>
      <c r="Q1223" s="5">
        <f t="shared" si="494"/>
        <v>0</v>
      </c>
      <c r="R1223" s="186"/>
      <c r="S1223" s="6" t="s">
        <v>3</v>
      </c>
      <c r="T1223" s="54"/>
      <c r="U1223" s="5">
        <f t="shared" si="495"/>
        <v>0</v>
      </c>
    </row>
    <row r="1224" spans="2:21" x14ac:dyDescent="0.15">
      <c r="B1224" s="6" t="s">
        <v>3</v>
      </c>
      <c r="C1224" s="6">
        <v>200</v>
      </c>
      <c r="D1224" s="6">
        <v>50</v>
      </c>
      <c r="E1224" s="4"/>
      <c r="F1224" s="220">
        <f t="shared" si="492"/>
        <v>250</v>
      </c>
      <c r="G1224" s="211">
        <v>45091</v>
      </c>
      <c r="H1224" s="6" t="s">
        <v>3</v>
      </c>
      <c r="I1224" s="188"/>
      <c r="J1224" s="225"/>
      <c r="K1224" s="243"/>
      <c r="L1224" s="220">
        <f t="shared" si="493"/>
        <v>0</v>
      </c>
      <c r="O1224" s="6" t="s">
        <v>3</v>
      </c>
      <c r="P1224" s="7"/>
      <c r="Q1224" s="5">
        <f t="shared" si="494"/>
        <v>0</v>
      </c>
      <c r="R1224" s="186"/>
      <c r="S1224" s="6" t="s">
        <v>3</v>
      </c>
      <c r="T1224" s="54"/>
      <c r="U1224" s="5">
        <f t="shared" ref="U1224" si="496">SUM(T1224:T1224)</f>
        <v>0</v>
      </c>
    </row>
    <row r="1225" spans="2:21" x14ac:dyDescent="0.15">
      <c r="B1225" s="6" t="s">
        <v>3</v>
      </c>
      <c r="C1225" s="6">
        <v>200</v>
      </c>
      <c r="D1225" s="6"/>
      <c r="E1225" s="4"/>
      <c r="F1225" s="220">
        <f t="shared" si="492"/>
        <v>200</v>
      </c>
      <c r="G1225" s="211">
        <v>45094</v>
      </c>
      <c r="H1225" s="6" t="s">
        <v>3</v>
      </c>
      <c r="I1225" s="188"/>
      <c r="J1225" s="225"/>
      <c r="K1225" s="243"/>
      <c r="L1225" s="220">
        <f t="shared" si="493"/>
        <v>0</v>
      </c>
      <c r="O1225" s="6" t="s">
        <v>3</v>
      </c>
      <c r="P1225" s="7"/>
      <c r="Q1225" s="5">
        <f t="shared" si="494"/>
        <v>0</v>
      </c>
      <c r="R1225" s="186"/>
      <c r="S1225" s="6" t="s">
        <v>3</v>
      </c>
      <c r="T1225" s="54"/>
      <c r="U1225" s="5">
        <f t="shared" si="495"/>
        <v>0</v>
      </c>
    </row>
    <row r="1226" spans="2:21" x14ac:dyDescent="0.15">
      <c r="B1226" s="6" t="s">
        <v>968</v>
      </c>
      <c r="C1226" s="6">
        <v>3</v>
      </c>
      <c r="D1226" s="6">
        <v>1</v>
      </c>
      <c r="E1226" s="4">
        <v>1</v>
      </c>
      <c r="F1226" s="220">
        <f t="shared" si="492"/>
        <v>5</v>
      </c>
      <c r="G1226" s="211">
        <v>45096</v>
      </c>
      <c r="H1226" s="6" t="s">
        <v>3</v>
      </c>
      <c r="I1226" s="188"/>
      <c r="J1226" s="225"/>
      <c r="K1226" s="243"/>
      <c r="L1226" s="220">
        <f t="shared" ref="L1226" si="497">SUM(I1226:K1226)</f>
        <v>0</v>
      </c>
      <c r="O1226" s="6" t="s">
        <v>3</v>
      </c>
      <c r="P1226" s="7"/>
      <c r="Q1226" s="5">
        <f t="shared" si="494"/>
        <v>0</v>
      </c>
      <c r="R1226" s="186"/>
      <c r="S1226" s="6" t="s">
        <v>3</v>
      </c>
      <c r="T1226" s="54"/>
      <c r="U1226" s="5">
        <f t="shared" si="495"/>
        <v>0</v>
      </c>
    </row>
    <row r="1227" spans="2:21" x14ac:dyDescent="0.15">
      <c r="B1227" s="6" t="s">
        <v>3</v>
      </c>
      <c r="C1227" s="6"/>
      <c r="D1227" s="6"/>
      <c r="E1227" s="4"/>
      <c r="F1227" s="220">
        <f t="shared" si="492"/>
        <v>0</v>
      </c>
      <c r="H1227" s="6" t="s">
        <v>3</v>
      </c>
      <c r="I1227" s="188"/>
      <c r="J1227" s="6"/>
      <c r="K1227" s="202"/>
      <c r="L1227" s="220">
        <f t="shared" si="493"/>
        <v>0</v>
      </c>
      <c r="O1227" s="6" t="s">
        <v>3</v>
      </c>
      <c r="P1227" s="7"/>
      <c r="Q1227" s="5">
        <f t="shared" si="494"/>
        <v>0</v>
      </c>
      <c r="R1227" s="186"/>
      <c r="S1227" s="6" t="s">
        <v>3</v>
      </c>
      <c r="T1227" s="7"/>
      <c r="U1227" s="5">
        <f t="shared" si="495"/>
        <v>0</v>
      </c>
    </row>
    <row r="1228" spans="2:21" x14ac:dyDescent="0.15">
      <c r="B1228" s="6" t="s">
        <v>3</v>
      </c>
      <c r="C1228" s="6"/>
      <c r="D1228" s="225"/>
      <c r="E1228" s="226"/>
      <c r="F1228" s="220">
        <f t="shared" si="492"/>
        <v>0</v>
      </c>
      <c r="H1228" s="6" t="s">
        <v>3</v>
      </c>
      <c r="I1228" s="188"/>
      <c r="J1228" s="225"/>
      <c r="K1228" s="243"/>
      <c r="L1228" s="220">
        <f t="shared" si="493"/>
        <v>0</v>
      </c>
      <c r="O1228" s="6" t="s">
        <v>3</v>
      </c>
      <c r="P1228" s="8"/>
      <c r="Q1228" s="5">
        <f t="shared" si="494"/>
        <v>0</v>
      </c>
      <c r="R1228" s="186"/>
      <c r="S1228" s="6" t="s">
        <v>3</v>
      </c>
      <c r="T1228" s="54"/>
      <c r="U1228" s="5">
        <f t="shared" si="495"/>
        <v>0</v>
      </c>
    </row>
    <row r="1229" spans="2:21" x14ac:dyDescent="0.15">
      <c r="B1229" s="6" t="s">
        <v>3</v>
      </c>
      <c r="C1229" s="6"/>
      <c r="D1229" s="225"/>
      <c r="E1229" s="226"/>
      <c r="F1229" s="220">
        <f t="shared" si="492"/>
        <v>0</v>
      </c>
      <c r="H1229" s="6" t="s">
        <v>3</v>
      </c>
      <c r="I1229" s="188"/>
      <c r="J1229" s="225"/>
      <c r="K1229" s="243"/>
      <c r="L1229" s="220">
        <f t="shared" si="493"/>
        <v>0</v>
      </c>
      <c r="O1229" s="6" t="s">
        <v>3</v>
      </c>
      <c r="P1229" s="8"/>
      <c r="Q1229" s="5">
        <f t="shared" si="494"/>
        <v>0</v>
      </c>
      <c r="R1229" s="186"/>
      <c r="S1229" s="6" t="s">
        <v>3</v>
      </c>
      <c r="T1229" s="54"/>
      <c r="U1229" s="5">
        <f t="shared" si="495"/>
        <v>0</v>
      </c>
    </row>
    <row r="1230" spans="2:21" x14ac:dyDescent="0.15">
      <c r="B1230" s="6" t="s">
        <v>3</v>
      </c>
      <c r="C1230" s="6"/>
      <c r="D1230" s="225"/>
      <c r="E1230" s="226"/>
      <c r="F1230" s="220">
        <f t="shared" si="492"/>
        <v>0</v>
      </c>
      <c r="H1230" s="6" t="s">
        <v>3</v>
      </c>
      <c r="I1230" s="188"/>
      <c r="J1230" s="225"/>
      <c r="K1230" s="243"/>
      <c r="L1230" s="220">
        <f t="shared" si="493"/>
        <v>0</v>
      </c>
      <c r="O1230" s="6" t="s">
        <v>3</v>
      </c>
      <c r="P1230" s="8"/>
      <c r="Q1230" s="5">
        <f t="shared" si="494"/>
        <v>0</v>
      </c>
      <c r="R1230" s="186"/>
      <c r="S1230" s="6" t="s">
        <v>3</v>
      </c>
      <c r="T1230" s="54"/>
      <c r="U1230" s="5">
        <f t="shared" si="495"/>
        <v>0</v>
      </c>
    </row>
    <row r="1231" spans="2:21" ht="14.25" thickBot="1" x14ac:dyDescent="0.2">
      <c r="B1231" s="6" t="s">
        <v>3</v>
      </c>
      <c r="C1231" s="9"/>
      <c r="D1231" s="237"/>
      <c r="E1231" s="238"/>
      <c r="F1231" s="220">
        <f t="shared" si="492"/>
        <v>0</v>
      </c>
      <c r="H1231" s="9" t="s">
        <v>3</v>
      </c>
      <c r="I1231" s="198"/>
      <c r="J1231" s="244"/>
      <c r="K1231" s="245"/>
      <c r="L1231" s="220">
        <f t="shared" si="493"/>
        <v>0</v>
      </c>
      <c r="O1231" s="9" t="s">
        <v>3</v>
      </c>
      <c r="P1231" s="10"/>
      <c r="Q1231" s="5">
        <f t="shared" si="494"/>
        <v>0</v>
      </c>
      <c r="R1231" s="186"/>
      <c r="S1231" s="9" t="s">
        <v>3</v>
      </c>
      <c r="T1231" s="101"/>
      <c r="U1231" s="5">
        <f t="shared" si="495"/>
        <v>0</v>
      </c>
    </row>
    <row r="1232" spans="2:21" ht="14.25" thickBot="1" x14ac:dyDescent="0.2">
      <c r="B1232" s="11" t="s">
        <v>4</v>
      </c>
      <c r="C1232" s="193">
        <f>SUM(C1221:C1231)</f>
        <v>1246</v>
      </c>
      <c r="D1232" s="193">
        <f>SUM(D1221:D1231)</f>
        <v>269</v>
      </c>
      <c r="E1232" s="193">
        <f>SUM(E1221:E1231)</f>
        <v>229</v>
      </c>
      <c r="F1232" s="221">
        <f>SUM(F1221:F1231)</f>
        <v>1744</v>
      </c>
      <c r="H1232" s="11" t="s">
        <v>4</v>
      </c>
      <c r="I1232" s="193">
        <f>SUM(I1221:I1231)</f>
        <v>4529</v>
      </c>
      <c r="J1232" s="193">
        <f>SUM(J1221:J1231)</f>
        <v>649</v>
      </c>
      <c r="K1232" s="193">
        <f t="shared" ref="K1232" si="498">SUM(K1221:K1231)</f>
        <v>798</v>
      </c>
      <c r="L1232" s="221">
        <f>SUM(L1221:L1231)</f>
        <v>5976</v>
      </c>
      <c r="O1232" s="11" t="s">
        <v>4</v>
      </c>
      <c r="P1232" s="12">
        <f>SUM(P1221:P1231)</f>
        <v>0</v>
      </c>
      <c r="Q1232" s="13">
        <f>SUM(Q1221:Q1231)</f>
        <v>0</v>
      </c>
      <c r="S1232" s="11" t="s">
        <v>4</v>
      </c>
      <c r="T1232" s="12">
        <f>SUM(T1221:T1231)</f>
        <v>2973</v>
      </c>
      <c r="U1232" s="13">
        <f>SUM(U1221:U1231)</f>
        <v>2973</v>
      </c>
    </row>
    <row r="1233" spans="2:22" x14ac:dyDescent="0.15">
      <c r="B1233" s="4" t="s">
        <v>749</v>
      </c>
      <c r="C1233" s="233">
        <f>15+81</f>
        <v>96</v>
      </c>
      <c r="D1233" s="234">
        <f>3+7</f>
        <v>10</v>
      </c>
      <c r="E1233" s="234">
        <f>2+3</f>
        <v>5</v>
      </c>
      <c r="F1233" s="220">
        <f t="shared" ref="F1233:F1256" si="499">SUM(C1233:E1233)</f>
        <v>111</v>
      </c>
      <c r="G1233" s="248">
        <v>45077</v>
      </c>
      <c r="H1233" s="6" t="s">
        <v>1152</v>
      </c>
      <c r="I1233" s="233">
        <v>35</v>
      </c>
      <c r="J1233" s="234">
        <v>40</v>
      </c>
      <c r="K1233" s="234">
        <v>15</v>
      </c>
      <c r="L1233" s="220">
        <f t="shared" ref="L1233:L1249" si="500">SUM(I1233:K1233)</f>
        <v>90</v>
      </c>
      <c r="M1233" s="211">
        <v>45083</v>
      </c>
      <c r="O1233" s="4"/>
      <c r="P1233" s="44"/>
      <c r="Q1233" s="14">
        <f t="shared" ref="Q1233:Q1256" si="501">SUM(P1233:P1233)</f>
        <v>0</v>
      </c>
      <c r="R1233" s="185"/>
      <c r="S1233" s="6" t="s">
        <v>1152</v>
      </c>
      <c r="T1233" s="273">
        <v>10</v>
      </c>
      <c r="U1233" s="14">
        <f t="shared" ref="U1233:U1248" si="502">SUM(T1233:T1233)</f>
        <v>10</v>
      </c>
      <c r="V1233" s="211">
        <v>45083</v>
      </c>
    </row>
    <row r="1234" spans="2:22" x14ac:dyDescent="0.15">
      <c r="B1234" s="4" t="s">
        <v>749</v>
      </c>
      <c r="C1234" s="208">
        <f>37+4</f>
        <v>41</v>
      </c>
      <c r="D1234" s="15">
        <f>1+4</f>
        <v>5</v>
      </c>
      <c r="E1234" s="15">
        <v>1</v>
      </c>
      <c r="F1234" s="220">
        <f t="shared" si="499"/>
        <v>47</v>
      </c>
      <c r="G1234" s="248">
        <v>45078</v>
      </c>
      <c r="H1234" s="4" t="s">
        <v>745</v>
      </c>
      <c r="I1234" s="233">
        <v>400</v>
      </c>
      <c r="J1234" s="234">
        <v>100</v>
      </c>
      <c r="K1234" s="234">
        <v>100</v>
      </c>
      <c r="L1234" s="220">
        <f t="shared" si="500"/>
        <v>600</v>
      </c>
      <c r="M1234" s="211">
        <v>45080</v>
      </c>
      <c r="O1234" s="4"/>
      <c r="P1234" s="15"/>
      <c r="Q1234" s="14">
        <f t="shared" si="501"/>
        <v>0</v>
      </c>
      <c r="R1234" s="186"/>
      <c r="S1234" s="6"/>
      <c r="T1234" s="261"/>
      <c r="U1234" s="14">
        <f t="shared" si="502"/>
        <v>0</v>
      </c>
    </row>
    <row r="1235" spans="2:22" x14ac:dyDescent="0.15">
      <c r="B1235" s="4" t="s">
        <v>920</v>
      </c>
      <c r="C1235" s="233">
        <v>2</v>
      </c>
      <c r="D1235" s="234">
        <v>2</v>
      </c>
      <c r="E1235" s="234">
        <v>2</v>
      </c>
      <c r="F1235" s="220">
        <f t="shared" si="499"/>
        <v>6</v>
      </c>
      <c r="G1235" s="211">
        <v>45082</v>
      </c>
      <c r="H1235" s="4" t="s">
        <v>745</v>
      </c>
      <c r="I1235" s="233">
        <v>200</v>
      </c>
      <c r="J1235" s="234"/>
      <c r="K1235" s="234"/>
      <c r="L1235" s="220">
        <f t="shared" si="500"/>
        <v>200</v>
      </c>
      <c r="M1235" s="211">
        <v>45086</v>
      </c>
      <c r="O1235" s="4"/>
      <c r="P1235" s="15"/>
      <c r="Q1235" s="14">
        <f t="shared" si="501"/>
        <v>0</v>
      </c>
      <c r="R1235" s="186"/>
      <c r="S1235" s="6"/>
      <c r="T1235" s="261"/>
      <c r="U1235" s="14">
        <f t="shared" si="502"/>
        <v>0</v>
      </c>
    </row>
    <row r="1236" spans="2:22" x14ac:dyDescent="0.15">
      <c r="B1236" s="4" t="s">
        <v>749</v>
      </c>
      <c r="C1236" s="233">
        <f>3+13</f>
        <v>16</v>
      </c>
      <c r="D1236" s="234">
        <v>2</v>
      </c>
      <c r="E1236" s="234"/>
      <c r="F1236" s="220">
        <f t="shared" si="499"/>
        <v>18</v>
      </c>
      <c r="G1236" s="248">
        <v>45079</v>
      </c>
      <c r="H1236" s="4" t="s">
        <v>745</v>
      </c>
      <c r="I1236" s="233">
        <v>200</v>
      </c>
      <c r="J1236" s="234">
        <v>50</v>
      </c>
      <c r="K1236" s="234"/>
      <c r="L1236" s="220">
        <f t="shared" si="500"/>
        <v>250</v>
      </c>
      <c r="M1236" s="211">
        <v>45091</v>
      </c>
      <c r="O1236" s="4"/>
      <c r="P1236" s="15"/>
      <c r="Q1236" s="14">
        <f t="shared" si="501"/>
        <v>0</v>
      </c>
      <c r="R1236" s="186"/>
      <c r="S1236" s="6"/>
      <c r="T1236" s="261"/>
      <c r="U1236" s="14">
        <f t="shared" si="502"/>
        <v>0</v>
      </c>
    </row>
    <row r="1237" spans="2:22" x14ac:dyDescent="0.15">
      <c r="B1237" s="4" t="s">
        <v>749</v>
      </c>
      <c r="C1237" s="233">
        <v>16</v>
      </c>
      <c r="D1237" s="234"/>
      <c r="E1237" s="234"/>
      <c r="F1237" s="220">
        <f t="shared" si="499"/>
        <v>16</v>
      </c>
      <c r="G1237" s="248">
        <v>45080</v>
      </c>
      <c r="H1237" s="4" t="s">
        <v>745</v>
      </c>
      <c r="I1237" s="233">
        <v>200</v>
      </c>
      <c r="J1237" s="234"/>
      <c r="K1237" s="234"/>
      <c r="L1237" s="220">
        <f t="shared" si="500"/>
        <v>200</v>
      </c>
      <c r="M1237" s="211">
        <v>45094</v>
      </c>
      <c r="O1237" s="4"/>
      <c r="P1237" s="15"/>
      <c r="Q1237" s="14">
        <f t="shared" si="501"/>
        <v>0</v>
      </c>
      <c r="R1237" s="186"/>
      <c r="S1237" s="6"/>
      <c r="T1237" s="261"/>
      <c r="U1237" s="14">
        <f t="shared" si="502"/>
        <v>0</v>
      </c>
    </row>
    <row r="1238" spans="2:22" x14ac:dyDescent="0.15">
      <c r="B1238" s="4" t="s">
        <v>920</v>
      </c>
      <c r="C1238" s="233">
        <v>4</v>
      </c>
      <c r="D1238" s="234">
        <v>4</v>
      </c>
      <c r="E1238" s="234">
        <v>4</v>
      </c>
      <c r="F1238" s="220">
        <f t="shared" si="499"/>
        <v>12</v>
      </c>
      <c r="G1238" s="211">
        <v>45083</v>
      </c>
      <c r="H1238" s="4"/>
      <c r="I1238" s="233"/>
      <c r="J1238" s="234"/>
      <c r="K1238" s="234"/>
      <c r="L1238" s="220">
        <f t="shared" si="500"/>
        <v>0</v>
      </c>
      <c r="O1238" s="4"/>
      <c r="P1238" s="15"/>
      <c r="Q1238" s="14">
        <f t="shared" si="501"/>
        <v>0</v>
      </c>
      <c r="R1238" s="186"/>
      <c r="S1238" s="6"/>
      <c r="T1238" s="261"/>
      <c r="U1238" s="14">
        <f t="shared" si="502"/>
        <v>0</v>
      </c>
    </row>
    <row r="1239" spans="2:22" x14ac:dyDescent="0.15">
      <c r="B1239" s="4" t="s">
        <v>749</v>
      </c>
      <c r="C1239" s="233">
        <f>15+104</f>
        <v>119</v>
      </c>
      <c r="D1239" s="234">
        <f>4+17</f>
        <v>21</v>
      </c>
      <c r="E1239" s="234">
        <f>1+10</f>
        <v>11</v>
      </c>
      <c r="F1239" s="220">
        <f t="shared" si="499"/>
        <v>151</v>
      </c>
      <c r="G1239" s="248">
        <v>45082</v>
      </c>
      <c r="H1239" s="4"/>
      <c r="I1239" s="233"/>
      <c r="J1239" s="234"/>
      <c r="K1239" s="234"/>
      <c r="L1239" s="220">
        <f t="shared" si="500"/>
        <v>0</v>
      </c>
      <c r="O1239" s="4"/>
      <c r="P1239" s="15"/>
      <c r="Q1239" s="14">
        <f t="shared" si="501"/>
        <v>0</v>
      </c>
      <c r="R1239" s="186"/>
      <c r="S1239" s="4"/>
      <c r="T1239" s="261"/>
      <c r="U1239" s="14">
        <f t="shared" si="502"/>
        <v>0</v>
      </c>
    </row>
    <row r="1240" spans="2:22" x14ac:dyDescent="0.15">
      <c r="B1240" s="4" t="s">
        <v>749</v>
      </c>
      <c r="C1240" s="233">
        <f>1+1+1+11+10+18+23+18+6</f>
        <v>89</v>
      </c>
      <c r="D1240" s="234">
        <f>1+1+1+6+3</f>
        <v>12</v>
      </c>
      <c r="E1240" s="234">
        <f>1+1+2+2</f>
        <v>6</v>
      </c>
      <c r="F1240" s="220">
        <f t="shared" si="499"/>
        <v>107</v>
      </c>
      <c r="G1240" s="248">
        <v>45083</v>
      </c>
      <c r="H1240" s="4"/>
      <c r="I1240" s="233"/>
      <c r="J1240" s="234"/>
      <c r="K1240" s="234"/>
      <c r="L1240" s="220">
        <f t="shared" si="500"/>
        <v>0</v>
      </c>
      <c r="O1240" s="4"/>
      <c r="P1240" s="15"/>
      <c r="Q1240" s="14">
        <f t="shared" si="501"/>
        <v>0</v>
      </c>
      <c r="R1240" s="186"/>
      <c r="S1240" s="4"/>
      <c r="T1240" s="261"/>
      <c r="U1240" s="14">
        <f t="shared" si="502"/>
        <v>0</v>
      </c>
    </row>
    <row r="1241" spans="2:22" x14ac:dyDescent="0.15">
      <c r="B1241" s="6" t="s">
        <v>1167</v>
      </c>
      <c r="C1241" s="233"/>
      <c r="D1241" s="234">
        <v>12</v>
      </c>
      <c r="E1241" s="234"/>
      <c r="F1241" s="220">
        <f t="shared" si="499"/>
        <v>12</v>
      </c>
      <c r="G1241" s="211">
        <v>45085</v>
      </c>
      <c r="H1241" s="4"/>
      <c r="I1241" s="187"/>
      <c r="J1241" s="15"/>
      <c r="K1241" s="15"/>
      <c r="L1241" s="220">
        <f t="shared" si="500"/>
        <v>0</v>
      </c>
      <c r="O1241" s="4"/>
      <c r="P1241" s="15"/>
      <c r="Q1241" s="14">
        <f t="shared" si="501"/>
        <v>0</v>
      </c>
      <c r="R1241" s="186"/>
      <c r="S1241" s="4"/>
      <c r="T1241" s="261"/>
      <c r="U1241" s="14">
        <f t="shared" si="502"/>
        <v>0</v>
      </c>
    </row>
    <row r="1242" spans="2:22" x14ac:dyDescent="0.15">
      <c r="B1242" s="4" t="s">
        <v>749</v>
      </c>
      <c r="C1242" s="233">
        <f>6+22+3</f>
        <v>31</v>
      </c>
      <c r="D1242" s="234">
        <f>1+2</f>
        <v>3</v>
      </c>
      <c r="E1242" s="234">
        <f>1+1</f>
        <v>2</v>
      </c>
      <c r="F1242" s="220">
        <f t="shared" si="499"/>
        <v>36</v>
      </c>
      <c r="G1242" s="248">
        <v>45084</v>
      </c>
      <c r="H1242" s="4"/>
      <c r="I1242" s="187"/>
      <c r="J1242" s="15"/>
      <c r="K1242" s="15"/>
      <c r="L1242" s="220">
        <f t="shared" si="500"/>
        <v>0</v>
      </c>
      <c r="O1242" s="4"/>
      <c r="P1242" s="15"/>
      <c r="Q1242" s="14">
        <f t="shared" si="501"/>
        <v>0</v>
      </c>
      <c r="R1242" s="186"/>
      <c r="S1242" s="4"/>
      <c r="T1242" s="261"/>
      <c r="U1242" s="14">
        <f t="shared" si="502"/>
        <v>0</v>
      </c>
    </row>
    <row r="1243" spans="2:22" x14ac:dyDescent="0.15">
      <c r="B1243" s="6" t="s">
        <v>1168</v>
      </c>
      <c r="C1243" s="233"/>
      <c r="D1243" s="234">
        <v>5</v>
      </c>
      <c r="E1243" s="234"/>
      <c r="F1243" s="220">
        <f t="shared" si="499"/>
        <v>5</v>
      </c>
      <c r="G1243" s="211">
        <v>45086</v>
      </c>
      <c r="H1243" s="4"/>
      <c r="I1243" s="187"/>
      <c r="J1243" s="15"/>
      <c r="K1243" s="15"/>
      <c r="L1243" s="220">
        <f t="shared" si="500"/>
        <v>0</v>
      </c>
      <c r="O1243" s="4"/>
      <c r="P1243" s="15"/>
      <c r="Q1243" s="14">
        <f t="shared" si="501"/>
        <v>0</v>
      </c>
      <c r="R1243" s="186"/>
      <c r="S1243" s="4"/>
      <c r="T1243" s="261"/>
      <c r="U1243" s="14">
        <f t="shared" si="502"/>
        <v>0</v>
      </c>
    </row>
    <row r="1244" spans="2:22" x14ac:dyDescent="0.15">
      <c r="B1244" s="4" t="s">
        <v>749</v>
      </c>
      <c r="C1244" s="233">
        <f>6+16</f>
        <v>22</v>
      </c>
      <c r="D1244" s="234">
        <f>2+1</f>
        <v>3</v>
      </c>
      <c r="E1244" s="234">
        <f>2+1</f>
        <v>3</v>
      </c>
      <c r="F1244" s="220">
        <f t="shared" si="499"/>
        <v>28</v>
      </c>
      <c r="G1244" s="248">
        <v>45085</v>
      </c>
      <c r="H1244" s="6"/>
      <c r="I1244" s="188"/>
      <c r="J1244" s="15"/>
      <c r="K1244" s="15"/>
      <c r="L1244" s="220">
        <f t="shared" si="500"/>
        <v>0</v>
      </c>
      <c r="O1244" s="6"/>
      <c r="P1244" s="15"/>
      <c r="Q1244" s="14">
        <f t="shared" si="501"/>
        <v>0</v>
      </c>
      <c r="R1244" s="186"/>
      <c r="S1244" s="6"/>
      <c r="T1244" s="261"/>
      <c r="U1244" s="14">
        <f t="shared" si="502"/>
        <v>0</v>
      </c>
    </row>
    <row r="1245" spans="2:22" x14ac:dyDescent="0.15">
      <c r="B1245" s="4" t="s">
        <v>749</v>
      </c>
      <c r="C1245" s="233">
        <v>25</v>
      </c>
      <c r="D1245" s="234"/>
      <c r="E1245" s="234"/>
      <c r="F1245" s="220">
        <f t="shared" si="499"/>
        <v>25</v>
      </c>
      <c r="G1245" s="248">
        <v>45086</v>
      </c>
      <c r="H1245" s="6"/>
      <c r="I1245" s="188"/>
      <c r="J1245" s="15"/>
      <c r="K1245" s="15"/>
      <c r="L1245" s="220">
        <f t="shared" si="500"/>
        <v>0</v>
      </c>
      <c r="O1245" s="6"/>
      <c r="P1245" s="15"/>
      <c r="Q1245" s="14">
        <f t="shared" si="501"/>
        <v>0</v>
      </c>
      <c r="R1245" s="186"/>
      <c r="S1245" s="6"/>
      <c r="T1245" s="261"/>
      <c r="U1245" s="14">
        <f t="shared" si="502"/>
        <v>0</v>
      </c>
    </row>
    <row r="1246" spans="2:22" x14ac:dyDescent="0.15">
      <c r="B1246" s="4" t="s">
        <v>920</v>
      </c>
      <c r="C1246" s="233">
        <v>2</v>
      </c>
      <c r="D1246" s="234">
        <v>2</v>
      </c>
      <c r="E1246" s="234">
        <v>2</v>
      </c>
      <c r="F1246" s="220">
        <f t="shared" si="499"/>
        <v>6</v>
      </c>
      <c r="G1246" s="211">
        <v>45090</v>
      </c>
      <c r="H1246" s="4"/>
      <c r="I1246" s="187"/>
      <c r="J1246" s="15"/>
      <c r="K1246" s="15"/>
      <c r="L1246" s="220">
        <f t="shared" si="500"/>
        <v>0</v>
      </c>
      <c r="O1246" s="4"/>
      <c r="P1246" s="15"/>
      <c r="Q1246" s="14">
        <f t="shared" si="501"/>
        <v>0</v>
      </c>
      <c r="R1246" s="186"/>
      <c r="S1246" s="4"/>
      <c r="T1246" s="261"/>
      <c r="U1246" s="14">
        <f t="shared" si="502"/>
        <v>0</v>
      </c>
    </row>
    <row r="1247" spans="2:22" x14ac:dyDescent="0.15">
      <c r="B1247" s="6" t="s">
        <v>1169</v>
      </c>
      <c r="C1247" s="233"/>
      <c r="D1247" s="234"/>
      <c r="E1247" s="234">
        <v>3</v>
      </c>
      <c r="F1247" s="220">
        <f t="shared" si="499"/>
        <v>3</v>
      </c>
      <c r="G1247" s="211">
        <v>45090</v>
      </c>
      <c r="H1247" s="4"/>
      <c r="I1247" s="187"/>
      <c r="J1247" s="15"/>
      <c r="K1247" s="15"/>
      <c r="L1247" s="220">
        <f t="shared" si="500"/>
        <v>0</v>
      </c>
      <c r="O1247" s="4"/>
      <c r="P1247" s="15"/>
      <c r="Q1247" s="14">
        <f t="shared" si="501"/>
        <v>0</v>
      </c>
      <c r="R1247" s="186"/>
      <c r="S1247" s="4"/>
      <c r="T1247" s="261"/>
      <c r="U1247" s="14">
        <f t="shared" si="502"/>
        <v>0</v>
      </c>
    </row>
    <row r="1248" spans="2:22" x14ac:dyDescent="0.15">
      <c r="B1248" s="4" t="s">
        <v>749</v>
      </c>
      <c r="C1248" s="233">
        <f>3+117+7</f>
        <v>127</v>
      </c>
      <c r="D1248" s="234">
        <f>3+19+2</f>
        <v>24</v>
      </c>
      <c r="E1248" s="234">
        <f>3+7+1</f>
        <v>11</v>
      </c>
      <c r="F1248" s="220">
        <f t="shared" si="499"/>
        <v>162</v>
      </c>
      <c r="G1248" s="248">
        <v>45089</v>
      </c>
      <c r="H1248" s="6"/>
      <c r="I1248" s="187"/>
      <c r="J1248" s="15"/>
      <c r="K1248" s="15"/>
      <c r="L1248" s="220">
        <f t="shared" si="500"/>
        <v>0</v>
      </c>
      <c r="O1248" s="4"/>
      <c r="P1248" s="15"/>
      <c r="Q1248" s="14">
        <f t="shared" si="501"/>
        <v>0</v>
      </c>
      <c r="R1248" s="186"/>
      <c r="S1248" s="4"/>
      <c r="T1248" s="261"/>
      <c r="U1248" s="14">
        <f t="shared" si="502"/>
        <v>0</v>
      </c>
    </row>
    <row r="1249" spans="2:24" x14ac:dyDescent="0.15">
      <c r="B1249" s="4" t="s">
        <v>749</v>
      </c>
      <c r="C1249" s="233">
        <f>3+3</f>
        <v>6</v>
      </c>
      <c r="D1249" s="234">
        <v>1</v>
      </c>
      <c r="E1249" s="234">
        <v>1</v>
      </c>
      <c r="F1249" s="220">
        <f t="shared" si="499"/>
        <v>8</v>
      </c>
      <c r="G1249" s="248">
        <v>45090</v>
      </c>
      <c r="H1249" s="6"/>
      <c r="I1249" s="188"/>
      <c r="J1249" s="15"/>
      <c r="K1249" s="15"/>
      <c r="L1249" s="220">
        <f t="shared" si="500"/>
        <v>0</v>
      </c>
      <c r="O1249" s="6"/>
      <c r="P1249" s="15"/>
      <c r="Q1249" s="14">
        <f t="shared" si="501"/>
        <v>0</v>
      </c>
      <c r="R1249" s="186"/>
      <c r="S1249" s="4"/>
      <c r="T1249" s="261"/>
      <c r="U1249" s="14">
        <f t="shared" ref="U1249:U1256" si="503">SUM(T1249:T1249)</f>
        <v>0</v>
      </c>
    </row>
    <row r="1250" spans="2:24" x14ac:dyDescent="0.15">
      <c r="B1250" s="4" t="s">
        <v>749</v>
      </c>
      <c r="C1250" s="233">
        <f>2+7</f>
        <v>9</v>
      </c>
      <c r="D1250" s="234"/>
      <c r="E1250" s="234"/>
      <c r="F1250" s="220">
        <f t="shared" si="499"/>
        <v>9</v>
      </c>
      <c r="G1250" s="248">
        <v>45091</v>
      </c>
      <c r="H1250" s="6"/>
      <c r="I1250" s="188"/>
      <c r="J1250" s="15"/>
      <c r="K1250" s="15"/>
      <c r="L1250" s="220">
        <f t="shared" ref="L1250:L1256" si="504">SUM(I1250:K1250)</f>
        <v>0</v>
      </c>
      <c r="O1250" s="4"/>
      <c r="P1250" s="15"/>
      <c r="Q1250" s="14">
        <f t="shared" si="501"/>
        <v>0</v>
      </c>
      <c r="R1250" s="186"/>
      <c r="S1250" s="4"/>
      <c r="T1250" s="261"/>
      <c r="U1250" s="14">
        <f t="shared" si="503"/>
        <v>0</v>
      </c>
    </row>
    <row r="1251" spans="2:24" x14ac:dyDescent="0.15">
      <c r="B1251" s="4" t="s">
        <v>749</v>
      </c>
      <c r="C1251" s="233">
        <f>4+7</f>
        <v>11</v>
      </c>
      <c r="D1251" s="234">
        <v>3</v>
      </c>
      <c r="E1251" s="234">
        <f>1+3</f>
        <v>4</v>
      </c>
      <c r="F1251" s="220">
        <f t="shared" si="499"/>
        <v>18</v>
      </c>
      <c r="G1251" s="248">
        <v>45092</v>
      </c>
      <c r="H1251" s="6"/>
      <c r="I1251" s="188"/>
      <c r="J1251" s="15"/>
      <c r="K1251" s="15"/>
      <c r="L1251" s="220">
        <f t="shared" si="504"/>
        <v>0</v>
      </c>
      <c r="O1251" s="6"/>
      <c r="P1251" s="15"/>
      <c r="Q1251" s="14">
        <f t="shared" si="501"/>
        <v>0</v>
      </c>
      <c r="R1251" s="186"/>
      <c r="S1251" s="4"/>
      <c r="T1251" s="261"/>
      <c r="U1251" s="14">
        <f t="shared" si="503"/>
        <v>0</v>
      </c>
    </row>
    <row r="1252" spans="2:24" x14ac:dyDescent="0.15">
      <c r="B1252" s="4" t="s">
        <v>1170</v>
      </c>
      <c r="C1252" s="233">
        <v>200</v>
      </c>
      <c r="D1252" s="234">
        <v>50</v>
      </c>
      <c r="E1252" s="234">
        <v>50</v>
      </c>
      <c r="F1252" s="220">
        <f t="shared" si="499"/>
        <v>300</v>
      </c>
      <c r="G1252" s="211">
        <v>45094</v>
      </c>
      <c r="H1252" s="6"/>
      <c r="I1252" s="188"/>
      <c r="J1252" s="15"/>
      <c r="K1252" s="15"/>
      <c r="L1252" s="220">
        <f t="shared" si="504"/>
        <v>0</v>
      </c>
      <c r="O1252" s="4"/>
      <c r="P1252" s="15"/>
      <c r="Q1252" s="14">
        <f t="shared" si="501"/>
        <v>0</v>
      </c>
      <c r="R1252" s="186"/>
      <c r="S1252" s="4"/>
      <c r="T1252" s="261"/>
      <c r="U1252" s="14">
        <f t="shared" si="503"/>
        <v>0</v>
      </c>
    </row>
    <row r="1253" spans="2:24" x14ac:dyDescent="0.15">
      <c r="B1253" s="4" t="s">
        <v>749</v>
      </c>
      <c r="C1253" s="233">
        <f>3+11</f>
        <v>14</v>
      </c>
      <c r="D1253" s="234">
        <f>2+2</f>
        <v>4</v>
      </c>
      <c r="E1253" s="234">
        <v>1</v>
      </c>
      <c r="F1253" s="220">
        <f t="shared" si="499"/>
        <v>19</v>
      </c>
      <c r="G1253" s="248">
        <v>45093</v>
      </c>
      <c r="H1253" s="6"/>
      <c r="I1253" s="188"/>
      <c r="J1253" s="15"/>
      <c r="K1253" s="15"/>
      <c r="L1253" s="220">
        <f t="shared" si="504"/>
        <v>0</v>
      </c>
      <c r="O1253" s="4"/>
      <c r="P1253" s="15"/>
      <c r="Q1253" s="14">
        <f t="shared" si="501"/>
        <v>0</v>
      </c>
      <c r="R1253" s="186"/>
      <c r="S1253" s="4"/>
      <c r="T1253" s="261"/>
      <c r="U1253" s="14">
        <f t="shared" si="503"/>
        <v>0</v>
      </c>
    </row>
    <row r="1254" spans="2:24" x14ac:dyDescent="0.15">
      <c r="B1254" s="4" t="s">
        <v>749</v>
      </c>
      <c r="C1254" s="233">
        <v>14</v>
      </c>
      <c r="D1254" s="234"/>
      <c r="E1254" s="234">
        <v>2</v>
      </c>
      <c r="F1254" s="220">
        <f t="shared" si="499"/>
        <v>16</v>
      </c>
      <c r="G1254" s="248">
        <v>45094</v>
      </c>
      <c r="H1254" s="6"/>
      <c r="I1254" s="233"/>
      <c r="J1254" s="15"/>
      <c r="K1254" s="15"/>
      <c r="L1254" s="220">
        <f t="shared" ref="L1254" si="505">SUM(I1254:K1254)</f>
        <v>0</v>
      </c>
      <c r="M1254" s="212"/>
      <c r="O1254" s="4"/>
      <c r="P1254" s="15"/>
      <c r="Q1254" s="14">
        <f t="shared" si="501"/>
        <v>0</v>
      </c>
      <c r="R1254" s="186"/>
      <c r="S1254" s="4"/>
      <c r="T1254" s="261"/>
      <c r="U1254" s="14">
        <f t="shared" si="503"/>
        <v>0</v>
      </c>
    </row>
    <row r="1255" spans="2:24" x14ac:dyDescent="0.15">
      <c r="B1255" s="4" t="s">
        <v>1172</v>
      </c>
      <c r="C1255" s="233">
        <v>5</v>
      </c>
      <c r="D1255" s="234">
        <v>5</v>
      </c>
      <c r="E1255" s="234">
        <v>5</v>
      </c>
      <c r="F1255" s="220">
        <f t="shared" si="499"/>
        <v>15</v>
      </c>
      <c r="G1255" s="211">
        <v>45096</v>
      </c>
      <c r="H1255" s="247" t="s">
        <v>1139</v>
      </c>
      <c r="I1255" s="270"/>
      <c r="J1255" s="252"/>
      <c r="K1255" s="252"/>
      <c r="L1255" s="250">
        <f t="shared" si="504"/>
        <v>0</v>
      </c>
      <c r="M1255" s="212"/>
      <c r="O1255" s="6"/>
      <c r="P1255" s="15"/>
      <c r="Q1255" s="14">
        <f t="shared" si="501"/>
        <v>0</v>
      </c>
      <c r="R1255" s="186"/>
      <c r="S1255" s="4"/>
      <c r="T1255" s="261"/>
      <c r="U1255" s="14">
        <f t="shared" si="503"/>
        <v>0</v>
      </c>
    </row>
    <row r="1256" spans="2:24" ht="14.25" thickBot="1" x14ac:dyDescent="0.2">
      <c r="B1256" s="6" t="s">
        <v>1173</v>
      </c>
      <c r="C1256" s="235"/>
      <c r="D1256" s="234">
        <v>10</v>
      </c>
      <c r="E1256" s="234"/>
      <c r="F1256" s="220">
        <f t="shared" si="499"/>
        <v>10</v>
      </c>
      <c r="G1256" s="211">
        <v>45096</v>
      </c>
      <c r="H1256" s="6" t="s">
        <v>1136</v>
      </c>
      <c r="I1256" s="208"/>
      <c r="J1256" s="15"/>
      <c r="K1256" s="15"/>
      <c r="L1256" s="220">
        <f t="shared" si="504"/>
        <v>0</v>
      </c>
      <c r="M1256" s="212" t="s">
        <v>1137</v>
      </c>
      <c r="O1256" s="6"/>
      <c r="P1256" s="15"/>
      <c r="Q1256" s="14">
        <f t="shared" si="501"/>
        <v>0</v>
      </c>
      <c r="R1256" s="186"/>
      <c r="S1256" s="6" t="s">
        <v>1136</v>
      </c>
      <c r="T1256" s="234"/>
      <c r="U1256" s="14">
        <f t="shared" si="503"/>
        <v>0</v>
      </c>
      <c r="V1256" s="186" t="s">
        <v>1137</v>
      </c>
    </row>
    <row r="1257" spans="2:24" ht="14.25" thickBot="1" x14ac:dyDescent="0.2">
      <c r="B1257" s="3" t="s">
        <v>5</v>
      </c>
      <c r="C1257" s="16">
        <f>SUM(C1233:C1256)</f>
        <v>849</v>
      </c>
      <c r="D1257" s="16">
        <f>SUM(D1233:D1256)</f>
        <v>178</v>
      </c>
      <c r="E1257" s="16">
        <f>SUM(E1233:E1256)</f>
        <v>113</v>
      </c>
      <c r="F1257" s="223">
        <f>SUM(F1233:F1256)</f>
        <v>1140</v>
      </c>
      <c r="H1257" s="3" t="s">
        <v>5</v>
      </c>
      <c r="I1257" s="16">
        <f>SUM(I1233:I1256)</f>
        <v>1035</v>
      </c>
      <c r="J1257" s="16">
        <f>SUM(J1233:J1256)</f>
        <v>190</v>
      </c>
      <c r="K1257" s="16">
        <f>SUM(K1233:K1256)</f>
        <v>115</v>
      </c>
      <c r="L1257" s="223">
        <f>SUM(L1233:L1256)</f>
        <v>1340</v>
      </c>
      <c r="N1257" t="s">
        <v>1113</v>
      </c>
      <c r="O1257" s="3" t="s">
        <v>5</v>
      </c>
      <c r="P1257" s="16">
        <f>SUM(P1233:P1256)</f>
        <v>0</v>
      </c>
      <c r="Q1257" s="17">
        <f>SUM(Q1233:Q1256)</f>
        <v>0</v>
      </c>
      <c r="S1257" s="3" t="s">
        <v>5</v>
      </c>
      <c r="T1257" s="16">
        <f>SUM(T1233:T1256)</f>
        <v>10</v>
      </c>
      <c r="U1257" s="17">
        <f>SUM(U1233:U1256)</f>
        <v>10</v>
      </c>
      <c r="V1257" t="s">
        <v>1089</v>
      </c>
      <c r="W1257">
        <v>550</v>
      </c>
      <c r="X1257">
        <v>690</v>
      </c>
    </row>
    <row r="1258" spans="2:24" ht="14.25" thickBot="1" x14ac:dyDescent="0.2">
      <c r="B1258" s="18" t="s">
        <v>6</v>
      </c>
      <c r="C1258" s="19">
        <f>C1232-C1257</f>
        <v>397</v>
      </c>
      <c r="D1258" s="19">
        <f>D1232-D1257</f>
        <v>91</v>
      </c>
      <c r="E1258" s="19">
        <f t="shared" ref="E1258" si="506">E1232-E1257</f>
        <v>116</v>
      </c>
      <c r="F1258" s="221">
        <f>F1232-F1257</f>
        <v>604</v>
      </c>
      <c r="H1258" s="18" t="s">
        <v>6</v>
      </c>
      <c r="I1258" s="19">
        <f>I1232-I1257</f>
        <v>3494</v>
      </c>
      <c r="J1258" s="19">
        <f>J1232-J1257</f>
        <v>459</v>
      </c>
      <c r="K1258" s="19">
        <f t="shared" ref="K1258" si="507">K1232-K1257</f>
        <v>683</v>
      </c>
      <c r="L1258" s="221">
        <f>L1232-L1257</f>
        <v>4636</v>
      </c>
      <c r="M1258" t="s">
        <v>1087</v>
      </c>
      <c r="N1258">
        <v>0</v>
      </c>
      <c r="O1258" s="18" t="s">
        <v>6</v>
      </c>
      <c r="P1258" s="19">
        <f>P1232-P1257</f>
        <v>0</v>
      </c>
      <c r="Q1258" s="13">
        <f>Q1232-Q1257</f>
        <v>0</v>
      </c>
      <c r="S1258" s="18" t="s">
        <v>6</v>
      </c>
      <c r="T1258" s="19">
        <f>T1232-T1257</f>
        <v>2963</v>
      </c>
      <c r="U1258" s="13">
        <f>U1232-U1257</f>
        <v>2963</v>
      </c>
      <c r="V1258" t="s">
        <v>1090</v>
      </c>
      <c r="W1258">
        <v>500</v>
      </c>
      <c r="X1258">
        <v>181</v>
      </c>
    </row>
    <row r="1259" spans="2:24" x14ac:dyDescent="0.15">
      <c r="M1259" t="s">
        <v>1088</v>
      </c>
      <c r="N1259">
        <v>422</v>
      </c>
      <c r="V1259" t="s">
        <v>1091</v>
      </c>
      <c r="W1259">
        <v>0</v>
      </c>
      <c r="X1259">
        <v>146</v>
      </c>
    </row>
    <row r="1260" spans="2:24" x14ac:dyDescent="0.15">
      <c r="M1260" t="s">
        <v>1089</v>
      </c>
      <c r="N1260">
        <v>1427</v>
      </c>
    </row>
    <row r="1261" spans="2:24" ht="18" thickBot="1" x14ac:dyDescent="0.25">
      <c r="B1261" s="27" t="s">
        <v>739</v>
      </c>
      <c r="C1261" s="28"/>
      <c r="D1261" s="28"/>
      <c r="E1261" s="28"/>
      <c r="F1261" s="218"/>
      <c r="H1261" s="27" t="s">
        <v>740</v>
      </c>
      <c r="I1261" s="28"/>
      <c r="J1261" s="28"/>
      <c r="K1261" s="28"/>
      <c r="L1261" s="218"/>
      <c r="M1261" t="s">
        <v>1090</v>
      </c>
      <c r="N1261">
        <v>401</v>
      </c>
      <c r="O1261" s="181" t="s">
        <v>737</v>
      </c>
      <c r="P1261" s="182"/>
      <c r="Q1261" s="182"/>
      <c r="R1261" s="183"/>
      <c r="S1261" s="181" t="s">
        <v>733</v>
      </c>
      <c r="T1261" s="182"/>
      <c r="U1261" s="182"/>
    </row>
    <row r="1262" spans="2:24" ht="14.25" thickBot="1" x14ac:dyDescent="0.2">
      <c r="B1262" s="2"/>
      <c r="C1262" s="194" t="s">
        <v>734</v>
      </c>
      <c r="D1262" s="195" t="s">
        <v>706</v>
      </c>
      <c r="E1262" s="2" t="s">
        <v>735</v>
      </c>
      <c r="F1262" s="219" t="s">
        <v>1</v>
      </c>
      <c r="H1262" s="2"/>
      <c r="I1262" s="197" t="s">
        <v>734</v>
      </c>
      <c r="J1262" s="195" t="s">
        <v>706</v>
      </c>
      <c r="K1262" s="201" t="s">
        <v>735</v>
      </c>
      <c r="L1262" s="219" t="s">
        <v>1</v>
      </c>
      <c r="M1262" t="s">
        <v>1091</v>
      </c>
      <c r="N1262">
        <v>277</v>
      </c>
      <c r="O1262" s="2"/>
      <c r="P1262" s="3" t="s">
        <v>722</v>
      </c>
      <c r="Q1262" s="2" t="s">
        <v>1</v>
      </c>
      <c r="S1262" s="2"/>
      <c r="T1262" s="3" t="s">
        <v>722</v>
      </c>
      <c r="U1262" s="2" t="s">
        <v>1</v>
      </c>
    </row>
    <row r="1263" spans="2:24" x14ac:dyDescent="0.15">
      <c r="B1263" s="164" t="s">
        <v>26</v>
      </c>
      <c r="C1263" s="200">
        <f>C1258</f>
        <v>397</v>
      </c>
      <c r="D1263" s="164">
        <f t="shared" ref="D1263:F1263" si="508">D1258</f>
        <v>91</v>
      </c>
      <c r="E1263" s="164">
        <f t="shared" si="508"/>
        <v>116</v>
      </c>
      <c r="F1263" s="222">
        <f t="shared" si="508"/>
        <v>604</v>
      </c>
      <c r="H1263" s="164" t="s">
        <v>26</v>
      </c>
      <c r="I1263" s="200">
        <f>I1258</f>
        <v>3494</v>
      </c>
      <c r="J1263" s="164">
        <f t="shared" ref="J1263:L1263" si="509">J1258</f>
        <v>459</v>
      </c>
      <c r="K1263" s="200">
        <f t="shared" si="509"/>
        <v>683</v>
      </c>
      <c r="L1263" s="222">
        <f t="shared" si="509"/>
        <v>4636</v>
      </c>
      <c r="M1263" s="269" t="s">
        <v>1105</v>
      </c>
      <c r="N1263">
        <f>SUM(N1258:N1262)</f>
        <v>2527</v>
      </c>
      <c r="O1263" s="171" t="s">
        <v>26</v>
      </c>
      <c r="P1263" s="200">
        <f>P1258</f>
        <v>0</v>
      </c>
      <c r="Q1263" s="180">
        <f>Q1258</f>
        <v>0</v>
      </c>
      <c r="R1263" s="185"/>
      <c r="S1263" s="43" t="s">
        <v>26</v>
      </c>
      <c r="T1263" s="38">
        <f>T1258</f>
        <v>2963</v>
      </c>
      <c r="U1263" s="39">
        <f>U1258</f>
        <v>2963</v>
      </c>
    </row>
    <row r="1264" spans="2:24" x14ac:dyDescent="0.15">
      <c r="B1264" s="6" t="s">
        <v>968</v>
      </c>
      <c r="C1264" s="6"/>
      <c r="D1264" s="6">
        <v>4</v>
      </c>
      <c r="E1264" s="4"/>
      <c r="F1264" s="220">
        <f t="shared" ref="F1264:F1273" si="510">SUM(C1264:E1264)</f>
        <v>4</v>
      </c>
      <c r="G1264" s="248">
        <v>45097</v>
      </c>
      <c r="H1264" s="6" t="s">
        <v>3</v>
      </c>
      <c r="I1264" s="188"/>
      <c r="J1264" s="225"/>
      <c r="K1264" s="243"/>
      <c r="L1264" s="220">
        <f t="shared" ref="L1264:L1273" si="511">SUM(I1264:K1264)</f>
        <v>0</v>
      </c>
      <c r="O1264" s="6" t="s">
        <v>3</v>
      </c>
      <c r="P1264" s="7"/>
      <c r="Q1264" s="5">
        <f t="shared" ref="Q1264:Q1273" si="512">SUM(P1264:P1264)</f>
        <v>0</v>
      </c>
      <c r="R1264" s="186"/>
      <c r="S1264" s="6" t="s">
        <v>3</v>
      </c>
      <c r="T1264" s="7"/>
      <c r="U1264" s="5">
        <f t="shared" ref="U1264:U1273" si="513">SUM(T1264:T1264)</f>
        <v>0</v>
      </c>
    </row>
    <row r="1265" spans="2:22" x14ac:dyDescent="0.15">
      <c r="B1265" s="6" t="s">
        <v>3</v>
      </c>
      <c r="C1265" s="6">
        <v>200</v>
      </c>
      <c r="D1265" s="6"/>
      <c r="E1265" s="4"/>
      <c r="F1265" s="220">
        <f t="shared" si="510"/>
        <v>200</v>
      </c>
      <c r="G1265" s="211">
        <v>45106</v>
      </c>
      <c r="H1265" s="6" t="s">
        <v>3</v>
      </c>
      <c r="I1265" s="188"/>
      <c r="J1265" s="225"/>
      <c r="K1265" s="243"/>
      <c r="L1265" s="220">
        <f t="shared" si="511"/>
        <v>0</v>
      </c>
      <c r="O1265" s="6" t="s">
        <v>3</v>
      </c>
      <c r="P1265" s="7"/>
      <c r="Q1265" s="5">
        <f t="shared" si="512"/>
        <v>0</v>
      </c>
      <c r="R1265" s="186"/>
      <c r="S1265" s="6" t="s">
        <v>3</v>
      </c>
      <c r="T1265" s="54"/>
      <c r="U1265" s="5">
        <f t="shared" si="513"/>
        <v>0</v>
      </c>
    </row>
    <row r="1266" spans="2:22" x14ac:dyDescent="0.15">
      <c r="B1266" s="6" t="s">
        <v>3</v>
      </c>
      <c r="C1266" s="6"/>
      <c r="D1266" s="6">
        <v>100</v>
      </c>
      <c r="E1266" s="4"/>
      <c r="F1266" s="220">
        <f t="shared" si="510"/>
        <v>100</v>
      </c>
      <c r="G1266" s="211">
        <v>45108</v>
      </c>
      <c r="H1266" s="6" t="s">
        <v>3</v>
      </c>
      <c r="I1266" s="188"/>
      <c r="J1266" s="225"/>
      <c r="K1266" s="243"/>
      <c r="L1266" s="220">
        <f t="shared" si="511"/>
        <v>0</v>
      </c>
      <c r="O1266" s="6" t="s">
        <v>3</v>
      </c>
      <c r="P1266" s="7"/>
      <c r="Q1266" s="5">
        <f t="shared" si="512"/>
        <v>0</v>
      </c>
      <c r="R1266" s="186"/>
      <c r="S1266" s="6" t="s">
        <v>3</v>
      </c>
      <c r="T1266" s="54"/>
      <c r="U1266" s="5">
        <f t="shared" ref="U1266:U1267" si="514">SUM(T1266:T1266)</f>
        <v>0</v>
      </c>
    </row>
    <row r="1267" spans="2:22" x14ac:dyDescent="0.15">
      <c r="B1267" s="6" t="s">
        <v>3</v>
      </c>
      <c r="C1267" s="6">
        <v>400</v>
      </c>
      <c r="D1267" s="6"/>
      <c r="E1267" s="4"/>
      <c r="F1267" s="220">
        <f t="shared" si="510"/>
        <v>400</v>
      </c>
      <c r="G1267" s="211">
        <v>45113</v>
      </c>
      <c r="H1267" s="6" t="s">
        <v>3</v>
      </c>
      <c r="I1267" s="188"/>
      <c r="J1267" s="225"/>
      <c r="K1267" s="243"/>
      <c r="L1267" s="220">
        <f t="shared" si="511"/>
        <v>0</v>
      </c>
      <c r="O1267" s="6" t="s">
        <v>3</v>
      </c>
      <c r="P1267" s="7"/>
      <c r="Q1267" s="5">
        <f t="shared" si="512"/>
        <v>0</v>
      </c>
      <c r="R1267" s="186"/>
      <c r="S1267" s="6" t="s">
        <v>3</v>
      </c>
      <c r="T1267" s="54"/>
      <c r="U1267" s="5">
        <f t="shared" si="514"/>
        <v>0</v>
      </c>
    </row>
    <row r="1268" spans="2:22" x14ac:dyDescent="0.15">
      <c r="B1268" s="6" t="s">
        <v>3</v>
      </c>
      <c r="C1268" s="6"/>
      <c r="D1268" s="6"/>
      <c r="E1268" s="4"/>
      <c r="F1268" s="220">
        <f t="shared" si="510"/>
        <v>0</v>
      </c>
      <c r="G1268" s="212"/>
      <c r="H1268" s="6" t="s">
        <v>3</v>
      </c>
      <c r="I1268" s="188"/>
      <c r="J1268" s="225"/>
      <c r="K1268" s="243"/>
      <c r="L1268" s="220">
        <f t="shared" ref="L1268:L1269" si="515">SUM(I1268:K1268)</f>
        <v>0</v>
      </c>
      <c r="O1268" s="6" t="s">
        <v>3</v>
      </c>
      <c r="P1268" s="7"/>
      <c r="Q1268" s="5">
        <f t="shared" si="512"/>
        <v>0</v>
      </c>
      <c r="R1268" s="186"/>
      <c r="S1268" s="6" t="s">
        <v>3</v>
      </c>
      <c r="T1268" s="54"/>
      <c r="U1268" s="5">
        <f t="shared" si="513"/>
        <v>0</v>
      </c>
    </row>
    <row r="1269" spans="2:22" x14ac:dyDescent="0.15">
      <c r="B1269" s="6" t="s">
        <v>3</v>
      </c>
      <c r="C1269" s="6"/>
      <c r="D1269" s="6"/>
      <c r="E1269" s="4"/>
      <c r="F1269" s="220">
        <f t="shared" si="510"/>
        <v>0</v>
      </c>
      <c r="H1269" s="6" t="s">
        <v>3</v>
      </c>
      <c r="I1269" s="188">
        <v>6000</v>
      </c>
      <c r="J1269" s="225">
        <v>2000</v>
      </c>
      <c r="K1269" s="243">
        <v>1000</v>
      </c>
      <c r="L1269" s="220">
        <f t="shared" si="515"/>
        <v>9000</v>
      </c>
      <c r="M1269" s="211" t="s">
        <v>1187</v>
      </c>
      <c r="O1269" s="6" t="s">
        <v>3</v>
      </c>
      <c r="P1269" s="7"/>
      <c r="Q1269" s="5">
        <f t="shared" si="512"/>
        <v>0</v>
      </c>
      <c r="R1269" s="186"/>
      <c r="S1269" s="6" t="s">
        <v>3</v>
      </c>
      <c r="T1269" s="54">
        <v>600</v>
      </c>
      <c r="U1269" s="5">
        <f t="shared" si="513"/>
        <v>600</v>
      </c>
      <c r="V1269" s="211" t="s">
        <v>1188</v>
      </c>
    </row>
    <row r="1270" spans="2:22" x14ac:dyDescent="0.15">
      <c r="B1270" s="6" t="s">
        <v>3</v>
      </c>
      <c r="C1270" s="6"/>
      <c r="D1270" s="225"/>
      <c r="E1270" s="226"/>
      <c r="F1270" s="220">
        <f t="shared" si="510"/>
        <v>0</v>
      </c>
      <c r="H1270" s="6" t="s">
        <v>3</v>
      </c>
      <c r="I1270" s="188"/>
      <c r="J1270" s="225"/>
      <c r="K1270" s="243"/>
      <c r="L1270" s="220">
        <f t="shared" si="511"/>
        <v>0</v>
      </c>
      <c r="O1270" s="6" t="s">
        <v>3</v>
      </c>
      <c r="P1270" s="8"/>
      <c r="Q1270" s="5">
        <f t="shared" si="512"/>
        <v>0</v>
      </c>
      <c r="R1270" s="186"/>
      <c r="S1270" s="6" t="s">
        <v>3</v>
      </c>
      <c r="T1270" s="54"/>
      <c r="U1270" s="5">
        <f t="shared" si="513"/>
        <v>0</v>
      </c>
    </row>
    <row r="1271" spans="2:22" x14ac:dyDescent="0.15">
      <c r="B1271" s="6" t="s">
        <v>3</v>
      </c>
      <c r="C1271" s="6"/>
      <c r="D1271" s="225"/>
      <c r="E1271" s="226"/>
      <c r="F1271" s="220">
        <f t="shared" si="510"/>
        <v>0</v>
      </c>
      <c r="H1271" s="6" t="s">
        <v>3</v>
      </c>
      <c r="I1271" s="188"/>
      <c r="J1271" s="225"/>
      <c r="K1271" s="243"/>
      <c r="L1271" s="220">
        <f t="shared" si="511"/>
        <v>0</v>
      </c>
      <c r="O1271" s="6" t="s">
        <v>3</v>
      </c>
      <c r="P1271" s="8"/>
      <c r="Q1271" s="5">
        <f t="shared" si="512"/>
        <v>0</v>
      </c>
      <c r="R1271" s="186"/>
      <c r="S1271" s="6" t="s">
        <v>3</v>
      </c>
      <c r="T1271" s="54"/>
      <c r="U1271" s="5">
        <f t="shared" si="513"/>
        <v>0</v>
      </c>
    </row>
    <row r="1272" spans="2:22" x14ac:dyDescent="0.15">
      <c r="B1272" s="6" t="s">
        <v>3</v>
      </c>
      <c r="C1272" s="6"/>
      <c r="D1272" s="225"/>
      <c r="E1272" s="226"/>
      <c r="F1272" s="220">
        <f t="shared" si="510"/>
        <v>0</v>
      </c>
      <c r="H1272" s="6" t="s">
        <v>3</v>
      </c>
      <c r="I1272" s="188"/>
      <c r="J1272" s="225"/>
      <c r="K1272" s="243"/>
      <c r="L1272" s="220">
        <f t="shared" si="511"/>
        <v>0</v>
      </c>
      <c r="O1272" s="6" t="s">
        <v>3</v>
      </c>
      <c r="P1272" s="8"/>
      <c r="Q1272" s="5">
        <f t="shared" si="512"/>
        <v>0</v>
      </c>
      <c r="R1272" s="186"/>
      <c r="S1272" s="6" t="s">
        <v>3</v>
      </c>
      <c r="T1272" s="54"/>
      <c r="U1272" s="5">
        <f t="shared" si="513"/>
        <v>0</v>
      </c>
    </row>
    <row r="1273" spans="2:22" ht="14.25" thickBot="1" x14ac:dyDescent="0.2">
      <c r="B1273" s="6" t="s">
        <v>3</v>
      </c>
      <c r="C1273" s="9"/>
      <c r="D1273" s="237"/>
      <c r="E1273" s="238"/>
      <c r="F1273" s="220">
        <f t="shared" si="510"/>
        <v>0</v>
      </c>
      <c r="H1273" s="9" t="s">
        <v>3</v>
      </c>
      <c r="I1273" s="198"/>
      <c r="J1273" s="244"/>
      <c r="K1273" s="245"/>
      <c r="L1273" s="220">
        <f t="shared" si="511"/>
        <v>0</v>
      </c>
      <c r="O1273" s="9" t="s">
        <v>3</v>
      </c>
      <c r="P1273" s="10"/>
      <c r="Q1273" s="5">
        <f t="shared" si="512"/>
        <v>0</v>
      </c>
      <c r="R1273" s="186"/>
      <c r="S1273" s="9" t="s">
        <v>3</v>
      </c>
      <c r="T1273" s="101"/>
      <c r="U1273" s="5">
        <f t="shared" si="513"/>
        <v>0</v>
      </c>
    </row>
    <row r="1274" spans="2:22" ht="14.25" thickBot="1" x14ac:dyDescent="0.2">
      <c r="B1274" s="11" t="s">
        <v>4</v>
      </c>
      <c r="C1274" s="193">
        <f>SUM(C1263:C1273)</f>
        <v>997</v>
      </c>
      <c r="D1274" s="193">
        <f>SUM(D1263:D1273)</f>
        <v>195</v>
      </c>
      <c r="E1274" s="193">
        <f>SUM(E1263:E1273)</f>
        <v>116</v>
      </c>
      <c r="F1274" s="221">
        <f>SUM(F1263:F1273)</f>
        <v>1308</v>
      </c>
      <c r="H1274" s="11" t="s">
        <v>4</v>
      </c>
      <c r="I1274" s="193">
        <f>SUM(I1263:I1273)</f>
        <v>9494</v>
      </c>
      <c r="J1274" s="193">
        <f>SUM(J1263:J1273)</f>
        <v>2459</v>
      </c>
      <c r="K1274" s="193">
        <f t="shared" ref="K1274" si="516">SUM(K1263:K1273)</f>
        <v>1683</v>
      </c>
      <c r="L1274" s="221">
        <f>SUM(L1263:L1273)</f>
        <v>13636</v>
      </c>
      <c r="O1274" s="11" t="s">
        <v>4</v>
      </c>
      <c r="P1274" s="12">
        <f>SUM(P1263:P1273)</f>
        <v>0</v>
      </c>
      <c r="Q1274" s="13">
        <f>SUM(Q1263:Q1273)</f>
        <v>0</v>
      </c>
      <c r="S1274" s="11" t="s">
        <v>4</v>
      </c>
      <c r="T1274" s="12">
        <f>SUM(T1263:T1273)</f>
        <v>3563</v>
      </c>
      <c r="U1274" s="13">
        <f>SUM(U1263:U1273)</f>
        <v>3563</v>
      </c>
    </row>
    <row r="1275" spans="2:22" x14ac:dyDescent="0.15">
      <c r="B1275" s="4" t="s">
        <v>749</v>
      </c>
      <c r="C1275" s="233">
        <f>4+39</f>
        <v>43</v>
      </c>
      <c r="D1275" s="234">
        <f>1+5</f>
        <v>6</v>
      </c>
      <c r="E1275" s="234"/>
      <c r="F1275" s="220">
        <f t="shared" ref="F1275:F1298" si="517">SUM(C1275:E1275)</f>
        <v>49</v>
      </c>
      <c r="G1275" s="248">
        <v>45096</v>
      </c>
      <c r="H1275" s="4" t="s">
        <v>1171</v>
      </c>
      <c r="I1275" s="233">
        <v>100</v>
      </c>
      <c r="J1275" s="234"/>
      <c r="K1275" s="234"/>
      <c r="L1275" s="220">
        <f t="shared" ref="L1275:L1291" si="518">SUM(I1275:K1275)</f>
        <v>100</v>
      </c>
      <c r="M1275" s="211">
        <v>45099</v>
      </c>
      <c r="O1275" s="4"/>
      <c r="P1275" s="44"/>
      <c r="Q1275" s="14">
        <f t="shared" ref="Q1275:Q1298" si="519">SUM(P1275:P1275)</f>
        <v>0</v>
      </c>
      <c r="R1275" s="185"/>
      <c r="S1275" s="6" t="s">
        <v>1174</v>
      </c>
      <c r="T1275" s="273">
        <v>12</v>
      </c>
      <c r="U1275" s="14">
        <f t="shared" ref="U1275:U1290" si="520">SUM(T1275:T1275)</f>
        <v>12</v>
      </c>
      <c r="V1275" s="211">
        <v>45098</v>
      </c>
    </row>
    <row r="1276" spans="2:22" x14ac:dyDescent="0.15">
      <c r="B1276" s="4" t="s">
        <v>749</v>
      </c>
      <c r="C1276" s="233">
        <f>5+13</f>
        <v>18</v>
      </c>
      <c r="D1276" s="234">
        <f>2+5</f>
        <v>7</v>
      </c>
      <c r="E1276" s="234">
        <f>3+1</f>
        <v>4</v>
      </c>
      <c r="F1276" s="220">
        <f t="shared" si="517"/>
        <v>29</v>
      </c>
      <c r="G1276" s="248">
        <v>45097</v>
      </c>
      <c r="H1276" s="4" t="s">
        <v>1180</v>
      </c>
      <c r="I1276" s="233">
        <v>200</v>
      </c>
      <c r="J1276" s="234"/>
      <c r="K1276" s="234"/>
      <c r="L1276" s="220">
        <f t="shared" si="518"/>
        <v>200</v>
      </c>
      <c r="M1276" s="211">
        <v>45106</v>
      </c>
      <c r="O1276" s="4"/>
      <c r="P1276" s="15"/>
      <c r="Q1276" s="14">
        <f t="shared" si="519"/>
        <v>0</v>
      </c>
      <c r="R1276" s="186"/>
      <c r="S1276" s="4" t="s">
        <v>1171</v>
      </c>
      <c r="T1276" s="234">
        <v>100</v>
      </c>
      <c r="U1276" s="14">
        <f t="shared" si="520"/>
        <v>100</v>
      </c>
      <c r="V1276" s="211">
        <v>45114</v>
      </c>
    </row>
    <row r="1277" spans="2:22" x14ac:dyDescent="0.15">
      <c r="B1277" s="4" t="s">
        <v>1175</v>
      </c>
      <c r="C1277" s="233">
        <v>50</v>
      </c>
      <c r="D1277" s="234"/>
      <c r="E1277" s="234"/>
      <c r="F1277" s="220">
        <f t="shared" si="517"/>
        <v>50</v>
      </c>
      <c r="G1277" s="211">
        <v>45098</v>
      </c>
      <c r="H1277" s="4" t="s">
        <v>1181</v>
      </c>
      <c r="I1277" s="233">
        <v>200</v>
      </c>
      <c r="J1277" s="234"/>
      <c r="K1277" s="234"/>
      <c r="L1277" s="220">
        <f t="shared" si="518"/>
        <v>200</v>
      </c>
      <c r="M1277" s="211">
        <v>45110</v>
      </c>
      <c r="O1277" s="4"/>
      <c r="P1277" s="15"/>
      <c r="Q1277" s="14">
        <f t="shared" si="519"/>
        <v>0</v>
      </c>
      <c r="R1277" s="186"/>
      <c r="S1277" s="6"/>
      <c r="T1277" s="261"/>
      <c r="U1277" s="14">
        <f t="shared" si="520"/>
        <v>0</v>
      </c>
      <c r="V1277" s="209"/>
    </row>
    <row r="1278" spans="2:22" x14ac:dyDescent="0.15">
      <c r="B1278" s="4" t="s">
        <v>749</v>
      </c>
      <c r="C1278" s="233">
        <f>3+20</f>
        <v>23</v>
      </c>
      <c r="D1278" s="234">
        <f>1+4</f>
        <v>5</v>
      </c>
      <c r="E1278" s="234">
        <v>2</v>
      </c>
      <c r="F1278" s="220">
        <f t="shared" si="517"/>
        <v>30</v>
      </c>
      <c r="G1278" s="248">
        <v>45098</v>
      </c>
      <c r="H1278" s="4" t="s">
        <v>745</v>
      </c>
      <c r="I1278" s="233"/>
      <c r="J1278" s="234">
        <v>100</v>
      </c>
      <c r="K1278" s="234"/>
      <c r="L1278" s="220">
        <f t="shared" si="518"/>
        <v>100</v>
      </c>
      <c r="M1278" s="211">
        <v>45108</v>
      </c>
      <c r="O1278" s="4"/>
      <c r="P1278" s="15"/>
      <c r="Q1278" s="14">
        <f t="shared" si="519"/>
        <v>0</v>
      </c>
      <c r="R1278" s="186"/>
      <c r="S1278" s="6"/>
      <c r="T1278" s="261"/>
      <c r="U1278" s="14">
        <f t="shared" si="520"/>
        <v>0</v>
      </c>
      <c r="V1278" s="209"/>
    </row>
    <row r="1279" spans="2:22" x14ac:dyDescent="0.15">
      <c r="B1279" s="4" t="s">
        <v>1176</v>
      </c>
      <c r="C1279" s="233">
        <v>2</v>
      </c>
      <c r="D1279" s="234">
        <v>2</v>
      </c>
      <c r="E1279" s="234">
        <v>2</v>
      </c>
      <c r="F1279" s="220">
        <f t="shared" si="517"/>
        <v>6</v>
      </c>
      <c r="G1279" s="211">
        <v>45100</v>
      </c>
      <c r="H1279" s="4" t="s">
        <v>1185</v>
      </c>
      <c r="I1279" s="233">
        <v>200</v>
      </c>
      <c r="J1279" s="234"/>
      <c r="K1279" s="234"/>
      <c r="L1279" s="220">
        <f t="shared" si="518"/>
        <v>200</v>
      </c>
      <c r="M1279" s="211">
        <v>45113</v>
      </c>
      <c r="O1279" s="4"/>
      <c r="P1279" s="15"/>
      <c r="Q1279" s="14">
        <f t="shared" si="519"/>
        <v>0</v>
      </c>
      <c r="R1279" s="186"/>
      <c r="S1279" s="6"/>
      <c r="T1279" s="261"/>
      <c r="U1279" s="14">
        <f t="shared" si="520"/>
        <v>0</v>
      </c>
      <c r="V1279" s="209"/>
    </row>
    <row r="1280" spans="2:22" x14ac:dyDescent="0.15">
      <c r="B1280" s="4" t="s">
        <v>749</v>
      </c>
      <c r="C1280" s="233">
        <f>1+1</f>
        <v>2</v>
      </c>
      <c r="D1280" s="234"/>
      <c r="E1280" s="234"/>
      <c r="F1280" s="220">
        <f t="shared" si="517"/>
        <v>2</v>
      </c>
      <c r="G1280" s="248">
        <v>45099</v>
      </c>
      <c r="H1280" s="4" t="s">
        <v>745</v>
      </c>
      <c r="I1280" s="233">
        <v>400</v>
      </c>
      <c r="J1280" s="234"/>
      <c r="K1280" s="234"/>
      <c r="L1280" s="220">
        <f t="shared" si="518"/>
        <v>400</v>
      </c>
      <c r="M1280" s="211">
        <v>45113</v>
      </c>
      <c r="O1280" s="4"/>
      <c r="P1280" s="15"/>
      <c r="Q1280" s="14">
        <f t="shared" si="519"/>
        <v>0</v>
      </c>
      <c r="R1280" s="186"/>
      <c r="S1280" s="6"/>
      <c r="T1280" s="261"/>
      <c r="U1280" s="14">
        <f t="shared" si="520"/>
        <v>0</v>
      </c>
      <c r="V1280" s="209"/>
    </row>
    <row r="1281" spans="2:22" x14ac:dyDescent="0.15">
      <c r="B1281" s="4" t="s">
        <v>749</v>
      </c>
      <c r="C1281" s="233">
        <v>7</v>
      </c>
      <c r="D1281" s="234"/>
      <c r="E1281" s="234">
        <v>1</v>
      </c>
      <c r="F1281" s="220">
        <f t="shared" si="517"/>
        <v>8</v>
      </c>
      <c r="G1281" s="248">
        <v>45100</v>
      </c>
      <c r="H1281" s="6" t="s">
        <v>994</v>
      </c>
      <c r="I1281" s="233">
        <v>100</v>
      </c>
      <c r="J1281" s="234"/>
      <c r="K1281" s="234"/>
      <c r="L1281" s="220">
        <f t="shared" si="518"/>
        <v>100</v>
      </c>
      <c r="M1281" s="211">
        <v>45114</v>
      </c>
      <c r="O1281" s="4"/>
      <c r="P1281" s="15"/>
      <c r="Q1281" s="14">
        <f t="shared" si="519"/>
        <v>0</v>
      </c>
      <c r="R1281" s="186"/>
      <c r="S1281" s="4"/>
      <c r="T1281" s="261"/>
      <c r="U1281" s="14">
        <f t="shared" si="520"/>
        <v>0</v>
      </c>
      <c r="V1281" s="209"/>
    </row>
    <row r="1282" spans="2:22" x14ac:dyDescent="0.15">
      <c r="B1282" s="4" t="s">
        <v>749</v>
      </c>
      <c r="C1282" s="233">
        <f>1+1+12+9</f>
        <v>23</v>
      </c>
      <c r="D1282" s="234">
        <f>6+1+1</f>
        <v>8</v>
      </c>
      <c r="E1282" s="234">
        <f>8+1+1</f>
        <v>10</v>
      </c>
      <c r="F1282" s="220">
        <f t="shared" si="517"/>
        <v>41</v>
      </c>
      <c r="G1282" s="211">
        <v>45103</v>
      </c>
      <c r="H1282" s="4" t="s">
        <v>1189</v>
      </c>
      <c r="I1282" s="233">
        <v>200</v>
      </c>
      <c r="J1282" s="234"/>
      <c r="K1282" s="234"/>
      <c r="L1282" s="220">
        <f t="shared" si="518"/>
        <v>200</v>
      </c>
      <c r="M1282" s="211">
        <v>45114</v>
      </c>
      <c r="O1282" s="4"/>
      <c r="P1282" s="15"/>
      <c r="Q1282" s="14">
        <f t="shared" si="519"/>
        <v>0</v>
      </c>
      <c r="R1282" s="186"/>
      <c r="S1282" s="4"/>
      <c r="T1282" s="261"/>
      <c r="U1282" s="14">
        <f t="shared" si="520"/>
        <v>0</v>
      </c>
      <c r="V1282" s="209"/>
    </row>
    <row r="1283" spans="2:22" x14ac:dyDescent="0.15">
      <c r="B1283" s="4" t="s">
        <v>1178</v>
      </c>
      <c r="C1283" s="233">
        <v>50</v>
      </c>
      <c r="D1283" s="234">
        <v>20</v>
      </c>
      <c r="E1283" s="234">
        <v>10</v>
      </c>
      <c r="F1283" s="220">
        <f t="shared" si="517"/>
        <v>80</v>
      </c>
      <c r="G1283" s="211">
        <v>45105</v>
      </c>
      <c r="H1283" s="4" t="s">
        <v>745</v>
      </c>
      <c r="I1283" s="233">
        <v>50</v>
      </c>
      <c r="J1283" s="15"/>
      <c r="K1283" s="15"/>
      <c r="L1283" s="220">
        <f t="shared" si="518"/>
        <v>50</v>
      </c>
      <c r="M1283" s="211">
        <v>45114</v>
      </c>
      <c r="O1283" s="4"/>
      <c r="P1283" s="15"/>
      <c r="Q1283" s="14">
        <f t="shared" si="519"/>
        <v>0</v>
      </c>
      <c r="R1283" s="186"/>
      <c r="S1283" s="4"/>
      <c r="T1283" s="261"/>
      <c r="U1283" s="14">
        <f t="shared" si="520"/>
        <v>0</v>
      </c>
      <c r="V1283" s="209"/>
    </row>
    <row r="1284" spans="2:22" x14ac:dyDescent="0.15">
      <c r="B1284" s="4" t="s">
        <v>1179</v>
      </c>
      <c r="C1284" s="233">
        <v>10</v>
      </c>
      <c r="D1284" s="234">
        <v>10</v>
      </c>
      <c r="E1284" s="234">
        <v>10</v>
      </c>
      <c r="F1284" s="220">
        <f t="shared" si="517"/>
        <v>30</v>
      </c>
      <c r="G1284" s="211">
        <v>45105</v>
      </c>
      <c r="H1284" s="4"/>
      <c r="I1284" s="187"/>
      <c r="J1284" s="15"/>
      <c r="K1284" s="15"/>
      <c r="L1284" s="220">
        <f t="shared" si="518"/>
        <v>0</v>
      </c>
      <c r="O1284" s="4"/>
      <c r="P1284" s="15"/>
      <c r="Q1284" s="14">
        <f t="shared" si="519"/>
        <v>0</v>
      </c>
      <c r="R1284" s="186"/>
      <c r="S1284" s="4"/>
      <c r="T1284" s="261"/>
      <c r="U1284" s="14">
        <f t="shared" si="520"/>
        <v>0</v>
      </c>
      <c r="V1284" s="209"/>
    </row>
    <row r="1285" spans="2:22" x14ac:dyDescent="0.15">
      <c r="B1285" s="4" t="s">
        <v>749</v>
      </c>
      <c r="C1285" s="233">
        <f>1+4</f>
        <v>5</v>
      </c>
      <c r="D1285" s="234">
        <f>1+1</f>
        <v>2</v>
      </c>
      <c r="E1285" s="234">
        <v>1</v>
      </c>
      <c r="F1285" s="220">
        <f t="shared" si="517"/>
        <v>8</v>
      </c>
      <c r="G1285" s="248">
        <v>45104</v>
      </c>
      <c r="H1285" s="4"/>
      <c r="I1285" s="187"/>
      <c r="J1285" s="15"/>
      <c r="K1285" s="15"/>
      <c r="L1285" s="220">
        <f t="shared" si="518"/>
        <v>0</v>
      </c>
      <c r="O1285" s="4"/>
      <c r="P1285" s="15"/>
      <c r="Q1285" s="14">
        <f t="shared" si="519"/>
        <v>0</v>
      </c>
      <c r="R1285" s="186"/>
      <c r="S1285" s="4"/>
      <c r="T1285" s="261"/>
      <c r="U1285" s="14">
        <f t="shared" si="520"/>
        <v>0</v>
      </c>
      <c r="V1285" s="209"/>
    </row>
    <row r="1286" spans="2:22" x14ac:dyDescent="0.15">
      <c r="B1286" s="4" t="s">
        <v>749</v>
      </c>
      <c r="C1286" s="233">
        <v>5</v>
      </c>
      <c r="D1286" s="234">
        <v>1</v>
      </c>
      <c r="E1286" s="234">
        <v>1</v>
      </c>
      <c r="F1286" s="220">
        <f t="shared" si="517"/>
        <v>7</v>
      </c>
      <c r="G1286" s="248">
        <v>45105</v>
      </c>
      <c r="H1286" s="6"/>
      <c r="I1286" s="188"/>
      <c r="J1286" s="15"/>
      <c r="K1286" s="15"/>
      <c r="L1286" s="220">
        <f t="shared" si="518"/>
        <v>0</v>
      </c>
      <c r="O1286" s="6"/>
      <c r="P1286" s="15"/>
      <c r="Q1286" s="14">
        <f t="shared" si="519"/>
        <v>0</v>
      </c>
      <c r="R1286" s="186"/>
      <c r="S1286" s="6"/>
      <c r="T1286" s="261"/>
      <c r="U1286" s="14">
        <f t="shared" si="520"/>
        <v>0</v>
      </c>
      <c r="V1286" s="209"/>
    </row>
    <row r="1287" spans="2:22" x14ac:dyDescent="0.15">
      <c r="B1287" s="4" t="s">
        <v>749</v>
      </c>
      <c r="C1287" s="233">
        <f>1+7+3</f>
        <v>11</v>
      </c>
      <c r="D1287" s="234">
        <f>1+2</f>
        <v>3</v>
      </c>
      <c r="E1287" s="234">
        <v>1</v>
      </c>
      <c r="F1287" s="220">
        <f t="shared" si="517"/>
        <v>15</v>
      </c>
      <c r="G1287" s="248">
        <v>45106</v>
      </c>
      <c r="H1287" s="6"/>
      <c r="I1287" s="188"/>
      <c r="J1287" s="15"/>
      <c r="K1287" s="15"/>
      <c r="L1287" s="220">
        <f t="shared" si="518"/>
        <v>0</v>
      </c>
      <c r="O1287" s="6"/>
      <c r="P1287" s="15"/>
      <c r="Q1287" s="14">
        <f t="shared" si="519"/>
        <v>0</v>
      </c>
      <c r="R1287" s="186"/>
      <c r="S1287" s="6"/>
      <c r="T1287" s="261"/>
      <c r="U1287" s="14">
        <f t="shared" si="520"/>
        <v>0</v>
      </c>
      <c r="V1287" s="209"/>
    </row>
    <row r="1288" spans="2:22" x14ac:dyDescent="0.15">
      <c r="B1288" s="4" t="s">
        <v>749</v>
      </c>
      <c r="C1288" s="233">
        <f>6+2</f>
        <v>8</v>
      </c>
      <c r="D1288" s="234"/>
      <c r="E1288" s="234"/>
      <c r="F1288" s="220">
        <f t="shared" si="517"/>
        <v>8</v>
      </c>
      <c r="G1288" s="248">
        <v>45107</v>
      </c>
      <c r="H1288" s="4"/>
      <c r="I1288" s="187"/>
      <c r="J1288" s="15"/>
      <c r="K1288" s="15"/>
      <c r="L1288" s="220">
        <f t="shared" si="518"/>
        <v>0</v>
      </c>
      <c r="O1288" s="4"/>
      <c r="P1288" s="15"/>
      <c r="Q1288" s="14">
        <f t="shared" si="519"/>
        <v>0</v>
      </c>
      <c r="R1288" s="186"/>
      <c r="S1288" s="4"/>
      <c r="T1288" s="261"/>
      <c r="U1288" s="14">
        <f t="shared" si="520"/>
        <v>0</v>
      </c>
      <c r="V1288" s="209"/>
    </row>
    <row r="1289" spans="2:22" x14ac:dyDescent="0.15">
      <c r="B1289" s="4" t="s">
        <v>764</v>
      </c>
      <c r="C1289" s="233">
        <v>50</v>
      </c>
      <c r="D1289" s="234"/>
      <c r="E1289" s="234"/>
      <c r="F1289" s="220">
        <f t="shared" si="517"/>
        <v>50</v>
      </c>
      <c r="G1289" s="248">
        <v>45108</v>
      </c>
      <c r="H1289" s="4"/>
      <c r="I1289" s="187"/>
      <c r="J1289" s="15"/>
      <c r="K1289" s="15"/>
      <c r="L1289" s="220">
        <f t="shared" si="518"/>
        <v>0</v>
      </c>
      <c r="O1289" s="4"/>
      <c r="P1289" s="15"/>
      <c r="Q1289" s="14">
        <f t="shared" si="519"/>
        <v>0</v>
      </c>
      <c r="R1289" s="186"/>
      <c r="S1289" s="4"/>
      <c r="T1289" s="261"/>
      <c r="U1289" s="14">
        <f t="shared" si="520"/>
        <v>0</v>
      </c>
      <c r="V1289" s="209"/>
    </row>
    <row r="1290" spans="2:22" x14ac:dyDescent="0.15">
      <c r="B1290" s="4" t="s">
        <v>749</v>
      </c>
      <c r="C1290" s="233">
        <v>2</v>
      </c>
      <c r="D1290" s="234">
        <v>2</v>
      </c>
      <c r="E1290" s="234">
        <v>1</v>
      </c>
      <c r="F1290" s="220">
        <f t="shared" ref="F1290:F1297" si="521">SUM(C1290:E1290)</f>
        <v>5</v>
      </c>
      <c r="G1290" s="248">
        <v>45108</v>
      </c>
      <c r="H1290" s="6"/>
      <c r="I1290" s="187"/>
      <c r="J1290" s="15"/>
      <c r="K1290" s="15"/>
      <c r="L1290" s="220">
        <f t="shared" si="518"/>
        <v>0</v>
      </c>
      <c r="O1290" s="4"/>
      <c r="P1290" s="15"/>
      <c r="Q1290" s="14">
        <f t="shared" si="519"/>
        <v>0</v>
      </c>
      <c r="R1290" s="186"/>
      <c r="S1290" s="4"/>
      <c r="T1290" s="261"/>
      <c r="U1290" s="14">
        <f t="shared" si="520"/>
        <v>0</v>
      </c>
      <c r="V1290" s="209"/>
    </row>
    <row r="1291" spans="2:22" x14ac:dyDescent="0.15">
      <c r="B1291" s="4" t="s">
        <v>749</v>
      </c>
      <c r="C1291" s="233">
        <f>1+4</f>
        <v>5</v>
      </c>
      <c r="D1291" s="234"/>
      <c r="E1291" s="234"/>
      <c r="F1291" s="220">
        <f t="shared" si="521"/>
        <v>5</v>
      </c>
      <c r="G1291" s="211">
        <v>45110</v>
      </c>
      <c r="H1291" s="6"/>
      <c r="I1291" s="188"/>
      <c r="J1291" s="15"/>
      <c r="K1291" s="15"/>
      <c r="L1291" s="220">
        <f t="shared" si="518"/>
        <v>0</v>
      </c>
      <c r="O1291" s="6"/>
      <c r="P1291" s="15"/>
      <c r="Q1291" s="14">
        <f t="shared" si="519"/>
        <v>0</v>
      </c>
      <c r="R1291" s="186"/>
      <c r="S1291" s="4"/>
      <c r="T1291" s="261"/>
      <c r="U1291" s="14">
        <f t="shared" ref="U1291:U1298" si="522">SUM(T1291:T1291)</f>
        <v>0</v>
      </c>
      <c r="V1291" s="209"/>
    </row>
    <row r="1292" spans="2:22" x14ac:dyDescent="0.15">
      <c r="B1292" s="4" t="s">
        <v>920</v>
      </c>
      <c r="C1292" s="233">
        <v>1</v>
      </c>
      <c r="D1292" s="234">
        <v>1</v>
      </c>
      <c r="E1292" s="234">
        <v>1</v>
      </c>
      <c r="F1292" s="220">
        <f t="shared" si="521"/>
        <v>3</v>
      </c>
      <c r="G1292" s="211">
        <v>45112</v>
      </c>
      <c r="H1292" s="6"/>
      <c r="I1292" s="188"/>
      <c r="J1292" s="15"/>
      <c r="K1292" s="15"/>
      <c r="L1292" s="220">
        <f t="shared" ref="L1292:L1298" si="523">SUM(I1292:K1292)</f>
        <v>0</v>
      </c>
      <c r="O1292" s="4"/>
      <c r="P1292" s="15"/>
      <c r="Q1292" s="14">
        <f t="shared" si="519"/>
        <v>0</v>
      </c>
      <c r="R1292" s="186"/>
      <c r="S1292" s="4"/>
      <c r="T1292" s="261"/>
      <c r="U1292" s="14">
        <f t="shared" si="522"/>
        <v>0</v>
      </c>
      <c r="V1292" s="209"/>
    </row>
    <row r="1293" spans="2:22" x14ac:dyDescent="0.15">
      <c r="B1293" s="4" t="s">
        <v>749</v>
      </c>
      <c r="C1293" s="233">
        <f>5+2</f>
        <v>7</v>
      </c>
      <c r="D1293" s="234"/>
      <c r="E1293" s="234"/>
      <c r="F1293" s="220">
        <f t="shared" si="521"/>
        <v>7</v>
      </c>
      <c r="G1293" s="211">
        <v>45111</v>
      </c>
      <c r="H1293" s="6"/>
      <c r="I1293" s="188"/>
      <c r="J1293" s="15"/>
      <c r="K1293" s="15"/>
      <c r="L1293" s="220">
        <f t="shared" si="523"/>
        <v>0</v>
      </c>
      <c r="O1293" s="6"/>
      <c r="P1293" s="15"/>
      <c r="Q1293" s="14">
        <f t="shared" si="519"/>
        <v>0</v>
      </c>
      <c r="R1293" s="186"/>
      <c r="S1293" s="4"/>
      <c r="T1293" s="261"/>
      <c r="U1293" s="14">
        <f t="shared" si="522"/>
        <v>0</v>
      </c>
      <c r="V1293" s="209"/>
    </row>
    <row r="1294" spans="2:22" x14ac:dyDescent="0.15">
      <c r="B1294" s="4" t="s">
        <v>920</v>
      </c>
      <c r="C1294" s="233">
        <v>2</v>
      </c>
      <c r="D1294" s="234">
        <v>2</v>
      </c>
      <c r="E1294" s="234">
        <v>2</v>
      </c>
      <c r="F1294" s="220">
        <f t="shared" si="521"/>
        <v>6</v>
      </c>
      <c r="G1294" s="211">
        <v>45113</v>
      </c>
      <c r="H1294" s="6"/>
      <c r="I1294" s="188"/>
      <c r="J1294" s="15"/>
      <c r="K1294" s="15"/>
      <c r="L1294" s="220">
        <f t="shared" si="523"/>
        <v>0</v>
      </c>
      <c r="O1294" s="4"/>
      <c r="P1294" s="15"/>
      <c r="Q1294" s="14">
        <f t="shared" si="519"/>
        <v>0</v>
      </c>
      <c r="R1294" s="186"/>
      <c r="S1294" s="4"/>
      <c r="T1294" s="261"/>
      <c r="U1294" s="14">
        <f t="shared" si="522"/>
        <v>0</v>
      </c>
      <c r="V1294" s="209"/>
    </row>
    <row r="1295" spans="2:22" x14ac:dyDescent="0.15">
      <c r="B1295" s="4" t="s">
        <v>1186</v>
      </c>
      <c r="C1295" s="233">
        <v>200</v>
      </c>
      <c r="D1295" s="234"/>
      <c r="E1295" s="234"/>
      <c r="F1295" s="220">
        <f t="shared" si="521"/>
        <v>200</v>
      </c>
      <c r="G1295" s="248">
        <v>45110</v>
      </c>
      <c r="H1295" s="6"/>
      <c r="I1295" s="188"/>
      <c r="J1295" s="15"/>
      <c r="K1295" s="15"/>
      <c r="L1295" s="220">
        <f t="shared" si="523"/>
        <v>0</v>
      </c>
      <c r="O1295" s="4"/>
      <c r="P1295" s="15"/>
      <c r="Q1295" s="14">
        <f t="shared" si="519"/>
        <v>0</v>
      </c>
      <c r="R1295" s="186"/>
      <c r="S1295" s="4"/>
      <c r="T1295" s="261"/>
      <c r="U1295" s="14">
        <f t="shared" si="522"/>
        <v>0</v>
      </c>
      <c r="V1295" s="209"/>
    </row>
    <row r="1296" spans="2:22" x14ac:dyDescent="0.15">
      <c r="B1296" s="4" t="s">
        <v>764</v>
      </c>
      <c r="C1296" s="233"/>
      <c r="D1296" s="234">
        <v>30</v>
      </c>
      <c r="E1296" s="234">
        <v>10</v>
      </c>
      <c r="F1296" s="220">
        <f t="shared" si="521"/>
        <v>40</v>
      </c>
      <c r="G1296" s="211">
        <v>45113</v>
      </c>
      <c r="H1296" s="6" t="s">
        <v>1123</v>
      </c>
      <c r="I1296" s="233"/>
      <c r="J1296" s="15"/>
      <c r="K1296" s="15"/>
      <c r="L1296" s="220">
        <f t="shared" ref="L1296" si="524">SUM(I1296:K1296)</f>
        <v>0</v>
      </c>
      <c r="M1296" s="212" t="s">
        <v>1125</v>
      </c>
      <c r="O1296" s="4"/>
      <c r="P1296" s="15"/>
      <c r="Q1296" s="14">
        <f t="shared" si="519"/>
        <v>0</v>
      </c>
      <c r="R1296" s="186"/>
      <c r="S1296" s="4"/>
      <c r="T1296" s="261"/>
      <c r="U1296" s="14">
        <f t="shared" si="522"/>
        <v>0</v>
      </c>
    </row>
    <row r="1297" spans="2:22" x14ac:dyDescent="0.15">
      <c r="B1297" s="4" t="s">
        <v>749</v>
      </c>
      <c r="C1297" s="233">
        <f>6+8</f>
        <v>14</v>
      </c>
      <c r="D1297" s="234">
        <f>2+1</f>
        <v>3</v>
      </c>
      <c r="E1297" s="234">
        <f>1+1</f>
        <v>2</v>
      </c>
      <c r="F1297" s="220">
        <f t="shared" si="521"/>
        <v>19</v>
      </c>
      <c r="G1297" s="248">
        <v>45112</v>
      </c>
      <c r="H1297" s="254" t="s">
        <v>1120</v>
      </c>
      <c r="I1297" s="260"/>
      <c r="J1297" s="252"/>
      <c r="K1297" s="252"/>
      <c r="L1297" s="250">
        <f t="shared" si="523"/>
        <v>0</v>
      </c>
      <c r="M1297" s="251"/>
      <c r="O1297" s="6"/>
      <c r="P1297" s="15"/>
      <c r="Q1297" s="14">
        <f t="shared" si="519"/>
        <v>0</v>
      </c>
      <c r="R1297" s="186"/>
      <c r="S1297" s="254" t="s">
        <v>1120</v>
      </c>
      <c r="T1297" s="274"/>
      <c r="U1297" s="255">
        <f t="shared" si="522"/>
        <v>0</v>
      </c>
      <c r="V1297" s="256"/>
    </row>
    <row r="1298" spans="2:22" ht="14.25" thickBot="1" x14ac:dyDescent="0.2">
      <c r="B1298" s="4" t="s">
        <v>920</v>
      </c>
      <c r="C1298" s="235">
        <v>1</v>
      </c>
      <c r="D1298" s="234">
        <v>1</v>
      </c>
      <c r="E1298" s="234">
        <v>1</v>
      </c>
      <c r="F1298" s="220">
        <f t="shared" si="517"/>
        <v>3</v>
      </c>
      <c r="G1298" s="211">
        <v>45114</v>
      </c>
      <c r="H1298" s="4" t="s">
        <v>1117</v>
      </c>
      <c r="I1298" s="233"/>
      <c r="J1298" s="15"/>
      <c r="K1298" s="15"/>
      <c r="L1298" s="220">
        <f t="shared" si="523"/>
        <v>0</v>
      </c>
      <c r="M1298" s="212" t="s">
        <v>1151</v>
      </c>
      <c r="O1298" s="6"/>
      <c r="P1298" s="15"/>
      <c r="Q1298" s="14">
        <f t="shared" si="519"/>
        <v>0</v>
      </c>
      <c r="R1298" s="186"/>
      <c r="S1298" s="4" t="s">
        <v>1117</v>
      </c>
      <c r="T1298" s="261"/>
      <c r="U1298" s="14">
        <f t="shared" si="522"/>
        <v>0</v>
      </c>
      <c r="V1298" s="212" t="s">
        <v>1151</v>
      </c>
    </row>
    <row r="1299" spans="2:22" ht="14.25" thickBot="1" x14ac:dyDescent="0.2">
      <c r="B1299" s="3" t="s">
        <v>5</v>
      </c>
      <c r="C1299" s="16">
        <f>SUM(C1275:C1298)</f>
        <v>539</v>
      </c>
      <c r="D1299" s="16">
        <f>SUM(D1275:D1298)</f>
        <v>103</v>
      </c>
      <c r="E1299" s="16">
        <f>SUM(E1275:E1298)</f>
        <v>59</v>
      </c>
      <c r="F1299" s="223">
        <f>SUM(F1275:F1298)</f>
        <v>701</v>
      </c>
      <c r="H1299" s="3" t="s">
        <v>5</v>
      </c>
      <c r="I1299" s="16">
        <f>SUM(I1275:I1298)</f>
        <v>1450</v>
      </c>
      <c r="J1299" s="16">
        <f>SUM(J1275:J1298)</f>
        <v>100</v>
      </c>
      <c r="K1299" s="16">
        <f>SUM(K1275:K1298)</f>
        <v>0</v>
      </c>
      <c r="L1299" s="223">
        <f>SUM(L1275:L1298)</f>
        <v>1550</v>
      </c>
      <c r="O1299" s="3" t="s">
        <v>5</v>
      </c>
      <c r="P1299" s="16">
        <f>SUM(P1275:P1298)</f>
        <v>0</v>
      </c>
      <c r="Q1299" s="17">
        <f>SUM(Q1275:Q1298)</f>
        <v>0</v>
      </c>
      <c r="S1299" s="3" t="s">
        <v>5</v>
      </c>
      <c r="T1299" s="16">
        <f>SUM(T1275:T1298)</f>
        <v>112</v>
      </c>
      <c r="U1299" s="17">
        <f>SUM(U1275:U1298)</f>
        <v>112</v>
      </c>
    </row>
    <row r="1300" spans="2:22" ht="14.25" thickBot="1" x14ac:dyDescent="0.2">
      <c r="B1300" s="18" t="s">
        <v>6</v>
      </c>
      <c r="C1300" s="19">
        <f>C1274-C1299</f>
        <v>458</v>
      </c>
      <c r="D1300" s="19">
        <f>D1274-D1299</f>
        <v>92</v>
      </c>
      <c r="E1300" s="19">
        <f t="shared" ref="E1300" si="525">E1274-E1299</f>
        <v>57</v>
      </c>
      <c r="F1300" s="221">
        <f>F1274-F1299</f>
        <v>607</v>
      </c>
      <c r="H1300" s="18" t="s">
        <v>6</v>
      </c>
      <c r="I1300" s="19">
        <f>I1274-I1299</f>
        <v>8044</v>
      </c>
      <c r="J1300" s="19">
        <f>J1274-J1299</f>
        <v>2359</v>
      </c>
      <c r="K1300" s="19">
        <f t="shared" ref="K1300" si="526">K1274-K1299</f>
        <v>1683</v>
      </c>
      <c r="L1300" s="221">
        <f>L1274-L1299</f>
        <v>12086</v>
      </c>
      <c r="M1300"/>
      <c r="O1300" s="18" t="s">
        <v>6</v>
      </c>
      <c r="P1300" s="19">
        <f>P1274-P1299</f>
        <v>0</v>
      </c>
      <c r="Q1300" s="13">
        <f>Q1274-Q1299</f>
        <v>0</v>
      </c>
      <c r="S1300" s="18" t="s">
        <v>6</v>
      </c>
      <c r="T1300" s="19">
        <f>T1274-T1299</f>
        <v>3451</v>
      </c>
      <c r="U1300" s="13">
        <f>U1274-U1299</f>
        <v>3451</v>
      </c>
    </row>
    <row r="1301" spans="2:22" x14ac:dyDescent="0.15">
      <c r="M1301"/>
    </row>
    <row r="1302" spans="2:22" x14ac:dyDescent="0.15">
      <c r="M1302"/>
    </row>
    <row r="1303" spans="2:22" ht="18" thickBot="1" x14ac:dyDescent="0.25">
      <c r="B1303" s="27" t="s">
        <v>739</v>
      </c>
      <c r="C1303" s="28"/>
      <c r="D1303" s="28"/>
      <c r="E1303" s="28"/>
      <c r="F1303" s="218"/>
      <c r="H1303" s="27" t="s">
        <v>740</v>
      </c>
      <c r="I1303" s="28"/>
      <c r="J1303" s="28"/>
      <c r="K1303" s="28"/>
      <c r="L1303" s="218"/>
      <c r="M1303"/>
      <c r="O1303" s="181" t="s">
        <v>737</v>
      </c>
      <c r="P1303" s="182"/>
      <c r="Q1303" s="182"/>
      <c r="R1303" s="183"/>
      <c r="S1303" s="181" t="s">
        <v>733</v>
      </c>
      <c r="T1303" s="182"/>
      <c r="U1303" s="182"/>
    </row>
    <row r="1304" spans="2:22" ht="14.25" thickBot="1" x14ac:dyDescent="0.2">
      <c r="B1304" s="2"/>
      <c r="C1304" s="194" t="s">
        <v>734</v>
      </c>
      <c r="D1304" s="195" t="s">
        <v>706</v>
      </c>
      <c r="E1304" s="2" t="s">
        <v>735</v>
      </c>
      <c r="F1304" s="219" t="s">
        <v>1</v>
      </c>
      <c r="H1304" s="2"/>
      <c r="I1304" s="197" t="s">
        <v>734</v>
      </c>
      <c r="J1304" s="195" t="s">
        <v>706</v>
      </c>
      <c r="K1304" s="201" t="s">
        <v>735</v>
      </c>
      <c r="L1304" s="219" t="s">
        <v>1</v>
      </c>
      <c r="M1304"/>
      <c r="O1304" s="2"/>
      <c r="P1304" s="3" t="s">
        <v>722</v>
      </c>
      <c r="Q1304" s="2" t="s">
        <v>1</v>
      </c>
      <c r="S1304" s="2"/>
      <c r="T1304" s="3" t="s">
        <v>722</v>
      </c>
      <c r="U1304" s="2" t="s">
        <v>1</v>
      </c>
    </row>
    <row r="1305" spans="2:22" x14ac:dyDescent="0.15">
      <c r="B1305" s="164" t="s">
        <v>26</v>
      </c>
      <c r="C1305" s="200">
        <f>C1300</f>
        <v>458</v>
      </c>
      <c r="D1305" s="164">
        <f t="shared" ref="D1305:F1305" si="527">D1300</f>
        <v>92</v>
      </c>
      <c r="E1305" s="164">
        <f t="shared" si="527"/>
        <v>57</v>
      </c>
      <c r="F1305" s="222">
        <f t="shared" si="527"/>
        <v>607</v>
      </c>
      <c r="H1305" s="164" t="s">
        <v>26</v>
      </c>
      <c r="I1305" s="200">
        <f>I1300</f>
        <v>8044</v>
      </c>
      <c r="J1305" s="164">
        <f t="shared" ref="J1305:L1305" si="528">J1300</f>
        <v>2359</v>
      </c>
      <c r="K1305" s="200">
        <f t="shared" si="528"/>
        <v>1683</v>
      </c>
      <c r="L1305" s="222">
        <f t="shared" si="528"/>
        <v>12086</v>
      </c>
      <c r="M1305" s="269"/>
      <c r="O1305" s="171" t="s">
        <v>26</v>
      </c>
      <c r="P1305" s="200">
        <f>P1300</f>
        <v>0</v>
      </c>
      <c r="Q1305" s="180">
        <f>Q1300</f>
        <v>0</v>
      </c>
      <c r="R1305" s="185"/>
      <c r="S1305" s="43" t="s">
        <v>26</v>
      </c>
      <c r="T1305" s="38">
        <f>T1300</f>
        <v>3451</v>
      </c>
      <c r="U1305" s="39">
        <f>U1300</f>
        <v>3451</v>
      </c>
    </row>
    <row r="1306" spans="2:22" x14ac:dyDescent="0.15">
      <c r="B1306" s="6" t="s">
        <v>3</v>
      </c>
      <c r="C1306" s="6">
        <v>400</v>
      </c>
      <c r="D1306" s="6">
        <v>100</v>
      </c>
      <c r="E1306" s="4">
        <v>100</v>
      </c>
      <c r="F1306" s="220">
        <f t="shared" ref="F1306:F1315" si="529">SUM(C1306:E1306)</f>
        <v>600</v>
      </c>
      <c r="G1306" s="211">
        <v>45117</v>
      </c>
      <c r="H1306" s="6" t="s">
        <v>3</v>
      </c>
      <c r="I1306" s="188"/>
      <c r="J1306" s="225"/>
      <c r="K1306" s="243"/>
      <c r="L1306" s="220">
        <f t="shared" ref="L1306:L1315" si="530">SUM(I1306:K1306)</f>
        <v>0</v>
      </c>
      <c r="O1306" s="6" t="s">
        <v>3</v>
      </c>
      <c r="P1306" s="7"/>
      <c r="Q1306" s="5">
        <f t="shared" ref="Q1306:Q1315" si="531">SUM(P1306:P1306)</f>
        <v>0</v>
      </c>
      <c r="R1306" s="186"/>
      <c r="S1306" s="6" t="s">
        <v>3</v>
      </c>
      <c r="T1306" s="7"/>
      <c r="U1306" s="5">
        <f t="shared" ref="U1306:U1315" si="532">SUM(T1306:T1306)</f>
        <v>0</v>
      </c>
    </row>
    <row r="1307" spans="2:22" x14ac:dyDescent="0.15">
      <c r="B1307" s="6" t="s">
        <v>3</v>
      </c>
      <c r="C1307" s="6">
        <v>50</v>
      </c>
      <c r="D1307" s="6"/>
      <c r="E1307" s="4"/>
      <c r="F1307" s="220">
        <f t="shared" si="529"/>
        <v>50</v>
      </c>
      <c r="G1307" s="248">
        <v>45114</v>
      </c>
      <c r="H1307" s="6" t="s">
        <v>3</v>
      </c>
      <c r="I1307" s="188"/>
      <c r="J1307" s="225"/>
      <c r="K1307" s="243"/>
      <c r="L1307" s="220">
        <f t="shared" si="530"/>
        <v>0</v>
      </c>
      <c r="O1307" s="6" t="s">
        <v>3</v>
      </c>
      <c r="P1307" s="7"/>
      <c r="Q1307" s="5">
        <f t="shared" si="531"/>
        <v>0</v>
      </c>
      <c r="R1307" s="186"/>
      <c r="S1307" s="6" t="s">
        <v>3</v>
      </c>
      <c r="T1307" s="54"/>
      <c r="U1307" s="5">
        <f t="shared" si="532"/>
        <v>0</v>
      </c>
    </row>
    <row r="1308" spans="2:22" x14ac:dyDescent="0.15">
      <c r="B1308" s="6" t="s">
        <v>3</v>
      </c>
      <c r="C1308" s="6">
        <v>200</v>
      </c>
      <c r="D1308" s="6">
        <v>100</v>
      </c>
      <c r="E1308" s="4">
        <v>100</v>
      </c>
      <c r="F1308" s="220">
        <f t="shared" si="529"/>
        <v>400</v>
      </c>
      <c r="G1308" s="211">
        <v>45119</v>
      </c>
      <c r="H1308" s="6" t="s">
        <v>3</v>
      </c>
      <c r="I1308" s="188"/>
      <c r="J1308" s="225"/>
      <c r="K1308" s="243"/>
      <c r="L1308" s="220">
        <f t="shared" si="530"/>
        <v>0</v>
      </c>
      <c r="O1308" s="6" t="s">
        <v>3</v>
      </c>
      <c r="P1308" s="7"/>
      <c r="Q1308" s="5">
        <f t="shared" si="531"/>
        <v>0</v>
      </c>
      <c r="R1308" s="186"/>
      <c r="S1308" s="6" t="s">
        <v>3</v>
      </c>
      <c r="T1308" s="54"/>
      <c r="U1308" s="5">
        <f t="shared" ref="U1308:U1309" si="533">SUM(T1308:T1308)</f>
        <v>0</v>
      </c>
    </row>
    <row r="1309" spans="2:22" x14ac:dyDescent="0.15">
      <c r="B1309" s="6" t="s">
        <v>3</v>
      </c>
      <c r="C1309" s="6">
        <v>200</v>
      </c>
      <c r="D1309" s="6">
        <v>100</v>
      </c>
      <c r="E1309" s="4">
        <v>100</v>
      </c>
      <c r="F1309" s="220">
        <f t="shared" si="529"/>
        <v>400</v>
      </c>
      <c r="G1309" s="211">
        <v>45122</v>
      </c>
      <c r="H1309" s="6" t="s">
        <v>3</v>
      </c>
      <c r="I1309" s="188"/>
      <c r="J1309" s="225"/>
      <c r="K1309" s="243"/>
      <c r="L1309" s="220">
        <f t="shared" si="530"/>
        <v>0</v>
      </c>
      <c r="O1309" s="6" t="s">
        <v>3</v>
      </c>
      <c r="P1309" s="7"/>
      <c r="Q1309" s="5">
        <f t="shared" si="531"/>
        <v>0</v>
      </c>
      <c r="R1309" s="186"/>
      <c r="S1309" s="6" t="s">
        <v>3</v>
      </c>
      <c r="T1309" s="54"/>
      <c r="U1309" s="5">
        <f t="shared" si="533"/>
        <v>0</v>
      </c>
    </row>
    <row r="1310" spans="2:22" x14ac:dyDescent="0.15">
      <c r="B1310" s="6" t="s">
        <v>968</v>
      </c>
      <c r="C1310" s="6">
        <v>4</v>
      </c>
      <c r="D1310" s="6"/>
      <c r="E1310" s="4"/>
      <c r="F1310" s="220">
        <f t="shared" si="529"/>
        <v>4</v>
      </c>
      <c r="G1310" s="211">
        <v>45125</v>
      </c>
      <c r="H1310" s="6" t="s">
        <v>3</v>
      </c>
      <c r="I1310" s="188"/>
      <c r="J1310" s="225"/>
      <c r="K1310" s="243"/>
      <c r="L1310" s="220">
        <f t="shared" ref="L1310" si="534">SUM(I1310:K1310)</f>
        <v>0</v>
      </c>
      <c r="O1310" s="6" t="s">
        <v>3</v>
      </c>
      <c r="P1310" s="7"/>
      <c r="Q1310" s="5">
        <f t="shared" si="531"/>
        <v>0</v>
      </c>
      <c r="R1310" s="186"/>
      <c r="S1310" s="6" t="s">
        <v>3</v>
      </c>
      <c r="T1310" s="54"/>
      <c r="U1310" s="5">
        <f t="shared" ref="U1310" si="535">SUM(T1310:T1310)</f>
        <v>0</v>
      </c>
    </row>
    <row r="1311" spans="2:22" x14ac:dyDescent="0.15">
      <c r="B1311" s="6" t="s">
        <v>3</v>
      </c>
      <c r="C1311" s="6"/>
      <c r="D1311" s="6">
        <v>100</v>
      </c>
      <c r="E1311" s="4"/>
      <c r="F1311" s="220">
        <f t="shared" si="529"/>
        <v>100</v>
      </c>
      <c r="G1311" s="211">
        <v>45127</v>
      </c>
      <c r="H1311" s="6" t="s">
        <v>3</v>
      </c>
      <c r="I1311" s="188"/>
      <c r="J1311" s="6"/>
      <c r="K1311" s="202"/>
      <c r="L1311" s="220">
        <f t="shared" si="530"/>
        <v>0</v>
      </c>
      <c r="O1311" s="6" t="s">
        <v>3</v>
      </c>
      <c r="P1311" s="7"/>
      <c r="Q1311" s="5">
        <f t="shared" si="531"/>
        <v>0</v>
      </c>
      <c r="R1311" s="186"/>
      <c r="S1311" s="6" t="s">
        <v>3</v>
      </c>
      <c r="T1311" s="7"/>
      <c r="U1311" s="5">
        <f t="shared" si="532"/>
        <v>0</v>
      </c>
    </row>
    <row r="1312" spans="2:22" x14ac:dyDescent="0.15">
      <c r="B1312" s="6" t="s">
        <v>3</v>
      </c>
      <c r="C1312" s="6">
        <v>400</v>
      </c>
      <c r="D1312" s="225">
        <v>100</v>
      </c>
      <c r="E1312" s="226">
        <v>100</v>
      </c>
      <c r="F1312" s="220">
        <f t="shared" si="529"/>
        <v>600</v>
      </c>
      <c r="G1312" s="211">
        <v>45132</v>
      </c>
      <c r="H1312" s="6" t="s">
        <v>3</v>
      </c>
      <c r="I1312" s="188"/>
      <c r="J1312" s="225"/>
      <c r="K1312" s="243"/>
      <c r="L1312" s="220">
        <f t="shared" si="530"/>
        <v>0</v>
      </c>
      <c r="O1312" s="6" t="s">
        <v>3</v>
      </c>
      <c r="P1312" s="8"/>
      <c r="Q1312" s="5">
        <f t="shared" si="531"/>
        <v>0</v>
      </c>
      <c r="R1312" s="186"/>
      <c r="S1312" s="6" t="s">
        <v>3</v>
      </c>
      <c r="T1312" s="54"/>
      <c r="U1312" s="5">
        <f t="shared" si="532"/>
        <v>0</v>
      </c>
    </row>
    <row r="1313" spans="2:22" x14ac:dyDescent="0.15">
      <c r="B1313" s="6" t="s">
        <v>3</v>
      </c>
      <c r="C1313" s="6"/>
      <c r="D1313" s="225"/>
      <c r="E1313" s="226"/>
      <c r="F1313" s="220">
        <f t="shared" si="529"/>
        <v>0</v>
      </c>
      <c r="H1313" s="6" t="s">
        <v>3</v>
      </c>
      <c r="I1313" s="188"/>
      <c r="J1313" s="225"/>
      <c r="K1313" s="243"/>
      <c r="L1313" s="220">
        <f t="shared" si="530"/>
        <v>0</v>
      </c>
      <c r="O1313" s="6" t="s">
        <v>3</v>
      </c>
      <c r="P1313" s="8"/>
      <c r="Q1313" s="5">
        <f t="shared" si="531"/>
        <v>0</v>
      </c>
      <c r="R1313" s="186"/>
      <c r="S1313" s="6" t="s">
        <v>3</v>
      </c>
      <c r="T1313" s="54"/>
      <c r="U1313" s="5">
        <f t="shared" si="532"/>
        <v>0</v>
      </c>
    </row>
    <row r="1314" spans="2:22" x14ac:dyDescent="0.15">
      <c r="B1314" s="6" t="s">
        <v>3</v>
      </c>
      <c r="C1314" s="6"/>
      <c r="D1314" s="225"/>
      <c r="E1314" s="226"/>
      <c r="F1314" s="220">
        <f t="shared" si="529"/>
        <v>0</v>
      </c>
      <c r="H1314" s="6" t="s">
        <v>3</v>
      </c>
      <c r="I1314" s="188"/>
      <c r="J1314" s="225"/>
      <c r="K1314" s="243"/>
      <c r="L1314" s="220">
        <f t="shared" si="530"/>
        <v>0</v>
      </c>
      <c r="O1314" s="6" t="s">
        <v>3</v>
      </c>
      <c r="P1314" s="8"/>
      <c r="Q1314" s="5">
        <f t="shared" si="531"/>
        <v>0</v>
      </c>
      <c r="R1314" s="186"/>
      <c r="S1314" s="6" t="s">
        <v>3</v>
      </c>
      <c r="T1314" s="54"/>
      <c r="U1314" s="5">
        <f t="shared" si="532"/>
        <v>0</v>
      </c>
    </row>
    <row r="1315" spans="2:22" ht="14.25" thickBot="1" x14ac:dyDescent="0.2">
      <c r="B1315" s="6" t="s">
        <v>3</v>
      </c>
      <c r="C1315" s="9"/>
      <c r="D1315" s="237"/>
      <c r="E1315" s="238"/>
      <c r="F1315" s="220">
        <f t="shared" si="529"/>
        <v>0</v>
      </c>
      <c r="H1315" s="9" t="s">
        <v>3</v>
      </c>
      <c r="I1315" s="198"/>
      <c r="J1315" s="244"/>
      <c r="K1315" s="245"/>
      <c r="L1315" s="220">
        <f t="shared" si="530"/>
        <v>0</v>
      </c>
      <c r="O1315" s="9" t="s">
        <v>3</v>
      </c>
      <c r="P1315" s="10"/>
      <c r="Q1315" s="5">
        <f t="shared" si="531"/>
        <v>0</v>
      </c>
      <c r="R1315" s="186"/>
      <c r="S1315" s="9" t="s">
        <v>3</v>
      </c>
      <c r="T1315" s="101"/>
      <c r="U1315" s="5">
        <f t="shared" si="532"/>
        <v>0</v>
      </c>
    </row>
    <row r="1316" spans="2:22" ht="14.25" thickBot="1" x14ac:dyDescent="0.2">
      <c r="B1316" s="11" t="s">
        <v>4</v>
      </c>
      <c r="C1316" s="193">
        <f>SUM(C1305:C1315)</f>
        <v>1712</v>
      </c>
      <c r="D1316" s="193">
        <f>SUM(D1305:D1315)</f>
        <v>592</v>
      </c>
      <c r="E1316" s="193">
        <f>SUM(E1305:E1315)</f>
        <v>457</v>
      </c>
      <c r="F1316" s="221">
        <f>SUM(F1305:F1315)</f>
        <v>2761</v>
      </c>
      <c r="H1316" s="11" t="s">
        <v>4</v>
      </c>
      <c r="I1316" s="193">
        <f>SUM(I1305:I1315)</f>
        <v>8044</v>
      </c>
      <c r="J1316" s="193">
        <f>SUM(J1305:J1315)</f>
        <v>2359</v>
      </c>
      <c r="K1316" s="193">
        <f t="shared" ref="K1316" si="536">SUM(K1305:K1315)</f>
        <v>1683</v>
      </c>
      <c r="L1316" s="221">
        <f>SUM(L1305:L1315)</f>
        <v>12086</v>
      </c>
      <c r="O1316" s="11" t="s">
        <v>4</v>
      </c>
      <c r="P1316" s="12">
        <f>SUM(P1305:P1315)</f>
        <v>0</v>
      </c>
      <c r="Q1316" s="13">
        <f>SUM(Q1305:Q1315)</f>
        <v>0</v>
      </c>
      <c r="S1316" s="11" t="s">
        <v>4</v>
      </c>
      <c r="T1316" s="12">
        <f>SUM(T1305:T1315)</f>
        <v>3451</v>
      </c>
      <c r="U1316" s="13">
        <f>SUM(U1305:U1315)</f>
        <v>3451</v>
      </c>
    </row>
    <row r="1317" spans="2:22" x14ac:dyDescent="0.15">
      <c r="B1317" s="4" t="s">
        <v>749</v>
      </c>
      <c r="C1317" s="233">
        <f>5+6</f>
        <v>11</v>
      </c>
      <c r="D1317" s="234">
        <f>2+3</f>
        <v>5</v>
      </c>
      <c r="E1317" s="234">
        <v>1</v>
      </c>
      <c r="F1317" s="220">
        <f t="shared" ref="F1317:F1340" si="537">SUM(C1317:E1317)</f>
        <v>17</v>
      </c>
      <c r="G1317" s="248">
        <v>45113</v>
      </c>
      <c r="H1317" s="4" t="s">
        <v>1193</v>
      </c>
      <c r="I1317" s="233">
        <v>400</v>
      </c>
      <c r="J1317" s="234">
        <v>100</v>
      </c>
      <c r="K1317" s="234">
        <v>100</v>
      </c>
      <c r="L1317" s="220">
        <f t="shared" ref="L1317:L1333" si="538">SUM(I1317:K1317)</f>
        <v>600</v>
      </c>
      <c r="M1317" s="211">
        <v>45117</v>
      </c>
      <c r="O1317" s="4"/>
      <c r="P1317" s="44"/>
      <c r="Q1317" s="14">
        <f t="shared" ref="Q1317:Q1340" si="539">SUM(P1317:P1317)</f>
        <v>0</v>
      </c>
      <c r="R1317" s="185"/>
      <c r="S1317" s="6" t="s">
        <v>994</v>
      </c>
      <c r="T1317" s="273">
        <v>50</v>
      </c>
      <c r="U1317" s="14">
        <f t="shared" ref="U1317:U1332" si="540">SUM(T1317:T1317)</f>
        <v>50</v>
      </c>
      <c r="V1317" s="211">
        <v>45114</v>
      </c>
    </row>
    <row r="1318" spans="2:22" x14ac:dyDescent="0.15">
      <c r="B1318" s="4" t="s">
        <v>1190</v>
      </c>
      <c r="C1318" s="233">
        <v>150</v>
      </c>
      <c r="D1318" s="234">
        <v>20</v>
      </c>
      <c r="E1318" s="234">
        <v>20</v>
      </c>
      <c r="F1318" s="220">
        <f t="shared" si="537"/>
        <v>190</v>
      </c>
      <c r="G1318" s="211">
        <v>45115</v>
      </c>
      <c r="H1318" s="4" t="s">
        <v>1194</v>
      </c>
      <c r="I1318" s="233">
        <v>100</v>
      </c>
      <c r="J1318" s="234"/>
      <c r="K1318" s="234"/>
      <c r="L1318" s="220">
        <f t="shared" si="538"/>
        <v>100</v>
      </c>
      <c r="M1318" s="211">
        <v>45120</v>
      </c>
      <c r="O1318" s="4"/>
      <c r="P1318" s="15"/>
      <c r="Q1318" s="14">
        <f t="shared" si="539"/>
        <v>0</v>
      </c>
      <c r="R1318" s="186"/>
      <c r="S1318" s="4" t="s">
        <v>1194</v>
      </c>
      <c r="T1318" s="234">
        <v>50</v>
      </c>
      <c r="U1318" s="14">
        <f t="shared" si="540"/>
        <v>50</v>
      </c>
      <c r="V1318" s="211">
        <v>45120</v>
      </c>
    </row>
    <row r="1319" spans="2:22" x14ac:dyDescent="0.15">
      <c r="B1319" s="4" t="s">
        <v>1191</v>
      </c>
      <c r="C1319" s="233">
        <v>20</v>
      </c>
      <c r="D1319" s="234">
        <v>20</v>
      </c>
      <c r="E1319" s="234">
        <v>20</v>
      </c>
      <c r="F1319" s="220">
        <f t="shared" si="537"/>
        <v>60</v>
      </c>
      <c r="G1319" s="211">
        <v>45115</v>
      </c>
      <c r="H1319" s="4" t="s">
        <v>745</v>
      </c>
      <c r="I1319" s="233">
        <v>200</v>
      </c>
      <c r="J1319" s="234">
        <v>100</v>
      </c>
      <c r="K1319" s="234">
        <v>100</v>
      </c>
      <c r="L1319" s="220">
        <f t="shared" si="538"/>
        <v>400</v>
      </c>
      <c r="M1319" s="211">
        <v>45119</v>
      </c>
      <c r="O1319" s="4"/>
      <c r="P1319" s="15"/>
      <c r="Q1319" s="14">
        <f t="shared" si="539"/>
        <v>0</v>
      </c>
      <c r="R1319" s="186"/>
      <c r="S1319" s="6" t="s">
        <v>995</v>
      </c>
      <c r="T1319" s="234">
        <v>40</v>
      </c>
      <c r="U1319" s="14">
        <f t="shared" si="540"/>
        <v>40</v>
      </c>
      <c r="V1319" s="211">
        <v>45121</v>
      </c>
    </row>
    <row r="1320" spans="2:22" x14ac:dyDescent="0.15">
      <c r="B1320" s="4" t="s">
        <v>920</v>
      </c>
      <c r="C1320" s="233">
        <v>1</v>
      </c>
      <c r="D1320" s="234">
        <v>1</v>
      </c>
      <c r="E1320" s="234">
        <v>1</v>
      </c>
      <c r="F1320" s="220">
        <f t="shared" si="537"/>
        <v>3</v>
      </c>
      <c r="G1320" s="211">
        <v>45117</v>
      </c>
      <c r="H1320" s="6" t="s">
        <v>995</v>
      </c>
      <c r="I1320" s="233">
        <v>170</v>
      </c>
      <c r="J1320" s="234"/>
      <c r="K1320" s="234"/>
      <c r="L1320" s="220">
        <f t="shared" si="538"/>
        <v>170</v>
      </c>
      <c r="M1320" s="211">
        <v>45120</v>
      </c>
      <c r="O1320" s="4"/>
      <c r="P1320" s="15"/>
      <c r="Q1320" s="14">
        <f t="shared" si="539"/>
        <v>0</v>
      </c>
      <c r="R1320" s="186"/>
      <c r="S1320" s="6"/>
      <c r="T1320" s="234"/>
      <c r="U1320" s="14">
        <f t="shared" si="540"/>
        <v>0</v>
      </c>
      <c r="V1320" s="209"/>
    </row>
    <row r="1321" spans="2:22" x14ac:dyDescent="0.15">
      <c r="B1321" s="4" t="s">
        <v>1192</v>
      </c>
      <c r="C1321" s="233">
        <v>200</v>
      </c>
      <c r="D1321" s="234">
        <v>30</v>
      </c>
      <c r="E1321" s="234"/>
      <c r="F1321" s="220">
        <f t="shared" si="537"/>
        <v>230</v>
      </c>
      <c r="G1321" s="211">
        <v>45116</v>
      </c>
      <c r="H1321" s="6" t="s">
        <v>999</v>
      </c>
      <c r="I1321" s="233">
        <v>40</v>
      </c>
      <c r="J1321" s="234"/>
      <c r="K1321" s="234"/>
      <c r="L1321" s="220">
        <f t="shared" si="538"/>
        <v>40</v>
      </c>
      <c r="M1321" s="211">
        <v>45121</v>
      </c>
      <c r="O1321" s="4"/>
      <c r="P1321" s="15"/>
      <c r="Q1321" s="14">
        <f t="shared" si="539"/>
        <v>0</v>
      </c>
      <c r="R1321" s="186"/>
      <c r="S1321" s="6"/>
      <c r="T1321" s="234"/>
      <c r="U1321" s="14">
        <f t="shared" si="540"/>
        <v>0</v>
      </c>
      <c r="V1321" s="209"/>
    </row>
    <row r="1322" spans="2:22" x14ac:dyDescent="0.15">
      <c r="B1322" s="4" t="s">
        <v>749</v>
      </c>
      <c r="C1322" s="233">
        <f>10+1</f>
        <v>11</v>
      </c>
      <c r="D1322" s="234">
        <f>2+6</f>
        <v>8</v>
      </c>
      <c r="E1322" s="234">
        <v>1</v>
      </c>
      <c r="F1322" s="220">
        <f t="shared" si="537"/>
        <v>20</v>
      </c>
      <c r="G1322" s="248">
        <v>45114</v>
      </c>
      <c r="H1322" s="4" t="s">
        <v>745</v>
      </c>
      <c r="I1322" s="233">
        <v>200</v>
      </c>
      <c r="J1322" s="234">
        <v>100</v>
      </c>
      <c r="K1322" s="234">
        <v>100</v>
      </c>
      <c r="L1322" s="220">
        <f t="shared" si="538"/>
        <v>400</v>
      </c>
      <c r="M1322" s="211">
        <v>45122</v>
      </c>
      <c r="O1322" s="4"/>
      <c r="P1322" s="15"/>
      <c r="Q1322" s="14">
        <f t="shared" si="539"/>
        <v>0</v>
      </c>
      <c r="R1322" s="186"/>
      <c r="S1322" s="6"/>
      <c r="T1322" s="234"/>
      <c r="U1322" s="14">
        <f t="shared" si="540"/>
        <v>0</v>
      </c>
      <c r="V1322" s="209"/>
    </row>
    <row r="1323" spans="2:22" x14ac:dyDescent="0.15">
      <c r="B1323" s="4" t="s">
        <v>749</v>
      </c>
      <c r="C1323" s="233">
        <f>1+2+15</f>
        <v>18</v>
      </c>
      <c r="D1323" s="234">
        <f>2+2+3</f>
        <v>7</v>
      </c>
      <c r="E1323" s="234">
        <f>4+2</f>
        <v>6</v>
      </c>
      <c r="F1323" s="220">
        <f t="shared" si="537"/>
        <v>31</v>
      </c>
      <c r="G1323" s="211">
        <v>45117</v>
      </c>
      <c r="H1323" s="4" t="s">
        <v>745</v>
      </c>
      <c r="I1323" s="233"/>
      <c r="J1323" s="234">
        <v>100</v>
      </c>
      <c r="K1323" s="234"/>
      <c r="L1323" s="220">
        <f t="shared" si="538"/>
        <v>100</v>
      </c>
      <c r="M1323" s="211">
        <v>45127</v>
      </c>
      <c r="O1323" s="4"/>
      <c r="P1323" s="15"/>
      <c r="Q1323" s="14">
        <f t="shared" si="539"/>
        <v>0</v>
      </c>
      <c r="R1323" s="186"/>
      <c r="S1323" s="4"/>
      <c r="T1323" s="234"/>
      <c r="U1323" s="14">
        <f t="shared" si="540"/>
        <v>0</v>
      </c>
      <c r="V1323" s="209"/>
    </row>
    <row r="1324" spans="2:22" x14ac:dyDescent="0.15">
      <c r="B1324" s="4" t="s">
        <v>920</v>
      </c>
      <c r="C1324" s="233">
        <v>3</v>
      </c>
      <c r="D1324" s="234">
        <v>3</v>
      </c>
      <c r="E1324" s="234">
        <v>3</v>
      </c>
      <c r="F1324" s="220">
        <f t="shared" si="537"/>
        <v>9</v>
      </c>
      <c r="G1324" s="211">
        <v>45119</v>
      </c>
      <c r="H1324" s="4" t="s">
        <v>745</v>
      </c>
      <c r="I1324" s="233">
        <v>400</v>
      </c>
      <c r="J1324" s="234">
        <v>100</v>
      </c>
      <c r="K1324" s="234">
        <v>100</v>
      </c>
      <c r="L1324" s="220">
        <f t="shared" si="538"/>
        <v>600</v>
      </c>
      <c r="M1324" s="211">
        <v>45132</v>
      </c>
      <c r="O1324" s="4"/>
      <c r="P1324" s="15"/>
      <c r="Q1324" s="14">
        <f t="shared" si="539"/>
        <v>0</v>
      </c>
      <c r="R1324" s="186"/>
      <c r="S1324" s="4"/>
      <c r="T1324" s="234"/>
      <c r="U1324" s="14">
        <f t="shared" si="540"/>
        <v>0</v>
      </c>
      <c r="V1324" s="209"/>
    </row>
    <row r="1325" spans="2:22" x14ac:dyDescent="0.15">
      <c r="B1325" s="4" t="s">
        <v>1195</v>
      </c>
      <c r="C1325" s="233">
        <v>150</v>
      </c>
      <c r="D1325" s="234">
        <v>50</v>
      </c>
      <c r="E1325" s="234">
        <v>50</v>
      </c>
      <c r="F1325" s="220">
        <f t="shared" si="537"/>
        <v>250</v>
      </c>
      <c r="G1325" s="211">
        <v>45119</v>
      </c>
      <c r="H1325" s="4"/>
      <c r="I1325" s="187"/>
      <c r="J1325" s="15"/>
      <c r="K1325" s="15"/>
      <c r="L1325" s="220">
        <f t="shared" si="538"/>
        <v>0</v>
      </c>
      <c r="O1325" s="4"/>
      <c r="P1325" s="15"/>
      <c r="Q1325" s="14">
        <f t="shared" si="539"/>
        <v>0</v>
      </c>
      <c r="R1325" s="186"/>
      <c r="S1325" s="4"/>
      <c r="T1325" s="234"/>
      <c r="U1325" s="14">
        <f t="shared" si="540"/>
        <v>0</v>
      </c>
      <c r="V1325" s="209"/>
    </row>
    <row r="1326" spans="2:22" x14ac:dyDescent="0.15">
      <c r="B1326" s="4" t="s">
        <v>749</v>
      </c>
      <c r="C1326" s="233">
        <f>11+2+1+2</f>
        <v>16</v>
      </c>
      <c r="D1326" s="234">
        <f>10+2+1+12</f>
        <v>25</v>
      </c>
      <c r="E1326" s="234">
        <v>3</v>
      </c>
      <c r="F1326" s="220">
        <f t="shared" si="537"/>
        <v>44</v>
      </c>
      <c r="G1326" s="248">
        <v>45118</v>
      </c>
      <c r="H1326" s="4"/>
      <c r="I1326" s="187"/>
      <c r="J1326" s="15"/>
      <c r="K1326" s="15"/>
      <c r="L1326" s="220">
        <f t="shared" si="538"/>
        <v>0</v>
      </c>
      <c r="O1326" s="4"/>
      <c r="P1326" s="15"/>
      <c r="Q1326" s="14">
        <f t="shared" si="539"/>
        <v>0</v>
      </c>
      <c r="R1326" s="186"/>
      <c r="S1326" s="4"/>
      <c r="T1326" s="234"/>
      <c r="U1326" s="14">
        <f t="shared" si="540"/>
        <v>0</v>
      </c>
      <c r="V1326" s="209"/>
    </row>
    <row r="1327" spans="2:22" x14ac:dyDescent="0.15">
      <c r="B1327" s="4" t="s">
        <v>1196</v>
      </c>
      <c r="C1327" s="233">
        <v>50</v>
      </c>
      <c r="D1327" s="234">
        <v>30</v>
      </c>
      <c r="E1327" s="234">
        <v>30</v>
      </c>
      <c r="F1327" s="220">
        <f t="shared" si="537"/>
        <v>110</v>
      </c>
      <c r="G1327" s="211">
        <v>45120</v>
      </c>
      <c r="H1327" s="4"/>
      <c r="I1327" s="187"/>
      <c r="J1327" s="15"/>
      <c r="K1327" s="15"/>
      <c r="L1327" s="220">
        <f t="shared" si="538"/>
        <v>0</v>
      </c>
      <c r="O1327" s="4"/>
      <c r="P1327" s="15"/>
      <c r="Q1327" s="14">
        <f t="shared" si="539"/>
        <v>0</v>
      </c>
      <c r="R1327" s="186"/>
      <c r="S1327" s="4"/>
      <c r="T1327" s="234"/>
      <c r="U1327" s="14">
        <f t="shared" si="540"/>
        <v>0</v>
      </c>
      <c r="V1327" s="209"/>
    </row>
    <row r="1328" spans="2:22" x14ac:dyDescent="0.15">
      <c r="B1328" s="4" t="s">
        <v>1197</v>
      </c>
      <c r="C1328" s="233">
        <v>15</v>
      </c>
      <c r="D1328" s="234">
        <v>15</v>
      </c>
      <c r="E1328" s="234">
        <v>15</v>
      </c>
      <c r="F1328" s="220">
        <f t="shared" si="537"/>
        <v>45</v>
      </c>
      <c r="G1328" s="211">
        <v>45120</v>
      </c>
      <c r="H1328" s="6"/>
      <c r="I1328" s="188"/>
      <c r="J1328" s="15"/>
      <c r="K1328" s="15"/>
      <c r="L1328" s="220">
        <f t="shared" si="538"/>
        <v>0</v>
      </c>
      <c r="O1328" s="6"/>
      <c r="P1328" s="15"/>
      <c r="Q1328" s="14">
        <f t="shared" si="539"/>
        <v>0</v>
      </c>
      <c r="R1328" s="186"/>
      <c r="S1328" s="6"/>
      <c r="T1328" s="234"/>
      <c r="U1328" s="14">
        <f t="shared" si="540"/>
        <v>0</v>
      </c>
      <c r="V1328" s="209"/>
    </row>
    <row r="1329" spans="2:24" x14ac:dyDescent="0.15">
      <c r="B1329" s="4" t="s">
        <v>749</v>
      </c>
      <c r="C1329" s="233">
        <f>3+4+2+1</f>
        <v>10</v>
      </c>
      <c r="D1329" s="234">
        <f>2+3+2</f>
        <v>7</v>
      </c>
      <c r="E1329" s="234">
        <v>1</v>
      </c>
      <c r="F1329" s="220">
        <f t="shared" si="537"/>
        <v>18</v>
      </c>
      <c r="G1329" s="248">
        <v>45119</v>
      </c>
      <c r="H1329" s="6"/>
      <c r="I1329" s="188"/>
      <c r="J1329" s="15"/>
      <c r="K1329" s="15"/>
      <c r="L1329" s="220">
        <f t="shared" si="538"/>
        <v>0</v>
      </c>
      <c r="O1329" s="6"/>
      <c r="P1329" s="15"/>
      <c r="Q1329" s="14">
        <f t="shared" si="539"/>
        <v>0</v>
      </c>
      <c r="R1329" s="186"/>
      <c r="S1329" s="6"/>
      <c r="T1329" s="234"/>
      <c r="U1329" s="14">
        <f t="shared" si="540"/>
        <v>0</v>
      </c>
      <c r="V1329" s="209"/>
    </row>
    <row r="1330" spans="2:24" x14ac:dyDescent="0.15">
      <c r="B1330" s="4" t="s">
        <v>749</v>
      </c>
      <c r="C1330" s="233">
        <f>2+5</f>
        <v>7</v>
      </c>
      <c r="D1330" s="234">
        <v>4</v>
      </c>
      <c r="E1330" s="234"/>
      <c r="F1330" s="220">
        <f t="shared" si="537"/>
        <v>11</v>
      </c>
      <c r="G1330" s="248">
        <v>45120</v>
      </c>
      <c r="H1330" s="4"/>
      <c r="I1330" s="187"/>
      <c r="J1330" s="15"/>
      <c r="K1330" s="15"/>
      <c r="L1330" s="220">
        <f t="shared" si="538"/>
        <v>0</v>
      </c>
      <c r="O1330" s="4"/>
      <c r="P1330" s="15"/>
      <c r="Q1330" s="14">
        <f t="shared" si="539"/>
        <v>0</v>
      </c>
      <c r="R1330" s="186"/>
      <c r="S1330" s="4"/>
      <c r="T1330" s="234"/>
      <c r="U1330" s="14">
        <f t="shared" si="540"/>
        <v>0</v>
      </c>
      <c r="V1330" s="209"/>
    </row>
    <row r="1331" spans="2:24" x14ac:dyDescent="0.15">
      <c r="B1331" s="4" t="s">
        <v>1198</v>
      </c>
      <c r="C1331" s="233">
        <v>50</v>
      </c>
      <c r="D1331" s="234"/>
      <c r="E1331" s="234"/>
      <c r="F1331" s="220">
        <f t="shared" si="537"/>
        <v>50</v>
      </c>
      <c r="G1331" s="211">
        <v>45121</v>
      </c>
      <c r="H1331" s="4"/>
      <c r="I1331" s="187"/>
      <c r="J1331" s="15"/>
      <c r="K1331" s="15"/>
      <c r="L1331" s="220">
        <f t="shared" si="538"/>
        <v>0</v>
      </c>
      <c r="O1331" s="4"/>
      <c r="P1331" s="15"/>
      <c r="Q1331" s="14">
        <f t="shared" si="539"/>
        <v>0</v>
      </c>
      <c r="R1331" s="186"/>
      <c r="S1331" s="4"/>
      <c r="T1331" s="234"/>
      <c r="U1331" s="14">
        <f t="shared" si="540"/>
        <v>0</v>
      </c>
      <c r="V1331" s="209"/>
    </row>
    <row r="1332" spans="2:24" x14ac:dyDescent="0.15">
      <c r="B1332" s="4" t="s">
        <v>749</v>
      </c>
      <c r="C1332" s="233">
        <f>1+4</f>
        <v>5</v>
      </c>
      <c r="D1332" s="234"/>
      <c r="E1332" s="234">
        <v>1</v>
      </c>
      <c r="F1332" s="220">
        <f t="shared" si="537"/>
        <v>6</v>
      </c>
      <c r="G1332" s="248">
        <v>45121</v>
      </c>
      <c r="H1332" s="6"/>
      <c r="I1332" s="233"/>
      <c r="J1332" s="15"/>
      <c r="K1332" s="15"/>
      <c r="L1332" s="220">
        <f t="shared" si="538"/>
        <v>0</v>
      </c>
      <c r="O1332" s="4"/>
      <c r="P1332" s="15"/>
      <c r="Q1332" s="14">
        <f t="shared" si="539"/>
        <v>0</v>
      </c>
      <c r="R1332" s="186"/>
      <c r="S1332" s="4"/>
      <c r="T1332" s="234"/>
      <c r="U1332" s="14">
        <f t="shared" si="540"/>
        <v>0</v>
      </c>
      <c r="V1332" s="209"/>
    </row>
    <row r="1333" spans="2:24" x14ac:dyDescent="0.15">
      <c r="B1333" s="4" t="s">
        <v>749</v>
      </c>
      <c r="C1333" s="233">
        <v>2</v>
      </c>
      <c r="D1333" s="234"/>
      <c r="E1333" s="234">
        <v>10</v>
      </c>
      <c r="F1333" s="220">
        <f t="shared" si="537"/>
        <v>12</v>
      </c>
      <c r="G1333" s="248">
        <v>45122</v>
      </c>
      <c r="H1333" s="6"/>
      <c r="I1333" s="235"/>
      <c r="J1333" s="15"/>
      <c r="K1333" s="15"/>
      <c r="L1333" s="220">
        <f t="shared" si="538"/>
        <v>0</v>
      </c>
      <c r="O1333" s="6"/>
      <c r="P1333" s="15"/>
      <c r="Q1333" s="14">
        <f t="shared" si="539"/>
        <v>0</v>
      </c>
      <c r="R1333" s="186"/>
      <c r="S1333" s="4"/>
      <c r="T1333" s="234"/>
      <c r="U1333" s="14">
        <f t="shared" ref="U1333:U1337" si="541">SUM(T1333:T1333)</f>
        <v>0</v>
      </c>
      <c r="V1333" s="209"/>
    </row>
    <row r="1334" spans="2:24" x14ac:dyDescent="0.15">
      <c r="B1334" s="4" t="s">
        <v>749</v>
      </c>
      <c r="C1334" s="233">
        <f>3+50+8+2+2+6+1+1+7+1</f>
        <v>81</v>
      </c>
      <c r="D1334" s="234">
        <f>1+16+1+9+1+1+1+2+1</f>
        <v>33</v>
      </c>
      <c r="E1334" s="234">
        <f>2+7+2+1</f>
        <v>12</v>
      </c>
      <c r="F1334" s="220">
        <f t="shared" si="537"/>
        <v>126</v>
      </c>
      <c r="G1334" s="248">
        <v>45125</v>
      </c>
      <c r="H1334" s="6"/>
      <c r="I1334" s="235"/>
      <c r="J1334" s="15"/>
      <c r="K1334" s="15"/>
      <c r="L1334" s="220">
        <f t="shared" ref="L1334:L1340" si="542">SUM(I1334:K1334)</f>
        <v>0</v>
      </c>
      <c r="O1334" s="4"/>
      <c r="P1334" s="15"/>
      <c r="Q1334" s="14">
        <f t="shared" si="539"/>
        <v>0</v>
      </c>
      <c r="R1334" s="186"/>
      <c r="S1334" s="4"/>
      <c r="T1334" s="234"/>
      <c r="U1334" s="14">
        <f t="shared" si="541"/>
        <v>0</v>
      </c>
      <c r="V1334" s="209"/>
    </row>
    <row r="1335" spans="2:24" x14ac:dyDescent="0.15">
      <c r="B1335" s="4" t="s">
        <v>1170</v>
      </c>
      <c r="C1335" s="233">
        <v>150</v>
      </c>
      <c r="D1335" s="234">
        <v>100</v>
      </c>
      <c r="E1335" s="234">
        <v>30</v>
      </c>
      <c r="F1335" s="220">
        <f t="shared" si="537"/>
        <v>280</v>
      </c>
      <c r="G1335" s="211">
        <v>45127</v>
      </c>
      <c r="H1335" s="6"/>
      <c r="I1335" s="235"/>
      <c r="J1335" s="15"/>
      <c r="K1335" s="15"/>
      <c r="L1335" s="220">
        <f t="shared" si="542"/>
        <v>0</v>
      </c>
      <c r="O1335" s="6"/>
      <c r="P1335" s="15"/>
      <c r="Q1335" s="14">
        <f t="shared" si="539"/>
        <v>0</v>
      </c>
      <c r="R1335" s="186"/>
      <c r="S1335" s="4"/>
      <c r="T1335" s="234"/>
      <c r="U1335" s="14">
        <f t="shared" si="541"/>
        <v>0</v>
      </c>
      <c r="V1335" s="209"/>
    </row>
    <row r="1336" spans="2:24" x14ac:dyDescent="0.15">
      <c r="B1336" s="4" t="s">
        <v>1199</v>
      </c>
      <c r="C1336" s="233">
        <v>50</v>
      </c>
      <c r="D1336" s="234"/>
      <c r="E1336" s="234">
        <v>40</v>
      </c>
      <c r="F1336" s="220">
        <f t="shared" si="537"/>
        <v>90</v>
      </c>
      <c r="G1336" s="211">
        <v>45127</v>
      </c>
      <c r="H1336" s="6"/>
      <c r="I1336" s="235"/>
      <c r="J1336" s="15"/>
      <c r="K1336" s="15"/>
      <c r="L1336" s="220">
        <f t="shared" si="542"/>
        <v>0</v>
      </c>
      <c r="O1336" s="4"/>
      <c r="P1336" s="15"/>
      <c r="Q1336" s="14">
        <f t="shared" si="539"/>
        <v>0</v>
      </c>
      <c r="R1336" s="186"/>
      <c r="S1336" s="4"/>
      <c r="T1336" s="234"/>
      <c r="U1336" s="14">
        <f t="shared" si="541"/>
        <v>0</v>
      </c>
      <c r="V1336" s="209"/>
    </row>
    <row r="1337" spans="2:24" x14ac:dyDescent="0.15">
      <c r="B1337" s="4" t="s">
        <v>749</v>
      </c>
      <c r="C1337" s="233">
        <f>1+6+2</f>
        <v>9</v>
      </c>
      <c r="D1337" s="234">
        <v>1</v>
      </c>
      <c r="E1337" s="234"/>
      <c r="F1337" s="220">
        <f t="shared" si="537"/>
        <v>10</v>
      </c>
      <c r="G1337" s="248">
        <v>45126</v>
      </c>
      <c r="H1337" s="6"/>
      <c r="I1337" s="235"/>
      <c r="J1337" s="15"/>
      <c r="K1337" s="15"/>
      <c r="L1337" s="220">
        <f t="shared" si="542"/>
        <v>0</v>
      </c>
      <c r="O1337" s="4"/>
      <c r="P1337" s="15"/>
      <c r="Q1337" s="14">
        <f t="shared" si="539"/>
        <v>0</v>
      </c>
      <c r="R1337" s="186"/>
      <c r="S1337" s="4"/>
      <c r="T1337" s="234"/>
      <c r="U1337" s="14">
        <f t="shared" si="541"/>
        <v>0</v>
      </c>
      <c r="V1337" s="209"/>
    </row>
    <row r="1338" spans="2:24" x14ac:dyDescent="0.15">
      <c r="B1338" s="4" t="s">
        <v>749</v>
      </c>
      <c r="C1338" s="233">
        <f>12+4</f>
        <v>16</v>
      </c>
      <c r="D1338" s="234">
        <v>2</v>
      </c>
      <c r="E1338" s="234"/>
      <c r="F1338" s="220">
        <f t="shared" si="537"/>
        <v>18</v>
      </c>
      <c r="G1338" s="248">
        <v>45127</v>
      </c>
      <c r="H1338" s="6"/>
      <c r="I1338" s="235"/>
      <c r="J1338" s="15"/>
      <c r="K1338" s="15"/>
      <c r="L1338" s="220">
        <f t="shared" si="542"/>
        <v>0</v>
      </c>
      <c r="O1338" s="4"/>
      <c r="P1338" s="15"/>
      <c r="Q1338" s="14">
        <f t="shared" si="539"/>
        <v>0</v>
      </c>
      <c r="R1338" s="186"/>
      <c r="S1338" s="4"/>
      <c r="T1338" s="234"/>
      <c r="U1338" s="14">
        <f t="shared" ref="U1338" si="543">SUM(T1338:T1338)</f>
        <v>0</v>
      </c>
      <c r="V1338" s="209"/>
    </row>
    <row r="1339" spans="2:24" x14ac:dyDescent="0.15">
      <c r="B1339" s="4" t="s">
        <v>749</v>
      </c>
      <c r="C1339" s="233">
        <f>7+2</f>
        <v>9</v>
      </c>
      <c r="D1339" s="234">
        <f>2+1</f>
        <v>3</v>
      </c>
      <c r="E1339" s="234">
        <f>2+2</f>
        <v>4</v>
      </c>
      <c r="F1339" s="220">
        <f t="shared" si="537"/>
        <v>16</v>
      </c>
      <c r="G1339" s="248">
        <v>45128</v>
      </c>
      <c r="H1339" s="6"/>
      <c r="I1339" s="235"/>
      <c r="J1339" s="15"/>
      <c r="K1339" s="15"/>
      <c r="L1339" s="220">
        <f t="shared" si="542"/>
        <v>0</v>
      </c>
      <c r="O1339" s="6"/>
      <c r="P1339" s="15"/>
      <c r="Q1339" s="14">
        <f t="shared" si="539"/>
        <v>0</v>
      </c>
      <c r="R1339" s="186"/>
      <c r="S1339" s="247" t="s">
        <v>931</v>
      </c>
      <c r="T1339" s="275"/>
      <c r="U1339" s="255">
        <f t="shared" ref="U1339:U1340" si="544">SUM(T1339:T1339)</f>
        <v>0</v>
      </c>
      <c r="V1339" s="186"/>
    </row>
    <row r="1340" spans="2:24" ht="14.25" thickBot="1" x14ac:dyDescent="0.2">
      <c r="B1340" s="6" t="s">
        <v>1170</v>
      </c>
      <c r="C1340" s="235">
        <v>200</v>
      </c>
      <c r="D1340" s="234"/>
      <c r="E1340" s="234"/>
      <c r="F1340" s="220">
        <f t="shared" si="537"/>
        <v>200</v>
      </c>
      <c r="G1340" s="211">
        <v>45132</v>
      </c>
      <c r="H1340" s="6"/>
      <c r="I1340" s="235"/>
      <c r="J1340" s="15"/>
      <c r="K1340" s="15"/>
      <c r="L1340" s="220">
        <f t="shared" si="542"/>
        <v>0</v>
      </c>
      <c r="N1340" t="s">
        <v>1113</v>
      </c>
      <c r="O1340" s="6"/>
      <c r="P1340" s="15"/>
      <c r="Q1340" s="14">
        <f t="shared" si="539"/>
        <v>0</v>
      </c>
      <c r="R1340" s="186"/>
      <c r="S1340" s="6" t="s">
        <v>929</v>
      </c>
      <c r="T1340" s="234"/>
      <c r="U1340" s="14">
        <f t="shared" si="544"/>
        <v>0</v>
      </c>
      <c r="V1340" s="186" t="s">
        <v>1138</v>
      </c>
    </row>
    <row r="1341" spans="2:24" ht="14.25" thickBot="1" x14ac:dyDescent="0.2">
      <c r="B1341" s="3" t="s">
        <v>5</v>
      </c>
      <c r="C1341" s="16">
        <f>SUM(C1317:C1340)</f>
        <v>1234</v>
      </c>
      <c r="D1341" s="16">
        <f>SUM(D1317:D1340)</f>
        <v>364</v>
      </c>
      <c r="E1341" s="16">
        <f>SUM(E1317:E1340)</f>
        <v>248</v>
      </c>
      <c r="F1341" s="223">
        <f>SUM(F1317:F1340)</f>
        <v>1846</v>
      </c>
      <c r="H1341" s="3" t="s">
        <v>5</v>
      </c>
      <c r="I1341" s="16">
        <f>SUM(I1317:I1340)</f>
        <v>1510</v>
      </c>
      <c r="J1341" s="16">
        <f>SUM(J1317:J1340)</f>
        <v>500</v>
      </c>
      <c r="K1341" s="16">
        <f>SUM(K1317:K1340)</f>
        <v>400</v>
      </c>
      <c r="L1341" s="223">
        <f>SUM(L1317:L1340)</f>
        <v>2410</v>
      </c>
      <c r="M1341" t="s">
        <v>1087</v>
      </c>
      <c r="N1341">
        <v>0</v>
      </c>
      <c r="O1341" s="3" t="s">
        <v>5</v>
      </c>
      <c r="P1341" s="16">
        <f>SUM(P1317:P1340)</f>
        <v>0</v>
      </c>
      <c r="Q1341" s="17">
        <f>SUM(Q1317:Q1340)</f>
        <v>0</v>
      </c>
      <c r="S1341" s="3" t="s">
        <v>5</v>
      </c>
      <c r="T1341" s="16">
        <f>SUM(T1317:T1340)</f>
        <v>140</v>
      </c>
      <c r="U1341" s="17">
        <f>SUM(U1317:U1340)</f>
        <v>140</v>
      </c>
      <c r="V1341" t="s">
        <v>1089</v>
      </c>
      <c r="W1341">
        <v>550</v>
      </c>
      <c r="X1341">
        <v>690</v>
      </c>
    </row>
    <row r="1342" spans="2:24" ht="14.25" thickBot="1" x14ac:dyDescent="0.2">
      <c r="B1342" s="18" t="s">
        <v>6</v>
      </c>
      <c r="C1342" s="19">
        <f>C1316-C1341</f>
        <v>478</v>
      </c>
      <c r="D1342" s="19">
        <f>D1316-D1341</f>
        <v>228</v>
      </c>
      <c r="E1342" s="19">
        <f t="shared" ref="E1342" si="545">E1316-E1341</f>
        <v>209</v>
      </c>
      <c r="F1342" s="221">
        <f>F1316-F1341</f>
        <v>915</v>
      </c>
      <c r="H1342" s="18" t="s">
        <v>6</v>
      </c>
      <c r="I1342" s="19">
        <f>I1316-I1341</f>
        <v>6534</v>
      </c>
      <c r="J1342" s="19">
        <f>J1316-J1341</f>
        <v>1859</v>
      </c>
      <c r="K1342" s="19">
        <f t="shared" ref="K1342" si="546">K1316-K1341</f>
        <v>1283</v>
      </c>
      <c r="L1342" s="221">
        <f>L1316-L1341</f>
        <v>9676</v>
      </c>
      <c r="M1342" t="s">
        <v>1088</v>
      </c>
      <c r="N1342">
        <v>422</v>
      </c>
      <c r="O1342" s="18" t="s">
        <v>6</v>
      </c>
      <c r="P1342" s="19">
        <f>P1316-P1341</f>
        <v>0</v>
      </c>
      <c r="Q1342" s="13">
        <f>Q1316-Q1341</f>
        <v>0</v>
      </c>
      <c r="S1342" s="18" t="s">
        <v>6</v>
      </c>
      <c r="T1342" s="19">
        <f>T1316-T1341</f>
        <v>3311</v>
      </c>
      <c r="U1342" s="13">
        <f>U1316-U1341</f>
        <v>3311</v>
      </c>
      <c r="V1342" t="s">
        <v>1090</v>
      </c>
      <c r="W1342">
        <v>500</v>
      </c>
      <c r="X1342">
        <v>181</v>
      </c>
    </row>
    <row r="1343" spans="2:24" x14ac:dyDescent="0.15">
      <c r="M1343"/>
      <c r="V1343" t="s">
        <v>1091</v>
      </c>
      <c r="W1343">
        <v>0</v>
      </c>
      <c r="X1343">
        <v>146</v>
      </c>
    </row>
    <row r="1344" spans="2:24" x14ac:dyDescent="0.15">
      <c r="M1344"/>
    </row>
    <row r="1345" spans="2:22" ht="18" thickBot="1" x14ac:dyDescent="0.25">
      <c r="B1345" s="27" t="s">
        <v>739</v>
      </c>
      <c r="C1345" s="28"/>
      <c r="D1345" s="28"/>
      <c r="E1345" s="28"/>
      <c r="F1345" s="218"/>
      <c r="H1345" s="27" t="s">
        <v>740</v>
      </c>
      <c r="I1345" s="28"/>
      <c r="J1345" s="28"/>
      <c r="K1345" s="28"/>
      <c r="L1345" s="218"/>
      <c r="M1345"/>
      <c r="O1345" s="181" t="s">
        <v>737</v>
      </c>
      <c r="P1345" s="182"/>
      <c r="Q1345" s="182"/>
      <c r="R1345" s="183"/>
      <c r="S1345" s="181" t="s">
        <v>733</v>
      </c>
      <c r="T1345" s="182"/>
      <c r="U1345" s="182"/>
    </row>
    <row r="1346" spans="2:22" ht="14.25" thickBot="1" x14ac:dyDescent="0.2">
      <c r="B1346" s="2"/>
      <c r="C1346" s="194" t="s">
        <v>734</v>
      </c>
      <c r="D1346" s="195" t="s">
        <v>706</v>
      </c>
      <c r="E1346" s="2" t="s">
        <v>735</v>
      </c>
      <c r="F1346" s="219" t="s">
        <v>1</v>
      </c>
      <c r="H1346" s="2"/>
      <c r="I1346" s="197" t="s">
        <v>734</v>
      </c>
      <c r="J1346" s="195" t="s">
        <v>706</v>
      </c>
      <c r="K1346" s="201" t="s">
        <v>735</v>
      </c>
      <c r="L1346" s="219" t="s">
        <v>1</v>
      </c>
      <c r="M1346"/>
      <c r="O1346" s="2"/>
      <c r="P1346" s="3" t="s">
        <v>722</v>
      </c>
      <c r="Q1346" s="2" t="s">
        <v>1</v>
      </c>
      <c r="S1346" s="2"/>
      <c r="T1346" s="3" t="s">
        <v>722</v>
      </c>
      <c r="U1346" s="2" t="s">
        <v>1</v>
      </c>
    </row>
    <row r="1347" spans="2:22" x14ac:dyDescent="0.15">
      <c r="B1347" s="164" t="s">
        <v>26</v>
      </c>
      <c r="C1347" s="200">
        <f>C1342</f>
        <v>478</v>
      </c>
      <c r="D1347" s="164">
        <f t="shared" ref="D1347:F1347" si="547">D1342</f>
        <v>228</v>
      </c>
      <c r="E1347" s="164">
        <f t="shared" si="547"/>
        <v>209</v>
      </c>
      <c r="F1347" s="222">
        <f t="shared" si="547"/>
        <v>915</v>
      </c>
      <c r="H1347" s="164" t="s">
        <v>26</v>
      </c>
      <c r="I1347" s="200">
        <f>I1342</f>
        <v>6534</v>
      </c>
      <c r="J1347" s="164">
        <f t="shared" ref="J1347:L1347" si="548">J1342</f>
        <v>1859</v>
      </c>
      <c r="K1347" s="200">
        <f t="shared" si="548"/>
        <v>1283</v>
      </c>
      <c r="L1347" s="222">
        <f t="shared" si="548"/>
        <v>9676</v>
      </c>
      <c r="M1347" s="269"/>
      <c r="O1347" s="171" t="s">
        <v>26</v>
      </c>
      <c r="P1347" s="200">
        <f>P1342</f>
        <v>0</v>
      </c>
      <c r="Q1347" s="180">
        <f>Q1342</f>
        <v>0</v>
      </c>
      <c r="R1347" s="185"/>
      <c r="S1347" s="43" t="s">
        <v>26</v>
      </c>
      <c r="T1347" s="38">
        <f>T1342</f>
        <v>3311</v>
      </c>
      <c r="U1347" s="39">
        <f>U1342</f>
        <v>3311</v>
      </c>
    </row>
    <row r="1348" spans="2:22" x14ac:dyDescent="0.15">
      <c r="B1348" s="6" t="s">
        <v>3</v>
      </c>
      <c r="C1348" s="6">
        <v>200</v>
      </c>
      <c r="D1348" s="225"/>
      <c r="E1348" s="226"/>
      <c r="F1348" s="220">
        <f t="shared" ref="F1348:F1353" si="549">SUM(C1348:E1348)</f>
        <v>200</v>
      </c>
      <c r="G1348" s="211">
        <v>45136</v>
      </c>
      <c r="H1348" s="6" t="s">
        <v>3</v>
      </c>
      <c r="I1348" s="188"/>
      <c r="J1348" s="225"/>
      <c r="K1348" s="243"/>
      <c r="L1348" s="220">
        <f t="shared" ref="L1348:L1357" si="550">SUM(I1348:K1348)</f>
        <v>0</v>
      </c>
      <c r="O1348" s="6" t="s">
        <v>3</v>
      </c>
      <c r="P1348" s="7"/>
      <c r="Q1348" s="5">
        <f t="shared" ref="Q1348:Q1357" si="551">SUM(P1348:P1348)</f>
        <v>0</v>
      </c>
      <c r="R1348" s="186"/>
      <c r="S1348" s="6" t="s">
        <v>3</v>
      </c>
      <c r="T1348" s="7"/>
      <c r="U1348" s="5">
        <f t="shared" ref="U1348:U1357" si="552">SUM(T1348:T1348)</f>
        <v>0</v>
      </c>
    </row>
    <row r="1349" spans="2:22" x14ac:dyDescent="0.15">
      <c r="B1349" s="6" t="s">
        <v>3</v>
      </c>
      <c r="C1349" s="6">
        <v>200</v>
      </c>
      <c r="D1349" s="225"/>
      <c r="E1349" s="226"/>
      <c r="F1349" s="220">
        <f t="shared" si="549"/>
        <v>200</v>
      </c>
      <c r="G1349" s="211">
        <v>45141</v>
      </c>
      <c r="H1349" s="6" t="s">
        <v>3</v>
      </c>
      <c r="I1349" s="188"/>
      <c r="J1349" s="225"/>
      <c r="K1349" s="243"/>
      <c r="L1349" s="220">
        <f t="shared" si="550"/>
        <v>0</v>
      </c>
      <c r="O1349" s="6" t="s">
        <v>3</v>
      </c>
      <c r="P1349" s="7"/>
      <c r="Q1349" s="5">
        <f t="shared" si="551"/>
        <v>0</v>
      </c>
      <c r="R1349" s="186"/>
      <c r="S1349" s="6" t="s">
        <v>3</v>
      </c>
      <c r="T1349" s="54"/>
      <c r="U1349" s="5">
        <f t="shared" si="552"/>
        <v>0</v>
      </c>
    </row>
    <row r="1350" spans="2:22" x14ac:dyDescent="0.15">
      <c r="B1350" s="6" t="s">
        <v>3</v>
      </c>
      <c r="C1350" s="6">
        <v>200</v>
      </c>
      <c r="D1350" s="225">
        <v>100</v>
      </c>
      <c r="E1350" s="226">
        <v>100</v>
      </c>
      <c r="F1350" s="220">
        <f t="shared" si="549"/>
        <v>400</v>
      </c>
      <c r="G1350" s="211">
        <v>45143</v>
      </c>
      <c r="H1350" s="6" t="s">
        <v>3</v>
      </c>
      <c r="I1350" s="188"/>
      <c r="J1350" s="225"/>
      <c r="K1350" s="243"/>
      <c r="L1350" s="220">
        <f t="shared" si="550"/>
        <v>0</v>
      </c>
      <c r="O1350" s="6" t="s">
        <v>3</v>
      </c>
      <c r="P1350" s="7"/>
      <c r="Q1350" s="5">
        <f t="shared" si="551"/>
        <v>0</v>
      </c>
      <c r="R1350" s="186"/>
      <c r="S1350" s="6" t="s">
        <v>3</v>
      </c>
      <c r="T1350" s="54"/>
      <c r="U1350" s="5">
        <f t="shared" si="552"/>
        <v>0</v>
      </c>
    </row>
    <row r="1351" spans="2:22" x14ac:dyDescent="0.15">
      <c r="B1351" s="6" t="s">
        <v>3</v>
      </c>
      <c r="C1351" s="6"/>
      <c r="D1351" s="225"/>
      <c r="E1351" s="226"/>
      <c r="F1351" s="220">
        <f t="shared" si="549"/>
        <v>0</v>
      </c>
      <c r="H1351" s="6" t="s">
        <v>3</v>
      </c>
      <c r="I1351" s="188"/>
      <c r="J1351" s="225"/>
      <c r="K1351" s="243"/>
      <c r="L1351" s="220">
        <f t="shared" si="550"/>
        <v>0</v>
      </c>
      <c r="O1351" s="6" t="s">
        <v>3</v>
      </c>
      <c r="P1351" s="7"/>
      <c r="Q1351" s="5">
        <f t="shared" si="551"/>
        <v>0</v>
      </c>
      <c r="R1351" s="186"/>
      <c r="S1351" s="6" t="s">
        <v>3</v>
      </c>
      <c r="T1351" s="54"/>
      <c r="U1351" s="5">
        <f t="shared" si="552"/>
        <v>0</v>
      </c>
    </row>
    <row r="1352" spans="2:22" x14ac:dyDescent="0.15">
      <c r="B1352" s="6" t="s">
        <v>3</v>
      </c>
      <c r="C1352" s="6"/>
      <c r="D1352" s="225"/>
      <c r="E1352" s="226"/>
      <c r="F1352" s="220">
        <f t="shared" si="549"/>
        <v>0</v>
      </c>
      <c r="H1352" s="6" t="s">
        <v>3</v>
      </c>
      <c r="I1352" s="188"/>
      <c r="J1352" s="225"/>
      <c r="K1352" s="243"/>
      <c r="L1352" s="220">
        <f t="shared" si="550"/>
        <v>0</v>
      </c>
      <c r="O1352" s="6" t="s">
        <v>3</v>
      </c>
      <c r="P1352" s="7"/>
      <c r="Q1352" s="5">
        <f t="shared" si="551"/>
        <v>0</v>
      </c>
      <c r="R1352" s="186"/>
      <c r="S1352" s="6" t="s">
        <v>3</v>
      </c>
      <c r="T1352" s="54"/>
      <c r="U1352" s="5">
        <f t="shared" si="552"/>
        <v>0</v>
      </c>
    </row>
    <row r="1353" spans="2:22" x14ac:dyDescent="0.15">
      <c r="B1353" s="6" t="s">
        <v>3</v>
      </c>
      <c r="C1353" s="6"/>
      <c r="D1353" s="225"/>
      <c r="E1353" s="226"/>
      <c r="F1353" s="220">
        <f t="shared" si="549"/>
        <v>0</v>
      </c>
      <c r="H1353" s="6" t="s">
        <v>3</v>
      </c>
      <c r="I1353" s="188"/>
      <c r="J1353" s="6"/>
      <c r="K1353" s="202"/>
      <c r="L1353" s="220">
        <f t="shared" si="550"/>
        <v>0</v>
      </c>
      <c r="O1353" s="6" t="s">
        <v>3</v>
      </c>
      <c r="P1353" s="7"/>
      <c r="Q1353" s="5">
        <f t="shared" si="551"/>
        <v>0</v>
      </c>
      <c r="R1353" s="186"/>
      <c r="S1353" s="6" t="s">
        <v>3</v>
      </c>
      <c r="T1353" s="7"/>
      <c r="U1353" s="5">
        <f t="shared" si="552"/>
        <v>0</v>
      </c>
    </row>
    <row r="1354" spans="2:22" x14ac:dyDescent="0.15">
      <c r="B1354" s="6" t="s">
        <v>3</v>
      </c>
      <c r="C1354" s="6"/>
      <c r="D1354" s="225"/>
      <c r="E1354" s="226"/>
      <c r="F1354" s="220">
        <f t="shared" ref="F1354:F1357" si="553">SUM(C1354:E1354)</f>
        <v>0</v>
      </c>
      <c r="H1354" s="6" t="s">
        <v>3</v>
      </c>
      <c r="I1354" s="188"/>
      <c r="J1354" s="225"/>
      <c r="K1354" s="243"/>
      <c r="L1354" s="220">
        <f t="shared" si="550"/>
        <v>0</v>
      </c>
      <c r="O1354" s="6" t="s">
        <v>3</v>
      </c>
      <c r="P1354" s="8"/>
      <c r="Q1354" s="5">
        <f t="shared" si="551"/>
        <v>0</v>
      </c>
      <c r="R1354" s="186"/>
      <c r="S1354" s="6" t="s">
        <v>3</v>
      </c>
      <c r="T1354" s="54"/>
      <c r="U1354" s="5">
        <f t="shared" si="552"/>
        <v>0</v>
      </c>
    </row>
    <row r="1355" spans="2:22" x14ac:dyDescent="0.15">
      <c r="B1355" s="6" t="s">
        <v>3</v>
      </c>
      <c r="C1355" s="6"/>
      <c r="D1355" s="225"/>
      <c r="E1355" s="226"/>
      <c r="F1355" s="220">
        <f t="shared" si="553"/>
        <v>0</v>
      </c>
      <c r="H1355" s="6" t="s">
        <v>3</v>
      </c>
      <c r="I1355" s="188"/>
      <c r="J1355" s="225"/>
      <c r="K1355" s="243"/>
      <c r="L1355" s="220">
        <f t="shared" si="550"/>
        <v>0</v>
      </c>
      <c r="O1355" s="6" t="s">
        <v>3</v>
      </c>
      <c r="P1355" s="8"/>
      <c r="Q1355" s="5">
        <f t="shared" si="551"/>
        <v>0</v>
      </c>
      <c r="R1355" s="186"/>
      <c r="S1355" s="6" t="s">
        <v>3</v>
      </c>
      <c r="T1355" s="54"/>
      <c r="U1355" s="5">
        <f t="shared" si="552"/>
        <v>0</v>
      </c>
    </row>
    <row r="1356" spans="2:22" x14ac:dyDescent="0.15">
      <c r="B1356" s="6" t="s">
        <v>3</v>
      </c>
      <c r="C1356" s="6"/>
      <c r="D1356" s="225"/>
      <c r="E1356" s="226"/>
      <c r="F1356" s="220">
        <f t="shared" si="553"/>
        <v>0</v>
      </c>
      <c r="H1356" s="6" t="s">
        <v>3</v>
      </c>
      <c r="I1356" s="188"/>
      <c r="J1356" s="225"/>
      <c r="K1356" s="243"/>
      <c r="L1356" s="220">
        <f t="shared" si="550"/>
        <v>0</v>
      </c>
      <c r="O1356" s="6" t="s">
        <v>3</v>
      </c>
      <c r="P1356" s="8"/>
      <c r="Q1356" s="5">
        <f t="shared" si="551"/>
        <v>0</v>
      </c>
      <c r="R1356" s="186"/>
      <c r="S1356" s="6" t="s">
        <v>3</v>
      </c>
      <c r="T1356" s="54"/>
      <c r="U1356" s="5">
        <f t="shared" si="552"/>
        <v>0</v>
      </c>
    </row>
    <row r="1357" spans="2:22" ht="14.25" thickBot="1" x14ac:dyDescent="0.2">
      <c r="B1357" s="6" t="s">
        <v>3</v>
      </c>
      <c r="C1357" s="9"/>
      <c r="D1357" s="237"/>
      <c r="E1357" s="238"/>
      <c r="F1357" s="220">
        <f t="shared" si="553"/>
        <v>0</v>
      </c>
      <c r="H1357" s="9" t="s">
        <v>3</v>
      </c>
      <c r="I1357" s="198"/>
      <c r="J1357" s="244"/>
      <c r="K1357" s="245"/>
      <c r="L1357" s="220">
        <f t="shared" si="550"/>
        <v>0</v>
      </c>
      <c r="O1357" s="9" t="s">
        <v>3</v>
      </c>
      <c r="P1357" s="10"/>
      <c r="Q1357" s="5">
        <f t="shared" si="551"/>
        <v>0</v>
      </c>
      <c r="R1357" s="186"/>
      <c r="S1357" s="9" t="s">
        <v>3</v>
      </c>
      <c r="T1357" s="101"/>
      <c r="U1357" s="5">
        <f t="shared" si="552"/>
        <v>0</v>
      </c>
    </row>
    <row r="1358" spans="2:22" ht="14.25" thickBot="1" x14ac:dyDescent="0.2">
      <c r="B1358" s="11" t="s">
        <v>4</v>
      </c>
      <c r="C1358" s="193">
        <f>SUM(C1347:C1357)</f>
        <v>1078</v>
      </c>
      <c r="D1358" s="193">
        <f>SUM(D1347:D1357)</f>
        <v>328</v>
      </c>
      <c r="E1358" s="193">
        <f>SUM(E1347:E1357)</f>
        <v>309</v>
      </c>
      <c r="F1358" s="221">
        <f>SUM(F1347:F1357)</f>
        <v>1715</v>
      </c>
      <c r="H1358" s="11" t="s">
        <v>4</v>
      </c>
      <c r="I1358" s="193">
        <f>SUM(I1347:I1357)</f>
        <v>6534</v>
      </c>
      <c r="J1358" s="193">
        <f>SUM(J1347:J1357)</f>
        <v>1859</v>
      </c>
      <c r="K1358" s="193">
        <f t="shared" ref="K1358" si="554">SUM(K1347:K1357)</f>
        <v>1283</v>
      </c>
      <c r="L1358" s="221">
        <f>SUM(L1347:L1357)</f>
        <v>9676</v>
      </c>
      <c r="O1358" s="11" t="s">
        <v>4</v>
      </c>
      <c r="P1358" s="12">
        <f>SUM(P1347:P1357)</f>
        <v>0</v>
      </c>
      <c r="Q1358" s="13">
        <f>SUM(Q1347:Q1357)</f>
        <v>0</v>
      </c>
      <c r="S1358" s="11" t="s">
        <v>4</v>
      </c>
      <c r="T1358" s="12">
        <f>SUM(T1347:T1357)</f>
        <v>3311</v>
      </c>
      <c r="U1358" s="13">
        <f>SUM(U1347:U1357)</f>
        <v>3311</v>
      </c>
    </row>
    <row r="1359" spans="2:22" x14ac:dyDescent="0.15">
      <c r="B1359" s="4" t="s">
        <v>749</v>
      </c>
      <c r="C1359" s="233">
        <f>6+15</f>
        <v>21</v>
      </c>
      <c r="D1359" s="234">
        <f>2+7</f>
        <v>9</v>
      </c>
      <c r="E1359" s="234">
        <v>4</v>
      </c>
      <c r="F1359" s="220">
        <f t="shared" ref="F1359:F1382" si="555">SUM(C1359:E1359)</f>
        <v>34</v>
      </c>
      <c r="G1359" s="248">
        <v>45131</v>
      </c>
      <c r="H1359" s="4" t="s">
        <v>1202</v>
      </c>
      <c r="I1359" s="233">
        <v>400</v>
      </c>
      <c r="J1359" s="234"/>
      <c r="K1359" s="234"/>
      <c r="L1359" s="220">
        <f t="shared" ref="L1359:L1374" si="556">SUM(I1359:K1359)</f>
        <v>400</v>
      </c>
      <c r="M1359" s="211">
        <v>45134</v>
      </c>
      <c r="O1359" s="4"/>
      <c r="P1359" s="44"/>
      <c r="Q1359" s="14">
        <f t="shared" ref="Q1359:Q1382" si="557">SUM(P1359:P1359)</f>
        <v>0</v>
      </c>
      <c r="R1359" s="185"/>
      <c r="S1359" s="4" t="s">
        <v>1202</v>
      </c>
      <c r="T1359" s="273">
        <v>250</v>
      </c>
      <c r="U1359" s="14">
        <f t="shared" ref="U1359:U1374" si="558">SUM(T1359:T1359)</f>
        <v>250</v>
      </c>
      <c r="V1359" s="211">
        <v>45134</v>
      </c>
    </row>
    <row r="1360" spans="2:22" x14ac:dyDescent="0.15">
      <c r="B1360" s="4" t="s">
        <v>749</v>
      </c>
      <c r="C1360" s="233">
        <f>8+10</f>
        <v>18</v>
      </c>
      <c r="D1360" s="234">
        <v>4</v>
      </c>
      <c r="E1360" s="234">
        <v>1</v>
      </c>
      <c r="F1360" s="220">
        <f t="shared" si="555"/>
        <v>23</v>
      </c>
      <c r="G1360" s="211">
        <v>45132</v>
      </c>
      <c r="H1360" s="4" t="s">
        <v>1203</v>
      </c>
      <c r="I1360" s="233">
        <v>50</v>
      </c>
      <c r="J1360" s="234"/>
      <c r="K1360" s="234"/>
      <c r="L1360" s="220">
        <f t="shared" ref="L1360:L1365" si="559">SUM(I1360:K1360)</f>
        <v>50</v>
      </c>
      <c r="M1360" s="211">
        <v>45136</v>
      </c>
      <c r="O1360" s="4"/>
      <c r="P1360" s="15"/>
      <c r="Q1360" s="14">
        <f t="shared" si="557"/>
        <v>0</v>
      </c>
      <c r="R1360" s="186"/>
      <c r="S1360" s="4" t="s">
        <v>1203</v>
      </c>
      <c r="T1360" s="234">
        <v>50</v>
      </c>
      <c r="U1360" s="14">
        <f t="shared" si="558"/>
        <v>50</v>
      </c>
      <c r="V1360" s="211">
        <v>45136</v>
      </c>
    </row>
    <row r="1361" spans="2:22" x14ac:dyDescent="0.15">
      <c r="B1361" s="4" t="s">
        <v>1201</v>
      </c>
      <c r="C1361" s="233">
        <v>100</v>
      </c>
      <c r="D1361" s="234">
        <v>30</v>
      </c>
      <c r="E1361" s="234">
        <v>30</v>
      </c>
      <c r="F1361" s="220">
        <f t="shared" si="555"/>
        <v>160</v>
      </c>
      <c r="G1361" s="211">
        <v>45133</v>
      </c>
      <c r="H1361" s="4" t="s">
        <v>1204</v>
      </c>
      <c r="I1361" s="233">
        <v>200</v>
      </c>
      <c r="J1361" s="15"/>
      <c r="K1361" s="15"/>
      <c r="L1361" s="220">
        <f t="shared" si="559"/>
        <v>200</v>
      </c>
      <c r="M1361" s="211">
        <v>45136</v>
      </c>
      <c r="O1361" s="4"/>
      <c r="P1361" s="15"/>
      <c r="Q1361" s="14">
        <f t="shared" si="557"/>
        <v>0</v>
      </c>
      <c r="R1361" s="186"/>
      <c r="S1361" s="4" t="s">
        <v>1207</v>
      </c>
      <c r="T1361" s="234">
        <v>250</v>
      </c>
      <c r="U1361" s="14">
        <f t="shared" si="558"/>
        <v>250</v>
      </c>
      <c r="V1361" s="211">
        <v>45145</v>
      </c>
    </row>
    <row r="1362" spans="2:22" x14ac:dyDescent="0.15">
      <c r="B1362" s="4" t="s">
        <v>749</v>
      </c>
      <c r="C1362" s="233">
        <f>1+17</f>
        <v>18</v>
      </c>
      <c r="D1362" s="234">
        <v>1</v>
      </c>
      <c r="E1362" s="234">
        <v>1</v>
      </c>
      <c r="F1362" s="220">
        <f t="shared" si="555"/>
        <v>20</v>
      </c>
      <c r="G1362" s="211">
        <v>45133</v>
      </c>
      <c r="H1362" s="4" t="s">
        <v>1207</v>
      </c>
      <c r="I1362" s="233">
        <v>700</v>
      </c>
      <c r="J1362" s="234"/>
      <c r="K1362" s="234"/>
      <c r="L1362" s="220">
        <f t="shared" si="559"/>
        <v>700</v>
      </c>
      <c r="M1362" s="211">
        <v>45145</v>
      </c>
      <c r="O1362" s="4"/>
      <c r="P1362" s="15"/>
      <c r="Q1362" s="14">
        <f t="shared" si="557"/>
        <v>0</v>
      </c>
      <c r="R1362" s="186"/>
      <c r="S1362" s="6"/>
      <c r="T1362" s="234"/>
      <c r="U1362" s="14">
        <f t="shared" si="558"/>
        <v>0</v>
      </c>
      <c r="V1362" s="209"/>
    </row>
    <row r="1363" spans="2:22" x14ac:dyDescent="0.15">
      <c r="B1363" s="4" t="s">
        <v>749</v>
      </c>
      <c r="C1363" s="233">
        <f>11+10</f>
        <v>21</v>
      </c>
      <c r="D1363" s="234">
        <f>2+1</f>
        <v>3</v>
      </c>
      <c r="E1363" s="234">
        <v>2</v>
      </c>
      <c r="F1363" s="220">
        <f t="shared" si="555"/>
        <v>26</v>
      </c>
      <c r="G1363" s="211">
        <v>45134</v>
      </c>
      <c r="H1363" s="4" t="s">
        <v>745</v>
      </c>
      <c r="I1363" s="233">
        <v>200</v>
      </c>
      <c r="J1363" s="15"/>
      <c r="K1363" s="15"/>
      <c r="L1363" s="220">
        <f t="shared" si="559"/>
        <v>200</v>
      </c>
      <c r="M1363" s="211">
        <v>45141</v>
      </c>
      <c r="O1363" s="4"/>
      <c r="P1363" s="15"/>
      <c r="Q1363" s="14">
        <f t="shared" si="557"/>
        <v>0</v>
      </c>
      <c r="R1363" s="186"/>
      <c r="S1363" s="6"/>
      <c r="T1363" s="234"/>
      <c r="U1363" s="14">
        <f t="shared" si="558"/>
        <v>0</v>
      </c>
      <c r="V1363" s="209"/>
    </row>
    <row r="1364" spans="2:22" x14ac:dyDescent="0.15">
      <c r="B1364" s="4" t="s">
        <v>749</v>
      </c>
      <c r="C1364" s="233">
        <f>4+4</f>
        <v>8</v>
      </c>
      <c r="D1364" s="234">
        <v>1</v>
      </c>
      <c r="E1364" s="234">
        <v>4</v>
      </c>
      <c r="F1364" s="220">
        <f t="shared" si="555"/>
        <v>13</v>
      </c>
      <c r="G1364" s="248">
        <v>45135</v>
      </c>
      <c r="H1364" s="4" t="s">
        <v>745</v>
      </c>
      <c r="I1364" s="233">
        <v>200</v>
      </c>
      <c r="J1364" s="234">
        <v>100</v>
      </c>
      <c r="K1364" s="234">
        <v>100</v>
      </c>
      <c r="L1364" s="220">
        <f t="shared" si="559"/>
        <v>400</v>
      </c>
      <c r="M1364" s="211">
        <v>45143</v>
      </c>
      <c r="O1364" s="4"/>
      <c r="P1364" s="15"/>
      <c r="Q1364" s="14">
        <f t="shared" si="557"/>
        <v>0</v>
      </c>
      <c r="R1364" s="186"/>
      <c r="S1364" s="6"/>
      <c r="T1364" s="234"/>
      <c r="U1364" s="14">
        <f t="shared" si="558"/>
        <v>0</v>
      </c>
      <c r="V1364" s="209"/>
    </row>
    <row r="1365" spans="2:22" x14ac:dyDescent="0.15">
      <c r="B1365" s="4" t="s">
        <v>749</v>
      </c>
      <c r="C1365" s="233">
        <v>16</v>
      </c>
      <c r="D1365" s="234">
        <v>6</v>
      </c>
      <c r="E1365" s="234">
        <v>1</v>
      </c>
      <c r="F1365" s="220">
        <f t="shared" si="555"/>
        <v>23</v>
      </c>
      <c r="G1365" s="211">
        <v>45136</v>
      </c>
      <c r="H1365" s="4"/>
      <c r="I1365" s="233"/>
      <c r="J1365" s="15"/>
      <c r="K1365" s="15"/>
      <c r="L1365" s="220">
        <f t="shared" si="559"/>
        <v>0</v>
      </c>
      <c r="O1365" s="4"/>
      <c r="P1365" s="15"/>
      <c r="Q1365" s="14">
        <f t="shared" si="557"/>
        <v>0</v>
      </c>
      <c r="R1365" s="186"/>
      <c r="S1365" s="4"/>
      <c r="T1365" s="234"/>
      <c r="U1365" s="14">
        <f t="shared" si="558"/>
        <v>0</v>
      </c>
      <c r="V1365" s="209"/>
    </row>
    <row r="1366" spans="2:22" x14ac:dyDescent="0.15">
      <c r="B1366" s="4" t="s">
        <v>1205</v>
      </c>
      <c r="C1366" s="233">
        <v>10</v>
      </c>
      <c r="D1366" s="234">
        <v>10</v>
      </c>
      <c r="E1366" s="234">
        <v>10</v>
      </c>
      <c r="F1366" s="220">
        <f t="shared" si="555"/>
        <v>30</v>
      </c>
      <c r="G1366" s="211">
        <v>45139</v>
      </c>
      <c r="H1366" s="4"/>
      <c r="I1366" s="233"/>
      <c r="J1366" s="234"/>
      <c r="K1366" s="234"/>
      <c r="L1366" s="220">
        <f t="shared" si="556"/>
        <v>0</v>
      </c>
      <c r="O1366" s="4"/>
      <c r="P1366" s="15"/>
      <c r="Q1366" s="14">
        <f t="shared" si="557"/>
        <v>0</v>
      </c>
      <c r="R1366" s="186"/>
      <c r="S1366" s="4"/>
      <c r="T1366" s="234"/>
      <c r="U1366" s="14">
        <f t="shared" si="558"/>
        <v>0</v>
      </c>
      <c r="V1366" s="209"/>
    </row>
    <row r="1367" spans="2:22" x14ac:dyDescent="0.15">
      <c r="B1367" s="4" t="s">
        <v>1206</v>
      </c>
      <c r="C1367" s="233">
        <v>100</v>
      </c>
      <c r="D1367" s="234"/>
      <c r="E1367" s="234">
        <v>20</v>
      </c>
      <c r="F1367" s="220">
        <f t="shared" si="555"/>
        <v>120</v>
      </c>
      <c r="G1367" s="211">
        <v>45139</v>
      </c>
      <c r="H1367" s="4"/>
      <c r="I1367" s="233"/>
      <c r="J1367" s="15"/>
      <c r="K1367" s="15"/>
      <c r="L1367" s="220">
        <f t="shared" si="556"/>
        <v>0</v>
      </c>
      <c r="O1367" s="4"/>
      <c r="P1367" s="15"/>
      <c r="Q1367" s="14">
        <f t="shared" si="557"/>
        <v>0</v>
      </c>
      <c r="R1367" s="186"/>
      <c r="S1367" s="4"/>
      <c r="T1367" s="234"/>
      <c r="U1367" s="14">
        <f t="shared" si="558"/>
        <v>0</v>
      </c>
      <c r="V1367" s="209"/>
    </row>
    <row r="1368" spans="2:22" x14ac:dyDescent="0.15">
      <c r="B1368" s="4" t="s">
        <v>749</v>
      </c>
      <c r="C1368" s="233">
        <v>35</v>
      </c>
      <c r="D1368" s="234">
        <f>1+11</f>
        <v>12</v>
      </c>
      <c r="E1368" s="234">
        <f>1+5</f>
        <v>6</v>
      </c>
      <c r="F1368" s="220">
        <f t="shared" si="555"/>
        <v>53</v>
      </c>
      <c r="G1368" s="248">
        <v>45138</v>
      </c>
      <c r="H1368" s="4"/>
      <c r="I1368" s="233"/>
      <c r="J1368" s="15"/>
      <c r="K1368" s="15"/>
      <c r="L1368" s="220">
        <f t="shared" si="556"/>
        <v>0</v>
      </c>
      <c r="O1368" s="4"/>
      <c r="P1368" s="15"/>
      <c r="Q1368" s="14">
        <f t="shared" si="557"/>
        <v>0</v>
      </c>
      <c r="R1368" s="186"/>
      <c r="S1368" s="4"/>
      <c r="T1368" s="234"/>
      <c r="U1368" s="14">
        <f t="shared" si="558"/>
        <v>0</v>
      </c>
      <c r="V1368" s="209"/>
    </row>
    <row r="1369" spans="2:22" x14ac:dyDescent="0.15">
      <c r="B1369" s="4" t="s">
        <v>1208</v>
      </c>
      <c r="C1369" s="233">
        <v>1</v>
      </c>
      <c r="D1369" s="234">
        <v>1</v>
      </c>
      <c r="E1369" s="234">
        <v>1</v>
      </c>
      <c r="F1369" s="220">
        <f t="shared" si="555"/>
        <v>3</v>
      </c>
      <c r="G1369" s="211">
        <v>45140</v>
      </c>
      <c r="H1369" s="4"/>
      <c r="I1369" s="233"/>
      <c r="J1369" s="15"/>
      <c r="K1369" s="15"/>
      <c r="L1369" s="220">
        <f t="shared" si="556"/>
        <v>0</v>
      </c>
      <c r="O1369" s="4"/>
      <c r="P1369" s="15"/>
      <c r="Q1369" s="14">
        <f t="shared" si="557"/>
        <v>0</v>
      </c>
      <c r="R1369" s="186"/>
      <c r="S1369" s="4"/>
      <c r="T1369" s="234"/>
      <c r="U1369" s="14">
        <f t="shared" si="558"/>
        <v>0</v>
      </c>
      <c r="V1369" s="209"/>
    </row>
    <row r="1370" spans="2:22" x14ac:dyDescent="0.15">
      <c r="B1370" s="4" t="s">
        <v>749</v>
      </c>
      <c r="C1370" s="233">
        <f>4+6</f>
        <v>10</v>
      </c>
      <c r="D1370" s="234">
        <f>2+1</f>
        <v>3</v>
      </c>
      <c r="E1370" s="234">
        <v>1</v>
      </c>
      <c r="F1370" s="220">
        <f t="shared" si="555"/>
        <v>14</v>
      </c>
      <c r="G1370" s="211">
        <v>45139</v>
      </c>
      <c r="H1370" s="6"/>
      <c r="I1370" s="235"/>
      <c r="J1370" s="15"/>
      <c r="K1370" s="15"/>
      <c r="L1370" s="220">
        <f t="shared" si="556"/>
        <v>0</v>
      </c>
      <c r="O1370" s="6"/>
      <c r="P1370" s="15"/>
      <c r="Q1370" s="14">
        <f t="shared" si="557"/>
        <v>0</v>
      </c>
      <c r="R1370" s="186"/>
      <c r="S1370" s="6"/>
      <c r="T1370" s="234"/>
      <c r="U1370" s="14">
        <f t="shared" si="558"/>
        <v>0</v>
      </c>
      <c r="V1370" s="209"/>
    </row>
    <row r="1371" spans="2:22" x14ac:dyDescent="0.15">
      <c r="B1371" s="4" t="s">
        <v>1209</v>
      </c>
      <c r="C1371" s="233">
        <v>100</v>
      </c>
      <c r="D1371" s="234">
        <v>30</v>
      </c>
      <c r="E1371" s="234"/>
      <c r="F1371" s="220">
        <f t="shared" si="555"/>
        <v>130</v>
      </c>
      <c r="G1371" s="211">
        <v>45141</v>
      </c>
      <c r="H1371" s="6"/>
      <c r="I1371" s="235"/>
      <c r="J1371" s="15"/>
      <c r="K1371" s="15"/>
      <c r="L1371" s="220">
        <f t="shared" si="556"/>
        <v>0</v>
      </c>
      <c r="O1371" s="6"/>
      <c r="P1371" s="15"/>
      <c r="Q1371" s="14">
        <f t="shared" si="557"/>
        <v>0</v>
      </c>
      <c r="R1371" s="186"/>
      <c r="S1371" s="6"/>
      <c r="T1371" s="234"/>
      <c r="U1371" s="14">
        <f t="shared" si="558"/>
        <v>0</v>
      </c>
      <c r="V1371" s="209"/>
    </row>
    <row r="1372" spans="2:22" x14ac:dyDescent="0.15">
      <c r="B1372" s="4" t="s">
        <v>920</v>
      </c>
      <c r="C1372" s="233">
        <v>2</v>
      </c>
      <c r="D1372" s="234">
        <v>2</v>
      </c>
      <c r="E1372" s="234">
        <v>2</v>
      </c>
      <c r="F1372" s="220">
        <f t="shared" si="555"/>
        <v>6</v>
      </c>
      <c r="G1372" s="211">
        <v>45141</v>
      </c>
      <c r="H1372" s="4"/>
      <c r="I1372" s="233"/>
      <c r="J1372" s="15"/>
      <c r="K1372" s="15"/>
      <c r="L1372" s="220">
        <f t="shared" si="556"/>
        <v>0</v>
      </c>
      <c r="O1372" s="4"/>
      <c r="P1372" s="15"/>
      <c r="Q1372" s="14">
        <f t="shared" si="557"/>
        <v>0</v>
      </c>
      <c r="R1372" s="186"/>
      <c r="S1372" s="4"/>
      <c r="T1372" s="234"/>
      <c r="U1372" s="14">
        <f t="shared" si="558"/>
        <v>0</v>
      </c>
      <c r="V1372" s="209"/>
    </row>
    <row r="1373" spans="2:22" x14ac:dyDescent="0.15">
      <c r="B1373" s="4" t="s">
        <v>749</v>
      </c>
      <c r="C1373" s="233">
        <f>3+1</f>
        <v>4</v>
      </c>
      <c r="D1373" s="234">
        <f>1+1</f>
        <v>2</v>
      </c>
      <c r="E1373" s="234">
        <v>1</v>
      </c>
      <c r="F1373" s="220">
        <f t="shared" si="555"/>
        <v>7</v>
      </c>
      <c r="G1373" s="211">
        <v>45140</v>
      </c>
      <c r="H1373" s="4"/>
      <c r="I1373" s="233"/>
      <c r="J1373" s="15"/>
      <c r="K1373" s="15"/>
      <c r="L1373" s="220">
        <f t="shared" si="556"/>
        <v>0</v>
      </c>
      <c r="O1373" s="4"/>
      <c r="P1373" s="15"/>
      <c r="Q1373" s="14">
        <f t="shared" si="557"/>
        <v>0</v>
      </c>
      <c r="R1373" s="186"/>
      <c r="S1373" s="4"/>
      <c r="T1373" s="234"/>
      <c r="U1373" s="14">
        <f t="shared" si="558"/>
        <v>0</v>
      </c>
      <c r="V1373" s="209"/>
    </row>
    <row r="1374" spans="2:22" x14ac:dyDescent="0.15">
      <c r="B1374" s="4" t="s">
        <v>1211</v>
      </c>
      <c r="C1374" s="233">
        <v>10</v>
      </c>
      <c r="D1374" s="234">
        <v>10</v>
      </c>
      <c r="E1374" s="234">
        <v>10</v>
      </c>
      <c r="F1374" s="220">
        <f t="shared" si="555"/>
        <v>30</v>
      </c>
      <c r="G1374" s="211">
        <v>45141</v>
      </c>
      <c r="H1374" s="6"/>
      <c r="I1374" s="233"/>
      <c r="J1374" s="15"/>
      <c r="K1374" s="15"/>
      <c r="L1374" s="220">
        <f t="shared" si="556"/>
        <v>0</v>
      </c>
      <c r="O1374" s="4"/>
      <c r="P1374" s="15"/>
      <c r="Q1374" s="14">
        <f t="shared" si="557"/>
        <v>0</v>
      </c>
      <c r="R1374" s="186"/>
      <c r="S1374" s="4"/>
      <c r="T1374" s="234"/>
      <c r="U1374" s="14">
        <f t="shared" si="558"/>
        <v>0</v>
      </c>
      <c r="V1374" s="209"/>
    </row>
    <row r="1375" spans="2:22" x14ac:dyDescent="0.15">
      <c r="B1375" s="4" t="s">
        <v>1210</v>
      </c>
      <c r="C1375" s="233"/>
      <c r="D1375" s="234">
        <v>20</v>
      </c>
      <c r="E1375" s="234">
        <v>20</v>
      </c>
      <c r="F1375" s="220">
        <f t="shared" si="555"/>
        <v>40</v>
      </c>
      <c r="G1375" s="211">
        <v>45141</v>
      </c>
      <c r="H1375" s="6"/>
      <c r="I1375" s="233"/>
      <c r="J1375" s="15"/>
      <c r="K1375" s="15"/>
      <c r="L1375" s="220">
        <f t="shared" ref="L1375:L1376" si="560">SUM(I1375:K1375)</f>
        <v>0</v>
      </c>
      <c r="O1375" s="6"/>
      <c r="P1375" s="15"/>
      <c r="Q1375" s="14">
        <f t="shared" si="557"/>
        <v>0</v>
      </c>
      <c r="R1375" s="186"/>
      <c r="S1375" s="4"/>
      <c r="T1375" s="234"/>
      <c r="U1375" s="14">
        <f t="shared" ref="U1375:U1376" si="561">SUM(T1375:T1375)</f>
        <v>0</v>
      </c>
      <c r="V1375" s="209"/>
    </row>
    <row r="1376" spans="2:22" x14ac:dyDescent="0.15">
      <c r="B1376" s="4" t="s">
        <v>920</v>
      </c>
      <c r="C1376" s="233">
        <v>1</v>
      </c>
      <c r="D1376" s="234">
        <v>1</v>
      </c>
      <c r="E1376" s="234">
        <v>1</v>
      </c>
      <c r="F1376" s="220">
        <f t="shared" si="555"/>
        <v>3</v>
      </c>
      <c r="G1376" s="211">
        <v>45142</v>
      </c>
      <c r="H1376" s="6"/>
      <c r="I1376" s="233"/>
      <c r="J1376" s="15"/>
      <c r="K1376" s="15"/>
      <c r="L1376" s="220">
        <f t="shared" si="560"/>
        <v>0</v>
      </c>
      <c r="O1376" s="4"/>
      <c r="P1376" s="15"/>
      <c r="Q1376" s="14">
        <f t="shared" si="557"/>
        <v>0</v>
      </c>
      <c r="R1376" s="186"/>
      <c r="S1376" s="4"/>
      <c r="T1376" s="234"/>
      <c r="U1376" s="14">
        <f t="shared" si="561"/>
        <v>0</v>
      </c>
      <c r="V1376" s="209"/>
    </row>
    <row r="1377" spans="2:22" x14ac:dyDescent="0.15">
      <c r="B1377" s="4" t="s">
        <v>749</v>
      </c>
      <c r="C1377" s="233">
        <f>2+3</f>
        <v>5</v>
      </c>
      <c r="D1377" s="234">
        <v>2</v>
      </c>
      <c r="E1377" s="234"/>
      <c r="F1377" s="220">
        <f t="shared" si="555"/>
        <v>7</v>
      </c>
      <c r="G1377" s="211">
        <v>45141</v>
      </c>
      <c r="H1377" s="6"/>
      <c r="I1377" s="233"/>
      <c r="J1377" s="15"/>
      <c r="K1377" s="15"/>
      <c r="L1377" s="220">
        <f t="shared" ref="L1377" si="562">SUM(I1377:K1377)</f>
        <v>0</v>
      </c>
      <c r="O1377" s="6"/>
      <c r="P1377" s="15"/>
      <c r="Q1377" s="14">
        <f t="shared" si="557"/>
        <v>0</v>
      </c>
      <c r="R1377" s="186"/>
      <c r="S1377" s="4"/>
      <c r="T1377" s="234"/>
      <c r="U1377" s="14">
        <f t="shared" ref="U1377:U1378" si="563">SUM(T1377:T1377)</f>
        <v>0</v>
      </c>
      <c r="V1377" s="209"/>
    </row>
    <row r="1378" spans="2:22" x14ac:dyDescent="0.15">
      <c r="B1378" s="4" t="s">
        <v>749</v>
      </c>
      <c r="C1378" s="233">
        <f>2+7</f>
        <v>9</v>
      </c>
      <c r="D1378" s="234">
        <f>3+4</f>
        <v>7</v>
      </c>
      <c r="E1378" s="234">
        <v>1</v>
      </c>
      <c r="F1378" s="220">
        <f t="shared" si="555"/>
        <v>17</v>
      </c>
      <c r="G1378" s="211">
        <v>45142</v>
      </c>
      <c r="H1378" s="6"/>
      <c r="I1378" s="233"/>
      <c r="J1378" s="15"/>
      <c r="K1378" s="15"/>
      <c r="L1378" s="220">
        <f t="shared" ref="L1378" si="564">SUM(I1378:K1378)</f>
        <v>0</v>
      </c>
      <c r="O1378" s="4"/>
      <c r="P1378" s="15"/>
      <c r="Q1378" s="14">
        <f t="shared" si="557"/>
        <v>0</v>
      </c>
      <c r="R1378" s="186"/>
      <c r="S1378" s="4"/>
      <c r="T1378" s="234"/>
      <c r="U1378" s="14">
        <f t="shared" si="563"/>
        <v>0</v>
      </c>
      <c r="V1378" s="209"/>
    </row>
    <row r="1379" spans="2:22" x14ac:dyDescent="0.15">
      <c r="B1379" s="4" t="s">
        <v>749</v>
      </c>
      <c r="C1379" s="233">
        <v>11</v>
      </c>
      <c r="D1379" s="234">
        <v>5</v>
      </c>
      <c r="E1379" s="234">
        <v>5</v>
      </c>
      <c r="F1379" s="220">
        <f t="shared" si="555"/>
        <v>21</v>
      </c>
      <c r="G1379" s="248">
        <v>45143</v>
      </c>
      <c r="H1379" s="254" t="s">
        <v>1121</v>
      </c>
      <c r="I1379" s="258"/>
      <c r="J1379" s="252"/>
      <c r="K1379" s="252"/>
      <c r="L1379" s="250">
        <f t="shared" ref="L1379:L1382" si="565">SUM(I1379:K1379)</f>
        <v>0</v>
      </c>
      <c r="M1379" s="212"/>
      <c r="O1379" s="4"/>
      <c r="P1379" s="15"/>
      <c r="Q1379" s="14">
        <f t="shared" si="557"/>
        <v>0</v>
      </c>
      <c r="R1379" s="186"/>
      <c r="S1379" s="254" t="s">
        <v>1121</v>
      </c>
      <c r="T1379" s="275"/>
      <c r="U1379" s="255">
        <f t="shared" ref="U1379:U1382" si="566">SUM(T1379:T1379)</f>
        <v>0</v>
      </c>
      <c r="V1379" s="256"/>
    </row>
    <row r="1380" spans="2:22" x14ac:dyDescent="0.15">
      <c r="B1380" s="4" t="s">
        <v>749</v>
      </c>
      <c r="C1380" s="233">
        <f>1+2+19+1+1+1</f>
        <v>25</v>
      </c>
      <c r="D1380" s="234">
        <f>9+1</f>
        <v>10</v>
      </c>
      <c r="E1380" s="234">
        <f>1+1</f>
        <v>2</v>
      </c>
      <c r="F1380" s="220">
        <f t="shared" si="555"/>
        <v>37</v>
      </c>
      <c r="G1380" s="248">
        <v>45145</v>
      </c>
      <c r="H1380" s="4" t="s">
        <v>1118</v>
      </c>
      <c r="I1380" s="233"/>
      <c r="J1380" s="15"/>
      <c r="K1380" s="15"/>
      <c r="L1380" s="220">
        <f t="shared" si="565"/>
        <v>0</v>
      </c>
      <c r="M1380" s="212" t="s">
        <v>1166</v>
      </c>
      <c r="O1380" s="4"/>
      <c r="P1380" s="15"/>
      <c r="Q1380" s="14">
        <f t="shared" si="557"/>
        <v>0</v>
      </c>
      <c r="R1380" s="186"/>
      <c r="S1380" s="4" t="s">
        <v>1118</v>
      </c>
      <c r="T1380" s="234"/>
      <c r="U1380" s="14">
        <f t="shared" si="566"/>
        <v>0</v>
      </c>
      <c r="V1380" s="186" t="s">
        <v>1166</v>
      </c>
    </row>
    <row r="1381" spans="2:22" x14ac:dyDescent="0.15">
      <c r="B1381" s="4" t="s">
        <v>920</v>
      </c>
      <c r="C1381" s="233">
        <v>1</v>
      </c>
      <c r="D1381" s="234">
        <v>1</v>
      </c>
      <c r="E1381" s="234">
        <v>1</v>
      </c>
      <c r="F1381" s="220">
        <f t="shared" si="555"/>
        <v>3</v>
      </c>
      <c r="G1381" s="211">
        <v>45147</v>
      </c>
      <c r="H1381" s="254" t="s">
        <v>1122</v>
      </c>
      <c r="I1381" s="258"/>
      <c r="J1381" s="249"/>
      <c r="K1381" s="249"/>
      <c r="L1381" s="250">
        <f t="shared" si="565"/>
        <v>0</v>
      </c>
      <c r="M1381" s="212"/>
      <c r="O1381" s="6"/>
      <c r="P1381" s="15"/>
      <c r="Q1381" s="14">
        <f t="shared" si="557"/>
        <v>0</v>
      </c>
      <c r="R1381" s="186"/>
      <c r="S1381" s="254" t="s">
        <v>1122</v>
      </c>
      <c r="T1381" s="275"/>
      <c r="U1381" s="255">
        <f t="shared" si="566"/>
        <v>0</v>
      </c>
      <c r="V1381" s="256"/>
    </row>
    <row r="1382" spans="2:22" ht="14.25" thickBot="1" x14ac:dyDescent="0.2">
      <c r="B1382" s="6" t="s">
        <v>1186</v>
      </c>
      <c r="C1382" s="235">
        <v>100</v>
      </c>
      <c r="D1382" s="234"/>
      <c r="E1382" s="234"/>
      <c r="F1382" s="220">
        <f t="shared" si="555"/>
        <v>100</v>
      </c>
      <c r="G1382" s="211">
        <v>45147</v>
      </c>
      <c r="H1382" s="4" t="s">
        <v>1119</v>
      </c>
      <c r="I1382" s="233"/>
      <c r="J1382" s="206"/>
      <c r="K1382" s="206"/>
      <c r="L1382" s="220">
        <f t="shared" si="565"/>
        <v>0</v>
      </c>
      <c r="M1382" s="212" t="s">
        <v>1177</v>
      </c>
      <c r="O1382" s="6"/>
      <c r="P1382" s="15"/>
      <c r="Q1382" s="14">
        <f t="shared" si="557"/>
        <v>0</v>
      </c>
      <c r="R1382" s="186"/>
      <c r="S1382" s="4" t="s">
        <v>1119</v>
      </c>
      <c r="T1382" s="234"/>
      <c r="U1382" s="14">
        <f t="shared" si="566"/>
        <v>0</v>
      </c>
      <c r="V1382" s="212" t="s">
        <v>1177</v>
      </c>
    </row>
    <row r="1383" spans="2:22" ht="14.25" thickBot="1" x14ac:dyDescent="0.2">
      <c r="B1383" s="3" t="s">
        <v>5</v>
      </c>
      <c r="C1383" s="16">
        <f>SUM(C1359:C1382)</f>
        <v>626</v>
      </c>
      <c r="D1383" s="16">
        <f>SUM(D1359:D1382)</f>
        <v>170</v>
      </c>
      <c r="E1383" s="16">
        <f>SUM(E1359:E1382)</f>
        <v>124</v>
      </c>
      <c r="F1383" s="223">
        <f>SUM(F1359:F1382)</f>
        <v>920</v>
      </c>
      <c r="H1383" s="3" t="s">
        <v>5</v>
      </c>
      <c r="I1383" s="16">
        <f>SUM(I1359:I1382)</f>
        <v>1750</v>
      </c>
      <c r="J1383" s="16">
        <f>SUM(J1359:J1382)</f>
        <v>100</v>
      </c>
      <c r="K1383" s="16">
        <f>SUM(K1359:K1382)</f>
        <v>100</v>
      </c>
      <c r="L1383" s="223">
        <f>SUM(L1359:L1382)</f>
        <v>1950</v>
      </c>
      <c r="N1383" t="s">
        <v>1113</v>
      </c>
      <c r="O1383" s="3" t="s">
        <v>5</v>
      </c>
      <c r="P1383" s="16">
        <f>SUM(P1359:P1382)</f>
        <v>0</v>
      </c>
      <c r="Q1383" s="17">
        <f>SUM(Q1359:Q1382)</f>
        <v>0</v>
      </c>
      <c r="S1383" s="3" t="s">
        <v>5</v>
      </c>
      <c r="T1383" s="16">
        <f>SUM(T1359:T1382)</f>
        <v>550</v>
      </c>
      <c r="U1383" s="17">
        <f>SUM(U1359:U1382)</f>
        <v>550</v>
      </c>
      <c r="V1383" t="s">
        <v>1089</v>
      </c>
    </row>
    <row r="1384" spans="2:22" ht="14.25" thickBot="1" x14ac:dyDescent="0.2">
      <c r="B1384" s="18" t="s">
        <v>6</v>
      </c>
      <c r="C1384" s="19">
        <f>C1358-C1383</f>
        <v>452</v>
      </c>
      <c r="D1384" s="19">
        <f>D1358-D1383</f>
        <v>158</v>
      </c>
      <c r="E1384" s="19">
        <f t="shared" ref="E1384" si="567">E1358-E1383</f>
        <v>185</v>
      </c>
      <c r="F1384" s="221">
        <f>F1358-F1383</f>
        <v>795</v>
      </c>
      <c r="H1384" s="18" t="s">
        <v>6</v>
      </c>
      <c r="I1384" s="19">
        <f>I1358-I1383</f>
        <v>4784</v>
      </c>
      <c r="J1384" s="19">
        <f>J1358-J1383</f>
        <v>1759</v>
      </c>
      <c r="K1384" s="19">
        <f t="shared" ref="K1384" si="568">K1358-K1383</f>
        <v>1183</v>
      </c>
      <c r="L1384" s="221">
        <f>L1358-L1383</f>
        <v>7726</v>
      </c>
      <c r="M1384" t="s">
        <v>1087</v>
      </c>
      <c r="N1384">
        <v>0</v>
      </c>
      <c r="O1384" s="18" t="s">
        <v>6</v>
      </c>
      <c r="P1384" s="19">
        <f>P1358-P1383</f>
        <v>0</v>
      </c>
      <c r="Q1384" s="13">
        <f>Q1358-Q1383</f>
        <v>0</v>
      </c>
      <c r="S1384" s="18" t="s">
        <v>6</v>
      </c>
      <c r="T1384" s="19">
        <f>T1358-T1383</f>
        <v>2761</v>
      </c>
      <c r="U1384" s="13">
        <f>U1358-U1383</f>
        <v>2761</v>
      </c>
      <c r="V1384" t="s">
        <v>1090</v>
      </c>
    </row>
    <row r="1385" spans="2:22" x14ac:dyDescent="0.15">
      <c r="M1385" t="s">
        <v>1088</v>
      </c>
      <c r="N1385">
        <v>422</v>
      </c>
      <c r="V1385" t="s">
        <v>1091</v>
      </c>
    </row>
    <row r="1386" spans="2:22" x14ac:dyDescent="0.15">
      <c r="M1386" t="s">
        <v>1089</v>
      </c>
      <c r="N1386">
        <v>1427</v>
      </c>
    </row>
    <row r="1387" spans="2:22" ht="18" thickBot="1" x14ac:dyDescent="0.25">
      <c r="B1387" s="27" t="s">
        <v>739</v>
      </c>
      <c r="C1387" s="28"/>
      <c r="D1387" s="28"/>
      <c r="E1387" s="28"/>
      <c r="F1387" s="218"/>
      <c r="H1387" s="27" t="s">
        <v>740</v>
      </c>
      <c r="I1387" s="28"/>
      <c r="J1387" s="28"/>
      <c r="K1387" s="28"/>
      <c r="L1387" s="218"/>
      <c r="M1387" t="s">
        <v>1090</v>
      </c>
      <c r="N1387">
        <v>401</v>
      </c>
      <c r="O1387" s="181" t="s">
        <v>737</v>
      </c>
      <c r="P1387" s="182"/>
      <c r="Q1387" s="182"/>
      <c r="R1387" s="183"/>
      <c r="S1387" s="181" t="s">
        <v>733</v>
      </c>
      <c r="T1387" s="182"/>
      <c r="U1387" s="182"/>
    </row>
    <row r="1388" spans="2:22" ht="14.25" thickBot="1" x14ac:dyDescent="0.2">
      <c r="B1388" s="2"/>
      <c r="C1388" s="194" t="s">
        <v>734</v>
      </c>
      <c r="D1388" s="195" t="s">
        <v>706</v>
      </c>
      <c r="E1388" s="2" t="s">
        <v>735</v>
      </c>
      <c r="F1388" s="219" t="s">
        <v>1</v>
      </c>
      <c r="H1388" s="2"/>
      <c r="I1388" s="197" t="s">
        <v>734</v>
      </c>
      <c r="J1388" s="195" t="s">
        <v>706</v>
      </c>
      <c r="K1388" s="201" t="s">
        <v>735</v>
      </c>
      <c r="L1388" s="219" t="s">
        <v>1</v>
      </c>
      <c r="M1388" t="s">
        <v>1091</v>
      </c>
      <c r="N1388">
        <v>277</v>
      </c>
      <c r="O1388" s="2"/>
      <c r="P1388" s="3" t="s">
        <v>722</v>
      </c>
      <c r="Q1388" s="2" t="s">
        <v>1</v>
      </c>
      <c r="S1388" s="2"/>
      <c r="T1388" s="3" t="s">
        <v>722</v>
      </c>
      <c r="U1388" s="2" t="s">
        <v>1</v>
      </c>
    </row>
    <row r="1389" spans="2:22" x14ac:dyDescent="0.15">
      <c r="B1389" s="164" t="s">
        <v>26</v>
      </c>
      <c r="C1389" s="200">
        <f>C1384</f>
        <v>452</v>
      </c>
      <c r="D1389" s="164">
        <f t="shared" ref="D1389:F1389" si="569">D1384</f>
        <v>158</v>
      </c>
      <c r="E1389" s="164">
        <f t="shared" si="569"/>
        <v>185</v>
      </c>
      <c r="F1389" s="222">
        <f t="shared" si="569"/>
        <v>795</v>
      </c>
      <c r="H1389" s="164" t="s">
        <v>26</v>
      </c>
      <c r="I1389" s="200">
        <f>I1384</f>
        <v>4784</v>
      </c>
      <c r="J1389" s="164">
        <f t="shared" ref="J1389:L1389" si="570">J1384</f>
        <v>1759</v>
      </c>
      <c r="K1389" s="200">
        <f t="shared" si="570"/>
        <v>1183</v>
      </c>
      <c r="L1389" s="222">
        <f t="shared" si="570"/>
        <v>7726</v>
      </c>
      <c r="M1389" s="269" t="s">
        <v>1105</v>
      </c>
      <c r="N1389">
        <f>SUM(N1384:N1388)</f>
        <v>2527</v>
      </c>
      <c r="O1389" s="171" t="s">
        <v>26</v>
      </c>
      <c r="P1389" s="200">
        <f>P1384</f>
        <v>0</v>
      </c>
      <c r="Q1389" s="180">
        <f>Q1384</f>
        <v>0</v>
      </c>
      <c r="R1389" s="185"/>
      <c r="S1389" s="43" t="s">
        <v>26</v>
      </c>
      <c r="T1389" s="38">
        <f>T1384</f>
        <v>2761</v>
      </c>
      <c r="U1389" s="39">
        <f>U1384</f>
        <v>2761</v>
      </c>
    </row>
    <row r="1390" spans="2:22" x14ac:dyDescent="0.15">
      <c r="B1390" s="6" t="s">
        <v>801</v>
      </c>
      <c r="C1390" s="6">
        <v>1</v>
      </c>
      <c r="D1390" s="225">
        <v>1</v>
      </c>
      <c r="E1390" s="226">
        <v>1</v>
      </c>
      <c r="F1390" s="220">
        <f t="shared" ref="F1390:F1399" si="571">SUM(C1390:E1390)</f>
        <v>3</v>
      </c>
      <c r="G1390" s="248">
        <v>45148</v>
      </c>
      <c r="H1390" s="6" t="s">
        <v>840</v>
      </c>
      <c r="I1390" s="188"/>
      <c r="J1390" s="225"/>
      <c r="K1390" s="243">
        <v>100</v>
      </c>
      <c r="L1390" s="220">
        <f t="shared" ref="L1390:L1399" si="572">SUM(I1390:K1390)</f>
        <v>100</v>
      </c>
      <c r="M1390" s="248">
        <v>45171</v>
      </c>
      <c r="O1390" s="6" t="s">
        <v>3</v>
      </c>
      <c r="P1390" s="7"/>
      <c r="Q1390" s="5">
        <f t="shared" ref="Q1390:Q1399" si="573">SUM(P1390:P1390)</f>
        <v>0</v>
      </c>
      <c r="R1390" s="186"/>
      <c r="S1390" s="6" t="s">
        <v>3</v>
      </c>
      <c r="T1390" s="7"/>
      <c r="U1390" s="5">
        <f t="shared" ref="U1390:U1399" si="574">SUM(T1390:T1390)</f>
        <v>0</v>
      </c>
    </row>
    <row r="1391" spans="2:22" x14ac:dyDescent="0.15">
      <c r="B1391" s="6" t="s">
        <v>968</v>
      </c>
      <c r="C1391" s="6">
        <v>7</v>
      </c>
      <c r="D1391" s="225">
        <v>4</v>
      </c>
      <c r="E1391" s="226">
        <v>4</v>
      </c>
      <c r="F1391" s="220">
        <f t="shared" si="571"/>
        <v>15</v>
      </c>
      <c r="G1391" s="248">
        <v>45156</v>
      </c>
      <c r="H1391" s="6" t="s">
        <v>3</v>
      </c>
      <c r="I1391" s="188"/>
      <c r="J1391" s="225"/>
      <c r="K1391" s="243"/>
      <c r="L1391" s="220">
        <f t="shared" si="572"/>
        <v>0</v>
      </c>
      <c r="O1391" s="6" t="s">
        <v>3</v>
      </c>
      <c r="P1391" s="7"/>
      <c r="Q1391" s="5">
        <f t="shared" si="573"/>
        <v>0</v>
      </c>
      <c r="R1391" s="186"/>
      <c r="S1391" s="6" t="s">
        <v>3</v>
      </c>
      <c r="T1391" s="54"/>
      <c r="U1391" s="5">
        <f t="shared" si="574"/>
        <v>0</v>
      </c>
    </row>
    <row r="1392" spans="2:22" x14ac:dyDescent="0.15">
      <c r="B1392" s="6" t="s">
        <v>785</v>
      </c>
      <c r="C1392" s="6">
        <v>-3</v>
      </c>
      <c r="D1392" s="225">
        <v>-1</v>
      </c>
      <c r="E1392" s="226">
        <v>-4</v>
      </c>
      <c r="F1392" s="220">
        <f t="shared" si="571"/>
        <v>-8</v>
      </c>
      <c r="G1392" s="248">
        <v>45163</v>
      </c>
      <c r="H1392" s="6" t="s">
        <v>3</v>
      </c>
      <c r="I1392" s="188"/>
      <c r="J1392" s="225"/>
      <c r="K1392" s="243"/>
      <c r="L1392" s="220">
        <f t="shared" si="572"/>
        <v>0</v>
      </c>
      <c r="O1392" s="6" t="s">
        <v>3</v>
      </c>
      <c r="P1392" s="7"/>
      <c r="Q1392" s="5">
        <f t="shared" si="573"/>
        <v>0</v>
      </c>
      <c r="R1392" s="186"/>
      <c r="S1392" s="6" t="s">
        <v>3</v>
      </c>
      <c r="T1392" s="54"/>
      <c r="U1392" s="5">
        <f t="shared" si="574"/>
        <v>0</v>
      </c>
    </row>
    <row r="1393" spans="2:22" x14ac:dyDescent="0.15">
      <c r="B1393" s="6" t="s">
        <v>3</v>
      </c>
      <c r="C1393" s="6"/>
      <c r="D1393" s="225"/>
      <c r="E1393" s="226"/>
      <c r="F1393" s="220">
        <f t="shared" si="571"/>
        <v>0</v>
      </c>
      <c r="H1393" s="6" t="s">
        <v>3</v>
      </c>
      <c r="I1393" s="188"/>
      <c r="J1393" s="225"/>
      <c r="K1393" s="243"/>
      <c r="L1393" s="220">
        <f t="shared" si="572"/>
        <v>0</v>
      </c>
      <c r="O1393" s="6" t="s">
        <v>3</v>
      </c>
      <c r="P1393" s="7"/>
      <c r="Q1393" s="5">
        <f t="shared" si="573"/>
        <v>0</v>
      </c>
      <c r="R1393" s="186"/>
      <c r="S1393" s="6" t="s">
        <v>3</v>
      </c>
      <c r="T1393" s="54"/>
      <c r="U1393" s="5">
        <f t="shared" si="574"/>
        <v>0</v>
      </c>
    </row>
    <row r="1394" spans="2:22" x14ac:dyDescent="0.15">
      <c r="B1394" s="6" t="s">
        <v>3</v>
      </c>
      <c r="C1394" s="6"/>
      <c r="D1394" s="225"/>
      <c r="E1394" s="226"/>
      <c r="F1394" s="220">
        <f t="shared" si="571"/>
        <v>0</v>
      </c>
      <c r="H1394" s="6" t="s">
        <v>3</v>
      </c>
      <c r="I1394" s="188"/>
      <c r="J1394" s="225"/>
      <c r="K1394" s="243"/>
      <c r="L1394" s="220">
        <f t="shared" si="572"/>
        <v>0</v>
      </c>
      <c r="O1394" s="6" t="s">
        <v>3</v>
      </c>
      <c r="P1394" s="7"/>
      <c r="Q1394" s="5">
        <f t="shared" si="573"/>
        <v>0</v>
      </c>
      <c r="R1394" s="186"/>
      <c r="S1394" s="6" t="s">
        <v>3</v>
      </c>
      <c r="T1394" s="54"/>
      <c r="U1394" s="5">
        <f t="shared" si="574"/>
        <v>0</v>
      </c>
    </row>
    <row r="1395" spans="2:22" x14ac:dyDescent="0.15">
      <c r="B1395" s="6" t="s">
        <v>3</v>
      </c>
      <c r="C1395" s="6"/>
      <c r="D1395" s="225"/>
      <c r="E1395" s="226"/>
      <c r="F1395" s="220">
        <f t="shared" si="571"/>
        <v>0</v>
      </c>
      <c r="H1395" s="6" t="s">
        <v>3</v>
      </c>
      <c r="I1395" s="188"/>
      <c r="J1395" s="6"/>
      <c r="K1395" s="202"/>
      <c r="L1395" s="220">
        <f t="shared" si="572"/>
        <v>0</v>
      </c>
      <c r="O1395" s="6" t="s">
        <v>3</v>
      </c>
      <c r="P1395" s="7"/>
      <c r="Q1395" s="5">
        <f t="shared" si="573"/>
        <v>0</v>
      </c>
      <c r="R1395" s="186"/>
      <c r="S1395" s="6" t="s">
        <v>3</v>
      </c>
      <c r="T1395" s="7"/>
      <c r="U1395" s="5">
        <f t="shared" si="574"/>
        <v>0</v>
      </c>
    </row>
    <row r="1396" spans="2:22" x14ac:dyDescent="0.15">
      <c r="B1396" s="6" t="s">
        <v>3</v>
      </c>
      <c r="C1396" s="6"/>
      <c r="D1396" s="225"/>
      <c r="E1396" s="226"/>
      <c r="F1396" s="220">
        <f t="shared" si="571"/>
        <v>0</v>
      </c>
      <c r="H1396" s="6" t="s">
        <v>3</v>
      </c>
      <c r="I1396" s="188"/>
      <c r="J1396" s="225"/>
      <c r="K1396" s="243"/>
      <c r="L1396" s="220">
        <f t="shared" si="572"/>
        <v>0</v>
      </c>
      <c r="O1396" s="6" t="s">
        <v>3</v>
      </c>
      <c r="P1396" s="8"/>
      <c r="Q1396" s="5">
        <f t="shared" si="573"/>
        <v>0</v>
      </c>
      <c r="R1396" s="186"/>
      <c r="S1396" s="6" t="s">
        <v>3</v>
      </c>
      <c r="T1396" s="54"/>
      <c r="U1396" s="5">
        <f t="shared" si="574"/>
        <v>0</v>
      </c>
    </row>
    <row r="1397" spans="2:22" x14ac:dyDescent="0.15">
      <c r="B1397" s="6" t="s">
        <v>3</v>
      </c>
      <c r="C1397" s="6"/>
      <c r="D1397" s="225"/>
      <c r="E1397" s="226"/>
      <c r="F1397" s="220">
        <f t="shared" si="571"/>
        <v>0</v>
      </c>
      <c r="H1397" s="6" t="s">
        <v>3</v>
      </c>
      <c r="I1397" s="188"/>
      <c r="J1397" s="225"/>
      <c r="K1397" s="243"/>
      <c r="L1397" s="220">
        <f t="shared" si="572"/>
        <v>0</v>
      </c>
      <c r="O1397" s="6" t="s">
        <v>3</v>
      </c>
      <c r="P1397" s="8"/>
      <c r="Q1397" s="5">
        <f t="shared" si="573"/>
        <v>0</v>
      </c>
      <c r="R1397" s="186"/>
      <c r="S1397" s="6" t="s">
        <v>3</v>
      </c>
      <c r="T1397" s="54"/>
      <c r="U1397" s="5">
        <f t="shared" si="574"/>
        <v>0</v>
      </c>
    </row>
    <row r="1398" spans="2:22" x14ac:dyDescent="0.15">
      <c r="B1398" s="6" t="s">
        <v>3</v>
      </c>
      <c r="C1398" s="6"/>
      <c r="D1398" s="225"/>
      <c r="E1398" s="226"/>
      <c r="F1398" s="220">
        <f t="shared" si="571"/>
        <v>0</v>
      </c>
      <c r="H1398" s="6" t="s">
        <v>3</v>
      </c>
      <c r="I1398" s="188"/>
      <c r="J1398" s="225"/>
      <c r="K1398" s="243"/>
      <c r="L1398" s="220">
        <f t="shared" si="572"/>
        <v>0</v>
      </c>
      <c r="O1398" s="6" t="s">
        <v>3</v>
      </c>
      <c r="P1398" s="8"/>
      <c r="Q1398" s="5">
        <f t="shared" si="573"/>
        <v>0</v>
      </c>
      <c r="R1398" s="186"/>
      <c r="S1398" s="6" t="s">
        <v>3</v>
      </c>
      <c r="T1398" s="54"/>
      <c r="U1398" s="5">
        <f t="shared" si="574"/>
        <v>0</v>
      </c>
    </row>
    <row r="1399" spans="2:22" ht="14.25" thickBot="1" x14ac:dyDescent="0.2">
      <c r="B1399" s="6" t="s">
        <v>3</v>
      </c>
      <c r="C1399" s="9"/>
      <c r="D1399" s="237"/>
      <c r="E1399" s="238"/>
      <c r="F1399" s="220">
        <f t="shared" si="571"/>
        <v>0</v>
      </c>
      <c r="H1399" s="9" t="s">
        <v>3</v>
      </c>
      <c r="I1399" s="198"/>
      <c r="J1399" s="244"/>
      <c r="K1399" s="245"/>
      <c r="L1399" s="220">
        <f t="shared" si="572"/>
        <v>0</v>
      </c>
      <c r="O1399" s="9" t="s">
        <v>3</v>
      </c>
      <c r="P1399" s="10"/>
      <c r="Q1399" s="5">
        <f t="shared" si="573"/>
        <v>0</v>
      </c>
      <c r="R1399" s="186"/>
      <c r="S1399" s="9" t="s">
        <v>3</v>
      </c>
      <c r="T1399" s="101"/>
      <c r="U1399" s="5">
        <f t="shared" si="574"/>
        <v>0</v>
      </c>
    </row>
    <row r="1400" spans="2:22" ht="14.25" thickBot="1" x14ac:dyDescent="0.2">
      <c r="B1400" s="11" t="s">
        <v>4</v>
      </c>
      <c r="C1400" s="193">
        <f>SUM(C1389:C1399)</f>
        <v>457</v>
      </c>
      <c r="D1400" s="193">
        <f>SUM(D1389:D1399)</f>
        <v>162</v>
      </c>
      <c r="E1400" s="193">
        <f>SUM(E1389:E1399)</f>
        <v>186</v>
      </c>
      <c r="F1400" s="221">
        <f>SUM(F1389:F1399)</f>
        <v>805</v>
      </c>
      <c r="H1400" s="11" t="s">
        <v>4</v>
      </c>
      <c r="I1400" s="193">
        <f>SUM(I1389:I1399)</f>
        <v>4784</v>
      </c>
      <c r="J1400" s="193">
        <f>SUM(J1389:J1399)</f>
        <v>1759</v>
      </c>
      <c r="K1400" s="193">
        <f t="shared" ref="K1400" si="575">SUM(K1389:K1399)</f>
        <v>1283</v>
      </c>
      <c r="L1400" s="221">
        <f>SUM(L1389:L1399)</f>
        <v>7826</v>
      </c>
      <c r="O1400" s="11" t="s">
        <v>4</v>
      </c>
      <c r="P1400" s="12">
        <f>SUM(P1389:P1399)</f>
        <v>0</v>
      </c>
      <c r="Q1400" s="13">
        <f>SUM(Q1389:Q1399)</f>
        <v>0</v>
      </c>
      <c r="S1400" s="11" t="s">
        <v>4</v>
      </c>
      <c r="T1400" s="12">
        <f>SUM(T1389:T1399)</f>
        <v>2761</v>
      </c>
      <c r="U1400" s="13">
        <f>SUM(U1389:U1399)</f>
        <v>2761</v>
      </c>
    </row>
    <row r="1401" spans="2:22" x14ac:dyDescent="0.15">
      <c r="B1401" s="4" t="s">
        <v>749</v>
      </c>
      <c r="C1401" s="233">
        <v>4</v>
      </c>
      <c r="D1401" s="234"/>
      <c r="E1401" s="234">
        <f>1+1</f>
        <v>2</v>
      </c>
      <c r="F1401" s="220">
        <f t="shared" ref="F1401:F1403" si="576">SUM(C1401:E1401)</f>
        <v>6</v>
      </c>
      <c r="G1401" s="248">
        <v>45146</v>
      </c>
      <c r="H1401" s="4" t="s">
        <v>1213</v>
      </c>
      <c r="I1401" s="233">
        <v>70</v>
      </c>
      <c r="J1401" s="234"/>
      <c r="K1401" s="234"/>
      <c r="L1401" s="220">
        <f t="shared" ref="L1401" si="577">SUM(I1401:K1401)</f>
        <v>70</v>
      </c>
      <c r="M1401" s="211">
        <v>45164</v>
      </c>
      <c r="O1401" s="4"/>
      <c r="P1401" s="44"/>
      <c r="Q1401" s="14">
        <f t="shared" ref="Q1401:Q1424" si="578">SUM(P1401:P1401)</f>
        <v>0</v>
      </c>
      <c r="R1401" s="185"/>
      <c r="S1401" s="4" t="s">
        <v>1213</v>
      </c>
      <c r="T1401" s="234">
        <v>80</v>
      </c>
      <c r="U1401" s="14">
        <f t="shared" ref="U1401" si="579">SUM(T1401:T1401)</f>
        <v>80</v>
      </c>
      <c r="V1401" s="211">
        <v>45162</v>
      </c>
    </row>
    <row r="1402" spans="2:22" x14ac:dyDescent="0.15">
      <c r="B1402" s="4" t="s">
        <v>749</v>
      </c>
      <c r="C1402" s="233">
        <v>5</v>
      </c>
      <c r="D1402" s="234">
        <v>1</v>
      </c>
      <c r="E1402" s="234"/>
      <c r="F1402" s="220">
        <f t="shared" si="576"/>
        <v>6</v>
      </c>
      <c r="G1402" s="248">
        <v>45147</v>
      </c>
      <c r="H1402" s="6" t="s">
        <v>1216</v>
      </c>
      <c r="I1402" s="233">
        <v>75</v>
      </c>
      <c r="J1402" s="234">
        <v>85</v>
      </c>
      <c r="K1402" s="234">
        <v>36</v>
      </c>
      <c r="L1402" s="220">
        <f t="shared" ref="L1402:L1415" si="580">SUM(I1402:K1402)</f>
        <v>196</v>
      </c>
      <c r="M1402" s="211">
        <v>45175</v>
      </c>
      <c r="O1402" s="4"/>
      <c r="P1402" s="15"/>
      <c r="Q1402" s="14">
        <f t="shared" si="578"/>
        <v>0</v>
      </c>
      <c r="R1402" s="186"/>
      <c r="S1402" s="4" t="s">
        <v>1214</v>
      </c>
      <c r="T1402" s="234">
        <v>50</v>
      </c>
      <c r="U1402" s="14">
        <f t="shared" ref="U1402:U1424" si="581">SUM(T1402:T1402)</f>
        <v>50</v>
      </c>
      <c r="V1402" s="211">
        <v>45164</v>
      </c>
    </row>
    <row r="1403" spans="2:22" x14ac:dyDescent="0.15">
      <c r="B1403" s="4" t="s">
        <v>749</v>
      </c>
      <c r="C1403" s="233">
        <f>1+7+1</f>
        <v>9</v>
      </c>
      <c r="D1403" s="234">
        <v>3</v>
      </c>
      <c r="E1403" s="234">
        <v>1</v>
      </c>
      <c r="F1403" s="220">
        <f t="shared" si="576"/>
        <v>13</v>
      </c>
      <c r="G1403" s="248">
        <v>45148</v>
      </c>
      <c r="H1403" s="4"/>
      <c r="I1403" s="187"/>
      <c r="J1403" s="15"/>
      <c r="K1403" s="15"/>
      <c r="L1403" s="220">
        <f t="shared" si="580"/>
        <v>0</v>
      </c>
      <c r="O1403" s="4"/>
      <c r="P1403" s="15"/>
      <c r="Q1403" s="14">
        <f t="shared" si="578"/>
        <v>0</v>
      </c>
      <c r="R1403" s="186"/>
      <c r="S1403" s="6"/>
      <c r="T1403" s="234"/>
      <c r="U1403" s="14">
        <f t="shared" si="581"/>
        <v>0</v>
      </c>
      <c r="V1403" s="209"/>
    </row>
    <row r="1404" spans="2:22" x14ac:dyDescent="0.15">
      <c r="B1404" s="4" t="s">
        <v>749</v>
      </c>
      <c r="C1404" s="233">
        <v>7</v>
      </c>
      <c r="D1404" s="234">
        <v>3</v>
      </c>
      <c r="E1404" s="234">
        <v>1</v>
      </c>
      <c r="F1404" s="220">
        <f t="shared" ref="F1404:F1424" si="582">SUM(C1404:E1404)</f>
        <v>11</v>
      </c>
      <c r="G1404" s="248">
        <v>45149</v>
      </c>
      <c r="H1404" s="4"/>
      <c r="I1404" s="233"/>
      <c r="J1404" s="234"/>
      <c r="K1404" s="234"/>
      <c r="L1404" s="220">
        <f t="shared" si="580"/>
        <v>0</v>
      </c>
      <c r="O1404" s="4"/>
      <c r="P1404" s="15"/>
      <c r="Q1404" s="14">
        <f t="shared" si="578"/>
        <v>0</v>
      </c>
      <c r="R1404" s="186"/>
      <c r="S1404" s="6"/>
      <c r="T1404" s="234"/>
      <c r="U1404" s="14">
        <f t="shared" si="581"/>
        <v>0</v>
      </c>
      <c r="V1404" s="209"/>
    </row>
    <row r="1405" spans="2:22" x14ac:dyDescent="0.15">
      <c r="B1405" s="4" t="s">
        <v>749</v>
      </c>
      <c r="C1405" s="233">
        <f>3+19+1+1</f>
        <v>24</v>
      </c>
      <c r="D1405" s="234">
        <f>1+7</f>
        <v>8</v>
      </c>
      <c r="E1405" s="234">
        <f>1+1</f>
        <v>2</v>
      </c>
      <c r="F1405" s="220">
        <f t="shared" si="582"/>
        <v>34</v>
      </c>
      <c r="G1405" s="248">
        <v>45154</v>
      </c>
      <c r="H1405" s="4"/>
      <c r="I1405" s="187"/>
      <c r="J1405" s="15"/>
      <c r="K1405" s="15"/>
      <c r="L1405" s="220">
        <f t="shared" si="580"/>
        <v>0</v>
      </c>
      <c r="O1405" s="4"/>
      <c r="P1405" s="15"/>
      <c r="Q1405" s="14">
        <f t="shared" si="578"/>
        <v>0</v>
      </c>
      <c r="R1405" s="186"/>
      <c r="S1405" s="6"/>
      <c r="T1405" s="234"/>
      <c r="U1405" s="14">
        <f t="shared" si="581"/>
        <v>0</v>
      </c>
      <c r="V1405" s="209"/>
    </row>
    <row r="1406" spans="2:22" x14ac:dyDescent="0.15">
      <c r="B1406" s="4" t="s">
        <v>920</v>
      </c>
      <c r="C1406" s="233">
        <v>1</v>
      </c>
      <c r="D1406" s="234">
        <v>1</v>
      </c>
      <c r="E1406" s="234">
        <v>1</v>
      </c>
      <c r="F1406" s="220">
        <f t="shared" si="582"/>
        <v>3</v>
      </c>
      <c r="G1406" s="211">
        <v>45156</v>
      </c>
      <c r="H1406" s="4"/>
      <c r="I1406" s="233"/>
      <c r="J1406" s="234"/>
      <c r="K1406" s="234"/>
      <c r="L1406" s="220">
        <f t="shared" si="580"/>
        <v>0</v>
      </c>
      <c r="O1406" s="4"/>
      <c r="P1406" s="15"/>
      <c r="Q1406" s="14">
        <f t="shared" si="578"/>
        <v>0</v>
      </c>
      <c r="R1406" s="186"/>
      <c r="S1406" s="6"/>
      <c r="T1406" s="234"/>
      <c r="U1406" s="14">
        <f t="shared" si="581"/>
        <v>0</v>
      </c>
      <c r="V1406" s="209"/>
    </row>
    <row r="1407" spans="2:22" x14ac:dyDescent="0.15">
      <c r="B1407" s="4" t="s">
        <v>749</v>
      </c>
      <c r="C1407" s="233">
        <f>3+5</f>
        <v>8</v>
      </c>
      <c r="D1407" s="234">
        <v>1</v>
      </c>
      <c r="E1407" s="234">
        <v>1</v>
      </c>
      <c r="F1407" s="220">
        <f t="shared" si="582"/>
        <v>10</v>
      </c>
      <c r="G1407" s="248">
        <v>45155</v>
      </c>
      <c r="H1407" s="4"/>
      <c r="I1407" s="187"/>
      <c r="J1407" s="15"/>
      <c r="K1407" s="15"/>
      <c r="L1407" s="220">
        <f t="shared" si="580"/>
        <v>0</v>
      </c>
      <c r="O1407" s="4"/>
      <c r="P1407" s="15"/>
      <c r="Q1407" s="14">
        <f t="shared" si="578"/>
        <v>0</v>
      </c>
      <c r="R1407" s="186"/>
      <c r="S1407" s="4"/>
      <c r="T1407" s="234"/>
      <c r="U1407" s="14">
        <f t="shared" si="581"/>
        <v>0</v>
      </c>
      <c r="V1407" s="209"/>
    </row>
    <row r="1408" spans="2:22" x14ac:dyDescent="0.15">
      <c r="B1408" s="4" t="s">
        <v>749</v>
      </c>
      <c r="C1408" s="233">
        <f>3+1</f>
        <v>4</v>
      </c>
      <c r="D1408" s="234">
        <f>1+1</f>
        <v>2</v>
      </c>
      <c r="E1408" s="234"/>
      <c r="F1408" s="220">
        <f t="shared" si="582"/>
        <v>6</v>
      </c>
      <c r="G1408" s="248">
        <v>45156</v>
      </c>
      <c r="H1408" s="4"/>
      <c r="I1408" s="233"/>
      <c r="J1408" s="234"/>
      <c r="K1408" s="234"/>
      <c r="L1408" s="220">
        <f t="shared" si="580"/>
        <v>0</v>
      </c>
      <c r="O1408" s="4"/>
      <c r="P1408" s="15"/>
      <c r="Q1408" s="14">
        <f t="shared" si="578"/>
        <v>0</v>
      </c>
      <c r="R1408" s="186"/>
      <c r="S1408" s="4"/>
      <c r="T1408" s="234"/>
      <c r="U1408" s="14">
        <f t="shared" si="581"/>
        <v>0</v>
      </c>
      <c r="V1408" s="209"/>
    </row>
    <row r="1409" spans="2:22" x14ac:dyDescent="0.15">
      <c r="B1409" s="4" t="s">
        <v>749</v>
      </c>
      <c r="C1409" s="233">
        <v>2</v>
      </c>
      <c r="D1409" s="234">
        <v>1</v>
      </c>
      <c r="E1409" s="234"/>
      <c r="F1409" s="220">
        <f t="shared" si="582"/>
        <v>3</v>
      </c>
      <c r="G1409" s="248">
        <v>45157</v>
      </c>
      <c r="H1409" s="4"/>
      <c r="I1409" s="187"/>
      <c r="J1409" s="15"/>
      <c r="K1409" s="15"/>
      <c r="L1409" s="220">
        <f t="shared" si="580"/>
        <v>0</v>
      </c>
      <c r="O1409" s="4"/>
      <c r="P1409" s="15"/>
      <c r="Q1409" s="14">
        <f t="shared" si="578"/>
        <v>0</v>
      </c>
      <c r="R1409" s="186"/>
      <c r="S1409" s="4"/>
      <c r="T1409" s="234"/>
      <c r="U1409" s="14">
        <f t="shared" si="581"/>
        <v>0</v>
      </c>
      <c r="V1409" s="209"/>
    </row>
    <row r="1410" spans="2:22" x14ac:dyDescent="0.15">
      <c r="B1410" s="4" t="s">
        <v>749</v>
      </c>
      <c r="C1410" s="233">
        <f>13+1</f>
        <v>14</v>
      </c>
      <c r="D1410" s="234"/>
      <c r="E1410" s="234">
        <v>2</v>
      </c>
      <c r="F1410" s="220">
        <f t="shared" si="582"/>
        <v>16</v>
      </c>
      <c r="G1410" s="248">
        <v>45159</v>
      </c>
      <c r="H1410" s="4"/>
      <c r="I1410" s="187"/>
      <c r="J1410" s="15"/>
      <c r="K1410" s="15"/>
      <c r="L1410" s="220">
        <f t="shared" si="580"/>
        <v>0</v>
      </c>
      <c r="O1410" s="4"/>
      <c r="P1410" s="15"/>
      <c r="Q1410" s="14">
        <f t="shared" si="578"/>
        <v>0</v>
      </c>
      <c r="R1410" s="186"/>
      <c r="S1410" s="4"/>
      <c r="T1410" s="234"/>
      <c r="U1410" s="14">
        <f t="shared" si="581"/>
        <v>0</v>
      </c>
      <c r="V1410" s="209"/>
    </row>
    <row r="1411" spans="2:22" x14ac:dyDescent="0.15">
      <c r="B1411" s="4" t="s">
        <v>749</v>
      </c>
      <c r="C1411" s="233">
        <v>5</v>
      </c>
      <c r="D1411" s="234"/>
      <c r="E1411" s="234">
        <v>1</v>
      </c>
      <c r="F1411" s="220">
        <f t="shared" si="582"/>
        <v>6</v>
      </c>
      <c r="G1411" s="248">
        <v>45160</v>
      </c>
      <c r="H1411" s="4"/>
      <c r="I1411" s="187"/>
      <c r="J1411" s="15"/>
      <c r="K1411" s="15"/>
      <c r="L1411" s="220">
        <f t="shared" si="580"/>
        <v>0</v>
      </c>
      <c r="O1411" s="4"/>
      <c r="P1411" s="15"/>
      <c r="Q1411" s="14">
        <f t="shared" si="578"/>
        <v>0</v>
      </c>
      <c r="R1411" s="186"/>
      <c r="S1411" s="4"/>
      <c r="T1411" s="234"/>
      <c r="U1411" s="14">
        <f t="shared" si="581"/>
        <v>0</v>
      </c>
      <c r="V1411" s="209"/>
    </row>
    <row r="1412" spans="2:22" x14ac:dyDescent="0.15">
      <c r="B1412" s="4" t="s">
        <v>749</v>
      </c>
      <c r="C1412" s="233">
        <v>3</v>
      </c>
      <c r="D1412" s="234"/>
      <c r="E1412" s="234"/>
      <c r="F1412" s="220">
        <f t="shared" si="582"/>
        <v>3</v>
      </c>
      <c r="G1412" s="248">
        <v>45161</v>
      </c>
      <c r="H1412" s="6"/>
      <c r="I1412" s="188"/>
      <c r="J1412" s="15"/>
      <c r="K1412" s="15"/>
      <c r="L1412" s="220">
        <f t="shared" si="580"/>
        <v>0</v>
      </c>
      <c r="O1412" s="6"/>
      <c r="P1412" s="15"/>
      <c r="Q1412" s="14">
        <f t="shared" si="578"/>
        <v>0</v>
      </c>
      <c r="R1412" s="186"/>
      <c r="S1412" s="6"/>
      <c r="T1412" s="234"/>
      <c r="U1412" s="14">
        <f t="shared" si="581"/>
        <v>0</v>
      </c>
      <c r="V1412" s="209"/>
    </row>
    <row r="1413" spans="2:22" x14ac:dyDescent="0.15">
      <c r="B1413" s="4" t="s">
        <v>749</v>
      </c>
      <c r="C1413" s="233"/>
      <c r="D1413" s="234"/>
      <c r="E1413" s="234">
        <v>2</v>
      </c>
      <c r="F1413" s="220">
        <f t="shared" si="582"/>
        <v>2</v>
      </c>
      <c r="G1413" s="248">
        <v>45162</v>
      </c>
      <c r="H1413" s="6"/>
      <c r="I1413" s="188"/>
      <c r="J1413" s="15"/>
      <c r="K1413" s="15"/>
      <c r="L1413" s="220">
        <f t="shared" si="580"/>
        <v>0</v>
      </c>
      <c r="O1413" s="6"/>
      <c r="P1413" s="15"/>
      <c r="Q1413" s="14">
        <f t="shared" si="578"/>
        <v>0</v>
      </c>
      <c r="R1413" s="186"/>
      <c r="S1413" s="6"/>
      <c r="T1413" s="234"/>
      <c r="U1413" s="14">
        <f t="shared" si="581"/>
        <v>0</v>
      </c>
      <c r="V1413" s="209"/>
    </row>
    <row r="1414" spans="2:22" x14ac:dyDescent="0.15">
      <c r="B1414" s="4" t="s">
        <v>749</v>
      </c>
      <c r="C1414" s="233">
        <f>1+7</f>
        <v>8</v>
      </c>
      <c r="D1414" s="234">
        <v>4</v>
      </c>
      <c r="E1414" s="234">
        <v>2</v>
      </c>
      <c r="F1414" s="220">
        <f t="shared" si="582"/>
        <v>14</v>
      </c>
      <c r="G1414" s="248">
        <v>45163</v>
      </c>
      <c r="H1414" s="4"/>
      <c r="I1414" s="187"/>
      <c r="J1414" s="15"/>
      <c r="K1414" s="15"/>
      <c r="L1414" s="220">
        <f t="shared" si="580"/>
        <v>0</v>
      </c>
      <c r="O1414" s="4"/>
      <c r="P1414" s="15"/>
      <c r="Q1414" s="14">
        <f t="shared" si="578"/>
        <v>0</v>
      </c>
      <c r="R1414" s="186"/>
      <c r="S1414" s="4"/>
      <c r="T1414" s="234"/>
      <c r="U1414" s="14">
        <f t="shared" si="581"/>
        <v>0</v>
      </c>
      <c r="V1414" s="209"/>
    </row>
    <row r="1415" spans="2:22" x14ac:dyDescent="0.15">
      <c r="B1415" s="4" t="s">
        <v>749</v>
      </c>
      <c r="C1415" s="233">
        <f>21+3</f>
        <v>24</v>
      </c>
      <c r="D1415" s="234">
        <v>1</v>
      </c>
      <c r="E1415" s="234"/>
      <c r="F1415" s="220">
        <f t="shared" si="582"/>
        <v>25</v>
      </c>
      <c r="G1415" s="248">
        <v>45166</v>
      </c>
      <c r="H1415" s="4"/>
      <c r="I1415" s="187"/>
      <c r="J1415" s="15"/>
      <c r="K1415" s="15"/>
      <c r="L1415" s="220">
        <f t="shared" si="580"/>
        <v>0</v>
      </c>
      <c r="O1415" s="4"/>
      <c r="P1415" s="15"/>
      <c r="Q1415" s="14">
        <f t="shared" si="578"/>
        <v>0</v>
      </c>
      <c r="R1415" s="186"/>
      <c r="S1415" s="4"/>
      <c r="T1415" s="234"/>
      <c r="U1415" s="14">
        <f t="shared" si="581"/>
        <v>0</v>
      </c>
      <c r="V1415" s="209"/>
    </row>
    <row r="1416" spans="2:22" x14ac:dyDescent="0.15">
      <c r="B1416" s="4" t="s">
        <v>749</v>
      </c>
      <c r="C1416" s="233">
        <f>1+3</f>
        <v>4</v>
      </c>
      <c r="D1416" s="234"/>
      <c r="E1416" s="234">
        <v>1</v>
      </c>
      <c r="F1416" s="220">
        <f t="shared" si="582"/>
        <v>5</v>
      </c>
      <c r="G1416" s="248">
        <v>45167</v>
      </c>
      <c r="H1416" s="4"/>
      <c r="I1416" s="187"/>
      <c r="J1416" s="15"/>
      <c r="K1416" s="15"/>
      <c r="L1416" s="220">
        <f t="shared" ref="L1416:L1423" si="583">SUM(I1416:K1416)</f>
        <v>0</v>
      </c>
      <c r="O1416" s="4"/>
      <c r="P1416" s="15"/>
      <c r="Q1416" s="14">
        <f t="shared" si="578"/>
        <v>0</v>
      </c>
      <c r="R1416" s="186"/>
      <c r="S1416" s="4"/>
      <c r="T1416" s="234"/>
      <c r="U1416" s="14">
        <f t="shared" si="581"/>
        <v>0</v>
      </c>
      <c r="V1416" s="209"/>
    </row>
    <row r="1417" spans="2:22" x14ac:dyDescent="0.15">
      <c r="B1417" s="4" t="s">
        <v>749</v>
      </c>
      <c r="C1417" s="233">
        <v>6</v>
      </c>
      <c r="D1417" s="234"/>
      <c r="E1417" s="234"/>
      <c r="F1417" s="220">
        <f t="shared" si="582"/>
        <v>6</v>
      </c>
      <c r="G1417" s="248">
        <v>45168</v>
      </c>
      <c r="H1417" s="4"/>
      <c r="I1417" s="187"/>
      <c r="J1417" s="15"/>
      <c r="K1417" s="15"/>
      <c r="L1417" s="220">
        <f t="shared" si="583"/>
        <v>0</v>
      </c>
      <c r="O1417" s="6"/>
      <c r="P1417" s="15"/>
      <c r="Q1417" s="14">
        <f t="shared" si="578"/>
        <v>0</v>
      </c>
      <c r="R1417" s="186"/>
      <c r="S1417" s="4"/>
      <c r="T1417" s="234"/>
      <c r="U1417" s="14">
        <f t="shared" si="581"/>
        <v>0</v>
      </c>
      <c r="V1417" s="209"/>
    </row>
    <row r="1418" spans="2:22" x14ac:dyDescent="0.15">
      <c r="B1418" s="4" t="s">
        <v>749</v>
      </c>
      <c r="C1418" s="233">
        <f>1+3</f>
        <v>4</v>
      </c>
      <c r="D1418" s="234"/>
      <c r="E1418" s="234"/>
      <c r="F1418" s="220">
        <f t="shared" si="582"/>
        <v>4</v>
      </c>
      <c r="G1418" s="248">
        <v>45169</v>
      </c>
      <c r="H1418" s="4"/>
      <c r="I1418" s="187"/>
      <c r="J1418" s="15"/>
      <c r="K1418" s="15"/>
      <c r="L1418" s="220">
        <f t="shared" si="583"/>
        <v>0</v>
      </c>
      <c r="O1418" s="4"/>
      <c r="P1418" s="15"/>
      <c r="Q1418" s="14">
        <f t="shared" si="578"/>
        <v>0</v>
      </c>
      <c r="R1418" s="186"/>
      <c r="S1418" s="4"/>
      <c r="T1418" s="234"/>
      <c r="U1418" s="14">
        <f t="shared" si="581"/>
        <v>0</v>
      </c>
      <c r="V1418" s="209"/>
    </row>
    <row r="1419" spans="2:22" x14ac:dyDescent="0.15">
      <c r="B1419" s="4" t="s">
        <v>749</v>
      </c>
      <c r="C1419" s="233">
        <v>3</v>
      </c>
      <c r="D1419" s="234">
        <v>1</v>
      </c>
      <c r="E1419" s="234">
        <v>1</v>
      </c>
      <c r="F1419" s="220">
        <f t="shared" si="582"/>
        <v>5</v>
      </c>
      <c r="G1419" s="248">
        <v>45170</v>
      </c>
      <c r="H1419" s="4"/>
      <c r="I1419" s="187"/>
      <c r="J1419" s="15"/>
      <c r="K1419" s="15"/>
      <c r="L1419" s="220">
        <f t="shared" si="583"/>
        <v>0</v>
      </c>
      <c r="O1419" s="6"/>
      <c r="P1419" s="15"/>
      <c r="Q1419" s="14">
        <f t="shared" si="578"/>
        <v>0</v>
      </c>
      <c r="R1419" s="186"/>
      <c r="S1419" s="4"/>
      <c r="T1419" s="234"/>
      <c r="U1419" s="14">
        <f t="shared" ref="U1419:U1422" si="584">SUM(T1419:T1419)</f>
        <v>0</v>
      </c>
      <c r="V1419" s="209"/>
    </row>
    <row r="1420" spans="2:22" x14ac:dyDescent="0.15">
      <c r="B1420" s="4" t="s">
        <v>1215</v>
      </c>
      <c r="C1420" s="233"/>
      <c r="D1420" s="234"/>
      <c r="E1420" s="234">
        <v>100</v>
      </c>
      <c r="F1420" s="220">
        <f t="shared" si="582"/>
        <v>100</v>
      </c>
      <c r="G1420" s="248">
        <v>45171</v>
      </c>
      <c r="H1420" s="6" t="s">
        <v>1212</v>
      </c>
      <c r="I1420" s="233"/>
      <c r="J1420" s="15"/>
      <c r="K1420" s="15"/>
      <c r="L1420" s="220">
        <f t="shared" ref="L1420" si="585">SUM(I1420:K1420)</f>
        <v>0</v>
      </c>
      <c r="M1420" s="212" t="s">
        <v>1126</v>
      </c>
      <c r="O1420" s="4"/>
      <c r="P1420" s="15"/>
      <c r="Q1420" s="14">
        <f t="shared" si="578"/>
        <v>0</v>
      </c>
      <c r="R1420" s="186"/>
      <c r="S1420" s="4"/>
      <c r="T1420" s="234"/>
      <c r="U1420" s="14">
        <f t="shared" si="584"/>
        <v>0</v>
      </c>
      <c r="V1420" s="209"/>
    </row>
    <row r="1421" spans="2:22" x14ac:dyDescent="0.15">
      <c r="B1421" s="4" t="s">
        <v>749</v>
      </c>
      <c r="C1421" s="233">
        <v>2</v>
      </c>
      <c r="D1421" s="234">
        <v>2</v>
      </c>
      <c r="E1421" s="234"/>
      <c r="F1421" s="220">
        <f t="shared" si="582"/>
        <v>4</v>
      </c>
      <c r="G1421" s="248">
        <v>45171</v>
      </c>
      <c r="H1421" s="4"/>
      <c r="I1421" s="187"/>
      <c r="J1421" s="15"/>
      <c r="K1421" s="15"/>
      <c r="L1421" s="220">
        <f t="shared" si="583"/>
        <v>0</v>
      </c>
      <c r="O1421" s="4"/>
      <c r="P1421" s="15"/>
      <c r="Q1421" s="14">
        <f t="shared" si="578"/>
        <v>0</v>
      </c>
      <c r="R1421" s="186"/>
      <c r="S1421" s="4"/>
      <c r="T1421" s="234"/>
      <c r="U1421" s="14">
        <f t="shared" si="584"/>
        <v>0</v>
      </c>
      <c r="V1421" s="209"/>
    </row>
    <row r="1422" spans="2:22" x14ac:dyDescent="0.15">
      <c r="B1422" s="4" t="s">
        <v>749</v>
      </c>
      <c r="C1422" s="233">
        <v>5</v>
      </c>
      <c r="D1422" s="234">
        <v>1</v>
      </c>
      <c r="E1422" s="234">
        <v>1</v>
      </c>
      <c r="F1422" s="220">
        <f t="shared" si="582"/>
        <v>7</v>
      </c>
      <c r="G1422" s="248">
        <v>45173</v>
      </c>
      <c r="H1422" s="254" t="s">
        <v>1182</v>
      </c>
      <c r="I1422" s="258"/>
      <c r="J1422" s="249"/>
      <c r="K1422" s="249"/>
      <c r="L1422" s="250">
        <f t="shared" si="583"/>
        <v>0</v>
      </c>
      <c r="M1422" s="212"/>
      <c r="O1422" s="4"/>
      <c r="P1422" s="15"/>
      <c r="Q1422" s="14">
        <f t="shared" si="578"/>
        <v>0</v>
      </c>
      <c r="R1422" s="186"/>
      <c r="S1422" s="4"/>
      <c r="T1422" s="234"/>
      <c r="U1422" s="14">
        <f t="shared" si="584"/>
        <v>0</v>
      </c>
    </row>
    <row r="1423" spans="2:22" x14ac:dyDescent="0.15">
      <c r="B1423" s="4" t="s">
        <v>749</v>
      </c>
      <c r="C1423" s="233">
        <f>4+2</f>
        <v>6</v>
      </c>
      <c r="D1423" s="234">
        <f>1+1</f>
        <v>2</v>
      </c>
      <c r="E1423" s="234"/>
      <c r="F1423" s="220">
        <f t="shared" si="582"/>
        <v>8</v>
      </c>
      <c r="G1423" s="248">
        <v>45174</v>
      </c>
      <c r="H1423" s="4" t="s">
        <v>1183</v>
      </c>
      <c r="I1423" s="233"/>
      <c r="J1423" s="206"/>
      <c r="K1423" s="206"/>
      <c r="L1423" s="220">
        <f t="shared" si="583"/>
        <v>0</v>
      </c>
      <c r="M1423" s="212" t="s">
        <v>1184</v>
      </c>
      <c r="O1423" s="6"/>
      <c r="P1423" s="15"/>
      <c r="Q1423" s="14">
        <f t="shared" si="578"/>
        <v>0</v>
      </c>
      <c r="R1423" s="186"/>
      <c r="S1423" s="254" t="s">
        <v>1182</v>
      </c>
      <c r="T1423" s="275"/>
      <c r="U1423" s="255">
        <f t="shared" si="581"/>
        <v>0</v>
      </c>
      <c r="V1423" s="186"/>
    </row>
    <row r="1424" spans="2:22" ht="14.25" thickBot="1" x14ac:dyDescent="0.2">
      <c r="B1424" s="4" t="s">
        <v>749</v>
      </c>
      <c r="C1424" s="235">
        <v>5</v>
      </c>
      <c r="D1424" s="234">
        <v>3</v>
      </c>
      <c r="E1424" s="234">
        <v>1</v>
      </c>
      <c r="F1424" s="220">
        <f t="shared" si="582"/>
        <v>9</v>
      </c>
      <c r="G1424" s="248">
        <v>45175</v>
      </c>
      <c r="H1424" s="6" t="s">
        <v>1200</v>
      </c>
      <c r="I1424" s="235"/>
      <c r="J1424" s="15"/>
      <c r="K1424" s="15"/>
      <c r="L1424" s="220">
        <f t="shared" ref="L1424" si="586">SUM(I1424:K1424)</f>
        <v>0</v>
      </c>
      <c r="M1424" s="211">
        <v>45174</v>
      </c>
      <c r="O1424" s="6"/>
      <c r="P1424" s="15"/>
      <c r="Q1424" s="14">
        <f t="shared" si="578"/>
        <v>0</v>
      </c>
      <c r="R1424" s="186"/>
      <c r="S1424" s="4" t="s">
        <v>1183</v>
      </c>
      <c r="T1424" s="234"/>
      <c r="U1424" s="14">
        <f t="shared" si="581"/>
        <v>0</v>
      </c>
      <c r="V1424" s="212" t="s">
        <v>1184</v>
      </c>
    </row>
    <row r="1425" spans="2:22" ht="14.25" thickBot="1" x14ac:dyDescent="0.2">
      <c r="B1425" s="3" t="s">
        <v>5</v>
      </c>
      <c r="C1425" s="16">
        <f>SUM(C1401:C1424)</f>
        <v>153</v>
      </c>
      <c r="D1425" s="16">
        <f>SUM(D1401:D1424)</f>
        <v>34</v>
      </c>
      <c r="E1425" s="16">
        <f>SUM(E1401:E1424)</f>
        <v>119</v>
      </c>
      <c r="F1425" s="223">
        <f>SUM(F1401:F1424)</f>
        <v>306</v>
      </c>
      <c r="H1425" s="3" t="s">
        <v>5</v>
      </c>
      <c r="I1425" s="16">
        <f>SUM(I1401:I1424)</f>
        <v>145</v>
      </c>
      <c r="J1425" s="16">
        <f>SUM(J1401:J1424)</f>
        <v>85</v>
      </c>
      <c r="K1425" s="16">
        <f>SUM(K1401:K1424)</f>
        <v>36</v>
      </c>
      <c r="L1425" s="223">
        <f>SUM(L1401:L1424)</f>
        <v>266</v>
      </c>
      <c r="O1425" s="3" t="s">
        <v>5</v>
      </c>
      <c r="P1425" s="16">
        <f>SUM(P1401:P1424)</f>
        <v>0</v>
      </c>
      <c r="Q1425" s="17">
        <f>SUM(Q1401:Q1424)</f>
        <v>0</v>
      </c>
      <c r="S1425" s="3" t="s">
        <v>5</v>
      </c>
      <c r="T1425" s="16">
        <f>SUM(T1401:T1424)</f>
        <v>130</v>
      </c>
      <c r="U1425" s="17">
        <f>SUM(U1401:U1424)</f>
        <v>130</v>
      </c>
    </row>
    <row r="1426" spans="2:22" ht="14.25" thickBot="1" x14ac:dyDescent="0.2">
      <c r="B1426" s="18" t="s">
        <v>6</v>
      </c>
      <c r="C1426" s="19">
        <f>C1400-C1425</f>
        <v>304</v>
      </c>
      <c r="D1426" s="19">
        <f>D1400-D1425</f>
        <v>128</v>
      </c>
      <c r="E1426" s="19">
        <f t="shared" ref="E1426" si="587">E1400-E1425</f>
        <v>67</v>
      </c>
      <c r="F1426" s="221">
        <f>F1400-F1425</f>
        <v>499</v>
      </c>
      <c r="H1426" s="18" t="s">
        <v>6</v>
      </c>
      <c r="I1426" s="19">
        <f>I1400-I1425</f>
        <v>4639</v>
      </c>
      <c r="J1426" s="19">
        <f>J1400-J1425</f>
        <v>1674</v>
      </c>
      <c r="K1426" s="19">
        <f t="shared" ref="K1426" si="588">K1400-K1425</f>
        <v>1247</v>
      </c>
      <c r="L1426" s="221">
        <f>L1400-L1425</f>
        <v>7560</v>
      </c>
      <c r="O1426" s="18" t="s">
        <v>6</v>
      </c>
      <c r="P1426" s="19">
        <f>P1400-P1425</f>
        <v>0</v>
      </c>
      <c r="Q1426" s="13">
        <f>Q1400-Q1425</f>
        <v>0</v>
      </c>
      <c r="S1426" s="18" t="s">
        <v>6</v>
      </c>
      <c r="T1426" s="19">
        <f>T1400-T1425</f>
        <v>2631</v>
      </c>
      <c r="U1426" s="13">
        <f>U1400-U1425</f>
        <v>2631</v>
      </c>
    </row>
    <row r="1427" spans="2:22" x14ac:dyDescent="0.15">
      <c r="M1427"/>
    </row>
    <row r="1428" spans="2:22" x14ac:dyDescent="0.15">
      <c r="M1428"/>
    </row>
    <row r="1429" spans="2:22" ht="18" thickBot="1" x14ac:dyDescent="0.25">
      <c r="B1429" s="27" t="s">
        <v>739</v>
      </c>
      <c r="C1429" s="28"/>
      <c r="D1429" s="28"/>
      <c r="E1429" s="28"/>
      <c r="F1429" s="218"/>
      <c r="H1429" s="27" t="s">
        <v>740</v>
      </c>
      <c r="I1429" s="28"/>
      <c r="J1429" s="28"/>
      <c r="K1429" s="28"/>
      <c r="L1429" s="218"/>
      <c r="M1429"/>
      <c r="O1429" s="181" t="s">
        <v>737</v>
      </c>
      <c r="P1429" s="182"/>
      <c r="Q1429" s="182"/>
      <c r="R1429" s="183"/>
      <c r="S1429" s="181" t="s">
        <v>733</v>
      </c>
      <c r="T1429" s="182"/>
      <c r="U1429" s="182"/>
    </row>
    <row r="1430" spans="2:22" ht="14.25" thickBot="1" x14ac:dyDescent="0.2">
      <c r="B1430" s="2"/>
      <c r="C1430" s="194" t="s">
        <v>734</v>
      </c>
      <c r="D1430" s="195" t="s">
        <v>706</v>
      </c>
      <c r="E1430" s="2" t="s">
        <v>735</v>
      </c>
      <c r="F1430" s="219" t="s">
        <v>1</v>
      </c>
      <c r="H1430" s="2"/>
      <c r="I1430" s="197" t="s">
        <v>734</v>
      </c>
      <c r="J1430" s="195" t="s">
        <v>706</v>
      </c>
      <c r="K1430" s="201" t="s">
        <v>735</v>
      </c>
      <c r="L1430" s="219" t="s">
        <v>1</v>
      </c>
      <c r="M1430"/>
      <c r="O1430" s="2"/>
      <c r="P1430" s="3" t="s">
        <v>722</v>
      </c>
      <c r="Q1430" s="2" t="s">
        <v>1</v>
      </c>
      <c r="S1430" s="2"/>
      <c r="T1430" s="3" t="s">
        <v>722</v>
      </c>
      <c r="U1430" s="2" t="s">
        <v>1</v>
      </c>
    </row>
    <row r="1431" spans="2:22" x14ac:dyDescent="0.15">
      <c r="B1431" s="164" t="s">
        <v>26</v>
      </c>
      <c r="C1431" s="200">
        <f>C1426</f>
        <v>304</v>
      </c>
      <c r="D1431" s="164">
        <f t="shared" ref="D1431:F1431" si="589">D1426</f>
        <v>128</v>
      </c>
      <c r="E1431" s="164">
        <f t="shared" si="589"/>
        <v>67</v>
      </c>
      <c r="F1431" s="222">
        <f t="shared" si="589"/>
        <v>499</v>
      </c>
      <c r="H1431" s="164" t="s">
        <v>26</v>
      </c>
      <c r="I1431" s="200">
        <f>I1426</f>
        <v>4639</v>
      </c>
      <c r="J1431" s="164">
        <f t="shared" ref="J1431:L1431" si="590">J1426</f>
        <v>1674</v>
      </c>
      <c r="K1431" s="200">
        <f t="shared" si="590"/>
        <v>1247</v>
      </c>
      <c r="L1431" s="222">
        <f t="shared" si="590"/>
        <v>7560</v>
      </c>
      <c r="M1431" s="269"/>
      <c r="O1431" s="171" t="s">
        <v>26</v>
      </c>
      <c r="P1431" s="200">
        <f>P1426</f>
        <v>0</v>
      </c>
      <c r="Q1431" s="180">
        <f>Q1426</f>
        <v>0</v>
      </c>
      <c r="R1431" s="185"/>
      <c r="S1431" s="43" t="s">
        <v>26</v>
      </c>
      <c r="T1431" s="38">
        <f>T1426</f>
        <v>2631</v>
      </c>
      <c r="U1431" s="39">
        <f>U1426</f>
        <v>2631</v>
      </c>
    </row>
    <row r="1432" spans="2:22" x14ac:dyDescent="0.15">
      <c r="B1432" s="6" t="s">
        <v>1222</v>
      </c>
      <c r="C1432" s="6">
        <v>1</v>
      </c>
      <c r="D1432" s="225">
        <v>1</v>
      </c>
      <c r="E1432" s="226"/>
      <c r="F1432" s="220">
        <f t="shared" ref="F1432:F1436" si="591">SUM(C1432:E1432)</f>
        <v>2</v>
      </c>
      <c r="G1432" s="248">
        <v>45198</v>
      </c>
      <c r="H1432" s="6" t="s">
        <v>3</v>
      </c>
      <c r="I1432" s="188"/>
      <c r="J1432" s="225"/>
      <c r="K1432" s="243"/>
      <c r="L1432" s="220">
        <f t="shared" ref="L1432:L1435" si="592">SUM(I1432:K1432)</f>
        <v>0</v>
      </c>
      <c r="O1432" s="6" t="s">
        <v>3</v>
      </c>
      <c r="P1432" s="7"/>
      <c r="Q1432" s="5">
        <f t="shared" ref="Q1432:Q1441" si="593">SUM(P1432:P1432)</f>
        <v>0</v>
      </c>
      <c r="R1432" s="186"/>
      <c r="S1432" s="6" t="s">
        <v>3</v>
      </c>
      <c r="T1432" s="7"/>
      <c r="U1432" s="5">
        <f t="shared" ref="U1432:U1441" si="594">SUM(T1432:T1432)</f>
        <v>0</v>
      </c>
    </row>
    <row r="1433" spans="2:22" x14ac:dyDescent="0.15">
      <c r="B1433" s="6" t="s">
        <v>3</v>
      </c>
      <c r="C1433" s="6"/>
      <c r="D1433" s="225"/>
      <c r="E1433" s="226">
        <v>45</v>
      </c>
      <c r="F1433" s="220">
        <f t="shared" si="591"/>
        <v>45</v>
      </c>
      <c r="G1433" s="248">
        <v>45199</v>
      </c>
      <c r="H1433" s="6" t="s">
        <v>968</v>
      </c>
      <c r="I1433" s="188">
        <v>21</v>
      </c>
      <c r="J1433" s="225"/>
      <c r="K1433" s="243"/>
      <c r="L1433" s="220">
        <f t="shared" si="592"/>
        <v>21</v>
      </c>
      <c r="M1433" s="211">
        <v>45181</v>
      </c>
      <c r="O1433" s="6" t="s">
        <v>3</v>
      </c>
      <c r="P1433" s="7"/>
      <c r="Q1433" s="5">
        <f t="shared" si="593"/>
        <v>0</v>
      </c>
      <c r="R1433" s="186"/>
      <c r="S1433" s="6" t="s">
        <v>968</v>
      </c>
      <c r="T1433" s="54">
        <v>22</v>
      </c>
      <c r="U1433" s="5">
        <f t="shared" si="594"/>
        <v>22</v>
      </c>
      <c r="V1433" s="211">
        <v>45181</v>
      </c>
    </row>
    <row r="1434" spans="2:22" x14ac:dyDescent="0.15">
      <c r="B1434" s="6" t="s">
        <v>3</v>
      </c>
      <c r="C1434" s="6"/>
      <c r="D1434" s="225"/>
      <c r="E1434" s="226"/>
      <c r="F1434" s="220">
        <f t="shared" si="591"/>
        <v>0</v>
      </c>
      <c r="H1434" s="6" t="s">
        <v>3</v>
      </c>
      <c r="I1434" s="188"/>
      <c r="J1434" s="225"/>
      <c r="K1434" s="243"/>
      <c r="L1434" s="220">
        <f t="shared" ref="L1434" si="595">SUM(I1434:K1434)</f>
        <v>0</v>
      </c>
      <c r="O1434" s="6" t="s">
        <v>3</v>
      </c>
      <c r="P1434" s="7"/>
      <c r="Q1434" s="5">
        <f t="shared" si="593"/>
        <v>0</v>
      </c>
      <c r="R1434" s="186"/>
      <c r="S1434" s="6" t="s">
        <v>3</v>
      </c>
      <c r="T1434" s="54"/>
      <c r="U1434" s="5">
        <f t="shared" ref="U1434" si="596">SUM(T1434:T1434)</f>
        <v>0</v>
      </c>
      <c r="V1434" s="209"/>
    </row>
    <row r="1435" spans="2:22" x14ac:dyDescent="0.15">
      <c r="B1435" s="6" t="s">
        <v>3</v>
      </c>
      <c r="C1435" s="6"/>
      <c r="D1435" s="225"/>
      <c r="E1435" s="226"/>
      <c r="F1435" s="220">
        <f t="shared" si="591"/>
        <v>0</v>
      </c>
      <c r="H1435" s="6" t="s">
        <v>3</v>
      </c>
      <c r="I1435" s="188"/>
      <c r="J1435" s="225"/>
      <c r="K1435" s="243"/>
      <c r="L1435" s="220">
        <f t="shared" si="592"/>
        <v>0</v>
      </c>
      <c r="O1435" s="6" t="s">
        <v>3</v>
      </c>
      <c r="P1435" s="7"/>
      <c r="Q1435" s="5">
        <f t="shared" si="593"/>
        <v>0</v>
      </c>
      <c r="R1435" s="186"/>
      <c r="S1435" s="6" t="s">
        <v>3</v>
      </c>
      <c r="T1435" s="54"/>
      <c r="U1435" s="5">
        <f t="shared" si="594"/>
        <v>0</v>
      </c>
      <c r="V1435" s="209"/>
    </row>
    <row r="1436" spans="2:22" x14ac:dyDescent="0.15">
      <c r="B1436" s="6" t="s">
        <v>3</v>
      </c>
      <c r="C1436" s="6"/>
      <c r="D1436" s="225"/>
      <c r="E1436" s="226"/>
      <c r="F1436" s="220">
        <f t="shared" si="591"/>
        <v>0</v>
      </c>
      <c r="H1436" s="6" t="s">
        <v>3</v>
      </c>
      <c r="I1436" s="188"/>
      <c r="J1436" s="225"/>
      <c r="K1436" s="243"/>
      <c r="L1436" s="220">
        <f t="shared" ref="L1436:L1441" si="597">SUM(I1436:K1436)</f>
        <v>0</v>
      </c>
      <c r="O1436" s="6" t="s">
        <v>3</v>
      </c>
      <c r="P1436" s="7"/>
      <c r="Q1436" s="5">
        <f t="shared" si="593"/>
        <v>0</v>
      </c>
      <c r="R1436" s="186"/>
      <c r="S1436" s="6" t="s">
        <v>3</v>
      </c>
      <c r="T1436" s="54"/>
      <c r="U1436" s="5">
        <f t="shared" si="594"/>
        <v>0</v>
      </c>
      <c r="V1436" s="209"/>
    </row>
    <row r="1437" spans="2:22" x14ac:dyDescent="0.15">
      <c r="B1437" s="6" t="s">
        <v>3</v>
      </c>
      <c r="C1437" s="6"/>
      <c r="D1437" s="225"/>
      <c r="E1437" s="226"/>
      <c r="F1437" s="220">
        <f t="shared" ref="F1437:F1441" si="598">SUM(C1437:E1437)</f>
        <v>0</v>
      </c>
      <c r="H1437" s="6" t="s">
        <v>3</v>
      </c>
      <c r="I1437" s="188"/>
      <c r="J1437" s="6"/>
      <c r="K1437" s="202"/>
      <c r="L1437" s="220">
        <f t="shared" si="597"/>
        <v>0</v>
      </c>
      <c r="O1437" s="6" t="s">
        <v>3</v>
      </c>
      <c r="P1437" s="7"/>
      <c r="Q1437" s="5">
        <f t="shared" si="593"/>
        <v>0</v>
      </c>
      <c r="R1437" s="186"/>
      <c r="S1437" s="6" t="s">
        <v>3</v>
      </c>
      <c r="T1437" s="7"/>
      <c r="U1437" s="5">
        <f t="shared" si="594"/>
        <v>0</v>
      </c>
      <c r="V1437" s="209"/>
    </row>
    <row r="1438" spans="2:22" x14ac:dyDescent="0.15">
      <c r="B1438" s="6" t="s">
        <v>3</v>
      </c>
      <c r="C1438" s="6"/>
      <c r="D1438" s="225"/>
      <c r="E1438" s="226"/>
      <c r="F1438" s="220">
        <f t="shared" si="598"/>
        <v>0</v>
      </c>
      <c r="H1438" s="6" t="s">
        <v>3</v>
      </c>
      <c r="I1438" s="188"/>
      <c r="J1438" s="225"/>
      <c r="K1438" s="243"/>
      <c r="L1438" s="220">
        <f t="shared" si="597"/>
        <v>0</v>
      </c>
      <c r="O1438" s="6" t="s">
        <v>3</v>
      </c>
      <c r="P1438" s="8"/>
      <c r="Q1438" s="5">
        <f t="shared" si="593"/>
        <v>0</v>
      </c>
      <c r="R1438" s="186"/>
      <c r="S1438" s="6" t="s">
        <v>3</v>
      </c>
      <c r="T1438" s="54"/>
      <c r="U1438" s="5">
        <f t="shared" si="594"/>
        <v>0</v>
      </c>
      <c r="V1438" s="209"/>
    </row>
    <row r="1439" spans="2:22" x14ac:dyDescent="0.15">
      <c r="B1439" s="6" t="s">
        <v>3</v>
      </c>
      <c r="C1439" s="6"/>
      <c r="D1439" s="225"/>
      <c r="E1439" s="226"/>
      <c r="F1439" s="220">
        <f t="shared" si="598"/>
        <v>0</v>
      </c>
      <c r="H1439" s="6" t="s">
        <v>3</v>
      </c>
      <c r="I1439" s="188"/>
      <c r="J1439" s="225"/>
      <c r="K1439" s="243"/>
      <c r="L1439" s="220">
        <f t="shared" si="597"/>
        <v>0</v>
      </c>
      <c r="O1439" s="6" t="s">
        <v>3</v>
      </c>
      <c r="P1439" s="8"/>
      <c r="Q1439" s="5">
        <f t="shared" si="593"/>
        <v>0</v>
      </c>
      <c r="R1439" s="186"/>
      <c r="S1439" s="6" t="s">
        <v>3</v>
      </c>
      <c r="T1439" s="54"/>
      <c r="U1439" s="5">
        <f t="shared" si="594"/>
        <v>0</v>
      </c>
      <c r="V1439" s="209"/>
    </row>
    <row r="1440" spans="2:22" x14ac:dyDescent="0.15">
      <c r="B1440" s="6" t="s">
        <v>3</v>
      </c>
      <c r="C1440" s="6"/>
      <c r="D1440" s="225"/>
      <c r="E1440" s="226"/>
      <c r="F1440" s="220">
        <f t="shared" si="598"/>
        <v>0</v>
      </c>
      <c r="H1440" s="6" t="s">
        <v>3</v>
      </c>
      <c r="I1440" s="188"/>
      <c r="J1440" s="225"/>
      <c r="K1440" s="243"/>
      <c r="L1440" s="220">
        <f t="shared" si="597"/>
        <v>0</v>
      </c>
      <c r="O1440" s="6" t="s">
        <v>3</v>
      </c>
      <c r="P1440" s="8"/>
      <c r="Q1440" s="5">
        <f t="shared" si="593"/>
        <v>0</v>
      </c>
      <c r="R1440" s="186"/>
      <c r="S1440" s="6" t="s">
        <v>3</v>
      </c>
      <c r="T1440" s="54"/>
      <c r="U1440" s="5">
        <f t="shared" si="594"/>
        <v>0</v>
      </c>
      <c r="V1440" s="209"/>
    </row>
    <row r="1441" spans="2:22" ht="14.25" thickBot="1" x14ac:dyDescent="0.2">
      <c r="B1441" s="6" t="s">
        <v>3</v>
      </c>
      <c r="C1441" s="9"/>
      <c r="D1441" s="237"/>
      <c r="E1441" s="238"/>
      <c r="F1441" s="220">
        <f t="shared" si="598"/>
        <v>0</v>
      </c>
      <c r="H1441" s="9" t="s">
        <v>785</v>
      </c>
      <c r="I1441" s="198">
        <v>-30</v>
      </c>
      <c r="J1441" s="244"/>
      <c r="K1441" s="245"/>
      <c r="L1441" s="220">
        <f t="shared" si="597"/>
        <v>-30</v>
      </c>
      <c r="O1441" s="9" t="s">
        <v>3</v>
      </c>
      <c r="P1441" s="10"/>
      <c r="Q1441" s="5">
        <f t="shared" si="593"/>
        <v>0</v>
      </c>
      <c r="R1441" s="186"/>
      <c r="S1441" s="9" t="s">
        <v>3</v>
      </c>
      <c r="T1441" s="101"/>
      <c r="U1441" s="5">
        <f t="shared" si="594"/>
        <v>0</v>
      </c>
      <c r="V1441" s="209"/>
    </row>
    <row r="1442" spans="2:22" ht="14.25" thickBot="1" x14ac:dyDescent="0.2">
      <c r="B1442" s="11" t="s">
        <v>4</v>
      </c>
      <c r="C1442" s="193">
        <f>SUM(C1431:C1441)</f>
        <v>305</v>
      </c>
      <c r="D1442" s="193">
        <f>SUM(D1431:D1441)</f>
        <v>129</v>
      </c>
      <c r="E1442" s="193">
        <f>SUM(E1431:E1441)</f>
        <v>112</v>
      </c>
      <c r="F1442" s="221">
        <f>SUM(F1431:F1441)</f>
        <v>546</v>
      </c>
      <c r="H1442" s="11" t="s">
        <v>4</v>
      </c>
      <c r="I1442" s="193">
        <f>SUM(I1431:I1441)</f>
        <v>4630</v>
      </c>
      <c r="J1442" s="193">
        <f>SUM(J1431:J1441)</f>
        <v>1674</v>
      </c>
      <c r="K1442" s="193">
        <f t="shared" ref="K1442" si="599">SUM(K1431:K1441)</f>
        <v>1247</v>
      </c>
      <c r="L1442" s="221">
        <f>SUM(L1431:L1441)</f>
        <v>7551</v>
      </c>
      <c r="O1442" s="11" t="s">
        <v>4</v>
      </c>
      <c r="P1442" s="12">
        <f>SUM(P1431:P1441)</f>
        <v>0</v>
      </c>
      <c r="Q1442" s="13">
        <f>SUM(Q1431:Q1441)</f>
        <v>0</v>
      </c>
      <c r="S1442" s="11" t="s">
        <v>4</v>
      </c>
      <c r="T1442" s="12">
        <f>SUM(T1431:T1441)</f>
        <v>2653</v>
      </c>
      <c r="U1442" s="13">
        <f>SUM(U1431:U1441)</f>
        <v>2653</v>
      </c>
      <c r="V1442" s="209"/>
    </row>
    <row r="1443" spans="2:22" x14ac:dyDescent="0.15">
      <c r="B1443" s="4" t="s">
        <v>749</v>
      </c>
      <c r="C1443" s="233">
        <v>1</v>
      </c>
      <c r="D1443" s="234">
        <v>1</v>
      </c>
      <c r="E1443" s="234">
        <v>1</v>
      </c>
      <c r="F1443" s="220">
        <f t="shared" ref="F1443:F1462" si="600">SUM(C1443:E1443)</f>
        <v>3</v>
      </c>
      <c r="G1443" s="248">
        <v>45176</v>
      </c>
      <c r="H1443" s="4" t="s">
        <v>1223</v>
      </c>
      <c r="I1443" s="233"/>
      <c r="J1443" s="234"/>
      <c r="K1443" s="234">
        <v>45</v>
      </c>
      <c r="L1443" s="220">
        <f t="shared" ref="L1443:L1449" si="601">SUM(I1443:K1443)</f>
        <v>45</v>
      </c>
      <c r="M1443" s="248">
        <v>45199</v>
      </c>
      <c r="O1443" s="4"/>
      <c r="P1443" s="44"/>
      <c r="Q1443" s="14">
        <f t="shared" ref="Q1443:Q1466" si="602">SUM(P1443:P1443)</f>
        <v>0</v>
      </c>
      <c r="R1443" s="185"/>
      <c r="S1443" s="6"/>
      <c r="T1443" s="234"/>
      <c r="U1443" s="14">
        <f t="shared" ref="U1443:U1447" si="603">SUM(T1443:T1443)</f>
        <v>0</v>
      </c>
      <c r="V1443" s="209"/>
    </row>
    <row r="1444" spans="2:22" x14ac:dyDescent="0.15">
      <c r="B1444" s="4" t="s">
        <v>1217</v>
      </c>
      <c r="C1444" s="233"/>
      <c r="D1444" s="234">
        <v>10</v>
      </c>
      <c r="E1444" s="234">
        <v>20</v>
      </c>
      <c r="F1444" s="220">
        <f t="shared" si="600"/>
        <v>30</v>
      </c>
      <c r="G1444" s="211">
        <v>45177</v>
      </c>
      <c r="H1444" s="4"/>
      <c r="I1444" s="233"/>
      <c r="J1444" s="234"/>
      <c r="K1444" s="234"/>
      <c r="L1444" s="220">
        <f t="shared" si="601"/>
        <v>0</v>
      </c>
      <c r="O1444" s="4"/>
      <c r="P1444" s="15"/>
      <c r="Q1444" s="14">
        <f t="shared" si="602"/>
        <v>0</v>
      </c>
      <c r="R1444" s="186"/>
      <c r="S1444" s="6"/>
      <c r="T1444" s="234"/>
      <c r="U1444" s="14">
        <f t="shared" si="603"/>
        <v>0</v>
      </c>
      <c r="V1444" s="209"/>
    </row>
    <row r="1445" spans="2:22" x14ac:dyDescent="0.15">
      <c r="B1445" s="4" t="s">
        <v>749</v>
      </c>
      <c r="C1445" s="233">
        <f>1+3</f>
        <v>4</v>
      </c>
      <c r="D1445" s="234"/>
      <c r="E1445" s="234">
        <v>2</v>
      </c>
      <c r="F1445" s="220">
        <f t="shared" si="600"/>
        <v>6</v>
      </c>
      <c r="G1445" s="248">
        <v>45177</v>
      </c>
      <c r="H1445" s="4"/>
      <c r="I1445" s="233"/>
      <c r="J1445" s="234"/>
      <c r="K1445" s="234"/>
      <c r="L1445" s="220">
        <f t="shared" si="601"/>
        <v>0</v>
      </c>
      <c r="O1445" s="4"/>
      <c r="P1445" s="15"/>
      <c r="Q1445" s="14">
        <f t="shared" si="602"/>
        <v>0</v>
      </c>
      <c r="R1445" s="186"/>
      <c r="S1445" s="6"/>
      <c r="T1445" s="234"/>
      <c r="U1445" s="14">
        <f t="shared" si="603"/>
        <v>0</v>
      </c>
      <c r="V1445" s="209"/>
    </row>
    <row r="1446" spans="2:22" x14ac:dyDescent="0.15">
      <c r="B1446" s="4" t="s">
        <v>749</v>
      </c>
      <c r="C1446" s="233">
        <f>3+1</f>
        <v>4</v>
      </c>
      <c r="D1446" s="234"/>
      <c r="E1446" s="234"/>
      <c r="F1446" s="220">
        <f t="shared" si="600"/>
        <v>4</v>
      </c>
      <c r="G1446" s="248">
        <v>45180</v>
      </c>
      <c r="H1446" s="4"/>
      <c r="I1446" s="233"/>
      <c r="J1446" s="234"/>
      <c r="K1446" s="234"/>
      <c r="L1446" s="220">
        <f t="shared" si="601"/>
        <v>0</v>
      </c>
      <c r="O1446" s="4"/>
      <c r="P1446" s="15"/>
      <c r="Q1446" s="14">
        <f t="shared" si="602"/>
        <v>0</v>
      </c>
      <c r="R1446" s="186"/>
      <c r="S1446" s="6"/>
      <c r="T1446" s="234"/>
      <c r="U1446" s="14">
        <f t="shared" si="603"/>
        <v>0</v>
      </c>
      <c r="V1446" s="209"/>
    </row>
    <row r="1447" spans="2:22" x14ac:dyDescent="0.15">
      <c r="B1447" s="4" t="s">
        <v>749</v>
      </c>
      <c r="C1447" s="233">
        <f>2+1</f>
        <v>3</v>
      </c>
      <c r="D1447" s="234">
        <v>1</v>
      </c>
      <c r="E1447" s="234"/>
      <c r="F1447" s="220">
        <f t="shared" si="600"/>
        <v>4</v>
      </c>
      <c r="G1447" s="248">
        <v>45181</v>
      </c>
      <c r="H1447" s="4"/>
      <c r="I1447" s="233"/>
      <c r="J1447" s="234"/>
      <c r="K1447" s="234"/>
      <c r="L1447" s="220">
        <f t="shared" si="601"/>
        <v>0</v>
      </c>
      <c r="O1447" s="4"/>
      <c r="P1447" s="15"/>
      <c r="Q1447" s="14">
        <f t="shared" si="602"/>
        <v>0</v>
      </c>
      <c r="R1447" s="186"/>
      <c r="S1447" s="6"/>
      <c r="T1447" s="234"/>
      <c r="U1447" s="14">
        <f t="shared" si="603"/>
        <v>0</v>
      </c>
      <c r="V1447" s="209"/>
    </row>
    <row r="1448" spans="2:22" x14ac:dyDescent="0.15">
      <c r="B1448" s="4" t="s">
        <v>749</v>
      </c>
      <c r="C1448" s="233">
        <v>6</v>
      </c>
      <c r="D1448" s="234"/>
      <c r="E1448" s="234"/>
      <c r="F1448" s="220">
        <f t="shared" si="600"/>
        <v>6</v>
      </c>
      <c r="G1448" s="248">
        <v>45182</v>
      </c>
      <c r="H1448" s="4"/>
      <c r="I1448" s="233"/>
      <c r="J1448" s="234"/>
      <c r="K1448" s="234"/>
      <c r="L1448" s="220">
        <f t="shared" si="601"/>
        <v>0</v>
      </c>
      <c r="O1448" s="4"/>
      <c r="P1448" s="15"/>
      <c r="Q1448" s="14">
        <f t="shared" si="602"/>
        <v>0</v>
      </c>
      <c r="R1448" s="186"/>
      <c r="S1448" s="6"/>
      <c r="T1448" s="234"/>
      <c r="U1448" s="14">
        <f t="shared" ref="U1448:U1458" si="604">SUM(T1448:T1448)</f>
        <v>0</v>
      </c>
      <c r="V1448" s="209"/>
    </row>
    <row r="1449" spans="2:22" x14ac:dyDescent="0.15">
      <c r="B1449" s="4" t="s">
        <v>749</v>
      </c>
      <c r="C1449" s="233">
        <v>4</v>
      </c>
      <c r="D1449" s="234"/>
      <c r="E1449" s="234"/>
      <c r="F1449" s="220">
        <f t="shared" si="600"/>
        <v>4</v>
      </c>
      <c r="G1449" s="248">
        <v>45183</v>
      </c>
      <c r="H1449" s="4"/>
      <c r="I1449" s="233"/>
      <c r="J1449" s="234"/>
      <c r="K1449" s="234"/>
      <c r="L1449" s="220">
        <f t="shared" si="601"/>
        <v>0</v>
      </c>
      <c r="O1449" s="4"/>
      <c r="P1449" s="15"/>
      <c r="Q1449" s="14">
        <f t="shared" si="602"/>
        <v>0</v>
      </c>
      <c r="R1449" s="186"/>
      <c r="S1449" s="4"/>
      <c r="T1449" s="234"/>
      <c r="U1449" s="14">
        <f t="shared" si="604"/>
        <v>0</v>
      </c>
      <c r="V1449" s="209"/>
    </row>
    <row r="1450" spans="2:22" x14ac:dyDescent="0.15">
      <c r="B1450" s="4" t="s">
        <v>1218</v>
      </c>
      <c r="C1450" s="233">
        <v>1</v>
      </c>
      <c r="D1450" s="234"/>
      <c r="E1450" s="234"/>
      <c r="F1450" s="220">
        <f t="shared" si="600"/>
        <v>1</v>
      </c>
      <c r="G1450" s="211">
        <v>45185</v>
      </c>
      <c r="H1450" s="4"/>
      <c r="I1450" s="233"/>
      <c r="J1450" s="234"/>
      <c r="K1450" s="234"/>
      <c r="L1450" s="220">
        <f t="shared" ref="L1450:L1459" si="605">SUM(I1450:K1450)</f>
        <v>0</v>
      </c>
      <c r="O1450" s="4"/>
      <c r="P1450" s="15"/>
      <c r="Q1450" s="14">
        <f t="shared" si="602"/>
        <v>0</v>
      </c>
      <c r="R1450" s="186"/>
      <c r="S1450" s="4"/>
      <c r="T1450" s="234"/>
      <c r="U1450" s="14">
        <f t="shared" si="604"/>
        <v>0</v>
      </c>
      <c r="V1450" s="209"/>
    </row>
    <row r="1451" spans="2:22" x14ac:dyDescent="0.15">
      <c r="B1451" s="4" t="s">
        <v>749</v>
      </c>
      <c r="C1451" s="233">
        <v>1</v>
      </c>
      <c r="D1451" s="234"/>
      <c r="E1451" s="234">
        <f>2+1</f>
        <v>3</v>
      </c>
      <c r="F1451" s="220">
        <f t="shared" si="600"/>
        <v>4</v>
      </c>
      <c r="G1451" s="248">
        <v>45184</v>
      </c>
      <c r="H1451" s="4"/>
      <c r="I1451" s="187"/>
      <c r="J1451" s="15"/>
      <c r="K1451" s="15"/>
      <c r="L1451" s="220">
        <f t="shared" si="605"/>
        <v>0</v>
      </c>
      <c r="O1451" s="4"/>
      <c r="P1451" s="15"/>
      <c r="Q1451" s="14">
        <f t="shared" si="602"/>
        <v>0</v>
      </c>
      <c r="R1451" s="186"/>
      <c r="S1451" s="4"/>
      <c r="T1451" s="234"/>
      <c r="U1451" s="14">
        <f t="shared" si="604"/>
        <v>0</v>
      </c>
      <c r="V1451" s="209"/>
    </row>
    <row r="1452" spans="2:22" x14ac:dyDescent="0.15">
      <c r="B1452" s="4" t="s">
        <v>749</v>
      </c>
      <c r="C1452" s="233">
        <f>1+22</f>
        <v>23</v>
      </c>
      <c r="D1452" s="234">
        <v>3</v>
      </c>
      <c r="E1452" s="234">
        <v>4</v>
      </c>
      <c r="F1452" s="220">
        <f t="shared" si="600"/>
        <v>30</v>
      </c>
      <c r="G1452" s="248">
        <v>45188</v>
      </c>
      <c r="H1452" s="4"/>
      <c r="I1452" s="187"/>
      <c r="J1452" s="15"/>
      <c r="K1452" s="15"/>
      <c r="L1452" s="220">
        <f t="shared" si="605"/>
        <v>0</v>
      </c>
      <c r="O1452" s="4"/>
      <c r="P1452" s="15"/>
      <c r="Q1452" s="14">
        <f t="shared" si="602"/>
        <v>0</v>
      </c>
      <c r="R1452" s="186"/>
      <c r="S1452" s="4"/>
      <c r="T1452" s="234"/>
      <c r="U1452" s="14">
        <f t="shared" si="604"/>
        <v>0</v>
      </c>
      <c r="V1452" s="209"/>
    </row>
    <row r="1453" spans="2:22" x14ac:dyDescent="0.15">
      <c r="B1453" s="4" t="s">
        <v>1219</v>
      </c>
      <c r="C1453" s="233"/>
      <c r="D1453" s="234"/>
      <c r="E1453" s="234">
        <v>10</v>
      </c>
      <c r="F1453" s="220">
        <f t="shared" si="600"/>
        <v>10</v>
      </c>
      <c r="G1453" s="211">
        <v>45189</v>
      </c>
      <c r="H1453" s="4"/>
      <c r="I1453" s="187"/>
      <c r="J1453" s="15"/>
      <c r="K1453" s="15"/>
      <c r="L1453" s="220">
        <f t="shared" si="605"/>
        <v>0</v>
      </c>
      <c r="O1453" s="4"/>
      <c r="P1453" s="15"/>
      <c r="Q1453" s="14">
        <f t="shared" si="602"/>
        <v>0</v>
      </c>
      <c r="R1453" s="186"/>
      <c r="S1453" s="4"/>
      <c r="T1453" s="234"/>
      <c r="U1453" s="14">
        <f t="shared" si="604"/>
        <v>0</v>
      </c>
      <c r="V1453" s="209"/>
    </row>
    <row r="1454" spans="2:22" x14ac:dyDescent="0.15">
      <c r="B1454" s="4" t="s">
        <v>749</v>
      </c>
      <c r="C1454" s="233">
        <f>2+6</f>
        <v>8</v>
      </c>
      <c r="D1454" s="234">
        <v>2</v>
      </c>
      <c r="E1454" s="234"/>
      <c r="F1454" s="220">
        <f t="shared" si="600"/>
        <v>10</v>
      </c>
      <c r="G1454" s="248">
        <v>45189</v>
      </c>
      <c r="H1454" s="6"/>
      <c r="I1454" s="188"/>
      <c r="J1454" s="15"/>
      <c r="K1454" s="15"/>
      <c r="L1454" s="220">
        <f t="shared" si="605"/>
        <v>0</v>
      </c>
      <c r="O1454" s="6"/>
      <c r="P1454" s="15"/>
      <c r="Q1454" s="14">
        <f t="shared" si="602"/>
        <v>0</v>
      </c>
      <c r="R1454" s="186"/>
      <c r="S1454" s="6"/>
      <c r="T1454" s="234"/>
      <c r="U1454" s="14">
        <f t="shared" si="604"/>
        <v>0</v>
      </c>
      <c r="V1454" s="209"/>
    </row>
    <row r="1455" spans="2:22" x14ac:dyDescent="0.15">
      <c r="B1455" s="4" t="s">
        <v>749</v>
      </c>
      <c r="C1455" s="233">
        <v>1</v>
      </c>
      <c r="D1455" s="234">
        <v>1</v>
      </c>
      <c r="E1455" s="234"/>
      <c r="F1455" s="220">
        <f t="shared" si="600"/>
        <v>2</v>
      </c>
      <c r="G1455" s="211">
        <v>45190</v>
      </c>
      <c r="H1455" s="6"/>
      <c r="I1455" s="188"/>
      <c r="J1455" s="15"/>
      <c r="K1455" s="15"/>
      <c r="L1455" s="220">
        <f t="shared" si="605"/>
        <v>0</v>
      </c>
      <c r="O1455" s="6"/>
      <c r="P1455" s="15"/>
      <c r="Q1455" s="14">
        <f t="shared" si="602"/>
        <v>0</v>
      </c>
      <c r="R1455" s="186"/>
      <c r="S1455" s="6"/>
      <c r="T1455" s="234"/>
      <c r="U1455" s="14">
        <f t="shared" si="604"/>
        <v>0</v>
      </c>
      <c r="V1455" s="209"/>
    </row>
    <row r="1456" spans="2:22" x14ac:dyDescent="0.15">
      <c r="B1456" s="4" t="s">
        <v>764</v>
      </c>
      <c r="C1456" s="233">
        <v>20</v>
      </c>
      <c r="D1456" s="234">
        <v>10</v>
      </c>
      <c r="E1456" s="234">
        <v>10</v>
      </c>
      <c r="F1456" s="220">
        <f t="shared" si="600"/>
        <v>40</v>
      </c>
      <c r="G1456" s="211">
        <v>45191</v>
      </c>
      <c r="H1456" s="4"/>
      <c r="I1456" s="187"/>
      <c r="J1456" s="15"/>
      <c r="K1456" s="15"/>
      <c r="L1456" s="220">
        <f t="shared" si="605"/>
        <v>0</v>
      </c>
      <c r="O1456" s="4"/>
      <c r="P1456" s="15"/>
      <c r="Q1456" s="14">
        <f t="shared" si="602"/>
        <v>0</v>
      </c>
      <c r="R1456" s="186"/>
      <c r="S1456" s="4"/>
      <c r="T1456" s="234"/>
      <c r="U1456" s="14">
        <f t="shared" si="604"/>
        <v>0</v>
      </c>
      <c r="V1456" s="209"/>
    </row>
    <row r="1457" spans="2:22" x14ac:dyDescent="0.15">
      <c r="B1457" s="4" t="s">
        <v>749</v>
      </c>
      <c r="C1457" s="233">
        <f>1+1</f>
        <v>2</v>
      </c>
      <c r="D1457" s="234">
        <v>1</v>
      </c>
      <c r="E1457" s="234"/>
      <c r="F1457" s="220">
        <f t="shared" si="600"/>
        <v>3</v>
      </c>
      <c r="G1457" s="248">
        <v>45191</v>
      </c>
      <c r="H1457" s="4"/>
      <c r="I1457" s="187"/>
      <c r="J1457" s="15"/>
      <c r="K1457" s="15"/>
      <c r="L1457" s="220">
        <f t="shared" si="605"/>
        <v>0</v>
      </c>
      <c r="O1457" s="4"/>
      <c r="P1457" s="15"/>
      <c r="Q1457" s="14">
        <f t="shared" si="602"/>
        <v>0</v>
      </c>
      <c r="R1457" s="186"/>
      <c r="S1457" s="4"/>
      <c r="T1457" s="234"/>
      <c r="U1457" s="14">
        <f t="shared" si="604"/>
        <v>0</v>
      </c>
      <c r="V1457" s="209"/>
    </row>
    <row r="1458" spans="2:22" x14ac:dyDescent="0.15">
      <c r="B1458" s="4" t="s">
        <v>749</v>
      </c>
      <c r="C1458" s="233">
        <f>2+8</f>
        <v>10</v>
      </c>
      <c r="D1458" s="234"/>
      <c r="E1458" s="234"/>
      <c r="F1458" s="220">
        <f t="shared" si="600"/>
        <v>10</v>
      </c>
      <c r="G1458" s="248">
        <v>45194</v>
      </c>
      <c r="H1458" s="4"/>
      <c r="I1458" s="187"/>
      <c r="J1458" s="15"/>
      <c r="K1458" s="15"/>
      <c r="L1458" s="220">
        <f t="shared" si="605"/>
        <v>0</v>
      </c>
      <c r="O1458" s="4"/>
      <c r="P1458" s="15"/>
      <c r="Q1458" s="14">
        <f t="shared" si="602"/>
        <v>0</v>
      </c>
      <c r="R1458" s="186"/>
      <c r="S1458" s="4"/>
      <c r="T1458" s="234"/>
      <c r="U1458" s="14">
        <f t="shared" si="604"/>
        <v>0</v>
      </c>
      <c r="V1458" s="209"/>
    </row>
    <row r="1459" spans="2:22" x14ac:dyDescent="0.15">
      <c r="B1459" s="4" t="s">
        <v>749</v>
      </c>
      <c r="C1459" s="233">
        <v>2</v>
      </c>
      <c r="D1459" s="234">
        <v>3</v>
      </c>
      <c r="E1459" s="234"/>
      <c r="F1459" s="220">
        <f t="shared" si="600"/>
        <v>5</v>
      </c>
      <c r="G1459" s="248">
        <v>45195</v>
      </c>
      <c r="H1459" s="4"/>
      <c r="I1459" s="187"/>
      <c r="J1459" s="15"/>
      <c r="K1459" s="15"/>
      <c r="L1459" s="220">
        <f t="shared" si="605"/>
        <v>0</v>
      </c>
      <c r="O1459" s="6"/>
      <c r="P1459" s="15"/>
      <c r="Q1459" s="14">
        <f t="shared" si="602"/>
        <v>0</v>
      </c>
      <c r="R1459" s="186"/>
      <c r="S1459" s="4"/>
      <c r="T1459" s="234"/>
      <c r="U1459" s="14">
        <f t="shared" ref="U1459:U1466" si="606">SUM(T1459:T1459)</f>
        <v>0</v>
      </c>
      <c r="V1459" s="209"/>
    </row>
    <row r="1460" spans="2:22" x14ac:dyDescent="0.15">
      <c r="B1460" s="4" t="s">
        <v>749</v>
      </c>
      <c r="C1460" s="233">
        <v>1</v>
      </c>
      <c r="D1460" s="234"/>
      <c r="E1460" s="234"/>
      <c r="F1460" s="220">
        <f t="shared" si="600"/>
        <v>1</v>
      </c>
      <c r="G1460" s="248">
        <v>45196</v>
      </c>
      <c r="H1460" s="4"/>
      <c r="I1460" s="187"/>
      <c r="J1460" s="15"/>
      <c r="K1460" s="15"/>
      <c r="L1460" s="220">
        <f t="shared" ref="L1460:L1466" si="607">SUM(I1460:K1460)</f>
        <v>0</v>
      </c>
      <c r="O1460" s="4"/>
      <c r="P1460" s="15"/>
      <c r="Q1460" s="14">
        <f t="shared" si="602"/>
        <v>0</v>
      </c>
      <c r="R1460" s="186"/>
      <c r="S1460" s="4"/>
      <c r="T1460" s="234"/>
      <c r="U1460" s="14">
        <f t="shared" si="606"/>
        <v>0</v>
      </c>
      <c r="V1460" s="209"/>
    </row>
    <row r="1461" spans="2:22" x14ac:dyDescent="0.15">
      <c r="B1461" s="4" t="s">
        <v>749</v>
      </c>
      <c r="C1461" s="233">
        <f>2+3</f>
        <v>5</v>
      </c>
      <c r="D1461" s="234"/>
      <c r="E1461" s="234"/>
      <c r="F1461" s="220">
        <f t="shared" si="600"/>
        <v>5</v>
      </c>
      <c r="G1461" s="211">
        <v>45197</v>
      </c>
      <c r="H1461" s="4"/>
      <c r="I1461" s="187"/>
      <c r="J1461" s="15"/>
      <c r="K1461" s="15"/>
      <c r="L1461" s="220">
        <f t="shared" si="607"/>
        <v>0</v>
      </c>
      <c r="O1461" s="6"/>
      <c r="P1461" s="15"/>
      <c r="Q1461" s="14">
        <f t="shared" si="602"/>
        <v>0</v>
      </c>
      <c r="R1461" s="186"/>
      <c r="S1461" s="4"/>
      <c r="T1461" s="234"/>
      <c r="U1461" s="14">
        <f t="shared" si="606"/>
        <v>0</v>
      </c>
      <c r="V1461" s="209"/>
    </row>
    <row r="1462" spans="2:22" x14ac:dyDescent="0.15">
      <c r="B1462" s="4" t="s">
        <v>1221</v>
      </c>
      <c r="C1462" s="233"/>
      <c r="D1462" s="234">
        <v>10</v>
      </c>
      <c r="E1462" s="234"/>
      <c r="F1462" s="220">
        <f t="shared" si="600"/>
        <v>10</v>
      </c>
      <c r="G1462" s="211">
        <v>45198</v>
      </c>
      <c r="H1462" s="4"/>
      <c r="I1462" s="187"/>
      <c r="J1462" s="15"/>
      <c r="K1462" s="15"/>
      <c r="L1462" s="220">
        <f t="shared" si="607"/>
        <v>0</v>
      </c>
      <c r="O1462" s="4"/>
      <c r="P1462" s="15"/>
      <c r="Q1462" s="14">
        <f t="shared" si="602"/>
        <v>0</v>
      </c>
      <c r="R1462" s="186"/>
      <c r="S1462" s="4"/>
      <c r="T1462" s="234"/>
      <c r="U1462" s="14">
        <f t="shared" si="606"/>
        <v>0</v>
      </c>
      <c r="V1462" s="209"/>
    </row>
    <row r="1463" spans="2:22" x14ac:dyDescent="0.15">
      <c r="B1463" s="4" t="s">
        <v>749</v>
      </c>
      <c r="C1463" s="233">
        <v>2</v>
      </c>
      <c r="D1463" s="234">
        <v>1</v>
      </c>
      <c r="E1463" s="234"/>
      <c r="F1463" s="220">
        <f t="shared" ref="F1463:F1466" si="608">SUM(C1463:E1463)</f>
        <v>3</v>
      </c>
      <c r="G1463" s="248">
        <v>45199</v>
      </c>
      <c r="H1463" s="4"/>
      <c r="I1463" s="187"/>
      <c r="J1463" s="15"/>
      <c r="K1463" s="15"/>
      <c r="L1463" s="220">
        <f t="shared" si="607"/>
        <v>0</v>
      </c>
      <c r="O1463" s="4"/>
      <c r="P1463" s="15"/>
      <c r="Q1463" s="14">
        <f t="shared" si="602"/>
        <v>0</v>
      </c>
      <c r="R1463" s="186"/>
      <c r="S1463" s="4"/>
      <c r="T1463" s="234"/>
      <c r="U1463" s="14">
        <f t="shared" si="606"/>
        <v>0</v>
      </c>
      <c r="V1463" s="209"/>
    </row>
    <row r="1464" spans="2:22" x14ac:dyDescent="0.15">
      <c r="B1464" s="4" t="s">
        <v>749</v>
      </c>
      <c r="C1464" s="233">
        <v>8</v>
      </c>
      <c r="D1464" s="234"/>
      <c r="E1464" s="234">
        <v>1</v>
      </c>
      <c r="F1464" s="220">
        <f t="shared" si="608"/>
        <v>9</v>
      </c>
      <c r="G1464" s="248">
        <v>45201</v>
      </c>
      <c r="H1464" s="4"/>
      <c r="I1464" s="187"/>
      <c r="J1464" s="15"/>
      <c r="K1464" s="15"/>
      <c r="L1464" s="220">
        <f t="shared" si="607"/>
        <v>0</v>
      </c>
      <c r="O1464" s="4"/>
      <c r="P1464" s="15"/>
      <c r="Q1464" s="14">
        <f t="shared" si="602"/>
        <v>0</v>
      </c>
      <c r="R1464" s="186"/>
      <c r="S1464" s="4"/>
      <c r="T1464" s="234"/>
      <c r="U1464" s="14">
        <f t="shared" si="606"/>
        <v>0</v>
      </c>
      <c r="V1464" s="209"/>
    </row>
    <row r="1465" spans="2:22" x14ac:dyDescent="0.15">
      <c r="B1465" s="4" t="s">
        <v>1224</v>
      </c>
      <c r="C1465" s="233"/>
      <c r="D1465" s="234"/>
      <c r="E1465" s="234">
        <v>10</v>
      </c>
      <c r="F1465" s="220">
        <f t="shared" si="608"/>
        <v>10</v>
      </c>
      <c r="G1465" s="211">
        <v>45201</v>
      </c>
      <c r="H1465" s="4"/>
      <c r="I1465" s="187"/>
      <c r="J1465" s="15"/>
      <c r="K1465" s="15"/>
      <c r="L1465" s="220">
        <f t="shared" si="607"/>
        <v>0</v>
      </c>
      <c r="O1465" s="6"/>
      <c r="P1465" s="15"/>
      <c r="Q1465" s="14">
        <f t="shared" si="602"/>
        <v>0</v>
      </c>
      <c r="R1465" s="186"/>
      <c r="S1465" s="4"/>
      <c r="T1465" s="234"/>
      <c r="U1465" s="14">
        <f t="shared" si="606"/>
        <v>0</v>
      </c>
      <c r="V1465" s="209"/>
    </row>
    <row r="1466" spans="2:22" ht="14.25" thickBot="1" x14ac:dyDescent="0.2">
      <c r="B1466" s="4" t="s">
        <v>749</v>
      </c>
      <c r="C1466" s="235">
        <v>4</v>
      </c>
      <c r="D1466" s="234">
        <v>2</v>
      </c>
      <c r="E1466" s="234"/>
      <c r="F1466" s="220">
        <f t="shared" si="608"/>
        <v>6</v>
      </c>
      <c r="G1466" s="248">
        <v>45202</v>
      </c>
      <c r="H1466" s="4"/>
      <c r="I1466" s="187"/>
      <c r="J1466" s="15"/>
      <c r="K1466" s="15"/>
      <c r="L1466" s="220">
        <f t="shared" si="607"/>
        <v>0</v>
      </c>
      <c r="O1466" s="6"/>
      <c r="P1466" s="15"/>
      <c r="Q1466" s="14">
        <f t="shared" si="602"/>
        <v>0</v>
      </c>
      <c r="R1466" s="186"/>
      <c r="S1466" s="4"/>
      <c r="T1466" s="234"/>
      <c r="U1466" s="14">
        <f t="shared" si="606"/>
        <v>0</v>
      </c>
      <c r="V1466" s="209"/>
    </row>
    <row r="1467" spans="2:22" ht="14.25" thickBot="1" x14ac:dyDescent="0.2">
      <c r="B1467" s="3" t="s">
        <v>5</v>
      </c>
      <c r="C1467" s="16">
        <f>SUM(C1443:C1466)</f>
        <v>110</v>
      </c>
      <c r="D1467" s="16">
        <f>SUM(D1443:D1466)</f>
        <v>45</v>
      </c>
      <c r="E1467" s="16">
        <f>SUM(E1443:E1466)</f>
        <v>61</v>
      </c>
      <c r="F1467" s="223">
        <f>SUM(F1443:F1466)</f>
        <v>216</v>
      </c>
      <c r="H1467" s="3" t="s">
        <v>5</v>
      </c>
      <c r="I1467" s="16">
        <f>SUM(I1443:I1466)</f>
        <v>0</v>
      </c>
      <c r="J1467" s="16">
        <f>SUM(J1443:J1466)</f>
        <v>0</v>
      </c>
      <c r="K1467" s="16">
        <f>SUM(K1443:K1466)</f>
        <v>45</v>
      </c>
      <c r="L1467" s="223">
        <f>SUM(L1443:L1466)</f>
        <v>45</v>
      </c>
      <c r="O1467" s="3" t="s">
        <v>5</v>
      </c>
      <c r="P1467" s="16">
        <f>SUM(P1443:P1466)</f>
        <v>0</v>
      </c>
      <c r="Q1467" s="17">
        <f>SUM(Q1443:Q1466)</f>
        <v>0</v>
      </c>
      <c r="S1467" s="3" t="s">
        <v>5</v>
      </c>
      <c r="T1467" s="16">
        <f>SUM(T1443:T1466)</f>
        <v>0</v>
      </c>
      <c r="U1467" s="17">
        <f>SUM(U1443:U1466)</f>
        <v>0</v>
      </c>
    </row>
    <row r="1468" spans="2:22" ht="14.25" thickBot="1" x14ac:dyDescent="0.2">
      <c r="B1468" s="18" t="s">
        <v>6</v>
      </c>
      <c r="C1468" s="19">
        <f>C1442-C1467</f>
        <v>195</v>
      </c>
      <c r="D1468" s="19">
        <f>D1442-D1467</f>
        <v>84</v>
      </c>
      <c r="E1468" s="19">
        <f t="shared" ref="E1468" si="609">E1442-E1467</f>
        <v>51</v>
      </c>
      <c r="F1468" s="221">
        <f>F1442-F1467</f>
        <v>330</v>
      </c>
      <c r="H1468" s="18" t="s">
        <v>6</v>
      </c>
      <c r="I1468" s="19">
        <f>I1442-I1467</f>
        <v>4630</v>
      </c>
      <c r="J1468" s="19">
        <f>J1442-J1467</f>
        <v>1674</v>
      </c>
      <c r="K1468" s="19">
        <f t="shared" ref="K1468" si="610">K1442-K1467</f>
        <v>1202</v>
      </c>
      <c r="L1468" s="221">
        <f>L1442-L1467</f>
        <v>7506</v>
      </c>
      <c r="O1468" s="18" t="s">
        <v>6</v>
      </c>
      <c r="P1468" s="19">
        <f>P1442-P1467</f>
        <v>0</v>
      </c>
      <c r="Q1468" s="13">
        <f>Q1442-Q1467</f>
        <v>0</v>
      </c>
      <c r="S1468" s="18" t="s">
        <v>6</v>
      </c>
      <c r="T1468" s="19">
        <f>T1442-T1467</f>
        <v>2653</v>
      </c>
      <c r="U1468" s="13">
        <f>U1442-U1467</f>
        <v>2653</v>
      </c>
    </row>
    <row r="1469" spans="2:22" x14ac:dyDescent="0.15">
      <c r="M1469"/>
    </row>
    <row r="1470" spans="2:22" x14ac:dyDescent="0.15">
      <c r="M1470"/>
    </row>
    <row r="1471" spans="2:22" ht="18" thickBot="1" x14ac:dyDescent="0.25">
      <c r="B1471" s="27" t="s">
        <v>739</v>
      </c>
      <c r="C1471" s="28"/>
      <c r="D1471" s="28"/>
      <c r="E1471" s="28"/>
      <c r="F1471" s="218"/>
      <c r="H1471" s="27" t="s">
        <v>740</v>
      </c>
      <c r="I1471" s="28"/>
      <c r="J1471" s="28"/>
      <c r="K1471" s="28"/>
      <c r="L1471" s="218"/>
      <c r="M1471"/>
      <c r="O1471" s="181" t="s">
        <v>737</v>
      </c>
      <c r="P1471" s="182"/>
      <c r="Q1471" s="182"/>
      <c r="R1471" s="183"/>
      <c r="S1471" s="181" t="s">
        <v>733</v>
      </c>
      <c r="T1471" s="182"/>
      <c r="U1471" s="182"/>
    </row>
    <row r="1472" spans="2:22" ht="14.25" thickBot="1" x14ac:dyDescent="0.2">
      <c r="B1472" s="2"/>
      <c r="C1472" s="194" t="s">
        <v>734</v>
      </c>
      <c r="D1472" s="195" t="s">
        <v>706</v>
      </c>
      <c r="E1472" s="2" t="s">
        <v>735</v>
      </c>
      <c r="F1472" s="219" t="s">
        <v>1</v>
      </c>
      <c r="H1472" s="2"/>
      <c r="I1472" s="197" t="s">
        <v>734</v>
      </c>
      <c r="J1472" s="195" t="s">
        <v>706</v>
      </c>
      <c r="K1472" s="201" t="s">
        <v>735</v>
      </c>
      <c r="L1472" s="219" t="s">
        <v>1</v>
      </c>
      <c r="M1472"/>
      <c r="O1472" s="2"/>
      <c r="P1472" s="3" t="s">
        <v>722</v>
      </c>
      <c r="Q1472" s="2" t="s">
        <v>1</v>
      </c>
      <c r="S1472" s="2"/>
      <c r="T1472" s="3" t="s">
        <v>722</v>
      </c>
      <c r="U1472" s="2" t="s">
        <v>1</v>
      </c>
    </row>
    <row r="1473" spans="2:22" x14ac:dyDescent="0.15">
      <c r="B1473" s="164" t="s">
        <v>26</v>
      </c>
      <c r="C1473" s="200">
        <f>C1468</f>
        <v>195</v>
      </c>
      <c r="D1473" s="164">
        <f t="shared" ref="D1473:F1473" si="611">D1468</f>
        <v>84</v>
      </c>
      <c r="E1473" s="164">
        <f t="shared" si="611"/>
        <v>51</v>
      </c>
      <c r="F1473" s="222">
        <f t="shared" si="611"/>
        <v>330</v>
      </c>
      <c r="H1473" s="164" t="s">
        <v>26</v>
      </c>
      <c r="I1473" s="200">
        <f>I1468</f>
        <v>4630</v>
      </c>
      <c r="J1473" s="164">
        <f t="shared" ref="J1473:L1473" si="612">J1468</f>
        <v>1674</v>
      </c>
      <c r="K1473" s="200">
        <f t="shared" si="612"/>
        <v>1202</v>
      </c>
      <c r="L1473" s="222">
        <f t="shared" si="612"/>
        <v>7506</v>
      </c>
      <c r="M1473" s="269"/>
      <c r="O1473" s="171" t="s">
        <v>26</v>
      </c>
      <c r="P1473" s="200">
        <f>P1468</f>
        <v>0</v>
      </c>
      <c r="Q1473" s="180">
        <f>Q1468</f>
        <v>0</v>
      </c>
      <c r="R1473" s="185"/>
      <c r="S1473" s="43" t="s">
        <v>26</v>
      </c>
      <c r="T1473" s="38">
        <f>T1468</f>
        <v>2653</v>
      </c>
      <c r="U1473" s="39">
        <f>U1468</f>
        <v>2653</v>
      </c>
    </row>
    <row r="1474" spans="2:22" x14ac:dyDescent="0.15">
      <c r="B1474" s="6" t="s">
        <v>1222</v>
      </c>
      <c r="C1474" s="6">
        <v>2</v>
      </c>
      <c r="D1474" s="225">
        <v>1</v>
      </c>
      <c r="E1474" s="226"/>
      <c r="F1474" s="220">
        <f t="shared" ref="F1474:F1475" si="613">SUM(C1474:E1474)</f>
        <v>3</v>
      </c>
      <c r="G1474" s="248">
        <v>45223</v>
      </c>
      <c r="H1474" s="6" t="s">
        <v>3</v>
      </c>
      <c r="I1474" s="188"/>
      <c r="J1474" s="225"/>
      <c r="K1474" s="243"/>
      <c r="L1474" s="220">
        <f t="shared" ref="L1474:L1483" si="614">SUM(I1474:K1474)</f>
        <v>0</v>
      </c>
      <c r="O1474" s="6" t="s">
        <v>3</v>
      </c>
      <c r="P1474" s="7"/>
      <c r="Q1474" s="5">
        <f t="shared" ref="Q1474:Q1483" si="615">SUM(P1474:P1474)</f>
        <v>0</v>
      </c>
      <c r="R1474" s="186"/>
      <c r="S1474" s="6" t="s">
        <v>3</v>
      </c>
      <c r="T1474" s="7"/>
      <c r="U1474" s="5">
        <f t="shared" ref="U1474:U1483" si="616">SUM(T1474:T1474)</f>
        <v>0</v>
      </c>
    </row>
    <row r="1475" spans="2:22" x14ac:dyDescent="0.15">
      <c r="B1475" s="6" t="s">
        <v>3</v>
      </c>
      <c r="C1475" s="6"/>
      <c r="D1475" s="225"/>
      <c r="E1475" s="226"/>
      <c r="F1475" s="220">
        <f t="shared" si="613"/>
        <v>0</v>
      </c>
      <c r="H1475" s="6" t="s">
        <v>3</v>
      </c>
      <c r="I1475" s="188"/>
      <c r="J1475" s="225"/>
      <c r="K1475" s="243"/>
      <c r="L1475" s="220">
        <f t="shared" ref="L1475:L1476" si="617">SUM(I1475:K1475)</f>
        <v>0</v>
      </c>
      <c r="O1475" s="6" t="s">
        <v>3</v>
      </c>
      <c r="P1475" s="7"/>
      <c r="Q1475" s="5">
        <f t="shared" si="615"/>
        <v>0</v>
      </c>
      <c r="R1475" s="186"/>
      <c r="S1475" s="6" t="s">
        <v>3</v>
      </c>
      <c r="T1475" s="54"/>
      <c r="U1475" s="5">
        <f t="shared" ref="U1475:U1476" si="618">SUM(T1475:T1475)</f>
        <v>0</v>
      </c>
      <c r="V1475" s="209"/>
    </row>
    <row r="1476" spans="2:22" x14ac:dyDescent="0.15">
      <c r="B1476" s="6" t="s">
        <v>3</v>
      </c>
      <c r="C1476" s="6"/>
      <c r="D1476" s="225"/>
      <c r="E1476" s="226"/>
      <c r="F1476" s="220">
        <f t="shared" ref="F1476:F1483" si="619">SUM(C1476:E1476)</f>
        <v>0</v>
      </c>
      <c r="H1476" s="6" t="s">
        <v>64</v>
      </c>
      <c r="I1476" s="188">
        <v>5</v>
      </c>
      <c r="J1476" s="225"/>
      <c r="K1476" s="243"/>
      <c r="L1476" s="220">
        <f t="shared" si="617"/>
        <v>5</v>
      </c>
      <c r="M1476" s="211">
        <v>45204</v>
      </c>
      <c r="O1476" s="6" t="s">
        <v>3</v>
      </c>
      <c r="P1476" s="7"/>
      <c r="Q1476" s="5">
        <f t="shared" si="615"/>
        <v>0</v>
      </c>
      <c r="R1476" s="186"/>
      <c r="S1476" s="6" t="s">
        <v>1220</v>
      </c>
      <c r="T1476" s="54">
        <v>24</v>
      </c>
      <c r="U1476" s="5">
        <f t="shared" si="618"/>
        <v>24</v>
      </c>
      <c r="V1476" s="211">
        <v>45204</v>
      </c>
    </row>
    <row r="1477" spans="2:22" x14ac:dyDescent="0.15">
      <c r="B1477" s="6" t="s">
        <v>3</v>
      </c>
      <c r="C1477" s="6"/>
      <c r="D1477" s="225"/>
      <c r="E1477" s="226"/>
      <c r="F1477" s="220">
        <f t="shared" si="619"/>
        <v>0</v>
      </c>
      <c r="H1477" s="6" t="s">
        <v>3</v>
      </c>
      <c r="I1477" s="188"/>
      <c r="J1477" s="225"/>
      <c r="K1477" s="243"/>
      <c r="L1477" s="220">
        <f t="shared" si="614"/>
        <v>0</v>
      </c>
      <c r="O1477" s="6" t="s">
        <v>3</v>
      </c>
      <c r="P1477" s="7"/>
      <c r="Q1477" s="5">
        <f t="shared" si="615"/>
        <v>0</v>
      </c>
      <c r="R1477" s="186"/>
      <c r="S1477" s="6" t="s">
        <v>3</v>
      </c>
      <c r="T1477" s="54"/>
      <c r="U1477" s="5">
        <f t="shared" si="616"/>
        <v>0</v>
      </c>
      <c r="V1477" s="212"/>
    </row>
    <row r="1478" spans="2:22" x14ac:dyDescent="0.15">
      <c r="B1478" s="6" t="s">
        <v>3</v>
      </c>
      <c r="C1478" s="6"/>
      <c r="D1478" s="225"/>
      <c r="E1478" s="226"/>
      <c r="F1478" s="220">
        <f t="shared" si="619"/>
        <v>0</v>
      </c>
      <c r="H1478" s="6" t="s">
        <v>3</v>
      </c>
      <c r="I1478" s="188"/>
      <c r="J1478" s="225"/>
      <c r="K1478" s="243"/>
      <c r="L1478" s="220">
        <f t="shared" si="614"/>
        <v>0</v>
      </c>
      <c r="O1478" s="6" t="s">
        <v>3</v>
      </c>
      <c r="P1478" s="7"/>
      <c r="Q1478" s="5">
        <f t="shared" si="615"/>
        <v>0</v>
      </c>
      <c r="R1478" s="186"/>
      <c r="S1478" s="6" t="s">
        <v>3</v>
      </c>
      <c r="T1478" s="54"/>
      <c r="U1478" s="5">
        <f t="shared" si="616"/>
        <v>0</v>
      </c>
      <c r="V1478" s="209"/>
    </row>
    <row r="1479" spans="2:22" x14ac:dyDescent="0.15">
      <c r="B1479" s="6" t="s">
        <v>3</v>
      </c>
      <c r="C1479" s="6"/>
      <c r="D1479" s="225"/>
      <c r="E1479" s="226"/>
      <c r="F1479" s="220">
        <f t="shared" si="619"/>
        <v>0</v>
      </c>
      <c r="H1479" s="6" t="s">
        <v>3</v>
      </c>
      <c r="I1479" s="188"/>
      <c r="J1479" s="6"/>
      <c r="K1479" s="202"/>
      <c r="L1479" s="220">
        <f t="shared" si="614"/>
        <v>0</v>
      </c>
      <c r="O1479" s="6" t="s">
        <v>3</v>
      </c>
      <c r="P1479" s="7"/>
      <c r="Q1479" s="5">
        <f t="shared" si="615"/>
        <v>0</v>
      </c>
      <c r="R1479" s="186"/>
      <c r="S1479" s="6" t="s">
        <v>3</v>
      </c>
      <c r="T1479" s="7"/>
      <c r="U1479" s="5">
        <f t="shared" si="616"/>
        <v>0</v>
      </c>
      <c r="V1479" s="209"/>
    </row>
    <row r="1480" spans="2:22" x14ac:dyDescent="0.15">
      <c r="B1480" s="6" t="s">
        <v>3</v>
      </c>
      <c r="C1480" s="6"/>
      <c r="D1480" s="225"/>
      <c r="E1480" s="226"/>
      <c r="F1480" s="220">
        <f t="shared" si="619"/>
        <v>0</v>
      </c>
      <c r="H1480" s="6" t="s">
        <v>3</v>
      </c>
      <c r="I1480" s="188"/>
      <c r="J1480" s="225"/>
      <c r="K1480" s="243"/>
      <c r="L1480" s="220">
        <f t="shared" si="614"/>
        <v>0</v>
      </c>
      <c r="O1480" s="6" t="s">
        <v>3</v>
      </c>
      <c r="P1480" s="8"/>
      <c r="Q1480" s="5">
        <f t="shared" si="615"/>
        <v>0</v>
      </c>
      <c r="R1480" s="186"/>
      <c r="S1480" s="6" t="s">
        <v>3</v>
      </c>
      <c r="T1480" s="54"/>
      <c r="U1480" s="5">
        <f t="shared" si="616"/>
        <v>0</v>
      </c>
      <c r="V1480" s="209"/>
    </row>
    <row r="1481" spans="2:22" x14ac:dyDescent="0.15">
      <c r="B1481" s="6" t="s">
        <v>3</v>
      </c>
      <c r="C1481" s="6"/>
      <c r="D1481" s="225"/>
      <c r="E1481" s="226"/>
      <c r="F1481" s="220">
        <f t="shared" si="619"/>
        <v>0</v>
      </c>
      <c r="H1481" s="6" t="s">
        <v>3</v>
      </c>
      <c r="I1481" s="188"/>
      <c r="J1481" s="225"/>
      <c r="K1481" s="243"/>
      <c r="L1481" s="220">
        <f t="shared" si="614"/>
        <v>0</v>
      </c>
      <c r="O1481" s="6" t="s">
        <v>3</v>
      </c>
      <c r="P1481" s="8"/>
      <c r="Q1481" s="5">
        <f t="shared" si="615"/>
        <v>0</v>
      </c>
      <c r="R1481" s="186"/>
      <c r="S1481" s="6" t="s">
        <v>3</v>
      </c>
      <c r="T1481" s="54"/>
      <c r="U1481" s="5">
        <f t="shared" si="616"/>
        <v>0</v>
      </c>
      <c r="V1481" s="209"/>
    </row>
    <row r="1482" spans="2:22" x14ac:dyDescent="0.15">
      <c r="B1482" s="6" t="s">
        <v>3</v>
      </c>
      <c r="C1482" s="6"/>
      <c r="D1482" s="225"/>
      <c r="E1482" s="226"/>
      <c r="F1482" s="220">
        <f t="shared" si="619"/>
        <v>0</v>
      </c>
      <c r="H1482" s="6" t="s">
        <v>3</v>
      </c>
      <c r="I1482" s="188"/>
      <c r="J1482" s="225"/>
      <c r="K1482" s="243"/>
      <c r="L1482" s="220">
        <f t="shared" si="614"/>
        <v>0</v>
      </c>
      <c r="O1482" s="6" t="s">
        <v>3</v>
      </c>
      <c r="P1482" s="8"/>
      <c r="Q1482" s="5">
        <f t="shared" si="615"/>
        <v>0</v>
      </c>
      <c r="R1482" s="186"/>
      <c r="S1482" s="6" t="s">
        <v>3</v>
      </c>
      <c r="T1482" s="54"/>
      <c r="U1482" s="5">
        <f t="shared" si="616"/>
        <v>0</v>
      </c>
      <c r="V1482" s="209"/>
    </row>
    <row r="1483" spans="2:22" ht="14.25" thickBot="1" x14ac:dyDescent="0.2">
      <c r="B1483" s="6" t="s">
        <v>3</v>
      </c>
      <c r="C1483" s="9"/>
      <c r="D1483" s="237"/>
      <c r="E1483" s="238"/>
      <c r="F1483" s="220">
        <f t="shared" si="619"/>
        <v>0</v>
      </c>
      <c r="H1483" s="9" t="s">
        <v>3</v>
      </c>
      <c r="I1483" s="198"/>
      <c r="J1483" s="244"/>
      <c r="K1483" s="245"/>
      <c r="L1483" s="220">
        <f t="shared" si="614"/>
        <v>0</v>
      </c>
      <c r="O1483" s="9" t="s">
        <v>3</v>
      </c>
      <c r="P1483" s="10"/>
      <c r="Q1483" s="5">
        <f t="shared" si="615"/>
        <v>0</v>
      </c>
      <c r="R1483" s="186"/>
      <c r="S1483" s="9" t="s">
        <v>3</v>
      </c>
      <c r="T1483" s="101"/>
      <c r="U1483" s="5">
        <f t="shared" si="616"/>
        <v>0</v>
      </c>
      <c r="V1483" s="209"/>
    </row>
    <row r="1484" spans="2:22" ht="14.25" thickBot="1" x14ac:dyDescent="0.2">
      <c r="B1484" s="11" t="s">
        <v>4</v>
      </c>
      <c r="C1484" s="193">
        <f>SUM(C1473:C1483)</f>
        <v>197</v>
      </c>
      <c r="D1484" s="193">
        <f>SUM(D1473:D1483)</f>
        <v>85</v>
      </c>
      <c r="E1484" s="193">
        <f>SUM(E1473:E1483)</f>
        <v>51</v>
      </c>
      <c r="F1484" s="221">
        <f>SUM(F1473:F1483)</f>
        <v>333</v>
      </c>
      <c r="H1484" s="11" t="s">
        <v>4</v>
      </c>
      <c r="I1484" s="193">
        <f>SUM(I1473:I1483)</f>
        <v>4635</v>
      </c>
      <c r="J1484" s="193">
        <f>SUM(J1473:J1483)</f>
        <v>1674</v>
      </c>
      <c r="K1484" s="193">
        <f t="shared" ref="K1484" si="620">SUM(K1473:K1483)</f>
        <v>1202</v>
      </c>
      <c r="L1484" s="221">
        <f>SUM(L1473:L1483)</f>
        <v>7511</v>
      </c>
      <c r="O1484" s="11" t="s">
        <v>4</v>
      </c>
      <c r="P1484" s="12">
        <f>SUM(P1473:P1483)</f>
        <v>0</v>
      </c>
      <c r="Q1484" s="13">
        <f>SUM(Q1473:Q1483)</f>
        <v>0</v>
      </c>
      <c r="S1484" s="11" t="s">
        <v>4</v>
      </c>
      <c r="T1484" s="12">
        <f>SUM(T1473:T1483)</f>
        <v>2677</v>
      </c>
      <c r="U1484" s="13">
        <f>SUM(U1473:U1483)</f>
        <v>2677</v>
      </c>
      <c r="V1484" s="209"/>
    </row>
    <row r="1485" spans="2:22" x14ac:dyDescent="0.15">
      <c r="B1485" s="4" t="s">
        <v>749</v>
      </c>
      <c r="C1485" s="233">
        <v>1</v>
      </c>
      <c r="D1485" s="234"/>
      <c r="E1485" s="234"/>
      <c r="F1485" s="220">
        <f t="shared" ref="F1485:F1508" si="621">SUM(C1485:E1485)</f>
        <v>1</v>
      </c>
      <c r="G1485" s="248">
        <v>45203</v>
      </c>
      <c r="H1485" s="4"/>
      <c r="I1485" s="233"/>
      <c r="J1485" s="234"/>
      <c r="K1485" s="234"/>
      <c r="L1485" s="220">
        <f t="shared" ref="L1485" si="622">SUM(I1485:K1485)</f>
        <v>0</v>
      </c>
      <c r="O1485" s="4"/>
      <c r="P1485" s="44"/>
      <c r="Q1485" s="14">
        <f t="shared" ref="Q1485:Q1508" si="623">SUM(P1485:P1485)</f>
        <v>0</v>
      </c>
      <c r="R1485" s="185"/>
      <c r="S1485" s="6"/>
      <c r="T1485" s="234"/>
      <c r="U1485" s="14">
        <f t="shared" ref="U1485:U1508" si="624">SUM(T1485:T1485)</f>
        <v>0</v>
      </c>
      <c r="V1485" s="209"/>
    </row>
    <row r="1486" spans="2:22" x14ac:dyDescent="0.15">
      <c r="B1486" s="4" t="s">
        <v>749</v>
      </c>
      <c r="C1486" s="233">
        <v>1</v>
      </c>
      <c r="D1486" s="234"/>
      <c r="E1486" s="234"/>
      <c r="F1486" s="220">
        <f t="shared" si="621"/>
        <v>1</v>
      </c>
      <c r="G1486" s="211">
        <v>45204</v>
      </c>
      <c r="H1486" s="4"/>
      <c r="I1486" s="233"/>
      <c r="J1486" s="234"/>
      <c r="K1486" s="234"/>
      <c r="L1486" s="220">
        <f t="shared" ref="L1486:L1507" si="625">SUM(I1486:K1486)</f>
        <v>0</v>
      </c>
      <c r="O1486" s="4"/>
      <c r="P1486" s="15"/>
      <c r="Q1486" s="14">
        <f t="shared" si="623"/>
        <v>0</v>
      </c>
      <c r="R1486" s="186"/>
      <c r="S1486" s="6"/>
      <c r="T1486" s="234"/>
      <c r="U1486" s="14">
        <f t="shared" si="624"/>
        <v>0</v>
      </c>
      <c r="V1486" s="209"/>
    </row>
    <row r="1487" spans="2:22" x14ac:dyDescent="0.15">
      <c r="B1487" s="4" t="s">
        <v>749</v>
      </c>
      <c r="C1487" s="233">
        <v>2</v>
      </c>
      <c r="D1487" s="234"/>
      <c r="E1487" s="234"/>
      <c r="F1487" s="220">
        <f t="shared" si="621"/>
        <v>2</v>
      </c>
      <c r="G1487" s="248">
        <v>45205</v>
      </c>
      <c r="H1487" s="4"/>
      <c r="I1487" s="233"/>
      <c r="J1487" s="234"/>
      <c r="K1487" s="234"/>
      <c r="L1487" s="220">
        <f t="shared" si="625"/>
        <v>0</v>
      </c>
      <c r="O1487" s="4"/>
      <c r="P1487" s="15"/>
      <c r="Q1487" s="14">
        <f t="shared" si="623"/>
        <v>0</v>
      </c>
      <c r="R1487" s="186"/>
      <c r="S1487" s="6"/>
      <c r="T1487" s="234"/>
      <c r="U1487" s="14">
        <f t="shared" si="624"/>
        <v>0</v>
      </c>
      <c r="V1487" s="209"/>
    </row>
    <row r="1488" spans="2:22" x14ac:dyDescent="0.15">
      <c r="B1488" s="4" t="s">
        <v>749</v>
      </c>
      <c r="C1488" s="233">
        <v>3</v>
      </c>
      <c r="D1488" s="234"/>
      <c r="E1488" s="234"/>
      <c r="F1488" s="220">
        <f t="shared" si="621"/>
        <v>3</v>
      </c>
      <c r="G1488" s="248">
        <v>45206</v>
      </c>
      <c r="H1488" s="4"/>
      <c r="I1488" s="233"/>
      <c r="J1488" s="234"/>
      <c r="K1488" s="234"/>
      <c r="L1488" s="220">
        <f t="shared" si="625"/>
        <v>0</v>
      </c>
      <c r="O1488" s="4"/>
      <c r="P1488" s="15"/>
      <c r="Q1488" s="14">
        <f t="shared" si="623"/>
        <v>0</v>
      </c>
      <c r="R1488" s="186"/>
      <c r="S1488" s="6"/>
      <c r="T1488" s="234"/>
      <c r="U1488" s="14">
        <f t="shared" si="624"/>
        <v>0</v>
      </c>
      <c r="V1488" s="209"/>
    </row>
    <row r="1489" spans="2:22" x14ac:dyDescent="0.15">
      <c r="B1489" s="4" t="s">
        <v>764</v>
      </c>
      <c r="C1489" s="233"/>
      <c r="D1489" s="234"/>
      <c r="E1489" s="234">
        <v>10</v>
      </c>
      <c r="F1489" s="220">
        <f t="shared" si="621"/>
        <v>10</v>
      </c>
      <c r="G1489" s="211">
        <v>45210</v>
      </c>
      <c r="H1489" s="4"/>
      <c r="I1489" s="233"/>
      <c r="J1489" s="234"/>
      <c r="K1489" s="234"/>
      <c r="L1489" s="220">
        <f t="shared" si="625"/>
        <v>0</v>
      </c>
      <c r="O1489" s="4"/>
      <c r="P1489" s="15"/>
      <c r="Q1489" s="14">
        <f t="shared" si="623"/>
        <v>0</v>
      </c>
      <c r="R1489" s="186"/>
      <c r="S1489" s="6"/>
      <c r="T1489" s="234"/>
      <c r="U1489" s="14">
        <f t="shared" si="624"/>
        <v>0</v>
      </c>
      <c r="V1489" s="209"/>
    </row>
    <row r="1490" spans="2:22" x14ac:dyDescent="0.15">
      <c r="B1490" s="4" t="s">
        <v>749</v>
      </c>
      <c r="C1490" s="233">
        <v>4</v>
      </c>
      <c r="D1490" s="234"/>
      <c r="E1490" s="234"/>
      <c r="F1490" s="220">
        <f t="shared" si="621"/>
        <v>4</v>
      </c>
      <c r="G1490" s="248">
        <v>45209</v>
      </c>
      <c r="H1490" s="4"/>
      <c r="I1490" s="233"/>
      <c r="J1490" s="234"/>
      <c r="K1490" s="234"/>
      <c r="L1490" s="220">
        <f t="shared" si="625"/>
        <v>0</v>
      </c>
      <c r="O1490" s="4"/>
      <c r="P1490" s="15"/>
      <c r="Q1490" s="14">
        <f t="shared" si="623"/>
        <v>0</v>
      </c>
      <c r="R1490" s="186"/>
      <c r="S1490" s="6"/>
      <c r="T1490" s="234"/>
      <c r="U1490" s="14">
        <f t="shared" si="624"/>
        <v>0</v>
      </c>
      <c r="V1490" s="209"/>
    </row>
    <row r="1491" spans="2:22" x14ac:dyDescent="0.15">
      <c r="B1491" s="4" t="s">
        <v>749</v>
      </c>
      <c r="C1491" s="233">
        <f>1+1</f>
        <v>2</v>
      </c>
      <c r="D1491" s="234"/>
      <c r="E1491" s="234"/>
      <c r="F1491" s="220">
        <f t="shared" si="621"/>
        <v>2</v>
      </c>
      <c r="G1491" s="248">
        <v>45210</v>
      </c>
      <c r="H1491" s="4"/>
      <c r="I1491" s="233"/>
      <c r="J1491" s="234"/>
      <c r="K1491" s="234"/>
      <c r="L1491" s="220">
        <f t="shared" si="625"/>
        <v>0</v>
      </c>
      <c r="O1491" s="4"/>
      <c r="P1491" s="15"/>
      <c r="Q1491" s="14">
        <f t="shared" si="623"/>
        <v>0</v>
      </c>
      <c r="R1491" s="186"/>
      <c r="S1491" s="4"/>
      <c r="T1491" s="234"/>
      <c r="U1491" s="14">
        <f t="shared" si="624"/>
        <v>0</v>
      </c>
      <c r="V1491" s="209"/>
    </row>
    <row r="1492" spans="2:22" x14ac:dyDescent="0.15">
      <c r="B1492" s="4" t="s">
        <v>749</v>
      </c>
      <c r="C1492" s="233"/>
      <c r="D1492" s="234">
        <v>1</v>
      </c>
      <c r="E1492" s="234">
        <v>1</v>
      </c>
      <c r="F1492" s="220">
        <f t="shared" si="621"/>
        <v>2</v>
      </c>
      <c r="G1492" s="211">
        <v>45212</v>
      </c>
      <c r="H1492" s="4"/>
      <c r="I1492" s="233"/>
      <c r="J1492" s="234"/>
      <c r="K1492" s="234"/>
      <c r="L1492" s="220">
        <f t="shared" si="625"/>
        <v>0</v>
      </c>
      <c r="O1492" s="4"/>
      <c r="P1492" s="15"/>
      <c r="Q1492" s="14">
        <f t="shared" si="623"/>
        <v>0</v>
      </c>
      <c r="R1492" s="186"/>
      <c r="S1492" s="4"/>
      <c r="T1492" s="234"/>
      <c r="U1492" s="14">
        <f t="shared" si="624"/>
        <v>0</v>
      </c>
      <c r="V1492" s="209"/>
    </row>
    <row r="1493" spans="2:22" x14ac:dyDescent="0.15">
      <c r="B1493" s="4" t="s">
        <v>749</v>
      </c>
      <c r="C1493" s="233">
        <v>2</v>
      </c>
      <c r="D1493" s="234"/>
      <c r="E1493" s="234"/>
      <c r="F1493" s="220">
        <f t="shared" si="621"/>
        <v>2</v>
      </c>
      <c r="G1493" s="248">
        <v>45215</v>
      </c>
      <c r="H1493" s="4"/>
      <c r="I1493" s="187"/>
      <c r="J1493" s="15"/>
      <c r="K1493" s="15"/>
      <c r="L1493" s="220">
        <f t="shared" si="625"/>
        <v>0</v>
      </c>
      <c r="O1493" s="4"/>
      <c r="P1493" s="15"/>
      <c r="Q1493" s="14">
        <f t="shared" si="623"/>
        <v>0</v>
      </c>
      <c r="R1493" s="186"/>
      <c r="S1493" s="4"/>
      <c r="T1493" s="234"/>
      <c r="U1493" s="14">
        <f t="shared" si="624"/>
        <v>0</v>
      </c>
      <c r="V1493" s="209"/>
    </row>
    <row r="1494" spans="2:22" x14ac:dyDescent="0.15">
      <c r="B1494" s="4" t="s">
        <v>749</v>
      </c>
      <c r="C1494" s="233"/>
      <c r="D1494" s="234">
        <v>3</v>
      </c>
      <c r="E1494" s="234"/>
      <c r="F1494" s="220">
        <f t="shared" si="621"/>
        <v>3</v>
      </c>
      <c r="G1494" s="248">
        <v>45220</v>
      </c>
      <c r="H1494" s="4"/>
      <c r="I1494" s="187"/>
      <c r="J1494" s="15"/>
      <c r="K1494" s="15"/>
      <c r="L1494" s="220">
        <f t="shared" si="625"/>
        <v>0</v>
      </c>
      <c r="O1494" s="4"/>
      <c r="P1494" s="15"/>
      <c r="Q1494" s="14">
        <f t="shared" si="623"/>
        <v>0</v>
      </c>
      <c r="R1494" s="186"/>
      <c r="S1494" s="4"/>
      <c r="T1494" s="234"/>
      <c r="U1494" s="14">
        <f t="shared" si="624"/>
        <v>0</v>
      </c>
      <c r="V1494" s="209"/>
    </row>
    <row r="1495" spans="2:22" x14ac:dyDescent="0.15">
      <c r="B1495" s="4" t="s">
        <v>749</v>
      </c>
      <c r="C1495" s="233"/>
      <c r="D1495" s="234">
        <v>1</v>
      </c>
      <c r="E1495" s="234"/>
      <c r="F1495" s="220">
        <f t="shared" si="621"/>
        <v>1</v>
      </c>
      <c r="G1495" s="211">
        <v>45229</v>
      </c>
      <c r="H1495" s="4"/>
      <c r="I1495" s="187"/>
      <c r="J1495" s="15"/>
      <c r="K1495" s="15"/>
      <c r="L1495" s="220">
        <f t="shared" si="625"/>
        <v>0</v>
      </c>
      <c r="O1495" s="4"/>
      <c r="P1495" s="15"/>
      <c r="Q1495" s="14">
        <f t="shared" si="623"/>
        <v>0</v>
      </c>
      <c r="R1495" s="186"/>
      <c r="S1495" s="4"/>
      <c r="T1495" s="234"/>
      <c r="U1495" s="14">
        <f t="shared" si="624"/>
        <v>0</v>
      </c>
      <c r="V1495" s="209"/>
    </row>
    <row r="1496" spans="2:22" x14ac:dyDescent="0.15">
      <c r="B1496" s="4" t="s">
        <v>749</v>
      </c>
      <c r="C1496" s="233"/>
      <c r="D1496" s="234">
        <v>1</v>
      </c>
      <c r="E1496" s="234"/>
      <c r="F1496" s="220">
        <f t="shared" si="621"/>
        <v>1</v>
      </c>
      <c r="G1496" s="248">
        <v>45234</v>
      </c>
      <c r="H1496" s="6"/>
      <c r="I1496" s="188"/>
      <c r="J1496" s="15"/>
      <c r="K1496" s="15"/>
      <c r="L1496" s="220">
        <f t="shared" si="625"/>
        <v>0</v>
      </c>
      <c r="O1496" s="6"/>
      <c r="P1496" s="15"/>
      <c r="Q1496" s="14">
        <f t="shared" si="623"/>
        <v>0</v>
      </c>
      <c r="R1496" s="186"/>
      <c r="S1496" s="6"/>
      <c r="T1496" s="234"/>
      <c r="U1496" s="14">
        <f t="shared" si="624"/>
        <v>0</v>
      </c>
      <c r="V1496" s="209"/>
    </row>
    <row r="1497" spans="2:22" x14ac:dyDescent="0.15">
      <c r="B1497" s="4" t="s">
        <v>749</v>
      </c>
      <c r="C1497" s="233"/>
      <c r="D1497" s="234">
        <v>1</v>
      </c>
      <c r="E1497" s="234"/>
      <c r="F1497" s="220">
        <f t="shared" si="621"/>
        <v>1</v>
      </c>
      <c r="G1497" s="211">
        <v>45236</v>
      </c>
      <c r="H1497" s="6"/>
      <c r="I1497" s="188"/>
      <c r="J1497" s="15"/>
      <c r="K1497" s="15"/>
      <c r="L1497" s="220">
        <f t="shared" si="625"/>
        <v>0</v>
      </c>
      <c r="O1497" s="6"/>
      <c r="P1497" s="15"/>
      <c r="Q1497" s="14">
        <f t="shared" si="623"/>
        <v>0</v>
      </c>
      <c r="R1497" s="186"/>
      <c r="S1497" s="6"/>
      <c r="T1497" s="234"/>
      <c r="U1497" s="14">
        <f t="shared" si="624"/>
        <v>0</v>
      </c>
      <c r="V1497" s="209"/>
    </row>
    <row r="1498" spans="2:22" x14ac:dyDescent="0.15">
      <c r="B1498" s="4" t="s">
        <v>749</v>
      </c>
      <c r="C1498" s="233">
        <v>2</v>
      </c>
      <c r="D1498" s="234"/>
      <c r="E1498" s="234"/>
      <c r="F1498" s="220">
        <f t="shared" si="621"/>
        <v>2</v>
      </c>
      <c r="G1498" s="211">
        <v>45237</v>
      </c>
      <c r="H1498" s="4"/>
      <c r="I1498" s="187"/>
      <c r="J1498" s="15"/>
      <c r="K1498" s="15"/>
      <c r="L1498" s="220">
        <f t="shared" si="625"/>
        <v>0</v>
      </c>
      <c r="O1498" s="4"/>
      <c r="P1498" s="15"/>
      <c r="Q1498" s="14">
        <f t="shared" si="623"/>
        <v>0</v>
      </c>
      <c r="R1498" s="186"/>
      <c r="S1498" s="4"/>
      <c r="T1498" s="234"/>
      <c r="U1498" s="14">
        <f t="shared" si="624"/>
        <v>0</v>
      </c>
      <c r="V1498" s="209"/>
    </row>
    <row r="1499" spans="2:22" x14ac:dyDescent="0.15">
      <c r="B1499" s="4" t="s">
        <v>749</v>
      </c>
      <c r="C1499" s="233">
        <v>2</v>
      </c>
      <c r="D1499" s="234"/>
      <c r="E1499" s="234"/>
      <c r="F1499" s="220">
        <f t="shared" si="621"/>
        <v>2</v>
      </c>
      <c r="G1499" s="248">
        <v>45243</v>
      </c>
      <c r="H1499" s="4"/>
      <c r="I1499" s="187"/>
      <c r="J1499" s="15"/>
      <c r="K1499" s="15"/>
      <c r="L1499" s="220">
        <f t="shared" si="625"/>
        <v>0</v>
      </c>
      <c r="O1499" s="4"/>
      <c r="P1499" s="15"/>
      <c r="Q1499" s="14">
        <f t="shared" si="623"/>
        <v>0</v>
      </c>
      <c r="R1499" s="186"/>
      <c r="S1499" s="4"/>
      <c r="T1499" s="234"/>
      <c r="U1499" s="14">
        <f t="shared" si="624"/>
        <v>0</v>
      </c>
      <c r="V1499" s="209"/>
    </row>
    <row r="1500" spans="2:22" x14ac:dyDescent="0.15">
      <c r="B1500" s="4" t="s">
        <v>749</v>
      </c>
      <c r="C1500" s="233">
        <v>4</v>
      </c>
      <c r="D1500" s="234">
        <v>1</v>
      </c>
      <c r="E1500" s="234">
        <v>1</v>
      </c>
      <c r="F1500" s="220">
        <f t="shared" si="621"/>
        <v>6</v>
      </c>
      <c r="G1500" s="248">
        <v>45257</v>
      </c>
      <c r="H1500" s="4"/>
      <c r="I1500" s="187"/>
      <c r="J1500" s="15"/>
      <c r="K1500" s="15"/>
      <c r="L1500" s="220">
        <f t="shared" si="625"/>
        <v>0</v>
      </c>
      <c r="O1500" s="4"/>
      <c r="P1500" s="15"/>
      <c r="Q1500" s="14">
        <f t="shared" si="623"/>
        <v>0</v>
      </c>
      <c r="R1500" s="186"/>
      <c r="S1500" s="4"/>
      <c r="T1500" s="234"/>
      <c r="U1500" s="14">
        <f t="shared" si="624"/>
        <v>0</v>
      </c>
      <c r="V1500" s="209"/>
    </row>
    <row r="1501" spans="2:22" x14ac:dyDescent="0.15">
      <c r="B1501" s="4" t="s">
        <v>749</v>
      </c>
      <c r="C1501" s="233">
        <v>2</v>
      </c>
      <c r="D1501" s="234"/>
      <c r="E1501" s="234"/>
      <c r="F1501" s="220">
        <f t="shared" si="621"/>
        <v>2</v>
      </c>
      <c r="G1501" s="248">
        <v>45261</v>
      </c>
      <c r="H1501" s="4"/>
      <c r="I1501" s="187"/>
      <c r="J1501" s="15"/>
      <c r="K1501" s="15"/>
      <c r="L1501" s="220">
        <f t="shared" si="625"/>
        <v>0</v>
      </c>
      <c r="O1501" s="6"/>
      <c r="P1501" s="15"/>
      <c r="Q1501" s="14">
        <f t="shared" si="623"/>
        <v>0</v>
      </c>
      <c r="R1501" s="186"/>
      <c r="S1501" s="4"/>
      <c r="T1501" s="234"/>
      <c r="U1501" s="14">
        <f t="shared" si="624"/>
        <v>0</v>
      </c>
      <c r="V1501" s="209"/>
    </row>
    <row r="1502" spans="2:22" x14ac:dyDescent="0.15">
      <c r="B1502" s="4" t="s">
        <v>749</v>
      </c>
      <c r="C1502" s="233"/>
      <c r="D1502" s="234"/>
      <c r="E1502" s="234">
        <v>1</v>
      </c>
      <c r="F1502" s="220">
        <f t="shared" si="621"/>
        <v>1</v>
      </c>
      <c r="G1502" s="248">
        <v>45264</v>
      </c>
      <c r="H1502" s="4"/>
      <c r="I1502" s="187"/>
      <c r="J1502" s="15"/>
      <c r="K1502" s="15"/>
      <c r="L1502" s="220">
        <f t="shared" si="625"/>
        <v>0</v>
      </c>
      <c r="O1502" s="4"/>
      <c r="P1502" s="15"/>
      <c r="Q1502" s="14">
        <f t="shared" si="623"/>
        <v>0</v>
      </c>
      <c r="R1502" s="186"/>
      <c r="S1502" s="4"/>
      <c r="T1502" s="234"/>
      <c r="U1502" s="14">
        <f t="shared" si="624"/>
        <v>0</v>
      </c>
      <c r="V1502" s="209"/>
    </row>
    <row r="1503" spans="2:22" x14ac:dyDescent="0.15">
      <c r="B1503" s="4" t="s">
        <v>749</v>
      </c>
      <c r="C1503" s="233">
        <v>1</v>
      </c>
      <c r="D1503" s="234">
        <v>1</v>
      </c>
      <c r="E1503" s="234"/>
      <c r="F1503" s="220">
        <f t="shared" si="621"/>
        <v>2</v>
      </c>
      <c r="G1503" s="211">
        <v>45266</v>
      </c>
      <c r="H1503" s="4"/>
      <c r="I1503" s="187"/>
      <c r="J1503" s="15"/>
      <c r="K1503" s="15"/>
      <c r="L1503" s="220">
        <f t="shared" si="625"/>
        <v>0</v>
      </c>
      <c r="O1503" s="6"/>
      <c r="P1503" s="15"/>
      <c r="Q1503" s="14">
        <f t="shared" si="623"/>
        <v>0</v>
      </c>
      <c r="R1503" s="186"/>
      <c r="S1503" s="4"/>
      <c r="T1503" s="234"/>
      <c r="U1503" s="14">
        <f t="shared" si="624"/>
        <v>0</v>
      </c>
      <c r="V1503" s="209"/>
    </row>
    <row r="1504" spans="2:22" x14ac:dyDescent="0.15">
      <c r="B1504" s="4" t="s">
        <v>749</v>
      </c>
      <c r="C1504" s="233">
        <v>1</v>
      </c>
      <c r="D1504" s="234"/>
      <c r="E1504" s="234">
        <v>1</v>
      </c>
      <c r="F1504" s="220">
        <f t="shared" si="621"/>
        <v>2</v>
      </c>
      <c r="G1504" s="211">
        <v>45279</v>
      </c>
      <c r="H1504" s="4"/>
      <c r="I1504" s="187"/>
      <c r="J1504" s="15"/>
      <c r="K1504" s="15"/>
      <c r="L1504" s="220">
        <f t="shared" si="625"/>
        <v>0</v>
      </c>
      <c r="O1504" s="4"/>
      <c r="P1504" s="15"/>
      <c r="Q1504" s="14">
        <f t="shared" si="623"/>
        <v>0</v>
      </c>
      <c r="R1504" s="186"/>
      <c r="S1504" s="4"/>
      <c r="T1504" s="234"/>
      <c r="U1504" s="14">
        <f t="shared" si="624"/>
        <v>0</v>
      </c>
      <c r="V1504" s="209"/>
    </row>
    <row r="1505" spans="2:22" x14ac:dyDescent="0.15">
      <c r="B1505" s="4" t="s">
        <v>749</v>
      </c>
      <c r="C1505" s="233">
        <v>10</v>
      </c>
      <c r="D1505" s="234"/>
      <c r="E1505" s="234"/>
      <c r="F1505" s="220">
        <f t="shared" si="621"/>
        <v>10</v>
      </c>
      <c r="G1505" s="211">
        <v>45283</v>
      </c>
      <c r="H1505" s="4"/>
      <c r="I1505" s="187"/>
      <c r="J1505" s="15"/>
      <c r="K1505" s="15"/>
      <c r="L1505" s="220">
        <f t="shared" si="625"/>
        <v>0</v>
      </c>
      <c r="O1505" s="4"/>
      <c r="P1505" s="15"/>
      <c r="Q1505" s="14">
        <f t="shared" si="623"/>
        <v>0</v>
      </c>
      <c r="R1505" s="186"/>
      <c r="S1505" s="4"/>
      <c r="T1505" s="234"/>
      <c r="U1505" s="14">
        <f t="shared" si="624"/>
        <v>0</v>
      </c>
      <c r="V1505" s="209"/>
    </row>
    <row r="1506" spans="2:22" x14ac:dyDescent="0.15">
      <c r="B1506" s="4"/>
      <c r="C1506" s="233"/>
      <c r="D1506" s="234"/>
      <c r="E1506" s="234"/>
      <c r="F1506" s="220">
        <f t="shared" si="621"/>
        <v>0</v>
      </c>
      <c r="G1506" s="248"/>
      <c r="H1506" s="4"/>
      <c r="I1506" s="187"/>
      <c r="J1506" s="15"/>
      <c r="K1506" s="15"/>
      <c r="L1506" s="220">
        <f t="shared" si="625"/>
        <v>0</v>
      </c>
      <c r="O1506" s="4"/>
      <c r="P1506" s="15"/>
      <c r="Q1506" s="14">
        <f t="shared" si="623"/>
        <v>0</v>
      </c>
      <c r="R1506" s="186"/>
      <c r="S1506" s="4"/>
      <c r="T1506" s="234"/>
      <c r="U1506" s="14">
        <f t="shared" si="624"/>
        <v>0</v>
      </c>
      <c r="V1506" s="209"/>
    </row>
    <row r="1507" spans="2:22" x14ac:dyDescent="0.15">
      <c r="B1507" s="4"/>
      <c r="C1507" s="233"/>
      <c r="D1507" s="234"/>
      <c r="E1507" s="234"/>
      <c r="F1507" s="220">
        <f t="shared" si="621"/>
        <v>0</v>
      </c>
      <c r="G1507" s="211"/>
      <c r="H1507" s="4"/>
      <c r="I1507" s="187"/>
      <c r="J1507" s="15"/>
      <c r="K1507" s="15"/>
      <c r="L1507" s="220">
        <f t="shared" si="625"/>
        <v>0</v>
      </c>
      <c r="O1507" s="6"/>
      <c r="P1507" s="15"/>
      <c r="Q1507" s="14">
        <f t="shared" si="623"/>
        <v>0</v>
      </c>
      <c r="R1507" s="186"/>
      <c r="S1507" s="4"/>
      <c r="T1507" s="234"/>
      <c r="U1507" s="14">
        <f t="shared" si="624"/>
        <v>0</v>
      </c>
      <c r="V1507" s="209"/>
    </row>
    <row r="1508" spans="2:22" ht="14.25" thickBot="1" x14ac:dyDescent="0.2">
      <c r="B1508" s="4"/>
      <c r="C1508" s="235"/>
      <c r="D1508" s="234"/>
      <c r="E1508" s="234"/>
      <c r="F1508" s="220">
        <f t="shared" si="621"/>
        <v>0</v>
      </c>
      <c r="G1508" s="248"/>
      <c r="H1508" s="4"/>
      <c r="I1508" s="187"/>
      <c r="J1508" s="15"/>
      <c r="K1508" s="15"/>
      <c r="L1508" s="220">
        <f t="shared" ref="L1508" si="626">SUM(I1508:K1508)</f>
        <v>0</v>
      </c>
      <c r="O1508" s="6"/>
      <c r="P1508" s="15"/>
      <c r="Q1508" s="14">
        <f t="shared" si="623"/>
        <v>0</v>
      </c>
      <c r="R1508" s="186"/>
      <c r="S1508" s="4"/>
      <c r="T1508" s="234"/>
      <c r="U1508" s="14">
        <f t="shared" si="624"/>
        <v>0</v>
      </c>
      <c r="V1508" s="209"/>
    </row>
    <row r="1509" spans="2:22" ht="14.25" thickBot="1" x14ac:dyDescent="0.2">
      <c r="B1509" s="3" t="s">
        <v>5</v>
      </c>
      <c r="C1509" s="16">
        <f>SUM(C1485:C1508)</f>
        <v>37</v>
      </c>
      <c r="D1509" s="16">
        <f>SUM(D1485:D1508)</f>
        <v>9</v>
      </c>
      <c r="E1509" s="16">
        <f>SUM(E1485:E1508)</f>
        <v>14</v>
      </c>
      <c r="F1509" s="223">
        <f>SUM(F1485:F1508)</f>
        <v>60</v>
      </c>
      <c r="H1509" s="3" t="s">
        <v>5</v>
      </c>
      <c r="I1509" s="16">
        <f>SUM(I1485:I1508)</f>
        <v>0</v>
      </c>
      <c r="J1509" s="16">
        <f>SUM(J1485:J1508)</f>
        <v>0</v>
      </c>
      <c r="K1509" s="16">
        <f>SUM(K1485:K1508)</f>
        <v>0</v>
      </c>
      <c r="L1509" s="223">
        <f>SUM(L1485:L1508)</f>
        <v>0</v>
      </c>
      <c r="O1509" s="3" t="s">
        <v>5</v>
      </c>
      <c r="P1509" s="16">
        <f>SUM(P1485:P1508)</f>
        <v>0</v>
      </c>
      <c r="Q1509" s="17">
        <f>SUM(Q1485:Q1508)</f>
        <v>0</v>
      </c>
      <c r="S1509" s="3" t="s">
        <v>5</v>
      </c>
      <c r="T1509" s="16">
        <f>SUM(T1485:T1508)</f>
        <v>0</v>
      </c>
      <c r="U1509" s="17">
        <f>SUM(U1485:U1508)</f>
        <v>0</v>
      </c>
    </row>
    <row r="1510" spans="2:22" ht="14.25" thickBot="1" x14ac:dyDescent="0.2">
      <c r="B1510" s="18" t="s">
        <v>6</v>
      </c>
      <c r="C1510" s="19">
        <f>C1484-C1509</f>
        <v>160</v>
      </c>
      <c r="D1510" s="19">
        <f>D1484-D1509</f>
        <v>76</v>
      </c>
      <c r="E1510" s="19">
        <f t="shared" ref="E1510" si="627">E1484-E1509</f>
        <v>37</v>
      </c>
      <c r="F1510" s="221">
        <f>F1484-F1509</f>
        <v>273</v>
      </c>
      <c r="H1510" s="18" t="s">
        <v>6</v>
      </c>
      <c r="I1510" s="19">
        <f>I1484-I1509</f>
        <v>4635</v>
      </c>
      <c r="J1510" s="19">
        <f>J1484-J1509</f>
        <v>1674</v>
      </c>
      <c r="K1510" s="19">
        <f t="shared" ref="K1510" si="628">K1484-K1509</f>
        <v>1202</v>
      </c>
      <c r="L1510" s="221">
        <f>L1484-L1509</f>
        <v>7511</v>
      </c>
      <c r="O1510" s="18" t="s">
        <v>6</v>
      </c>
      <c r="P1510" s="19">
        <f>P1484-P1509</f>
        <v>0</v>
      </c>
      <c r="Q1510" s="13">
        <f>Q1484-Q1509</f>
        <v>0</v>
      </c>
      <c r="S1510" s="18" t="s">
        <v>6</v>
      </c>
      <c r="T1510" s="19">
        <f>T1484-T1509</f>
        <v>2677</v>
      </c>
      <c r="U1510" s="13">
        <f>U1484-U1509</f>
        <v>2677</v>
      </c>
    </row>
    <row r="1512" spans="2:22" ht="42" customHeight="1" x14ac:dyDescent="0.15">
      <c r="B1512" s="298" t="s">
        <v>1228</v>
      </c>
      <c r="C1512" s="298"/>
      <c r="D1512" s="298"/>
      <c r="E1512" s="298"/>
      <c r="F1512" s="298"/>
      <c r="G1512" s="298"/>
      <c r="H1512" s="298"/>
      <c r="I1512" s="298"/>
      <c r="J1512" s="298"/>
      <c r="K1512" s="298"/>
      <c r="L1512" s="298"/>
      <c r="M1512" s="298"/>
      <c r="N1512" s="298"/>
      <c r="O1512" s="298"/>
      <c r="P1512" s="298"/>
      <c r="Q1512" s="298"/>
      <c r="R1512" s="298"/>
      <c r="S1512" s="298"/>
      <c r="T1512" s="298"/>
      <c r="U1512" s="298"/>
    </row>
    <row r="1513" spans="2:22" ht="18" thickBot="1" x14ac:dyDescent="0.25">
      <c r="B1513" s="27" t="s">
        <v>739</v>
      </c>
      <c r="C1513" s="28"/>
      <c r="D1513" s="28"/>
      <c r="E1513" s="28"/>
      <c r="F1513" s="218"/>
      <c r="H1513" s="27" t="s">
        <v>740</v>
      </c>
      <c r="I1513" s="28"/>
      <c r="J1513" s="28"/>
      <c r="K1513" s="28"/>
      <c r="L1513" s="218"/>
      <c r="M1513"/>
      <c r="O1513" s="181" t="s">
        <v>737</v>
      </c>
      <c r="P1513" s="182"/>
      <c r="Q1513" s="182"/>
      <c r="R1513" s="183"/>
      <c r="S1513" s="181" t="s">
        <v>733</v>
      </c>
      <c r="T1513" s="182"/>
      <c r="U1513" s="182"/>
    </row>
    <row r="1514" spans="2:22" ht="14.25" thickBot="1" x14ac:dyDescent="0.2">
      <c r="B1514" s="2"/>
      <c r="C1514" s="194" t="s">
        <v>734</v>
      </c>
      <c r="D1514" s="195" t="s">
        <v>706</v>
      </c>
      <c r="E1514" s="2" t="s">
        <v>735</v>
      </c>
      <c r="F1514" s="219" t="s">
        <v>1</v>
      </c>
      <c r="H1514" s="2"/>
      <c r="I1514" s="197" t="s">
        <v>734</v>
      </c>
      <c r="J1514" s="195" t="s">
        <v>706</v>
      </c>
      <c r="K1514" s="201" t="s">
        <v>735</v>
      </c>
      <c r="L1514" s="219" t="s">
        <v>1</v>
      </c>
      <c r="M1514"/>
      <c r="O1514" s="2"/>
      <c r="P1514" s="3" t="s">
        <v>722</v>
      </c>
      <c r="Q1514" s="2" t="s">
        <v>1</v>
      </c>
      <c r="S1514" s="2"/>
      <c r="T1514" s="3" t="s">
        <v>722</v>
      </c>
      <c r="U1514" s="2" t="s">
        <v>1</v>
      </c>
    </row>
    <row r="1515" spans="2:22" x14ac:dyDescent="0.15">
      <c r="B1515" s="164" t="s">
        <v>26</v>
      </c>
      <c r="C1515" s="200">
        <f>C1510</f>
        <v>160</v>
      </c>
      <c r="D1515" s="164">
        <f t="shared" ref="D1515:F1515" si="629">D1510</f>
        <v>76</v>
      </c>
      <c r="E1515" s="164">
        <f t="shared" si="629"/>
        <v>37</v>
      </c>
      <c r="F1515" s="222">
        <f t="shared" si="629"/>
        <v>273</v>
      </c>
      <c r="H1515" s="164" t="s">
        <v>26</v>
      </c>
      <c r="I1515" s="200">
        <f>I1510</f>
        <v>4635</v>
      </c>
      <c r="J1515" s="164">
        <f t="shared" ref="J1515:L1515" si="630">J1510</f>
        <v>1674</v>
      </c>
      <c r="K1515" s="200">
        <f t="shared" si="630"/>
        <v>1202</v>
      </c>
      <c r="L1515" s="222">
        <f t="shared" si="630"/>
        <v>7511</v>
      </c>
      <c r="M1515" s="269"/>
      <c r="O1515" s="171" t="s">
        <v>26</v>
      </c>
      <c r="P1515" s="200">
        <f>P1510</f>
        <v>0</v>
      </c>
      <c r="Q1515" s="180">
        <f>Q1510</f>
        <v>0</v>
      </c>
      <c r="R1515" s="185"/>
      <c r="S1515" s="43" t="s">
        <v>26</v>
      </c>
      <c r="T1515" s="38">
        <f>T1510</f>
        <v>2677</v>
      </c>
      <c r="U1515" s="39">
        <f>U1510</f>
        <v>2677</v>
      </c>
    </row>
    <row r="1516" spans="2:22" x14ac:dyDescent="0.15">
      <c r="B1516" s="6" t="s">
        <v>3</v>
      </c>
      <c r="C1516" s="6"/>
      <c r="D1516" s="225"/>
      <c r="E1516" s="226"/>
      <c r="F1516" s="220">
        <f t="shared" ref="F1516" si="631">SUM(C1516:E1516)</f>
        <v>0</v>
      </c>
      <c r="H1516" s="6" t="s">
        <v>3</v>
      </c>
      <c r="I1516" s="188"/>
      <c r="J1516" s="225"/>
      <c r="K1516" s="243"/>
      <c r="L1516" s="220">
        <f t="shared" ref="L1516:L1517" si="632">SUM(I1516:K1516)</f>
        <v>0</v>
      </c>
      <c r="M1516" s="212"/>
      <c r="O1516" s="6" t="s">
        <v>3</v>
      </c>
      <c r="P1516" s="7"/>
      <c r="Q1516" s="5">
        <f t="shared" ref="Q1516:Q1525" si="633">SUM(P1516:P1516)</f>
        <v>0</v>
      </c>
      <c r="R1516" s="186"/>
      <c r="S1516" s="6" t="s">
        <v>3</v>
      </c>
      <c r="T1516" s="7"/>
      <c r="U1516" s="5">
        <f t="shared" ref="U1516:U1525" si="634">SUM(T1516:T1516)</f>
        <v>0</v>
      </c>
    </row>
    <row r="1517" spans="2:22" x14ac:dyDescent="0.15">
      <c r="B1517" s="6" t="s">
        <v>3</v>
      </c>
      <c r="C1517" s="6"/>
      <c r="D1517" s="225"/>
      <c r="E1517" s="226"/>
      <c r="F1517" s="220">
        <f t="shared" ref="F1517:F1525" si="635">SUM(C1517:E1517)</f>
        <v>0</v>
      </c>
      <c r="H1517" s="6" t="s">
        <v>3</v>
      </c>
      <c r="I1517" s="188"/>
      <c r="J1517" s="225"/>
      <c r="K1517" s="243"/>
      <c r="L1517" s="220">
        <f t="shared" si="632"/>
        <v>0</v>
      </c>
      <c r="M1517" s="212"/>
      <c r="O1517" s="6" t="s">
        <v>3</v>
      </c>
      <c r="P1517" s="7"/>
      <c r="Q1517" s="5">
        <f t="shared" si="633"/>
        <v>0</v>
      </c>
      <c r="R1517" s="186"/>
      <c r="S1517" s="6" t="s">
        <v>3</v>
      </c>
      <c r="T1517" s="54"/>
      <c r="U1517" s="5">
        <f t="shared" si="634"/>
        <v>0</v>
      </c>
      <c r="V1517" s="209"/>
    </row>
    <row r="1518" spans="2:22" x14ac:dyDescent="0.15">
      <c r="B1518" s="6" t="s">
        <v>3</v>
      </c>
      <c r="C1518" s="6"/>
      <c r="D1518" s="225"/>
      <c r="E1518" s="226"/>
      <c r="F1518" s="220">
        <f t="shared" si="635"/>
        <v>0</v>
      </c>
      <c r="H1518" s="6" t="s">
        <v>3</v>
      </c>
      <c r="I1518" s="188"/>
      <c r="J1518" s="225"/>
      <c r="K1518" s="243"/>
      <c r="L1518" s="220">
        <f t="shared" ref="L1518:L1525" si="636">SUM(I1518:K1518)</f>
        <v>0</v>
      </c>
      <c r="M1518" s="212"/>
      <c r="O1518" s="6" t="s">
        <v>3</v>
      </c>
      <c r="P1518" s="7"/>
      <c r="Q1518" s="5">
        <f t="shared" si="633"/>
        <v>0</v>
      </c>
      <c r="R1518" s="186"/>
      <c r="S1518" s="6" t="s">
        <v>3</v>
      </c>
      <c r="T1518" s="54"/>
      <c r="U1518" s="5">
        <f t="shared" ref="U1518" si="637">SUM(T1518:T1518)</f>
        <v>0</v>
      </c>
      <c r="V1518" s="212"/>
    </row>
    <row r="1519" spans="2:22" x14ac:dyDescent="0.15">
      <c r="B1519" s="6" t="s">
        <v>3</v>
      </c>
      <c r="C1519" s="6"/>
      <c r="D1519" s="225"/>
      <c r="E1519" s="226"/>
      <c r="F1519" s="220">
        <f t="shared" si="635"/>
        <v>0</v>
      </c>
      <c r="H1519" s="6" t="s">
        <v>3</v>
      </c>
      <c r="I1519" s="188"/>
      <c r="J1519" s="225"/>
      <c r="K1519" s="243"/>
      <c r="L1519" s="220">
        <f t="shared" si="636"/>
        <v>0</v>
      </c>
      <c r="O1519" s="6" t="s">
        <v>3</v>
      </c>
      <c r="P1519" s="7"/>
      <c r="Q1519" s="5">
        <f t="shared" si="633"/>
        <v>0</v>
      </c>
      <c r="R1519" s="186"/>
      <c r="S1519" s="6" t="s">
        <v>3</v>
      </c>
      <c r="T1519" s="54"/>
      <c r="U1519" s="5">
        <f t="shared" si="634"/>
        <v>0</v>
      </c>
      <c r="V1519" s="212"/>
    </row>
    <row r="1520" spans="2:22" x14ac:dyDescent="0.15">
      <c r="B1520" s="6" t="s">
        <v>3</v>
      </c>
      <c r="C1520" s="6"/>
      <c r="D1520" s="225"/>
      <c r="E1520" s="226"/>
      <c r="F1520" s="220">
        <f t="shared" si="635"/>
        <v>0</v>
      </c>
      <c r="H1520" s="6" t="s">
        <v>3</v>
      </c>
      <c r="I1520" s="188"/>
      <c r="J1520" s="225"/>
      <c r="K1520" s="243"/>
      <c r="L1520" s="220">
        <f t="shared" si="636"/>
        <v>0</v>
      </c>
      <c r="O1520" s="6" t="s">
        <v>3</v>
      </c>
      <c r="P1520" s="7"/>
      <c r="Q1520" s="5">
        <f t="shared" si="633"/>
        <v>0</v>
      </c>
      <c r="R1520" s="186"/>
      <c r="S1520" s="6" t="s">
        <v>3</v>
      </c>
      <c r="T1520" s="54"/>
      <c r="U1520" s="5">
        <f t="shared" si="634"/>
        <v>0</v>
      </c>
      <c r="V1520" s="209"/>
    </row>
    <row r="1521" spans="2:22" x14ac:dyDescent="0.15">
      <c r="B1521" s="6" t="s">
        <v>3</v>
      </c>
      <c r="C1521" s="6"/>
      <c r="D1521" s="225"/>
      <c r="E1521" s="226"/>
      <c r="F1521" s="220">
        <f t="shared" si="635"/>
        <v>0</v>
      </c>
      <c r="H1521" s="6" t="s">
        <v>3</v>
      </c>
      <c r="I1521" s="188"/>
      <c r="J1521" s="6"/>
      <c r="K1521" s="202"/>
      <c r="L1521" s="220">
        <f t="shared" si="636"/>
        <v>0</v>
      </c>
      <c r="O1521" s="6" t="s">
        <v>3</v>
      </c>
      <c r="P1521" s="7"/>
      <c r="Q1521" s="5">
        <f t="shared" si="633"/>
        <v>0</v>
      </c>
      <c r="R1521" s="186"/>
      <c r="S1521" s="6" t="s">
        <v>3</v>
      </c>
      <c r="T1521" s="7"/>
      <c r="U1521" s="5">
        <f t="shared" si="634"/>
        <v>0</v>
      </c>
      <c r="V1521" s="209"/>
    </row>
    <row r="1522" spans="2:22" x14ac:dyDescent="0.15">
      <c r="B1522" s="6" t="s">
        <v>3</v>
      </c>
      <c r="C1522" s="6"/>
      <c r="D1522" s="225"/>
      <c r="E1522" s="226"/>
      <c r="F1522" s="220">
        <f t="shared" si="635"/>
        <v>0</v>
      </c>
      <c r="H1522" s="6" t="s">
        <v>3</v>
      </c>
      <c r="I1522" s="188"/>
      <c r="J1522" s="225"/>
      <c r="K1522" s="243"/>
      <c r="L1522" s="220">
        <f t="shared" si="636"/>
        <v>0</v>
      </c>
      <c r="O1522" s="6" t="s">
        <v>3</v>
      </c>
      <c r="P1522" s="8"/>
      <c r="Q1522" s="5">
        <f t="shared" si="633"/>
        <v>0</v>
      </c>
      <c r="R1522" s="186"/>
      <c r="S1522" s="6" t="s">
        <v>3</v>
      </c>
      <c r="T1522" s="54"/>
      <c r="U1522" s="5">
        <f t="shared" si="634"/>
        <v>0</v>
      </c>
      <c r="V1522" s="209"/>
    </row>
    <row r="1523" spans="2:22" x14ac:dyDescent="0.15">
      <c r="B1523" s="6" t="s">
        <v>3</v>
      </c>
      <c r="C1523" s="6"/>
      <c r="D1523" s="225"/>
      <c r="E1523" s="226"/>
      <c r="F1523" s="220">
        <f t="shared" si="635"/>
        <v>0</v>
      </c>
      <c r="H1523" s="6" t="s">
        <v>3</v>
      </c>
      <c r="I1523" s="188"/>
      <c r="J1523" s="225"/>
      <c r="K1523" s="243"/>
      <c r="L1523" s="220">
        <f t="shared" si="636"/>
        <v>0</v>
      </c>
      <c r="O1523" s="6" t="s">
        <v>3</v>
      </c>
      <c r="P1523" s="8"/>
      <c r="Q1523" s="5">
        <f t="shared" si="633"/>
        <v>0</v>
      </c>
      <c r="R1523" s="186"/>
      <c r="S1523" s="6" t="s">
        <v>3</v>
      </c>
      <c r="T1523" s="54"/>
      <c r="U1523" s="5">
        <f t="shared" si="634"/>
        <v>0</v>
      </c>
      <c r="V1523" s="209"/>
    </row>
    <row r="1524" spans="2:22" x14ac:dyDescent="0.15">
      <c r="B1524" s="6" t="s">
        <v>3</v>
      </c>
      <c r="C1524" s="6"/>
      <c r="D1524" s="225"/>
      <c r="E1524" s="226"/>
      <c r="F1524" s="220">
        <f t="shared" si="635"/>
        <v>0</v>
      </c>
      <c r="H1524" s="6" t="s">
        <v>3</v>
      </c>
      <c r="I1524" s="188"/>
      <c r="J1524" s="225"/>
      <c r="K1524" s="243"/>
      <c r="L1524" s="220">
        <f t="shared" si="636"/>
        <v>0</v>
      </c>
      <c r="O1524" s="6" t="s">
        <v>3</v>
      </c>
      <c r="P1524" s="8"/>
      <c r="Q1524" s="5">
        <f t="shared" si="633"/>
        <v>0</v>
      </c>
      <c r="R1524" s="186"/>
      <c r="S1524" s="6" t="s">
        <v>3</v>
      </c>
      <c r="T1524" s="54"/>
      <c r="U1524" s="5">
        <f t="shared" si="634"/>
        <v>0</v>
      </c>
      <c r="V1524" s="209"/>
    </row>
    <row r="1525" spans="2:22" ht="14.25" thickBot="1" x14ac:dyDescent="0.2">
      <c r="B1525" s="6" t="s">
        <v>3</v>
      </c>
      <c r="C1525" s="9"/>
      <c r="D1525" s="237"/>
      <c r="E1525" s="238"/>
      <c r="F1525" s="220">
        <f t="shared" si="635"/>
        <v>0</v>
      </c>
      <c r="H1525" s="9" t="s">
        <v>3</v>
      </c>
      <c r="I1525" s="198"/>
      <c r="J1525" s="244"/>
      <c r="K1525" s="245"/>
      <c r="L1525" s="220">
        <f t="shared" si="636"/>
        <v>0</v>
      </c>
      <c r="O1525" s="9" t="s">
        <v>3</v>
      </c>
      <c r="P1525" s="10"/>
      <c r="Q1525" s="5">
        <f t="shared" si="633"/>
        <v>0</v>
      </c>
      <c r="R1525" s="186"/>
      <c r="S1525" s="9" t="s">
        <v>3</v>
      </c>
      <c r="T1525" s="101"/>
      <c r="U1525" s="5">
        <f t="shared" si="634"/>
        <v>0</v>
      </c>
      <c r="V1525" s="209"/>
    </row>
    <row r="1526" spans="2:22" ht="14.25" thickBot="1" x14ac:dyDescent="0.2">
      <c r="B1526" s="11" t="s">
        <v>4</v>
      </c>
      <c r="C1526" s="193">
        <f>SUM(C1515:C1525)</f>
        <v>160</v>
      </c>
      <c r="D1526" s="193">
        <f>SUM(D1515:D1525)</f>
        <v>76</v>
      </c>
      <c r="E1526" s="193">
        <f>SUM(E1515:E1525)</f>
        <v>37</v>
      </c>
      <c r="F1526" s="221">
        <f>SUM(F1515:F1525)</f>
        <v>273</v>
      </c>
      <c r="H1526" s="11" t="s">
        <v>4</v>
      </c>
      <c r="I1526" s="193">
        <f>SUM(I1515:I1525)</f>
        <v>4635</v>
      </c>
      <c r="J1526" s="193">
        <f>SUM(J1515:J1525)</f>
        <v>1674</v>
      </c>
      <c r="K1526" s="193">
        <f t="shared" ref="K1526" si="638">SUM(K1515:K1525)</f>
        <v>1202</v>
      </c>
      <c r="L1526" s="221">
        <f>SUM(L1515:L1525)</f>
        <v>7511</v>
      </c>
      <c r="O1526" s="11" t="s">
        <v>4</v>
      </c>
      <c r="P1526" s="12">
        <f>SUM(P1515:P1525)</f>
        <v>0</v>
      </c>
      <c r="Q1526" s="13">
        <f>SUM(Q1515:Q1525)</f>
        <v>0</v>
      </c>
      <c r="S1526" s="11" t="s">
        <v>4</v>
      </c>
      <c r="T1526" s="12">
        <f>SUM(T1515:T1525)</f>
        <v>2677</v>
      </c>
      <c r="U1526" s="13">
        <f>SUM(U1515:U1525)</f>
        <v>2677</v>
      </c>
      <c r="V1526" s="209"/>
    </row>
    <row r="1527" spans="2:22" x14ac:dyDescent="0.15">
      <c r="B1527" s="4" t="s">
        <v>749</v>
      </c>
      <c r="C1527" s="233">
        <v>2</v>
      </c>
      <c r="D1527" s="234"/>
      <c r="E1527" s="234"/>
      <c r="F1527" s="220">
        <f t="shared" ref="F1527:F1547" si="639">SUM(C1527:E1527)</f>
        <v>2</v>
      </c>
      <c r="G1527" s="248">
        <v>45307</v>
      </c>
      <c r="H1527" s="4"/>
      <c r="I1527" s="233"/>
      <c r="J1527" s="234"/>
      <c r="K1527" s="234"/>
      <c r="L1527" s="220">
        <f t="shared" ref="L1527:L1549" si="640">SUM(I1527:K1527)</f>
        <v>0</v>
      </c>
      <c r="O1527" s="4"/>
      <c r="P1527" s="44"/>
      <c r="Q1527" s="14">
        <f t="shared" ref="Q1527:Q1550" si="641">SUM(P1527:P1527)</f>
        <v>0</v>
      </c>
      <c r="R1527" s="185"/>
      <c r="S1527" s="6"/>
      <c r="T1527" s="234"/>
      <c r="U1527" s="14">
        <f t="shared" ref="U1527:U1550" si="642">SUM(T1527:T1527)</f>
        <v>0</v>
      </c>
      <c r="V1527" s="209"/>
    </row>
    <row r="1528" spans="2:22" x14ac:dyDescent="0.15">
      <c r="B1528" s="4" t="s">
        <v>749</v>
      </c>
      <c r="C1528" s="233">
        <v>1</v>
      </c>
      <c r="D1528" s="234"/>
      <c r="E1528" s="234"/>
      <c r="F1528" s="220">
        <f t="shared" si="639"/>
        <v>1</v>
      </c>
      <c r="G1528" s="248">
        <v>45315</v>
      </c>
      <c r="H1528" s="4"/>
      <c r="I1528" s="233"/>
      <c r="J1528" s="234"/>
      <c r="K1528" s="234"/>
      <c r="L1528" s="220">
        <f t="shared" si="640"/>
        <v>0</v>
      </c>
      <c r="O1528" s="4"/>
      <c r="P1528" s="15"/>
      <c r="Q1528" s="14">
        <f t="shared" si="641"/>
        <v>0</v>
      </c>
      <c r="R1528" s="186"/>
      <c r="S1528" s="6"/>
      <c r="T1528" s="234"/>
      <c r="U1528" s="14">
        <f t="shared" si="642"/>
        <v>0</v>
      </c>
      <c r="V1528" s="209"/>
    </row>
    <row r="1529" spans="2:22" x14ac:dyDescent="0.15">
      <c r="B1529" s="4" t="s">
        <v>749</v>
      </c>
      <c r="C1529" s="233">
        <v>2</v>
      </c>
      <c r="D1529" s="234"/>
      <c r="E1529" s="234"/>
      <c r="F1529" s="220">
        <f t="shared" si="639"/>
        <v>2</v>
      </c>
      <c r="G1529" s="248">
        <v>45324</v>
      </c>
      <c r="H1529" s="4"/>
      <c r="I1529" s="233"/>
      <c r="J1529" s="234"/>
      <c r="K1529" s="234"/>
      <c r="L1529" s="220">
        <f t="shared" si="640"/>
        <v>0</v>
      </c>
      <c r="O1529" s="4"/>
      <c r="P1529" s="15"/>
      <c r="Q1529" s="14">
        <f t="shared" si="641"/>
        <v>0</v>
      </c>
      <c r="R1529" s="186"/>
      <c r="S1529" s="6"/>
      <c r="T1529" s="234"/>
      <c r="U1529" s="14">
        <f t="shared" si="642"/>
        <v>0</v>
      </c>
      <c r="V1529" s="209"/>
    </row>
    <row r="1530" spans="2:22" x14ac:dyDescent="0.15">
      <c r="B1530" s="4" t="s">
        <v>749</v>
      </c>
      <c r="C1530" s="233">
        <v>1</v>
      </c>
      <c r="D1530" s="234">
        <v>1</v>
      </c>
      <c r="E1530" s="234"/>
      <c r="F1530" s="220">
        <f t="shared" si="639"/>
        <v>2</v>
      </c>
      <c r="G1530" s="248">
        <v>45327</v>
      </c>
      <c r="H1530" s="4"/>
      <c r="I1530" s="233"/>
      <c r="J1530" s="234"/>
      <c r="K1530" s="234"/>
      <c r="L1530" s="220">
        <f t="shared" si="640"/>
        <v>0</v>
      </c>
      <c r="O1530" s="4"/>
      <c r="P1530" s="15"/>
      <c r="Q1530" s="14">
        <f t="shared" si="641"/>
        <v>0</v>
      </c>
      <c r="R1530" s="186"/>
      <c r="S1530" s="6"/>
      <c r="T1530" s="234"/>
      <c r="U1530" s="14">
        <f t="shared" si="642"/>
        <v>0</v>
      </c>
      <c r="V1530" s="209"/>
    </row>
    <row r="1531" spans="2:22" x14ac:dyDescent="0.15">
      <c r="B1531" s="4" t="s">
        <v>749</v>
      </c>
      <c r="C1531" s="233">
        <v>2</v>
      </c>
      <c r="D1531" s="234"/>
      <c r="E1531" s="234"/>
      <c r="F1531" s="220">
        <f t="shared" si="639"/>
        <v>2</v>
      </c>
      <c r="G1531" s="248">
        <v>45328</v>
      </c>
      <c r="H1531" s="4"/>
      <c r="I1531" s="233"/>
      <c r="J1531" s="234"/>
      <c r="K1531" s="234"/>
      <c r="L1531" s="220">
        <f t="shared" si="640"/>
        <v>0</v>
      </c>
      <c r="O1531" s="4"/>
      <c r="P1531" s="15"/>
      <c r="Q1531" s="14">
        <f t="shared" si="641"/>
        <v>0</v>
      </c>
      <c r="R1531" s="186"/>
      <c r="S1531" s="6"/>
      <c r="T1531" s="234"/>
      <c r="U1531" s="14">
        <f t="shared" si="642"/>
        <v>0</v>
      </c>
      <c r="V1531" s="209"/>
    </row>
    <row r="1532" spans="2:22" x14ac:dyDescent="0.15">
      <c r="B1532" s="4" t="s">
        <v>764</v>
      </c>
      <c r="C1532" s="233">
        <v>20</v>
      </c>
      <c r="D1532" s="234"/>
      <c r="E1532" s="234"/>
      <c r="F1532" s="220">
        <f t="shared" si="639"/>
        <v>20</v>
      </c>
      <c r="G1532" s="211">
        <v>45329</v>
      </c>
      <c r="H1532" s="4"/>
      <c r="I1532" s="233"/>
      <c r="J1532" s="234"/>
      <c r="K1532" s="234"/>
      <c r="L1532" s="220">
        <f t="shared" si="640"/>
        <v>0</v>
      </c>
      <c r="O1532" s="4"/>
      <c r="P1532" s="15"/>
      <c r="Q1532" s="14">
        <f t="shared" si="641"/>
        <v>0</v>
      </c>
      <c r="R1532" s="186"/>
      <c r="S1532" s="6"/>
      <c r="T1532" s="234"/>
      <c r="U1532" s="14">
        <f t="shared" si="642"/>
        <v>0</v>
      </c>
      <c r="V1532" s="209"/>
    </row>
    <row r="1533" spans="2:22" x14ac:dyDescent="0.15">
      <c r="B1533" s="4" t="s">
        <v>749</v>
      </c>
      <c r="C1533" s="233">
        <f>1+1</f>
        <v>2</v>
      </c>
      <c r="D1533" s="234">
        <v>2</v>
      </c>
      <c r="E1533" s="234"/>
      <c r="F1533" s="220">
        <f t="shared" si="639"/>
        <v>4</v>
      </c>
      <c r="G1533" s="248">
        <v>45335</v>
      </c>
      <c r="H1533" s="4"/>
      <c r="I1533" s="233"/>
      <c r="J1533" s="234"/>
      <c r="K1533" s="234"/>
      <c r="L1533" s="220">
        <f t="shared" si="640"/>
        <v>0</v>
      </c>
      <c r="O1533" s="4"/>
      <c r="P1533" s="15"/>
      <c r="Q1533" s="14">
        <f t="shared" si="641"/>
        <v>0</v>
      </c>
      <c r="R1533" s="186"/>
      <c r="S1533" s="4"/>
      <c r="T1533" s="234"/>
      <c r="U1533" s="14">
        <f t="shared" si="642"/>
        <v>0</v>
      </c>
      <c r="V1533" s="209"/>
    </row>
    <row r="1534" spans="2:22" x14ac:dyDescent="0.15">
      <c r="B1534" s="4" t="s">
        <v>749</v>
      </c>
      <c r="C1534" s="233">
        <f>1+2</f>
        <v>3</v>
      </c>
      <c r="D1534" s="234"/>
      <c r="E1534" s="234"/>
      <c r="F1534" s="220">
        <f t="shared" si="639"/>
        <v>3</v>
      </c>
      <c r="G1534" s="248">
        <v>45337</v>
      </c>
      <c r="H1534" s="4"/>
      <c r="I1534" s="233"/>
      <c r="J1534" s="234"/>
      <c r="K1534" s="234"/>
      <c r="L1534" s="220">
        <f t="shared" si="640"/>
        <v>0</v>
      </c>
      <c r="O1534" s="4"/>
      <c r="P1534" s="15"/>
      <c r="Q1534" s="14">
        <f t="shared" si="641"/>
        <v>0</v>
      </c>
      <c r="R1534" s="186"/>
      <c r="S1534" s="4"/>
      <c r="T1534" s="234"/>
      <c r="U1534" s="14">
        <f t="shared" si="642"/>
        <v>0</v>
      </c>
      <c r="V1534" s="209"/>
    </row>
    <row r="1535" spans="2:22" x14ac:dyDescent="0.15">
      <c r="B1535" s="4" t="s">
        <v>764</v>
      </c>
      <c r="C1535" s="233"/>
      <c r="D1535" s="234"/>
      <c r="E1535" s="234">
        <v>10</v>
      </c>
      <c r="F1535" s="220">
        <f t="shared" si="639"/>
        <v>10</v>
      </c>
      <c r="G1535" s="211">
        <v>45341</v>
      </c>
      <c r="H1535" s="4"/>
      <c r="I1535" s="187"/>
      <c r="J1535" s="15"/>
      <c r="K1535" s="15"/>
      <c r="L1535" s="220">
        <f t="shared" si="640"/>
        <v>0</v>
      </c>
      <c r="O1535" s="4"/>
      <c r="P1535" s="15"/>
      <c r="Q1535" s="14">
        <f t="shared" si="641"/>
        <v>0</v>
      </c>
      <c r="R1535" s="186"/>
      <c r="S1535" s="4"/>
      <c r="T1535" s="234"/>
      <c r="U1535" s="14">
        <f t="shared" si="642"/>
        <v>0</v>
      </c>
      <c r="V1535" s="209"/>
    </row>
    <row r="1536" spans="2:22" x14ac:dyDescent="0.15">
      <c r="B1536" s="4" t="s">
        <v>749</v>
      </c>
      <c r="C1536" s="233">
        <v>3</v>
      </c>
      <c r="D1536" s="234"/>
      <c r="E1536" s="234"/>
      <c r="F1536" s="220">
        <f t="shared" si="639"/>
        <v>3</v>
      </c>
      <c r="G1536" s="248">
        <v>45343</v>
      </c>
      <c r="H1536" s="4"/>
      <c r="I1536" s="187"/>
      <c r="J1536" s="15"/>
      <c r="K1536" s="15"/>
      <c r="L1536" s="220">
        <f t="shared" si="640"/>
        <v>0</v>
      </c>
      <c r="O1536" s="4"/>
      <c r="P1536" s="15"/>
      <c r="Q1536" s="14">
        <f t="shared" si="641"/>
        <v>0</v>
      </c>
      <c r="R1536" s="186"/>
      <c r="S1536" s="4"/>
      <c r="T1536" s="234"/>
      <c r="U1536" s="14">
        <f t="shared" si="642"/>
        <v>0</v>
      </c>
      <c r="V1536" s="209"/>
    </row>
    <row r="1537" spans="2:22" x14ac:dyDescent="0.15">
      <c r="B1537" s="4" t="s">
        <v>749</v>
      </c>
      <c r="C1537" s="233">
        <v>3</v>
      </c>
      <c r="D1537" s="234"/>
      <c r="E1537" s="234"/>
      <c r="F1537" s="220">
        <f t="shared" si="639"/>
        <v>3</v>
      </c>
      <c r="G1537" s="248">
        <v>45344</v>
      </c>
      <c r="H1537" s="4"/>
      <c r="I1537" s="187"/>
      <c r="J1537" s="15"/>
      <c r="K1537" s="15"/>
      <c r="L1537" s="220">
        <f t="shared" si="640"/>
        <v>0</v>
      </c>
      <c r="O1537" s="4"/>
      <c r="P1537" s="15"/>
      <c r="Q1537" s="14">
        <f t="shared" si="641"/>
        <v>0</v>
      </c>
      <c r="R1537" s="186"/>
      <c r="S1537" s="4"/>
      <c r="T1537" s="234"/>
      <c r="U1537" s="14">
        <f t="shared" si="642"/>
        <v>0</v>
      </c>
      <c r="V1537" s="209"/>
    </row>
    <row r="1538" spans="2:22" x14ac:dyDescent="0.15">
      <c r="B1538" s="4" t="s">
        <v>749</v>
      </c>
      <c r="C1538" s="233">
        <v>2</v>
      </c>
      <c r="D1538" s="234"/>
      <c r="E1538" s="234"/>
      <c r="F1538" s="220">
        <f t="shared" si="639"/>
        <v>2</v>
      </c>
      <c r="G1538" s="248">
        <v>45348</v>
      </c>
      <c r="H1538" s="6"/>
      <c r="I1538" s="188"/>
      <c r="J1538" s="15"/>
      <c r="K1538" s="15"/>
      <c r="L1538" s="220">
        <f t="shared" si="640"/>
        <v>0</v>
      </c>
      <c r="O1538" s="6"/>
      <c r="P1538" s="15"/>
      <c r="Q1538" s="14">
        <f t="shared" si="641"/>
        <v>0</v>
      </c>
      <c r="R1538" s="186"/>
      <c r="S1538" s="6"/>
      <c r="T1538" s="234"/>
      <c r="U1538" s="14">
        <f t="shared" si="642"/>
        <v>0</v>
      </c>
      <c r="V1538" s="209"/>
    </row>
    <row r="1539" spans="2:22" x14ac:dyDescent="0.15">
      <c r="B1539" s="4" t="s">
        <v>867</v>
      </c>
      <c r="C1539" s="233">
        <v>1</v>
      </c>
      <c r="D1539" s="234">
        <v>1</v>
      </c>
      <c r="E1539" s="234">
        <v>1</v>
      </c>
      <c r="F1539" s="220">
        <f t="shared" si="639"/>
        <v>3</v>
      </c>
      <c r="G1539" s="248">
        <v>45349</v>
      </c>
      <c r="H1539" s="6"/>
      <c r="I1539" s="188"/>
      <c r="J1539" s="15"/>
      <c r="K1539" s="15"/>
      <c r="L1539" s="220">
        <f t="shared" si="640"/>
        <v>0</v>
      </c>
      <c r="O1539" s="6"/>
      <c r="P1539" s="15"/>
      <c r="Q1539" s="14">
        <f t="shared" si="641"/>
        <v>0</v>
      </c>
      <c r="R1539" s="186"/>
      <c r="S1539" s="6"/>
      <c r="T1539" s="234"/>
      <c r="U1539" s="14">
        <f t="shared" si="642"/>
        <v>0</v>
      </c>
      <c r="V1539" s="209"/>
    </row>
    <row r="1540" spans="2:22" x14ac:dyDescent="0.15">
      <c r="B1540" s="4" t="s">
        <v>749</v>
      </c>
      <c r="C1540" s="233"/>
      <c r="D1540" s="234">
        <v>1</v>
      </c>
      <c r="E1540" s="234"/>
      <c r="F1540" s="220">
        <f t="shared" si="639"/>
        <v>1</v>
      </c>
      <c r="G1540" s="248">
        <v>45300</v>
      </c>
      <c r="H1540" s="4"/>
      <c r="I1540" s="187"/>
      <c r="J1540" s="15"/>
      <c r="K1540" s="15"/>
      <c r="L1540" s="220">
        <f t="shared" si="640"/>
        <v>0</v>
      </c>
      <c r="O1540" s="4"/>
      <c r="P1540" s="15"/>
      <c r="Q1540" s="14">
        <f t="shared" si="641"/>
        <v>0</v>
      </c>
      <c r="R1540" s="186"/>
      <c r="S1540" s="4"/>
      <c r="T1540" s="234"/>
      <c r="U1540" s="14">
        <f t="shared" si="642"/>
        <v>0</v>
      </c>
      <c r="V1540" s="209"/>
    </row>
    <row r="1541" spans="2:22" x14ac:dyDescent="0.15">
      <c r="B1541" s="4" t="s">
        <v>749</v>
      </c>
      <c r="C1541" s="233">
        <v>2</v>
      </c>
      <c r="D1541" s="234"/>
      <c r="E1541" s="234"/>
      <c r="F1541" s="220">
        <f t="shared" si="639"/>
        <v>2</v>
      </c>
      <c r="G1541" s="211">
        <v>45302</v>
      </c>
      <c r="H1541" s="4"/>
      <c r="I1541" s="187"/>
      <c r="J1541" s="15"/>
      <c r="K1541" s="15"/>
      <c r="L1541" s="220">
        <f t="shared" si="640"/>
        <v>0</v>
      </c>
      <c r="O1541" s="4"/>
      <c r="P1541" s="15"/>
      <c r="Q1541" s="14">
        <f t="shared" si="641"/>
        <v>0</v>
      </c>
      <c r="R1541" s="186"/>
      <c r="S1541" s="4"/>
      <c r="T1541" s="234"/>
      <c r="U1541" s="14">
        <f t="shared" si="642"/>
        <v>0</v>
      </c>
      <c r="V1541" s="209"/>
    </row>
    <row r="1542" spans="2:22" x14ac:dyDescent="0.15">
      <c r="B1542" s="4" t="s">
        <v>749</v>
      </c>
      <c r="C1542" s="235">
        <v>1</v>
      </c>
      <c r="D1542" s="234"/>
      <c r="E1542" s="234"/>
      <c r="F1542" s="220">
        <f t="shared" si="639"/>
        <v>1</v>
      </c>
      <c r="G1542" s="248">
        <v>45306</v>
      </c>
      <c r="H1542" s="4"/>
      <c r="I1542" s="187"/>
      <c r="J1542" s="15"/>
      <c r="K1542" s="15"/>
      <c r="L1542" s="220">
        <f t="shared" si="640"/>
        <v>0</v>
      </c>
      <c r="O1542" s="4"/>
      <c r="P1542" s="15"/>
      <c r="Q1542" s="14">
        <f t="shared" si="641"/>
        <v>0</v>
      </c>
      <c r="R1542" s="186"/>
      <c r="S1542" s="4"/>
      <c r="T1542" s="234"/>
      <c r="U1542" s="14">
        <f t="shared" si="642"/>
        <v>0</v>
      </c>
      <c r="V1542" s="209"/>
    </row>
    <row r="1543" spans="2:22" x14ac:dyDescent="0.15">
      <c r="B1543" s="4" t="s">
        <v>749</v>
      </c>
      <c r="C1543" s="233">
        <v>2</v>
      </c>
      <c r="D1543" s="234"/>
      <c r="E1543" s="234"/>
      <c r="F1543" s="220">
        <f t="shared" si="639"/>
        <v>2</v>
      </c>
      <c r="G1543" s="248">
        <v>45356</v>
      </c>
      <c r="H1543" s="4"/>
      <c r="I1543" s="187"/>
      <c r="J1543" s="15"/>
      <c r="K1543" s="15"/>
      <c r="L1543" s="220">
        <f t="shared" si="640"/>
        <v>0</v>
      </c>
      <c r="O1543" s="6"/>
      <c r="P1543" s="15"/>
      <c r="Q1543" s="14">
        <f t="shared" si="641"/>
        <v>0</v>
      </c>
      <c r="R1543" s="186"/>
      <c r="S1543" s="4"/>
      <c r="T1543" s="234"/>
      <c r="U1543" s="14">
        <f t="shared" si="642"/>
        <v>0</v>
      </c>
      <c r="V1543" s="209"/>
    </row>
    <row r="1544" spans="2:22" x14ac:dyDescent="0.15">
      <c r="B1544" s="4" t="s">
        <v>749</v>
      </c>
      <c r="C1544" s="233">
        <v>3</v>
      </c>
      <c r="D1544" s="234">
        <v>2</v>
      </c>
      <c r="E1544" s="234">
        <v>2</v>
      </c>
      <c r="F1544" s="220">
        <f t="shared" si="639"/>
        <v>7</v>
      </c>
      <c r="G1544" s="248">
        <v>45357</v>
      </c>
      <c r="H1544" s="4"/>
      <c r="I1544" s="187"/>
      <c r="J1544" s="15"/>
      <c r="K1544" s="15"/>
      <c r="L1544" s="220">
        <f t="shared" si="640"/>
        <v>0</v>
      </c>
      <c r="O1544" s="4"/>
      <c r="P1544" s="15"/>
      <c r="Q1544" s="14">
        <f t="shared" si="641"/>
        <v>0</v>
      </c>
      <c r="R1544" s="186"/>
      <c r="S1544" s="4"/>
      <c r="T1544" s="234"/>
      <c r="U1544" s="14">
        <f t="shared" si="642"/>
        <v>0</v>
      </c>
      <c r="V1544" s="209"/>
    </row>
    <row r="1545" spans="2:22" x14ac:dyDescent="0.15">
      <c r="B1545" s="4"/>
      <c r="C1545" s="233"/>
      <c r="D1545" s="234"/>
      <c r="E1545" s="234"/>
      <c r="F1545" s="220">
        <f t="shared" si="639"/>
        <v>0</v>
      </c>
      <c r="G1545" s="248"/>
      <c r="H1545" s="4"/>
      <c r="I1545" s="187"/>
      <c r="J1545" s="15"/>
      <c r="K1545" s="15"/>
      <c r="L1545" s="220">
        <f t="shared" si="640"/>
        <v>0</v>
      </c>
      <c r="O1545" s="6"/>
      <c r="P1545" s="15"/>
      <c r="Q1545" s="14">
        <f t="shared" si="641"/>
        <v>0</v>
      </c>
      <c r="R1545" s="186"/>
      <c r="S1545" s="4"/>
      <c r="T1545" s="234"/>
      <c r="U1545" s="14">
        <f t="shared" si="642"/>
        <v>0</v>
      </c>
      <c r="V1545" s="209"/>
    </row>
    <row r="1546" spans="2:22" x14ac:dyDescent="0.15">
      <c r="B1546" s="4"/>
      <c r="C1546" s="233"/>
      <c r="D1546" s="234"/>
      <c r="E1546" s="234"/>
      <c r="F1546" s="220">
        <f t="shared" si="639"/>
        <v>0</v>
      </c>
      <c r="G1546" s="248"/>
      <c r="H1546" s="4"/>
      <c r="I1546" s="187"/>
      <c r="J1546" s="15"/>
      <c r="K1546" s="15"/>
      <c r="L1546" s="220">
        <f t="shared" si="640"/>
        <v>0</v>
      </c>
      <c r="O1546" s="4"/>
      <c r="P1546" s="15"/>
      <c r="Q1546" s="14">
        <f t="shared" si="641"/>
        <v>0</v>
      </c>
      <c r="R1546" s="186"/>
      <c r="S1546" s="4"/>
      <c r="T1546" s="234"/>
      <c r="U1546" s="14">
        <f t="shared" si="642"/>
        <v>0</v>
      </c>
      <c r="V1546" s="209"/>
    </row>
    <row r="1547" spans="2:22" x14ac:dyDescent="0.15">
      <c r="B1547" s="4"/>
      <c r="C1547" s="233"/>
      <c r="D1547" s="234"/>
      <c r="E1547" s="234"/>
      <c r="F1547" s="220">
        <f t="shared" si="639"/>
        <v>0</v>
      </c>
      <c r="G1547" s="248"/>
      <c r="H1547" s="4"/>
      <c r="I1547" s="187"/>
      <c r="J1547" s="15"/>
      <c r="K1547" s="15"/>
      <c r="L1547" s="220">
        <f t="shared" si="640"/>
        <v>0</v>
      </c>
      <c r="O1547" s="4"/>
      <c r="P1547" s="15"/>
      <c r="Q1547" s="14">
        <f t="shared" si="641"/>
        <v>0</v>
      </c>
      <c r="R1547" s="186"/>
      <c r="S1547" s="4"/>
      <c r="T1547" s="234"/>
      <c r="U1547" s="14">
        <f t="shared" si="642"/>
        <v>0</v>
      </c>
      <c r="V1547" s="209"/>
    </row>
    <row r="1548" spans="2:22" x14ac:dyDescent="0.15">
      <c r="B1548" s="4"/>
      <c r="C1548" s="233"/>
      <c r="D1548" s="234"/>
      <c r="E1548" s="234"/>
      <c r="F1548" s="220">
        <f t="shared" ref="F1548:F1550" si="643">SUM(C1548:E1548)</f>
        <v>0</v>
      </c>
      <c r="G1548" s="248"/>
      <c r="H1548" s="4"/>
      <c r="I1548" s="187"/>
      <c r="J1548" s="15"/>
      <c r="K1548" s="15"/>
      <c r="L1548" s="220">
        <f t="shared" si="640"/>
        <v>0</v>
      </c>
      <c r="O1548" s="4"/>
      <c r="P1548" s="15"/>
      <c r="Q1548" s="14">
        <f t="shared" si="641"/>
        <v>0</v>
      </c>
      <c r="R1548" s="186"/>
      <c r="S1548" s="4"/>
      <c r="T1548" s="234"/>
      <c r="U1548" s="14">
        <f t="shared" si="642"/>
        <v>0</v>
      </c>
      <c r="V1548" s="209"/>
    </row>
    <row r="1549" spans="2:22" x14ac:dyDescent="0.15">
      <c r="B1549" s="4"/>
      <c r="C1549" s="233"/>
      <c r="D1549" s="234"/>
      <c r="E1549" s="234"/>
      <c r="F1549" s="220">
        <f t="shared" si="643"/>
        <v>0</v>
      </c>
      <c r="G1549" s="211"/>
      <c r="H1549" s="4"/>
      <c r="I1549" s="187"/>
      <c r="J1549" s="15"/>
      <c r="K1549" s="15"/>
      <c r="L1549" s="220">
        <f t="shared" si="640"/>
        <v>0</v>
      </c>
      <c r="O1549" s="6"/>
      <c r="P1549" s="15"/>
      <c r="Q1549" s="14">
        <f t="shared" si="641"/>
        <v>0</v>
      </c>
      <c r="R1549" s="186"/>
      <c r="S1549" s="4"/>
      <c r="T1549" s="234"/>
      <c r="U1549" s="14">
        <f t="shared" si="642"/>
        <v>0</v>
      </c>
      <c r="V1549" s="209"/>
    </row>
    <row r="1550" spans="2:22" ht="14.25" thickBot="1" x14ac:dyDescent="0.2">
      <c r="B1550" s="6"/>
      <c r="C1550" s="235"/>
      <c r="D1550" s="234"/>
      <c r="E1550" s="234"/>
      <c r="F1550" s="220">
        <f t="shared" si="643"/>
        <v>0</v>
      </c>
      <c r="H1550" s="4"/>
      <c r="I1550" s="187"/>
      <c r="J1550" s="15"/>
      <c r="K1550" s="15"/>
      <c r="L1550" s="220">
        <f t="shared" ref="L1550" si="644">SUM(I1550:K1550)</f>
        <v>0</v>
      </c>
      <c r="O1550" s="6"/>
      <c r="P1550" s="15"/>
      <c r="Q1550" s="14">
        <f t="shared" si="641"/>
        <v>0</v>
      </c>
      <c r="R1550" s="186"/>
      <c r="S1550" s="4"/>
      <c r="T1550" s="234"/>
      <c r="U1550" s="14">
        <f t="shared" si="642"/>
        <v>0</v>
      </c>
      <c r="V1550" s="209"/>
    </row>
    <row r="1551" spans="2:22" ht="14.25" thickBot="1" x14ac:dyDescent="0.2">
      <c r="B1551" s="3" t="s">
        <v>5</v>
      </c>
      <c r="C1551" s="16">
        <f>SUM(C1527:C1550)</f>
        <v>50</v>
      </c>
      <c r="D1551" s="16">
        <f>SUM(D1527:D1550)</f>
        <v>7</v>
      </c>
      <c r="E1551" s="16">
        <f>SUM(E1527:E1550)</f>
        <v>13</v>
      </c>
      <c r="F1551" s="223">
        <f>SUM(F1527:F1550)</f>
        <v>70</v>
      </c>
      <c r="H1551" s="3" t="s">
        <v>5</v>
      </c>
      <c r="I1551" s="16">
        <f>SUM(I1527:I1550)</f>
        <v>0</v>
      </c>
      <c r="J1551" s="16">
        <f>SUM(J1527:J1550)</f>
        <v>0</v>
      </c>
      <c r="K1551" s="16">
        <f>SUM(K1527:K1550)</f>
        <v>0</v>
      </c>
      <c r="L1551" s="223">
        <f>SUM(L1527:L1550)</f>
        <v>0</v>
      </c>
      <c r="O1551" s="3" t="s">
        <v>5</v>
      </c>
      <c r="P1551" s="16">
        <f>SUM(P1527:P1550)</f>
        <v>0</v>
      </c>
      <c r="Q1551" s="17">
        <f>SUM(Q1527:Q1550)</f>
        <v>0</v>
      </c>
      <c r="S1551" s="3" t="s">
        <v>5</v>
      </c>
      <c r="T1551" s="16">
        <f>SUM(T1527:T1550)</f>
        <v>0</v>
      </c>
      <c r="U1551" s="17">
        <f>SUM(U1527:U1550)</f>
        <v>0</v>
      </c>
    </row>
    <row r="1552" spans="2:22" ht="14.25" thickBot="1" x14ac:dyDescent="0.2">
      <c r="B1552" s="18" t="s">
        <v>6</v>
      </c>
      <c r="C1552" s="19">
        <f>C1526-C1551</f>
        <v>110</v>
      </c>
      <c r="D1552" s="19">
        <f>D1526-D1551</f>
        <v>69</v>
      </c>
      <c r="E1552" s="19">
        <f t="shared" ref="E1552" si="645">E1526-E1551</f>
        <v>24</v>
      </c>
      <c r="F1552" s="221">
        <f>F1526-F1551</f>
        <v>203</v>
      </c>
      <c r="H1552" s="18" t="s">
        <v>6</v>
      </c>
      <c r="I1552" s="19">
        <f>I1526-I1551</f>
        <v>4635</v>
      </c>
      <c r="J1552" s="19">
        <f>J1526-J1551</f>
        <v>1674</v>
      </c>
      <c r="K1552" s="19">
        <f t="shared" ref="K1552" si="646">K1526-K1551</f>
        <v>1202</v>
      </c>
      <c r="L1552" s="221">
        <f>L1526-L1551</f>
        <v>7511</v>
      </c>
      <c r="O1552" s="18" t="s">
        <v>6</v>
      </c>
      <c r="P1552" s="19">
        <f>P1526-P1551</f>
        <v>0</v>
      </c>
      <c r="Q1552" s="13">
        <f>Q1526-Q1551</f>
        <v>0</v>
      </c>
      <c r="S1552" s="18" t="s">
        <v>6</v>
      </c>
      <c r="T1552" s="19">
        <f>T1526-T1551</f>
        <v>2677</v>
      </c>
      <c r="U1552" s="13">
        <f>U1526-U1551</f>
        <v>2677</v>
      </c>
    </row>
    <row r="1555" spans="2:21" ht="18" thickBot="1" x14ac:dyDescent="0.25">
      <c r="B1555" s="27" t="s">
        <v>739</v>
      </c>
      <c r="C1555" s="28"/>
      <c r="D1555" s="28"/>
      <c r="E1555" s="28"/>
      <c r="F1555" s="218"/>
      <c r="H1555" s="27" t="s">
        <v>740</v>
      </c>
      <c r="I1555" s="28"/>
      <c r="J1555" s="28"/>
      <c r="K1555" s="28"/>
      <c r="L1555" s="218"/>
      <c r="O1555" s="181" t="s">
        <v>737</v>
      </c>
      <c r="P1555" s="182"/>
      <c r="Q1555" s="182"/>
      <c r="R1555" s="183"/>
      <c r="S1555" s="181" t="s">
        <v>733</v>
      </c>
      <c r="T1555" s="182"/>
      <c r="U1555" s="182"/>
    </row>
    <row r="1556" spans="2:21" ht="14.25" thickBot="1" x14ac:dyDescent="0.2">
      <c r="B1556" s="2"/>
      <c r="C1556" s="194" t="s">
        <v>734</v>
      </c>
      <c r="D1556" s="195" t="s">
        <v>706</v>
      </c>
      <c r="E1556" s="2" t="s">
        <v>735</v>
      </c>
      <c r="F1556" s="219" t="s">
        <v>1</v>
      </c>
      <c r="H1556" s="2"/>
      <c r="I1556" s="197" t="s">
        <v>734</v>
      </c>
      <c r="J1556" s="195" t="s">
        <v>706</v>
      </c>
      <c r="K1556" s="201" t="s">
        <v>735</v>
      </c>
      <c r="L1556" s="219" t="s">
        <v>1</v>
      </c>
      <c r="O1556" s="2"/>
      <c r="P1556" s="3" t="s">
        <v>722</v>
      </c>
      <c r="Q1556" s="2" t="s">
        <v>1</v>
      </c>
      <c r="S1556" s="2"/>
      <c r="T1556" s="3" t="s">
        <v>722</v>
      </c>
      <c r="U1556" s="2" t="s">
        <v>1</v>
      </c>
    </row>
    <row r="1557" spans="2:21" x14ac:dyDescent="0.15">
      <c r="B1557" s="164" t="s">
        <v>26</v>
      </c>
      <c r="C1557" s="200">
        <f>C1552</f>
        <v>110</v>
      </c>
      <c r="D1557" s="164">
        <f t="shared" ref="D1557:F1557" si="647">D1552</f>
        <v>69</v>
      </c>
      <c r="E1557" s="164">
        <f t="shared" si="647"/>
        <v>24</v>
      </c>
      <c r="F1557" s="222">
        <f t="shared" si="647"/>
        <v>203</v>
      </c>
      <c r="H1557" s="164" t="s">
        <v>26</v>
      </c>
      <c r="I1557" s="200">
        <f>I1552</f>
        <v>4635</v>
      </c>
      <c r="J1557" s="164">
        <f t="shared" ref="J1557:L1557" si="648">J1552</f>
        <v>1674</v>
      </c>
      <c r="K1557" s="200">
        <f t="shared" si="648"/>
        <v>1202</v>
      </c>
      <c r="L1557" s="222">
        <f t="shared" si="648"/>
        <v>7511</v>
      </c>
      <c r="O1557" s="171" t="s">
        <v>26</v>
      </c>
      <c r="P1557" s="200">
        <f>P1552</f>
        <v>0</v>
      </c>
      <c r="Q1557" s="180">
        <f>Q1552</f>
        <v>0</v>
      </c>
      <c r="R1557" s="185"/>
      <c r="S1557" s="43" t="s">
        <v>26</v>
      </c>
      <c r="T1557" s="38">
        <f>T1552</f>
        <v>2677</v>
      </c>
      <c r="U1557" s="39">
        <f>U1552</f>
        <v>2677</v>
      </c>
    </row>
    <row r="1558" spans="2:21" x14ac:dyDescent="0.15">
      <c r="B1558" s="6" t="s">
        <v>3</v>
      </c>
      <c r="C1558" s="6">
        <v>35</v>
      </c>
      <c r="D1558" s="225"/>
      <c r="E1558" s="226">
        <v>30</v>
      </c>
      <c r="F1558" s="220">
        <f t="shared" ref="F1558:F1567" si="649">SUM(C1558:E1558)</f>
        <v>65</v>
      </c>
      <c r="G1558" s="248">
        <v>45367</v>
      </c>
      <c r="H1558" s="6" t="s">
        <v>3</v>
      </c>
      <c r="I1558" s="188"/>
      <c r="J1558" s="225"/>
      <c r="K1558" s="243"/>
      <c r="L1558" s="220">
        <f t="shared" ref="L1558:L1567" si="650">SUM(I1558:K1558)</f>
        <v>0</v>
      </c>
      <c r="O1558" s="6" t="s">
        <v>3</v>
      </c>
      <c r="P1558" s="7"/>
      <c r="Q1558" s="5">
        <f t="shared" ref="Q1558:Q1567" si="651">SUM(P1558:P1558)</f>
        <v>0</v>
      </c>
      <c r="R1558" s="186"/>
      <c r="S1558" s="6" t="s">
        <v>3</v>
      </c>
      <c r="T1558" s="7"/>
      <c r="U1558" s="5">
        <f t="shared" ref="U1558:U1567" si="652">SUM(T1558:T1558)</f>
        <v>0</v>
      </c>
    </row>
    <row r="1559" spans="2:21" x14ac:dyDescent="0.15">
      <c r="B1559" s="6" t="s">
        <v>3</v>
      </c>
      <c r="C1559" s="6">
        <v>100</v>
      </c>
      <c r="D1559" s="225">
        <v>65</v>
      </c>
      <c r="E1559" s="226">
        <v>70</v>
      </c>
      <c r="F1559" s="220">
        <f t="shared" si="649"/>
        <v>235</v>
      </c>
      <c r="G1559" s="248">
        <v>45381</v>
      </c>
      <c r="H1559" s="6" t="s">
        <v>3</v>
      </c>
      <c r="I1559" s="188"/>
      <c r="J1559" s="225"/>
      <c r="K1559" s="243"/>
      <c r="L1559" s="220">
        <f t="shared" si="650"/>
        <v>0</v>
      </c>
      <c r="O1559" s="6" t="s">
        <v>3</v>
      </c>
      <c r="P1559" s="7"/>
      <c r="Q1559" s="5">
        <f t="shared" si="651"/>
        <v>0</v>
      </c>
      <c r="R1559" s="186"/>
      <c r="S1559" s="6" t="s">
        <v>3</v>
      </c>
      <c r="T1559" s="54"/>
      <c r="U1559" s="5">
        <f t="shared" si="652"/>
        <v>0</v>
      </c>
    </row>
    <row r="1560" spans="2:21" x14ac:dyDescent="0.15">
      <c r="B1560" s="6" t="s">
        <v>3</v>
      </c>
      <c r="C1560" s="6">
        <v>200</v>
      </c>
      <c r="D1560" s="225"/>
      <c r="E1560" s="226"/>
      <c r="F1560" s="220">
        <f t="shared" si="649"/>
        <v>200</v>
      </c>
      <c r="G1560" s="211">
        <v>45402</v>
      </c>
      <c r="H1560" s="6" t="s">
        <v>3</v>
      </c>
      <c r="I1560" s="188"/>
      <c r="J1560" s="225"/>
      <c r="K1560" s="243"/>
      <c r="L1560" s="220">
        <f t="shared" si="650"/>
        <v>0</v>
      </c>
      <c r="O1560" s="6" t="s">
        <v>3</v>
      </c>
      <c r="P1560" s="7"/>
      <c r="Q1560" s="5">
        <f t="shared" si="651"/>
        <v>0</v>
      </c>
      <c r="R1560" s="186"/>
      <c r="S1560" s="6" t="s">
        <v>3</v>
      </c>
      <c r="T1560" s="54"/>
      <c r="U1560" s="5">
        <f t="shared" si="652"/>
        <v>0</v>
      </c>
    </row>
    <row r="1561" spans="2:21" x14ac:dyDescent="0.15">
      <c r="B1561" s="6" t="s">
        <v>3</v>
      </c>
      <c r="C1561" s="6"/>
      <c r="D1561" s="225"/>
      <c r="E1561" s="226"/>
      <c r="F1561" s="220">
        <f t="shared" si="649"/>
        <v>0</v>
      </c>
      <c r="G1561" s="212"/>
      <c r="H1561" s="6" t="s">
        <v>3</v>
      </c>
      <c r="I1561" s="188"/>
      <c r="J1561" s="225"/>
      <c r="K1561" s="243"/>
      <c r="L1561" s="220">
        <f t="shared" si="650"/>
        <v>0</v>
      </c>
      <c r="O1561" s="6" t="s">
        <v>3</v>
      </c>
      <c r="P1561" s="7"/>
      <c r="Q1561" s="5">
        <f t="shared" si="651"/>
        <v>0</v>
      </c>
      <c r="R1561" s="186"/>
      <c r="S1561" s="6" t="s">
        <v>3</v>
      </c>
      <c r="T1561" s="54"/>
      <c r="U1561" s="5">
        <f t="shared" si="652"/>
        <v>0</v>
      </c>
    </row>
    <row r="1562" spans="2:21" x14ac:dyDescent="0.15">
      <c r="B1562" s="6" t="s">
        <v>3</v>
      </c>
      <c r="C1562" s="6"/>
      <c r="D1562" s="225"/>
      <c r="E1562" s="226"/>
      <c r="F1562" s="220">
        <f t="shared" si="649"/>
        <v>0</v>
      </c>
      <c r="G1562" s="212"/>
      <c r="H1562" s="6" t="s">
        <v>3</v>
      </c>
      <c r="I1562" s="188"/>
      <c r="J1562" s="225"/>
      <c r="K1562" s="243"/>
      <c r="L1562" s="220">
        <f t="shared" si="650"/>
        <v>0</v>
      </c>
      <c r="O1562" s="6" t="s">
        <v>3</v>
      </c>
      <c r="P1562" s="7"/>
      <c r="Q1562" s="5">
        <f t="shared" si="651"/>
        <v>0</v>
      </c>
      <c r="R1562" s="186"/>
      <c r="S1562" s="6" t="s">
        <v>3</v>
      </c>
      <c r="T1562" s="54"/>
      <c r="U1562" s="5">
        <f t="shared" si="652"/>
        <v>0</v>
      </c>
    </row>
    <row r="1563" spans="2:21" x14ac:dyDescent="0.15">
      <c r="B1563" s="6" t="s">
        <v>3</v>
      </c>
      <c r="C1563" s="6"/>
      <c r="D1563" s="225"/>
      <c r="E1563" s="226"/>
      <c r="F1563" s="220">
        <f t="shared" si="649"/>
        <v>0</v>
      </c>
      <c r="H1563" s="6" t="s">
        <v>3</v>
      </c>
      <c r="I1563" s="188"/>
      <c r="J1563" s="6"/>
      <c r="K1563" s="202"/>
      <c r="L1563" s="220">
        <f t="shared" si="650"/>
        <v>0</v>
      </c>
      <c r="O1563" s="6" t="s">
        <v>3</v>
      </c>
      <c r="P1563" s="7"/>
      <c r="Q1563" s="5">
        <f t="shared" si="651"/>
        <v>0</v>
      </c>
      <c r="R1563" s="186"/>
      <c r="S1563" s="6" t="s">
        <v>3</v>
      </c>
      <c r="T1563" s="7"/>
      <c r="U1563" s="5">
        <f t="shared" si="652"/>
        <v>0</v>
      </c>
    </row>
    <row r="1564" spans="2:21" x14ac:dyDescent="0.15">
      <c r="B1564" s="6" t="s">
        <v>3</v>
      </c>
      <c r="C1564" s="6"/>
      <c r="D1564" s="225"/>
      <c r="E1564" s="226"/>
      <c r="F1564" s="220">
        <f t="shared" si="649"/>
        <v>0</v>
      </c>
      <c r="H1564" s="6" t="s">
        <v>3</v>
      </c>
      <c r="I1564" s="188"/>
      <c r="J1564" s="225"/>
      <c r="K1564" s="243"/>
      <c r="L1564" s="220">
        <f t="shared" si="650"/>
        <v>0</v>
      </c>
      <c r="O1564" s="6" t="s">
        <v>3</v>
      </c>
      <c r="P1564" s="8"/>
      <c r="Q1564" s="5">
        <f t="shared" si="651"/>
        <v>0</v>
      </c>
      <c r="R1564" s="186"/>
      <c r="S1564" s="6" t="s">
        <v>3</v>
      </c>
      <c r="T1564" s="54"/>
      <c r="U1564" s="5">
        <f t="shared" si="652"/>
        <v>0</v>
      </c>
    </row>
    <row r="1565" spans="2:21" x14ac:dyDescent="0.15">
      <c r="B1565" s="6" t="s">
        <v>3</v>
      </c>
      <c r="C1565" s="6"/>
      <c r="D1565" s="225"/>
      <c r="E1565" s="226"/>
      <c r="F1565" s="220">
        <f t="shared" si="649"/>
        <v>0</v>
      </c>
      <c r="H1565" s="6" t="s">
        <v>3</v>
      </c>
      <c r="I1565" s="188"/>
      <c r="J1565" s="225"/>
      <c r="K1565" s="243"/>
      <c r="L1565" s="220">
        <f t="shared" si="650"/>
        <v>0</v>
      </c>
      <c r="O1565" s="6" t="s">
        <v>3</v>
      </c>
      <c r="P1565" s="8"/>
      <c r="Q1565" s="5">
        <f t="shared" si="651"/>
        <v>0</v>
      </c>
      <c r="R1565" s="186"/>
      <c r="S1565" s="6" t="s">
        <v>3</v>
      </c>
      <c r="T1565" s="54"/>
      <c r="U1565" s="5">
        <f t="shared" si="652"/>
        <v>0</v>
      </c>
    </row>
    <row r="1566" spans="2:21" x14ac:dyDescent="0.15">
      <c r="B1566" s="6" t="s">
        <v>3</v>
      </c>
      <c r="C1566" s="6"/>
      <c r="D1566" s="225"/>
      <c r="E1566" s="226"/>
      <c r="F1566" s="220">
        <f t="shared" si="649"/>
        <v>0</v>
      </c>
      <c r="H1566" s="6" t="s">
        <v>3</v>
      </c>
      <c r="I1566" s="188"/>
      <c r="J1566" s="225"/>
      <c r="K1566" s="243"/>
      <c r="L1566" s="220">
        <f t="shared" si="650"/>
        <v>0</v>
      </c>
      <c r="O1566" s="6" t="s">
        <v>3</v>
      </c>
      <c r="P1566" s="8"/>
      <c r="Q1566" s="5">
        <f t="shared" si="651"/>
        <v>0</v>
      </c>
      <c r="R1566" s="186"/>
      <c r="S1566" s="6" t="s">
        <v>3</v>
      </c>
      <c r="T1566" s="54"/>
      <c r="U1566" s="5">
        <f t="shared" si="652"/>
        <v>0</v>
      </c>
    </row>
    <row r="1567" spans="2:21" ht="14.25" thickBot="1" x14ac:dyDescent="0.2">
      <c r="B1567" s="6" t="s">
        <v>3</v>
      </c>
      <c r="C1567" s="9"/>
      <c r="D1567" s="237"/>
      <c r="E1567" s="238"/>
      <c r="F1567" s="220">
        <f t="shared" si="649"/>
        <v>0</v>
      </c>
      <c r="H1567" s="9" t="s">
        <v>3</v>
      </c>
      <c r="I1567" s="198"/>
      <c r="J1567" s="244"/>
      <c r="K1567" s="245"/>
      <c r="L1567" s="220">
        <f t="shared" si="650"/>
        <v>0</v>
      </c>
      <c r="O1567" s="9" t="s">
        <v>3</v>
      </c>
      <c r="P1567" s="10"/>
      <c r="Q1567" s="5">
        <f t="shared" si="651"/>
        <v>0</v>
      </c>
      <c r="R1567" s="186"/>
      <c r="S1567" s="9" t="s">
        <v>3</v>
      </c>
      <c r="T1567" s="101"/>
      <c r="U1567" s="5">
        <f t="shared" si="652"/>
        <v>0</v>
      </c>
    </row>
    <row r="1568" spans="2:21" ht="14.25" thickBot="1" x14ac:dyDescent="0.2">
      <c r="B1568" s="11" t="s">
        <v>4</v>
      </c>
      <c r="C1568" s="193">
        <f>SUM(C1557:C1567)</f>
        <v>445</v>
      </c>
      <c r="D1568" s="193">
        <f>SUM(D1557:D1567)</f>
        <v>134</v>
      </c>
      <c r="E1568" s="193">
        <f>SUM(E1557:E1567)</f>
        <v>124</v>
      </c>
      <c r="F1568" s="221">
        <f>SUM(F1557:F1567)</f>
        <v>703</v>
      </c>
      <c r="H1568" s="11" t="s">
        <v>4</v>
      </c>
      <c r="I1568" s="193">
        <f>SUM(I1557:I1567)</f>
        <v>4635</v>
      </c>
      <c r="J1568" s="193">
        <f>SUM(J1557:J1567)</f>
        <v>1674</v>
      </c>
      <c r="K1568" s="193">
        <f t="shared" ref="K1568" si="653">SUM(K1557:K1567)</f>
        <v>1202</v>
      </c>
      <c r="L1568" s="221">
        <f>SUM(L1557:L1567)</f>
        <v>7511</v>
      </c>
      <c r="O1568" s="11" t="s">
        <v>4</v>
      </c>
      <c r="P1568" s="12">
        <f>SUM(P1557:P1567)</f>
        <v>0</v>
      </c>
      <c r="Q1568" s="13">
        <f>SUM(Q1557:Q1567)</f>
        <v>0</v>
      </c>
      <c r="S1568" s="11" t="s">
        <v>4</v>
      </c>
      <c r="T1568" s="12">
        <f>SUM(T1557:T1567)</f>
        <v>2677</v>
      </c>
      <c r="U1568" s="13">
        <f>SUM(U1557:U1567)</f>
        <v>2677</v>
      </c>
    </row>
    <row r="1569" spans="2:22" x14ac:dyDescent="0.15">
      <c r="B1569" s="4" t="s">
        <v>1232</v>
      </c>
      <c r="C1569" s="233">
        <v>23</v>
      </c>
      <c r="D1569" s="234">
        <v>19</v>
      </c>
      <c r="E1569" s="234">
        <v>9</v>
      </c>
      <c r="F1569" s="220">
        <f t="shared" ref="F1569:F1577" si="654">SUM(C1569:E1569)</f>
        <v>51</v>
      </c>
      <c r="G1569" s="211">
        <v>45363</v>
      </c>
      <c r="H1569" s="4" t="s">
        <v>1236</v>
      </c>
      <c r="I1569" s="233">
        <v>35</v>
      </c>
      <c r="J1569" s="234"/>
      <c r="K1569" s="234">
        <v>30</v>
      </c>
      <c r="L1569" s="220">
        <f t="shared" ref="L1569:L1591" si="655">SUM(I1569:K1569)</f>
        <v>65</v>
      </c>
      <c r="M1569" s="248">
        <v>45367</v>
      </c>
      <c r="O1569" s="4"/>
      <c r="P1569" s="44"/>
      <c r="Q1569" s="14">
        <f t="shared" ref="Q1569:Q1592" si="656">SUM(P1569:P1569)</f>
        <v>0</v>
      </c>
      <c r="R1569" s="185"/>
      <c r="S1569" s="6" t="s">
        <v>1240</v>
      </c>
      <c r="T1569" s="234">
        <v>50</v>
      </c>
      <c r="U1569" s="14">
        <f t="shared" ref="U1569:U1592" si="657">SUM(T1569:T1569)</f>
        <v>50</v>
      </c>
      <c r="V1569" s="211">
        <v>45393</v>
      </c>
    </row>
    <row r="1570" spans="2:22" x14ac:dyDescent="0.15">
      <c r="B1570" s="4" t="s">
        <v>749</v>
      </c>
      <c r="C1570" s="233">
        <v>1</v>
      </c>
      <c r="D1570" s="234"/>
      <c r="E1570" s="234"/>
      <c r="F1570" s="220">
        <f t="shared" si="654"/>
        <v>1</v>
      </c>
      <c r="G1570" s="248">
        <v>45362</v>
      </c>
      <c r="H1570" s="4" t="s">
        <v>765</v>
      </c>
      <c r="I1570" s="233">
        <v>100</v>
      </c>
      <c r="J1570" s="234">
        <v>65</v>
      </c>
      <c r="K1570" s="234">
        <v>70</v>
      </c>
      <c r="L1570" s="220">
        <f t="shared" si="655"/>
        <v>235</v>
      </c>
      <c r="M1570" s="248">
        <v>45381</v>
      </c>
      <c r="O1570" s="4"/>
      <c r="P1570" s="15"/>
      <c r="Q1570" s="14">
        <f t="shared" si="656"/>
        <v>0</v>
      </c>
      <c r="R1570" s="186"/>
      <c r="S1570" s="4" t="s">
        <v>1244</v>
      </c>
      <c r="T1570" s="234">
        <v>10</v>
      </c>
      <c r="U1570" s="14">
        <f t="shared" si="657"/>
        <v>10</v>
      </c>
      <c r="V1570" s="211">
        <v>45406</v>
      </c>
    </row>
    <row r="1571" spans="2:22" x14ac:dyDescent="0.15">
      <c r="B1571" s="4" t="s">
        <v>749</v>
      </c>
      <c r="C1571" s="233">
        <v>1</v>
      </c>
      <c r="D1571" s="234"/>
      <c r="E1571" s="234">
        <v>1</v>
      </c>
      <c r="F1571" s="220">
        <f t="shared" si="654"/>
        <v>2</v>
      </c>
      <c r="G1571" s="248">
        <v>45363</v>
      </c>
      <c r="H1571" s="6" t="s">
        <v>1240</v>
      </c>
      <c r="I1571" s="233">
        <v>100</v>
      </c>
      <c r="J1571" s="234"/>
      <c r="K1571" s="234"/>
      <c r="L1571" s="220">
        <f t="shared" si="655"/>
        <v>100</v>
      </c>
      <c r="M1571" s="211">
        <v>45393</v>
      </c>
      <c r="O1571" s="4"/>
      <c r="P1571" s="15"/>
      <c r="Q1571" s="14">
        <f t="shared" si="656"/>
        <v>0</v>
      </c>
      <c r="R1571" s="186"/>
      <c r="S1571" s="6" t="s">
        <v>1251</v>
      </c>
      <c r="T1571" s="234">
        <v>100</v>
      </c>
      <c r="U1571" s="14">
        <f t="shared" si="657"/>
        <v>100</v>
      </c>
      <c r="V1571" s="211">
        <v>45407</v>
      </c>
    </row>
    <row r="1572" spans="2:22" x14ac:dyDescent="0.15">
      <c r="B1572" s="4" t="s">
        <v>749</v>
      </c>
      <c r="C1572" s="233">
        <v>3</v>
      </c>
      <c r="D1572" s="234"/>
      <c r="E1572" s="234">
        <v>1</v>
      </c>
      <c r="F1572" s="220">
        <f t="shared" si="654"/>
        <v>4</v>
      </c>
      <c r="G1572" s="248">
        <v>45369</v>
      </c>
      <c r="H1572" s="4" t="s">
        <v>765</v>
      </c>
      <c r="I1572" s="233">
        <v>200</v>
      </c>
      <c r="J1572" s="234"/>
      <c r="K1572" s="234"/>
      <c r="L1572" s="220">
        <f t="shared" si="655"/>
        <v>200</v>
      </c>
      <c r="M1572" s="211">
        <v>45402</v>
      </c>
      <c r="O1572" s="4"/>
      <c r="P1572" s="15"/>
      <c r="Q1572" s="14">
        <f t="shared" si="656"/>
        <v>0</v>
      </c>
      <c r="R1572" s="186"/>
      <c r="S1572" s="6" t="s">
        <v>1252</v>
      </c>
      <c r="T1572" s="234">
        <v>120</v>
      </c>
      <c r="U1572" s="14">
        <f t="shared" si="657"/>
        <v>120</v>
      </c>
      <c r="V1572" s="211">
        <v>45408</v>
      </c>
    </row>
    <row r="1573" spans="2:22" x14ac:dyDescent="0.15">
      <c r="B1573" s="4" t="s">
        <v>749</v>
      </c>
      <c r="C1573" s="233">
        <v>1</v>
      </c>
      <c r="D1573" s="234">
        <v>1</v>
      </c>
      <c r="E1573" s="234">
        <v>1</v>
      </c>
      <c r="F1573" s="220">
        <f t="shared" si="654"/>
        <v>3</v>
      </c>
      <c r="G1573" s="248">
        <v>45370</v>
      </c>
      <c r="H1573" s="4" t="s">
        <v>1244</v>
      </c>
      <c r="I1573" s="233">
        <v>25</v>
      </c>
      <c r="J1573" s="234">
        <v>55</v>
      </c>
      <c r="K1573" s="234">
        <v>25</v>
      </c>
      <c r="L1573" s="220">
        <f t="shared" si="655"/>
        <v>105</v>
      </c>
      <c r="M1573" s="211">
        <v>45406</v>
      </c>
      <c r="O1573" s="4"/>
      <c r="P1573" s="15"/>
      <c r="Q1573" s="14">
        <f t="shared" si="656"/>
        <v>0</v>
      </c>
      <c r="R1573" s="186"/>
      <c r="S1573" s="4" t="s">
        <v>1253</v>
      </c>
      <c r="T1573" s="234">
        <v>5</v>
      </c>
      <c r="U1573" s="14">
        <f t="shared" si="657"/>
        <v>5</v>
      </c>
      <c r="V1573" s="211">
        <v>45414</v>
      </c>
    </row>
    <row r="1574" spans="2:22" x14ac:dyDescent="0.15">
      <c r="B1574" s="4" t="s">
        <v>749</v>
      </c>
      <c r="C1574" s="233"/>
      <c r="D1574" s="234"/>
      <c r="E1574" s="234">
        <v>2</v>
      </c>
      <c r="F1574" s="220">
        <f t="shared" si="654"/>
        <v>2</v>
      </c>
      <c r="G1574" s="248">
        <v>45372</v>
      </c>
      <c r="H1574" s="6" t="s">
        <v>1251</v>
      </c>
      <c r="I1574" s="233">
        <v>300</v>
      </c>
      <c r="J1574" s="234"/>
      <c r="K1574" s="234"/>
      <c r="L1574" s="220">
        <f t="shared" si="655"/>
        <v>300</v>
      </c>
      <c r="M1574" s="211">
        <v>45407</v>
      </c>
      <c r="O1574" s="4"/>
      <c r="P1574" s="15"/>
      <c r="Q1574" s="14">
        <f t="shared" si="656"/>
        <v>0</v>
      </c>
      <c r="R1574" s="186"/>
      <c r="S1574" s="4" t="s">
        <v>1255</v>
      </c>
      <c r="T1574" s="234">
        <v>2</v>
      </c>
      <c r="U1574" s="14">
        <f t="shared" si="657"/>
        <v>2</v>
      </c>
      <c r="V1574" s="211">
        <v>45415</v>
      </c>
    </row>
    <row r="1575" spans="2:22" x14ac:dyDescent="0.15">
      <c r="B1575" s="4" t="s">
        <v>749</v>
      </c>
      <c r="C1575" s="233">
        <v>2</v>
      </c>
      <c r="D1575" s="234"/>
      <c r="E1575" s="234"/>
      <c r="F1575" s="220">
        <f t="shared" si="654"/>
        <v>2</v>
      </c>
      <c r="G1575" s="248">
        <v>45373</v>
      </c>
      <c r="H1575" s="6" t="s">
        <v>1252</v>
      </c>
      <c r="I1575" s="233">
        <v>100</v>
      </c>
      <c r="J1575" s="234"/>
      <c r="K1575" s="234"/>
      <c r="L1575" s="220">
        <f t="shared" si="655"/>
        <v>100</v>
      </c>
      <c r="M1575" s="211">
        <v>45408</v>
      </c>
      <c r="O1575" s="4"/>
      <c r="P1575" s="15"/>
      <c r="Q1575" s="14">
        <f t="shared" si="656"/>
        <v>0</v>
      </c>
      <c r="R1575" s="186"/>
      <c r="S1575" s="4"/>
      <c r="T1575" s="234"/>
      <c r="U1575" s="14">
        <f t="shared" si="657"/>
        <v>0</v>
      </c>
      <c r="V1575" s="212"/>
    </row>
    <row r="1576" spans="2:22" x14ac:dyDescent="0.15">
      <c r="B1576" s="4" t="s">
        <v>749</v>
      </c>
      <c r="C1576" s="233">
        <v>4</v>
      </c>
      <c r="D1576" s="234"/>
      <c r="E1576" s="234">
        <v>1</v>
      </c>
      <c r="F1576" s="220">
        <f t="shared" si="654"/>
        <v>5</v>
      </c>
      <c r="G1576" s="248">
        <v>45376</v>
      </c>
      <c r="H1576" s="4" t="s">
        <v>1253</v>
      </c>
      <c r="I1576" s="233">
        <v>15</v>
      </c>
      <c r="J1576" s="234"/>
      <c r="K1576" s="234"/>
      <c r="L1576" s="220">
        <f t="shared" si="655"/>
        <v>15</v>
      </c>
      <c r="M1576" s="211">
        <v>45414</v>
      </c>
      <c r="O1576" s="4"/>
      <c r="P1576" s="15"/>
      <c r="Q1576" s="14">
        <f t="shared" si="656"/>
        <v>0</v>
      </c>
      <c r="R1576" s="186"/>
      <c r="S1576" s="4"/>
      <c r="T1576" s="234"/>
      <c r="U1576" s="14">
        <f t="shared" si="657"/>
        <v>0</v>
      </c>
      <c r="V1576" s="209"/>
    </row>
    <row r="1577" spans="2:22" x14ac:dyDescent="0.15">
      <c r="B1577" s="4" t="s">
        <v>749</v>
      </c>
      <c r="C1577" s="233">
        <v>1</v>
      </c>
      <c r="D1577" s="234">
        <v>2</v>
      </c>
      <c r="E1577" s="234"/>
      <c r="F1577" s="220">
        <f t="shared" si="654"/>
        <v>3</v>
      </c>
      <c r="G1577" s="248">
        <v>45377</v>
      </c>
      <c r="H1577" s="4"/>
      <c r="I1577" s="187"/>
      <c r="J1577" s="15"/>
      <c r="K1577" s="15"/>
      <c r="L1577" s="220">
        <f t="shared" si="655"/>
        <v>0</v>
      </c>
      <c r="M1577" s="212"/>
      <c r="O1577" s="4"/>
      <c r="P1577" s="15"/>
      <c r="Q1577" s="14">
        <f t="shared" si="656"/>
        <v>0</v>
      </c>
      <c r="R1577" s="186"/>
      <c r="S1577" s="4"/>
      <c r="T1577" s="234"/>
      <c r="U1577" s="14">
        <f t="shared" si="657"/>
        <v>0</v>
      </c>
      <c r="V1577" s="209"/>
    </row>
    <row r="1578" spans="2:22" x14ac:dyDescent="0.15">
      <c r="B1578" s="4" t="s">
        <v>749</v>
      </c>
      <c r="C1578" s="233">
        <v>5</v>
      </c>
      <c r="D1578" s="234"/>
      <c r="E1578" s="234"/>
      <c r="F1578" s="220">
        <f t="shared" ref="F1578:F1592" si="658">SUM(C1578:E1578)</f>
        <v>5</v>
      </c>
      <c r="G1578" s="248">
        <v>45383</v>
      </c>
      <c r="H1578" s="4"/>
      <c r="I1578" s="187"/>
      <c r="J1578" s="15"/>
      <c r="K1578" s="15"/>
      <c r="L1578" s="220">
        <f t="shared" si="655"/>
        <v>0</v>
      </c>
      <c r="O1578" s="4"/>
      <c r="P1578" s="15"/>
      <c r="Q1578" s="14">
        <f t="shared" si="656"/>
        <v>0</v>
      </c>
      <c r="R1578" s="186"/>
      <c r="S1578" s="4"/>
      <c r="T1578" s="234"/>
      <c r="U1578" s="14">
        <f t="shared" si="657"/>
        <v>0</v>
      </c>
      <c r="V1578" s="209"/>
    </row>
    <row r="1579" spans="2:22" x14ac:dyDescent="0.15">
      <c r="B1579" s="4" t="s">
        <v>749</v>
      </c>
      <c r="C1579" s="233">
        <v>5</v>
      </c>
      <c r="D1579" s="234"/>
      <c r="E1579" s="234"/>
      <c r="F1579" s="220">
        <f t="shared" si="658"/>
        <v>5</v>
      </c>
      <c r="G1579" s="248">
        <v>45384</v>
      </c>
      <c r="H1579" s="4"/>
      <c r="I1579" s="187"/>
      <c r="J1579" s="15"/>
      <c r="K1579" s="15"/>
      <c r="L1579" s="220">
        <f t="shared" si="655"/>
        <v>0</v>
      </c>
      <c r="O1579" s="4"/>
      <c r="P1579" s="15"/>
      <c r="Q1579" s="14">
        <f t="shared" si="656"/>
        <v>0</v>
      </c>
      <c r="R1579" s="186"/>
      <c r="S1579" s="4"/>
      <c r="T1579" s="234"/>
      <c r="U1579" s="14">
        <f t="shared" si="657"/>
        <v>0</v>
      </c>
      <c r="V1579" s="209"/>
    </row>
    <row r="1580" spans="2:22" x14ac:dyDescent="0.15">
      <c r="B1580" s="4" t="s">
        <v>749</v>
      </c>
      <c r="C1580" s="233">
        <v>4</v>
      </c>
      <c r="D1580" s="234"/>
      <c r="E1580" s="234"/>
      <c r="F1580" s="220">
        <f t="shared" si="658"/>
        <v>4</v>
      </c>
      <c r="G1580" s="248">
        <v>45385</v>
      </c>
      <c r="H1580" s="4"/>
      <c r="I1580" s="188"/>
      <c r="J1580" s="15"/>
      <c r="K1580" s="15"/>
      <c r="L1580" s="220">
        <f t="shared" si="655"/>
        <v>0</v>
      </c>
      <c r="O1580" s="6"/>
      <c r="P1580" s="15"/>
      <c r="Q1580" s="14">
        <f t="shared" si="656"/>
        <v>0</v>
      </c>
      <c r="R1580" s="186"/>
      <c r="S1580" s="6"/>
      <c r="T1580" s="234"/>
      <c r="U1580" s="14">
        <f t="shared" si="657"/>
        <v>0</v>
      </c>
      <c r="V1580" s="209"/>
    </row>
    <row r="1581" spans="2:22" x14ac:dyDescent="0.15">
      <c r="B1581" s="4" t="s">
        <v>764</v>
      </c>
      <c r="C1581" s="233">
        <v>50</v>
      </c>
      <c r="D1581" s="234"/>
      <c r="E1581" s="234"/>
      <c r="F1581" s="220">
        <f t="shared" si="658"/>
        <v>50</v>
      </c>
      <c r="G1581" s="211">
        <v>45385</v>
      </c>
      <c r="H1581" s="6"/>
      <c r="I1581" s="188"/>
      <c r="J1581" s="15"/>
      <c r="K1581" s="15"/>
      <c r="L1581" s="220">
        <f t="shared" si="655"/>
        <v>0</v>
      </c>
      <c r="O1581" s="6"/>
      <c r="P1581" s="15"/>
      <c r="Q1581" s="14">
        <f t="shared" si="656"/>
        <v>0</v>
      </c>
      <c r="R1581" s="186"/>
      <c r="S1581" s="6"/>
      <c r="T1581" s="234"/>
      <c r="U1581" s="14">
        <f t="shared" si="657"/>
        <v>0</v>
      </c>
      <c r="V1581" s="209"/>
    </row>
    <row r="1582" spans="2:22" x14ac:dyDescent="0.15">
      <c r="B1582" s="4" t="s">
        <v>749</v>
      </c>
      <c r="C1582" s="233">
        <v>1</v>
      </c>
      <c r="D1582" s="234"/>
      <c r="E1582" s="234"/>
      <c r="F1582" s="220">
        <f t="shared" si="658"/>
        <v>1</v>
      </c>
      <c r="G1582" s="248">
        <v>45386</v>
      </c>
      <c r="H1582" s="6"/>
      <c r="I1582" s="187"/>
      <c r="J1582" s="15"/>
      <c r="K1582" s="15"/>
      <c r="L1582" s="220">
        <f t="shared" si="655"/>
        <v>0</v>
      </c>
      <c r="O1582" s="4"/>
      <c r="P1582" s="15"/>
      <c r="Q1582" s="14">
        <f t="shared" si="656"/>
        <v>0</v>
      </c>
      <c r="R1582" s="186"/>
      <c r="S1582" s="4"/>
      <c r="T1582" s="234"/>
      <c r="U1582" s="14">
        <f t="shared" si="657"/>
        <v>0</v>
      </c>
      <c r="V1582" s="209"/>
    </row>
    <row r="1583" spans="2:22" x14ac:dyDescent="0.15">
      <c r="B1583" s="4" t="s">
        <v>749</v>
      </c>
      <c r="C1583" s="233">
        <v>2</v>
      </c>
      <c r="D1583" s="234"/>
      <c r="E1583" s="234"/>
      <c r="F1583" s="220">
        <f t="shared" si="658"/>
        <v>2</v>
      </c>
      <c r="G1583" s="248">
        <v>45387</v>
      </c>
      <c r="H1583" s="4"/>
      <c r="I1583" s="187"/>
      <c r="J1583" s="15"/>
      <c r="K1583" s="15"/>
      <c r="L1583" s="220">
        <f t="shared" si="655"/>
        <v>0</v>
      </c>
      <c r="O1583" s="4"/>
      <c r="P1583" s="15"/>
      <c r="Q1583" s="14">
        <f t="shared" si="656"/>
        <v>0</v>
      </c>
      <c r="R1583" s="186"/>
      <c r="S1583" s="4"/>
      <c r="T1583" s="234"/>
      <c r="U1583" s="14">
        <f t="shared" si="657"/>
        <v>0</v>
      </c>
      <c r="V1583" s="209"/>
    </row>
    <row r="1584" spans="2:22" x14ac:dyDescent="0.15">
      <c r="B1584" s="4" t="s">
        <v>749</v>
      </c>
      <c r="C1584" s="233">
        <v>5</v>
      </c>
      <c r="D1584" s="234">
        <v>1</v>
      </c>
      <c r="E1584" s="234">
        <v>3</v>
      </c>
      <c r="F1584" s="220">
        <f t="shared" si="658"/>
        <v>9</v>
      </c>
      <c r="G1584" s="248">
        <v>45388</v>
      </c>
      <c r="H1584" s="4"/>
      <c r="I1584" s="187"/>
      <c r="J1584" s="15"/>
      <c r="K1584" s="15"/>
      <c r="L1584" s="220">
        <f t="shared" si="655"/>
        <v>0</v>
      </c>
      <c r="O1584" s="4"/>
      <c r="P1584" s="15"/>
      <c r="Q1584" s="14">
        <f t="shared" si="656"/>
        <v>0</v>
      </c>
      <c r="R1584" s="186"/>
      <c r="S1584" s="4"/>
      <c r="T1584" s="234"/>
      <c r="U1584" s="14">
        <f t="shared" si="657"/>
        <v>0</v>
      </c>
      <c r="V1584" s="209"/>
    </row>
    <row r="1585" spans="2:22" x14ac:dyDescent="0.15">
      <c r="B1585" s="4" t="s">
        <v>749</v>
      </c>
      <c r="C1585" s="233">
        <f>1+6+1</f>
        <v>8</v>
      </c>
      <c r="D1585" s="234"/>
      <c r="E1585" s="234"/>
      <c r="F1585" s="220">
        <f t="shared" si="658"/>
        <v>8</v>
      </c>
      <c r="G1585" s="248">
        <v>45390</v>
      </c>
      <c r="H1585" s="4"/>
      <c r="I1585" s="187"/>
      <c r="J1585" s="15"/>
      <c r="K1585" s="15"/>
      <c r="L1585" s="220">
        <f t="shared" si="655"/>
        <v>0</v>
      </c>
      <c r="O1585" s="6"/>
      <c r="P1585" s="15"/>
      <c r="Q1585" s="14">
        <f t="shared" si="656"/>
        <v>0</v>
      </c>
      <c r="R1585" s="186"/>
      <c r="S1585" s="4"/>
      <c r="T1585" s="234"/>
      <c r="U1585" s="14">
        <f t="shared" si="657"/>
        <v>0</v>
      </c>
      <c r="V1585" s="209"/>
    </row>
    <row r="1586" spans="2:22" x14ac:dyDescent="0.15">
      <c r="B1586" s="4" t="s">
        <v>749</v>
      </c>
      <c r="C1586" s="233">
        <v>1</v>
      </c>
      <c r="D1586" s="234">
        <v>1</v>
      </c>
      <c r="E1586" s="234"/>
      <c r="F1586" s="220">
        <f t="shared" si="658"/>
        <v>2</v>
      </c>
      <c r="G1586" s="248">
        <v>45391</v>
      </c>
      <c r="H1586" s="4"/>
      <c r="I1586" s="187"/>
      <c r="J1586" s="15"/>
      <c r="K1586" s="15"/>
      <c r="L1586" s="220">
        <f t="shared" si="655"/>
        <v>0</v>
      </c>
      <c r="O1586" s="4"/>
      <c r="P1586" s="15"/>
      <c r="Q1586" s="14">
        <f t="shared" si="656"/>
        <v>0</v>
      </c>
      <c r="R1586" s="186"/>
      <c r="S1586" s="4"/>
      <c r="T1586" s="234"/>
      <c r="U1586" s="14">
        <f t="shared" si="657"/>
        <v>0</v>
      </c>
      <c r="V1586" s="209"/>
    </row>
    <row r="1587" spans="2:22" x14ac:dyDescent="0.15">
      <c r="B1587" s="4" t="s">
        <v>764</v>
      </c>
      <c r="C1587" s="233"/>
      <c r="D1587" s="234">
        <v>10</v>
      </c>
      <c r="E1587" s="234">
        <v>10</v>
      </c>
      <c r="F1587" s="220">
        <f t="shared" si="658"/>
        <v>20</v>
      </c>
      <c r="G1587" s="211">
        <v>45392</v>
      </c>
      <c r="H1587" s="4"/>
      <c r="I1587" s="187"/>
      <c r="J1587" s="15"/>
      <c r="K1587" s="15"/>
      <c r="L1587" s="220">
        <f t="shared" si="655"/>
        <v>0</v>
      </c>
      <c r="O1587" s="6"/>
      <c r="P1587" s="15"/>
      <c r="Q1587" s="14">
        <f t="shared" si="656"/>
        <v>0</v>
      </c>
      <c r="R1587" s="186"/>
      <c r="S1587" s="4"/>
      <c r="T1587" s="234"/>
      <c r="U1587" s="14">
        <f t="shared" si="657"/>
        <v>0</v>
      </c>
      <c r="V1587" s="209"/>
    </row>
    <row r="1588" spans="2:22" x14ac:dyDescent="0.15">
      <c r="B1588" s="4" t="s">
        <v>749</v>
      </c>
      <c r="C1588" s="233"/>
      <c r="D1588" s="234">
        <v>1</v>
      </c>
      <c r="E1588" s="234"/>
      <c r="F1588" s="220">
        <f t="shared" si="658"/>
        <v>1</v>
      </c>
      <c r="G1588" s="248">
        <v>45393</v>
      </c>
      <c r="H1588" s="4"/>
      <c r="I1588" s="187"/>
      <c r="J1588" s="15"/>
      <c r="K1588" s="15"/>
      <c r="L1588" s="220">
        <f t="shared" si="655"/>
        <v>0</v>
      </c>
      <c r="O1588" s="4"/>
      <c r="P1588" s="15"/>
      <c r="Q1588" s="14">
        <f t="shared" si="656"/>
        <v>0</v>
      </c>
      <c r="R1588" s="186"/>
      <c r="S1588" s="4"/>
      <c r="T1588" s="234"/>
      <c r="U1588" s="14">
        <f t="shared" si="657"/>
        <v>0</v>
      </c>
    </row>
    <row r="1589" spans="2:22" x14ac:dyDescent="0.15">
      <c r="B1589" s="4" t="s">
        <v>749</v>
      </c>
      <c r="C1589" s="233">
        <f>1+19</f>
        <v>20</v>
      </c>
      <c r="D1589" s="234">
        <v>1</v>
      </c>
      <c r="E1589" s="234"/>
      <c r="F1589" s="220">
        <f t="shared" si="658"/>
        <v>21</v>
      </c>
      <c r="G1589" s="248">
        <v>45397</v>
      </c>
      <c r="H1589" s="4" t="s">
        <v>1233</v>
      </c>
      <c r="I1589" s="44"/>
      <c r="J1589" s="15"/>
      <c r="K1589" s="15"/>
      <c r="L1589" s="220">
        <f t="shared" si="655"/>
        <v>0</v>
      </c>
      <c r="M1589" s="212" t="s">
        <v>1235</v>
      </c>
      <c r="O1589" s="4"/>
      <c r="P1589" s="15"/>
      <c r="Q1589" s="14">
        <f t="shared" si="656"/>
        <v>0</v>
      </c>
      <c r="R1589" s="186"/>
      <c r="S1589" s="4"/>
      <c r="T1589" s="234"/>
      <c r="U1589" s="14">
        <f t="shared" ref="U1589" si="659">SUM(T1589:T1589)</f>
        <v>0</v>
      </c>
      <c r="V1589" s="186"/>
    </row>
    <row r="1590" spans="2:22" x14ac:dyDescent="0.15">
      <c r="B1590" s="4" t="s">
        <v>749</v>
      </c>
      <c r="C1590" s="233">
        <v>19</v>
      </c>
      <c r="D1590" s="234">
        <v>3</v>
      </c>
      <c r="E1590" s="234">
        <v>1</v>
      </c>
      <c r="F1590" s="220">
        <f t="shared" si="658"/>
        <v>23</v>
      </c>
      <c r="G1590" s="248">
        <v>45398</v>
      </c>
      <c r="H1590" s="247" t="s">
        <v>1231</v>
      </c>
      <c r="I1590" s="258"/>
      <c r="J1590" s="252"/>
      <c r="K1590" s="252"/>
      <c r="L1590" s="250">
        <f t="shared" si="655"/>
        <v>0</v>
      </c>
      <c r="M1590" s="212"/>
      <c r="O1590" s="4"/>
      <c r="P1590" s="15"/>
      <c r="Q1590" s="14">
        <f t="shared" si="656"/>
        <v>0</v>
      </c>
      <c r="R1590" s="186"/>
      <c r="S1590" s="4" t="s">
        <v>1233</v>
      </c>
      <c r="T1590" s="234"/>
      <c r="U1590" s="14">
        <f t="shared" si="657"/>
        <v>0</v>
      </c>
      <c r="V1590" s="186" t="s">
        <v>1234</v>
      </c>
    </row>
    <row r="1591" spans="2:22" x14ac:dyDescent="0.15">
      <c r="B1591" s="4" t="s">
        <v>749</v>
      </c>
      <c r="C1591" s="233">
        <v>8</v>
      </c>
      <c r="D1591" s="234">
        <v>2</v>
      </c>
      <c r="E1591" s="234"/>
      <c r="F1591" s="220">
        <f t="shared" si="658"/>
        <v>10</v>
      </c>
      <c r="G1591" s="248">
        <v>45399</v>
      </c>
      <c r="H1591" s="6" t="s">
        <v>1229</v>
      </c>
      <c r="I1591" s="233"/>
      <c r="J1591" s="15"/>
      <c r="K1591" s="15"/>
      <c r="L1591" s="220">
        <f t="shared" si="655"/>
        <v>0</v>
      </c>
      <c r="M1591" s="212" t="s">
        <v>1230</v>
      </c>
      <c r="O1591" s="6"/>
      <c r="P1591" s="15"/>
      <c r="Q1591" s="14">
        <f t="shared" si="656"/>
        <v>0</v>
      </c>
      <c r="R1591" s="186"/>
      <c r="S1591" s="247" t="s">
        <v>1231</v>
      </c>
      <c r="T1591" s="275"/>
      <c r="U1591" s="255">
        <f t="shared" si="657"/>
        <v>0</v>
      </c>
      <c r="V1591" s="186"/>
    </row>
    <row r="1592" spans="2:22" ht="14.25" thickBot="1" x14ac:dyDescent="0.2">
      <c r="B1592" s="4" t="s">
        <v>749</v>
      </c>
      <c r="C1592" s="235">
        <v>3</v>
      </c>
      <c r="D1592" s="234">
        <v>3</v>
      </c>
      <c r="E1592" s="234">
        <v>1</v>
      </c>
      <c r="F1592" s="220">
        <f t="shared" si="658"/>
        <v>7</v>
      </c>
      <c r="G1592" s="248">
        <v>45400</v>
      </c>
      <c r="H1592" s="4" t="s">
        <v>1225</v>
      </c>
      <c r="I1592" s="233"/>
      <c r="J1592" s="15"/>
      <c r="K1592" s="15"/>
      <c r="L1592" s="220">
        <f t="shared" ref="L1592" si="660">SUM(I1592:K1592)</f>
        <v>0</v>
      </c>
      <c r="M1592" s="211">
        <v>45362</v>
      </c>
      <c r="O1592" s="6"/>
      <c r="P1592" s="276"/>
      <c r="Q1592" s="277">
        <f t="shared" si="656"/>
        <v>0</v>
      </c>
      <c r="R1592" s="179"/>
      <c r="S1592" s="6" t="s">
        <v>1229</v>
      </c>
      <c r="T1592" s="234"/>
      <c r="U1592" s="14">
        <f t="shared" si="657"/>
        <v>0</v>
      </c>
      <c r="V1592" s="186" t="s">
        <v>1230</v>
      </c>
    </row>
    <row r="1593" spans="2:22" ht="14.25" thickBot="1" x14ac:dyDescent="0.2">
      <c r="B1593" s="3" t="s">
        <v>5</v>
      </c>
      <c r="C1593" s="16">
        <f>SUM(C1569:C1592)</f>
        <v>167</v>
      </c>
      <c r="D1593" s="16">
        <f>SUM(D1569:D1592)</f>
        <v>44</v>
      </c>
      <c r="E1593" s="16">
        <f>SUM(E1569:E1592)</f>
        <v>30</v>
      </c>
      <c r="F1593" s="223">
        <f>SUM(F1569:F1592)</f>
        <v>241</v>
      </c>
      <c r="H1593" s="3" t="s">
        <v>5</v>
      </c>
      <c r="I1593" s="16">
        <f>SUM(I1569:I1592)</f>
        <v>875</v>
      </c>
      <c r="J1593" s="16">
        <f>SUM(J1569:J1592)</f>
        <v>120</v>
      </c>
      <c r="K1593" s="16">
        <f>SUM(K1569:K1592)</f>
        <v>125</v>
      </c>
      <c r="L1593" s="223">
        <f>SUM(L1569:L1592)</f>
        <v>1120</v>
      </c>
      <c r="O1593" s="3" t="s">
        <v>5</v>
      </c>
      <c r="P1593" s="16">
        <f>SUM(P1569:P1592)</f>
        <v>0</v>
      </c>
      <c r="Q1593" s="17">
        <f>SUM(Q1569:Q1592)</f>
        <v>0</v>
      </c>
      <c r="S1593" s="3" t="s">
        <v>5</v>
      </c>
      <c r="T1593" s="16">
        <f>SUM(T1569:T1592)</f>
        <v>287</v>
      </c>
      <c r="U1593" s="17">
        <f>SUM(U1569:U1592)</f>
        <v>287</v>
      </c>
    </row>
    <row r="1594" spans="2:22" ht="14.25" thickBot="1" x14ac:dyDescent="0.2">
      <c r="B1594" s="18" t="s">
        <v>6</v>
      </c>
      <c r="C1594" s="19">
        <f>C1568-C1593</f>
        <v>278</v>
      </c>
      <c r="D1594" s="19">
        <f>D1568-D1593</f>
        <v>90</v>
      </c>
      <c r="E1594" s="19">
        <f t="shared" ref="E1594" si="661">E1568-E1593</f>
        <v>94</v>
      </c>
      <c r="F1594" s="221">
        <f>F1568-F1593</f>
        <v>462</v>
      </c>
      <c r="H1594" s="11" t="s">
        <v>6</v>
      </c>
      <c r="I1594" s="19">
        <f>I1568-I1593</f>
        <v>3760</v>
      </c>
      <c r="J1594" s="19">
        <f>J1568-J1593</f>
        <v>1554</v>
      </c>
      <c r="K1594" s="19">
        <f t="shared" ref="K1594" si="662">K1568-K1593</f>
        <v>1077</v>
      </c>
      <c r="L1594" s="221">
        <f>L1568-L1593</f>
        <v>6391</v>
      </c>
      <c r="O1594" s="18" t="s">
        <v>6</v>
      </c>
      <c r="P1594" s="19">
        <f>P1568-P1593</f>
        <v>0</v>
      </c>
      <c r="Q1594" s="13">
        <f>Q1568-Q1593</f>
        <v>0</v>
      </c>
      <c r="S1594" s="18" t="s">
        <v>6</v>
      </c>
      <c r="T1594" s="19">
        <f>T1568-T1593</f>
        <v>2390</v>
      </c>
      <c r="U1594" s="13">
        <f>U1568-U1593</f>
        <v>2390</v>
      </c>
    </row>
    <row r="1595" spans="2:22" x14ac:dyDescent="0.15">
      <c r="H1595" s="168"/>
    </row>
    <row r="1597" spans="2:22" ht="18" thickBot="1" x14ac:dyDescent="0.25">
      <c r="B1597" s="27" t="s">
        <v>739</v>
      </c>
      <c r="C1597" s="28"/>
      <c r="D1597" s="28"/>
      <c r="E1597" s="28"/>
      <c r="F1597" s="218"/>
      <c r="H1597" s="27" t="s">
        <v>740</v>
      </c>
      <c r="I1597" s="279"/>
      <c r="J1597" s="279"/>
      <c r="K1597" s="22"/>
      <c r="L1597" s="278"/>
      <c r="O1597" s="181" t="s">
        <v>737</v>
      </c>
      <c r="P1597" s="182"/>
      <c r="Q1597" s="182"/>
      <c r="R1597" s="183"/>
      <c r="S1597" s="181" t="s">
        <v>733</v>
      </c>
      <c r="T1597" s="182"/>
      <c r="U1597" s="182"/>
    </row>
    <row r="1598" spans="2:22" ht="14.25" thickBot="1" x14ac:dyDescent="0.2">
      <c r="B1598" s="2"/>
      <c r="C1598" s="194" t="s">
        <v>734</v>
      </c>
      <c r="D1598" s="195" t="s">
        <v>706</v>
      </c>
      <c r="E1598" s="2" t="s">
        <v>735</v>
      </c>
      <c r="F1598" s="219" t="s">
        <v>1</v>
      </c>
      <c r="H1598" s="2"/>
      <c r="I1598" s="197" t="s">
        <v>734</v>
      </c>
      <c r="J1598" s="195" t="s">
        <v>706</v>
      </c>
      <c r="K1598" s="201" t="s">
        <v>735</v>
      </c>
      <c r="L1598" s="219" t="s">
        <v>1</v>
      </c>
      <c r="O1598" s="2"/>
      <c r="P1598" s="3" t="s">
        <v>722</v>
      </c>
      <c r="Q1598" s="2" t="s">
        <v>1</v>
      </c>
      <c r="S1598" s="2"/>
      <c r="T1598" s="3" t="s">
        <v>722</v>
      </c>
      <c r="U1598" s="2" t="s">
        <v>1</v>
      </c>
    </row>
    <row r="1599" spans="2:22" x14ac:dyDescent="0.15">
      <c r="B1599" s="164" t="s">
        <v>26</v>
      </c>
      <c r="C1599" s="200">
        <f>C1594</f>
        <v>278</v>
      </c>
      <c r="D1599" s="164">
        <f t="shared" ref="D1599:F1599" si="663">D1594</f>
        <v>90</v>
      </c>
      <c r="E1599" s="164">
        <f t="shared" si="663"/>
        <v>94</v>
      </c>
      <c r="F1599" s="222">
        <f t="shared" si="663"/>
        <v>462</v>
      </c>
      <c r="H1599" s="164" t="s">
        <v>26</v>
      </c>
      <c r="I1599" s="200">
        <f>I1594</f>
        <v>3760</v>
      </c>
      <c r="J1599" s="164">
        <f t="shared" ref="J1599:L1599" si="664">J1594</f>
        <v>1554</v>
      </c>
      <c r="K1599" s="200">
        <f t="shared" si="664"/>
        <v>1077</v>
      </c>
      <c r="L1599" s="222">
        <f t="shared" si="664"/>
        <v>6391</v>
      </c>
      <c r="O1599" s="171" t="s">
        <v>26</v>
      </c>
      <c r="P1599" s="200">
        <f>P1594</f>
        <v>0</v>
      </c>
      <c r="Q1599" s="180">
        <f>Q1594</f>
        <v>0</v>
      </c>
      <c r="R1599" s="185"/>
      <c r="S1599" s="43" t="s">
        <v>26</v>
      </c>
      <c r="T1599" s="38">
        <f>T1594</f>
        <v>2390</v>
      </c>
      <c r="U1599" s="39">
        <f>U1594</f>
        <v>2390</v>
      </c>
    </row>
    <row r="1600" spans="2:22" x14ac:dyDescent="0.15">
      <c r="B1600" s="6" t="s">
        <v>3</v>
      </c>
      <c r="C1600" s="6"/>
      <c r="D1600" s="225"/>
      <c r="E1600" s="226">
        <v>20</v>
      </c>
      <c r="F1600" s="220">
        <f t="shared" ref="F1600:F1609" si="665">SUM(C1600:E1600)</f>
        <v>20</v>
      </c>
      <c r="G1600" s="211">
        <v>45414</v>
      </c>
      <c r="H1600" s="6" t="s">
        <v>3</v>
      </c>
      <c r="I1600" s="188"/>
      <c r="J1600" s="225"/>
      <c r="K1600" s="243"/>
      <c r="L1600" s="220">
        <f t="shared" ref="L1600:L1601" si="666">SUM(I1600:K1600)</f>
        <v>0</v>
      </c>
      <c r="O1600" s="6" t="s">
        <v>3</v>
      </c>
      <c r="P1600" s="7"/>
      <c r="Q1600" s="5">
        <f t="shared" ref="Q1600:Q1609" si="667">SUM(P1600:P1600)</f>
        <v>0</v>
      </c>
      <c r="R1600" s="186"/>
      <c r="S1600" s="6" t="s">
        <v>3</v>
      </c>
      <c r="T1600" s="7"/>
      <c r="U1600" s="5">
        <f t="shared" ref="U1600:U1609" si="668">SUM(T1600:T1600)</f>
        <v>0</v>
      </c>
    </row>
    <row r="1601" spans="2:25" x14ac:dyDescent="0.15">
      <c r="B1601" s="6" t="s">
        <v>3</v>
      </c>
      <c r="C1601" s="6">
        <v>200</v>
      </c>
      <c r="D1601" s="225"/>
      <c r="E1601" s="226"/>
      <c r="F1601" s="220">
        <f t="shared" si="665"/>
        <v>200</v>
      </c>
      <c r="G1601" s="211">
        <v>45423</v>
      </c>
      <c r="H1601" s="6" t="s">
        <v>3</v>
      </c>
      <c r="I1601" s="188"/>
      <c r="J1601" s="225"/>
      <c r="K1601" s="243"/>
      <c r="L1601" s="220">
        <f t="shared" si="666"/>
        <v>0</v>
      </c>
      <c r="O1601" s="6" t="s">
        <v>3</v>
      </c>
      <c r="P1601" s="7"/>
      <c r="Q1601" s="5">
        <f t="shared" si="667"/>
        <v>0</v>
      </c>
      <c r="R1601" s="186"/>
      <c r="S1601" s="6" t="s">
        <v>3</v>
      </c>
      <c r="T1601" s="54"/>
      <c r="U1601" s="5">
        <f t="shared" si="668"/>
        <v>0</v>
      </c>
    </row>
    <row r="1602" spans="2:25" x14ac:dyDescent="0.15">
      <c r="B1602" s="6" t="s">
        <v>3</v>
      </c>
      <c r="C1602" s="6"/>
      <c r="D1602" s="225"/>
      <c r="E1602" s="226"/>
      <c r="F1602" s="220">
        <f t="shared" si="665"/>
        <v>0</v>
      </c>
      <c r="G1602" s="212"/>
      <c r="H1602" s="6" t="s">
        <v>3</v>
      </c>
      <c r="I1602" s="188"/>
      <c r="J1602" s="225"/>
      <c r="K1602" s="243"/>
      <c r="L1602" s="220">
        <f t="shared" ref="L1602" si="669">SUM(I1602:K1602)</f>
        <v>0</v>
      </c>
      <c r="O1602" s="6" t="s">
        <v>3</v>
      </c>
      <c r="P1602" s="7"/>
      <c r="Q1602" s="5">
        <f t="shared" si="667"/>
        <v>0</v>
      </c>
      <c r="R1602" s="186"/>
      <c r="S1602" s="6" t="s">
        <v>3</v>
      </c>
      <c r="T1602" s="54"/>
      <c r="U1602" s="5">
        <f t="shared" si="668"/>
        <v>0</v>
      </c>
    </row>
    <row r="1603" spans="2:25" x14ac:dyDescent="0.15">
      <c r="B1603" s="6" t="s">
        <v>3</v>
      </c>
      <c r="C1603" s="6"/>
      <c r="D1603" s="225"/>
      <c r="E1603" s="226"/>
      <c r="F1603" s="220">
        <f t="shared" si="665"/>
        <v>0</v>
      </c>
      <c r="H1603" s="6" t="s">
        <v>3</v>
      </c>
      <c r="I1603" s="188"/>
      <c r="J1603" s="225"/>
      <c r="K1603" s="243"/>
      <c r="L1603" s="220">
        <f t="shared" ref="L1603:L1609" si="670">SUM(I1603:K1603)</f>
        <v>0</v>
      </c>
      <c r="O1603" s="6" t="s">
        <v>3</v>
      </c>
      <c r="P1603" s="7"/>
      <c r="Q1603" s="5">
        <f t="shared" si="667"/>
        <v>0</v>
      </c>
      <c r="R1603" s="186"/>
      <c r="S1603" s="6" t="s">
        <v>3</v>
      </c>
      <c r="T1603" s="54"/>
      <c r="U1603" s="5">
        <f t="shared" si="668"/>
        <v>0</v>
      </c>
    </row>
    <row r="1604" spans="2:25" x14ac:dyDescent="0.15">
      <c r="B1604" s="6" t="s">
        <v>3</v>
      </c>
      <c r="C1604" s="6"/>
      <c r="D1604" s="225"/>
      <c r="E1604" s="226"/>
      <c r="F1604" s="220">
        <f t="shared" si="665"/>
        <v>0</v>
      </c>
      <c r="H1604" s="6" t="s">
        <v>3</v>
      </c>
      <c r="I1604" s="188"/>
      <c r="J1604" s="225"/>
      <c r="K1604" s="243"/>
      <c r="L1604" s="220">
        <f t="shared" si="670"/>
        <v>0</v>
      </c>
      <c r="O1604" s="6" t="s">
        <v>3</v>
      </c>
      <c r="P1604" s="7"/>
      <c r="Q1604" s="5">
        <f t="shared" si="667"/>
        <v>0</v>
      </c>
      <c r="R1604" s="186"/>
      <c r="S1604" s="6" t="s">
        <v>3</v>
      </c>
      <c r="T1604" s="54"/>
      <c r="U1604" s="5">
        <f t="shared" si="668"/>
        <v>0</v>
      </c>
    </row>
    <row r="1605" spans="2:25" x14ac:dyDescent="0.15">
      <c r="B1605" s="6" t="s">
        <v>3</v>
      </c>
      <c r="C1605" s="6"/>
      <c r="D1605" s="225"/>
      <c r="E1605" s="226"/>
      <c r="F1605" s="220">
        <f t="shared" si="665"/>
        <v>0</v>
      </c>
      <c r="H1605" s="6" t="s">
        <v>3</v>
      </c>
      <c r="I1605" s="188"/>
      <c r="J1605" s="6"/>
      <c r="K1605" s="202"/>
      <c r="L1605" s="220">
        <f t="shared" si="670"/>
        <v>0</v>
      </c>
      <c r="O1605" s="6" t="s">
        <v>3</v>
      </c>
      <c r="P1605" s="7"/>
      <c r="Q1605" s="5">
        <f t="shared" si="667"/>
        <v>0</v>
      </c>
      <c r="R1605" s="186"/>
      <c r="S1605" s="6" t="s">
        <v>3</v>
      </c>
      <c r="T1605" s="7"/>
      <c r="U1605" s="5">
        <f t="shared" si="668"/>
        <v>0</v>
      </c>
    </row>
    <row r="1606" spans="2:25" x14ac:dyDescent="0.15">
      <c r="B1606" s="6" t="s">
        <v>3</v>
      </c>
      <c r="C1606" s="6"/>
      <c r="D1606" s="225"/>
      <c r="E1606" s="226"/>
      <c r="F1606" s="220">
        <f t="shared" si="665"/>
        <v>0</v>
      </c>
      <c r="H1606" s="6" t="s">
        <v>3</v>
      </c>
      <c r="I1606" s="188"/>
      <c r="J1606" s="225"/>
      <c r="K1606" s="243"/>
      <c r="L1606" s="220">
        <f t="shared" si="670"/>
        <v>0</v>
      </c>
      <c r="O1606" s="6" t="s">
        <v>3</v>
      </c>
      <c r="P1606" s="8"/>
      <c r="Q1606" s="5">
        <f t="shared" si="667"/>
        <v>0</v>
      </c>
      <c r="R1606" s="186"/>
      <c r="S1606" s="6" t="s">
        <v>3</v>
      </c>
      <c r="T1606" s="54"/>
      <c r="U1606" s="5">
        <f t="shared" si="668"/>
        <v>0</v>
      </c>
    </row>
    <row r="1607" spans="2:25" x14ac:dyDescent="0.15">
      <c r="B1607" s="6" t="s">
        <v>3</v>
      </c>
      <c r="C1607" s="6"/>
      <c r="D1607" s="225"/>
      <c r="E1607" s="226"/>
      <c r="F1607" s="220">
        <f t="shared" si="665"/>
        <v>0</v>
      </c>
      <c r="H1607" s="6" t="s">
        <v>3</v>
      </c>
      <c r="I1607" s="188"/>
      <c r="J1607" s="225"/>
      <c r="K1607" s="243"/>
      <c r="L1607" s="220">
        <f t="shared" si="670"/>
        <v>0</v>
      </c>
      <c r="O1607" s="6" t="s">
        <v>3</v>
      </c>
      <c r="P1607" s="8"/>
      <c r="Q1607" s="5">
        <f t="shared" si="667"/>
        <v>0</v>
      </c>
      <c r="R1607" s="186"/>
      <c r="S1607" s="6" t="s">
        <v>3</v>
      </c>
      <c r="T1607" s="54"/>
      <c r="U1607" s="5">
        <f t="shared" si="668"/>
        <v>0</v>
      </c>
    </row>
    <row r="1608" spans="2:25" x14ac:dyDescent="0.15">
      <c r="B1608" s="6" t="s">
        <v>3</v>
      </c>
      <c r="C1608" s="6"/>
      <c r="D1608" s="225"/>
      <c r="E1608" s="226"/>
      <c r="F1608" s="220">
        <f t="shared" si="665"/>
        <v>0</v>
      </c>
      <c r="H1608" s="6" t="s">
        <v>3</v>
      </c>
      <c r="I1608" s="188"/>
      <c r="J1608" s="225"/>
      <c r="K1608" s="243"/>
      <c r="L1608" s="220">
        <f t="shared" si="670"/>
        <v>0</v>
      </c>
      <c r="O1608" s="6" t="s">
        <v>3</v>
      </c>
      <c r="P1608" s="8"/>
      <c r="Q1608" s="5">
        <f t="shared" si="667"/>
        <v>0</v>
      </c>
      <c r="R1608" s="186"/>
      <c r="S1608" s="6" t="s">
        <v>3</v>
      </c>
      <c r="T1608" s="54"/>
      <c r="U1608" s="5">
        <f t="shared" si="668"/>
        <v>0</v>
      </c>
    </row>
    <row r="1609" spans="2:25" ht="14.25" thickBot="1" x14ac:dyDescent="0.2">
      <c r="B1609" s="6" t="s">
        <v>785</v>
      </c>
      <c r="C1609" s="9">
        <v>-8</v>
      </c>
      <c r="D1609" s="237"/>
      <c r="E1609" s="238"/>
      <c r="F1609" s="220">
        <f t="shared" si="665"/>
        <v>-8</v>
      </c>
      <c r="H1609" s="9" t="s">
        <v>3</v>
      </c>
      <c r="I1609" s="198"/>
      <c r="J1609" s="244"/>
      <c r="K1609" s="245"/>
      <c r="L1609" s="220">
        <f t="shared" si="670"/>
        <v>0</v>
      </c>
      <c r="O1609" s="9" t="s">
        <v>3</v>
      </c>
      <c r="P1609" s="10"/>
      <c r="Q1609" s="5">
        <f t="shared" si="667"/>
        <v>0</v>
      </c>
      <c r="R1609" s="186"/>
      <c r="S1609" s="9" t="s">
        <v>3</v>
      </c>
      <c r="T1609" s="101"/>
      <c r="U1609" s="5">
        <f t="shared" si="668"/>
        <v>0</v>
      </c>
    </row>
    <row r="1610" spans="2:25" ht="14.25" thickBot="1" x14ac:dyDescent="0.2">
      <c r="B1610" s="11" t="s">
        <v>4</v>
      </c>
      <c r="C1610" s="193">
        <f>SUM(C1599:C1609)</f>
        <v>470</v>
      </c>
      <c r="D1610" s="193">
        <f>SUM(D1599:D1609)</f>
        <v>90</v>
      </c>
      <c r="E1610" s="193">
        <f>SUM(E1599:E1609)</f>
        <v>114</v>
      </c>
      <c r="F1610" s="221">
        <f>SUM(F1599:F1609)</f>
        <v>674</v>
      </c>
      <c r="H1610" s="11" t="s">
        <v>4</v>
      </c>
      <c r="I1610" s="193">
        <f>SUM(I1599:I1609)</f>
        <v>3760</v>
      </c>
      <c r="J1610" s="193">
        <f>SUM(J1599:J1609)</f>
        <v>1554</v>
      </c>
      <c r="K1610" s="193">
        <f t="shared" ref="K1610" si="671">SUM(K1599:K1609)</f>
        <v>1077</v>
      </c>
      <c r="L1610" s="221">
        <f>SUM(L1599:L1609)</f>
        <v>6391</v>
      </c>
      <c r="O1610" s="11" t="s">
        <v>4</v>
      </c>
      <c r="P1610" s="12">
        <f>SUM(P1599:P1609)</f>
        <v>0</v>
      </c>
      <c r="Q1610" s="13">
        <f>SUM(Q1599:Q1609)</f>
        <v>0</v>
      </c>
      <c r="S1610" s="11" t="s">
        <v>4</v>
      </c>
      <c r="T1610" s="12">
        <f>SUM(T1599:T1609)</f>
        <v>2390</v>
      </c>
      <c r="U1610" s="13">
        <f>SUM(U1599:U1609)</f>
        <v>2390</v>
      </c>
    </row>
    <row r="1611" spans="2:25" x14ac:dyDescent="0.15">
      <c r="B1611" s="4" t="s">
        <v>749</v>
      </c>
      <c r="C1611" s="233">
        <v>1</v>
      </c>
      <c r="D1611" s="234"/>
      <c r="E1611" s="234">
        <v>1</v>
      </c>
      <c r="F1611" s="220">
        <f t="shared" ref="F1611:F1634" si="672">SUM(C1611:E1611)</f>
        <v>2</v>
      </c>
      <c r="G1611" s="248">
        <v>45401</v>
      </c>
      <c r="H1611" s="4" t="s">
        <v>1254</v>
      </c>
      <c r="I1611" s="233"/>
      <c r="J1611" s="234"/>
      <c r="K1611" s="234">
        <v>20</v>
      </c>
      <c r="L1611" s="220">
        <f t="shared" ref="L1611:L1625" si="673">SUM(I1611:K1611)</f>
        <v>20</v>
      </c>
      <c r="M1611" s="211">
        <v>45414</v>
      </c>
      <c r="O1611" s="4"/>
      <c r="P1611" s="44"/>
      <c r="Q1611" s="14">
        <f t="shared" ref="Q1611:Q1634" si="674">SUM(P1611:P1611)</f>
        <v>0</v>
      </c>
      <c r="R1611" s="185"/>
      <c r="S1611" s="4" t="s">
        <v>1257</v>
      </c>
      <c r="T1611" s="234">
        <v>30</v>
      </c>
      <c r="U1611" s="14">
        <f t="shared" ref="U1611:U1625" si="675">SUM(T1611:T1611)</f>
        <v>30</v>
      </c>
      <c r="V1611" s="211">
        <v>45429</v>
      </c>
      <c r="W1611" s="186"/>
      <c r="X1611" s="186"/>
      <c r="Y1611" s="186"/>
    </row>
    <row r="1612" spans="2:25" x14ac:dyDescent="0.15">
      <c r="B1612" s="4" t="s">
        <v>764</v>
      </c>
      <c r="C1612" s="233">
        <v>30</v>
      </c>
      <c r="D1612" s="234"/>
      <c r="E1612" s="234">
        <v>10</v>
      </c>
      <c r="F1612" s="220">
        <f t="shared" si="672"/>
        <v>40</v>
      </c>
      <c r="G1612" s="211">
        <v>45402</v>
      </c>
      <c r="H1612" s="4" t="s">
        <v>745</v>
      </c>
      <c r="I1612" s="233">
        <v>200</v>
      </c>
      <c r="J1612" s="234"/>
      <c r="K1612" s="234"/>
      <c r="L1612" s="220">
        <f t="shared" si="673"/>
        <v>200</v>
      </c>
      <c r="M1612" s="211">
        <v>45423</v>
      </c>
      <c r="O1612" s="4"/>
      <c r="P1612" s="15"/>
      <c r="Q1612" s="14">
        <f t="shared" si="674"/>
        <v>0</v>
      </c>
      <c r="R1612" s="186"/>
      <c r="S1612" s="6"/>
      <c r="T1612" s="234"/>
      <c r="U1612" s="14">
        <f t="shared" si="675"/>
        <v>0</v>
      </c>
      <c r="V1612" s="212"/>
      <c r="W1612" s="186"/>
      <c r="X1612" s="186"/>
      <c r="Y1612" s="186"/>
    </row>
    <row r="1613" spans="2:25" x14ac:dyDescent="0.15">
      <c r="B1613" s="4" t="s">
        <v>749</v>
      </c>
      <c r="C1613" s="233">
        <v>2</v>
      </c>
      <c r="D1613" s="234"/>
      <c r="E1613" s="234"/>
      <c r="F1613" s="220">
        <f t="shared" si="672"/>
        <v>2</v>
      </c>
      <c r="G1613" s="211">
        <v>45402</v>
      </c>
      <c r="H1613" s="4" t="s">
        <v>745</v>
      </c>
      <c r="I1613" s="233"/>
      <c r="J1613" s="234">
        <v>50</v>
      </c>
      <c r="K1613" s="234">
        <v>50</v>
      </c>
      <c r="L1613" s="220">
        <f t="shared" si="673"/>
        <v>100</v>
      </c>
      <c r="M1613" s="211">
        <v>45430</v>
      </c>
      <c r="O1613" s="4"/>
      <c r="P1613" s="15"/>
      <c r="Q1613" s="14">
        <f t="shared" si="674"/>
        <v>0</v>
      </c>
      <c r="R1613" s="186"/>
      <c r="S1613" s="6"/>
      <c r="T1613" s="234"/>
      <c r="U1613" s="14">
        <f t="shared" si="675"/>
        <v>0</v>
      </c>
      <c r="V1613" s="212"/>
      <c r="W1613" s="186"/>
      <c r="X1613" s="186"/>
      <c r="Y1613" s="186"/>
    </row>
    <row r="1614" spans="2:25" x14ac:dyDescent="0.15">
      <c r="B1614" s="4" t="s">
        <v>749</v>
      </c>
      <c r="C1614" s="233">
        <v>12</v>
      </c>
      <c r="D1614" s="234">
        <v>4</v>
      </c>
      <c r="E1614" s="234">
        <v>4</v>
      </c>
      <c r="F1614" s="220">
        <f t="shared" si="672"/>
        <v>20</v>
      </c>
      <c r="G1614" s="248">
        <v>45404</v>
      </c>
      <c r="H1614" s="4"/>
      <c r="I1614" s="233"/>
      <c r="J1614" s="234"/>
      <c r="K1614" s="234"/>
      <c r="L1614" s="220">
        <f t="shared" si="673"/>
        <v>0</v>
      </c>
      <c r="M1614" s="212"/>
      <c r="O1614" s="4"/>
      <c r="P1614" s="15"/>
      <c r="Q1614" s="14">
        <f t="shared" si="674"/>
        <v>0</v>
      </c>
      <c r="R1614" s="186"/>
      <c r="S1614" s="6"/>
      <c r="T1614" s="234"/>
      <c r="U1614" s="14">
        <f t="shared" si="675"/>
        <v>0</v>
      </c>
      <c r="V1614" s="209"/>
    </row>
    <row r="1615" spans="2:25" x14ac:dyDescent="0.15">
      <c r="B1615" s="4" t="s">
        <v>749</v>
      </c>
      <c r="C1615" s="233">
        <f>12+5</f>
        <v>17</v>
      </c>
      <c r="D1615" s="234"/>
      <c r="E1615" s="234"/>
      <c r="F1615" s="220">
        <f t="shared" si="672"/>
        <v>17</v>
      </c>
      <c r="G1615" s="248">
        <v>45405</v>
      </c>
      <c r="H1615" s="4"/>
      <c r="I1615" s="233"/>
      <c r="J1615" s="234"/>
      <c r="K1615" s="234"/>
      <c r="L1615" s="220">
        <f t="shared" si="673"/>
        <v>0</v>
      </c>
      <c r="O1615" s="4"/>
      <c r="P1615" s="15"/>
      <c r="Q1615" s="14">
        <f t="shared" si="674"/>
        <v>0</v>
      </c>
      <c r="R1615" s="186"/>
      <c r="S1615" s="6"/>
      <c r="T1615" s="234"/>
      <c r="U1615" s="14">
        <f t="shared" si="675"/>
        <v>0</v>
      </c>
      <c r="V1615" s="209"/>
    </row>
    <row r="1616" spans="2:25" x14ac:dyDescent="0.15">
      <c r="B1616" s="4" t="s">
        <v>749</v>
      </c>
      <c r="C1616" s="233">
        <f>3+1</f>
        <v>4</v>
      </c>
      <c r="D1616" s="234"/>
      <c r="E1616" s="234"/>
      <c r="F1616" s="220">
        <f t="shared" si="672"/>
        <v>4</v>
      </c>
      <c r="G1616" s="248">
        <v>45406</v>
      </c>
      <c r="H1616" s="4"/>
      <c r="I1616" s="233"/>
      <c r="J1616" s="234"/>
      <c r="K1616" s="234"/>
      <c r="L1616" s="220">
        <f t="shared" si="673"/>
        <v>0</v>
      </c>
      <c r="O1616" s="4"/>
      <c r="P1616" s="15"/>
      <c r="Q1616" s="14">
        <f t="shared" si="674"/>
        <v>0</v>
      </c>
      <c r="R1616" s="186"/>
      <c r="S1616" s="6"/>
      <c r="T1616" s="234"/>
      <c r="U1616" s="14">
        <f t="shared" si="675"/>
        <v>0</v>
      </c>
      <c r="V1616" s="209"/>
    </row>
    <row r="1617" spans="2:22" x14ac:dyDescent="0.15">
      <c r="B1617" s="4" t="s">
        <v>764</v>
      </c>
      <c r="C1617" s="233">
        <v>30</v>
      </c>
      <c r="D1617" s="234"/>
      <c r="E1617" s="234"/>
      <c r="F1617" s="220">
        <f t="shared" si="672"/>
        <v>30</v>
      </c>
      <c r="G1617" s="211">
        <v>45409</v>
      </c>
      <c r="H1617" s="4"/>
      <c r="I1617" s="233"/>
      <c r="J1617" s="234"/>
      <c r="K1617" s="234"/>
      <c r="L1617" s="220">
        <f t="shared" si="673"/>
        <v>0</v>
      </c>
      <c r="O1617" s="4"/>
      <c r="P1617" s="15"/>
      <c r="Q1617" s="14">
        <f t="shared" si="674"/>
        <v>0</v>
      </c>
      <c r="R1617" s="186"/>
      <c r="S1617" s="4"/>
      <c r="T1617" s="234"/>
      <c r="U1617" s="14">
        <f t="shared" si="675"/>
        <v>0</v>
      </c>
      <c r="V1617" s="209"/>
    </row>
    <row r="1618" spans="2:22" x14ac:dyDescent="0.15">
      <c r="B1618" s="4" t="s">
        <v>749</v>
      </c>
      <c r="C1618" s="233">
        <f>4+4</f>
        <v>8</v>
      </c>
      <c r="D1618" s="234">
        <v>1</v>
      </c>
      <c r="E1618" s="234"/>
      <c r="F1618" s="220">
        <f t="shared" si="672"/>
        <v>9</v>
      </c>
      <c r="G1618" s="248">
        <v>45407</v>
      </c>
      <c r="H1618" s="4"/>
      <c r="I1618" s="233"/>
      <c r="J1618" s="234"/>
      <c r="K1618" s="234"/>
      <c r="L1618" s="220">
        <f t="shared" si="673"/>
        <v>0</v>
      </c>
      <c r="O1618" s="4"/>
      <c r="P1618" s="15"/>
      <c r="Q1618" s="14">
        <f t="shared" si="674"/>
        <v>0</v>
      </c>
      <c r="R1618" s="186"/>
      <c r="S1618" s="4"/>
      <c r="T1618" s="234"/>
      <c r="U1618" s="14">
        <f t="shared" si="675"/>
        <v>0</v>
      </c>
      <c r="V1618" s="209"/>
    </row>
    <row r="1619" spans="2:22" x14ac:dyDescent="0.15">
      <c r="B1619" s="4" t="s">
        <v>749</v>
      </c>
      <c r="C1619" s="233">
        <v>8</v>
      </c>
      <c r="D1619" s="234">
        <v>2</v>
      </c>
      <c r="E1619" s="234">
        <v>2</v>
      </c>
      <c r="F1619" s="220">
        <f t="shared" si="672"/>
        <v>12</v>
      </c>
      <c r="G1619" s="248">
        <v>45408</v>
      </c>
      <c r="H1619" s="4"/>
      <c r="I1619" s="187"/>
      <c r="J1619" s="15"/>
      <c r="K1619" s="15"/>
      <c r="L1619" s="220">
        <f t="shared" si="673"/>
        <v>0</v>
      </c>
      <c r="O1619" s="4"/>
      <c r="P1619" s="15"/>
      <c r="Q1619" s="14">
        <f t="shared" si="674"/>
        <v>0</v>
      </c>
      <c r="R1619" s="186"/>
      <c r="S1619" s="4"/>
      <c r="T1619" s="234"/>
      <c r="U1619" s="14">
        <f t="shared" si="675"/>
        <v>0</v>
      </c>
      <c r="V1619" s="209"/>
    </row>
    <row r="1620" spans="2:22" x14ac:dyDescent="0.15">
      <c r="B1620" s="4" t="s">
        <v>749</v>
      </c>
      <c r="C1620" s="233">
        <f>27+1+1</f>
        <v>29</v>
      </c>
      <c r="D1620" s="234">
        <v>5</v>
      </c>
      <c r="E1620" s="234">
        <v>1</v>
      </c>
      <c r="F1620" s="220">
        <f t="shared" si="672"/>
        <v>35</v>
      </c>
      <c r="G1620" s="248">
        <v>45412</v>
      </c>
      <c r="H1620" s="4"/>
      <c r="I1620" s="187"/>
      <c r="J1620" s="15"/>
      <c r="K1620" s="15"/>
      <c r="L1620" s="220">
        <f t="shared" si="673"/>
        <v>0</v>
      </c>
      <c r="O1620" s="4"/>
      <c r="P1620" s="15"/>
      <c r="Q1620" s="14">
        <f t="shared" si="674"/>
        <v>0</v>
      </c>
      <c r="R1620" s="186"/>
      <c r="S1620" s="4"/>
      <c r="T1620" s="234"/>
      <c r="U1620" s="14">
        <f t="shared" si="675"/>
        <v>0</v>
      </c>
      <c r="V1620" s="209"/>
    </row>
    <row r="1621" spans="2:22" x14ac:dyDescent="0.15">
      <c r="B1621" s="4" t="s">
        <v>764</v>
      </c>
      <c r="C1621" s="233">
        <v>30</v>
      </c>
      <c r="D1621" s="234"/>
      <c r="E1621" s="234"/>
      <c r="F1621" s="220">
        <f t="shared" si="672"/>
        <v>30</v>
      </c>
      <c r="G1621" s="211">
        <v>45413</v>
      </c>
      <c r="H1621" s="4"/>
      <c r="I1621" s="187"/>
      <c r="J1621" s="15"/>
      <c r="K1621" s="15"/>
      <c r="L1621" s="220">
        <f t="shared" si="673"/>
        <v>0</v>
      </c>
      <c r="O1621" s="4"/>
      <c r="P1621" s="15"/>
      <c r="Q1621" s="14">
        <f t="shared" si="674"/>
        <v>0</v>
      </c>
      <c r="R1621" s="186"/>
      <c r="S1621" s="4"/>
      <c r="T1621" s="234"/>
      <c r="U1621" s="14">
        <f t="shared" si="675"/>
        <v>0</v>
      </c>
      <c r="V1621" s="209"/>
    </row>
    <row r="1622" spans="2:22" x14ac:dyDescent="0.15">
      <c r="B1622" s="4" t="s">
        <v>749</v>
      </c>
      <c r="C1622" s="233">
        <v>1</v>
      </c>
      <c r="D1622" s="234"/>
      <c r="E1622" s="234"/>
      <c r="F1622" s="220">
        <f t="shared" si="672"/>
        <v>1</v>
      </c>
      <c r="G1622" s="248">
        <v>45413</v>
      </c>
      <c r="H1622" s="6"/>
      <c r="I1622" s="188"/>
      <c r="J1622" s="15"/>
      <c r="K1622" s="15"/>
      <c r="L1622" s="220">
        <f t="shared" si="673"/>
        <v>0</v>
      </c>
      <c r="O1622" s="6"/>
      <c r="P1622" s="15"/>
      <c r="Q1622" s="14">
        <f t="shared" si="674"/>
        <v>0</v>
      </c>
      <c r="R1622" s="186"/>
      <c r="S1622" s="6"/>
      <c r="T1622" s="234"/>
      <c r="U1622" s="14">
        <f t="shared" si="675"/>
        <v>0</v>
      </c>
      <c r="V1622" s="209"/>
    </row>
    <row r="1623" spans="2:22" x14ac:dyDescent="0.15">
      <c r="B1623" s="4" t="s">
        <v>867</v>
      </c>
      <c r="C1623" s="233">
        <v>1</v>
      </c>
      <c r="D1623" s="234">
        <v>1</v>
      </c>
      <c r="E1623" s="234">
        <v>1</v>
      </c>
      <c r="F1623" s="220">
        <f t="shared" si="672"/>
        <v>3</v>
      </c>
      <c r="G1623" s="248">
        <v>45413</v>
      </c>
      <c r="H1623" s="6"/>
      <c r="I1623" s="188"/>
      <c r="J1623" s="15"/>
      <c r="K1623" s="15"/>
      <c r="L1623" s="220">
        <f t="shared" si="673"/>
        <v>0</v>
      </c>
      <c r="O1623" s="6"/>
      <c r="P1623" s="15"/>
      <c r="Q1623" s="14">
        <f t="shared" si="674"/>
        <v>0</v>
      </c>
      <c r="R1623" s="186"/>
      <c r="S1623" s="6"/>
      <c r="T1623" s="234"/>
      <c r="U1623" s="14">
        <f t="shared" si="675"/>
        <v>0</v>
      </c>
      <c r="V1623" s="209"/>
    </row>
    <row r="1624" spans="2:22" x14ac:dyDescent="0.15">
      <c r="B1624" s="4" t="s">
        <v>749</v>
      </c>
      <c r="C1624" s="233">
        <f>1+2+1</f>
        <v>4</v>
      </c>
      <c r="D1624" s="234"/>
      <c r="E1624" s="234"/>
      <c r="F1624" s="220">
        <f t="shared" si="672"/>
        <v>4</v>
      </c>
      <c r="G1624" s="248">
        <v>45414</v>
      </c>
      <c r="H1624" s="4"/>
      <c r="I1624" s="187"/>
      <c r="J1624" s="15"/>
      <c r="K1624" s="15"/>
      <c r="L1624" s="220">
        <f t="shared" si="673"/>
        <v>0</v>
      </c>
      <c r="O1624" s="4"/>
      <c r="P1624" s="15"/>
      <c r="Q1624" s="14">
        <f t="shared" si="674"/>
        <v>0</v>
      </c>
      <c r="R1624" s="186"/>
      <c r="S1624" s="4"/>
      <c r="T1624" s="234"/>
      <c r="U1624" s="14">
        <f t="shared" si="675"/>
        <v>0</v>
      </c>
      <c r="V1624" s="209"/>
    </row>
    <row r="1625" spans="2:22" x14ac:dyDescent="0.15">
      <c r="B1625" s="4" t="s">
        <v>749</v>
      </c>
      <c r="C1625" s="233">
        <f>5+27+15</f>
        <v>47</v>
      </c>
      <c r="D1625" s="234">
        <f>2+4+2+1</f>
        <v>9</v>
      </c>
      <c r="E1625" s="234">
        <f>4+3</f>
        <v>7</v>
      </c>
      <c r="F1625" s="220">
        <f t="shared" si="672"/>
        <v>63</v>
      </c>
      <c r="G1625" s="248">
        <v>45419</v>
      </c>
      <c r="H1625" s="4"/>
      <c r="I1625" s="187"/>
      <c r="J1625" s="15"/>
      <c r="K1625" s="15"/>
      <c r="L1625" s="220">
        <f t="shared" si="673"/>
        <v>0</v>
      </c>
      <c r="O1625" s="4"/>
      <c r="P1625" s="15"/>
      <c r="Q1625" s="14">
        <f t="shared" si="674"/>
        <v>0</v>
      </c>
      <c r="R1625" s="186"/>
      <c r="S1625" s="4"/>
      <c r="T1625" s="234"/>
      <c r="U1625" s="14">
        <f t="shared" si="675"/>
        <v>0</v>
      </c>
      <c r="V1625" s="209"/>
    </row>
    <row r="1626" spans="2:22" x14ac:dyDescent="0.15">
      <c r="B1626" s="4" t="s">
        <v>749</v>
      </c>
      <c r="C1626" s="233">
        <f>7+1</f>
        <v>8</v>
      </c>
      <c r="D1626" s="234">
        <f>1</f>
        <v>1</v>
      </c>
      <c r="E1626" s="234">
        <v>1</v>
      </c>
      <c r="F1626" s="220">
        <f t="shared" si="672"/>
        <v>10</v>
      </c>
      <c r="G1626" s="248">
        <v>45420</v>
      </c>
      <c r="H1626" s="4"/>
      <c r="I1626" s="187"/>
      <c r="J1626" s="15"/>
      <c r="K1626" s="15"/>
      <c r="L1626" s="220">
        <f t="shared" ref="L1626:L1634" si="676">SUM(I1626:K1626)</f>
        <v>0</v>
      </c>
      <c r="O1626" s="4"/>
      <c r="P1626" s="15"/>
      <c r="Q1626" s="14">
        <f t="shared" si="674"/>
        <v>0</v>
      </c>
      <c r="R1626" s="186"/>
      <c r="S1626" s="4"/>
      <c r="T1626" s="234"/>
      <c r="U1626" s="14">
        <f t="shared" ref="U1626:U1633" si="677">SUM(T1626:T1626)</f>
        <v>0</v>
      </c>
      <c r="V1626" s="209"/>
    </row>
    <row r="1627" spans="2:22" x14ac:dyDescent="0.15">
      <c r="B1627" s="4" t="s">
        <v>1256</v>
      </c>
      <c r="C1627" s="233">
        <v>1</v>
      </c>
      <c r="D1627" s="234"/>
      <c r="E1627" s="234"/>
      <c r="F1627" s="220">
        <f t="shared" si="672"/>
        <v>1</v>
      </c>
      <c r="G1627" s="248">
        <v>45420</v>
      </c>
      <c r="H1627" s="4"/>
      <c r="I1627" s="187"/>
      <c r="J1627" s="15"/>
      <c r="K1627" s="15"/>
      <c r="L1627" s="220">
        <f t="shared" si="676"/>
        <v>0</v>
      </c>
      <c r="O1627" s="6"/>
      <c r="P1627" s="15"/>
      <c r="Q1627" s="14">
        <f t="shared" si="674"/>
        <v>0</v>
      </c>
      <c r="R1627" s="186"/>
      <c r="S1627" s="4"/>
      <c r="T1627" s="234"/>
      <c r="U1627" s="14">
        <f t="shared" si="677"/>
        <v>0</v>
      </c>
      <c r="V1627" s="209"/>
    </row>
    <row r="1628" spans="2:22" x14ac:dyDescent="0.15">
      <c r="B1628" s="4" t="s">
        <v>749</v>
      </c>
      <c r="C1628" s="233">
        <v>4</v>
      </c>
      <c r="D1628" s="234">
        <v>1</v>
      </c>
      <c r="E1628" s="234"/>
      <c r="F1628" s="220">
        <f t="shared" si="672"/>
        <v>5</v>
      </c>
      <c r="G1628" s="248">
        <v>45421</v>
      </c>
      <c r="H1628" s="4"/>
      <c r="I1628" s="187"/>
      <c r="J1628" s="15"/>
      <c r="K1628" s="15"/>
      <c r="L1628" s="220">
        <f t="shared" si="676"/>
        <v>0</v>
      </c>
      <c r="O1628" s="4"/>
      <c r="P1628" s="15"/>
      <c r="Q1628" s="14">
        <f t="shared" si="674"/>
        <v>0</v>
      </c>
      <c r="R1628" s="186"/>
      <c r="S1628" s="4"/>
      <c r="T1628" s="234"/>
      <c r="U1628" s="14">
        <f t="shared" si="677"/>
        <v>0</v>
      </c>
      <c r="V1628" s="209"/>
    </row>
    <row r="1629" spans="2:22" x14ac:dyDescent="0.15">
      <c r="B1629" s="4" t="s">
        <v>749</v>
      </c>
      <c r="C1629" s="233">
        <f>1+2</f>
        <v>3</v>
      </c>
      <c r="D1629" s="234"/>
      <c r="E1629" s="234">
        <v>1</v>
      </c>
      <c r="F1629" s="220">
        <f t="shared" si="672"/>
        <v>4</v>
      </c>
      <c r="G1629" s="248">
        <v>45422</v>
      </c>
      <c r="H1629" s="4"/>
      <c r="I1629" s="187"/>
      <c r="J1629" s="15"/>
      <c r="K1629" s="15"/>
      <c r="L1629" s="220">
        <f t="shared" si="676"/>
        <v>0</v>
      </c>
      <c r="O1629" s="6"/>
      <c r="P1629" s="15"/>
      <c r="Q1629" s="14">
        <f t="shared" si="674"/>
        <v>0</v>
      </c>
      <c r="R1629" s="186"/>
      <c r="S1629" s="4"/>
      <c r="T1629" s="234"/>
      <c r="U1629" s="14">
        <f t="shared" si="677"/>
        <v>0</v>
      </c>
      <c r="V1629" s="209"/>
    </row>
    <row r="1630" spans="2:22" x14ac:dyDescent="0.15">
      <c r="B1630" s="4" t="s">
        <v>749</v>
      </c>
      <c r="C1630" s="233">
        <v>13</v>
      </c>
      <c r="D1630" s="234">
        <v>2</v>
      </c>
      <c r="E1630" s="234">
        <v>2</v>
      </c>
      <c r="F1630" s="220">
        <f t="shared" si="672"/>
        <v>17</v>
      </c>
      <c r="G1630" s="248">
        <v>45423</v>
      </c>
      <c r="H1630" s="4"/>
      <c r="I1630" s="187"/>
      <c r="J1630" s="15"/>
      <c r="K1630" s="15"/>
      <c r="L1630" s="220">
        <f t="shared" si="676"/>
        <v>0</v>
      </c>
      <c r="O1630" s="4"/>
      <c r="P1630" s="15"/>
      <c r="Q1630" s="14">
        <f t="shared" si="674"/>
        <v>0</v>
      </c>
      <c r="R1630" s="186"/>
      <c r="S1630" s="4"/>
      <c r="T1630" s="234"/>
      <c r="U1630" s="14">
        <f t="shared" si="677"/>
        <v>0</v>
      </c>
      <c r="V1630" s="209"/>
    </row>
    <row r="1631" spans="2:22" x14ac:dyDescent="0.15">
      <c r="B1631" s="4" t="s">
        <v>749</v>
      </c>
      <c r="C1631" s="233">
        <f>1+17+3+1</f>
        <v>22</v>
      </c>
      <c r="D1631" s="234">
        <f>1+2</f>
        <v>3</v>
      </c>
      <c r="E1631" s="234">
        <v>1</v>
      </c>
      <c r="F1631" s="220">
        <f t="shared" si="672"/>
        <v>26</v>
      </c>
      <c r="G1631" s="248">
        <v>45425</v>
      </c>
      <c r="H1631" s="4"/>
      <c r="I1631" s="187"/>
      <c r="J1631" s="15"/>
      <c r="K1631" s="15"/>
      <c r="L1631" s="220">
        <f t="shared" si="676"/>
        <v>0</v>
      </c>
      <c r="O1631" s="4"/>
      <c r="P1631" s="15"/>
      <c r="Q1631" s="14">
        <f t="shared" si="674"/>
        <v>0</v>
      </c>
      <c r="R1631" s="186"/>
      <c r="S1631" s="4"/>
      <c r="T1631" s="234"/>
      <c r="U1631" s="14">
        <f t="shared" si="677"/>
        <v>0</v>
      </c>
      <c r="V1631" s="209"/>
    </row>
    <row r="1632" spans="2:22" x14ac:dyDescent="0.15">
      <c r="B1632" s="4" t="s">
        <v>749</v>
      </c>
      <c r="C1632" s="233">
        <v>1</v>
      </c>
      <c r="D1632" s="234"/>
      <c r="E1632" s="234"/>
      <c r="F1632" s="220">
        <f t="shared" si="672"/>
        <v>1</v>
      </c>
      <c r="G1632" s="248">
        <v>45426</v>
      </c>
      <c r="H1632" s="4"/>
      <c r="I1632" s="187"/>
      <c r="J1632" s="15"/>
      <c r="K1632" s="15"/>
      <c r="L1632" s="220">
        <f t="shared" si="676"/>
        <v>0</v>
      </c>
      <c r="O1632" s="4"/>
      <c r="P1632" s="15"/>
      <c r="Q1632" s="14">
        <f t="shared" si="674"/>
        <v>0</v>
      </c>
      <c r="R1632" s="186"/>
      <c r="S1632" s="4"/>
      <c r="T1632" s="234"/>
      <c r="U1632" s="14">
        <f t="shared" si="677"/>
        <v>0</v>
      </c>
      <c r="V1632" s="209"/>
    </row>
    <row r="1633" spans="2:22" x14ac:dyDescent="0.15">
      <c r="B1633" s="4" t="s">
        <v>749</v>
      </c>
      <c r="C1633" s="233">
        <f>1+6</f>
        <v>7</v>
      </c>
      <c r="D1633" s="234">
        <v>4</v>
      </c>
      <c r="E1633" s="234">
        <v>3</v>
      </c>
      <c r="F1633" s="220">
        <f t="shared" si="672"/>
        <v>14</v>
      </c>
      <c r="G1633" s="248">
        <v>45427</v>
      </c>
      <c r="H1633" s="4"/>
      <c r="I1633" s="187"/>
      <c r="J1633" s="15"/>
      <c r="K1633" s="15"/>
      <c r="L1633" s="220">
        <f t="shared" si="676"/>
        <v>0</v>
      </c>
      <c r="O1633" s="6"/>
      <c r="P1633" s="15"/>
      <c r="Q1633" s="14">
        <f t="shared" si="674"/>
        <v>0</v>
      </c>
      <c r="R1633" s="186"/>
      <c r="S1633" s="4"/>
      <c r="T1633" s="234"/>
      <c r="U1633" s="14">
        <f t="shared" si="677"/>
        <v>0</v>
      </c>
      <c r="V1633" s="209"/>
    </row>
    <row r="1634" spans="2:22" ht="14.25" thickBot="1" x14ac:dyDescent="0.2">
      <c r="B1634" s="4" t="s">
        <v>749</v>
      </c>
      <c r="C1634" s="235">
        <v>18</v>
      </c>
      <c r="D1634" s="234">
        <v>6</v>
      </c>
      <c r="E1634" s="234">
        <v>4</v>
      </c>
      <c r="F1634" s="220">
        <f t="shared" si="672"/>
        <v>28</v>
      </c>
      <c r="G1634" s="248">
        <v>45428</v>
      </c>
      <c r="H1634" s="4"/>
      <c r="I1634" s="187"/>
      <c r="J1634" s="15"/>
      <c r="K1634" s="15"/>
      <c r="L1634" s="220">
        <f t="shared" si="676"/>
        <v>0</v>
      </c>
      <c r="O1634" s="6"/>
      <c r="P1634" s="276"/>
      <c r="Q1634" s="277">
        <f t="shared" si="674"/>
        <v>0</v>
      </c>
      <c r="R1634" s="179"/>
      <c r="S1634" s="4" t="s">
        <v>1226</v>
      </c>
      <c r="T1634" s="234"/>
      <c r="U1634" s="14">
        <f t="shared" ref="U1634" si="678">SUM(T1634:T1634)</f>
        <v>0</v>
      </c>
      <c r="V1634" s="186" t="s">
        <v>1227</v>
      </c>
    </row>
    <row r="1635" spans="2:22" ht="14.25" thickBot="1" x14ac:dyDescent="0.2">
      <c r="B1635" s="3" t="s">
        <v>5</v>
      </c>
      <c r="C1635" s="16">
        <f>SUM(C1611:C1634)</f>
        <v>301</v>
      </c>
      <c r="D1635" s="16">
        <f>SUM(D1611:D1634)</f>
        <v>39</v>
      </c>
      <c r="E1635" s="16">
        <f>SUM(E1611:E1634)</f>
        <v>38</v>
      </c>
      <c r="F1635" s="223">
        <f>SUM(F1611:F1634)</f>
        <v>378</v>
      </c>
      <c r="H1635" s="3" t="s">
        <v>5</v>
      </c>
      <c r="I1635" s="16">
        <f>SUM(I1611:I1634)</f>
        <v>200</v>
      </c>
      <c r="J1635" s="16">
        <f>SUM(J1611:J1634)</f>
        <v>50</v>
      </c>
      <c r="K1635" s="16">
        <f>SUM(K1611:K1634)</f>
        <v>70</v>
      </c>
      <c r="L1635" s="223">
        <f>SUM(L1611:L1634)</f>
        <v>320</v>
      </c>
      <c r="O1635" s="3" t="s">
        <v>5</v>
      </c>
      <c r="P1635" s="16">
        <f>SUM(P1611:P1634)</f>
        <v>0</v>
      </c>
      <c r="Q1635" s="17">
        <f>SUM(Q1611:Q1634)</f>
        <v>0</v>
      </c>
      <c r="S1635" s="3" t="s">
        <v>5</v>
      </c>
      <c r="T1635" s="16">
        <f>SUM(T1611:T1634)</f>
        <v>30</v>
      </c>
      <c r="U1635" s="17">
        <f>SUM(U1611:U1634)</f>
        <v>30</v>
      </c>
    </row>
    <row r="1636" spans="2:22" ht="14.25" thickBot="1" x14ac:dyDescent="0.2">
      <c r="B1636" s="18" t="s">
        <v>6</v>
      </c>
      <c r="C1636" s="19">
        <f>C1610-C1635</f>
        <v>169</v>
      </c>
      <c r="D1636" s="19">
        <f>D1610-D1635</f>
        <v>51</v>
      </c>
      <c r="E1636" s="19">
        <f t="shared" ref="E1636" si="679">E1610-E1635</f>
        <v>76</v>
      </c>
      <c r="F1636" s="221">
        <f>F1610-F1635</f>
        <v>296</v>
      </c>
      <c r="H1636" s="18" t="s">
        <v>6</v>
      </c>
      <c r="I1636" s="19">
        <f>I1610-I1635</f>
        <v>3560</v>
      </c>
      <c r="J1636" s="19">
        <f>J1610-J1635</f>
        <v>1504</v>
      </c>
      <c r="K1636" s="19">
        <f t="shared" ref="K1636" si="680">K1610-K1635</f>
        <v>1007</v>
      </c>
      <c r="L1636" s="221">
        <f>L1610-L1635</f>
        <v>6071</v>
      </c>
      <c r="O1636" s="18" t="s">
        <v>6</v>
      </c>
      <c r="P1636" s="19">
        <f>P1610-P1635</f>
        <v>0</v>
      </c>
      <c r="Q1636" s="13">
        <f>Q1610-Q1635</f>
        <v>0</v>
      </c>
      <c r="S1636" s="18" t="s">
        <v>6</v>
      </c>
      <c r="T1636" s="19">
        <f>T1610-T1635</f>
        <v>2360</v>
      </c>
      <c r="U1636" s="13">
        <f>U1610-U1635</f>
        <v>2360</v>
      </c>
    </row>
    <row r="1637" spans="2:22" x14ac:dyDescent="0.15">
      <c r="H1637" s="168"/>
      <c r="I1637" s="24"/>
      <c r="J1637" s="24"/>
      <c r="K1637" s="24"/>
      <c r="L1637" s="280"/>
    </row>
    <row r="1639" spans="2:22" ht="18" thickBot="1" x14ac:dyDescent="0.25">
      <c r="B1639" s="27" t="s">
        <v>739</v>
      </c>
      <c r="C1639" s="28"/>
      <c r="D1639" s="28"/>
      <c r="E1639" s="28"/>
      <c r="F1639" s="218"/>
      <c r="H1639" s="27" t="s">
        <v>740</v>
      </c>
      <c r="I1639" s="279"/>
      <c r="J1639" s="279"/>
      <c r="K1639" s="22"/>
      <c r="L1639" s="278"/>
      <c r="O1639" s="181" t="s">
        <v>737</v>
      </c>
      <c r="P1639" s="182"/>
      <c r="Q1639" s="182"/>
      <c r="R1639" s="183"/>
      <c r="S1639" s="181" t="s">
        <v>733</v>
      </c>
      <c r="T1639" s="182"/>
      <c r="U1639" s="182"/>
    </row>
    <row r="1640" spans="2:22" ht="14.25" thickBot="1" x14ac:dyDescent="0.2">
      <c r="B1640" s="2"/>
      <c r="C1640" s="194" t="s">
        <v>734</v>
      </c>
      <c r="D1640" s="195" t="s">
        <v>706</v>
      </c>
      <c r="E1640" s="2" t="s">
        <v>735</v>
      </c>
      <c r="F1640" s="219" t="s">
        <v>1</v>
      </c>
      <c r="H1640" s="2"/>
      <c r="I1640" s="197" t="s">
        <v>734</v>
      </c>
      <c r="J1640" s="195" t="s">
        <v>706</v>
      </c>
      <c r="K1640" s="201" t="s">
        <v>735</v>
      </c>
      <c r="L1640" s="219" t="s">
        <v>1</v>
      </c>
      <c r="O1640" s="2"/>
      <c r="P1640" s="3" t="s">
        <v>722</v>
      </c>
      <c r="Q1640" s="2" t="s">
        <v>1</v>
      </c>
      <c r="S1640" s="2"/>
      <c r="T1640" s="3" t="s">
        <v>722</v>
      </c>
      <c r="U1640" s="2" t="s">
        <v>1</v>
      </c>
    </row>
    <row r="1641" spans="2:22" x14ac:dyDescent="0.15">
      <c r="B1641" s="164" t="s">
        <v>26</v>
      </c>
      <c r="C1641" s="200">
        <f>C1636</f>
        <v>169</v>
      </c>
      <c r="D1641" s="164">
        <f t="shared" ref="D1641:F1641" si="681">D1636</f>
        <v>51</v>
      </c>
      <c r="E1641" s="164">
        <f t="shared" si="681"/>
        <v>76</v>
      </c>
      <c r="F1641" s="222">
        <f t="shared" si="681"/>
        <v>296</v>
      </c>
      <c r="H1641" s="164" t="s">
        <v>26</v>
      </c>
      <c r="I1641" s="200">
        <f>I1636</f>
        <v>3560</v>
      </c>
      <c r="J1641" s="164">
        <f t="shared" ref="J1641:L1641" si="682">J1636</f>
        <v>1504</v>
      </c>
      <c r="K1641" s="200">
        <f t="shared" si="682"/>
        <v>1007</v>
      </c>
      <c r="L1641" s="222">
        <f t="shared" si="682"/>
        <v>6071</v>
      </c>
      <c r="O1641" s="171" t="s">
        <v>26</v>
      </c>
      <c r="P1641" s="200">
        <f>P1636</f>
        <v>0</v>
      </c>
      <c r="Q1641" s="180">
        <f>Q1636</f>
        <v>0</v>
      </c>
      <c r="R1641" s="185"/>
      <c r="S1641" s="43" t="s">
        <v>26</v>
      </c>
      <c r="T1641" s="38">
        <f>T1636</f>
        <v>2360</v>
      </c>
      <c r="U1641" s="39">
        <f>U1636</f>
        <v>2360</v>
      </c>
    </row>
    <row r="1642" spans="2:22" x14ac:dyDescent="0.15">
      <c r="B1642" s="6" t="s">
        <v>3</v>
      </c>
      <c r="C1642" s="6"/>
      <c r="D1642" s="225">
        <v>50</v>
      </c>
      <c r="E1642" s="226">
        <v>50</v>
      </c>
      <c r="F1642" s="220">
        <f t="shared" ref="F1642:F1643" si="683">SUM(C1642:E1642)</f>
        <v>100</v>
      </c>
      <c r="G1642" s="211">
        <v>45430</v>
      </c>
      <c r="H1642" s="6" t="s">
        <v>3</v>
      </c>
      <c r="I1642" s="188"/>
      <c r="J1642" s="225"/>
      <c r="K1642" s="243"/>
      <c r="L1642" s="220">
        <f t="shared" ref="L1642:L1651" si="684">SUM(I1642:K1642)</f>
        <v>0</v>
      </c>
      <c r="O1642" s="6" t="s">
        <v>3</v>
      </c>
      <c r="P1642" s="7"/>
      <c r="Q1642" s="5">
        <f t="shared" ref="Q1642:Q1651" si="685">SUM(P1642:P1642)</f>
        <v>0</v>
      </c>
      <c r="R1642" s="186"/>
      <c r="S1642" s="6" t="s">
        <v>3</v>
      </c>
      <c r="T1642" s="7"/>
      <c r="U1642" s="5">
        <f t="shared" ref="U1642:U1651" si="686">SUM(T1642:T1642)</f>
        <v>0</v>
      </c>
    </row>
    <row r="1643" spans="2:22" x14ac:dyDescent="0.15">
      <c r="B1643" s="6" t="s">
        <v>3</v>
      </c>
      <c r="C1643" s="6">
        <v>200</v>
      </c>
      <c r="D1643" s="225">
        <v>30</v>
      </c>
      <c r="E1643" s="226">
        <v>17</v>
      </c>
      <c r="F1643" s="220">
        <f t="shared" si="683"/>
        <v>247</v>
      </c>
      <c r="G1643" s="211">
        <v>45437</v>
      </c>
      <c r="H1643" s="6" t="s">
        <v>3</v>
      </c>
      <c r="I1643" s="188"/>
      <c r="J1643" s="225"/>
      <c r="K1643" s="243"/>
      <c r="L1643" s="220">
        <f t="shared" si="684"/>
        <v>0</v>
      </c>
      <c r="O1643" s="6" t="s">
        <v>3</v>
      </c>
      <c r="P1643" s="7"/>
      <c r="Q1643" s="5">
        <f t="shared" si="685"/>
        <v>0</v>
      </c>
      <c r="R1643" s="186"/>
      <c r="S1643" s="6" t="s">
        <v>3</v>
      </c>
      <c r="T1643" s="54"/>
      <c r="U1643" s="5">
        <f t="shared" si="686"/>
        <v>0</v>
      </c>
    </row>
    <row r="1644" spans="2:22" x14ac:dyDescent="0.15">
      <c r="B1644" s="6" t="s">
        <v>3</v>
      </c>
      <c r="C1644" s="6">
        <v>400</v>
      </c>
      <c r="D1644" s="225"/>
      <c r="E1644" s="226"/>
      <c r="F1644" s="220">
        <f t="shared" ref="F1644:F1651" si="687">SUM(C1644:E1644)</f>
        <v>400</v>
      </c>
      <c r="G1644" s="211">
        <v>45448</v>
      </c>
      <c r="H1644" s="6" t="s">
        <v>968</v>
      </c>
      <c r="I1644" s="188"/>
      <c r="J1644" s="225">
        <v>30</v>
      </c>
      <c r="K1644" s="243">
        <v>17</v>
      </c>
      <c r="L1644" s="220">
        <f t="shared" si="684"/>
        <v>47</v>
      </c>
      <c r="M1644" s="211">
        <v>45432</v>
      </c>
      <c r="O1644" s="6" t="s">
        <v>3</v>
      </c>
      <c r="P1644" s="7"/>
      <c r="Q1644" s="5">
        <f t="shared" si="685"/>
        <v>0</v>
      </c>
      <c r="R1644" s="186"/>
      <c r="S1644" s="6" t="s">
        <v>3</v>
      </c>
      <c r="T1644" s="54"/>
      <c r="U1644" s="5">
        <f t="shared" si="686"/>
        <v>0</v>
      </c>
    </row>
    <row r="1645" spans="2:22" x14ac:dyDescent="0.15">
      <c r="B1645" s="4" t="s">
        <v>1268</v>
      </c>
      <c r="C1645" s="233">
        <v>1</v>
      </c>
      <c r="D1645" s="234"/>
      <c r="E1645" s="234"/>
      <c r="F1645" s="220">
        <f t="shared" si="687"/>
        <v>1</v>
      </c>
      <c r="G1645" s="211">
        <v>45444</v>
      </c>
      <c r="H1645" s="6" t="s">
        <v>3</v>
      </c>
      <c r="I1645" s="188"/>
      <c r="J1645" s="225"/>
      <c r="K1645" s="243"/>
      <c r="L1645" s="220">
        <f t="shared" si="684"/>
        <v>0</v>
      </c>
      <c r="O1645" s="6" t="s">
        <v>3</v>
      </c>
      <c r="P1645" s="7"/>
      <c r="Q1645" s="5">
        <f t="shared" si="685"/>
        <v>0</v>
      </c>
      <c r="R1645" s="186"/>
      <c r="S1645" s="6" t="s">
        <v>3</v>
      </c>
      <c r="T1645" s="54"/>
      <c r="U1645" s="5">
        <f t="shared" si="686"/>
        <v>0</v>
      </c>
    </row>
    <row r="1646" spans="2:22" x14ac:dyDescent="0.15">
      <c r="B1646" s="6" t="s">
        <v>3</v>
      </c>
      <c r="C1646" s="6">
        <v>200</v>
      </c>
      <c r="D1646" s="225"/>
      <c r="E1646" s="226"/>
      <c r="F1646" s="220">
        <f t="shared" si="687"/>
        <v>200</v>
      </c>
      <c r="G1646" s="211">
        <v>45450</v>
      </c>
      <c r="H1646" s="6" t="s">
        <v>3</v>
      </c>
      <c r="I1646" s="188"/>
      <c r="J1646" s="225"/>
      <c r="K1646" s="243"/>
      <c r="L1646" s="220">
        <f t="shared" si="684"/>
        <v>0</v>
      </c>
      <c r="O1646" s="6" t="s">
        <v>3</v>
      </c>
      <c r="P1646" s="7"/>
      <c r="Q1646" s="5">
        <f t="shared" si="685"/>
        <v>0</v>
      </c>
      <c r="R1646" s="186"/>
      <c r="S1646" s="6" t="s">
        <v>3</v>
      </c>
      <c r="T1646" s="54"/>
      <c r="U1646" s="5">
        <f t="shared" si="686"/>
        <v>0</v>
      </c>
    </row>
    <row r="1647" spans="2:22" x14ac:dyDescent="0.15">
      <c r="B1647" s="6" t="s">
        <v>3</v>
      </c>
      <c r="C1647" s="6">
        <v>300</v>
      </c>
      <c r="D1647" s="225">
        <v>100</v>
      </c>
      <c r="E1647" s="226"/>
      <c r="F1647" s="220">
        <f t="shared" si="687"/>
        <v>400</v>
      </c>
      <c r="G1647" s="211">
        <v>45454</v>
      </c>
      <c r="H1647" s="6" t="s">
        <v>3</v>
      </c>
      <c r="I1647" s="188"/>
      <c r="J1647" s="6"/>
      <c r="K1647" s="202"/>
      <c r="L1647" s="220">
        <f t="shared" si="684"/>
        <v>0</v>
      </c>
      <c r="O1647" s="6" t="s">
        <v>3</v>
      </c>
      <c r="P1647" s="7"/>
      <c r="Q1647" s="5">
        <f t="shared" si="685"/>
        <v>0</v>
      </c>
      <c r="R1647" s="186"/>
      <c r="S1647" s="6" t="s">
        <v>3</v>
      </c>
      <c r="T1647" s="7"/>
      <c r="U1647" s="5">
        <f t="shared" si="686"/>
        <v>0</v>
      </c>
    </row>
    <row r="1648" spans="2:22" x14ac:dyDescent="0.15">
      <c r="B1648" s="6" t="s">
        <v>3</v>
      </c>
      <c r="C1648" s="6"/>
      <c r="D1648" s="225"/>
      <c r="E1648" s="226"/>
      <c r="F1648" s="220">
        <f t="shared" si="687"/>
        <v>0</v>
      </c>
      <c r="H1648" s="6" t="s">
        <v>3</v>
      </c>
      <c r="I1648" s="188"/>
      <c r="J1648" s="225"/>
      <c r="K1648" s="243"/>
      <c r="L1648" s="220">
        <f t="shared" si="684"/>
        <v>0</v>
      </c>
      <c r="O1648" s="6" t="s">
        <v>3</v>
      </c>
      <c r="P1648" s="8"/>
      <c r="Q1648" s="5">
        <f t="shared" si="685"/>
        <v>0</v>
      </c>
      <c r="R1648" s="186"/>
      <c r="S1648" s="6" t="s">
        <v>3</v>
      </c>
      <c r="T1648" s="54"/>
      <c r="U1648" s="5">
        <f t="shared" si="686"/>
        <v>0</v>
      </c>
    </row>
    <row r="1649" spans="2:22" x14ac:dyDescent="0.15">
      <c r="B1649" s="6" t="s">
        <v>3</v>
      </c>
      <c r="C1649" s="6"/>
      <c r="D1649" s="225"/>
      <c r="E1649" s="226"/>
      <c r="F1649" s="220">
        <f t="shared" si="687"/>
        <v>0</v>
      </c>
      <c r="H1649" s="6" t="s">
        <v>3</v>
      </c>
      <c r="I1649" s="188"/>
      <c r="J1649" s="225"/>
      <c r="K1649" s="243"/>
      <c r="L1649" s="220">
        <f t="shared" si="684"/>
        <v>0</v>
      </c>
      <c r="O1649" s="6" t="s">
        <v>3</v>
      </c>
      <c r="P1649" s="8"/>
      <c r="Q1649" s="5">
        <f t="shared" si="685"/>
        <v>0</v>
      </c>
      <c r="R1649" s="186"/>
      <c r="S1649" s="6" t="s">
        <v>3</v>
      </c>
      <c r="T1649" s="54"/>
      <c r="U1649" s="5">
        <f t="shared" si="686"/>
        <v>0</v>
      </c>
    </row>
    <row r="1650" spans="2:22" x14ac:dyDescent="0.15">
      <c r="B1650" s="6" t="s">
        <v>3</v>
      </c>
      <c r="C1650" s="6"/>
      <c r="D1650" s="225"/>
      <c r="E1650" s="226"/>
      <c r="F1650" s="220">
        <f t="shared" si="687"/>
        <v>0</v>
      </c>
      <c r="H1650" s="6" t="s">
        <v>3</v>
      </c>
      <c r="I1650" s="188"/>
      <c r="J1650" s="225"/>
      <c r="K1650" s="243"/>
      <c r="L1650" s="220">
        <f t="shared" si="684"/>
        <v>0</v>
      </c>
      <c r="O1650" s="6" t="s">
        <v>3</v>
      </c>
      <c r="P1650" s="8"/>
      <c r="Q1650" s="5">
        <f t="shared" si="685"/>
        <v>0</v>
      </c>
      <c r="R1650" s="186"/>
      <c r="S1650" s="6" t="s">
        <v>3</v>
      </c>
      <c r="T1650" s="54"/>
      <c r="U1650" s="5">
        <f t="shared" si="686"/>
        <v>0</v>
      </c>
    </row>
    <row r="1651" spans="2:22" ht="14.25" thickBot="1" x14ac:dyDescent="0.2">
      <c r="B1651" s="6" t="s">
        <v>3</v>
      </c>
      <c r="C1651" s="9"/>
      <c r="D1651" s="237"/>
      <c r="E1651" s="238"/>
      <c r="F1651" s="220">
        <f t="shared" si="687"/>
        <v>0</v>
      </c>
      <c r="H1651" s="9" t="s">
        <v>3</v>
      </c>
      <c r="I1651" s="198"/>
      <c r="J1651" s="244"/>
      <c r="K1651" s="245"/>
      <c r="L1651" s="220">
        <f t="shared" si="684"/>
        <v>0</v>
      </c>
      <c r="O1651" s="9" t="s">
        <v>3</v>
      </c>
      <c r="P1651" s="10"/>
      <c r="Q1651" s="5">
        <f t="shared" si="685"/>
        <v>0</v>
      </c>
      <c r="R1651" s="186"/>
      <c r="S1651" s="9" t="s">
        <v>3</v>
      </c>
      <c r="T1651" s="101"/>
      <c r="U1651" s="5">
        <f t="shared" si="686"/>
        <v>0</v>
      </c>
    </row>
    <row r="1652" spans="2:22" ht="14.25" thickBot="1" x14ac:dyDescent="0.2">
      <c r="B1652" s="11" t="s">
        <v>4</v>
      </c>
      <c r="C1652" s="193">
        <f>SUM(C1641:C1651)</f>
        <v>1270</v>
      </c>
      <c r="D1652" s="193">
        <f>SUM(D1641:D1651)</f>
        <v>231</v>
      </c>
      <c r="E1652" s="193">
        <f>SUM(E1641:E1651)</f>
        <v>143</v>
      </c>
      <c r="F1652" s="221">
        <f>SUM(F1641:F1651)</f>
        <v>1644</v>
      </c>
      <c r="H1652" s="11" t="s">
        <v>4</v>
      </c>
      <c r="I1652" s="193">
        <f>SUM(I1641:I1651)</f>
        <v>3560</v>
      </c>
      <c r="J1652" s="193">
        <f t="shared" ref="J1652" si="688">SUM(J1641:J1651)</f>
        <v>1534</v>
      </c>
      <c r="K1652" s="193">
        <f t="shared" ref="K1652" si="689">SUM(K1641:K1651)</f>
        <v>1024</v>
      </c>
      <c r="L1652" s="221">
        <f>SUM(L1641:L1651)</f>
        <v>6118</v>
      </c>
      <c r="O1652" s="11" t="s">
        <v>4</v>
      </c>
      <c r="P1652" s="12">
        <f>SUM(P1641:P1651)</f>
        <v>0</v>
      </c>
      <c r="Q1652" s="13">
        <f>SUM(Q1641:Q1651)</f>
        <v>0</v>
      </c>
      <c r="S1652" s="11" t="s">
        <v>4</v>
      </c>
      <c r="T1652" s="12">
        <f>SUM(T1641:T1651)</f>
        <v>2360</v>
      </c>
      <c r="U1652" s="13">
        <f>SUM(U1641:U1651)</f>
        <v>2360</v>
      </c>
    </row>
    <row r="1653" spans="2:22" x14ac:dyDescent="0.15">
      <c r="B1653" s="4" t="s">
        <v>749</v>
      </c>
      <c r="C1653" s="233">
        <f>2+4</f>
        <v>6</v>
      </c>
      <c r="D1653" s="234">
        <v>1</v>
      </c>
      <c r="E1653" s="234"/>
      <c r="F1653" s="220">
        <f t="shared" ref="F1653:F1671" si="690">SUM(C1653:E1653)</f>
        <v>7</v>
      </c>
      <c r="G1653" s="248">
        <v>45429</v>
      </c>
      <c r="H1653" s="6" t="s">
        <v>1260</v>
      </c>
      <c r="I1653" s="233">
        <v>150</v>
      </c>
      <c r="J1653" s="234"/>
      <c r="K1653" s="234"/>
      <c r="L1653" s="220">
        <f t="shared" ref="L1653:L1654" si="691">SUM(I1653:K1653)</f>
        <v>150</v>
      </c>
      <c r="M1653" s="211">
        <v>45441</v>
      </c>
      <c r="O1653" s="4"/>
      <c r="P1653" s="44"/>
      <c r="Q1653" s="14">
        <f t="shared" ref="Q1653:Q1676" si="692">SUM(P1653:P1653)</f>
        <v>0</v>
      </c>
      <c r="R1653" s="185"/>
      <c r="S1653" s="6" t="s">
        <v>1260</v>
      </c>
      <c r="T1653" s="234">
        <v>100</v>
      </c>
      <c r="U1653" s="14">
        <f t="shared" ref="U1653" si="693">SUM(T1653:T1653)</f>
        <v>100</v>
      </c>
      <c r="V1653" s="211">
        <v>45441</v>
      </c>
    </row>
    <row r="1654" spans="2:22" x14ac:dyDescent="0.15">
      <c r="B1654" s="4" t="s">
        <v>749</v>
      </c>
      <c r="C1654" s="233">
        <v>8</v>
      </c>
      <c r="D1654" s="234">
        <v>9</v>
      </c>
      <c r="E1654" s="234">
        <v>3</v>
      </c>
      <c r="F1654" s="220">
        <f t="shared" si="690"/>
        <v>20</v>
      </c>
      <c r="G1654" s="248">
        <v>45430</v>
      </c>
      <c r="H1654" s="4" t="s">
        <v>745</v>
      </c>
      <c r="I1654" s="233">
        <v>200</v>
      </c>
      <c r="J1654" s="234">
        <v>30</v>
      </c>
      <c r="K1654" s="234">
        <v>17</v>
      </c>
      <c r="L1654" s="220">
        <f t="shared" si="691"/>
        <v>247</v>
      </c>
      <c r="M1654" s="211">
        <v>45437</v>
      </c>
      <c r="O1654" s="4"/>
      <c r="P1654" s="15"/>
      <c r="Q1654" s="14">
        <f t="shared" si="692"/>
        <v>0</v>
      </c>
      <c r="R1654" s="186"/>
      <c r="S1654" s="6" t="s">
        <v>1264</v>
      </c>
      <c r="T1654" s="234">
        <v>300</v>
      </c>
      <c r="U1654" s="14">
        <f t="shared" ref="U1654:U1667" si="694">SUM(T1654:T1654)</f>
        <v>300</v>
      </c>
      <c r="V1654" s="211">
        <v>45443</v>
      </c>
    </row>
    <row r="1655" spans="2:22" x14ac:dyDescent="0.15">
      <c r="B1655" s="4" t="s">
        <v>749</v>
      </c>
      <c r="C1655" s="233">
        <f>35+26+1+2</f>
        <v>64</v>
      </c>
      <c r="D1655" s="234">
        <f>1+9+1</f>
        <v>11</v>
      </c>
      <c r="E1655" s="234">
        <v>2</v>
      </c>
      <c r="F1655" s="220">
        <f t="shared" si="690"/>
        <v>77</v>
      </c>
      <c r="G1655" s="248">
        <v>45432</v>
      </c>
      <c r="H1655" s="6" t="s">
        <v>1264</v>
      </c>
      <c r="I1655" s="233">
        <v>500</v>
      </c>
      <c r="J1655" s="234"/>
      <c r="K1655" s="234"/>
      <c r="L1655" s="220">
        <f t="shared" ref="L1655:L1659" si="695">SUM(I1655:K1655)</f>
        <v>500</v>
      </c>
      <c r="M1655" s="211">
        <v>45443</v>
      </c>
      <c r="N1655" s="186"/>
      <c r="O1655" s="4"/>
      <c r="P1655" s="15"/>
      <c r="Q1655" s="14">
        <f t="shared" si="692"/>
        <v>0</v>
      </c>
      <c r="R1655" s="186"/>
      <c r="S1655" s="4" t="s">
        <v>1274</v>
      </c>
      <c r="T1655" s="234">
        <v>30</v>
      </c>
      <c r="U1655" s="14">
        <f t="shared" si="694"/>
        <v>30</v>
      </c>
      <c r="V1655" s="211">
        <v>45453</v>
      </c>
    </row>
    <row r="1656" spans="2:22" x14ac:dyDescent="0.15">
      <c r="B1656" s="4" t="s">
        <v>749</v>
      </c>
      <c r="C1656" s="233">
        <f>7+1</f>
        <v>8</v>
      </c>
      <c r="D1656" s="234">
        <f>1+1</f>
        <v>2</v>
      </c>
      <c r="E1656" s="234"/>
      <c r="F1656" s="220">
        <f t="shared" si="690"/>
        <v>10</v>
      </c>
      <c r="G1656" s="248">
        <v>45433</v>
      </c>
      <c r="H1656" s="4" t="s">
        <v>1267</v>
      </c>
      <c r="I1656" s="233">
        <v>10</v>
      </c>
      <c r="J1656" s="234">
        <v>10</v>
      </c>
      <c r="K1656" s="234"/>
      <c r="L1656" s="220">
        <f t="shared" si="695"/>
        <v>20</v>
      </c>
      <c r="M1656" s="211">
        <v>45455</v>
      </c>
      <c r="O1656" s="4"/>
      <c r="P1656" s="15"/>
      <c r="Q1656" s="14">
        <f t="shared" si="692"/>
        <v>0</v>
      </c>
      <c r="R1656" s="186"/>
      <c r="S1656" s="6"/>
      <c r="T1656" s="234"/>
      <c r="U1656" s="14">
        <f t="shared" si="694"/>
        <v>0</v>
      </c>
      <c r="V1656" s="209"/>
    </row>
    <row r="1657" spans="2:22" x14ac:dyDescent="0.15">
      <c r="B1657" s="4" t="s">
        <v>749</v>
      </c>
      <c r="C1657" s="233">
        <f>1+7</f>
        <v>8</v>
      </c>
      <c r="D1657" s="234">
        <v>1</v>
      </c>
      <c r="E1657" s="234">
        <v>2</v>
      </c>
      <c r="F1657" s="220">
        <f t="shared" si="690"/>
        <v>11</v>
      </c>
      <c r="G1657" s="248">
        <v>45434</v>
      </c>
      <c r="H1657" s="4" t="s">
        <v>745</v>
      </c>
      <c r="I1657" s="233">
        <v>400</v>
      </c>
      <c r="J1657" s="234"/>
      <c r="K1657" s="234"/>
      <c r="L1657" s="220">
        <f t="shared" si="695"/>
        <v>400</v>
      </c>
      <c r="M1657" s="211">
        <v>45447</v>
      </c>
      <c r="O1657" s="4"/>
      <c r="P1657" s="15"/>
      <c r="Q1657" s="14">
        <f t="shared" si="692"/>
        <v>0</v>
      </c>
      <c r="R1657" s="186"/>
      <c r="S1657" s="6"/>
      <c r="T1657" s="234"/>
      <c r="U1657" s="14">
        <f t="shared" si="694"/>
        <v>0</v>
      </c>
      <c r="V1657" s="209"/>
    </row>
    <row r="1658" spans="2:22" x14ac:dyDescent="0.15">
      <c r="B1658" s="4" t="s">
        <v>764</v>
      </c>
      <c r="C1658" s="233">
        <v>30</v>
      </c>
      <c r="D1658" s="234"/>
      <c r="E1658" s="234"/>
      <c r="F1658" s="220">
        <f t="shared" si="690"/>
        <v>30</v>
      </c>
      <c r="G1658" s="211">
        <v>45434</v>
      </c>
      <c r="H1658" s="4" t="s">
        <v>745</v>
      </c>
      <c r="I1658" s="233">
        <v>200</v>
      </c>
      <c r="J1658" s="234"/>
      <c r="K1658" s="234"/>
      <c r="L1658" s="220">
        <f t="shared" si="695"/>
        <v>200</v>
      </c>
      <c r="M1658" s="211">
        <v>45450</v>
      </c>
      <c r="O1658" s="4"/>
      <c r="P1658" s="15"/>
      <c r="Q1658" s="14">
        <f t="shared" si="692"/>
        <v>0</v>
      </c>
      <c r="R1658" s="186"/>
      <c r="S1658" s="6"/>
      <c r="T1658" s="234"/>
      <c r="U1658" s="14">
        <f t="shared" si="694"/>
        <v>0</v>
      </c>
      <c r="V1658" s="209"/>
    </row>
    <row r="1659" spans="2:22" x14ac:dyDescent="0.15">
      <c r="B1659" s="4" t="s">
        <v>749</v>
      </c>
      <c r="C1659" s="233">
        <f>1+5</f>
        <v>6</v>
      </c>
      <c r="D1659" s="234">
        <v>1</v>
      </c>
      <c r="E1659" s="234"/>
      <c r="F1659" s="220">
        <f t="shared" si="690"/>
        <v>7</v>
      </c>
      <c r="G1659" s="248">
        <v>45435</v>
      </c>
      <c r="H1659" s="4" t="s">
        <v>745</v>
      </c>
      <c r="I1659" s="233">
        <v>300</v>
      </c>
      <c r="J1659" s="234">
        <v>100</v>
      </c>
      <c r="K1659" s="234"/>
      <c r="L1659" s="220">
        <f t="shared" si="695"/>
        <v>400</v>
      </c>
      <c r="M1659" s="211">
        <v>45454</v>
      </c>
      <c r="O1659" s="4"/>
      <c r="P1659" s="15"/>
      <c r="Q1659" s="14">
        <f t="shared" si="692"/>
        <v>0</v>
      </c>
      <c r="R1659" s="186"/>
      <c r="S1659" s="4"/>
      <c r="T1659" s="234"/>
      <c r="U1659" s="14">
        <f t="shared" si="694"/>
        <v>0</v>
      </c>
      <c r="V1659" s="209"/>
    </row>
    <row r="1660" spans="2:22" x14ac:dyDescent="0.15">
      <c r="B1660" s="4" t="s">
        <v>749</v>
      </c>
      <c r="C1660" s="233">
        <f>4+1+14</f>
        <v>19</v>
      </c>
      <c r="D1660" s="234">
        <f>7+1</f>
        <v>8</v>
      </c>
      <c r="E1660" s="234">
        <v>1</v>
      </c>
      <c r="F1660" s="220">
        <f t="shared" si="690"/>
        <v>28</v>
      </c>
      <c r="G1660" s="248">
        <v>45436</v>
      </c>
      <c r="H1660" s="4" t="s">
        <v>1274</v>
      </c>
      <c r="I1660" s="233">
        <v>100</v>
      </c>
      <c r="J1660" s="234"/>
      <c r="K1660" s="234"/>
      <c r="L1660" s="220">
        <f t="shared" ref="L1660:L1662" si="696">SUM(I1660:K1660)</f>
        <v>100</v>
      </c>
      <c r="M1660" s="211">
        <v>45453</v>
      </c>
      <c r="O1660" s="4"/>
      <c r="P1660" s="15"/>
      <c r="Q1660" s="14">
        <f t="shared" si="692"/>
        <v>0</v>
      </c>
      <c r="R1660" s="186"/>
      <c r="S1660" s="4"/>
      <c r="T1660" s="234"/>
      <c r="U1660" s="14">
        <f t="shared" si="694"/>
        <v>0</v>
      </c>
      <c r="V1660" s="209"/>
    </row>
    <row r="1661" spans="2:22" x14ac:dyDescent="0.15">
      <c r="B1661" s="4" t="s">
        <v>749</v>
      </c>
      <c r="C1661" s="233">
        <f>23+24+5</f>
        <v>52</v>
      </c>
      <c r="D1661" s="234">
        <f>2+6</f>
        <v>8</v>
      </c>
      <c r="E1661" s="234">
        <f>1+7</f>
        <v>8</v>
      </c>
      <c r="F1661" s="220">
        <f t="shared" si="690"/>
        <v>68</v>
      </c>
      <c r="G1661" s="248">
        <v>45439</v>
      </c>
      <c r="H1661" s="4" t="s">
        <v>745</v>
      </c>
      <c r="I1661" s="233"/>
      <c r="J1661" s="234">
        <v>50</v>
      </c>
      <c r="K1661" s="234"/>
      <c r="L1661" s="220">
        <f t="shared" si="696"/>
        <v>50</v>
      </c>
      <c r="M1661" s="211">
        <v>45469</v>
      </c>
      <c r="O1661" s="4"/>
      <c r="P1661" s="15"/>
      <c r="Q1661" s="14">
        <f t="shared" si="692"/>
        <v>0</v>
      </c>
      <c r="R1661" s="186"/>
      <c r="S1661" s="4"/>
      <c r="T1661" s="234"/>
      <c r="U1661" s="14">
        <f t="shared" si="694"/>
        <v>0</v>
      </c>
      <c r="V1661" s="209"/>
    </row>
    <row r="1662" spans="2:22" x14ac:dyDescent="0.15">
      <c r="B1662" s="4" t="s">
        <v>749</v>
      </c>
      <c r="C1662" s="233">
        <v>11</v>
      </c>
      <c r="D1662" s="234">
        <v>1</v>
      </c>
      <c r="E1662" s="234">
        <v>1</v>
      </c>
      <c r="F1662" s="220">
        <f t="shared" si="690"/>
        <v>13</v>
      </c>
      <c r="G1662" s="248">
        <v>45440</v>
      </c>
      <c r="H1662" s="4"/>
      <c r="I1662" s="233"/>
      <c r="J1662" s="234"/>
      <c r="K1662" s="234"/>
      <c r="L1662" s="220">
        <f t="shared" si="696"/>
        <v>0</v>
      </c>
      <c r="M1662" s="212"/>
      <c r="O1662" s="4"/>
      <c r="P1662" s="15"/>
      <c r="Q1662" s="14">
        <f t="shared" si="692"/>
        <v>0</v>
      </c>
      <c r="R1662" s="186"/>
      <c r="S1662" s="4"/>
      <c r="T1662" s="234"/>
      <c r="U1662" s="14">
        <f t="shared" si="694"/>
        <v>0</v>
      </c>
      <c r="V1662" s="209"/>
    </row>
    <row r="1663" spans="2:22" x14ac:dyDescent="0.15">
      <c r="B1663" s="4" t="s">
        <v>749</v>
      </c>
      <c r="C1663" s="233">
        <f>2+6</f>
        <v>8</v>
      </c>
      <c r="D1663" s="234"/>
      <c r="E1663" s="234">
        <v>1</v>
      </c>
      <c r="F1663" s="220">
        <f t="shared" si="690"/>
        <v>9</v>
      </c>
      <c r="G1663" s="248">
        <v>45441</v>
      </c>
      <c r="H1663" s="4"/>
      <c r="I1663" s="233"/>
      <c r="J1663" s="234"/>
      <c r="K1663" s="234"/>
      <c r="L1663" s="220">
        <f t="shared" ref="L1663:L1665" si="697">SUM(I1663:K1663)</f>
        <v>0</v>
      </c>
      <c r="M1663" s="212"/>
      <c r="O1663" s="4"/>
      <c r="P1663" s="15"/>
      <c r="Q1663" s="14">
        <f t="shared" si="692"/>
        <v>0</v>
      </c>
      <c r="R1663" s="186"/>
      <c r="S1663" s="4"/>
      <c r="T1663" s="234"/>
      <c r="U1663" s="14">
        <f t="shared" si="694"/>
        <v>0</v>
      </c>
      <c r="V1663" s="209"/>
    </row>
    <row r="1664" spans="2:22" x14ac:dyDescent="0.15">
      <c r="B1664" s="4" t="s">
        <v>749</v>
      </c>
      <c r="C1664" s="233">
        <f>3+11</f>
        <v>14</v>
      </c>
      <c r="D1664" s="234">
        <v>1</v>
      </c>
      <c r="E1664" s="234">
        <f>1+1</f>
        <v>2</v>
      </c>
      <c r="F1664" s="220">
        <f t="shared" si="690"/>
        <v>17</v>
      </c>
      <c r="G1664" s="248">
        <v>45442</v>
      </c>
      <c r="H1664" s="4"/>
      <c r="I1664" s="233"/>
      <c r="J1664" s="234"/>
      <c r="K1664" s="234"/>
      <c r="L1664" s="220">
        <f t="shared" si="697"/>
        <v>0</v>
      </c>
      <c r="M1664" s="212"/>
      <c r="O1664" s="6"/>
      <c r="P1664" s="15"/>
      <c r="Q1664" s="14">
        <f t="shared" si="692"/>
        <v>0</v>
      </c>
      <c r="R1664" s="186"/>
      <c r="S1664" s="6"/>
      <c r="T1664" s="234"/>
      <c r="U1664" s="14">
        <f t="shared" si="694"/>
        <v>0</v>
      </c>
      <c r="V1664" s="209"/>
    </row>
    <row r="1665" spans="2:22" x14ac:dyDescent="0.15">
      <c r="B1665" s="4" t="s">
        <v>749</v>
      </c>
      <c r="C1665" s="233">
        <v>5</v>
      </c>
      <c r="D1665" s="234">
        <v>3</v>
      </c>
      <c r="E1665" s="234">
        <v>1</v>
      </c>
      <c r="F1665" s="220">
        <f t="shared" si="690"/>
        <v>9</v>
      </c>
      <c r="G1665" s="248">
        <v>45443</v>
      </c>
      <c r="H1665" s="4"/>
      <c r="I1665" s="233"/>
      <c r="J1665" s="234"/>
      <c r="K1665" s="234"/>
      <c r="L1665" s="220">
        <f t="shared" si="697"/>
        <v>0</v>
      </c>
      <c r="M1665" s="212"/>
      <c r="O1665" s="6"/>
      <c r="P1665" s="15"/>
      <c r="Q1665" s="14">
        <f t="shared" si="692"/>
        <v>0</v>
      </c>
      <c r="R1665" s="186"/>
      <c r="S1665" s="6"/>
      <c r="T1665" s="234"/>
      <c r="U1665" s="14">
        <f t="shared" si="694"/>
        <v>0</v>
      </c>
      <c r="V1665" s="209"/>
    </row>
    <row r="1666" spans="2:22" x14ac:dyDescent="0.15">
      <c r="B1666" s="4" t="s">
        <v>749</v>
      </c>
      <c r="C1666" s="233">
        <v>11</v>
      </c>
      <c r="D1666" s="234"/>
      <c r="E1666" s="234">
        <v>1</v>
      </c>
      <c r="F1666" s="220">
        <f t="shared" si="690"/>
        <v>12</v>
      </c>
      <c r="G1666" s="248">
        <v>45444</v>
      </c>
      <c r="H1666" s="4"/>
      <c r="I1666" s="233"/>
      <c r="J1666" s="234"/>
      <c r="K1666" s="234"/>
      <c r="L1666" s="220">
        <f t="shared" ref="L1666:L1669" si="698">SUM(I1666:K1666)</f>
        <v>0</v>
      </c>
      <c r="M1666" s="212"/>
      <c r="O1666" s="4"/>
      <c r="P1666" s="15"/>
      <c r="Q1666" s="14">
        <f t="shared" si="692"/>
        <v>0</v>
      </c>
      <c r="R1666" s="186"/>
      <c r="S1666" s="4"/>
      <c r="T1666" s="234"/>
      <c r="U1666" s="14">
        <f t="shared" si="694"/>
        <v>0</v>
      </c>
      <c r="V1666" s="209"/>
    </row>
    <row r="1667" spans="2:22" x14ac:dyDescent="0.15">
      <c r="B1667" s="4" t="s">
        <v>749</v>
      </c>
      <c r="C1667" s="233">
        <f>1+95</f>
        <v>96</v>
      </c>
      <c r="D1667" s="234">
        <v>5</v>
      </c>
      <c r="E1667" s="234">
        <v>3</v>
      </c>
      <c r="F1667" s="220">
        <f t="shared" si="690"/>
        <v>104</v>
      </c>
      <c r="G1667" s="248">
        <v>45446</v>
      </c>
      <c r="H1667" s="4"/>
      <c r="I1667" s="233"/>
      <c r="J1667" s="234"/>
      <c r="K1667" s="234"/>
      <c r="L1667" s="220">
        <f t="shared" si="698"/>
        <v>0</v>
      </c>
      <c r="O1667" s="4"/>
      <c r="P1667" s="15"/>
      <c r="Q1667" s="14">
        <f t="shared" si="692"/>
        <v>0</v>
      </c>
      <c r="R1667" s="186"/>
      <c r="S1667" s="4"/>
      <c r="T1667" s="234"/>
      <c r="U1667" s="14">
        <f t="shared" si="694"/>
        <v>0</v>
      </c>
      <c r="V1667" s="209"/>
    </row>
    <row r="1668" spans="2:22" x14ac:dyDescent="0.15">
      <c r="B1668" s="4" t="s">
        <v>749</v>
      </c>
      <c r="C1668" s="233">
        <f>18+1</f>
        <v>19</v>
      </c>
      <c r="D1668" s="234">
        <f>4+1</f>
        <v>5</v>
      </c>
      <c r="E1668" s="234">
        <f>1+2</f>
        <v>3</v>
      </c>
      <c r="F1668" s="220">
        <f t="shared" si="690"/>
        <v>27</v>
      </c>
      <c r="G1668" s="248">
        <v>45447</v>
      </c>
      <c r="H1668" s="4"/>
      <c r="I1668" s="233"/>
      <c r="J1668" s="234"/>
      <c r="K1668" s="234"/>
      <c r="L1668" s="220">
        <f t="shared" si="698"/>
        <v>0</v>
      </c>
      <c r="O1668" s="4"/>
      <c r="P1668" s="15"/>
      <c r="Q1668" s="14">
        <f t="shared" si="692"/>
        <v>0</v>
      </c>
      <c r="R1668" s="186"/>
      <c r="S1668" s="4"/>
      <c r="T1668" s="234"/>
      <c r="U1668" s="14">
        <f t="shared" ref="U1668" si="699">SUM(T1668:T1668)</f>
        <v>0</v>
      </c>
      <c r="V1668" s="209"/>
    </row>
    <row r="1669" spans="2:22" x14ac:dyDescent="0.15">
      <c r="B1669" s="4" t="s">
        <v>749</v>
      </c>
      <c r="C1669" s="233">
        <f>110+23</f>
        <v>133</v>
      </c>
      <c r="D1669" s="234">
        <f>5+7</f>
        <v>12</v>
      </c>
      <c r="E1669" s="234">
        <f>2+6</f>
        <v>8</v>
      </c>
      <c r="F1669" s="220">
        <f t="shared" si="690"/>
        <v>153</v>
      </c>
      <c r="G1669" s="248">
        <v>45448</v>
      </c>
      <c r="H1669" s="4"/>
      <c r="I1669" s="233"/>
      <c r="J1669" s="234"/>
      <c r="K1669" s="234"/>
      <c r="L1669" s="220">
        <f t="shared" si="698"/>
        <v>0</v>
      </c>
      <c r="O1669" s="6"/>
      <c r="P1669" s="15"/>
      <c r="Q1669" s="14">
        <f t="shared" si="692"/>
        <v>0</v>
      </c>
      <c r="R1669" s="186"/>
      <c r="S1669" s="4"/>
      <c r="T1669" s="234"/>
      <c r="U1669" s="14">
        <f t="shared" ref="U1669:U1672" si="700">SUM(T1669:T1669)</f>
        <v>0</v>
      </c>
      <c r="V1669" s="209"/>
    </row>
    <row r="1670" spans="2:22" x14ac:dyDescent="0.15">
      <c r="B1670" s="4" t="s">
        <v>749</v>
      </c>
      <c r="C1670" s="233">
        <f>1+80+12</f>
        <v>93</v>
      </c>
      <c r="D1670" s="234">
        <f>1+16</f>
        <v>17</v>
      </c>
      <c r="E1670" s="234">
        <f>3+3</f>
        <v>6</v>
      </c>
      <c r="F1670" s="220">
        <f t="shared" si="690"/>
        <v>116</v>
      </c>
      <c r="G1670" s="211">
        <v>45449</v>
      </c>
      <c r="H1670" s="4"/>
      <c r="I1670" s="233"/>
      <c r="J1670" s="234"/>
      <c r="K1670" s="234"/>
      <c r="L1670" s="220">
        <f t="shared" ref="L1670:L1674" si="701">SUM(I1670:K1670)</f>
        <v>0</v>
      </c>
      <c r="O1670" s="4"/>
      <c r="P1670" s="15"/>
      <c r="Q1670" s="14">
        <f t="shared" si="692"/>
        <v>0</v>
      </c>
      <c r="R1670" s="186"/>
      <c r="S1670" s="4"/>
      <c r="T1670" s="234"/>
      <c r="U1670" s="14">
        <f t="shared" si="700"/>
        <v>0</v>
      </c>
      <c r="V1670" s="209"/>
    </row>
    <row r="1671" spans="2:22" x14ac:dyDescent="0.15">
      <c r="B1671" s="4" t="s">
        <v>764</v>
      </c>
      <c r="C1671" s="233">
        <v>30</v>
      </c>
      <c r="D1671" s="234"/>
      <c r="E1671" s="234"/>
      <c r="F1671" s="220">
        <f t="shared" si="690"/>
        <v>30</v>
      </c>
      <c r="G1671" s="211">
        <v>45450</v>
      </c>
      <c r="H1671" s="4"/>
      <c r="I1671" s="233"/>
      <c r="J1671" s="234"/>
      <c r="K1671" s="234"/>
      <c r="L1671" s="220">
        <f t="shared" si="701"/>
        <v>0</v>
      </c>
      <c r="O1671" s="6"/>
      <c r="P1671" s="15"/>
      <c r="Q1671" s="14">
        <f t="shared" si="692"/>
        <v>0</v>
      </c>
      <c r="R1671" s="186"/>
      <c r="S1671" s="4"/>
      <c r="T1671" s="234"/>
      <c r="U1671" s="14">
        <f t="shared" si="700"/>
        <v>0</v>
      </c>
      <c r="V1671" s="209"/>
    </row>
    <row r="1672" spans="2:22" x14ac:dyDescent="0.15">
      <c r="B1672" s="4" t="s">
        <v>749</v>
      </c>
      <c r="C1672" s="233">
        <f>61+7</f>
        <v>68</v>
      </c>
      <c r="D1672" s="234">
        <f>3+5</f>
        <v>8</v>
      </c>
      <c r="E1672" s="234">
        <v>1</v>
      </c>
      <c r="F1672" s="220">
        <f t="shared" ref="F1672:F1676" si="702">SUM(C1672:E1672)</f>
        <v>77</v>
      </c>
      <c r="G1672" s="248">
        <v>45450</v>
      </c>
      <c r="H1672" s="4"/>
      <c r="I1672" s="233"/>
      <c r="J1672" s="234"/>
      <c r="K1672" s="234"/>
      <c r="L1672" s="220">
        <f t="shared" si="701"/>
        <v>0</v>
      </c>
      <c r="O1672" s="4"/>
      <c r="P1672" s="15"/>
      <c r="Q1672" s="14">
        <f t="shared" si="692"/>
        <v>0</v>
      </c>
      <c r="R1672" s="186"/>
      <c r="S1672" s="4"/>
      <c r="T1672" s="234"/>
      <c r="U1672" s="14">
        <f t="shared" si="700"/>
        <v>0</v>
      </c>
      <c r="V1672" s="209"/>
    </row>
    <row r="1673" spans="2:22" x14ac:dyDescent="0.15">
      <c r="B1673" s="4" t="s">
        <v>749</v>
      </c>
      <c r="C1673" s="233">
        <f>23+22+86+4+1+1+7</f>
        <v>144</v>
      </c>
      <c r="D1673" s="234">
        <f>8+7</f>
        <v>15</v>
      </c>
      <c r="E1673" s="234">
        <f>7+3</f>
        <v>10</v>
      </c>
      <c r="F1673" s="220">
        <f t="shared" si="702"/>
        <v>169</v>
      </c>
      <c r="G1673" s="248">
        <v>45453</v>
      </c>
      <c r="H1673" s="254" t="s">
        <v>1250</v>
      </c>
      <c r="I1673" s="258"/>
      <c r="J1673" s="252"/>
      <c r="K1673" s="252"/>
      <c r="L1673" s="250">
        <f t="shared" si="701"/>
        <v>0</v>
      </c>
      <c r="M1673" s="212"/>
      <c r="O1673" s="4"/>
      <c r="P1673" s="15"/>
      <c r="Q1673" s="14">
        <f t="shared" si="692"/>
        <v>0</v>
      </c>
      <c r="R1673" s="186"/>
      <c r="S1673" s="254" t="s">
        <v>1250</v>
      </c>
      <c r="T1673" s="275"/>
      <c r="U1673" s="255">
        <f>SUM(T1673:T1673)</f>
        <v>0</v>
      </c>
      <c r="V1673" s="186"/>
    </row>
    <row r="1674" spans="2:22" x14ac:dyDescent="0.15">
      <c r="B1674" s="4" t="s">
        <v>749</v>
      </c>
      <c r="C1674" s="233">
        <f>26+14+38+1+3+5</f>
        <v>87</v>
      </c>
      <c r="D1674" s="234">
        <f>4+8+1+1</f>
        <v>14</v>
      </c>
      <c r="E1674" s="234">
        <f>1+2+2+1</f>
        <v>6</v>
      </c>
      <c r="F1674" s="220">
        <f t="shared" si="702"/>
        <v>107</v>
      </c>
      <c r="G1674" s="248">
        <v>45454</v>
      </c>
      <c r="H1674" s="4" t="s">
        <v>1248</v>
      </c>
      <c r="I1674" s="233"/>
      <c r="J1674" s="15">
        <v>0</v>
      </c>
      <c r="K1674" s="15">
        <v>0</v>
      </c>
      <c r="L1674" s="220">
        <f t="shared" si="701"/>
        <v>0</v>
      </c>
      <c r="M1674" s="212" t="s">
        <v>1249</v>
      </c>
      <c r="O1674" s="4"/>
      <c r="P1674" s="15"/>
      <c r="Q1674" s="14">
        <f t="shared" si="692"/>
        <v>0</v>
      </c>
      <c r="R1674" s="186"/>
      <c r="S1674" s="4" t="s">
        <v>1248</v>
      </c>
      <c r="T1674" s="234"/>
      <c r="U1674" s="14">
        <f>SUM(T1674:T1674)</f>
        <v>0</v>
      </c>
      <c r="V1674" s="186" t="s">
        <v>1249</v>
      </c>
    </row>
    <row r="1675" spans="2:22" x14ac:dyDescent="0.15">
      <c r="B1675" s="4" t="s">
        <v>749</v>
      </c>
      <c r="C1675" s="233">
        <v>17</v>
      </c>
      <c r="D1675" s="234">
        <v>2</v>
      </c>
      <c r="E1675" s="234">
        <v>2</v>
      </c>
      <c r="F1675" s="220">
        <f t="shared" si="702"/>
        <v>21</v>
      </c>
      <c r="G1675" s="248">
        <v>45457</v>
      </c>
      <c r="H1675" s="247" t="s">
        <v>1239</v>
      </c>
      <c r="I1675" s="258"/>
      <c r="J1675" s="252"/>
      <c r="K1675" s="252"/>
      <c r="L1675" s="250">
        <f t="shared" ref="L1675:L1676" si="703">SUM(I1675:K1675)</f>
        <v>0</v>
      </c>
      <c r="M1675" s="212"/>
      <c r="O1675" s="6"/>
      <c r="P1675" s="15"/>
      <c r="Q1675" s="14">
        <f t="shared" si="692"/>
        <v>0</v>
      </c>
      <c r="R1675" s="186"/>
      <c r="S1675" s="247" t="s">
        <v>1239</v>
      </c>
      <c r="T1675" s="275"/>
      <c r="U1675" s="255">
        <f t="shared" ref="U1675:U1676" si="704">SUM(T1675:T1675)</f>
        <v>0</v>
      </c>
      <c r="V1675" s="186"/>
    </row>
    <row r="1676" spans="2:22" ht="14.25" thickBot="1" x14ac:dyDescent="0.2">
      <c r="B1676" s="6" t="s">
        <v>1291</v>
      </c>
      <c r="C1676" s="235">
        <v>30</v>
      </c>
      <c r="D1676" s="234"/>
      <c r="E1676" s="234">
        <v>10</v>
      </c>
      <c r="F1676" s="220">
        <f t="shared" si="702"/>
        <v>40</v>
      </c>
      <c r="G1676" s="211">
        <v>45469</v>
      </c>
      <c r="H1676" s="6" t="s">
        <v>1237</v>
      </c>
      <c r="I1676" s="233"/>
      <c r="J1676" s="15">
        <v>0</v>
      </c>
      <c r="K1676" s="15">
        <v>0</v>
      </c>
      <c r="L1676" s="220">
        <f t="shared" si="703"/>
        <v>0</v>
      </c>
      <c r="M1676" s="212" t="s">
        <v>1238</v>
      </c>
      <c r="O1676" s="6"/>
      <c r="P1676" s="276"/>
      <c r="Q1676" s="277">
        <f t="shared" si="692"/>
        <v>0</v>
      </c>
      <c r="R1676" s="179"/>
      <c r="S1676" s="6" t="s">
        <v>1237</v>
      </c>
      <c r="T1676" s="234"/>
      <c r="U1676" s="14">
        <f t="shared" si="704"/>
        <v>0</v>
      </c>
      <c r="V1676" s="186" t="s">
        <v>1238</v>
      </c>
    </row>
    <row r="1677" spans="2:22" ht="14.25" thickBot="1" x14ac:dyDescent="0.2">
      <c r="B1677" s="3" t="s">
        <v>5</v>
      </c>
      <c r="C1677" s="16">
        <f>SUM(C1653:C1676)</f>
        <v>967</v>
      </c>
      <c r="D1677" s="16">
        <f>SUM(D1653:D1676)</f>
        <v>124</v>
      </c>
      <c r="E1677" s="16">
        <f>SUM(E1653:E1676)</f>
        <v>71</v>
      </c>
      <c r="F1677" s="223">
        <f>SUM(F1653:F1676)</f>
        <v>1162</v>
      </c>
      <c r="H1677" s="3" t="s">
        <v>5</v>
      </c>
      <c r="I1677" s="16">
        <f>SUM(I1653:I1676)</f>
        <v>1860</v>
      </c>
      <c r="J1677" s="16">
        <f>SUM(J1653:J1676)</f>
        <v>190</v>
      </c>
      <c r="K1677" s="16">
        <f>SUM(K1653:K1676)</f>
        <v>17</v>
      </c>
      <c r="L1677" s="223">
        <f>SUM(L1653:L1676)</f>
        <v>2067</v>
      </c>
      <c r="O1677" s="3" t="s">
        <v>5</v>
      </c>
      <c r="P1677" s="16">
        <f>SUM(P1653:P1676)</f>
        <v>0</v>
      </c>
      <c r="Q1677" s="17">
        <f>SUM(Q1653:Q1676)</f>
        <v>0</v>
      </c>
      <c r="S1677" s="3" t="s">
        <v>5</v>
      </c>
      <c r="T1677" s="16">
        <f>SUM(T1653:T1676)</f>
        <v>430</v>
      </c>
      <c r="U1677" s="17">
        <f>SUM(U1653:U1676)</f>
        <v>430</v>
      </c>
    </row>
    <row r="1678" spans="2:22" ht="14.25" thickBot="1" x14ac:dyDescent="0.2">
      <c r="B1678" s="18" t="s">
        <v>6</v>
      </c>
      <c r="C1678" s="19">
        <f>C1652-C1677</f>
        <v>303</v>
      </c>
      <c r="D1678" s="19">
        <f>D1652-D1677</f>
        <v>107</v>
      </c>
      <c r="E1678" s="19">
        <f t="shared" ref="E1678" si="705">E1652-E1677</f>
        <v>72</v>
      </c>
      <c r="F1678" s="221">
        <f>F1652-F1677</f>
        <v>482</v>
      </c>
      <c r="H1678" s="18" t="s">
        <v>6</v>
      </c>
      <c r="I1678" s="19">
        <f>I1652-I1677</f>
        <v>1700</v>
      </c>
      <c r="J1678" s="19">
        <f>J1652-J1677</f>
        <v>1344</v>
      </c>
      <c r="K1678" s="19">
        <f t="shared" ref="K1678" si="706">K1652-K1677</f>
        <v>1007</v>
      </c>
      <c r="L1678" s="221">
        <f>L1652-L1677</f>
        <v>4051</v>
      </c>
      <c r="O1678" s="18" t="s">
        <v>6</v>
      </c>
      <c r="P1678" s="19">
        <f>P1652-P1677</f>
        <v>0</v>
      </c>
      <c r="Q1678" s="13">
        <f>Q1652-Q1677</f>
        <v>0</v>
      </c>
      <c r="S1678" s="18" t="s">
        <v>6</v>
      </c>
      <c r="T1678" s="19">
        <f>T1652-T1677</f>
        <v>1930</v>
      </c>
      <c r="U1678" s="13">
        <f>U1652-U1677</f>
        <v>1930</v>
      </c>
    </row>
    <row r="1681" spans="1:22" ht="18" thickBot="1" x14ac:dyDescent="0.25">
      <c r="B1681" s="27" t="s">
        <v>739</v>
      </c>
      <c r="C1681" s="28"/>
      <c r="D1681" s="28"/>
      <c r="E1681" s="28"/>
      <c r="F1681" s="218"/>
      <c r="H1681" s="27" t="s">
        <v>740</v>
      </c>
      <c r="I1681" s="279"/>
      <c r="J1681" s="279"/>
      <c r="K1681" s="22"/>
      <c r="L1681" s="278"/>
      <c r="O1681" s="181" t="s">
        <v>737</v>
      </c>
      <c r="P1681" s="182"/>
      <c r="Q1681" s="182"/>
      <c r="R1681" s="183"/>
      <c r="S1681" s="181" t="s">
        <v>733</v>
      </c>
      <c r="T1681" s="182"/>
      <c r="U1681" s="182"/>
    </row>
    <row r="1682" spans="1:22" ht="14.25" thickBot="1" x14ac:dyDescent="0.2">
      <c r="B1682" s="2"/>
      <c r="C1682" s="194" t="s">
        <v>734</v>
      </c>
      <c r="D1682" s="195" t="s">
        <v>706</v>
      </c>
      <c r="E1682" s="2" t="s">
        <v>735</v>
      </c>
      <c r="F1682" s="219" t="s">
        <v>1</v>
      </c>
      <c r="H1682" s="2"/>
      <c r="I1682" s="197" t="s">
        <v>734</v>
      </c>
      <c r="J1682" s="195" t="s">
        <v>706</v>
      </c>
      <c r="K1682" s="201" t="s">
        <v>735</v>
      </c>
      <c r="L1682" s="219" t="s">
        <v>1</v>
      </c>
      <c r="O1682" s="2"/>
      <c r="P1682" s="3" t="s">
        <v>722</v>
      </c>
      <c r="Q1682" s="2" t="s">
        <v>1</v>
      </c>
      <c r="S1682" s="2"/>
      <c r="T1682" s="3" t="s">
        <v>722</v>
      </c>
      <c r="U1682" s="2" t="s">
        <v>1</v>
      </c>
    </row>
    <row r="1683" spans="1:22" x14ac:dyDescent="0.15">
      <c r="B1683" s="164" t="s">
        <v>26</v>
      </c>
      <c r="C1683" s="200">
        <f>C1678</f>
        <v>303</v>
      </c>
      <c r="D1683" s="164">
        <f t="shared" ref="D1683:F1683" si="707">D1678</f>
        <v>107</v>
      </c>
      <c r="E1683" s="164">
        <f t="shared" si="707"/>
        <v>72</v>
      </c>
      <c r="F1683" s="222">
        <f t="shared" si="707"/>
        <v>482</v>
      </c>
      <c r="H1683" s="164" t="s">
        <v>26</v>
      </c>
      <c r="I1683" s="200">
        <f>I1678</f>
        <v>1700</v>
      </c>
      <c r="J1683" s="164">
        <f t="shared" ref="J1683:L1683" si="708">J1678</f>
        <v>1344</v>
      </c>
      <c r="K1683" s="200">
        <f t="shared" si="708"/>
        <v>1007</v>
      </c>
      <c r="L1683" s="222">
        <f t="shared" si="708"/>
        <v>4051</v>
      </c>
      <c r="O1683" s="171" t="s">
        <v>26</v>
      </c>
      <c r="P1683" s="200">
        <f>P1678</f>
        <v>0</v>
      </c>
      <c r="Q1683" s="180">
        <f>Q1678</f>
        <v>0</v>
      </c>
      <c r="R1683" s="185"/>
      <c r="S1683" s="43" t="s">
        <v>26</v>
      </c>
      <c r="T1683" s="38">
        <f>T1678</f>
        <v>1930</v>
      </c>
      <c r="U1683" s="39">
        <f>U1678</f>
        <v>1930</v>
      </c>
    </row>
    <row r="1684" spans="1:22" x14ac:dyDescent="0.15">
      <c r="A1684" s="186"/>
      <c r="B1684" s="6" t="s">
        <v>3</v>
      </c>
      <c r="C1684" s="6">
        <v>100</v>
      </c>
      <c r="D1684" s="225"/>
      <c r="E1684" s="226">
        <v>100</v>
      </c>
      <c r="F1684" s="220">
        <f t="shared" ref="F1684:F1693" si="709">SUM(C1684:E1684)</f>
        <v>200</v>
      </c>
      <c r="G1684" s="211">
        <v>45457</v>
      </c>
      <c r="H1684" s="6" t="s">
        <v>3</v>
      </c>
      <c r="I1684" s="188"/>
      <c r="J1684" s="225"/>
      <c r="K1684" s="243"/>
      <c r="L1684" s="220">
        <f t="shared" ref="L1684:L1693" si="710">SUM(I1684:K1684)</f>
        <v>0</v>
      </c>
      <c r="O1684" s="6" t="s">
        <v>3</v>
      </c>
      <c r="P1684" s="7"/>
      <c r="Q1684" s="5">
        <f t="shared" ref="Q1684:Q1693" si="711">SUM(P1684:P1684)</f>
        <v>0</v>
      </c>
      <c r="R1684" s="186"/>
      <c r="S1684" s="6" t="s">
        <v>3</v>
      </c>
      <c r="T1684" s="7"/>
      <c r="U1684" s="5">
        <f t="shared" ref="U1684:U1693" si="712">SUM(T1684:T1684)</f>
        <v>0</v>
      </c>
    </row>
    <row r="1685" spans="1:22" x14ac:dyDescent="0.15">
      <c r="A1685" s="186"/>
      <c r="B1685" s="6" t="s">
        <v>3</v>
      </c>
      <c r="C1685" s="6">
        <v>400</v>
      </c>
      <c r="D1685" s="225"/>
      <c r="E1685" s="226"/>
      <c r="F1685" s="220">
        <f t="shared" si="709"/>
        <v>400</v>
      </c>
      <c r="G1685" s="211">
        <v>45458</v>
      </c>
      <c r="H1685" s="6" t="s">
        <v>3</v>
      </c>
      <c r="I1685" s="188"/>
      <c r="J1685" s="225"/>
      <c r="K1685" s="243"/>
      <c r="L1685" s="220">
        <f t="shared" si="710"/>
        <v>0</v>
      </c>
      <c r="O1685" s="6" t="s">
        <v>3</v>
      </c>
      <c r="P1685" s="7"/>
      <c r="Q1685" s="5">
        <f t="shared" si="711"/>
        <v>0</v>
      </c>
      <c r="R1685" s="186"/>
      <c r="S1685" s="6" t="s">
        <v>3</v>
      </c>
      <c r="T1685" s="54"/>
      <c r="U1685" s="5">
        <f t="shared" si="712"/>
        <v>0</v>
      </c>
    </row>
    <row r="1686" spans="1:22" x14ac:dyDescent="0.15">
      <c r="A1686" s="186"/>
      <c r="B1686" s="6" t="s">
        <v>3</v>
      </c>
      <c r="C1686" s="6"/>
      <c r="D1686" s="225">
        <v>50</v>
      </c>
      <c r="E1686" s="226"/>
      <c r="F1686" s="220">
        <f t="shared" si="709"/>
        <v>50</v>
      </c>
      <c r="G1686" s="211">
        <v>45469</v>
      </c>
      <c r="H1686" s="6" t="s">
        <v>3</v>
      </c>
      <c r="I1686" s="188">
        <v>6000</v>
      </c>
      <c r="J1686" s="225">
        <v>1000</v>
      </c>
      <c r="K1686" s="243">
        <v>1000</v>
      </c>
      <c r="L1686" s="220">
        <f t="shared" si="710"/>
        <v>8000</v>
      </c>
      <c r="M1686" s="211" t="s">
        <v>1266</v>
      </c>
      <c r="O1686" s="6" t="s">
        <v>3</v>
      </c>
      <c r="P1686" s="7"/>
      <c r="Q1686" s="5">
        <f t="shared" si="711"/>
        <v>0</v>
      </c>
      <c r="R1686" s="186"/>
      <c r="S1686" s="6" t="s">
        <v>3</v>
      </c>
      <c r="T1686" s="54"/>
      <c r="U1686" s="5">
        <f t="shared" si="712"/>
        <v>0</v>
      </c>
    </row>
    <row r="1687" spans="1:22" x14ac:dyDescent="0.15">
      <c r="A1687" s="186"/>
      <c r="B1687" s="6" t="s">
        <v>3</v>
      </c>
      <c r="C1687" s="6">
        <v>200</v>
      </c>
      <c r="D1687" s="225">
        <v>50</v>
      </c>
      <c r="E1687" s="226"/>
      <c r="F1687" s="220">
        <f t="shared" si="709"/>
        <v>250</v>
      </c>
      <c r="G1687" s="211">
        <v>45479</v>
      </c>
      <c r="H1687" s="6" t="s">
        <v>3</v>
      </c>
      <c r="I1687" s="188"/>
      <c r="J1687" s="225"/>
      <c r="K1687" s="243"/>
      <c r="L1687" s="220">
        <f t="shared" si="710"/>
        <v>0</v>
      </c>
      <c r="M1687" s="212" t="s">
        <v>1265</v>
      </c>
      <c r="O1687" s="6" t="s">
        <v>3</v>
      </c>
      <c r="P1687" s="7"/>
      <c r="Q1687" s="5">
        <f t="shared" si="711"/>
        <v>0</v>
      </c>
      <c r="R1687" s="186"/>
      <c r="S1687" s="6" t="s">
        <v>3</v>
      </c>
      <c r="T1687" s="54"/>
      <c r="U1687" s="5">
        <f t="shared" si="712"/>
        <v>0</v>
      </c>
    </row>
    <row r="1688" spans="1:22" x14ac:dyDescent="0.15">
      <c r="B1688" s="6" t="s">
        <v>3</v>
      </c>
      <c r="C1688" s="6">
        <v>200</v>
      </c>
      <c r="D1688" s="225">
        <v>50</v>
      </c>
      <c r="E1688" s="226"/>
      <c r="F1688" s="220">
        <f t="shared" si="709"/>
        <v>250</v>
      </c>
      <c r="G1688" s="211">
        <v>45482</v>
      </c>
      <c r="H1688" s="6" t="s">
        <v>3</v>
      </c>
      <c r="I1688" s="188"/>
      <c r="J1688" s="225"/>
      <c r="K1688" s="243"/>
      <c r="L1688" s="220">
        <f t="shared" si="710"/>
        <v>0</v>
      </c>
      <c r="O1688" s="6" t="s">
        <v>3</v>
      </c>
      <c r="P1688" s="7"/>
      <c r="Q1688" s="5">
        <f t="shared" si="711"/>
        <v>0</v>
      </c>
      <c r="R1688" s="186"/>
      <c r="S1688" s="6" t="s">
        <v>3</v>
      </c>
      <c r="T1688" s="54"/>
      <c r="U1688" s="5">
        <f t="shared" si="712"/>
        <v>0</v>
      </c>
    </row>
    <row r="1689" spans="1:22" x14ac:dyDescent="0.15">
      <c r="B1689" s="6" t="s">
        <v>3</v>
      </c>
      <c r="C1689" s="6"/>
      <c r="D1689" s="225"/>
      <c r="E1689" s="226"/>
      <c r="F1689" s="220">
        <f t="shared" si="709"/>
        <v>0</v>
      </c>
      <c r="G1689" s="212"/>
      <c r="H1689" s="6" t="s">
        <v>3</v>
      </c>
      <c r="I1689" s="188"/>
      <c r="J1689" s="6"/>
      <c r="K1689" s="202"/>
      <c r="L1689" s="220">
        <f t="shared" si="710"/>
        <v>0</v>
      </c>
      <c r="O1689" s="6" t="s">
        <v>3</v>
      </c>
      <c r="P1689" s="7"/>
      <c r="Q1689" s="5">
        <f t="shared" si="711"/>
        <v>0</v>
      </c>
      <c r="R1689" s="186"/>
      <c r="S1689" s="6" t="s">
        <v>3</v>
      </c>
      <c r="T1689" s="7"/>
      <c r="U1689" s="5">
        <f t="shared" si="712"/>
        <v>0</v>
      </c>
    </row>
    <row r="1690" spans="1:22" x14ac:dyDescent="0.15">
      <c r="B1690" s="6" t="s">
        <v>3</v>
      </c>
      <c r="C1690" s="6"/>
      <c r="D1690" s="225"/>
      <c r="E1690" s="226"/>
      <c r="F1690" s="220">
        <f t="shared" si="709"/>
        <v>0</v>
      </c>
      <c r="G1690" s="212"/>
      <c r="H1690" s="6" t="s">
        <v>3</v>
      </c>
      <c r="I1690" s="188"/>
      <c r="J1690" s="225"/>
      <c r="K1690" s="243"/>
      <c r="L1690" s="220">
        <f t="shared" si="710"/>
        <v>0</v>
      </c>
      <c r="O1690" s="6" t="s">
        <v>3</v>
      </c>
      <c r="P1690" s="8"/>
      <c r="Q1690" s="5">
        <f t="shared" si="711"/>
        <v>0</v>
      </c>
      <c r="R1690" s="186"/>
      <c r="S1690" s="6" t="s">
        <v>3</v>
      </c>
      <c r="T1690" s="54"/>
      <c r="U1690" s="5">
        <f t="shared" si="712"/>
        <v>0</v>
      </c>
    </row>
    <row r="1691" spans="1:22" x14ac:dyDescent="0.15">
      <c r="B1691" s="6" t="s">
        <v>3</v>
      </c>
      <c r="C1691" s="6"/>
      <c r="D1691" s="225"/>
      <c r="E1691" s="226"/>
      <c r="F1691" s="220">
        <f t="shared" si="709"/>
        <v>0</v>
      </c>
      <c r="H1691" s="6" t="s">
        <v>3</v>
      </c>
      <c r="I1691" s="188"/>
      <c r="J1691" s="225"/>
      <c r="K1691" s="243"/>
      <c r="L1691" s="220">
        <f t="shared" si="710"/>
        <v>0</v>
      </c>
      <c r="O1691" s="6" t="s">
        <v>3</v>
      </c>
      <c r="P1691" s="8"/>
      <c r="Q1691" s="5">
        <f t="shared" si="711"/>
        <v>0</v>
      </c>
      <c r="R1691" s="186"/>
      <c r="S1691" s="6" t="s">
        <v>3</v>
      </c>
      <c r="T1691" s="54"/>
      <c r="U1691" s="5">
        <f t="shared" si="712"/>
        <v>0</v>
      </c>
    </row>
    <row r="1692" spans="1:22" x14ac:dyDescent="0.15">
      <c r="B1692" s="6" t="s">
        <v>3</v>
      </c>
      <c r="C1692" s="6"/>
      <c r="D1692" s="225"/>
      <c r="E1692" s="226"/>
      <c r="F1692" s="220">
        <f t="shared" si="709"/>
        <v>0</v>
      </c>
      <c r="H1692" s="6" t="s">
        <v>3</v>
      </c>
      <c r="I1692" s="188"/>
      <c r="J1692" s="225"/>
      <c r="K1692" s="243"/>
      <c r="L1692" s="220">
        <f t="shared" si="710"/>
        <v>0</v>
      </c>
      <c r="O1692" s="6" t="s">
        <v>3</v>
      </c>
      <c r="P1692" s="8"/>
      <c r="Q1692" s="5">
        <f t="shared" si="711"/>
        <v>0</v>
      </c>
      <c r="R1692" s="186"/>
      <c r="S1692" s="6" t="s">
        <v>3</v>
      </c>
      <c r="T1692" s="54"/>
      <c r="U1692" s="5">
        <f t="shared" si="712"/>
        <v>0</v>
      </c>
    </row>
    <row r="1693" spans="1:22" ht="14.25" thickBot="1" x14ac:dyDescent="0.2">
      <c r="B1693" s="6" t="s">
        <v>3</v>
      </c>
      <c r="C1693" s="9"/>
      <c r="D1693" s="237"/>
      <c r="E1693" s="238"/>
      <c r="F1693" s="220">
        <f t="shared" si="709"/>
        <v>0</v>
      </c>
      <c r="H1693" s="9" t="s">
        <v>3</v>
      </c>
      <c r="I1693" s="198"/>
      <c r="J1693" s="244"/>
      <c r="K1693" s="245"/>
      <c r="L1693" s="220">
        <f t="shared" si="710"/>
        <v>0</v>
      </c>
      <c r="O1693" s="9" t="s">
        <v>3</v>
      </c>
      <c r="P1693" s="10"/>
      <c r="Q1693" s="5">
        <f t="shared" si="711"/>
        <v>0</v>
      </c>
      <c r="R1693" s="186"/>
      <c r="S1693" s="9" t="s">
        <v>3</v>
      </c>
      <c r="T1693" s="101"/>
      <c r="U1693" s="5">
        <f t="shared" si="712"/>
        <v>0</v>
      </c>
    </row>
    <row r="1694" spans="1:22" ht="14.25" thickBot="1" x14ac:dyDescent="0.2">
      <c r="B1694" s="11" t="s">
        <v>4</v>
      </c>
      <c r="C1694" s="193">
        <f>SUM(C1683:C1693)</f>
        <v>1203</v>
      </c>
      <c r="D1694" s="193">
        <f>SUM(D1683:D1693)</f>
        <v>257</v>
      </c>
      <c r="E1694" s="193">
        <f>SUM(E1683:E1693)</f>
        <v>172</v>
      </c>
      <c r="F1694" s="221">
        <f>SUM(F1683:F1693)</f>
        <v>1632</v>
      </c>
      <c r="H1694" s="11" t="s">
        <v>4</v>
      </c>
      <c r="I1694" s="193">
        <f>SUM(I1683:I1693)</f>
        <v>7700</v>
      </c>
      <c r="J1694" s="193">
        <f t="shared" ref="J1694" si="713">SUM(J1683:J1693)</f>
        <v>2344</v>
      </c>
      <c r="K1694" s="193">
        <f t="shared" ref="K1694" si="714">SUM(K1683:K1693)</f>
        <v>2007</v>
      </c>
      <c r="L1694" s="221">
        <f>SUM(L1683:L1693)</f>
        <v>12051</v>
      </c>
      <c r="O1694" s="11" t="s">
        <v>4</v>
      </c>
      <c r="P1694" s="12">
        <f>SUM(P1683:P1693)</f>
        <v>0</v>
      </c>
      <c r="Q1694" s="13">
        <f>SUM(Q1683:Q1693)</f>
        <v>0</v>
      </c>
      <c r="S1694" s="11" t="s">
        <v>4</v>
      </c>
      <c r="T1694" s="12">
        <f>SUM(T1683:T1693)</f>
        <v>1930</v>
      </c>
      <c r="U1694" s="13">
        <f>SUM(U1683:U1693)</f>
        <v>1930</v>
      </c>
    </row>
    <row r="1695" spans="1:22" x14ac:dyDescent="0.15">
      <c r="B1695" s="4" t="s">
        <v>749</v>
      </c>
      <c r="C1695" s="233">
        <f>46+22</f>
        <v>68</v>
      </c>
      <c r="D1695" s="234">
        <f>2+5</f>
        <v>7</v>
      </c>
      <c r="E1695" s="234">
        <v>2</v>
      </c>
      <c r="F1695" s="220">
        <f t="shared" ref="F1695:F1718" si="715">SUM(C1695:E1695)</f>
        <v>77</v>
      </c>
      <c r="G1695" s="248">
        <v>45455</v>
      </c>
      <c r="H1695" s="6" t="s">
        <v>1278</v>
      </c>
      <c r="I1695" s="233">
        <v>200</v>
      </c>
      <c r="J1695" s="234"/>
      <c r="K1695" s="234"/>
      <c r="L1695" s="220">
        <f t="shared" ref="L1695:L1706" si="716">SUM(I1695:K1695)</f>
        <v>200</v>
      </c>
      <c r="M1695" s="211">
        <v>45455</v>
      </c>
      <c r="O1695" s="4"/>
      <c r="P1695" s="44"/>
      <c r="Q1695" s="14">
        <f t="shared" ref="Q1695:Q1718" si="717">SUM(P1695:P1695)</f>
        <v>0</v>
      </c>
      <c r="R1695" s="185"/>
      <c r="S1695" s="6" t="s">
        <v>1278</v>
      </c>
      <c r="T1695" s="234">
        <v>100</v>
      </c>
      <c r="U1695" s="14">
        <f t="shared" ref="U1695:U1701" si="718">SUM(T1695:T1695)</f>
        <v>100</v>
      </c>
      <c r="V1695" s="211">
        <v>45455</v>
      </c>
    </row>
    <row r="1696" spans="1:22" x14ac:dyDescent="0.15">
      <c r="B1696" s="4" t="s">
        <v>749</v>
      </c>
      <c r="C1696" s="233">
        <f>1+92</f>
        <v>93</v>
      </c>
      <c r="D1696" s="234">
        <v>16</v>
      </c>
      <c r="E1696" s="234">
        <v>8</v>
      </c>
      <c r="F1696" s="220">
        <f t="shared" si="715"/>
        <v>117</v>
      </c>
      <c r="G1696" s="248">
        <v>45456</v>
      </c>
      <c r="H1696" s="6" t="s">
        <v>1279</v>
      </c>
      <c r="I1696" s="233">
        <v>100</v>
      </c>
      <c r="J1696" s="234"/>
      <c r="K1696" s="234"/>
      <c r="L1696" s="220">
        <f t="shared" si="716"/>
        <v>100</v>
      </c>
      <c r="M1696" s="211">
        <v>45457</v>
      </c>
      <c r="O1696" s="4"/>
      <c r="P1696" s="15"/>
      <c r="Q1696" s="14">
        <f t="shared" si="717"/>
        <v>0</v>
      </c>
      <c r="R1696" s="186"/>
      <c r="S1696" s="4" t="s">
        <v>1280</v>
      </c>
      <c r="T1696" s="234">
        <v>30</v>
      </c>
      <c r="U1696" s="14">
        <f t="shared" si="718"/>
        <v>30</v>
      </c>
      <c r="V1696" s="211">
        <v>45456</v>
      </c>
    </row>
    <row r="1697" spans="2:22" x14ac:dyDescent="0.15">
      <c r="B1697" s="4" t="s">
        <v>1284</v>
      </c>
      <c r="C1697" s="233">
        <v>20</v>
      </c>
      <c r="D1697" s="234"/>
      <c r="E1697" s="234"/>
      <c r="F1697" s="220">
        <f t="shared" si="715"/>
        <v>20</v>
      </c>
      <c r="G1697" s="211">
        <v>45458</v>
      </c>
      <c r="H1697" s="4" t="s">
        <v>1280</v>
      </c>
      <c r="I1697" s="233">
        <v>190</v>
      </c>
      <c r="J1697" s="234"/>
      <c r="K1697" s="234"/>
      <c r="L1697" s="220">
        <f t="shared" si="716"/>
        <v>190</v>
      </c>
      <c r="M1697" s="211">
        <v>45456</v>
      </c>
      <c r="O1697" s="4"/>
      <c r="P1697" s="15"/>
      <c r="Q1697" s="14">
        <f t="shared" si="717"/>
        <v>0</v>
      </c>
      <c r="R1697" s="186"/>
      <c r="S1697" s="6" t="s">
        <v>1279</v>
      </c>
      <c r="T1697" s="234">
        <v>100</v>
      </c>
      <c r="U1697" s="14">
        <f t="shared" si="718"/>
        <v>100</v>
      </c>
      <c r="V1697" s="211">
        <v>45458</v>
      </c>
    </row>
    <row r="1698" spans="2:22" x14ac:dyDescent="0.15">
      <c r="B1698" s="4" t="s">
        <v>749</v>
      </c>
      <c r="C1698" s="233">
        <v>18</v>
      </c>
      <c r="D1698" s="234">
        <v>4</v>
      </c>
      <c r="E1698" s="234">
        <v>2</v>
      </c>
      <c r="F1698" s="220">
        <f t="shared" si="715"/>
        <v>24</v>
      </c>
      <c r="G1698" s="211">
        <v>45458</v>
      </c>
      <c r="H1698" s="4" t="s">
        <v>1281</v>
      </c>
      <c r="I1698" s="233">
        <v>65</v>
      </c>
      <c r="J1698" s="234"/>
      <c r="K1698" s="234"/>
      <c r="L1698" s="220">
        <f t="shared" si="716"/>
        <v>65</v>
      </c>
      <c r="M1698" s="211">
        <v>45458</v>
      </c>
      <c r="O1698" s="4"/>
      <c r="P1698" s="15"/>
      <c r="Q1698" s="14">
        <f t="shared" si="717"/>
        <v>0</v>
      </c>
      <c r="R1698" s="186"/>
      <c r="S1698" s="6" t="s">
        <v>1285</v>
      </c>
      <c r="T1698" s="234">
        <v>50</v>
      </c>
      <c r="U1698" s="14">
        <f t="shared" si="718"/>
        <v>50</v>
      </c>
      <c r="V1698" s="211">
        <v>45462</v>
      </c>
    </row>
    <row r="1699" spans="2:22" x14ac:dyDescent="0.15">
      <c r="B1699" s="4" t="s">
        <v>749</v>
      </c>
      <c r="C1699" s="233">
        <f>4+37</f>
        <v>41</v>
      </c>
      <c r="D1699" s="234">
        <v>15</v>
      </c>
      <c r="E1699" s="234">
        <f>2+6</f>
        <v>8</v>
      </c>
      <c r="F1699" s="220">
        <f t="shared" si="715"/>
        <v>64</v>
      </c>
      <c r="G1699" s="211">
        <v>45460</v>
      </c>
      <c r="H1699" s="6" t="s">
        <v>1282</v>
      </c>
      <c r="I1699" s="233">
        <v>200</v>
      </c>
      <c r="J1699" s="234"/>
      <c r="K1699" s="234"/>
      <c r="L1699" s="220">
        <f t="shared" si="716"/>
        <v>200</v>
      </c>
      <c r="M1699" s="211">
        <v>45458</v>
      </c>
      <c r="O1699" s="4"/>
      <c r="P1699" s="15"/>
      <c r="Q1699" s="14">
        <f t="shared" si="717"/>
        <v>0</v>
      </c>
      <c r="R1699" s="186"/>
      <c r="S1699" s="6" t="s">
        <v>1287</v>
      </c>
      <c r="T1699" s="234">
        <v>100</v>
      </c>
      <c r="U1699" s="14">
        <f t="shared" si="718"/>
        <v>100</v>
      </c>
      <c r="V1699" s="211">
        <v>45464</v>
      </c>
    </row>
    <row r="1700" spans="2:22" x14ac:dyDescent="0.15">
      <c r="B1700" s="4" t="s">
        <v>749</v>
      </c>
      <c r="C1700" s="233">
        <f>3+10</f>
        <v>13</v>
      </c>
      <c r="D1700" s="234">
        <f>1+2</f>
        <v>3</v>
      </c>
      <c r="E1700" s="234"/>
      <c r="F1700" s="220">
        <f t="shared" si="715"/>
        <v>16</v>
      </c>
      <c r="G1700" s="211">
        <v>45461</v>
      </c>
      <c r="H1700" s="4" t="s">
        <v>745</v>
      </c>
      <c r="I1700" s="233">
        <v>100</v>
      </c>
      <c r="J1700" s="234"/>
      <c r="K1700" s="234">
        <v>100</v>
      </c>
      <c r="L1700" s="220">
        <f t="shared" si="716"/>
        <v>200</v>
      </c>
      <c r="M1700" s="211">
        <v>45457</v>
      </c>
      <c r="O1700" s="4"/>
      <c r="P1700" s="15"/>
      <c r="Q1700" s="14">
        <f t="shared" si="717"/>
        <v>0</v>
      </c>
      <c r="R1700" s="186"/>
      <c r="S1700" s="6" t="s">
        <v>1288</v>
      </c>
      <c r="T1700" s="234">
        <v>150</v>
      </c>
      <c r="U1700" s="14">
        <f t="shared" si="718"/>
        <v>150</v>
      </c>
      <c r="V1700" s="211">
        <v>45464</v>
      </c>
    </row>
    <row r="1701" spans="2:22" x14ac:dyDescent="0.15">
      <c r="B1701" s="4" t="s">
        <v>1289</v>
      </c>
      <c r="C1701" s="233">
        <v>5</v>
      </c>
      <c r="D1701" s="234">
        <v>5</v>
      </c>
      <c r="E1701" s="234">
        <v>5</v>
      </c>
      <c r="F1701" s="220">
        <f t="shared" si="715"/>
        <v>15</v>
      </c>
      <c r="G1701" s="211">
        <v>45462</v>
      </c>
      <c r="H1701" s="4" t="s">
        <v>1283</v>
      </c>
      <c r="I1701" s="233">
        <v>20</v>
      </c>
      <c r="J1701" s="234"/>
      <c r="K1701" s="234"/>
      <c r="L1701" s="220">
        <f t="shared" si="716"/>
        <v>20</v>
      </c>
      <c r="M1701" s="211">
        <v>45460</v>
      </c>
      <c r="O1701" s="4"/>
      <c r="P1701" s="15"/>
      <c r="Q1701" s="14">
        <f t="shared" si="717"/>
        <v>0</v>
      </c>
      <c r="R1701" s="186"/>
      <c r="S1701" s="6" t="s">
        <v>1292</v>
      </c>
      <c r="T1701" s="234">
        <v>100</v>
      </c>
      <c r="U1701" s="14">
        <f t="shared" si="718"/>
        <v>100</v>
      </c>
      <c r="V1701" s="211">
        <v>45476</v>
      </c>
    </row>
    <row r="1702" spans="2:22" x14ac:dyDescent="0.15">
      <c r="B1702" s="4" t="s">
        <v>749</v>
      </c>
      <c r="C1702" s="233">
        <f>3+15</f>
        <v>18</v>
      </c>
      <c r="D1702" s="234">
        <f>2+2</f>
        <v>4</v>
      </c>
      <c r="E1702" s="234">
        <f>1+1</f>
        <v>2</v>
      </c>
      <c r="F1702" s="220">
        <f t="shared" si="715"/>
        <v>24</v>
      </c>
      <c r="G1702" s="248">
        <v>45462</v>
      </c>
      <c r="H1702" s="4" t="s">
        <v>745</v>
      </c>
      <c r="I1702" s="233">
        <v>400</v>
      </c>
      <c r="J1702" s="234"/>
      <c r="K1702" s="234"/>
      <c r="L1702" s="220">
        <f t="shared" si="716"/>
        <v>400</v>
      </c>
      <c r="M1702" s="211">
        <v>45458</v>
      </c>
      <c r="O1702" s="4"/>
      <c r="P1702" s="15"/>
      <c r="Q1702" s="14">
        <f t="shared" si="717"/>
        <v>0</v>
      </c>
      <c r="R1702" s="186"/>
      <c r="S1702" s="6" t="s">
        <v>1294</v>
      </c>
      <c r="T1702" s="234">
        <v>400</v>
      </c>
      <c r="U1702" s="14">
        <f t="shared" ref="U1702:U1707" si="719">SUM(T1702:T1702)</f>
        <v>400</v>
      </c>
      <c r="V1702" s="211">
        <v>45478</v>
      </c>
    </row>
    <row r="1703" spans="2:22" x14ac:dyDescent="0.15">
      <c r="B1703" s="4" t="s">
        <v>749</v>
      </c>
      <c r="C1703" s="233">
        <v>9</v>
      </c>
      <c r="D1703" s="234">
        <v>6</v>
      </c>
      <c r="E1703" s="234">
        <v>1</v>
      </c>
      <c r="F1703" s="220">
        <f t="shared" si="715"/>
        <v>16</v>
      </c>
      <c r="G1703" s="248">
        <v>45463</v>
      </c>
      <c r="H1703" s="6" t="s">
        <v>1285</v>
      </c>
      <c r="I1703" s="233">
        <v>200</v>
      </c>
      <c r="J1703" s="234"/>
      <c r="K1703" s="234"/>
      <c r="L1703" s="220">
        <f t="shared" si="716"/>
        <v>200</v>
      </c>
      <c r="M1703" s="211">
        <v>45462</v>
      </c>
      <c r="O1703" s="4"/>
      <c r="P1703" s="15"/>
      <c r="Q1703" s="14">
        <f t="shared" si="717"/>
        <v>0</v>
      </c>
      <c r="R1703" s="186"/>
      <c r="S1703" s="4" t="s">
        <v>1297</v>
      </c>
      <c r="T1703" s="234">
        <v>4</v>
      </c>
      <c r="U1703" s="14">
        <f t="shared" si="719"/>
        <v>4</v>
      </c>
      <c r="V1703" s="211">
        <v>45478</v>
      </c>
    </row>
    <row r="1704" spans="2:22" x14ac:dyDescent="0.15">
      <c r="B1704" s="4" t="s">
        <v>749</v>
      </c>
      <c r="C1704" s="233">
        <f>1+9</f>
        <v>10</v>
      </c>
      <c r="D1704" s="234">
        <v>2</v>
      </c>
      <c r="E1704" s="234">
        <v>2</v>
      </c>
      <c r="F1704" s="220">
        <f t="shared" si="715"/>
        <v>14</v>
      </c>
      <c r="G1704" s="248">
        <v>45464</v>
      </c>
      <c r="H1704" s="4" t="s">
        <v>1286</v>
      </c>
      <c r="I1704" s="233">
        <v>1</v>
      </c>
      <c r="J1704" s="234"/>
      <c r="K1704" s="234"/>
      <c r="L1704" s="220">
        <f t="shared" si="716"/>
        <v>1</v>
      </c>
      <c r="M1704" s="211">
        <v>45467</v>
      </c>
      <c r="O1704" s="4"/>
      <c r="P1704" s="15"/>
      <c r="Q1704" s="14">
        <f t="shared" si="717"/>
        <v>0</v>
      </c>
      <c r="R1704" s="186"/>
      <c r="S1704" s="4" t="s">
        <v>1298</v>
      </c>
      <c r="T1704" s="234">
        <v>30</v>
      </c>
      <c r="U1704" s="14">
        <f t="shared" si="719"/>
        <v>30</v>
      </c>
      <c r="V1704" s="211">
        <v>45478</v>
      </c>
    </row>
    <row r="1705" spans="2:22" x14ac:dyDescent="0.15">
      <c r="B1705" s="4" t="s">
        <v>749</v>
      </c>
      <c r="C1705" s="233">
        <f>1+1+9+18+4+1+10+3</f>
        <v>47</v>
      </c>
      <c r="D1705" s="234">
        <f>4+2+6</f>
        <v>12</v>
      </c>
      <c r="E1705" s="234">
        <f>4+2</f>
        <v>6</v>
      </c>
      <c r="F1705" s="220">
        <f t="shared" si="715"/>
        <v>65</v>
      </c>
      <c r="G1705" s="248">
        <v>45467</v>
      </c>
      <c r="H1705" s="6" t="s">
        <v>1287</v>
      </c>
      <c r="I1705" s="233">
        <v>250</v>
      </c>
      <c r="J1705" s="234"/>
      <c r="K1705" s="234"/>
      <c r="L1705" s="220">
        <f t="shared" si="716"/>
        <v>250</v>
      </c>
      <c r="M1705" s="211">
        <v>45464</v>
      </c>
      <c r="O1705" s="4"/>
      <c r="P1705" s="15"/>
      <c r="Q1705" s="14">
        <f t="shared" si="717"/>
        <v>0</v>
      </c>
      <c r="R1705" s="186"/>
      <c r="S1705" s="6" t="s">
        <v>1299</v>
      </c>
      <c r="T1705" s="234">
        <v>50</v>
      </c>
      <c r="U1705" s="14">
        <f t="shared" si="719"/>
        <v>50</v>
      </c>
      <c r="V1705" s="211">
        <v>45479</v>
      </c>
    </row>
    <row r="1706" spans="2:22" x14ac:dyDescent="0.15">
      <c r="B1706" s="4" t="s">
        <v>749</v>
      </c>
      <c r="C1706" s="233">
        <f>1+14+5</f>
        <v>20</v>
      </c>
      <c r="D1706" s="234">
        <f>7+3</f>
        <v>10</v>
      </c>
      <c r="E1706" s="234">
        <v>3</v>
      </c>
      <c r="F1706" s="220">
        <f t="shared" si="715"/>
        <v>33</v>
      </c>
      <c r="G1706" s="248">
        <v>45468</v>
      </c>
      <c r="H1706" s="6" t="s">
        <v>1288</v>
      </c>
      <c r="I1706" s="233">
        <v>200</v>
      </c>
      <c r="J1706" s="234"/>
      <c r="K1706" s="234"/>
      <c r="L1706" s="220">
        <f t="shared" si="716"/>
        <v>200</v>
      </c>
      <c r="M1706" s="211">
        <v>45464</v>
      </c>
      <c r="O1706" s="6"/>
      <c r="P1706" s="15"/>
      <c r="Q1706" s="14">
        <f t="shared" si="717"/>
        <v>0</v>
      </c>
      <c r="R1706" s="186"/>
      <c r="S1706" s="6"/>
      <c r="T1706" s="234"/>
      <c r="U1706" s="14">
        <f t="shared" si="719"/>
        <v>0</v>
      </c>
      <c r="V1706" s="212"/>
    </row>
    <row r="1707" spans="2:22" x14ac:dyDescent="0.15">
      <c r="B1707" s="4" t="s">
        <v>749</v>
      </c>
      <c r="C1707" s="233">
        <f>12+18+1+1</f>
        <v>32</v>
      </c>
      <c r="D1707" s="234">
        <f>1+3+1+1</f>
        <v>6</v>
      </c>
      <c r="E1707" s="234">
        <f>1+1</f>
        <v>2</v>
      </c>
      <c r="F1707" s="220">
        <f t="shared" si="715"/>
        <v>40</v>
      </c>
      <c r="G1707" s="248">
        <v>45469</v>
      </c>
      <c r="H1707" s="4" t="s">
        <v>1290</v>
      </c>
      <c r="I1707" s="233">
        <v>5</v>
      </c>
      <c r="J1707" s="234">
        <v>1</v>
      </c>
      <c r="K1707" s="234"/>
      <c r="L1707" s="220">
        <f t="shared" ref="L1707" si="720">SUM(I1707:K1707)</f>
        <v>6</v>
      </c>
      <c r="M1707" s="211">
        <v>45471</v>
      </c>
      <c r="O1707" s="6"/>
      <c r="P1707" s="15"/>
      <c r="Q1707" s="14">
        <f t="shared" si="717"/>
        <v>0</v>
      </c>
      <c r="R1707" s="186"/>
      <c r="S1707" s="6"/>
      <c r="T1707" s="234"/>
      <c r="U1707" s="14">
        <f t="shared" si="719"/>
        <v>0</v>
      </c>
      <c r="V1707" s="209"/>
    </row>
    <row r="1708" spans="2:22" x14ac:dyDescent="0.15">
      <c r="B1708" s="4" t="s">
        <v>749</v>
      </c>
      <c r="C1708" s="233">
        <v>28</v>
      </c>
      <c r="D1708" s="234">
        <v>2</v>
      </c>
      <c r="E1708" s="234"/>
      <c r="F1708" s="220">
        <f t="shared" si="715"/>
        <v>30</v>
      </c>
      <c r="G1708" s="248">
        <v>45470</v>
      </c>
      <c r="H1708" s="6" t="s">
        <v>1292</v>
      </c>
      <c r="I1708" s="233">
        <v>100</v>
      </c>
      <c r="J1708" s="234"/>
      <c r="K1708" s="234"/>
      <c r="L1708" s="220"/>
      <c r="M1708" s="211">
        <v>45476</v>
      </c>
      <c r="O1708" s="4"/>
      <c r="P1708" s="15"/>
      <c r="Q1708" s="14">
        <f t="shared" si="717"/>
        <v>0</v>
      </c>
      <c r="R1708" s="186"/>
      <c r="S1708" s="6"/>
      <c r="T1708" s="234"/>
      <c r="U1708" s="14">
        <f t="shared" ref="U1708:U1710" si="721">SUM(T1708:T1708)</f>
        <v>0</v>
      </c>
      <c r="V1708" s="209"/>
    </row>
    <row r="1709" spans="2:22" x14ac:dyDescent="0.15">
      <c r="B1709" s="4" t="s">
        <v>749</v>
      </c>
      <c r="C1709" s="233">
        <f>4+4</f>
        <v>8</v>
      </c>
      <c r="D1709" s="234">
        <v>1</v>
      </c>
      <c r="E1709" s="234">
        <v>1</v>
      </c>
      <c r="F1709" s="220">
        <f t="shared" si="715"/>
        <v>10</v>
      </c>
      <c r="G1709" s="248">
        <v>45471</v>
      </c>
      <c r="H1709" s="4" t="s">
        <v>1293</v>
      </c>
      <c r="I1709" s="233">
        <v>6</v>
      </c>
      <c r="J1709" s="234">
        <v>5</v>
      </c>
      <c r="K1709" s="234"/>
      <c r="L1709" s="220"/>
      <c r="M1709" s="211">
        <v>45481</v>
      </c>
      <c r="O1709" s="4"/>
      <c r="P1709" s="15"/>
      <c r="Q1709" s="14">
        <f t="shared" si="717"/>
        <v>0</v>
      </c>
      <c r="R1709" s="186"/>
      <c r="S1709" s="6"/>
      <c r="T1709" s="234"/>
      <c r="U1709" s="14">
        <f t="shared" si="721"/>
        <v>0</v>
      </c>
      <c r="V1709" s="209"/>
    </row>
    <row r="1710" spans="2:22" x14ac:dyDescent="0.15">
      <c r="B1710" s="4" t="s">
        <v>749</v>
      </c>
      <c r="C1710" s="233">
        <v>3</v>
      </c>
      <c r="D1710" s="234">
        <v>1</v>
      </c>
      <c r="E1710" s="234"/>
      <c r="F1710" s="220">
        <f t="shared" si="715"/>
        <v>4</v>
      </c>
      <c r="G1710" s="248">
        <v>45472</v>
      </c>
      <c r="H1710" s="6" t="s">
        <v>1294</v>
      </c>
      <c r="I1710" s="233">
        <v>800</v>
      </c>
      <c r="J1710" s="234"/>
      <c r="K1710" s="234"/>
      <c r="L1710" s="220">
        <f t="shared" ref="L1710:L1711" si="722">SUM(I1710:K1710)</f>
        <v>800</v>
      </c>
      <c r="M1710" s="211">
        <v>45478</v>
      </c>
      <c r="O1710" s="4"/>
      <c r="P1710" s="15"/>
      <c r="Q1710" s="14">
        <f t="shared" si="717"/>
        <v>0</v>
      </c>
      <c r="R1710" s="186"/>
      <c r="S1710" s="6"/>
      <c r="T1710" s="234"/>
      <c r="U1710" s="14">
        <f t="shared" si="721"/>
        <v>0</v>
      </c>
      <c r="V1710" s="209"/>
    </row>
    <row r="1711" spans="2:22" x14ac:dyDescent="0.15">
      <c r="B1711" s="4" t="s">
        <v>749</v>
      </c>
      <c r="C1711" s="233">
        <f>3+37</f>
        <v>40</v>
      </c>
      <c r="D1711" s="234">
        <f>1+5</f>
        <v>6</v>
      </c>
      <c r="E1711" s="234">
        <v>4</v>
      </c>
      <c r="F1711" s="220">
        <f t="shared" si="715"/>
        <v>50</v>
      </c>
      <c r="G1711" s="211">
        <v>45474</v>
      </c>
      <c r="H1711" s="6" t="s">
        <v>1299</v>
      </c>
      <c r="I1711" s="233">
        <v>100</v>
      </c>
      <c r="J1711" s="234"/>
      <c r="K1711" s="234"/>
      <c r="L1711" s="220">
        <f t="shared" si="722"/>
        <v>100</v>
      </c>
      <c r="M1711" s="211">
        <v>45479</v>
      </c>
      <c r="N1711" s="186"/>
      <c r="O1711" s="6"/>
      <c r="P1711" s="15"/>
      <c r="Q1711" s="14">
        <f t="shared" si="717"/>
        <v>0</v>
      </c>
      <c r="R1711" s="186"/>
      <c r="S1711" s="6"/>
      <c r="T1711" s="234"/>
      <c r="U1711" s="14">
        <f t="shared" ref="U1711" si="723">SUM(T1711:T1711)</f>
        <v>0</v>
      </c>
      <c r="V1711" s="209"/>
    </row>
    <row r="1712" spans="2:22" x14ac:dyDescent="0.15">
      <c r="B1712" s="4" t="s">
        <v>764</v>
      </c>
      <c r="C1712" s="233">
        <v>30</v>
      </c>
      <c r="D1712" s="234">
        <v>10</v>
      </c>
      <c r="E1712" s="234"/>
      <c r="F1712" s="220">
        <f t="shared" si="715"/>
        <v>40</v>
      </c>
      <c r="G1712" s="211">
        <v>45476</v>
      </c>
      <c r="H1712" s="4"/>
      <c r="I1712" s="233"/>
      <c r="J1712" s="234"/>
      <c r="K1712" s="234"/>
      <c r="L1712" s="220">
        <f t="shared" ref="L1712" si="724">SUM(I1712:K1712)</f>
        <v>0</v>
      </c>
      <c r="M1712" s="212"/>
      <c r="O1712" s="4"/>
      <c r="P1712" s="15"/>
      <c r="Q1712" s="14">
        <f t="shared" si="717"/>
        <v>0</v>
      </c>
      <c r="R1712" s="186"/>
      <c r="S1712" s="6"/>
      <c r="T1712" s="234"/>
      <c r="U1712" s="14">
        <f t="shared" ref="U1712" si="725">SUM(T1712:T1712)</f>
        <v>0</v>
      </c>
      <c r="V1712" s="209"/>
    </row>
    <row r="1713" spans="1:22" x14ac:dyDescent="0.15">
      <c r="B1713" s="4" t="s">
        <v>749</v>
      </c>
      <c r="C1713" s="233">
        <f>1+5</f>
        <v>6</v>
      </c>
      <c r="D1713" s="234">
        <f>1+2</f>
        <v>3</v>
      </c>
      <c r="E1713" s="234">
        <v>4</v>
      </c>
      <c r="F1713" s="220">
        <f t="shared" si="715"/>
        <v>13</v>
      </c>
      <c r="G1713" s="248">
        <v>45475</v>
      </c>
      <c r="H1713" s="247" t="s">
        <v>1241</v>
      </c>
      <c r="I1713" s="258"/>
      <c r="J1713" s="252"/>
      <c r="K1713" s="252"/>
      <c r="L1713" s="250">
        <f t="shared" ref="L1713:L1716" si="726">SUM(I1713:K1713)</f>
        <v>0</v>
      </c>
      <c r="M1713" s="212"/>
      <c r="O1713" s="6"/>
      <c r="P1713" s="15"/>
      <c r="Q1713" s="14">
        <f t="shared" si="717"/>
        <v>0</v>
      </c>
      <c r="R1713" s="186"/>
      <c r="S1713" s="247" t="s">
        <v>1241</v>
      </c>
      <c r="T1713" s="275"/>
      <c r="U1713" s="255">
        <f t="shared" ref="U1713:U1718" si="727">SUM(T1713:T1713)</f>
        <v>0</v>
      </c>
      <c r="V1713" s="186"/>
    </row>
    <row r="1714" spans="1:22" x14ac:dyDescent="0.15">
      <c r="B1714" s="4" t="s">
        <v>749</v>
      </c>
      <c r="C1714" s="233">
        <f>6+2</f>
        <v>8</v>
      </c>
      <c r="D1714" s="234">
        <v>2</v>
      </c>
      <c r="E1714" s="234">
        <v>1</v>
      </c>
      <c r="F1714" s="220">
        <f t="shared" si="715"/>
        <v>11</v>
      </c>
      <c r="G1714" s="248">
        <v>45476</v>
      </c>
      <c r="H1714" s="6" t="s">
        <v>1242</v>
      </c>
      <c r="I1714" s="233"/>
      <c r="J1714" s="15">
        <v>0</v>
      </c>
      <c r="K1714" s="15">
        <v>0</v>
      </c>
      <c r="L1714" s="220">
        <f t="shared" si="726"/>
        <v>0</v>
      </c>
      <c r="M1714" s="212" t="s">
        <v>1243</v>
      </c>
      <c r="O1714" s="4"/>
      <c r="P1714" s="15"/>
      <c r="Q1714" s="14">
        <f t="shared" si="717"/>
        <v>0</v>
      </c>
      <c r="R1714" s="186"/>
      <c r="S1714" s="6" t="s">
        <v>1242</v>
      </c>
      <c r="T1714" s="234"/>
      <c r="U1714" s="14">
        <f t="shared" si="727"/>
        <v>0</v>
      </c>
      <c r="V1714" s="186" t="s">
        <v>1247</v>
      </c>
    </row>
    <row r="1715" spans="1:22" x14ac:dyDescent="0.15">
      <c r="B1715" s="4" t="s">
        <v>749</v>
      </c>
      <c r="C1715" s="233">
        <v>32</v>
      </c>
      <c r="D1715" s="234">
        <v>1</v>
      </c>
      <c r="E1715" s="234">
        <v>1</v>
      </c>
      <c r="F1715" s="220">
        <f t="shared" si="715"/>
        <v>34</v>
      </c>
      <c r="G1715" s="248">
        <v>45477</v>
      </c>
      <c r="H1715" s="247" t="s">
        <v>1245</v>
      </c>
      <c r="I1715" s="258"/>
      <c r="J1715" s="252"/>
      <c r="K1715" s="252"/>
      <c r="L1715" s="250">
        <f t="shared" si="726"/>
        <v>0</v>
      </c>
      <c r="M1715" s="212"/>
      <c r="O1715" s="4"/>
      <c r="P1715" s="15"/>
      <c r="Q1715" s="14">
        <f t="shared" si="717"/>
        <v>0</v>
      </c>
      <c r="R1715" s="186"/>
      <c r="S1715" s="247" t="s">
        <v>1245</v>
      </c>
      <c r="T1715" s="275"/>
      <c r="U1715" s="255">
        <f t="shared" si="727"/>
        <v>0</v>
      </c>
      <c r="V1715" s="186"/>
    </row>
    <row r="1716" spans="1:22" x14ac:dyDescent="0.15">
      <c r="B1716" s="4" t="s">
        <v>749</v>
      </c>
      <c r="C1716" s="233">
        <f>51+29</f>
        <v>80</v>
      </c>
      <c r="D1716" s="234">
        <f>5+12</f>
        <v>17</v>
      </c>
      <c r="E1716" s="234">
        <f>2+1</f>
        <v>3</v>
      </c>
      <c r="F1716" s="220">
        <f t="shared" si="715"/>
        <v>100</v>
      </c>
      <c r="G1716" s="248">
        <v>45478</v>
      </c>
      <c r="H1716" s="6" t="s">
        <v>1269</v>
      </c>
      <c r="I1716" s="233"/>
      <c r="J1716" s="15"/>
      <c r="K1716" s="15"/>
      <c r="L1716" s="220">
        <f t="shared" si="726"/>
        <v>0</v>
      </c>
      <c r="M1716" s="212" t="s">
        <v>1246</v>
      </c>
      <c r="O1716" s="4"/>
      <c r="P1716" s="15"/>
      <c r="Q1716" s="14">
        <f t="shared" si="717"/>
        <v>0</v>
      </c>
      <c r="R1716" s="186"/>
      <c r="S1716" s="6" t="s">
        <v>1269</v>
      </c>
      <c r="T1716" s="234"/>
      <c r="U1716" s="14">
        <f t="shared" si="727"/>
        <v>0</v>
      </c>
      <c r="V1716" s="186" t="s">
        <v>1246</v>
      </c>
    </row>
    <row r="1717" spans="1:22" x14ac:dyDescent="0.15">
      <c r="B1717" s="4" t="s">
        <v>749</v>
      </c>
      <c r="C1717" s="233">
        <f>28+1+19+10+1</f>
        <v>59</v>
      </c>
      <c r="D1717" s="234">
        <f>1+5+2+2</f>
        <v>10</v>
      </c>
      <c r="E1717" s="234">
        <v>3</v>
      </c>
      <c r="F1717" s="220">
        <f t="shared" si="715"/>
        <v>72</v>
      </c>
      <c r="G1717" s="248">
        <v>45479</v>
      </c>
      <c r="H1717" s="247" t="s">
        <v>1120</v>
      </c>
      <c r="I1717" s="258"/>
      <c r="J1717" s="252"/>
      <c r="K1717" s="252"/>
      <c r="L1717" s="250">
        <f t="shared" ref="L1717:L1718" si="728">SUM(I1717:K1717)</f>
        <v>0</v>
      </c>
      <c r="M1717" s="212"/>
      <c r="O1717" s="6"/>
      <c r="P1717" s="15"/>
      <c r="Q1717" s="14">
        <f t="shared" si="717"/>
        <v>0</v>
      </c>
      <c r="R1717" s="186"/>
      <c r="S1717" s="247" t="s">
        <v>1120</v>
      </c>
      <c r="T1717" s="275"/>
      <c r="U1717" s="255">
        <f t="shared" si="727"/>
        <v>0</v>
      </c>
      <c r="V1717" s="186"/>
    </row>
    <row r="1718" spans="1:22" ht="14.25" thickBot="1" x14ac:dyDescent="0.2">
      <c r="B1718" s="6" t="s">
        <v>764</v>
      </c>
      <c r="C1718" s="235">
        <v>35</v>
      </c>
      <c r="D1718" s="234">
        <v>15</v>
      </c>
      <c r="E1718" s="234">
        <v>15</v>
      </c>
      <c r="F1718" s="220">
        <f t="shared" si="715"/>
        <v>65</v>
      </c>
      <c r="G1718" s="211">
        <v>45482</v>
      </c>
      <c r="H1718" s="6" t="s">
        <v>1270</v>
      </c>
      <c r="I1718" s="233"/>
      <c r="J1718" s="15">
        <v>0</v>
      </c>
      <c r="K1718" s="15">
        <v>0</v>
      </c>
      <c r="L1718" s="220">
        <f t="shared" si="728"/>
        <v>0</v>
      </c>
      <c r="M1718" s="212" t="s">
        <v>1259</v>
      </c>
      <c r="O1718" s="6"/>
      <c r="P1718" s="276"/>
      <c r="Q1718" s="277">
        <f t="shared" si="717"/>
        <v>0</v>
      </c>
      <c r="R1718" s="179"/>
      <c r="S1718" s="6" t="s">
        <v>1270</v>
      </c>
      <c r="T1718" s="234"/>
      <c r="U1718" s="14">
        <f t="shared" si="727"/>
        <v>0</v>
      </c>
      <c r="V1718" s="212" t="s">
        <v>1259</v>
      </c>
    </row>
    <row r="1719" spans="1:22" ht="14.25" thickBot="1" x14ac:dyDescent="0.2">
      <c r="B1719" s="3" t="s">
        <v>5</v>
      </c>
      <c r="C1719" s="16">
        <f>SUM(C1695:C1718)</f>
        <v>723</v>
      </c>
      <c r="D1719" s="16">
        <f>SUM(D1695:D1718)</f>
        <v>158</v>
      </c>
      <c r="E1719" s="16">
        <f>SUM(E1695:E1718)</f>
        <v>73</v>
      </c>
      <c r="F1719" s="223">
        <f>SUM(F1695:F1718)</f>
        <v>954</v>
      </c>
      <c r="H1719" s="3" t="s">
        <v>5</v>
      </c>
      <c r="I1719" s="16">
        <f>SUM(I1695:I1718)</f>
        <v>2937</v>
      </c>
      <c r="J1719" s="16">
        <f>SUM(J1695:J1718)</f>
        <v>6</v>
      </c>
      <c r="K1719" s="16">
        <f>SUM(K1695:K1718)</f>
        <v>100</v>
      </c>
      <c r="L1719" s="223">
        <f>SUM(L1695:L1718)</f>
        <v>2932</v>
      </c>
      <c r="O1719" s="3" t="s">
        <v>5</v>
      </c>
      <c r="P1719" s="16">
        <f>SUM(P1695:P1718)</f>
        <v>0</v>
      </c>
      <c r="Q1719" s="17">
        <f>SUM(Q1695:Q1718)</f>
        <v>0</v>
      </c>
      <c r="S1719" s="3" t="s">
        <v>5</v>
      </c>
      <c r="T1719" s="16">
        <f>SUM(T1695:T1718)</f>
        <v>1114</v>
      </c>
      <c r="U1719" s="17">
        <f>SUM(U1695:U1718)</f>
        <v>1114</v>
      </c>
    </row>
    <row r="1720" spans="1:22" ht="14.25" thickBot="1" x14ac:dyDescent="0.2">
      <c r="B1720" s="18" t="s">
        <v>6</v>
      </c>
      <c r="C1720" s="19">
        <f>C1694-C1719</f>
        <v>480</v>
      </c>
      <c r="D1720" s="19">
        <f>D1694-D1719</f>
        <v>99</v>
      </c>
      <c r="E1720" s="19">
        <f t="shared" ref="E1720" si="729">E1694-E1719</f>
        <v>99</v>
      </c>
      <c r="F1720" s="221">
        <f>F1694-F1719</f>
        <v>678</v>
      </c>
      <c r="H1720" s="18" t="s">
        <v>6</v>
      </c>
      <c r="I1720" s="19">
        <f>I1694-I1719</f>
        <v>4763</v>
      </c>
      <c r="J1720" s="19">
        <f>J1694-J1719</f>
        <v>2338</v>
      </c>
      <c r="K1720" s="19">
        <f t="shared" ref="K1720" si="730">K1694-K1719</f>
        <v>1907</v>
      </c>
      <c r="L1720" s="221">
        <f>L1694-L1719</f>
        <v>9119</v>
      </c>
      <c r="O1720" s="18" t="s">
        <v>6</v>
      </c>
      <c r="P1720" s="19">
        <f>P1694-P1719</f>
        <v>0</v>
      </c>
      <c r="Q1720" s="13">
        <f>Q1694-Q1719</f>
        <v>0</v>
      </c>
      <c r="S1720" s="18" t="s">
        <v>6</v>
      </c>
      <c r="T1720" s="19">
        <f>T1694-T1719</f>
        <v>816</v>
      </c>
      <c r="U1720" s="13">
        <f>U1694-U1719</f>
        <v>816</v>
      </c>
    </row>
    <row r="1723" spans="1:22" ht="18" thickBot="1" x14ac:dyDescent="0.25">
      <c r="B1723" s="27" t="s">
        <v>739</v>
      </c>
      <c r="C1723" s="28"/>
      <c r="D1723" s="28"/>
      <c r="E1723" s="28"/>
      <c r="F1723" s="218"/>
      <c r="H1723" s="27" t="s">
        <v>740</v>
      </c>
      <c r="I1723" s="279"/>
      <c r="J1723" s="279"/>
      <c r="K1723" s="22"/>
      <c r="L1723" s="278"/>
      <c r="O1723" s="181" t="s">
        <v>737</v>
      </c>
      <c r="P1723" s="182"/>
      <c r="Q1723" s="182"/>
      <c r="R1723" s="183"/>
      <c r="S1723" s="181" t="s">
        <v>733</v>
      </c>
      <c r="T1723" s="182"/>
      <c r="U1723" s="182"/>
    </row>
    <row r="1724" spans="1:22" ht="14.25" thickBot="1" x14ac:dyDescent="0.2">
      <c r="B1724" s="2"/>
      <c r="C1724" s="194" t="s">
        <v>734</v>
      </c>
      <c r="D1724" s="195" t="s">
        <v>706</v>
      </c>
      <c r="E1724" s="2" t="s">
        <v>735</v>
      </c>
      <c r="F1724" s="219" t="s">
        <v>1</v>
      </c>
      <c r="H1724" s="2"/>
      <c r="I1724" s="197" t="s">
        <v>734</v>
      </c>
      <c r="J1724" s="195" t="s">
        <v>706</v>
      </c>
      <c r="K1724" s="201" t="s">
        <v>735</v>
      </c>
      <c r="L1724" s="219" t="s">
        <v>1</v>
      </c>
      <c r="O1724" s="2"/>
      <c r="P1724" s="3" t="s">
        <v>722</v>
      </c>
      <c r="Q1724" s="2" t="s">
        <v>1</v>
      </c>
      <c r="S1724" s="2"/>
      <c r="T1724" s="3" t="s">
        <v>722</v>
      </c>
      <c r="U1724" s="2" t="s">
        <v>1</v>
      </c>
    </row>
    <row r="1725" spans="1:22" x14ac:dyDescent="0.15">
      <c r="B1725" s="164" t="s">
        <v>26</v>
      </c>
      <c r="C1725" s="200">
        <f>C1720</f>
        <v>480</v>
      </c>
      <c r="D1725" s="164">
        <f t="shared" ref="D1725:F1725" si="731">D1720</f>
        <v>99</v>
      </c>
      <c r="E1725" s="164">
        <f t="shared" si="731"/>
        <v>99</v>
      </c>
      <c r="F1725" s="222">
        <f t="shared" si="731"/>
        <v>678</v>
      </c>
      <c r="H1725" s="164" t="s">
        <v>26</v>
      </c>
      <c r="I1725" s="200">
        <f>I1720</f>
        <v>4763</v>
      </c>
      <c r="J1725" s="164">
        <f t="shared" ref="J1725:L1725" si="732">J1720</f>
        <v>2338</v>
      </c>
      <c r="K1725" s="200">
        <f t="shared" si="732"/>
        <v>1907</v>
      </c>
      <c r="L1725" s="222">
        <f t="shared" si="732"/>
        <v>9119</v>
      </c>
      <c r="O1725" s="171" t="s">
        <v>26</v>
      </c>
      <c r="P1725" s="200">
        <f>P1720</f>
        <v>0</v>
      </c>
      <c r="Q1725" s="180">
        <f>Q1720</f>
        <v>0</v>
      </c>
      <c r="R1725" s="185"/>
      <c r="S1725" s="43" t="s">
        <v>26</v>
      </c>
      <c r="T1725" s="38">
        <f>T1720</f>
        <v>816</v>
      </c>
      <c r="U1725" s="39">
        <f>U1720</f>
        <v>816</v>
      </c>
    </row>
    <row r="1726" spans="1:22" x14ac:dyDescent="0.15">
      <c r="B1726" s="6" t="s">
        <v>3</v>
      </c>
      <c r="C1726" s="6">
        <v>100</v>
      </c>
      <c r="D1726" s="225"/>
      <c r="E1726" s="226">
        <v>50</v>
      </c>
      <c r="F1726" s="220">
        <f t="shared" ref="F1726:F1735" si="733">SUM(C1726:E1726)</f>
        <v>150</v>
      </c>
      <c r="G1726" s="211">
        <v>45484</v>
      </c>
      <c r="H1726" s="6" t="s">
        <v>3</v>
      </c>
      <c r="I1726" s="188"/>
      <c r="J1726" s="225"/>
      <c r="K1726" s="243"/>
      <c r="L1726" s="220">
        <f t="shared" ref="L1726:L1735" si="734">SUM(I1726:K1726)</f>
        <v>0</v>
      </c>
      <c r="O1726" s="6" t="s">
        <v>1309</v>
      </c>
      <c r="P1726" s="7">
        <f>14*2</f>
        <v>28</v>
      </c>
      <c r="Q1726" s="5">
        <f t="shared" ref="Q1726:Q1735" si="735">SUM(P1726:P1726)</f>
        <v>28</v>
      </c>
      <c r="R1726" s="185">
        <v>45504</v>
      </c>
      <c r="S1726" s="6" t="s">
        <v>3</v>
      </c>
      <c r="T1726" s="7">
        <v>27</v>
      </c>
      <c r="U1726" s="5">
        <f t="shared" ref="U1726:U1735" si="736">SUM(T1726:T1726)</f>
        <v>27</v>
      </c>
      <c r="V1726" s="214">
        <v>45507</v>
      </c>
    </row>
    <row r="1727" spans="1:22" x14ac:dyDescent="0.15">
      <c r="B1727" s="6" t="s">
        <v>968</v>
      </c>
      <c r="C1727" s="6">
        <v>3</v>
      </c>
      <c r="D1727" s="225">
        <v>1</v>
      </c>
      <c r="E1727" s="226">
        <v>1</v>
      </c>
      <c r="F1727" s="220">
        <f t="shared" si="733"/>
        <v>5</v>
      </c>
      <c r="G1727" s="211">
        <v>45491</v>
      </c>
      <c r="H1727" s="6" t="s">
        <v>3</v>
      </c>
      <c r="I1727" s="188"/>
      <c r="J1727" s="225"/>
      <c r="K1727" s="243"/>
      <c r="L1727" s="220">
        <f t="shared" si="734"/>
        <v>0</v>
      </c>
      <c r="O1727" s="6" t="s">
        <v>3</v>
      </c>
      <c r="P1727" s="7"/>
      <c r="Q1727" s="5">
        <f t="shared" si="735"/>
        <v>0</v>
      </c>
      <c r="R1727" s="186"/>
      <c r="S1727" s="6" t="s">
        <v>3</v>
      </c>
      <c r="T1727" s="54"/>
      <c r="U1727" s="5">
        <f t="shared" si="736"/>
        <v>0</v>
      </c>
    </row>
    <row r="1728" spans="1:22" x14ac:dyDescent="0.15">
      <c r="A1728" s="186"/>
      <c r="B1728" s="6" t="s">
        <v>3</v>
      </c>
      <c r="C1728" s="6">
        <v>200</v>
      </c>
      <c r="D1728" s="225">
        <v>91</v>
      </c>
      <c r="E1728" s="226"/>
      <c r="F1728" s="220">
        <f t="shared" si="733"/>
        <v>291</v>
      </c>
      <c r="G1728" s="211">
        <v>45493</v>
      </c>
      <c r="H1728" s="6" t="s">
        <v>3</v>
      </c>
      <c r="I1728" s="188"/>
      <c r="J1728" s="225"/>
      <c r="K1728" s="243"/>
      <c r="L1728" s="220">
        <f t="shared" ref="L1728:L1729" si="737">SUM(I1728:K1728)</f>
        <v>0</v>
      </c>
      <c r="O1728" s="6" t="s">
        <v>3</v>
      </c>
      <c r="P1728" s="7"/>
      <c r="Q1728" s="5">
        <f t="shared" si="735"/>
        <v>0</v>
      </c>
      <c r="R1728" s="186"/>
      <c r="S1728" s="6" t="s">
        <v>3</v>
      </c>
      <c r="T1728" s="54"/>
      <c r="U1728" s="5">
        <f t="shared" si="736"/>
        <v>0</v>
      </c>
    </row>
    <row r="1729" spans="1:22" x14ac:dyDescent="0.15">
      <c r="A1729" s="186"/>
      <c r="B1729" s="6" t="s">
        <v>3</v>
      </c>
      <c r="C1729" s="6">
        <v>200</v>
      </c>
      <c r="D1729" s="225"/>
      <c r="E1729" s="226"/>
      <c r="F1729" s="220">
        <f t="shared" si="733"/>
        <v>200</v>
      </c>
      <c r="G1729" s="211">
        <v>45502</v>
      </c>
      <c r="H1729" s="6" t="s">
        <v>3</v>
      </c>
      <c r="I1729" s="188"/>
      <c r="J1729" s="225"/>
      <c r="K1729" s="243"/>
      <c r="L1729" s="220">
        <f t="shared" si="737"/>
        <v>0</v>
      </c>
      <c r="O1729" s="6" t="s">
        <v>3</v>
      </c>
      <c r="P1729" s="7"/>
      <c r="Q1729" s="5">
        <f t="shared" si="735"/>
        <v>0</v>
      </c>
      <c r="R1729" s="186"/>
      <c r="S1729" s="6" t="s">
        <v>3</v>
      </c>
      <c r="T1729" s="54"/>
      <c r="U1729" s="5">
        <f t="shared" si="736"/>
        <v>0</v>
      </c>
    </row>
    <row r="1730" spans="1:22" x14ac:dyDescent="0.15">
      <c r="A1730" s="186"/>
      <c r="B1730" s="6" t="s">
        <v>3</v>
      </c>
      <c r="C1730" s="6"/>
      <c r="D1730" s="225">
        <v>50</v>
      </c>
      <c r="E1730" s="226"/>
      <c r="F1730" s="220">
        <f t="shared" si="733"/>
        <v>50</v>
      </c>
      <c r="G1730" s="211">
        <v>45503</v>
      </c>
      <c r="H1730" s="6" t="s">
        <v>3</v>
      </c>
      <c r="I1730" s="188"/>
      <c r="J1730" s="225"/>
      <c r="K1730" s="243"/>
      <c r="L1730" s="220">
        <f t="shared" si="734"/>
        <v>0</v>
      </c>
      <c r="O1730" s="6" t="s">
        <v>3</v>
      </c>
      <c r="P1730" s="7"/>
      <c r="Q1730" s="5">
        <f t="shared" si="735"/>
        <v>0</v>
      </c>
      <c r="R1730" s="186"/>
      <c r="S1730" s="6" t="s">
        <v>3</v>
      </c>
      <c r="T1730" s="54"/>
      <c r="U1730" s="5">
        <f t="shared" ref="U1730" si="738">SUM(T1730:T1730)</f>
        <v>0</v>
      </c>
    </row>
    <row r="1731" spans="1:22" x14ac:dyDescent="0.15">
      <c r="A1731" s="186"/>
      <c r="B1731" s="6" t="s">
        <v>3</v>
      </c>
      <c r="C1731" s="6"/>
      <c r="D1731" s="225"/>
      <c r="E1731" s="226">
        <v>50</v>
      </c>
      <c r="F1731" s="220">
        <f t="shared" si="733"/>
        <v>50</v>
      </c>
      <c r="G1731" s="211">
        <v>45504</v>
      </c>
      <c r="H1731" s="6" t="s">
        <v>3</v>
      </c>
      <c r="I1731" s="188"/>
      <c r="J1731" s="6"/>
      <c r="K1731" s="202"/>
      <c r="L1731" s="220">
        <f t="shared" si="734"/>
        <v>0</v>
      </c>
      <c r="O1731" s="6" t="s">
        <v>3</v>
      </c>
      <c r="P1731" s="7"/>
      <c r="Q1731" s="5">
        <f t="shared" si="735"/>
        <v>0</v>
      </c>
      <c r="R1731" s="186"/>
      <c r="S1731" s="6" t="s">
        <v>3</v>
      </c>
      <c r="T1731" s="7"/>
      <c r="U1731" s="5">
        <f t="shared" si="736"/>
        <v>0</v>
      </c>
    </row>
    <row r="1732" spans="1:22" x14ac:dyDescent="0.15">
      <c r="A1732" s="186"/>
      <c r="B1732" s="6" t="s">
        <v>3</v>
      </c>
      <c r="C1732" s="6"/>
      <c r="D1732" s="225"/>
      <c r="E1732" s="226"/>
      <c r="F1732" s="220">
        <f t="shared" si="733"/>
        <v>0</v>
      </c>
      <c r="G1732" s="212"/>
      <c r="H1732" s="6" t="s">
        <v>3</v>
      </c>
      <c r="I1732" s="188"/>
      <c r="J1732" s="225"/>
      <c r="K1732" s="243"/>
      <c r="L1732" s="220">
        <f t="shared" si="734"/>
        <v>0</v>
      </c>
      <c r="O1732" s="6" t="s">
        <v>3</v>
      </c>
      <c r="P1732" s="8"/>
      <c r="Q1732" s="5">
        <f t="shared" si="735"/>
        <v>0</v>
      </c>
      <c r="R1732" s="186"/>
      <c r="S1732" s="6" t="s">
        <v>3</v>
      </c>
      <c r="T1732" s="54"/>
      <c r="U1732" s="5">
        <f t="shared" si="736"/>
        <v>0</v>
      </c>
    </row>
    <row r="1733" spans="1:22" x14ac:dyDescent="0.15">
      <c r="B1733" s="6" t="s">
        <v>3</v>
      </c>
      <c r="C1733" s="6"/>
      <c r="D1733" s="225"/>
      <c r="E1733" s="226"/>
      <c r="F1733" s="220">
        <f t="shared" si="733"/>
        <v>0</v>
      </c>
      <c r="H1733" s="6" t="s">
        <v>3</v>
      </c>
      <c r="I1733" s="188"/>
      <c r="J1733" s="225"/>
      <c r="K1733" s="243"/>
      <c r="L1733" s="220">
        <f t="shared" si="734"/>
        <v>0</v>
      </c>
      <c r="O1733" s="6" t="s">
        <v>3</v>
      </c>
      <c r="P1733" s="8"/>
      <c r="Q1733" s="5">
        <f t="shared" si="735"/>
        <v>0</v>
      </c>
      <c r="R1733" s="186"/>
      <c r="S1733" s="6" t="s">
        <v>3</v>
      </c>
      <c r="T1733" s="54"/>
      <c r="U1733" s="5">
        <f t="shared" si="736"/>
        <v>0</v>
      </c>
    </row>
    <row r="1734" spans="1:22" x14ac:dyDescent="0.15">
      <c r="B1734" s="6" t="s">
        <v>3</v>
      </c>
      <c r="C1734" s="6"/>
      <c r="D1734" s="225"/>
      <c r="E1734" s="226"/>
      <c r="F1734" s="220">
        <f t="shared" si="733"/>
        <v>0</v>
      </c>
      <c r="H1734" s="6" t="s">
        <v>3</v>
      </c>
      <c r="I1734" s="188"/>
      <c r="J1734" s="225"/>
      <c r="K1734" s="243"/>
      <c r="L1734" s="220">
        <f t="shared" si="734"/>
        <v>0</v>
      </c>
      <c r="O1734" s="6" t="s">
        <v>3</v>
      </c>
      <c r="P1734" s="8"/>
      <c r="Q1734" s="5">
        <f t="shared" si="735"/>
        <v>0</v>
      </c>
      <c r="R1734" s="186"/>
      <c r="S1734" s="6" t="s">
        <v>3</v>
      </c>
      <c r="T1734" s="54"/>
      <c r="U1734" s="5">
        <f t="shared" si="736"/>
        <v>0</v>
      </c>
    </row>
    <row r="1735" spans="1:22" ht="14.25" thickBot="1" x14ac:dyDescent="0.2">
      <c r="B1735" s="6" t="s">
        <v>3</v>
      </c>
      <c r="C1735" s="9"/>
      <c r="D1735" s="237"/>
      <c r="E1735" s="238"/>
      <c r="F1735" s="220">
        <f t="shared" si="733"/>
        <v>0</v>
      </c>
      <c r="H1735" s="9" t="s">
        <v>3</v>
      </c>
      <c r="I1735" s="198"/>
      <c r="J1735" s="244"/>
      <c r="K1735" s="245"/>
      <c r="L1735" s="220">
        <f t="shared" si="734"/>
        <v>0</v>
      </c>
      <c r="O1735" s="9" t="s">
        <v>3</v>
      </c>
      <c r="P1735" s="10"/>
      <c r="Q1735" s="5">
        <f t="shared" si="735"/>
        <v>0</v>
      </c>
      <c r="R1735" s="186"/>
      <c r="S1735" s="9" t="s">
        <v>3</v>
      </c>
      <c r="T1735" s="101"/>
      <c r="U1735" s="5">
        <f t="shared" si="736"/>
        <v>0</v>
      </c>
    </row>
    <row r="1736" spans="1:22" ht="14.25" thickBot="1" x14ac:dyDescent="0.2">
      <c r="B1736" s="11" t="s">
        <v>4</v>
      </c>
      <c r="C1736" s="193">
        <f>SUM(C1725:C1735)</f>
        <v>983</v>
      </c>
      <c r="D1736" s="193">
        <f>SUM(D1725:D1735)</f>
        <v>241</v>
      </c>
      <c r="E1736" s="193">
        <f>SUM(E1725:E1735)</f>
        <v>200</v>
      </c>
      <c r="F1736" s="221">
        <f>SUM(F1725:F1735)</f>
        <v>1424</v>
      </c>
      <c r="H1736" s="11" t="s">
        <v>4</v>
      </c>
      <c r="I1736" s="193">
        <f>SUM(I1725:I1735)</f>
        <v>4763</v>
      </c>
      <c r="J1736" s="193">
        <f t="shared" ref="J1736" si="739">SUM(J1725:J1735)</f>
        <v>2338</v>
      </c>
      <c r="K1736" s="193">
        <f t="shared" ref="K1736" si="740">SUM(K1725:K1735)</f>
        <v>1907</v>
      </c>
      <c r="L1736" s="221">
        <f>SUM(L1725:L1735)</f>
        <v>9119</v>
      </c>
      <c r="O1736" s="11" t="s">
        <v>4</v>
      </c>
      <c r="P1736" s="12">
        <f>SUM(P1725:P1735)</f>
        <v>28</v>
      </c>
      <c r="Q1736" s="13">
        <f>SUM(Q1725:Q1735)</f>
        <v>28</v>
      </c>
      <c r="S1736" s="11" t="s">
        <v>4</v>
      </c>
      <c r="T1736" s="12">
        <f>SUM(T1725:T1735)</f>
        <v>843</v>
      </c>
      <c r="U1736" s="13">
        <f>SUM(U1725:U1735)</f>
        <v>843</v>
      </c>
    </row>
    <row r="1737" spans="1:22" x14ac:dyDescent="0.15">
      <c r="B1737" s="4" t="s">
        <v>749</v>
      </c>
      <c r="C1737" s="233">
        <f>14+2+15+28+20+22+2+1+1</f>
        <v>105</v>
      </c>
      <c r="D1737" s="234">
        <f>6+1+4+4+4+3</f>
        <v>22</v>
      </c>
      <c r="E1737" s="234">
        <f>2+1+3</f>
        <v>6</v>
      </c>
      <c r="F1737" s="220">
        <f t="shared" ref="F1737:F1760" si="741">SUM(C1737:E1737)</f>
        <v>133</v>
      </c>
      <c r="G1737" s="248">
        <v>45481</v>
      </c>
      <c r="H1737" s="4" t="s">
        <v>745</v>
      </c>
      <c r="I1737" s="233">
        <v>200</v>
      </c>
      <c r="J1737" s="234">
        <v>50</v>
      </c>
      <c r="K1737" s="234"/>
      <c r="L1737" s="220">
        <f t="shared" ref="L1737" si="742">SUM(I1737:K1737)</f>
        <v>250</v>
      </c>
      <c r="M1737" s="211">
        <v>45479</v>
      </c>
      <c r="O1737" s="4" t="s">
        <v>1312</v>
      </c>
      <c r="P1737" s="44">
        <v>27</v>
      </c>
      <c r="Q1737" s="14">
        <f t="shared" ref="Q1737:Q1760" si="743">SUM(P1737:P1737)</f>
        <v>27</v>
      </c>
      <c r="R1737" s="185">
        <v>45507</v>
      </c>
      <c r="S1737" s="6" t="s">
        <v>1302</v>
      </c>
      <c r="T1737" s="234">
        <v>20</v>
      </c>
      <c r="U1737" s="14">
        <f t="shared" ref="U1737:U1749" si="744">SUM(T1737:T1737)</f>
        <v>20</v>
      </c>
      <c r="V1737" s="211">
        <v>45492</v>
      </c>
    </row>
    <row r="1738" spans="1:22" x14ac:dyDescent="0.15">
      <c r="B1738" s="4" t="s">
        <v>749</v>
      </c>
      <c r="C1738" s="233">
        <f>27+4</f>
        <v>31</v>
      </c>
      <c r="D1738" s="234">
        <f>6+1</f>
        <v>7</v>
      </c>
      <c r="E1738" s="234">
        <v>1</v>
      </c>
      <c r="F1738" s="220">
        <f t="shared" si="741"/>
        <v>39</v>
      </c>
      <c r="G1738" s="248">
        <v>45482</v>
      </c>
      <c r="H1738" s="4" t="s">
        <v>1300</v>
      </c>
      <c r="I1738" s="233">
        <v>72</v>
      </c>
      <c r="J1738" s="234">
        <v>101</v>
      </c>
      <c r="K1738" s="234">
        <v>31</v>
      </c>
      <c r="L1738" s="220">
        <f t="shared" ref="L1738:L1749" si="745">SUM(I1738:K1738)</f>
        <v>204</v>
      </c>
      <c r="M1738" s="211">
        <v>45482</v>
      </c>
      <c r="O1738" s="4" t="s">
        <v>1313</v>
      </c>
      <c r="P1738" s="15">
        <v>1</v>
      </c>
      <c r="Q1738" s="14">
        <f t="shared" si="743"/>
        <v>1</v>
      </c>
      <c r="R1738" s="185">
        <v>45507</v>
      </c>
      <c r="S1738" s="6" t="s">
        <v>1303</v>
      </c>
      <c r="T1738" s="234">
        <v>50</v>
      </c>
      <c r="U1738" s="14">
        <f t="shared" si="744"/>
        <v>50</v>
      </c>
      <c r="V1738" s="211">
        <v>45497</v>
      </c>
    </row>
    <row r="1739" spans="1:22" x14ac:dyDescent="0.15">
      <c r="B1739" s="4" t="s">
        <v>749</v>
      </c>
      <c r="C1739" s="233">
        <f>9+24</f>
        <v>33</v>
      </c>
      <c r="D1739" s="234">
        <v>4</v>
      </c>
      <c r="E1739" s="234">
        <v>5</v>
      </c>
      <c r="F1739" s="220">
        <f t="shared" si="741"/>
        <v>42</v>
      </c>
      <c r="G1739" s="248">
        <v>45483</v>
      </c>
      <c r="H1739" s="4" t="s">
        <v>745</v>
      </c>
      <c r="I1739" s="233">
        <v>200</v>
      </c>
      <c r="J1739" s="234">
        <v>50</v>
      </c>
      <c r="K1739" s="234"/>
      <c r="L1739" s="220">
        <f t="shared" si="745"/>
        <v>250</v>
      </c>
      <c r="M1739" s="211">
        <v>45482</v>
      </c>
      <c r="O1739" s="4"/>
      <c r="P1739" s="15"/>
      <c r="Q1739" s="14">
        <f t="shared" si="743"/>
        <v>0</v>
      </c>
      <c r="R1739" s="186"/>
      <c r="S1739" s="6" t="s">
        <v>1306</v>
      </c>
      <c r="T1739" s="234">
        <v>50</v>
      </c>
      <c r="U1739" s="14">
        <f t="shared" si="744"/>
        <v>50</v>
      </c>
      <c r="V1739" s="211">
        <v>45499</v>
      </c>
    </row>
    <row r="1740" spans="1:22" x14ac:dyDescent="0.15">
      <c r="B1740" s="4" t="s">
        <v>749</v>
      </c>
      <c r="C1740" s="233">
        <f>1+18+7+5</f>
        <v>31</v>
      </c>
      <c r="D1740" s="234">
        <f>2+11</f>
        <v>13</v>
      </c>
      <c r="E1740" s="234">
        <f>1+1</f>
        <v>2</v>
      </c>
      <c r="F1740" s="220">
        <f t="shared" si="741"/>
        <v>46</v>
      </c>
      <c r="G1740" s="248">
        <v>45484</v>
      </c>
      <c r="H1740" s="4" t="s">
        <v>745</v>
      </c>
      <c r="I1740" s="233">
        <v>100</v>
      </c>
      <c r="J1740" s="234"/>
      <c r="K1740" s="234">
        <v>50</v>
      </c>
      <c r="L1740" s="220">
        <f t="shared" si="745"/>
        <v>150</v>
      </c>
      <c r="M1740" s="211">
        <v>45484</v>
      </c>
      <c r="O1740" s="4"/>
      <c r="P1740" s="15"/>
      <c r="Q1740" s="14">
        <f t="shared" si="743"/>
        <v>0</v>
      </c>
      <c r="R1740" s="186"/>
      <c r="S1740" s="6" t="s">
        <v>1307</v>
      </c>
      <c r="T1740" s="234">
        <v>100</v>
      </c>
      <c r="U1740" s="14">
        <f t="shared" si="744"/>
        <v>100</v>
      </c>
      <c r="V1740" s="211">
        <v>45500</v>
      </c>
    </row>
    <row r="1741" spans="1:22" x14ac:dyDescent="0.15">
      <c r="B1741" s="4" t="s">
        <v>749</v>
      </c>
      <c r="C1741" s="233">
        <f>2+5</f>
        <v>7</v>
      </c>
      <c r="D1741" s="234">
        <v>3</v>
      </c>
      <c r="E1741" s="234"/>
      <c r="F1741" s="220">
        <f t="shared" si="741"/>
        <v>10</v>
      </c>
      <c r="G1741" s="248">
        <v>45485</v>
      </c>
      <c r="H1741" s="4" t="s">
        <v>1301</v>
      </c>
      <c r="I1741" s="233">
        <v>8</v>
      </c>
      <c r="J1741" s="234">
        <v>3</v>
      </c>
      <c r="K1741" s="234"/>
      <c r="L1741" s="220">
        <f t="shared" si="745"/>
        <v>11</v>
      </c>
      <c r="M1741" s="211">
        <v>45495</v>
      </c>
      <c r="O1741" s="4"/>
      <c r="P1741" s="15"/>
      <c r="Q1741" s="14">
        <f t="shared" si="743"/>
        <v>0</v>
      </c>
      <c r="R1741" s="186"/>
      <c r="S1741" s="6"/>
      <c r="T1741" s="234"/>
      <c r="U1741" s="14">
        <f t="shared" si="744"/>
        <v>0</v>
      </c>
      <c r="V1741" s="212"/>
    </row>
    <row r="1742" spans="1:22" x14ac:dyDescent="0.15">
      <c r="B1742" s="4" t="s">
        <v>749</v>
      </c>
      <c r="C1742" s="233">
        <f>3+2+18+13+21+1</f>
        <v>58</v>
      </c>
      <c r="D1742" s="234">
        <f>1+2+8+8</f>
        <v>19</v>
      </c>
      <c r="E1742" s="234">
        <v>2</v>
      </c>
      <c r="F1742" s="220">
        <f t="shared" si="741"/>
        <v>79</v>
      </c>
      <c r="G1742" s="248">
        <v>45489</v>
      </c>
      <c r="H1742" s="6" t="s">
        <v>1302</v>
      </c>
      <c r="I1742" s="233">
        <v>80</v>
      </c>
      <c r="J1742" s="234">
        <v>55</v>
      </c>
      <c r="K1742" s="234">
        <v>25</v>
      </c>
      <c r="L1742" s="220">
        <f t="shared" si="745"/>
        <v>160</v>
      </c>
      <c r="M1742" s="211">
        <v>45492</v>
      </c>
      <c r="N1742" s="186"/>
      <c r="O1742" s="4"/>
      <c r="P1742" s="15"/>
      <c r="Q1742" s="14">
        <f t="shared" si="743"/>
        <v>0</v>
      </c>
      <c r="R1742" s="186"/>
      <c r="S1742" s="6"/>
      <c r="T1742" s="234"/>
      <c r="U1742" s="14">
        <f t="shared" si="744"/>
        <v>0</v>
      </c>
      <c r="V1742" s="212"/>
    </row>
    <row r="1743" spans="1:22" x14ac:dyDescent="0.15">
      <c r="B1743" s="4" t="s">
        <v>749</v>
      </c>
      <c r="C1743" s="233">
        <f>4+2</f>
        <v>6</v>
      </c>
      <c r="D1743" s="234"/>
      <c r="E1743" s="234">
        <v>1</v>
      </c>
      <c r="F1743" s="220">
        <f t="shared" si="741"/>
        <v>7</v>
      </c>
      <c r="G1743" s="248">
        <v>45490</v>
      </c>
      <c r="H1743" s="6" t="s">
        <v>1303</v>
      </c>
      <c r="I1743" s="233">
        <v>200</v>
      </c>
      <c r="J1743" s="234"/>
      <c r="K1743" s="234"/>
      <c r="L1743" s="220">
        <f t="shared" si="745"/>
        <v>200</v>
      </c>
      <c r="M1743" s="211">
        <v>45497</v>
      </c>
      <c r="N1743" s="186"/>
      <c r="O1743" s="4"/>
      <c r="P1743" s="15"/>
      <c r="Q1743" s="14">
        <f t="shared" si="743"/>
        <v>0</v>
      </c>
      <c r="R1743" s="186"/>
      <c r="S1743" s="4"/>
      <c r="T1743" s="234"/>
      <c r="U1743" s="14">
        <f t="shared" si="744"/>
        <v>0</v>
      </c>
      <c r="V1743" s="212"/>
    </row>
    <row r="1744" spans="1:22" x14ac:dyDescent="0.15">
      <c r="B1744" s="4" t="s">
        <v>749</v>
      </c>
      <c r="C1744" s="233">
        <f>2+5</f>
        <v>7</v>
      </c>
      <c r="D1744" s="234">
        <v>4</v>
      </c>
      <c r="E1744" s="234"/>
      <c r="F1744" s="220">
        <f t="shared" si="741"/>
        <v>11</v>
      </c>
      <c r="G1744" s="248">
        <v>45491</v>
      </c>
      <c r="H1744" s="4" t="s">
        <v>745</v>
      </c>
      <c r="I1744" s="233">
        <v>200</v>
      </c>
      <c r="J1744" s="234">
        <v>91</v>
      </c>
      <c r="K1744" s="234"/>
      <c r="L1744" s="220">
        <f t="shared" si="745"/>
        <v>291</v>
      </c>
      <c r="M1744" s="211">
        <v>45493</v>
      </c>
      <c r="N1744" s="186"/>
      <c r="O1744" s="4"/>
      <c r="P1744" s="15"/>
      <c r="Q1744" s="14">
        <f t="shared" si="743"/>
        <v>0</v>
      </c>
      <c r="R1744" s="186"/>
      <c r="S1744" s="4"/>
      <c r="T1744" s="234"/>
      <c r="U1744" s="14">
        <f t="shared" si="744"/>
        <v>0</v>
      </c>
      <c r="V1744" s="209"/>
    </row>
    <row r="1745" spans="1:22" x14ac:dyDescent="0.15">
      <c r="B1745" s="4" t="s">
        <v>764</v>
      </c>
      <c r="C1745" s="233"/>
      <c r="D1745" s="234"/>
      <c r="E1745" s="234">
        <v>10</v>
      </c>
      <c r="F1745" s="220">
        <f t="shared" si="741"/>
        <v>10</v>
      </c>
      <c r="G1745" s="211">
        <v>45492</v>
      </c>
      <c r="H1745" s="4" t="s">
        <v>1305</v>
      </c>
      <c r="I1745" s="233"/>
      <c r="J1745" s="234">
        <v>2</v>
      </c>
      <c r="K1745" s="234"/>
      <c r="L1745" s="220">
        <f t="shared" si="745"/>
        <v>2</v>
      </c>
      <c r="M1745" s="211">
        <v>45502</v>
      </c>
      <c r="N1745" s="186"/>
      <c r="O1745" s="4"/>
      <c r="P1745" s="15"/>
      <c r="Q1745" s="14">
        <f t="shared" si="743"/>
        <v>0</v>
      </c>
      <c r="R1745" s="186"/>
      <c r="S1745" s="4"/>
      <c r="T1745" s="234"/>
      <c r="U1745" s="14">
        <f t="shared" si="744"/>
        <v>0</v>
      </c>
      <c r="V1745" s="209"/>
    </row>
    <row r="1746" spans="1:22" x14ac:dyDescent="0.15">
      <c r="B1746" s="4" t="s">
        <v>749</v>
      </c>
      <c r="C1746" s="233">
        <f>1+9</f>
        <v>10</v>
      </c>
      <c r="D1746" s="234">
        <v>2</v>
      </c>
      <c r="E1746" s="234"/>
      <c r="F1746" s="220">
        <f t="shared" si="741"/>
        <v>12</v>
      </c>
      <c r="G1746" s="248">
        <v>45492</v>
      </c>
      <c r="H1746" s="6" t="s">
        <v>1306</v>
      </c>
      <c r="I1746" s="233">
        <v>200</v>
      </c>
      <c r="J1746" s="234"/>
      <c r="K1746" s="234"/>
      <c r="L1746" s="220">
        <f t="shared" si="745"/>
        <v>200</v>
      </c>
      <c r="M1746" s="211">
        <v>45499</v>
      </c>
      <c r="N1746" s="186"/>
      <c r="O1746" s="4"/>
      <c r="P1746" s="15"/>
      <c r="Q1746" s="14">
        <f t="shared" si="743"/>
        <v>0</v>
      </c>
      <c r="R1746" s="186"/>
      <c r="S1746" s="4"/>
      <c r="T1746" s="234"/>
      <c r="U1746" s="14">
        <f t="shared" si="744"/>
        <v>0</v>
      </c>
      <c r="V1746" s="209"/>
    </row>
    <row r="1747" spans="1:22" x14ac:dyDescent="0.15">
      <c r="B1747" s="4" t="s">
        <v>749</v>
      </c>
      <c r="C1747" s="233">
        <f>2+16+1+2</f>
        <v>21</v>
      </c>
      <c r="D1747" s="234">
        <f>1+4+1</f>
        <v>6</v>
      </c>
      <c r="E1747" s="234">
        <v>3</v>
      </c>
      <c r="F1747" s="220">
        <f t="shared" si="741"/>
        <v>30</v>
      </c>
      <c r="G1747" s="248">
        <v>45493</v>
      </c>
      <c r="H1747" s="6" t="s">
        <v>1307</v>
      </c>
      <c r="I1747" s="233">
        <v>100</v>
      </c>
      <c r="J1747" s="234"/>
      <c r="K1747" s="234"/>
      <c r="L1747" s="220">
        <f t="shared" si="745"/>
        <v>100</v>
      </c>
      <c r="M1747" s="211">
        <v>45500</v>
      </c>
      <c r="N1747" s="186"/>
      <c r="O1747" s="4"/>
      <c r="P1747" s="15"/>
      <c r="Q1747" s="14">
        <f t="shared" si="743"/>
        <v>0</v>
      </c>
      <c r="R1747" s="186"/>
      <c r="S1747" s="4"/>
      <c r="T1747" s="234"/>
      <c r="U1747" s="14">
        <f t="shared" si="744"/>
        <v>0</v>
      </c>
      <c r="V1747" s="209"/>
    </row>
    <row r="1748" spans="1:22" x14ac:dyDescent="0.15">
      <c r="B1748" s="4" t="s">
        <v>1304</v>
      </c>
      <c r="C1748" s="233"/>
      <c r="D1748" s="234"/>
      <c r="E1748" s="234">
        <v>1</v>
      </c>
      <c r="F1748" s="220">
        <f t="shared" si="741"/>
        <v>1</v>
      </c>
      <c r="G1748" s="211">
        <v>45496</v>
      </c>
      <c r="H1748" s="4" t="s">
        <v>745</v>
      </c>
      <c r="I1748" s="233">
        <v>200</v>
      </c>
      <c r="J1748" s="234"/>
      <c r="K1748" s="234"/>
      <c r="L1748" s="220">
        <f t="shared" si="745"/>
        <v>200</v>
      </c>
      <c r="M1748" s="211">
        <v>45502</v>
      </c>
      <c r="N1748" s="186"/>
      <c r="O1748" s="6"/>
      <c r="P1748" s="15"/>
      <c r="Q1748" s="14">
        <f t="shared" si="743"/>
        <v>0</v>
      </c>
      <c r="R1748" s="186"/>
      <c r="S1748" s="6"/>
      <c r="T1748" s="234"/>
      <c r="U1748" s="14">
        <f t="shared" si="744"/>
        <v>0</v>
      </c>
      <c r="V1748" s="209"/>
    </row>
    <row r="1749" spans="1:22" x14ac:dyDescent="0.15">
      <c r="B1749" s="4" t="s">
        <v>749</v>
      </c>
      <c r="C1749" s="233">
        <f>1+2+1+2+10+26+15+20+12+8+1+2</f>
        <v>100</v>
      </c>
      <c r="D1749" s="234">
        <f>4+1+7+8</f>
        <v>20</v>
      </c>
      <c r="E1749" s="234">
        <f>1+1+1+1</f>
        <v>4</v>
      </c>
      <c r="F1749" s="220">
        <f t="shared" si="741"/>
        <v>124</v>
      </c>
      <c r="G1749" s="248">
        <v>45495</v>
      </c>
      <c r="H1749" s="4" t="s">
        <v>745</v>
      </c>
      <c r="I1749" s="233"/>
      <c r="J1749" s="234">
        <v>50</v>
      </c>
      <c r="K1749" s="234"/>
      <c r="L1749" s="220">
        <f t="shared" si="745"/>
        <v>50</v>
      </c>
      <c r="M1749" s="211">
        <v>45503</v>
      </c>
      <c r="N1749" s="186"/>
      <c r="O1749" s="6"/>
      <c r="P1749" s="15"/>
      <c r="Q1749" s="14">
        <f t="shared" si="743"/>
        <v>0</v>
      </c>
      <c r="R1749" s="186"/>
      <c r="S1749" s="6"/>
      <c r="T1749" s="234"/>
      <c r="U1749" s="14">
        <f t="shared" si="744"/>
        <v>0</v>
      </c>
      <c r="V1749" s="209"/>
    </row>
    <row r="1750" spans="1:22" x14ac:dyDescent="0.15">
      <c r="A1750" s="186"/>
      <c r="B1750" s="4" t="s">
        <v>749</v>
      </c>
      <c r="C1750" s="233">
        <v>47</v>
      </c>
      <c r="D1750" s="234">
        <f>2+10</f>
        <v>12</v>
      </c>
      <c r="E1750" s="234">
        <v>6</v>
      </c>
      <c r="F1750" s="220">
        <f t="shared" si="741"/>
        <v>65</v>
      </c>
      <c r="G1750" s="211">
        <v>45496</v>
      </c>
      <c r="H1750" s="4" t="s">
        <v>1308</v>
      </c>
      <c r="I1750" s="233">
        <v>9</v>
      </c>
      <c r="J1750" s="234">
        <v>4</v>
      </c>
      <c r="K1750" s="234"/>
      <c r="L1750" s="220">
        <f t="shared" ref="L1750:L1753" si="746">SUM(I1750:K1750)</f>
        <v>13</v>
      </c>
      <c r="M1750" s="211">
        <v>45509</v>
      </c>
      <c r="O1750" s="4"/>
      <c r="P1750" s="15"/>
      <c r="Q1750" s="14">
        <f t="shared" si="743"/>
        <v>0</v>
      </c>
      <c r="R1750" s="186"/>
      <c r="S1750" s="6"/>
      <c r="T1750" s="234"/>
      <c r="U1750" s="14">
        <f t="shared" ref="U1750:U1758" si="747">SUM(T1750:T1750)</f>
        <v>0</v>
      </c>
      <c r="V1750" s="209"/>
    </row>
    <row r="1751" spans="1:22" x14ac:dyDescent="0.15">
      <c r="A1751" s="186"/>
      <c r="B1751" s="4" t="s">
        <v>749</v>
      </c>
      <c r="C1751" s="233">
        <f>31+6</f>
        <v>37</v>
      </c>
      <c r="D1751" s="234">
        <f>5+1</f>
        <v>6</v>
      </c>
      <c r="E1751" s="234">
        <v>2</v>
      </c>
      <c r="F1751" s="220">
        <f t="shared" si="741"/>
        <v>45</v>
      </c>
      <c r="G1751" s="211">
        <v>45497</v>
      </c>
      <c r="H1751" s="4" t="s">
        <v>745</v>
      </c>
      <c r="I1751" s="233"/>
      <c r="J1751" s="234"/>
      <c r="K1751" s="234">
        <v>50</v>
      </c>
      <c r="L1751" s="220">
        <f t="shared" si="746"/>
        <v>50</v>
      </c>
      <c r="M1751" s="211">
        <v>45504</v>
      </c>
      <c r="O1751" s="4"/>
      <c r="P1751" s="15"/>
      <c r="Q1751" s="14">
        <f t="shared" si="743"/>
        <v>0</v>
      </c>
      <c r="R1751" s="186"/>
      <c r="S1751" s="6"/>
      <c r="T1751" s="234"/>
      <c r="U1751" s="14">
        <f t="shared" si="747"/>
        <v>0</v>
      </c>
      <c r="V1751" s="209"/>
    </row>
    <row r="1752" spans="1:22" x14ac:dyDescent="0.15">
      <c r="A1752" s="186"/>
      <c r="B1752" s="4" t="s">
        <v>764</v>
      </c>
      <c r="C1752" s="233">
        <v>30</v>
      </c>
      <c r="D1752" s="234"/>
      <c r="E1752" s="234"/>
      <c r="F1752" s="220">
        <f t="shared" si="741"/>
        <v>30</v>
      </c>
      <c r="G1752" s="211">
        <v>45498</v>
      </c>
      <c r="H1752" s="4"/>
      <c r="I1752" s="233"/>
      <c r="J1752" s="234"/>
      <c r="K1752" s="234"/>
      <c r="L1752" s="220">
        <f t="shared" si="746"/>
        <v>0</v>
      </c>
      <c r="M1752" s="212"/>
      <c r="O1752" s="4"/>
      <c r="P1752" s="15"/>
      <c r="Q1752" s="14">
        <f t="shared" si="743"/>
        <v>0</v>
      </c>
      <c r="R1752" s="186"/>
      <c r="S1752" s="6"/>
      <c r="T1752" s="234"/>
      <c r="U1752" s="14">
        <f t="shared" si="747"/>
        <v>0</v>
      </c>
      <c r="V1752" s="209"/>
    </row>
    <row r="1753" spans="1:22" x14ac:dyDescent="0.15">
      <c r="A1753" s="186"/>
      <c r="B1753" s="4" t="s">
        <v>749</v>
      </c>
      <c r="C1753" s="233">
        <f>8+15+1+6+10+2</f>
        <v>42</v>
      </c>
      <c r="D1753" s="234">
        <f>2+8+1</f>
        <v>11</v>
      </c>
      <c r="E1753" s="234">
        <f>2+3+3</f>
        <v>8</v>
      </c>
      <c r="F1753" s="220">
        <f t="shared" si="741"/>
        <v>61</v>
      </c>
      <c r="G1753" s="211">
        <v>45498</v>
      </c>
      <c r="H1753" s="4"/>
      <c r="I1753" s="233"/>
      <c r="J1753" s="234"/>
      <c r="K1753" s="234"/>
      <c r="L1753" s="220">
        <f t="shared" si="746"/>
        <v>0</v>
      </c>
      <c r="O1753" s="6"/>
      <c r="P1753" s="15"/>
      <c r="Q1753" s="14">
        <f t="shared" si="743"/>
        <v>0</v>
      </c>
      <c r="R1753" s="186"/>
      <c r="S1753" s="6"/>
      <c r="T1753" s="234"/>
      <c r="U1753" s="14">
        <f t="shared" si="747"/>
        <v>0</v>
      </c>
      <c r="V1753" s="209"/>
    </row>
    <row r="1754" spans="1:22" x14ac:dyDescent="0.15">
      <c r="A1754" s="186"/>
      <c r="B1754" s="4" t="s">
        <v>749</v>
      </c>
      <c r="C1754" s="233">
        <f>13+13+1+15+1+1</f>
        <v>44</v>
      </c>
      <c r="D1754" s="234">
        <f>1+3+6</f>
        <v>10</v>
      </c>
      <c r="E1754" s="234">
        <f>1+4</f>
        <v>5</v>
      </c>
      <c r="F1754" s="220">
        <f t="shared" si="741"/>
        <v>59</v>
      </c>
      <c r="G1754" s="211">
        <v>45499</v>
      </c>
      <c r="H1754" s="4"/>
      <c r="I1754" s="233"/>
      <c r="J1754" s="234"/>
      <c r="K1754" s="234"/>
      <c r="L1754" s="220">
        <f t="shared" ref="L1754:L1755" si="748">SUM(I1754:K1754)</f>
        <v>0</v>
      </c>
      <c r="O1754" s="4"/>
      <c r="P1754" s="15"/>
      <c r="Q1754" s="14">
        <f t="shared" si="743"/>
        <v>0</v>
      </c>
      <c r="R1754" s="186"/>
      <c r="S1754" s="6"/>
      <c r="T1754" s="234"/>
      <c r="U1754" s="14">
        <f t="shared" si="747"/>
        <v>0</v>
      </c>
      <c r="V1754" s="209"/>
    </row>
    <row r="1755" spans="1:22" x14ac:dyDescent="0.15">
      <c r="B1755" s="4" t="s">
        <v>749</v>
      </c>
      <c r="C1755" s="233">
        <f>4+3+1+12+1+5+1+17+14+1+30</f>
        <v>89</v>
      </c>
      <c r="D1755" s="234">
        <f>3+1+4+9+3+1+3+3+1</f>
        <v>28</v>
      </c>
      <c r="E1755" s="234">
        <f>1+1+1</f>
        <v>3</v>
      </c>
      <c r="F1755" s="220">
        <f t="shared" si="741"/>
        <v>120</v>
      </c>
      <c r="G1755" s="211">
        <v>45502</v>
      </c>
      <c r="H1755" s="4"/>
      <c r="I1755" s="233"/>
      <c r="J1755" s="234"/>
      <c r="K1755" s="234"/>
      <c r="L1755" s="220">
        <f t="shared" si="748"/>
        <v>0</v>
      </c>
      <c r="O1755" s="6"/>
      <c r="P1755" s="15"/>
      <c r="Q1755" s="14">
        <f t="shared" si="743"/>
        <v>0</v>
      </c>
      <c r="R1755" s="186"/>
      <c r="S1755" s="6"/>
      <c r="T1755" s="234"/>
      <c r="U1755" s="14">
        <f t="shared" ref="U1755:U1757" si="749">SUM(T1755:T1755)</f>
        <v>0</v>
      </c>
      <c r="V1755" s="209"/>
    </row>
    <row r="1756" spans="1:22" x14ac:dyDescent="0.15">
      <c r="B1756" s="4" t="s">
        <v>749</v>
      </c>
      <c r="C1756" s="233">
        <f>3+11</f>
        <v>14</v>
      </c>
      <c r="D1756" s="234">
        <f>3+7</f>
        <v>10</v>
      </c>
      <c r="E1756" s="234">
        <f>1+2</f>
        <v>3</v>
      </c>
      <c r="F1756" s="220">
        <f t="shared" si="741"/>
        <v>27</v>
      </c>
      <c r="G1756" s="211">
        <v>45503</v>
      </c>
      <c r="H1756" s="4"/>
      <c r="I1756" s="233"/>
      <c r="J1756" s="234"/>
      <c r="K1756" s="234"/>
      <c r="L1756" s="220">
        <f t="shared" ref="L1756:L1757" si="750">SUM(I1756:K1756)</f>
        <v>0</v>
      </c>
      <c r="O1756" s="4"/>
      <c r="P1756" s="15"/>
      <c r="Q1756" s="14">
        <f t="shared" si="743"/>
        <v>0</v>
      </c>
      <c r="R1756" s="186"/>
      <c r="S1756" s="6"/>
      <c r="T1756" s="234"/>
      <c r="U1756" s="14">
        <f t="shared" si="749"/>
        <v>0</v>
      </c>
      <c r="V1756" s="209"/>
    </row>
    <row r="1757" spans="1:22" x14ac:dyDescent="0.15">
      <c r="B1757" s="4" t="s">
        <v>764</v>
      </c>
      <c r="C1757" s="233">
        <v>30</v>
      </c>
      <c r="D1757" s="234"/>
      <c r="E1757" s="234">
        <v>30</v>
      </c>
      <c r="F1757" s="220">
        <f t="shared" si="741"/>
        <v>60</v>
      </c>
      <c r="G1757" s="211">
        <v>45504</v>
      </c>
      <c r="H1757" s="4" t="s">
        <v>1258</v>
      </c>
      <c r="I1757" s="233"/>
      <c r="J1757" s="234"/>
      <c r="K1757" s="234"/>
      <c r="L1757" s="220">
        <f t="shared" si="750"/>
        <v>0</v>
      </c>
      <c r="M1757" s="211">
        <v>45481</v>
      </c>
      <c r="O1757" s="4"/>
      <c r="P1757" s="15"/>
      <c r="Q1757" s="14">
        <f t="shared" si="743"/>
        <v>0</v>
      </c>
      <c r="R1757" s="186"/>
      <c r="S1757" s="6"/>
      <c r="T1757" s="234"/>
      <c r="U1757" s="14">
        <f t="shared" si="749"/>
        <v>0</v>
      </c>
    </row>
    <row r="1758" spans="1:22" x14ac:dyDescent="0.15">
      <c r="B1758" s="4" t="s">
        <v>749</v>
      </c>
      <c r="C1758" s="233">
        <f>15+1+2+3</f>
        <v>21</v>
      </c>
      <c r="D1758" s="234">
        <v>3</v>
      </c>
      <c r="E1758" s="234">
        <v>1</v>
      </c>
      <c r="F1758" s="220">
        <f t="shared" si="741"/>
        <v>25</v>
      </c>
      <c r="G1758" s="211">
        <v>45504</v>
      </c>
      <c r="H1758" s="6" t="s">
        <v>1272</v>
      </c>
      <c r="I1758" s="233"/>
      <c r="J1758" s="15"/>
      <c r="K1758" s="15"/>
      <c r="L1758" s="220">
        <f t="shared" ref="L1758" si="751">SUM(I1758:K1758)</f>
        <v>0</v>
      </c>
      <c r="M1758" s="212" t="s">
        <v>1271</v>
      </c>
      <c r="O1758" s="4"/>
      <c r="P1758" s="15"/>
      <c r="Q1758" s="14">
        <f t="shared" si="743"/>
        <v>0</v>
      </c>
      <c r="R1758" s="186"/>
      <c r="S1758" s="6" t="s">
        <v>1272</v>
      </c>
      <c r="T1758" s="234"/>
      <c r="U1758" s="14">
        <f t="shared" si="747"/>
        <v>0</v>
      </c>
      <c r="V1758" s="212" t="s">
        <v>1271</v>
      </c>
    </row>
    <row r="1759" spans="1:22" x14ac:dyDescent="0.15">
      <c r="B1759" s="4" t="s">
        <v>749</v>
      </c>
      <c r="C1759" s="233">
        <f>5+1+1</f>
        <v>7</v>
      </c>
      <c r="D1759" s="234">
        <f>1+2+1</f>
        <v>4</v>
      </c>
      <c r="E1759" s="234">
        <v>2</v>
      </c>
      <c r="F1759" s="220">
        <f t="shared" si="741"/>
        <v>13</v>
      </c>
      <c r="G1759" s="211">
        <v>45505</v>
      </c>
      <c r="H1759" s="247" t="s">
        <v>1262</v>
      </c>
      <c r="I1759" s="258"/>
      <c r="J1759" s="252"/>
      <c r="K1759" s="252"/>
      <c r="L1759" s="250">
        <f t="shared" ref="L1759:L1760" si="752">SUM(I1759:K1759)</f>
        <v>0</v>
      </c>
      <c r="M1759" s="212"/>
      <c r="O1759" s="6"/>
      <c r="P1759" s="15"/>
      <c r="Q1759" s="14">
        <f t="shared" si="743"/>
        <v>0</v>
      </c>
      <c r="R1759" s="186"/>
      <c r="S1759" s="247" t="s">
        <v>1262</v>
      </c>
      <c r="T1759" s="275"/>
      <c r="U1759" s="255">
        <f t="shared" ref="U1759:U1760" si="753">SUM(T1759:T1759)</f>
        <v>0</v>
      </c>
      <c r="V1759" s="186"/>
    </row>
    <row r="1760" spans="1:22" ht="14.25" thickBot="1" x14ac:dyDescent="0.2">
      <c r="B1760" s="6" t="s">
        <v>1311</v>
      </c>
      <c r="C1760" s="235"/>
      <c r="D1760" s="234">
        <v>1</v>
      </c>
      <c r="E1760" s="234">
        <v>2</v>
      </c>
      <c r="F1760" s="220">
        <f t="shared" si="741"/>
        <v>3</v>
      </c>
      <c r="G1760" s="248">
        <v>45505</v>
      </c>
      <c r="H1760" s="6" t="s">
        <v>1261</v>
      </c>
      <c r="I1760" s="233"/>
      <c r="J1760" s="15"/>
      <c r="K1760" s="15"/>
      <c r="L1760" s="220">
        <f t="shared" si="752"/>
        <v>0</v>
      </c>
      <c r="M1760" s="212" t="s">
        <v>1263</v>
      </c>
      <c r="O1760" s="6"/>
      <c r="P1760" s="15"/>
      <c r="Q1760" s="14">
        <f t="shared" si="743"/>
        <v>0</v>
      </c>
      <c r="R1760" s="186"/>
      <c r="S1760" s="6" t="s">
        <v>1261</v>
      </c>
      <c r="T1760" s="234"/>
      <c r="U1760" s="14">
        <f t="shared" si="753"/>
        <v>0</v>
      </c>
      <c r="V1760" s="212" t="s">
        <v>1263</v>
      </c>
    </row>
    <row r="1761" spans="2:22" ht="14.25" thickBot="1" x14ac:dyDescent="0.2">
      <c r="B1761" s="3" t="s">
        <v>5</v>
      </c>
      <c r="C1761" s="16">
        <f>SUM(C1737:C1760)</f>
        <v>770</v>
      </c>
      <c r="D1761" s="16">
        <f>SUM(D1737:D1760)</f>
        <v>185</v>
      </c>
      <c r="E1761" s="16">
        <f>SUM(E1737:E1760)</f>
        <v>97</v>
      </c>
      <c r="F1761" s="223">
        <f>SUM(F1737:F1760)</f>
        <v>1052</v>
      </c>
      <c r="H1761" s="3" t="s">
        <v>5</v>
      </c>
      <c r="I1761" s="16">
        <f>SUM(I1737:I1760)</f>
        <v>1569</v>
      </c>
      <c r="J1761" s="16">
        <f>SUM(J1737:J1760)</f>
        <v>406</v>
      </c>
      <c r="K1761" s="16">
        <f>SUM(K1737:K1760)</f>
        <v>156</v>
      </c>
      <c r="L1761" s="223">
        <f>SUM(L1737:L1760)</f>
        <v>2131</v>
      </c>
      <c r="O1761" s="3" t="s">
        <v>5</v>
      </c>
      <c r="P1761" s="16">
        <f>SUM(P1737:P1760)</f>
        <v>28</v>
      </c>
      <c r="Q1761" s="17">
        <f>SUM(Q1737:Q1760)</f>
        <v>28</v>
      </c>
      <c r="S1761" s="3" t="s">
        <v>5</v>
      </c>
      <c r="T1761" s="16">
        <f>SUM(T1737:T1760)</f>
        <v>220</v>
      </c>
      <c r="U1761" s="17">
        <f>SUM(U1737:U1760)</f>
        <v>220</v>
      </c>
    </row>
    <row r="1762" spans="2:22" ht="14.25" thickBot="1" x14ac:dyDescent="0.2">
      <c r="B1762" s="18" t="s">
        <v>6</v>
      </c>
      <c r="C1762" s="19">
        <f>C1736-C1761</f>
        <v>213</v>
      </c>
      <c r="D1762" s="19">
        <f>D1736-D1761</f>
        <v>56</v>
      </c>
      <c r="E1762" s="19">
        <f t="shared" ref="E1762" si="754">E1736-E1761</f>
        <v>103</v>
      </c>
      <c r="F1762" s="221">
        <f>F1736-F1761</f>
        <v>372</v>
      </c>
      <c r="H1762" s="18" t="s">
        <v>6</v>
      </c>
      <c r="I1762" s="19">
        <f>I1736-I1761</f>
        <v>3194</v>
      </c>
      <c r="J1762" s="19">
        <f>J1736-J1761</f>
        <v>1932</v>
      </c>
      <c r="K1762" s="19">
        <f t="shared" ref="K1762" si="755">K1736-K1761</f>
        <v>1751</v>
      </c>
      <c r="L1762" s="221">
        <f>L1736-L1761</f>
        <v>6988</v>
      </c>
      <c r="O1762" s="18" t="s">
        <v>6</v>
      </c>
      <c r="P1762" s="19">
        <f>P1736-P1761</f>
        <v>0</v>
      </c>
      <c r="Q1762" s="13">
        <f>Q1736-Q1761</f>
        <v>0</v>
      </c>
      <c r="S1762" s="18" t="s">
        <v>6</v>
      </c>
      <c r="T1762" s="19">
        <f>T1736-T1761</f>
        <v>623</v>
      </c>
      <c r="U1762" s="13">
        <f>U1736-U1761</f>
        <v>623</v>
      </c>
    </row>
    <row r="1765" spans="2:22" ht="18" thickBot="1" x14ac:dyDescent="0.25">
      <c r="B1765" s="27" t="s">
        <v>739</v>
      </c>
      <c r="C1765" s="28"/>
      <c r="D1765" s="28"/>
      <c r="E1765" s="28"/>
      <c r="F1765" s="218"/>
      <c r="H1765" s="27" t="s">
        <v>740</v>
      </c>
      <c r="I1765" s="279"/>
      <c r="J1765" s="279"/>
      <c r="K1765" s="22"/>
      <c r="L1765" s="278"/>
      <c r="O1765" s="181" t="s">
        <v>737</v>
      </c>
      <c r="P1765" s="182"/>
      <c r="Q1765" s="182"/>
      <c r="R1765" s="183"/>
      <c r="S1765" s="181" t="s">
        <v>733</v>
      </c>
      <c r="T1765" s="182"/>
      <c r="U1765" s="182"/>
    </row>
    <row r="1766" spans="2:22" ht="14.25" thickBot="1" x14ac:dyDescent="0.2">
      <c r="B1766" s="2"/>
      <c r="C1766" s="194" t="s">
        <v>734</v>
      </c>
      <c r="D1766" s="195" t="s">
        <v>706</v>
      </c>
      <c r="E1766" s="2" t="s">
        <v>735</v>
      </c>
      <c r="F1766" s="219" t="s">
        <v>1</v>
      </c>
      <c r="H1766" s="2"/>
      <c r="I1766" s="197" t="s">
        <v>734</v>
      </c>
      <c r="J1766" s="195" t="s">
        <v>706</v>
      </c>
      <c r="K1766" s="201" t="s">
        <v>735</v>
      </c>
      <c r="L1766" s="219" t="s">
        <v>1</v>
      </c>
      <c r="O1766" s="2"/>
      <c r="P1766" s="3" t="s">
        <v>722</v>
      </c>
      <c r="Q1766" s="2" t="s">
        <v>1</v>
      </c>
      <c r="S1766" s="2"/>
      <c r="T1766" s="3" t="s">
        <v>722</v>
      </c>
      <c r="U1766" s="2" t="s">
        <v>1</v>
      </c>
    </row>
    <row r="1767" spans="2:22" x14ac:dyDescent="0.15">
      <c r="B1767" s="164" t="s">
        <v>26</v>
      </c>
      <c r="C1767" s="200">
        <f>C1762</f>
        <v>213</v>
      </c>
      <c r="D1767" s="164">
        <f t="shared" ref="D1767:F1767" si="756">D1762</f>
        <v>56</v>
      </c>
      <c r="E1767" s="164">
        <f t="shared" si="756"/>
        <v>103</v>
      </c>
      <c r="F1767" s="222">
        <f t="shared" si="756"/>
        <v>372</v>
      </c>
      <c r="H1767" s="164" t="s">
        <v>26</v>
      </c>
      <c r="I1767" s="200">
        <f>I1762</f>
        <v>3194</v>
      </c>
      <c r="J1767" s="164">
        <f t="shared" ref="J1767:L1767" si="757">J1762</f>
        <v>1932</v>
      </c>
      <c r="K1767" s="200">
        <f t="shared" si="757"/>
        <v>1751</v>
      </c>
      <c r="L1767" s="222">
        <f t="shared" si="757"/>
        <v>6988</v>
      </c>
      <c r="O1767" s="171" t="s">
        <v>26</v>
      </c>
      <c r="P1767" s="200">
        <f>P1762</f>
        <v>0</v>
      </c>
      <c r="Q1767" s="180">
        <f>Q1762</f>
        <v>0</v>
      </c>
      <c r="R1767" s="185"/>
      <c r="S1767" s="43" t="s">
        <v>26</v>
      </c>
      <c r="T1767" s="38">
        <f>T1762</f>
        <v>623</v>
      </c>
      <c r="U1767" s="39">
        <f>U1762</f>
        <v>623</v>
      </c>
    </row>
    <row r="1768" spans="2:22" x14ac:dyDescent="0.15">
      <c r="B1768" s="6" t="s">
        <v>3</v>
      </c>
      <c r="C1768" s="6">
        <v>200</v>
      </c>
      <c r="D1768" s="225">
        <v>100</v>
      </c>
      <c r="E1768" s="226">
        <v>100</v>
      </c>
      <c r="F1768" s="220">
        <f t="shared" ref="F1768:F1777" si="758">SUM(C1768:E1768)</f>
        <v>400</v>
      </c>
      <c r="G1768" s="211">
        <v>45510</v>
      </c>
      <c r="H1768" s="6" t="s">
        <v>3</v>
      </c>
      <c r="I1768" s="188"/>
      <c r="J1768" s="225"/>
      <c r="K1768" s="243"/>
      <c r="L1768" s="220">
        <f t="shared" ref="L1768:L1777" si="759">SUM(I1768:K1768)</f>
        <v>0</v>
      </c>
      <c r="O1768" s="6" t="s">
        <v>3</v>
      </c>
      <c r="P1768" s="7"/>
      <c r="Q1768" s="5">
        <f t="shared" ref="Q1768:Q1777" si="760">SUM(P1768:P1768)</f>
        <v>0</v>
      </c>
      <c r="R1768" s="186"/>
      <c r="S1768" s="6" t="s">
        <v>3</v>
      </c>
      <c r="T1768" s="7"/>
      <c r="U1768" s="5">
        <f t="shared" ref="U1768:U1777" si="761">SUM(T1768:T1768)</f>
        <v>0</v>
      </c>
    </row>
    <row r="1769" spans="2:22" x14ac:dyDescent="0.15">
      <c r="B1769" s="6" t="s">
        <v>3</v>
      </c>
      <c r="C1769" s="6">
        <v>200</v>
      </c>
      <c r="D1769" s="225"/>
      <c r="E1769" s="226"/>
      <c r="F1769" s="220">
        <f t="shared" si="758"/>
        <v>200</v>
      </c>
      <c r="G1769" s="211">
        <v>45514</v>
      </c>
      <c r="H1769" s="6" t="s">
        <v>3</v>
      </c>
      <c r="I1769" s="188"/>
      <c r="J1769" s="225"/>
      <c r="K1769" s="243"/>
      <c r="L1769" s="220">
        <f t="shared" si="759"/>
        <v>0</v>
      </c>
      <c r="O1769" s="6" t="s">
        <v>3</v>
      </c>
      <c r="P1769" s="7"/>
      <c r="Q1769" s="5">
        <f t="shared" si="760"/>
        <v>0</v>
      </c>
      <c r="R1769" s="186"/>
      <c r="S1769" s="6" t="s">
        <v>3</v>
      </c>
      <c r="T1769" s="54"/>
      <c r="U1769" s="5">
        <f t="shared" si="761"/>
        <v>0</v>
      </c>
    </row>
    <row r="1770" spans="2:22" x14ac:dyDescent="0.15">
      <c r="B1770" s="6" t="s">
        <v>3</v>
      </c>
      <c r="C1770" s="6">
        <v>200</v>
      </c>
      <c r="D1770" s="225"/>
      <c r="E1770" s="226"/>
      <c r="F1770" s="220">
        <f t="shared" si="758"/>
        <v>200</v>
      </c>
      <c r="G1770" s="248">
        <v>45521</v>
      </c>
      <c r="H1770" s="6" t="s">
        <v>3</v>
      </c>
      <c r="I1770" s="188">
        <v>6000</v>
      </c>
      <c r="J1770" s="225">
        <v>500</v>
      </c>
      <c r="K1770" s="243">
        <v>500</v>
      </c>
      <c r="L1770" s="220">
        <f t="shared" si="759"/>
        <v>7000</v>
      </c>
      <c r="M1770" s="211" t="s">
        <v>1314</v>
      </c>
      <c r="O1770" s="6" t="s">
        <v>3</v>
      </c>
      <c r="P1770" s="7"/>
      <c r="Q1770" s="5">
        <f t="shared" si="760"/>
        <v>0</v>
      </c>
      <c r="R1770" s="186"/>
      <c r="S1770" s="6" t="s">
        <v>3</v>
      </c>
      <c r="T1770" s="54">
        <v>1000</v>
      </c>
      <c r="U1770" s="5">
        <f t="shared" si="761"/>
        <v>1000</v>
      </c>
      <c r="V1770" s="211" t="s">
        <v>1314</v>
      </c>
    </row>
    <row r="1771" spans="2:22" x14ac:dyDescent="0.15">
      <c r="B1771" s="6" t="s">
        <v>1321</v>
      </c>
      <c r="C1771" s="6">
        <v>12</v>
      </c>
      <c r="D1771" s="225">
        <v>42</v>
      </c>
      <c r="E1771" s="226">
        <v>36</v>
      </c>
      <c r="F1771" s="220">
        <f t="shared" si="758"/>
        <v>90</v>
      </c>
      <c r="G1771" s="248">
        <v>45525</v>
      </c>
      <c r="H1771" s="6" t="s">
        <v>3</v>
      </c>
      <c r="I1771" s="188"/>
      <c r="J1771" s="225"/>
      <c r="K1771" s="243"/>
      <c r="L1771" s="220">
        <f t="shared" si="759"/>
        <v>0</v>
      </c>
      <c r="M1771" s="212" t="s">
        <v>1273</v>
      </c>
      <c r="O1771" s="6" t="s">
        <v>3</v>
      </c>
      <c r="P1771" s="7"/>
      <c r="Q1771" s="5">
        <f t="shared" si="760"/>
        <v>0</v>
      </c>
      <c r="R1771" s="186"/>
      <c r="S1771" s="6" t="s">
        <v>3</v>
      </c>
      <c r="T1771" s="54"/>
      <c r="U1771" s="5">
        <f t="shared" si="761"/>
        <v>0</v>
      </c>
      <c r="V1771" s="212" t="s">
        <v>1273</v>
      </c>
    </row>
    <row r="1772" spans="2:22" x14ac:dyDescent="0.15">
      <c r="B1772" s="6" t="s">
        <v>785</v>
      </c>
      <c r="C1772" s="6">
        <v>-9</v>
      </c>
      <c r="D1772" s="225">
        <v>-7</v>
      </c>
      <c r="E1772" s="226">
        <v>-3</v>
      </c>
      <c r="F1772" s="281">
        <f t="shared" si="758"/>
        <v>-19</v>
      </c>
      <c r="G1772" s="211">
        <v>45531</v>
      </c>
      <c r="H1772" s="6" t="s">
        <v>3</v>
      </c>
      <c r="I1772" s="188"/>
      <c r="J1772" s="225"/>
      <c r="K1772" s="243"/>
      <c r="L1772" s="220">
        <f t="shared" si="759"/>
        <v>0</v>
      </c>
      <c r="O1772" s="6" t="s">
        <v>3</v>
      </c>
      <c r="P1772" s="7"/>
      <c r="Q1772" s="5">
        <f t="shared" si="760"/>
        <v>0</v>
      </c>
      <c r="R1772" s="186"/>
      <c r="S1772" s="6" t="s">
        <v>3</v>
      </c>
      <c r="T1772" s="54"/>
      <c r="U1772" s="5">
        <f t="shared" ref="U1772" si="762">SUM(T1772:T1772)</f>
        <v>0</v>
      </c>
    </row>
    <row r="1773" spans="2:22" x14ac:dyDescent="0.15">
      <c r="B1773" s="6" t="s">
        <v>3</v>
      </c>
      <c r="C1773" s="6"/>
      <c r="D1773" s="225"/>
      <c r="E1773" s="226"/>
      <c r="F1773" s="220">
        <f t="shared" si="758"/>
        <v>0</v>
      </c>
      <c r="H1773" s="6" t="s">
        <v>3</v>
      </c>
      <c r="I1773" s="188"/>
      <c r="J1773" s="6"/>
      <c r="K1773" s="202"/>
      <c r="L1773" s="220">
        <f t="shared" si="759"/>
        <v>0</v>
      </c>
      <c r="O1773" s="6" t="s">
        <v>3</v>
      </c>
      <c r="P1773" s="7"/>
      <c r="Q1773" s="5">
        <f t="shared" si="760"/>
        <v>0</v>
      </c>
      <c r="R1773" s="186"/>
      <c r="S1773" s="6" t="s">
        <v>3</v>
      </c>
      <c r="T1773" s="7"/>
      <c r="U1773" s="5">
        <f t="shared" si="761"/>
        <v>0</v>
      </c>
    </row>
    <row r="1774" spans="2:22" x14ac:dyDescent="0.15">
      <c r="B1774" s="6" t="s">
        <v>3</v>
      </c>
      <c r="C1774" s="6"/>
      <c r="D1774" s="225"/>
      <c r="E1774" s="226"/>
      <c r="F1774" s="220">
        <f t="shared" si="758"/>
        <v>0</v>
      </c>
      <c r="H1774" s="6" t="s">
        <v>3</v>
      </c>
      <c r="I1774" s="188"/>
      <c r="J1774" s="225"/>
      <c r="K1774" s="243"/>
      <c r="L1774" s="220">
        <f t="shared" si="759"/>
        <v>0</v>
      </c>
      <c r="O1774" s="6" t="s">
        <v>3</v>
      </c>
      <c r="P1774" s="8"/>
      <c r="Q1774" s="5">
        <f t="shared" si="760"/>
        <v>0</v>
      </c>
      <c r="R1774" s="186"/>
      <c r="S1774" s="6" t="s">
        <v>3</v>
      </c>
      <c r="T1774" s="54"/>
      <c r="U1774" s="5">
        <f t="shared" si="761"/>
        <v>0</v>
      </c>
    </row>
    <row r="1775" spans="2:22" x14ac:dyDescent="0.15">
      <c r="B1775" s="6" t="s">
        <v>3</v>
      </c>
      <c r="C1775" s="6"/>
      <c r="D1775" s="225"/>
      <c r="E1775" s="226"/>
      <c r="F1775" s="220">
        <f t="shared" si="758"/>
        <v>0</v>
      </c>
      <c r="H1775" s="6" t="s">
        <v>3</v>
      </c>
      <c r="I1775" s="188"/>
      <c r="J1775" s="225"/>
      <c r="K1775" s="243"/>
      <c r="L1775" s="220">
        <f t="shared" si="759"/>
        <v>0</v>
      </c>
      <c r="O1775" s="6" t="s">
        <v>3</v>
      </c>
      <c r="P1775" s="8"/>
      <c r="Q1775" s="5">
        <f t="shared" si="760"/>
        <v>0</v>
      </c>
      <c r="R1775" s="186"/>
      <c r="S1775" s="6" t="s">
        <v>3</v>
      </c>
      <c r="T1775" s="54"/>
      <c r="U1775" s="5">
        <f t="shared" si="761"/>
        <v>0</v>
      </c>
    </row>
    <row r="1776" spans="2:22" x14ac:dyDescent="0.15">
      <c r="B1776" s="6" t="s">
        <v>3</v>
      </c>
      <c r="C1776" s="6"/>
      <c r="D1776" s="225"/>
      <c r="E1776" s="226"/>
      <c r="F1776" s="220">
        <f t="shared" si="758"/>
        <v>0</v>
      </c>
      <c r="H1776" s="6" t="s">
        <v>3</v>
      </c>
      <c r="I1776" s="188"/>
      <c r="J1776" s="225"/>
      <c r="K1776" s="243"/>
      <c r="L1776" s="220">
        <f t="shared" si="759"/>
        <v>0</v>
      </c>
      <c r="O1776" s="6" t="s">
        <v>3</v>
      </c>
      <c r="P1776" s="8"/>
      <c r="Q1776" s="5">
        <f t="shared" si="760"/>
        <v>0</v>
      </c>
      <c r="R1776" s="186"/>
      <c r="S1776" s="6" t="s">
        <v>3</v>
      </c>
      <c r="T1776" s="54"/>
      <c r="U1776" s="5">
        <f t="shared" si="761"/>
        <v>0</v>
      </c>
    </row>
    <row r="1777" spans="2:22" ht="14.25" thickBot="1" x14ac:dyDescent="0.2">
      <c r="B1777" s="6" t="s">
        <v>3</v>
      </c>
      <c r="C1777" s="9"/>
      <c r="D1777" s="237"/>
      <c r="E1777" s="238"/>
      <c r="F1777" s="220">
        <f t="shared" si="758"/>
        <v>0</v>
      </c>
      <c r="H1777" s="9" t="s">
        <v>3</v>
      </c>
      <c r="I1777" s="198"/>
      <c r="J1777" s="244"/>
      <c r="K1777" s="245"/>
      <c r="L1777" s="220">
        <f t="shared" si="759"/>
        <v>0</v>
      </c>
      <c r="O1777" s="9" t="s">
        <v>3</v>
      </c>
      <c r="P1777" s="10"/>
      <c r="Q1777" s="5">
        <f t="shared" si="760"/>
        <v>0</v>
      </c>
      <c r="R1777" s="186"/>
      <c r="S1777" s="9" t="s">
        <v>3</v>
      </c>
      <c r="T1777" s="101"/>
      <c r="U1777" s="5">
        <f t="shared" si="761"/>
        <v>0</v>
      </c>
    </row>
    <row r="1778" spans="2:22" ht="14.25" thickBot="1" x14ac:dyDescent="0.2">
      <c r="B1778" s="11" t="s">
        <v>4</v>
      </c>
      <c r="C1778" s="193">
        <f>SUM(C1767:C1777)</f>
        <v>816</v>
      </c>
      <c r="D1778" s="193">
        <f>SUM(D1767:D1777)</f>
        <v>191</v>
      </c>
      <c r="E1778" s="193">
        <f>SUM(E1767:E1777)</f>
        <v>236</v>
      </c>
      <c r="F1778" s="221">
        <f>SUM(F1767:F1777)</f>
        <v>1243</v>
      </c>
      <c r="H1778" s="11" t="s">
        <v>4</v>
      </c>
      <c r="I1778" s="193">
        <f>SUM(I1767:I1777)</f>
        <v>9194</v>
      </c>
      <c r="J1778" s="193">
        <f t="shared" ref="J1778" si="763">SUM(J1767:J1777)</f>
        <v>2432</v>
      </c>
      <c r="K1778" s="193">
        <f t="shared" ref="K1778" si="764">SUM(K1767:K1777)</f>
        <v>2251</v>
      </c>
      <c r="L1778" s="221">
        <f>SUM(L1767:L1777)</f>
        <v>13988</v>
      </c>
      <c r="O1778" s="11" t="s">
        <v>4</v>
      </c>
      <c r="P1778" s="12">
        <f>SUM(P1767:P1777)</f>
        <v>0</v>
      </c>
      <c r="Q1778" s="13">
        <f>SUM(Q1767:Q1777)</f>
        <v>0</v>
      </c>
      <c r="S1778" s="11" t="s">
        <v>4</v>
      </c>
      <c r="T1778" s="12">
        <f>SUM(T1767:T1777)</f>
        <v>1623</v>
      </c>
      <c r="U1778" s="13">
        <f>SUM(U1767:U1777)</f>
        <v>1623</v>
      </c>
    </row>
    <row r="1779" spans="2:22" x14ac:dyDescent="0.15">
      <c r="B1779" s="4" t="s">
        <v>749</v>
      </c>
      <c r="C1779" s="233">
        <f>3+6</f>
        <v>9</v>
      </c>
      <c r="D1779" s="234">
        <f>2+3</f>
        <v>5</v>
      </c>
      <c r="E1779" s="234">
        <f>1+1</f>
        <v>2</v>
      </c>
      <c r="F1779" s="220">
        <f t="shared" ref="F1779:F1802" si="765">SUM(C1779:E1779)</f>
        <v>16</v>
      </c>
      <c r="G1779" s="248">
        <v>45506</v>
      </c>
      <c r="H1779" s="6" t="s">
        <v>1310</v>
      </c>
      <c r="I1779" s="233">
        <v>300</v>
      </c>
      <c r="J1779" s="234"/>
      <c r="K1779" s="234"/>
      <c r="L1779" s="220">
        <f t="shared" ref="L1779:L1797" si="766">SUM(I1779:K1779)</f>
        <v>300</v>
      </c>
      <c r="M1779" s="211">
        <v>45511</v>
      </c>
      <c r="O1779" s="4"/>
      <c r="P1779" s="44"/>
      <c r="Q1779" s="14">
        <f t="shared" ref="Q1779:Q1802" si="767">SUM(P1779:P1779)</f>
        <v>0</v>
      </c>
      <c r="R1779" s="185"/>
      <c r="S1779" s="6" t="s">
        <v>1310</v>
      </c>
      <c r="T1779" s="234">
        <v>100</v>
      </c>
      <c r="U1779" s="14">
        <f t="shared" ref="U1779:U1802" si="768">SUM(T1779:T1779)</f>
        <v>100</v>
      </c>
      <c r="V1779" s="211">
        <v>45511</v>
      </c>
    </row>
    <row r="1780" spans="2:22" x14ac:dyDescent="0.15">
      <c r="B1780" s="4" t="s">
        <v>749</v>
      </c>
      <c r="C1780" s="233">
        <v>8</v>
      </c>
      <c r="D1780" s="234"/>
      <c r="E1780" s="234">
        <v>2</v>
      </c>
      <c r="F1780" s="220">
        <f t="shared" si="765"/>
        <v>10</v>
      </c>
      <c r="G1780" s="248">
        <v>45507</v>
      </c>
      <c r="H1780" s="4" t="s">
        <v>745</v>
      </c>
      <c r="I1780" s="233">
        <v>200</v>
      </c>
      <c r="J1780" s="234">
        <v>100</v>
      </c>
      <c r="K1780" s="234">
        <v>100</v>
      </c>
      <c r="L1780" s="220">
        <f t="shared" si="766"/>
        <v>400</v>
      </c>
      <c r="M1780" s="211">
        <v>45510</v>
      </c>
      <c r="O1780" s="4"/>
      <c r="P1780" s="15"/>
      <c r="Q1780" s="14">
        <f t="shared" si="767"/>
        <v>0</v>
      </c>
      <c r="R1780" s="186"/>
      <c r="S1780" s="6" t="s">
        <v>1316</v>
      </c>
      <c r="T1780" s="234">
        <v>50</v>
      </c>
      <c r="U1780" s="14">
        <f t="shared" si="768"/>
        <v>50</v>
      </c>
      <c r="V1780" s="211">
        <v>45513</v>
      </c>
    </row>
    <row r="1781" spans="2:22" x14ac:dyDescent="0.15">
      <c r="B1781" s="4" t="s">
        <v>764</v>
      </c>
      <c r="C1781" s="233">
        <v>5</v>
      </c>
      <c r="D1781" s="234">
        <v>5</v>
      </c>
      <c r="E1781" s="234">
        <v>5</v>
      </c>
      <c r="F1781" s="220">
        <f t="shared" si="765"/>
        <v>15</v>
      </c>
      <c r="G1781" s="211">
        <v>45510</v>
      </c>
      <c r="H1781" s="4" t="s">
        <v>1315</v>
      </c>
      <c r="I1781" s="233"/>
      <c r="J1781" s="234">
        <v>2</v>
      </c>
      <c r="K1781" s="234"/>
      <c r="L1781" s="220">
        <f t="shared" si="766"/>
        <v>2</v>
      </c>
      <c r="M1781" s="211">
        <v>45513</v>
      </c>
      <c r="O1781" s="4"/>
      <c r="P1781" s="15"/>
      <c r="Q1781" s="14">
        <f t="shared" si="767"/>
        <v>0</v>
      </c>
      <c r="R1781" s="186"/>
      <c r="S1781" s="6" t="s">
        <v>1317</v>
      </c>
      <c r="T1781" s="234">
        <v>50</v>
      </c>
      <c r="U1781" s="14">
        <f t="shared" si="768"/>
        <v>50</v>
      </c>
      <c r="V1781" s="211">
        <v>45514</v>
      </c>
    </row>
    <row r="1782" spans="2:22" x14ac:dyDescent="0.15">
      <c r="B1782" s="4" t="s">
        <v>764</v>
      </c>
      <c r="C1782" s="233">
        <v>30</v>
      </c>
      <c r="D1782" s="234">
        <v>10</v>
      </c>
      <c r="E1782" s="234">
        <v>20</v>
      </c>
      <c r="F1782" s="220">
        <f t="shared" si="765"/>
        <v>60</v>
      </c>
      <c r="G1782" s="211">
        <v>45510</v>
      </c>
      <c r="H1782" s="6" t="s">
        <v>1316</v>
      </c>
      <c r="I1782" s="233">
        <v>100</v>
      </c>
      <c r="J1782" s="234"/>
      <c r="K1782" s="234"/>
      <c r="L1782" s="220">
        <f t="shared" si="766"/>
        <v>100</v>
      </c>
      <c r="M1782" s="211">
        <v>45513</v>
      </c>
      <c r="O1782" s="4"/>
      <c r="P1782" s="15"/>
      <c r="Q1782" s="14">
        <f t="shared" si="767"/>
        <v>0</v>
      </c>
      <c r="R1782" s="186"/>
      <c r="S1782" s="6"/>
      <c r="T1782" s="234"/>
      <c r="U1782" s="14">
        <f t="shared" si="768"/>
        <v>0</v>
      </c>
      <c r="V1782" s="212"/>
    </row>
    <row r="1783" spans="2:22" x14ac:dyDescent="0.15">
      <c r="B1783" s="4" t="s">
        <v>749</v>
      </c>
      <c r="C1783" s="233">
        <f>18+14+18+9+5+10</f>
        <v>74</v>
      </c>
      <c r="D1783" s="234">
        <f>1+6+2+5</f>
        <v>14</v>
      </c>
      <c r="E1783" s="234">
        <f>1+2+1</f>
        <v>4</v>
      </c>
      <c r="F1783" s="220">
        <f t="shared" si="765"/>
        <v>92</v>
      </c>
      <c r="G1783" s="211">
        <v>45509</v>
      </c>
      <c r="H1783" s="6" t="s">
        <v>1317</v>
      </c>
      <c r="I1783" s="233">
        <v>200</v>
      </c>
      <c r="J1783" s="234"/>
      <c r="K1783" s="234"/>
      <c r="L1783" s="220">
        <f t="shared" si="766"/>
        <v>200</v>
      </c>
      <c r="M1783" s="211">
        <v>45514</v>
      </c>
      <c r="O1783" s="4"/>
      <c r="P1783" s="15"/>
      <c r="Q1783" s="14">
        <f t="shared" si="767"/>
        <v>0</v>
      </c>
      <c r="R1783" s="186"/>
      <c r="S1783" s="6"/>
      <c r="T1783" s="234"/>
      <c r="U1783" s="14">
        <f t="shared" si="768"/>
        <v>0</v>
      </c>
      <c r="V1783" s="212"/>
    </row>
    <row r="1784" spans="2:22" x14ac:dyDescent="0.15">
      <c r="B1784" s="4" t="s">
        <v>749</v>
      </c>
      <c r="C1784" s="233">
        <f>3+49</f>
        <v>52</v>
      </c>
      <c r="D1784" s="234">
        <f>1+15</f>
        <v>16</v>
      </c>
      <c r="E1784" s="234">
        <v>5</v>
      </c>
      <c r="F1784" s="220">
        <f t="shared" si="765"/>
        <v>73</v>
      </c>
      <c r="G1784" s="248">
        <v>45510</v>
      </c>
      <c r="H1784" s="4" t="s">
        <v>745</v>
      </c>
      <c r="I1784" s="233">
        <v>200</v>
      </c>
      <c r="J1784" s="234"/>
      <c r="K1784" s="234"/>
      <c r="L1784" s="220">
        <f t="shared" si="766"/>
        <v>200</v>
      </c>
      <c r="M1784" s="211">
        <v>45514</v>
      </c>
      <c r="O1784" s="4"/>
      <c r="P1784" s="15"/>
      <c r="Q1784" s="14">
        <f t="shared" si="767"/>
        <v>0</v>
      </c>
      <c r="R1784" s="186"/>
      <c r="S1784" s="6"/>
      <c r="T1784" s="234"/>
      <c r="U1784" s="14">
        <f t="shared" si="768"/>
        <v>0</v>
      </c>
      <c r="V1784" s="212"/>
    </row>
    <row r="1785" spans="2:22" x14ac:dyDescent="0.15">
      <c r="B1785" s="4" t="s">
        <v>749</v>
      </c>
      <c r="C1785" s="233">
        <f>2+21</f>
        <v>23</v>
      </c>
      <c r="D1785" s="234">
        <v>2</v>
      </c>
      <c r="E1785" s="234">
        <f>1+1</f>
        <v>2</v>
      </c>
      <c r="F1785" s="220">
        <f t="shared" si="765"/>
        <v>27</v>
      </c>
      <c r="G1785" s="248">
        <v>45511</v>
      </c>
      <c r="H1785" s="4" t="s">
        <v>1318</v>
      </c>
      <c r="I1785" s="233">
        <v>5</v>
      </c>
      <c r="J1785" s="234">
        <v>10</v>
      </c>
      <c r="K1785" s="234"/>
      <c r="L1785" s="220">
        <f t="shared" si="766"/>
        <v>15</v>
      </c>
      <c r="M1785" s="211">
        <v>45523</v>
      </c>
      <c r="O1785" s="4"/>
      <c r="P1785" s="15"/>
      <c r="Q1785" s="14">
        <f t="shared" si="767"/>
        <v>0</v>
      </c>
      <c r="R1785" s="186"/>
      <c r="S1785" s="4"/>
      <c r="T1785" s="234"/>
      <c r="U1785" s="14">
        <f t="shared" si="768"/>
        <v>0</v>
      </c>
      <c r="V1785" s="209"/>
    </row>
    <row r="1786" spans="2:22" x14ac:dyDescent="0.15">
      <c r="B1786" s="4" t="s">
        <v>749</v>
      </c>
      <c r="C1786" s="233">
        <f>5+10</f>
        <v>15</v>
      </c>
      <c r="D1786" s="234">
        <f>1+4</f>
        <v>5</v>
      </c>
      <c r="E1786" s="234">
        <v>2</v>
      </c>
      <c r="F1786" s="220">
        <f t="shared" si="765"/>
        <v>22</v>
      </c>
      <c r="G1786" s="248">
        <v>45512</v>
      </c>
      <c r="H1786" s="4" t="s">
        <v>745</v>
      </c>
      <c r="I1786" s="233">
        <v>200</v>
      </c>
      <c r="J1786" s="234"/>
      <c r="K1786" s="234"/>
      <c r="L1786" s="220">
        <f t="shared" si="766"/>
        <v>200</v>
      </c>
      <c r="M1786" s="211">
        <v>45521</v>
      </c>
      <c r="O1786" s="4"/>
      <c r="P1786" s="15"/>
      <c r="Q1786" s="14">
        <f t="shared" si="767"/>
        <v>0</v>
      </c>
      <c r="R1786" s="186"/>
      <c r="S1786" s="4"/>
      <c r="T1786" s="234"/>
      <c r="U1786" s="14">
        <f t="shared" si="768"/>
        <v>0</v>
      </c>
      <c r="V1786" s="209"/>
    </row>
    <row r="1787" spans="2:22" x14ac:dyDescent="0.15">
      <c r="B1787" s="4" t="s">
        <v>749</v>
      </c>
      <c r="C1787" s="233">
        <f>1+10+3</f>
        <v>14</v>
      </c>
      <c r="D1787" s="234">
        <v>2</v>
      </c>
      <c r="E1787" s="234">
        <v>2</v>
      </c>
      <c r="F1787" s="220">
        <f t="shared" si="765"/>
        <v>18</v>
      </c>
      <c r="G1787" s="248">
        <v>45513</v>
      </c>
      <c r="H1787" s="4" t="s">
        <v>1319</v>
      </c>
      <c r="I1787" s="233">
        <v>7</v>
      </c>
      <c r="J1787" s="234">
        <v>6</v>
      </c>
      <c r="K1787" s="234"/>
      <c r="L1787" s="220">
        <f t="shared" si="766"/>
        <v>13</v>
      </c>
      <c r="M1787" s="211">
        <v>45530</v>
      </c>
      <c r="O1787" s="4"/>
      <c r="P1787" s="15"/>
      <c r="Q1787" s="14">
        <f t="shared" si="767"/>
        <v>0</v>
      </c>
      <c r="R1787" s="186"/>
      <c r="S1787" s="4"/>
      <c r="T1787" s="234"/>
      <c r="U1787" s="14">
        <f t="shared" si="768"/>
        <v>0</v>
      </c>
      <c r="V1787" s="209"/>
    </row>
    <row r="1788" spans="2:22" x14ac:dyDescent="0.15">
      <c r="B1788" s="4" t="s">
        <v>749</v>
      </c>
      <c r="C1788" s="233">
        <v>36</v>
      </c>
      <c r="D1788" s="234">
        <v>9</v>
      </c>
      <c r="E1788" s="234">
        <v>4</v>
      </c>
      <c r="F1788" s="220">
        <f t="shared" si="765"/>
        <v>49</v>
      </c>
      <c r="G1788" s="248">
        <v>45515</v>
      </c>
      <c r="H1788" s="4" t="s">
        <v>1320</v>
      </c>
      <c r="I1788" s="233"/>
      <c r="J1788" s="234">
        <v>30</v>
      </c>
      <c r="K1788" s="234">
        <v>8</v>
      </c>
      <c r="L1788" s="220">
        <f t="shared" si="766"/>
        <v>38</v>
      </c>
      <c r="M1788" s="211">
        <v>45526</v>
      </c>
      <c r="O1788" s="4"/>
      <c r="P1788" s="15"/>
      <c r="Q1788" s="14">
        <f t="shared" si="767"/>
        <v>0</v>
      </c>
      <c r="R1788" s="186"/>
      <c r="S1788" s="4"/>
      <c r="T1788" s="234"/>
      <c r="U1788" s="14">
        <f t="shared" si="768"/>
        <v>0</v>
      </c>
      <c r="V1788" s="209"/>
    </row>
    <row r="1789" spans="2:22" x14ac:dyDescent="0.15">
      <c r="B1789" s="4" t="s">
        <v>749</v>
      </c>
      <c r="C1789" s="233">
        <f>5+1+20+18+20+8</f>
        <v>72</v>
      </c>
      <c r="D1789" s="234">
        <f>6+8</f>
        <v>14</v>
      </c>
      <c r="E1789" s="234">
        <f>5+4</f>
        <v>9</v>
      </c>
      <c r="F1789" s="220">
        <f t="shared" si="765"/>
        <v>95</v>
      </c>
      <c r="G1789" s="248">
        <v>45520</v>
      </c>
      <c r="H1789" s="4" t="s">
        <v>1322</v>
      </c>
      <c r="I1789" s="233">
        <v>6</v>
      </c>
      <c r="J1789" s="234"/>
      <c r="K1789" s="234">
        <v>5</v>
      </c>
      <c r="L1789" s="220">
        <f t="shared" si="766"/>
        <v>11</v>
      </c>
      <c r="M1789" s="211">
        <v>45527</v>
      </c>
      <c r="O1789" s="4"/>
      <c r="P1789" s="15"/>
      <c r="Q1789" s="14">
        <f t="shared" si="767"/>
        <v>0</v>
      </c>
      <c r="R1789" s="186"/>
      <c r="S1789" s="4"/>
      <c r="T1789" s="234"/>
      <c r="U1789" s="14">
        <f t="shared" si="768"/>
        <v>0</v>
      </c>
      <c r="V1789" s="209"/>
    </row>
    <row r="1790" spans="2:22" x14ac:dyDescent="0.15">
      <c r="B1790" s="4" t="s">
        <v>749</v>
      </c>
      <c r="C1790" s="233"/>
      <c r="D1790" s="234">
        <v>1</v>
      </c>
      <c r="E1790" s="234"/>
      <c r="F1790" s="220">
        <f t="shared" si="765"/>
        <v>1</v>
      </c>
      <c r="G1790" s="248">
        <v>45521</v>
      </c>
      <c r="H1790" s="4" t="s">
        <v>1323</v>
      </c>
      <c r="I1790" s="233">
        <v>2</v>
      </c>
      <c r="J1790" s="234">
        <v>5</v>
      </c>
      <c r="K1790" s="234">
        <v>10</v>
      </c>
      <c r="L1790" s="220">
        <f t="shared" si="766"/>
        <v>17</v>
      </c>
      <c r="M1790" s="211">
        <v>45528</v>
      </c>
      <c r="O1790" s="6"/>
      <c r="P1790" s="15"/>
      <c r="Q1790" s="14">
        <f t="shared" si="767"/>
        <v>0</v>
      </c>
      <c r="R1790" s="186"/>
      <c r="S1790" s="6"/>
      <c r="T1790" s="234"/>
      <c r="U1790" s="14">
        <f t="shared" si="768"/>
        <v>0</v>
      </c>
      <c r="V1790" s="209"/>
    </row>
    <row r="1791" spans="2:22" x14ac:dyDescent="0.15">
      <c r="B1791" s="4" t="s">
        <v>749</v>
      </c>
      <c r="C1791" s="233">
        <f>3+8</f>
        <v>11</v>
      </c>
      <c r="D1791" s="234">
        <v>3</v>
      </c>
      <c r="E1791" s="234">
        <v>2</v>
      </c>
      <c r="F1791" s="220">
        <f t="shared" si="765"/>
        <v>16</v>
      </c>
      <c r="G1791" s="248">
        <v>45523</v>
      </c>
      <c r="H1791" s="4"/>
      <c r="I1791" s="233"/>
      <c r="J1791" s="234"/>
      <c r="K1791" s="234"/>
      <c r="L1791" s="220">
        <f t="shared" si="766"/>
        <v>0</v>
      </c>
      <c r="O1791" s="6"/>
      <c r="P1791" s="15"/>
      <c r="Q1791" s="14">
        <f t="shared" si="767"/>
        <v>0</v>
      </c>
      <c r="R1791" s="186"/>
      <c r="S1791" s="6"/>
      <c r="T1791" s="234"/>
      <c r="U1791" s="14">
        <f t="shared" si="768"/>
        <v>0</v>
      </c>
      <c r="V1791" s="209"/>
    </row>
    <row r="1792" spans="2:22" x14ac:dyDescent="0.15">
      <c r="B1792" s="4" t="s">
        <v>749</v>
      </c>
      <c r="C1792" s="233">
        <v>4</v>
      </c>
      <c r="D1792" s="234">
        <f>1+1</f>
        <v>2</v>
      </c>
      <c r="E1792" s="234"/>
      <c r="F1792" s="220">
        <f t="shared" si="765"/>
        <v>6</v>
      </c>
      <c r="G1792" s="248">
        <v>45524</v>
      </c>
      <c r="H1792" s="4"/>
      <c r="I1792" s="233"/>
      <c r="J1792" s="234"/>
      <c r="K1792" s="234"/>
      <c r="L1792" s="220">
        <f t="shared" si="766"/>
        <v>0</v>
      </c>
      <c r="O1792" s="4"/>
      <c r="P1792" s="15"/>
      <c r="Q1792" s="14">
        <f t="shared" si="767"/>
        <v>0</v>
      </c>
      <c r="R1792" s="186"/>
      <c r="S1792" s="6"/>
      <c r="T1792" s="234"/>
      <c r="U1792" s="14">
        <f t="shared" si="768"/>
        <v>0</v>
      </c>
      <c r="V1792" s="209"/>
    </row>
    <row r="1793" spans="2:22" x14ac:dyDescent="0.15">
      <c r="B1793" s="4" t="s">
        <v>749</v>
      </c>
      <c r="C1793" s="233">
        <f>1+5</f>
        <v>6</v>
      </c>
      <c r="D1793" s="234">
        <v>1</v>
      </c>
      <c r="E1793" s="234"/>
      <c r="F1793" s="220">
        <f t="shared" si="765"/>
        <v>7</v>
      </c>
      <c r="G1793" s="248">
        <v>45525</v>
      </c>
      <c r="H1793" s="4"/>
      <c r="I1793" s="233"/>
      <c r="J1793" s="234"/>
      <c r="K1793" s="234"/>
      <c r="L1793" s="220">
        <f t="shared" si="766"/>
        <v>0</v>
      </c>
      <c r="O1793" s="4"/>
      <c r="P1793" s="15"/>
      <c r="Q1793" s="14">
        <f t="shared" si="767"/>
        <v>0</v>
      </c>
      <c r="R1793" s="186"/>
      <c r="S1793" s="6"/>
      <c r="T1793" s="234"/>
      <c r="U1793" s="14">
        <f t="shared" si="768"/>
        <v>0</v>
      </c>
      <c r="V1793" s="209"/>
    </row>
    <row r="1794" spans="2:22" x14ac:dyDescent="0.15">
      <c r="B1794" s="4" t="s">
        <v>749</v>
      </c>
      <c r="C1794" s="233">
        <v>4</v>
      </c>
      <c r="D1794" s="234">
        <v>2</v>
      </c>
      <c r="E1794" s="234"/>
      <c r="F1794" s="220">
        <f t="shared" si="765"/>
        <v>6</v>
      </c>
      <c r="G1794" s="248">
        <v>45526</v>
      </c>
      <c r="H1794" s="4"/>
      <c r="I1794" s="233"/>
      <c r="J1794" s="234"/>
      <c r="K1794" s="234"/>
      <c r="L1794" s="220">
        <f t="shared" si="766"/>
        <v>0</v>
      </c>
      <c r="O1794" s="4"/>
      <c r="P1794" s="15"/>
      <c r="Q1794" s="14">
        <f t="shared" si="767"/>
        <v>0</v>
      </c>
      <c r="R1794" s="186"/>
      <c r="S1794" s="6"/>
      <c r="T1794" s="234"/>
      <c r="U1794" s="14">
        <f t="shared" si="768"/>
        <v>0</v>
      </c>
      <c r="V1794" s="209"/>
    </row>
    <row r="1795" spans="2:22" x14ac:dyDescent="0.15">
      <c r="B1795" s="4" t="s">
        <v>749</v>
      </c>
      <c r="C1795" s="233">
        <v>3</v>
      </c>
      <c r="D1795" s="234">
        <v>1</v>
      </c>
      <c r="E1795" s="234"/>
      <c r="F1795" s="220">
        <f t="shared" si="765"/>
        <v>4</v>
      </c>
      <c r="G1795" s="248">
        <v>45527</v>
      </c>
      <c r="H1795" s="4"/>
      <c r="I1795" s="233"/>
      <c r="J1795" s="234"/>
      <c r="K1795" s="234"/>
      <c r="L1795" s="220">
        <f t="shared" si="766"/>
        <v>0</v>
      </c>
      <c r="O1795" s="6"/>
      <c r="P1795" s="15"/>
      <c r="Q1795" s="14">
        <f t="shared" si="767"/>
        <v>0</v>
      </c>
      <c r="R1795" s="186"/>
      <c r="S1795" s="6"/>
      <c r="T1795" s="234"/>
      <c r="U1795" s="14">
        <f t="shared" si="768"/>
        <v>0</v>
      </c>
      <c r="V1795" s="209"/>
    </row>
    <row r="1796" spans="2:22" x14ac:dyDescent="0.15">
      <c r="B1796" s="4" t="s">
        <v>749</v>
      </c>
      <c r="C1796" s="233">
        <f>10+1+18+1</f>
        <v>30</v>
      </c>
      <c r="D1796" s="234">
        <f>1+2</f>
        <v>3</v>
      </c>
      <c r="E1796" s="234">
        <f>1+1</f>
        <v>2</v>
      </c>
      <c r="F1796" s="220">
        <f t="shared" si="765"/>
        <v>35</v>
      </c>
      <c r="G1796" s="248">
        <v>45530</v>
      </c>
      <c r="H1796" s="4"/>
      <c r="I1796" s="233"/>
      <c r="J1796" s="234"/>
      <c r="K1796" s="234"/>
      <c r="L1796" s="220">
        <f t="shared" si="766"/>
        <v>0</v>
      </c>
      <c r="O1796" s="4"/>
      <c r="P1796" s="15"/>
      <c r="Q1796" s="14">
        <f t="shared" si="767"/>
        <v>0</v>
      </c>
      <c r="R1796" s="186"/>
      <c r="S1796" s="6"/>
      <c r="T1796" s="234"/>
      <c r="U1796" s="14">
        <f t="shared" si="768"/>
        <v>0</v>
      </c>
      <c r="V1796" s="209"/>
    </row>
    <row r="1797" spans="2:22" x14ac:dyDescent="0.15">
      <c r="B1797" s="4" t="s">
        <v>749</v>
      </c>
      <c r="C1797" s="233">
        <v>1</v>
      </c>
      <c r="D1797" s="234"/>
      <c r="E1797" s="234">
        <v>1</v>
      </c>
      <c r="F1797" s="220">
        <f t="shared" si="765"/>
        <v>2</v>
      </c>
      <c r="G1797" s="248">
        <v>45531</v>
      </c>
      <c r="H1797" s="4"/>
      <c r="I1797" s="233"/>
      <c r="J1797" s="234"/>
      <c r="K1797" s="234"/>
      <c r="L1797" s="220">
        <f t="shared" si="766"/>
        <v>0</v>
      </c>
      <c r="O1797" s="6"/>
      <c r="P1797" s="15"/>
      <c r="Q1797" s="14">
        <f t="shared" si="767"/>
        <v>0</v>
      </c>
      <c r="R1797" s="186"/>
      <c r="S1797" s="6"/>
      <c r="T1797" s="234"/>
      <c r="U1797" s="14">
        <f t="shared" ref="U1797:U1799" si="769">SUM(T1797:T1797)</f>
        <v>0</v>
      </c>
      <c r="V1797" s="209"/>
    </row>
    <row r="1798" spans="2:22" x14ac:dyDescent="0.15">
      <c r="B1798" s="4" t="s">
        <v>749</v>
      </c>
      <c r="C1798" s="233">
        <v>4</v>
      </c>
      <c r="D1798" s="234">
        <v>2</v>
      </c>
      <c r="E1798" s="234">
        <v>2</v>
      </c>
      <c r="F1798" s="220">
        <f t="shared" si="765"/>
        <v>8</v>
      </c>
      <c r="G1798" s="248">
        <v>45532</v>
      </c>
      <c r="H1798" s="4"/>
      <c r="I1798" s="233"/>
      <c r="J1798" s="234"/>
      <c r="K1798" s="234"/>
      <c r="L1798" s="220">
        <f t="shared" ref="L1798" si="770">SUM(I1798:K1798)</f>
        <v>0</v>
      </c>
      <c r="O1798" s="4"/>
      <c r="P1798" s="15"/>
      <c r="Q1798" s="14">
        <f t="shared" si="767"/>
        <v>0</v>
      </c>
      <c r="R1798" s="186"/>
      <c r="S1798" s="6"/>
      <c r="T1798" s="234"/>
      <c r="U1798" s="14">
        <f t="shared" si="769"/>
        <v>0</v>
      </c>
      <c r="V1798" s="209"/>
    </row>
    <row r="1799" spans="2:22" x14ac:dyDescent="0.15">
      <c r="B1799" s="4" t="s">
        <v>749</v>
      </c>
      <c r="C1799" s="233">
        <v>2</v>
      </c>
      <c r="D1799" s="234">
        <v>3</v>
      </c>
      <c r="E1799" s="234">
        <v>1</v>
      </c>
      <c r="F1799" s="220">
        <f t="shared" si="765"/>
        <v>6</v>
      </c>
      <c r="G1799" s="248">
        <v>45533</v>
      </c>
      <c r="H1799" s="4"/>
      <c r="I1799" s="233"/>
      <c r="J1799" s="234"/>
      <c r="K1799" s="234"/>
      <c r="L1799" s="220">
        <f t="shared" ref="L1799" si="771">SUM(I1799:K1799)</f>
        <v>0</v>
      </c>
      <c r="O1799" s="4"/>
      <c r="P1799" s="15"/>
      <c r="Q1799" s="14">
        <f t="shared" si="767"/>
        <v>0</v>
      </c>
      <c r="R1799" s="186"/>
      <c r="S1799" s="6"/>
      <c r="T1799" s="234"/>
      <c r="U1799" s="14">
        <f t="shared" si="769"/>
        <v>0</v>
      </c>
    </row>
    <row r="1800" spans="2:22" x14ac:dyDescent="0.15">
      <c r="B1800" s="4" t="s">
        <v>749</v>
      </c>
      <c r="C1800" s="233">
        <v>2</v>
      </c>
      <c r="D1800" s="234">
        <v>1</v>
      </c>
      <c r="E1800" s="234"/>
      <c r="F1800" s="220">
        <f t="shared" si="765"/>
        <v>3</v>
      </c>
      <c r="G1800" s="248">
        <v>45534</v>
      </c>
      <c r="H1800" s="247" t="s">
        <v>1275</v>
      </c>
      <c r="I1800" s="258"/>
      <c r="J1800" s="275"/>
      <c r="K1800" s="275"/>
      <c r="L1800" s="250">
        <f t="shared" ref="L1800:L1802" si="772">SUM(I1800:K1800)</f>
        <v>0</v>
      </c>
      <c r="M1800" s="212"/>
      <c r="O1800" s="4"/>
      <c r="P1800" s="15"/>
      <c r="Q1800" s="14">
        <f t="shared" si="767"/>
        <v>0</v>
      </c>
      <c r="R1800" s="186"/>
      <c r="S1800" s="4" t="s">
        <v>1295</v>
      </c>
      <c r="T1800" s="234"/>
      <c r="U1800" s="14">
        <f t="shared" ref="U1800" si="773">SUM(T1800:T1800)</f>
        <v>0</v>
      </c>
      <c r="V1800" s="212" t="s">
        <v>1296</v>
      </c>
    </row>
    <row r="1801" spans="2:22" x14ac:dyDescent="0.15">
      <c r="B1801" s="4"/>
      <c r="C1801" s="233"/>
      <c r="D1801" s="234"/>
      <c r="E1801" s="234"/>
      <c r="F1801" s="220">
        <f t="shared" si="765"/>
        <v>0</v>
      </c>
      <c r="H1801" s="6" t="s">
        <v>1276</v>
      </c>
      <c r="I1801" s="233"/>
      <c r="J1801" s="234"/>
      <c r="K1801" s="234"/>
      <c r="L1801" s="220">
        <f t="shared" si="772"/>
        <v>0</v>
      </c>
      <c r="M1801" s="212" t="s">
        <v>1277</v>
      </c>
      <c r="O1801" s="6"/>
      <c r="P1801" s="15"/>
      <c r="Q1801" s="14">
        <f t="shared" si="767"/>
        <v>0</v>
      </c>
      <c r="R1801" s="186"/>
      <c r="S1801" s="247" t="s">
        <v>1275</v>
      </c>
      <c r="T1801" s="275"/>
      <c r="U1801" s="255">
        <f t="shared" si="768"/>
        <v>0</v>
      </c>
      <c r="V1801" s="186"/>
    </row>
    <row r="1802" spans="2:22" ht="14.25" thickBot="1" x14ac:dyDescent="0.2">
      <c r="B1802" s="6"/>
      <c r="C1802" s="235"/>
      <c r="D1802" s="234"/>
      <c r="E1802" s="234"/>
      <c r="F1802" s="220">
        <f t="shared" si="765"/>
        <v>0</v>
      </c>
      <c r="H1802" s="4" t="s">
        <v>1295</v>
      </c>
      <c r="I1802" s="233"/>
      <c r="J1802" s="234"/>
      <c r="K1802" s="234"/>
      <c r="L1802" s="220">
        <f t="shared" si="772"/>
        <v>0</v>
      </c>
      <c r="M1802" s="212" t="s">
        <v>1296</v>
      </c>
      <c r="O1802" s="6"/>
      <c r="P1802" s="15"/>
      <c r="Q1802" s="14">
        <f t="shared" si="767"/>
        <v>0</v>
      </c>
      <c r="R1802" s="186"/>
      <c r="S1802" s="6" t="s">
        <v>1276</v>
      </c>
      <c r="T1802" s="234"/>
      <c r="U1802" s="14">
        <f t="shared" si="768"/>
        <v>0</v>
      </c>
      <c r="V1802" s="212" t="s">
        <v>1277</v>
      </c>
    </row>
    <row r="1803" spans="2:22" ht="14.25" thickBot="1" x14ac:dyDescent="0.2">
      <c r="B1803" s="3" t="s">
        <v>5</v>
      </c>
      <c r="C1803" s="16">
        <f>SUM(C1779:C1802)</f>
        <v>405</v>
      </c>
      <c r="D1803" s="16">
        <f>SUM(D1779:D1802)</f>
        <v>101</v>
      </c>
      <c r="E1803" s="16">
        <f>SUM(E1779:E1802)</f>
        <v>65</v>
      </c>
      <c r="F1803" s="223">
        <f>SUM(F1779:F1802)</f>
        <v>571</v>
      </c>
      <c r="H1803" s="3" t="s">
        <v>5</v>
      </c>
      <c r="I1803" s="16">
        <f>SUM(I1779:I1802)</f>
        <v>1220</v>
      </c>
      <c r="J1803" s="16">
        <f t="shared" ref="J1803" si="774">SUM(J1779:J1802)</f>
        <v>153</v>
      </c>
      <c r="K1803" s="16">
        <f t="shared" ref="K1803" si="775">SUM(K1779:K1802)</f>
        <v>123</v>
      </c>
      <c r="L1803" s="223">
        <f>SUM(L1779:L1802)</f>
        <v>1496</v>
      </c>
      <c r="O1803" s="3" t="s">
        <v>5</v>
      </c>
      <c r="P1803" s="16">
        <f>SUM(P1779:P1802)</f>
        <v>0</v>
      </c>
      <c r="Q1803" s="17">
        <f>SUM(Q1779:Q1802)</f>
        <v>0</v>
      </c>
      <c r="S1803" s="3" t="s">
        <v>5</v>
      </c>
      <c r="T1803" s="16">
        <f>SUM(T1779:T1802)</f>
        <v>200</v>
      </c>
      <c r="U1803" s="17">
        <f>SUM(U1779:U1802)</f>
        <v>200</v>
      </c>
    </row>
    <row r="1804" spans="2:22" ht="14.25" thickBot="1" x14ac:dyDescent="0.2">
      <c r="B1804" s="18" t="s">
        <v>6</v>
      </c>
      <c r="C1804" s="19">
        <f>C1778-C1803</f>
        <v>411</v>
      </c>
      <c r="D1804" s="19">
        <f>D1778-D1803</f>
        <v>90</v>
      </c>
      <c r="E1804" s="19">
        <f t="shared" ref="E1804" si="776">E1778-E1803</f>
        <v>171</v>
      </c>
      <c r="F1804" s="221">
        <f>F1778-F1803</f>
        <v>672</v>
      </c>
      <c r="H1804" s="18" t="s">
        <v>6</v>
      </c>
      <c r="I1804" s="19">
        <f>I1778-I1803</f>
        <v>7974</v>
      </c>
      <c r="J1804" s="19">
        <f t="shared" ref="J1804" si="777">J1778-J1803</f>
        <v>2279</v>
      </c>
      <c r="K1804" s="19">
        <f t="shared" ref="K1804" si="778">K1778-K1803</f>
        <v>2128</v>
      </c>
      <c r="L1804" s="221">
        <f>L1778-L1803</f>
        <v>12492</v>
      </c>
      <c r="O1804" s="18" t="s">
        <v>6</v>
      </c>
      <c r="P1804" s="19">
        <f>P1778-P1803</f>
        <v>0</v>
      </c>
      <c r="Q1804" s="13">
        <f>Q1778-Q1803</f>
        <v>0</v>
      </c>
      <c r="S1804" s="18" t="s">
        <v>6</v>
      </c>
      <c r="T1804" s="19">
        <f>T1778-T1803</f>
        <v>1423</v>
      </c>
      <c r="U1804" s="13">
        <f>U1778-U1803</f>
        <v>1423</v>
      </c>
    </row>
    <row r="1807" spans="2:22" ht="18" thickBot="1" x14ac:dyDescent="0.25">
      <c r="B1807" s="27" t="s">
        <v>739</v>
      </c>
      <c r="C1807" s="28"/>
      <c r="D1807" s="28"/>
      <c r="E1807" s="28"/>
      <c r="F1807" s="218"/>
      <c r="H1807" s="27" t="s">
        <v>740</v>
      </c>
      <c r="I1807" s="279"/>
      <c r="J1807" s="279"/>
      <c r="K1807" s="22"/>
      <c r="L1807" s="278"/>
      <c r="O1807" s="181" t="s">
        <v>737</v>
      </c>
      <c r="P1807" s="182"/>
      <c r="Q1807" s="182"/>
      <c r="R1807" s="183"/>
      <c r="S1807" s="181" t="s">
        <v>733</v>
      </c>
      <c r="T1807" s="182"/>
      <c r="U1807" s="182"/>
    </row>
    <row r="1808" spans="2:22" ht="14.25" thickBot="1" x14ac:dyDescent="0.2">
      <c r="B1808" s="2"/>
      <c r="C1808" s="194" t="s">
        <v>734</v>
      </c>
      <c r="D1808" s="195" t="s">
        <v>706</v>
      </c>
      <c r="E1808" s="2" t="s">
        <v>735</v>
      </c>
      <c r="F1808" s="219" t="s">
        <v>1</v>
      </c>
      <c r="H1808" s="2"/>
      <c r="I1808" s="197" t="s">
        <v>734</v>
      </c>
      <c r="J1808" s="195" t="s">
        <v>706</v>
      </c>
      <c r="K1808" s="201" t="s">
        <v>735</v>
      </c>
      <c r="L1808" s="219" t="s">
        <v>1</v>
      </c>
      <c r="O1808" s="2"/>
      <c r="P1808" s="3" t="s">
        <v>722</v>
      </c>
      <c r="Q1808" s="2" t="s">
        <v>1</v>
      </c>
      <c r="S1808" s="2"/>
      <c r="T1808" s="3" t="s">
        <v>722</v>
      </c>
      <c r="U1808" s="2" t="s">
        <v>1</v>
      </c>
    </row>
    <row r="1809" spans="2:22" x14ac:dyDescent="0.15">
      <c r="B1809" s="164" t="s">
        <v>26</v>
      </c>
      <c r="C1809" s="200">
        <f>C1804</f>
        <v>411</v>
      </c>
      <c r="D1809" s="164">
        <f t="shared" ref="D1809:F1809" si="779">D1804</f>
        <v>90</v>
      </c>
      <c r="E1809" s="164">
        <f t="shared" si="779"/>
        <v>171</v>
      </c>
      <c r="F1809" s="222">
        <f t="shared" si="779"/>
        <v>672</v>
      </c>
      <c r="H1809" s="164" t="s">
        <v>26</v>
      </c>
      <c r="I1809" s="200">
        <f>I1804</f>
        <v>7974</v>
      </c>
      <c r="J1809" s="164">
        <f t="shared" ref="J1809:L1809" si="780">J1804</f>
        <v>2279</v>
      </c>
      <c r="K1809" s="200">
        <f t="shared" si="780"/>
        <v>2128</v>
      </c>
      <c r="L1809" s="222">
        <f t="shared" si="780"/>
        <v>12492</v>
      </c>
      <c r="O1809" s="171" t="s">
        <v>26</v>
      </c>
      <c r="P1809" s="200">
        <f>P1804</f>
        <v>0</v>
      </c>
      <c r="Q1809" s="180">
        <f>Q1804</f>
        <v>0</v>
      </c>
      <c r="R1809" s="185"/>
      <c r="S1809" s="43" t="s">
        <v>26</v>
      </c>
      <c r="T1809" s="38">
        <f>T1804</f>
        <v>1423</v>
      </c>
      <c r="U1809" s="39">
        <f>U1804</f>
        <v>1423</v>
      </c>
    </row>
    <row r="1810" spans="2:22" x14ac:dyDescent="0.15">
      <c r="B1810" s="6" t="s">
        <v>3</v>
      </c>
      <c r="C1810" s="188"/>
      <c r="D1810" s="225"/>
      <c r="E1810" s="243"/>
      <c r="F1810" s="220">
        <f t="shared" ref="F1810:F1819" si="781">SUM(C1810:E1810)</f>
        <v>0</v>
      </c>
      <c r="H1810" s="6" t="s">
        <v>968</v>
      </c>
      <c r="I1810" s="188">
        <v>2</v>
      </c>
      <c r="J1810" s="225">
        <v>5</v>
      </c>
      <c r="K1810" s="243">
        <v>1</v>
      </c>
      <c r="L1810" s="220">
        <f t="shared" ref="L1810:L1819" si="782">SUM(I1810:K1810)</f>
        <v>8</v>
      </c>
      <c r="M1810" s="248">
        <v>45538</v>
      </c>
      <c r="O1810" s="6" t="s">
        <v>3</v>
      </c>
      <c r="P1810" s="7"/>
      <c r="Q1810" s="5">
        <f t="shared" ref="Q1810:Q1819" si="783">SUM(P1810:P1810)</f>
        <v>0</v>
      </c>
      <c r="R1810" s="186"/>
      <c r="S1810" s="6" t="s">
        <v>968</v>
      </c>
      <c r="T1810" s="7">
        <v>7</v>
      </c>
      <c r="U1810" s="5">
        <f t="shared" ref="U1810:U1819" si="784">SUM(T1810:T1810)</f>
        <v>7</v>
      </c>
      <c r="V1810" s="211">
        <v>45538</v>
      </c>
    </row>
    <row r="1811" spans="2:22" x14ac:dyDescent="0.15">
      <c r="B1811" s="6" t="s">
        <v>3</v>
      </c>
      <c r="C1811" s="188"/>
      <c r="D1811" s="225"/>
      <c r="E1811" s="243"/>
      <c r="F1811" s="220">
        <f t="shared" si="781"/>
        <v>0</v>
      </c>
      <c r="H1811" s="6" t="s">
        <v>840</v>
      </c>
      <c r="I1811" s="188"/>
      <c r="J1811" s="225"/>
      <c r="K1811" s="243">
        <v>100</v>
      </c>
      <c r="L1811" s="220">
        <f t="shared" si="782"/>
        <v>100</v>
      </c>
      <c r="M1811" s="211">
        <v>45570</v>
      </c>
      <c r="O1811" s="6" t="s">
        <v>3</v>
      </c>
      <c r="P1811" s="7"/>
      <c r="Q1811" s="5">
        <f t="shared" si="783"/>
        <v>0</v>
      </c>
      <c r="R1811" s="186"/>
      <c r="S1811" s="6" t="s">
        <v>3</v>
      </c>
      <c r="T1811" s="7"/>
      <c r="U1811" s="5">
        <f t="shared" si="784"/>
        <v>0</v>
      </c>
      <c r="V1811" s="212"/>
    </row>
    <row r="1812" spans="2:22" x14ac:dyDescent="0.15">
      <c r="B1812" s="6" t="s">
        <v>3</v>
      </c>
      <c r="C1812" s="188"/>
      <c r="D1812" s="225"/>
      <c r="E1812" s="243"/>
      <c r="F1812" s="220">
        <f t="shared" si="781"/>
        <v>0</v>
      </c>
      <c r="G1812" s="211"/>
      <c r="H1812" s="6" t="s">
        <v>64</v>
      </c>
      <c r="I1812" s="188">
        <v>146</v>
      </c>
      <c r="J1812" s="225"/>
      <c r="K1812" s="243"/>
      <c r="L1812" s="220">
        <f t="shared" si="782"/>
        <v>146</v>
      </c>
      <c r="M1812" s="211">
        <v>45569</v>
      </c>
      <c r="O1812" s="6" t="s">
        <v>3</v>
      </c>
      <c r="P1812" s="7"/>
      <c r="Q1812" s="5">
        <f t="shared" si="783"/>
        <v>0</v>
      </c>
      <c r="R1812" s="186"/>
      <c r="S1812" s="6" t="s">
        <v>64</v>
      </c>
      <c r="T1812" s="7">
        <v>104</v>
      </c>
      <c r="U1812" s="5">
        <f t="shared" si="784"/>
        <v>104</v>
      </c>
      <c r="V1812" s="211">
        <v>45569</v>
      </c>
    </row>
    <row r="1813" spans="2:22" x14ac:dyDescent="0.15">
      <c r="B1813" s="6" t="s">
        <v>3</v>
      </c>
      <c r="C1813" s="188"/>
      <c r="D1813" s="225"/>
      <c r="E1813" s="243"/>
      <c r="F1813" s="220">
        <f t="shared" si="781"/>
        <v>0</v>
      </c>
      <c r="G1813" s="212"/>
      <c r="H1813" s="6" t="s">
        <v>3</v>
      </c>
      <c r="I1813" s="188"/>
      <c r="J1813" s="225"/>
      <c r="K1813" s="243"/>
      <c r="L1813" s="220">
        <f t="shared" si="782"/>
        <v>0</v>
      </c>
      <c r="M1813" s="212"/>
      <c r="O1813" s="6" t="s">
        <v>3</v>
      </c>
      <c r="P1813" s="7"/>
      <c r="Q1813" s="5">
        <f t="shared" si="783"/>
        <v>0</v>
      </c>
      <c r="R1813" s="186"/>
      <c r="S1813" s="6" t="s">
        <v>3</v>
      </c>
      <c r="T1813" s="7"/>
      <c r="U1813" s="5">
        <f t="shared" si="784"/>
        <v>0</v>
      </c>
      <c r="V1813" s="212"/>
    </row>
    <row r="1814" spans="2:22" x14ac:dyDescent="0.15">
      <c r="B1814" s="6" t="s">
        <v>3</v>
      </c>
      <c r="C1814" s="188"/>
      <c r="D1814" s="225"/>
      <c r="E1814" s="243"/>
      <c r="F1814" s="220">
        <f t="shared" si="781"/>
        <v>0</v>
      </c>
      <c r="H1814" s="6" t="s">
        <v>3</v>
      </c>
      <c r="I1814" s="188"/>
      <c r="J1814" s="225"/>
      <c r="K1814" s="243"/>
      <c r="L1814" s="220">
        <f t="shared" si="782"/>
        <v>0</v>
      </c>
      <c r="O1814" s="6" t="s">
        <v>3</v>
      </c>
      <c r="P1814" s="7"/>
      <c r="Q1814" s="5">
        <f t="shared" si="783"/>
        <v>0</v>
      </c>
      <c r="R1814" s="186"/>
      <c r="S1814" s="6" t="s">
        <v>3</v>
      </c>
      <c r="T1814" s="7"/>
      <c r="U1814" s="5">
        <f t="shared" si="784"/>
        <v>0</v>
      </c>
      <c r="V1814" s="212"/>
    </row>
    <row r="1815" spans="2:22" x14ac:dyDescent="0.15">
      <c r="B1815" s="6" t="s">
        <v>3</v>
      </c>
      <c r="C1815" s="188"/>
      <c r="D1815" s="6"/>
      <c r="E1815" s="202"/>
      <c r="F1815" s="220">
        <f t="shared" si="781"/>
        <v>0</v>
      </c>
      <c r="H1815" s="6" t="s">
        <v>3</v>
      </c>
      <c r="I1815" s="188"/>
      <c r="J1815" s="6"/>
      <c r="K1815" s="202"/>
      <c r="L1815" s="220">
        <f t="shared" si="782"/>
        <v>0</v>
      </c>
      <c r="O1815" s="6" t="s">
        <v>3</v>
      </c>
      <c r="P1815" s="7"/>
      <c r="Q1815" s="5">
        <f t="shared" si="783"/>
        <v>0</v>
      </c>
      <c r="R1815" s="186"/>
      <c r="S1815" s="6" t="s">
        <v>3</v>
      </c>
      <c r="T1815" s="7"/>
      <c r="U1815" s="5">
        <f t="shared" si="784"/>
        <v>0</v>
      </c>
      <c r="V1815" s="212"/>
    </row>
    <row r="1816" spans="2:22" x14ac:dyDescent="0.15">
      <c r="B1816" s="6" t="s">
        <v>3</v>
      </c>
      <c r="C1816" s="188"/>
      <c r="D1816" s="225"/>
      <c r="E1816" s="243"/>
      <c r="F1816" s="220">
        <f t="shared" si="781"/>
        <v>0</v>
      </c>
      <c r="H1816" s="6" t="s">
        <v>3</v>
      </c>
      <c r="I1816" s="188"/>
      <c r="J1816" s="225"/>
      <c r="K1816" s="243"/>
      <c r="L1816" s="220">
        <f t="shared" si="782"/>
        <v>0</v>
      </c>
      <c r="O1816" s="6" t="s">
        <v>3</v>
      </c>
      <c r="P1816" s="8"/>
      <c r="Q1816" s="5">
        <f t="shared" si="783"/>
        <v>0</v>
      </c>
      <c r="R1816" s="186"/>
      <c r="S1816" s="6" t="s">
        <v>3</v>
      </c>
      <c r="T1816" s="8"/>
      <c r="U1816" s="5">
        <f t="shared" si="784"/>
        <v>0</v>
      </c>
      <c r="V1816" s="212"/>
    </row>
    <row r="1817" spans="2:22" x14ac:dyDescent="0.15">
      <c r="B1817" s="6" t="s">
        <v>3</v>
      </c>
      <c r="C1817" s="188"/>
      <c r="D1817" s="225"/>
      <c r="E1817" s="243"/>
      <c r="F1817" s="220">
        <f t="shared" si="781"/>
        <v>0</v>
      </c>
      <c r="H1817" s="6" t="s">
        <v>3</v>
      </c>
      <c r="I1817" s="188"/>
      <c r="J1817" s="225"/>
      <c r="K1817" s="243"/>
      <c r="L1817" s="220">
        <f t="shared" si="782"/>
        <v>0</v>
      </c>
      <c r="O1817" s="6" t="s">
        <v>3</v>
      </c>
      <c r="P1817" s="8"/>
      <c r="Q1817" s="5">
        <f t="shared" si="783"/>
        <v>0</v>
      </c>
      <c r="R1817" s="186"/>
      <c r="S1817" s="6" t="s">
        <v>3</v>
      </c>
      <c r="T1817" s="8"/>
      <c r="U1817" s="5">
        <f t="shared" si="784"/>
        <v>0</v>
      </c>
      <c r="V1817" s="212"/>
    </row>
    <row r="1818" spans="2:22" x14ac:dyDescent="0.15">
      <c r="B1818" s="6" t="s">
        <v>3</v>
      </c>
      <c r="C1818" s="188"/>
      <c r="D1818" s="225"/>
      <c r="E1818" s="243"/>
      <c r="F1818" s="220">
        <f t="shared" si="781"/>
        <v>0</v>
      </c>
      <c r="H1818" s="6" t="s">
        <v>3</v>
      </c>
      <c r="I1818" s="188"/>
      <c r="J1818" s="225"/>
      <c r="K1818" s="243"/>
      <c r="L1818" s="220">
        <f t="shared" si="782"/>
        <v>0</v>
      </c>
      <c r="O1818" s="6" t="s">
        <v>3</v>
      </c>
      <c r="P1818" s="8"/>
      <c r="Q1818" s="5">
        <f t="shared" si="783"/>
        <v>0</v>
      </c>
      <c r="R1818" s="186"/>
      <c r="S1818" s="6" t="s">
        <v>3</v>
      </c>
      <c r="T1818" s="8"/>
      <c r="U1818" s="5">
        <f t="shared" si="784"/>
        <v>0</v>
      </c>
      <c r="V1818" s="212"/>
    </row>
    <row r="1819" spans="2:22" ht="14.25" thickBot="1" x14ac:dyDescent="0.2">
      <c r="B1819" s="9" t="s">
        <v>3</v>
      </c>
      <c r="C1819" s="198"/>
      <c r="D1819" s="244"/>
      <c r="E1819" s="245"/>
      <c r="F1819" s="220">
        <f t="shared" si="781"/>
        <v>0</v>
      </c>
      <c r="H1819" s="9" t="s">
        <v>3</v>
      </c>
      <c r="I1819" s="198"/>
      <c r="J1819" s="244"/>
      <c r="K1819" s="245"/>
      <c r="L1819" s="220">
        <f t="shared" si="782"/>
        <v>0</v>
      </c>
      <c r="O1819" s="9" t="s">
        <v>3</v>
      </c>
      <c r="P1819" s="10"/>
      <c r="Q1819" s="5">
        <f t="shared" si="783"/>
        <v>0</v>
      </c>
      <c r="R1819" s="186"/>
      <c r="S1819" s="9" t="s">
        <v>3</v>
      </c>
      <c r="T1819" s="10"/>
      <c r="U1819" s="5">
        <f t="shared" si="784"/>
        <v>0</v>
      </c>
      <c r="V1819" s="212"/>
    </row>
    <row r="1820" spans="2:22" ht="14.25" thickBot="1" x14ac:dyDescent="0.2">
      <c r="B1820" s="11" t="s">
        <v>4</v>
      </c>
      <c r="C1820" s="193">
        <f>SUM(C1809:C1819)</f>
        <v>411</v>
      </c>
      <c r="D1820" s="193">
        <f>SUM(D1809:D1819)</f>
        <v>90</v>
      </c>
      <c r="E1820" s="193">
        <f>SUM(E1809:E1819)</f>
        <v>171</v>
      </c>
      <c r="F1820" s="221">
        <f>SUM(F1809:F1819)</f>
        <v>672</v>
      </c>
      <c r="H1820" s="11" t="s">
        <v>4</v>
      </c>
      <c r="I1820" s="193">
        <f>SUM(I1809:I1819)</f>
        <v>8122</v>
      </c>
      <c r="J1820" s="193">
        <f t="shared" ref="J1820" si="785">SUM(J1809:J1819)</f>
        <v>2284</v>
      </c>
      <c r="K1820" s="193">
        <f t="shared" ref="K1820" si="786">SUM(K1809:K1819)</f>
        <v>2229</v>
      </c>
      <c r="L1820" s="221">
        <f>SUM(L1809:L1819)</f>
        <v>12746</v>
      </c>
      <c r="O1820" s="11" t="s">
        <v>4</v>
      </c>
      <c r="P1820" s="12">
        <f>SUM(P1809:P1819)</f>
        <v>0</v>
      </c>
      <c r="Q1820" s="13">
        <f>SUM(Q1809:Q1819)</f>
        <v>0</v>
      </c>
      <c r="S1820" s="11" t="s">
        <v>4</v>
      </c>
      <c r="T1820" s="12">
        <f>SUM(T1809:T1819)</f>
        <v>1534</v>
      </c>
      <c r="U1820" s="13">
        <f>SUM(U1809:U1819)</f>
        <v>1534</v>
      </c>
      <c r="V1820" s="209"/>
    </row>
    <row r="1821" spans="2:22" x14ac:dyDescent="0.15">
      <c r="B1821" s="4" t="s">
        <v>749</v>
      </c>
      <c r="C1821" s="233">
        <f>8+3</f>
        <v>11</v>
      </c>
      <c r="D1821" s="234">
        <v>4</v>
      </c>
      <c r="E1821" s="234"/>
      <c r="F1821" s="220">
        <f t="shared" ref="F1821:F1839" si="787">SUM(C1821:E1821)</f>
        <v>15</v>
      </c>
      <c r="G1821" s="248">
        <v>45537</v>
      </c>
      <c r="H1821" s="4"/>
      <c r="I1821" s="233"/>
      <c r="J1821" s="234"/>
      <c r="K1821" s="234"/>
      <c r="L1821" s="220">
        <f t="shared" ref="L1821:L1844" si="788">SUM(I1821:K1821)</f>
        <v>0</v>
      </c>
      <c r="O1821" s="4"/>
      <c r="P1821" s="44"/>
      <c r="Q1821" s="14">
        <f t="shared" ref="Q1821:Q1844" si="789">SUM(P1821:P1821)</f>
        <v>0</v>
      </c>
      <c r="R1821" s="185"/>
      <c r="S1821" s="4"/>
      <c r="T1821" s="44"/>
      <c r="U1821" s="14">
        <f t="shared" ref="U1821:U1844" si="790">SUM(T1821:T1821)</f>
        <v>0</v>
      </c>
      <c r="V1821" s="211"/>
    </row>
    <row r="1822" spans="2:22" x14ac:dyDescent="0.15">
      <c r="B1822" s="4" t="s">
        <v>749</v>
      </c>
      <c r="C1822" s="233">
        <f>1+2</f>
        <v>3</v>
      </c>
      <c r="D1822" s="234"/>
      <c r="E1822" s="234"/>
      <c r="F1822" s="220">
        <f t="shared" si="787"/>
        <v>3</v>
      </c>
      <c r="G1822" s="248">
        <v>45538</v>
      </c>
      <c r="H1822" s="4"/>
      <c r="I1822" s="233"/>
      <c r="J1822" s="234"/>
      <c r="K1822" s="234"/>
      <c r="L1822" s="220">
        <f t="shared" si="788"/>
        <v>0</v>
      </c>
      <c r="O1822" s="4"/>
      <c r="P1822" s="15"/>
      <c r="Q1822" s="14">
        <f t="shared" si="789"/>
        <v>0</v>
      </c>
      <c r="R1822" s="186"/>
      <c r="S1822" s="4"/>
      <c r="T1822" s="15"/>
      <c r="U1822" s="14">
        <f t="shared" si="790"/>
        <v>0</v>
      </c>
      <c r="V1822" s="212"/>
    </row>
    <row r="1823" spans="2:22" x14ac:dyDescent="0.15">
      <c r="B1823" s="4" t="s">
        <v>749</v>
      </c>
      <c r="C1823" s="233">
        <f>2+1</f>
        <v>3</v>
      </c>
      <c r="D1823" s="234"/>
      <c r="E1823" s="234"/>
      <c r="F1823" s="220">
        <f t="shared" si="787"/>
        <v>3</v>
      </c>
      <c r="G1823" s="248">
        <v>45539</v>
      </c>
      <c r="H1823" s="4"/>
      <c r="I1823" s="233"/>
      <c r="J1823" s="234"/>
      <c r="K1823" s="234"/>
      <c r="L1823" s="220">
        <f t="shared" si="788"/>
        <v>0</v>
      </c>
      <c r="O1823" s="4"/>
      <c r="P1823" s="15"/>
      <c r="Q1823" s="14">
        <f t="shared" si="789"/>
        <v>0</v>
      </c>
      <c r="R1823" s="186"/>
      <c r="S1823" s="4"/>
      <c r="T1823" s="15"/>
      <c r="U1823" s="14">
        <f t="shared" si="790"/>
        <v>0</v>
      </c>
      <c r="V1823" s="212"/>
    </row>
    <row r="1824" spans="2:22" x14ac:dyDescent="0.15">
      <c r="B1824" s="4" t="s">
        <v>749</v>
      </c>
      <c r="C1824" s="233">
        <f>3+12</f>
        <v>15</v>
      </c>
      <c r="D1824" s="234">
        <v>2</v>
      </c>
      <c r="E1824" s="234"/>
      <c r="F1824" s="220">
        <f t="shared" si="787"/>
        <v>17</v>
      </c>
      <c r="G1824" s="248">
        <v>45540</v>
      </c>
      <c r="H1824" s="4"/>
      <c r="I1824" s="233"/>
      <c r="J1824" s="234"/>
      <c r="K1824" s="234"/>
      <c r="L1824" s="220">
        <f t="shared" si="788"/>
        <v>0</v>
      </c>
      <c r="O1824" s="4"/>
      <c r="P1824" s="15"/>
      <c r="Q1824" s="14">
        <f t="shared" si="789"/>
        <v>0</v>
      </c>
      <c r="R1824" s="186"/>
      <c r="S1824" s="4"/>
      <c r="T1824" s="15"/>
      <c r="U1824" s="14">
        <f t="shared" si="790"/>
        <v>0</v>
      </c>
      <c r="V1824" s="212"/>
    </row>
    <row r="1825" spans="2:22" x14ac:dyDescent="0.15">
      <c r="B1825" s="4" t="s">
        <v>749</v>
      </c>
      <c r="C1825" s="233">
        <f>1+4</f>
        <v>5</v>
      </c>
      <c r="D1825" s="234">
        <v>2</v>
      </c>
      <c r="E1825" s="234"/>
      <c r="F1825" s="220">
        <f t="shared" si="787"/>
        <v>7</v>
      </c>
      <c r="G1825" s="248">
        <v>45541</v>
      </c>
      <c r="H1825" s="4"/>
      <c r="I1825" s="233"/>
      <c r="J1825" s="234"/>
      <c r="K1825" s="234"/>
      <c r="L1825" s="220">
        <f t="shared" si="788"/>
        <v>0</v>
      </c>
      <c r="O1825" s="4"/>
      <c r="P1825" s="15"/>
      <c r="Q1825" s="14">
        <f t="shared" si="789"/>
        <v>0</v>
      </c>
      <c r="R1825" s="186"/>
      <c r="S1825" s="4"/>
      <c r="T1825" s="15"/>
      <c r="U1825" s="14">
        <f t="shared" si="790"/>
        <v>0</v>
      </c>
      <c r="V1825" s="212"/>
    </row>
    <row r="1826" spans="2:22" x14ac:dyDescent="0.15">
      <c r="B1826" s="4" t="s">
        <v>749</v>
      </c>
      <c r="C1826" s="233">
        <v>8</v>
      </c>
      <c r="D1826" s="234">
        <v>1</v>
      </c>
      <c r="E1826" s="234"/>
      <c r="F1826" s="220">
        <f t="shared" si="787"/>
        <v>9</v>
      </c>
      <c r="G1826" s="248">
        <v>45542</v>
      </c>
      <c r="H1826" s="4"/>
      <c r="I1826" s="233"/>
      <c r="J1826" s="234"/>
      <c r="K1826" s="234"/>
      <c r="L1826" s="220">
        <f t="shared" si="788"/>
        <v>0</v>
      </c>
      <c r="O1826" s="4"/>
      <c r="P1826" s="15"/>
      <c r="Q1826" s="14">
        <f t="shared" si="789"/>
        <v>0</v>
      </c>
      <c r="R1826" s="186"/>
      <c r="S1826" s="4"/>
      <c r="T1826" s="15"/>
      <c r="U1826" s="14">
        <f t="shared" si="790"/>
        <v>0</v>
      </c>
      <c r="V1826" s="212"/>
    </row>
    <row r="1827" spans="2:22" x14ac:dyDescent="0.15">
      <c r="B1827" s="4" t="s">
        <v>749</v>
      </c>
      <c r="C1827" s="233">
        <f>1+23</f>
        <v>24</v>
      </c>
      <c r="D1827" s="234">
        <v>3</v>
      </c>
      <c r="E1827" s="234">
        <v>1</v>
      </c>
      <c r="F1827" s="220">
        <f t="shared" si="787"/>
        <v>28</v>
      </c>
      <c r="G1827" s="248">
        <v>45544</v>
      </c>
      <c r="H1827" s="4"/>
      <c r="I1827" s="233"/>
      <c r="J1827" s="234"/>
      <c r="K1827" s="234"/>
      <c r="L1827" s="220">
        <f t="shared" si="788"/>
        <v>0</v>
      </c>
      <c r="O1827" s="4"/>
      <c r="P1827" s="15"/>
      <c r="Q1827" s="14">
        <f t="shared" si="789"/>
        <v>0</v>
      </c>
      <c r="R1827" s="186"/>
      <c r="S1827" s="4"/>
      <c r="T1827" s="15"/>
      <c r="U1827" s="14">
        <f t="shared" si="790"/>
        <v>0</v>
      </c>
      <c r="V1827" s="212"/>
    </row>
    <row r="1828" spans="2:22" x14ac:dyDescent="0.15">
      <c r="B1828" s="4" t="s">
        <v>749</v>
      </c>
      <c r="C1828" s="233">
        <f>5+4</f>
        <v>9</v>
      </c>
      <c r="D1828" s="234">
        <v>2</v>
      </c>
      <c r="E1828" s="234">
        <v>2</v>
      </c>
      <c r="F1828" s="220">
        <f t="shared" si="787"/>
        <v>13</v>
      </c>
      <c r="G1828" s="248">
        <v>45545</v>
      </c>
      <c r="H1828" s="4"/>
      <c r="I1828" s="233"/>
      <c r="J1828" s="234"/>
      <c r="K1828" s="234"/>
      <c r="L1828" s="220">
        <f t="shared" si="788"/>
        <v>0</v>
      </c>
      <c r="O1828" s="4"/>
      <c r="P1828" s="15"/>
      <c r="Q1828" s="14">
        <f t="shared" si="789"/>
        <v>0</v>
      </c>
      <c r="R1828" s="186"/>
      <c r="S1828" s="4"/>
      <c r="T1828" s="15"/>
      <c r="U1828" s="14">
        <f t="shared" si="790"/>
        <v>0</v>
      </c>
      <c r="V1828" s="212"/>
    </row>
    <row r="1829" spans="2:22" x14ac:dyDescent="0.15">
      <c r="B1829" s="4" t="s">
        <v>749</v>
      </c>
      <c r="C1829" s="233">
        <f>4+3+1</f>
        <v>8</v>
      </c>
      <c r="D1829" s="234">
        <v>-1</v>
      </c>
      <c r="E1829" s="234"/>
      <c r="F1829" s="220">
        <f t="shared" si="787"/>
        <v>7</v>
      </c>
      <c r="G1829" s="248">
        <v>45546</v>
      </c>
      <c r="H1829" s="4"/>
      <c r="I1829" s="233"/>
      <c r="J1829" s="234"/>
      <c r="K1829" s="234"/>
      <c r="L1829" s="220">
        <f t="shared" si="788"/>
        <v>0</v>
      </c>
      <c r="O1829" s="4"/>
      <c r="P1829" s="15"/>
      <c r="Q1829" s="14">
        <f t="shared" si="789"/>
        <v>0</v>
      </c>
      <c r="R1829" s="186"/>
      <c r="S1829" s="4"/>
      <c r="T1829" s="15"/>
      <c r="U1829" s="14">
        <f t="shared" si="790"/>
        <v>0</v>
      </c>
      <c r="V1829" s="212"/>
    </row>
    <row r="1830" spans="2:22" x14ac:dyDescent="0.15">
      <c r="B1830" s="4" t="s">
        <v>749</v>
      </c>
      <c r="C1830" s="233">
        <f>1+5</f>
        <v>6</v>
      </c>
      <c r="D1830" s="234">
        <v>2</v>
      </c>
      <c r="E1830" s="234">
        <v>1</v>
      </c>
      <c r="F1830" s="220">
        <f t="shared" si="787"/>
        <v>9</v>
      </c>
      <c r="G1830" s="248">
        <v>45547</v>
      </c>
      <c r="H1830" s="4"/>
      <c r="I1830" s="233"/>
      <c r="J1830" s="234"/>
      <c r="K1830" s="234"/>
      <c r="L1830" s="220">
        <f t="shared" si="788"/>
        <v>0</v>
      </c>
      <c r="O1830" s="4"/>
      <c r="P1830" s="15"/>
      <c r="Q1830" s="14">
        <f t="shared" si="789"/>
        <v>0</v>
      </c>
      <c r="R1830" s="186"/>
      <c r="S1830" s="4"/>
      <c r="T1830" s="15"/>
      <c r="U1830" s="14">
        <f t="shared" si="790"/>
        <v>0</v>
      </c>
      <c r="V1830" s="212"/>
    </row>
    <row r="1831" spans="2:22" x14ac:dyDescent="0.15">
      <c r="B1831" s="4" t="s">
        <v>749</v>
      </c>
      <c r="C1831" s="233">
        <f>1+8</f>
        <v>9</v>
      </c>
      <c r="D1831" s="234">
        <v>1</v>
      </c>
      <c r="E1831" s="234"/>
      <c r="F1831" s="220">
        <f t="shared" si="787"/>
        <v>10</v>
      </c>
      <c r="G1831" s="248">
        <v>45548</v>
      </c>
      <c r="H1831" s="4"/>
      <c r="I1831" s="233"/>
      <c r="J1831" s="234"/>
      <c r="K1831" s="234"/>
      <c r="L1831" s="220">
        <f t="shared" si="788"/>
        <v>0</v>
      </c>
      <c r="O1831" s="4"/>
      <c r="P1831" s="15"/>
      <c r="Q1831" s="14">
        <f t="shared" si="789"/>
        <v>0</v>
      </c>
      <c r="R1831" s="186"/>
      <c r="S1831" s="4"/>
      <c r="T1831" s="15"/>
      <c r="U1831" s="14">
        <f t="shared" si="790"/>
        <v>0</v>
      </c>
      <c r="V1831" s="212"/>
    </row>
    <row r="1832" spans="2:22" x14ac:dyDescent="0.15">
      <c r="B1832" s="4" t="s">
        <v>1324</v>
      </c>
      <c r="C1832" s="233">
        <v>2</v>
      </c>
      <c r="D1832" s="234"/>
      <c r="E1832" s="234"/>
      <c r="F1832" s="220">
        <f t="shared" si="787"/>
        <v>2</v>
      </c>
      <c r="G1832" s="248">
        <v>45548</v>
      </c>
      <c r="H1832" s="4"/>
      <c r="I1832" s="233"/>
      <c r="J1832" s="234"/>
      <c r="K1832" s="234"/>
      <c r="L1832" s="220">
        <f t="shared" si="788"/>
        <v>0</v>
      </c>
      <c r="O1832" s="6"/>
      <c r="P1832" s="15"/>
      <c r="Q1832" s="14">
        <f t="shared" si="789"/>
        <v>0</v>
      </c>
      <c r="R1832" s="186"/>
      <c r="S1832" s="6"/>
      <c r="T1832" s="15"/>
      <c r="U1832" s="14">
        <f t="shared" si="790"/>
        <v>0</v>
      </c>
      <c r="V1832" s="212"/>
    </row>
    <row r="1833" spans="2:22" x14ac:dyDescent="0.15">
      <c r="B1833" s="4" t="s">
        <v>749</v>
      </c>
      <c r="C1833" s="233">
        <f>3+13</f>
        <v>16</v>
      </c>
      <c r="D1833" s="234">
        <v>4</v>
      </c>
      <c r="E1833" s="234"/>
      <c r="F1833" s="220">
        <f t="shared" si="787"/>
        <v>20</v>
      </c>
      <c r="G1833" s="248">
        <v>45552</v>
      </c>
      <c r="H1833" s="4"/>
      <c r="I1833" s="233"/>
      <c r="J1833" s="234"/>
      <c r="K1833" s="234"/>
      <c r="L1833" s="220">
        <f t="shared" si="788"/>
        <v>0</v>
      </c>
      <c r="O1833" s="6"/>
      <c r="P1833" s="15"/>
      <c r="Q1833" s="14">
        <f t="shared" si="789"/>
        <v>0</v>
      </c>
      <c r="R1833" s="186"/>
      <c r="S1833" s="6"/>
      <c r="T1833" s="15"/>
      <c r="U1833" s="14">
        <f t="shared" si="790"/>
        <v>0</v>
      </c>
      <c r="V1833" s="212"/>
    </row>
    <row r="1834" spans="2:22" x14ac:dyDescent="0.15">
      <c r="B1834" s="4" t="s">
        <v>749</v>
      </c>
      <c r="C1834" s="233">
        <v>6</v>
      </c>
      <c r="D1834" s="234">
        <v>3</v>
      </c>
      <c r="E1834" s="234"/>
      <c r="F1834" s="220">
        <f t="shared" si="787"/>
        <v>9</v>
      </c>
      <c r="G1834" s="248">
        <v>45553</v>
      </c>
      <c r="H1834" s="4"/>
      <c r="I1834" s="233"/>
      <c r="J1834" s="234"/>
      <c r="K1834" s="234"/>
      <c r="L1834" s="220">
        <f t="shared" si="788"/>
        <v>0</v>
      </c>
      <c r="O1834" s="4"/>
      <c r="P1834" s="15"/>
      <c r="Q1834" s="14">
        <f t="shared" si="789"/>
        <v>0</v>
      </c>
      <c r="R1834" s="186"/>
      <c r="S1834" s="4"/>
      <c r="T1834" s="15"/>
      <c r="U1834" s="14">
        <f t="shared" si="790"/>
        <v>0</v>
      </c>
      <c r="V1834" s="212"/>
    </row>
    <row r="1835" spans="2:22" x14ac:dyDescent="0.15">
      <c r="B1835" s="4" t="s">
        <v>749</v>
      </c>
      <c r="C1835" s="233">
        <v>2</v>
      </c>
      <c r="D1835" s="234"/>
      <c r="E1835" s="234"/>
      <c r="F1835" s="220">
        <f t="shared" si="787"/>
        <v>2</v>
      </c>
      <c r="G1835" s="248">
        <v>45554</v>
      </c>
      <c r="H1835" s="4"/>
      <c r="I1835" s="233"/>
      <c r="J1835" s="234"/>
      <c r="K1835" s="234"/>
      <c r="L1835" s="220">
        <f t="shared" si="788"/>
        <v>0</v>
      </c>
      <c r="O1835" s="4"/>
      <c r="P1835" s="15"/>
      <c r="Q1835" s="14">
        <f t="shared" si="789"/>
        <v>0</v>
      </c>
      <c r="R1835" s="186"/>
      <c r="S1835" s="4"/>
      <c r="T1835" s="15"/>
      <c r="U1835" s="14">
        <f t="shared" si="790"/>
        <v>0</v>
      </c>
      <c r="V1835" s="212"/>
    </row>
    <row r="1836" spans="2:22" x14ac:dyDescent="0.15">
      <c r="B1836" s="4" t="s">
        <v>749</v>
      </c>
      <c r="C1836" s="233">
        <v>4</v>
      </c>
      <c r="D1836" s="234">
        <v>1</v>
      </c>
      <c r="E1836" s="234"/>
      <c r="F1836" s="220">
        <f t="shared" si="787"/>
        <v>5</v>
      </c>
      <c r="G1836" s="248">
        <v>45556</v>
      </c>
      <c r="H1836" s="4"/>
      <c r="I1836" s="233"/>
      <c r="J1836" s="234"/>
      <c r="K1836" s="234"/>
      <c r="L1836" s="220">
        <f t="shared" si="788"/>
        <v>0</v>
      </c>
      <c r="O1836" s="4"/>
      <c r="P1836" s="15"/>
      <c r="Q1836" s="14">
        <f t="shared" si="789"/>
        <v>0</v>
      </c>
      <c r="R1836" s="186"/>
      <c r="S1836" s="4"/>
      <c r="T1836" s="15"/>
      <c r="U1836" s="14">
        <f t="shared" si="790"/>
        <v>0</v>
      </c>
      <c r="V1836" s="212"/>
    </row>
    <row r="1837" spans="2:22" x14ac:dyDescent="0.15">
      <c r="B1837" s="4" t="s">
        <v>749</v>
      </c>
      <c r="C1837" s="233">
        <f>1+1</f>
        <v>2</v>
      </c>
      <c r="D1837" s="234">
        <v>1</v>
      </c>
      <c r="E1837" s="234">
        <v>1</v>
      </c>
      <c r="F1837" s="220">
        <f t="shared" si="787"/>
        <v>4</v>
      </c>
      <c r="G1837" s="248">
        <v>45559</v>
      </c>
      <c r="H1837" s="4"/>
      <c r="I1837" s="233"/>
      <c r="J1837" s="234"/>
      <c r="K1837" s="234"/>
      <c r="L1837" s="220">
        <f t="shared" si="788"/>
        <v>0</v>
      </c>
      <c r="O1837" s="6"/>
      <c r="P1837" s="15"/>
      <c r="Q1837" s="14">
        <f t="shared" si="789"/>
        <v>0</v>
      </c>
      <c r="R1837" s="186"/>
      <c r="S1837" s="6"/>
      <c r="T1837" s="15"/>
      <c r="U1837" s="14">
        <f t="shared" si="790"/>
        <v>0</v>
      </c>
      <c r="V1837" s="212"/>
    </row>
    <row r="1838" spans="2:22" x14ac:dyDescent="0.15">
      <c r="B1838" s="4" t="s">
        <v>749</v>
      </c>
      <c r="C1838" s="233">
        <v>2</v>
      </c>
      <c r="D1838" s="234"/>
      <c r="E1838" s="234"/>
      <c r="F1838" s="220">
        <f t="shared" si="787"/>
        <v>2</v>
      </c>
      <c r="G1838" s="248">
        <v>45560</v>
      </c>
      <c r="H1838" s="4"/>
      <c r="I1838" s="233"/>
      <c r="J1838" s="234"/>
      <c r="K1838" s="234"/>
      <c r="L1838" s="220">
        <f t="shared" si="788"/>
        <v>0</v>
      </c>
      <c r="O1838" s="4"/>
      <c r="P1838" s="15"/>
      <c r="Q1838" s="14">
        <f t="shared" si="789"/>
        <v>0</v>
      </c>
      <c r="R1838" s="186"/>
      <c r="S1838" s="4"/>
      <c r="T1838" s="15"/>
      <c r="U1838" s="14">
        <f t="shared" si="790"/>
        <v>0</v>
      </c>
      <c r="V1838" s="212"/>
    </row>
    <row r="1839" spans="2:22" x14ac:dyDescent="0.15">
      <c r="B1839" s="4" t="s">
        <v>749</v>
      </c>
      <c r="C1839" s="233">
        <f>4+5</f>
        <v>9</v>
      </c>
      <c r="D1839" s="234"/>
      <c r="E1839" s="234">
        <v>1</v>
      </c>
      <c r="F1839" s="220">
        <f t="shared" si="787"/>
        <v>10</v>
      </c>
      <c r="G1839" s="248">
        <v>45561</v>
      </c>
      <c r="H1839" s="4"/>
      <c r="I1839" s="233"/>
      <c r="J1839" s="234"/>
      <c r="K1839" s="234"/>
      <c r="L1839" s="220">
        <f t="shared" si="788"/>
        <v>0</v>
      </c>
      <c r="O1839" s="6"/>
      <c r="P1839" s="15"/>
      <c r="Q1839" s="14">
        <f t="shared" si="789"/>
        <v>0</v>
      </c>
      <c r="R1839" s="186"/>
      <c r="S1839" s="6"/>
      <c r="T1839" s="15"/>
      <c r="U1839" s="14">
        <f t="shared" si="790"/>
        <v>0</v>
      </c>
      <c r="V1839" s="212"/>
    </row>
    <row r="1840" spans="2:22" x14ac:dyDescent="0.15">
      <c r="B1840" s="4" t="s">
        <v>749</v>
      </c>
      <c r="C1840" s="233">
        <v>2</v>
      </c>
      <c r="D1840" s="234"/>
      <c r="E1840" s="234"/>
      <c r="F1840" s="220">
        <f t="shared" ref="F1840:F1844" si="791">SUM(C1840:E1840)</f>
        <v>2</v>
      </c>
      <c r="G1840" s="248">
        <v>45562</v>
      </c>
      <c r="H1840" s="4"/>
      <c r="I1840" s="233"/>
      <c r="J1840" s="234"/>
      <c r="K1840" s="234"/>
      <c r="L1840" s="220">
        <f t="shared" si="788"/>
        <v>0</v>
      </c>
      <c r="O1840" s="4"/>
      <c r="P1840" s="15"/>
      <c r="Q1840" s="14">
        <f t="shared" si="789"/>
        <v>0</v>
      </c>
      <c r="R1840" s="186"/>
      <c r="S1840" s="4"/>
      <c r="T1840" s="15"/>
      <c r="U1840" s="14">
        <f t="shared" si="790"/>
        <v>0</v>
      </c>
      <c r="V1840" s="212"/>
    </row>
    <row r="1841" spans="2:22" x14ac:dyDescent="0.15">
      <c r="B1841" s="4" t="s">
        <v>749</v>
      </c>
      <c r="C1841" s="233">
        <v>2</v>
      </c>
      <c r="D1841" s="234">
        <v>1</v>
      </c>
      <c r="E1841" s="234"/>
      <c r="F1841" s="220">
        <f t="shared" si="791"/>
        <v>3</v>
      </c>
      <c r="G1841" s="248">
        <v>45565</v>
      </c>
      <c r="H1841" s="4"/>
      <c r="I1841" s="233"/>
      <c r="J1841" s="234"/>
      <c r="K1841" s="234"/>
      <c r="L1841" s="220">
        <f t="shared" si="788"/>
        <v>0</v>
      </c>
      <c r="O1841" s="4"/>
      <c r="P1841" s="15"/>
      <c r="Q1841" s="14">
        <f t="shared" si="789"/>
        <v>0</v>
      </c>
      <c r="R1841" s="186"/>
      <c r="S1841" s="4"/>
      <c r="T1841" s="15"/>
      <c r="U1841" s="14">
        <f t="shared" si="790"/>
        <v>0</v>
      </c>
      <c r="V1841" s="212"/>
    </row>
    <row r="1842" spans="2:22" x14ac:dyDescent="0.15">
      <c r="B1842" s="4" t="s">
        <v>1325</v>
      </c>
      <c r="C1842" s="233">
        <v>4</v>
      </c>
      <c r="D1842" s="234">
        <v>2</v>
      </c>
      <c r="E1842" s="234">
        <v>2</v>
      </c>
      <c r="F1842" s="220">
        <f t="shared" si="791"/>
        <v>8</v>
      </c>
      <c r="G1842" s="248">
        <v>45567</v>
      </c>
      <c r="H1842" s="4"/>
      <c r="I1842" s="233"/>
      <c r="J1842" s="234"/>
      <c r="K1842" s="234"/>
      <c r="L1842" s="220">
        <f t="shared" si="788"/>
        <v>0</v>
      </c>
      <c r="O1842" s="4"/>
      <c r="P1842" s="15"/>
      <c r="Q1842" s="14">
        <f t="shared" si="789"/>
        <v>0</v>
      </c>
      <c r="R1842" s="186"/>
      <c r="S1842" s="4"/>
      <c r="T1842" s="15"/>
      <c r="U1842" s="14">
        <f t="shared" si="790"/>
        <v>0</v>
      </c>
      <c r="V1842" s="212"/>
    </row>
    <row r="1843" spans="2:22" x14ac:dyDescent="0.15">
      <c r="B1843" s="4" t="s">
        <v>749</v>
      </c>
      <c r="C1843" s="233">
        <v>1</v>
      </c>
      <c r="D1843" s="234"/>
      <c r="E1843" s="234"/>
      <c r="F1843" s="220">
        <f t="shared" si="791"/>
        <v>1</v>
      </c>
      <c r="G1843" s="248">
        <v>45569</v>
      </c>
      <c r="H1843" s="4"/>
      <c r="I1843" s="233"/>
      <c r="J1843" s="234"/>
      <c r="K1843" s="234"/>
      <c r="L1843" s="220">
        <f t="shared" si="788"/>
        <v>0</v>
      </c>
      <c r="O1843" s="6"/>
      <c r="P1843" s="15"/>
      <c r="Q1843" s="14">
        <f t="shared" si="789"/>
        <v>0</v>
      </c>
      <c r="R1843" s="186"/>
      <c r="S1843" s="6"/>
      <c r="T1843" s="15"/>
      <c r="U1843" s="14">
        <f t="shared" si="790"/>
        <v>0</v>
      </c>
      <c r="V1843" s="212"/>
    </row>
    <row r="1844" spans="2:22" ht="14.25" thickBot="1" x14ac:dyDescent="0.2">
      <c r="B1844" s="6" t="s">
        <v>1326</v>
      </c>
      <c r="C1844" s="235"/>
      <c r="D1844" s="234"/>
      <c r="E1844" s="234">
        <v>100</v>
      </c>
      <c r="F1844" s="220">
        <f t="shared" si="791"/>
        <v>100</v>
      </c>
      <c r="G1844" s="248">
        <v>45570</v>
      </c>
      <c r="H1844" s="6"/>
      <c r="I1844" s="235"/>
      <c r="J1844" s="234"/>
      <c r="K1844" s="234"/>
      <c r="L1844" s="220">
        <f t="shared" si="788"/>
        <v>0</v>
      </c>
      <c r="O1844" s="6"/>
      <c r="P1844" s="15"/>
      <c r="Q1844" s="14">
        <f t="shared" si="789"/>
        <v>0</v>
      </c>
      <c r="R1844" s="186"/>
      <c r="S1844" s="6"/>
      <c r="T1844" s="15"/>
      <c r="U1844" s="14">
        <f t="shared" si="790"/>
        <v>0</v>
      </c>
      <c r="V1844" s="212"/>
    </row>
    <row r="1845" spans="2:22" ht="14.25" thickBot="1" x14ac:dyDescent="0.2">
      <c r="B1845" s="3" t="s">
        <v>5</v>
      </c>
      <c r="C1845" s="16">
        <f>SUM(C1821:C1844)</f>
        <v>153</v>
      </c>
      <c r="D1845" s="16">
        <f>SUM(D1821:D1844)</f>
        <v>28</v>
      </c>
      <c r="E1845" s="16">
        <f>SUM(E1821:E1844)</f>
        <v>108</v>
      </c>
      <c r="F1845" s="223">
        <f>SUM(F1821:F1844)</f>
        <v>289</v>
      </c>
      <c r="H1845" s="3" t="s">
        <v>5</v>
      </c>
      <c r="I1845" s="16">
        <f>SUM(I1821:I1844)</f>
        <v>0</v>
      </c>
      <c r="J1845" s="16">
        <f t="shared" ref="J1845" si="792">SUM(J1821:J1844)</f>
        <v>0</v>
      </c>
      <c r="K1845" s="16">
        <f t="shared" ref="K1845" si="793">SUM(K1821:K1844)</f>
        <v>0</v>
      </c>
      <c r="L1845" s="223">
        <f>SUM(L1821:L1844)</f>
        <v>0</v>
      </c>
      <c r="O1845" s="3" t="s">
        <v>5</v>
      </c>
      <c r="P1845" s="16">
        <f>SUM(P1821:P1844)</f>
        <v>0</v>
      </c>
      <c r="Q1845" s="17">
        <f>SUM(Q1821:Q1844)</f>
        <v>0</v>
      </c>
      <c r="S1845" s="3" t="s">
        <v>5</v>
      </c>
      <c r="T1845" s="16">
        <f>SUM(T1821:T1844)</f>
        <v>0</v>
      </c>
      <c r="U1845" s="17">
        <f>SUM(U1821:U1844)</f>
        <v>0</v>
      </c>
      <c r="V1845" s="209"/>
    </row>
    <row r="1846" spans="2:22" ht="14.25" thickBot="1" x14ac:dyDescent="0.2">
      <c r="B1846" s="18" t="s">
        <v>6</v>
      </c>
      <c r="C1846" s="19">
        <f>C1820-C1845</f>
        <v>258</v>
      </c>
      <c r="D1846" s="19">
        <f>D1820-D1845</f>
        <v>62</v>
      </c>
      <c r="E1846" s="19">
        <f t="shared" ref="E1846" si="794">E1820-E1845</f>
        <v>63</v>
      </c>
      <c r="F1846" s="221">
        <f>F1820-F1845</f>
        <v>383</v>
      </c>
      <c r="H1846" s="18" t="s">
        <v>6</v>
      </c>
      <c r="I1846" s="19">
        <f>I1820-I1845</f>
        <v>8122</v>
      </c>
      <c r="J1846" s="19">
        <f t="shared" ref="J1846" si="795">J1820-J1845</f>
        <v>2284</v>
      </c>
      <c r="K1846" s="19">
        <f t="shared" ref="K1846" si="796">K1820-K1845</f>
        <v>2229</v>
      </c>
      <c r="L1846" s="221">
        <f>L1820-L1845</f>
        <v>12746</v>
      </c>
      <c r="O1846" s="18" t="s">
        <v>6</v>
      </c>
      <c r="P1846" s="19">
        <f>P1820-P1845</f>
        <v>0</v>
      </c>
      <c r="Q1846" s="13">
        <f>Q1820-Q1845</f>
        <v>0</v>
      </c>
      <c r="S1846" s="18" t="s">
        <v>6</v>
      </c>
      <c r="T1846" s="19">
        <f>T1820-T1845</f>
        <v>1534</v>
      </c>
      <c r="U1846" s="13">
        <f>U1820-U1845</f>
        <v>1534</v>
      </c>
      <c r="V1846" s="209"/>
    </row>
    <row r="1849" spans="2:22" ht="18" thickBot="1" x14ac:dyDescent="0.25">
      <c r="B1849" s="27" t="s">
        <v>739</v>
      </c>
      <c r="C1849" s="28"/>
      <c r="D1849" s="28"/>
      <c r="E1849" s="28"/>
      <c r="F1849" s="218"/>
      <c r="H1849" s="27" t="s">
        <v>740</v>
      </c>
      <c r="I1849" s="279"/>
      <c r="J1849" s="279"/>
      <c r="K1849" s="22"/>
      <c r="L1849" s="278"/>
      <c r="O1849" s="181" t="s">
        <v>737</v>
      </c>
      <c r="P1849" s="182"/>
      <c r="Q1849" s="182"/>
      <c r="R1849" s="183"/>
      <c r="S1849" s="181" t="s">
        <v>733</v>
      </c>
      <c r="T1849" s="182"/>
      <c r="U1849" s="182"/>
    </row>
    <row r="1850" spans="2:22" ht="14.25" thickBot="1" x14ac:dyDescent="0.2">
      <c r="B1850" s="2"/>
      <c r="C1850" s="194" t="s">
        <v>734</v>
      </c>
      <c r="D1850" s="195" t="s">
        <v>706</v>
      </c>
      <c r="E1850" s="2" t="s">
        <v>735</v>
      </c>
      <c r="F1850" s="219" t="s">
        <v>1</v>
      </c>
      <c r="H1850" s="2"/>
      <c r="I1850" s="197" t="s">
        <v>734</v>
      </c>
      <c r="J1850" s="195" t="s">
        <v>706</v>
      </c>
      <c r="K1850" s="201" t="s">
        <v>735</v>
      </c>
      <c r="L1850" s="219" t="s">
        <v>1</v>
      </c>
      <c r="O1850" s="2"/>
      <c r="P1850" s="3" t="s">
        <v>722</v>
      </c>
      <c r="Q1850" s="2" t="s">
        <v>1</v>
      </c>
      <c r="S1850" s="2"/>
      <c r="T1850" s="3" t="s">
        <v>722</v>
      </c>
      <c r="U1850" s="2" t="s">
        <v>1</v>
      </c>
    </row>
    <row r="1851" spans="2:22" x14ac:dyDescent="0.15">
      <c r="B1851" s="164" t="s">
        <v>26</v>
      </c>
      <c r="C1851" s="200">
        <f>C1846</f>
        <v>258</v>
      </c>
      <c r="D1851" s="164">
        <f t="shared" ref="D1851:F1851" si="797">D1846</f>
        <v>62</v>
      </c>
      <c r="E1851" s="164">
        <f t="shared" si="797"/>
        <v>63</v>
      </c>
      <c r="F1851" s="222">
        <f t="shared" si="797"/>
        <v>383</v>
      </c>
      <c r="H1851" s="164" t="s">
        <v>26</v>
      </c>
      <c r="I1851" s="200">
        <f>I1846</f>
        <v>8122</v>
      </c>
      <c r="J1851" s="164">
        <f t="shared" ref="J1851:L1851" si="798">J1846</f>
        <v>2284</v>
      </c>
      <c r="K1851" s="200">
        <f t="shared" si="798"/>
        <v>2229</v>
      </c>
      <c r="L1851" s="222">
        <f t="shared" si="798"/>
        <v>12746</v>
      </c>
      <c r="O1851" s="171" t="s">
        <v>26</v>
      </c>
      <c r="P1851" s="200">
        <f>P1846</f>
        <v>0</v>
      </c>
      <c r="Q1851" s="180">
        <f>Q1846</f>
        <v>0</v>
      </c>
      <c r="R1851" s="185"/>
      <c r="S1851" s="43" t="s">
        <v>26</v>
      </c>
      <c r="T1851" s="38">
        <f>T1846</f>
        <v>1534</v>
      </c>
      <c r="U1851" s="39">
        <f>U1846</f>
        <v>1534</v>
      </c>
    </row>
    <row r="1852" spans="2:22" x14ac:dyDescent="0.15">
      <c r="B1852" s="6" t="s">
        <v>681</v>
      </c>
      <c r="C1852" s="188"/>
      <c r="D1852" s="225">
        <v>1</v>
      </c>
      <c r="E1852" s="243"/>
      <c r="F1852" s="220">
        <f t="shared" ref="F1852:F1861" si="799">SUM(C1852:E1852)</f>
        <v>1</v>
      </c>
      <c r="G1852" s="248">
        <v>45580</v>
      </c>
      <c r="H1852" s="6" t="s">
        <v>3</v>
      </c>
      <c r="I1852" s="188"/>
      <c r="J1852" s="6"/>
      <c r="K1852" s="202"/>
      <c r="L1852" s="220">
        <f t="shared" ref="L1852:L1856" si="800">SUM(I1852:K1852)</f>
        <v>0</v>
      </c>
      <c r="O1852" s="6" t="s">
        <v>3</v>
      </c>
      <c r="P1852" s="7"/>
      <c r="Q1852" s="5">
        <f t="shared" ref="Q1852:Q1861" si="801">SUM(P1852:P1852)</f>
        <v>0</v>
      </c>
      <c r="R1852" s="186"/>
      <c r="S1852" s="6" t="s">
        <v>3</v>
      </c>
      <c r="T1852" s="7"/>
      <c r="U1852" s="5">
        <f t="shared" ref="U1852:U1856" si="802">SUM(T1852:T1852)</f>
        <v>0</v>
      </c>
      <c r="V1852" s="212"/>
    </row>
    <row r="1853" spans="2:22" x14ac:dyDescent="0.15">
      <c r="B1853" s="6" t="s">
        <v>968</v>
      </c>
      <c r="C1853" s="188">
        <v>1</v>
      </c>
      <c r="D1853" s="225"/>
      <c r="E1853" s="243">
        <v>2</v>
      </c>
      <c r="F1853" s="220">
        <f t="shared" si="799"/>
        <v>3</v>
      </c>
      <c r="G1853" s="248">
        <v>45582</v>
      </c>
      <c r="H1853" s="6" t="s">
        <v>3</v>
      </c>
      <c r="I1853" s="188"/>
      <c r="J1853" s="6"/>
      <c r="K1853" s="202"/>
      <c r="L1853" s="220">
        <f t="shared" si="800"/>
        <v>0</v>
      </c>
      <c r="O1853" s="6" t="s">
        <v>3</v>
      </c>
      <c r="P1853" s="7"/>
      <c r="Q1853" s="5">
        <f t="shared" si="801"/>
        <v>0</v>
      </c>
      <c r="R1853" s="186"/>
      <c r="S1853" s="6" t="s">
        <v>3</v>
      </c>
      <c r="T1853" s="7"/>
      <c r="U1853" s="5">
        <f t="shared" si="802"/>
        <v>0</v>
      </c>
      <c r="V1853" s="212"/>
    </row>
    <row r="1854" spans="2:22" x14ac:dyDescent="0.15">
      <c r="B1854" s="6" t="s">
        <v>64</v>
      </c>
      <c r="C1854" s="188">
        <v>1</v>
      </c>
      <c r="D1854" s="225"/>
      <c r="E1854" s="243"/>
      <c r="F1854" s="220">
        <f t="shared" ref="F1854" si="803">SUM(C1854:E1854)</f>
        <v>1</v>
      </c>
      <c r="G1854" s="211">
        <v>45608</v>
      </c>
      <c r="H1854" s="6" t="s">
        <v>3</v>
      </c>
      <c r="I1854" s="188"/>
      <c r="J1854" s="6"/>
      <c r="K1854" s="202"/>
      <c r="L1854" s="220">
        <f t="shared" si="800"/>
        <v>0</v>
      </c>
      <c r="O1854" s="6" t="s">
        <v>3</v>
      </c>
      <c r="P1854" s="7"/>
      <c r="Q1854" s="5">
        <f t="shared" si="801"/>
        <v>0</v>
      </c>
      <c r="R1854" s="186"/>
      <c r="S1854" s="6" t="s">
        <v>3</v>
      </c>
      <c r="T1854" s="7"/>
      <c r="U1854" s="5">
        <f t="shared" si="802"/>
        <v>0</v>
      </c>
      <c r="V1854" s="212"/>
    </row>
    <row r="1855" spans="2:22" x14ac:dyDescent="0.15">
      <c r="B1855" s="6" t="s">
        <v>3</v>
      </c>
      <c r="C1855" s="188"/>
      <c r="D1855" s="225"/>
      <c r="E1855" s="243"/>
      <c r="F1855" s="220">
        <f t="shared" si="799"/>
        <v>0</v>
      </c>
      <c r="G1855" s="212"/>
      <c r="H1855" s="6" t="s">
        <v>3</v>
      </c>
      <c r="I1855" s="188"/>
      <c r="J1855" s="6"/>
      <c r="K1855" s="202"/>
      <c r="L1855" s="220">
        <f t="shared" si="800"/>
        <v>0</v>
      </c>
      <c r="O1855" s="6" t="s">
        <v>3</v>
      </c>
      <c r="P1855" s="7"/>
      <c r="Q1855" s="5">
        <f t="shared" si="801"/>
        <v>0</v>
      </c>
      <c r="R1855" s="186"/>
      <c r="S1855" s="6" t="s">
        <v>3</v>
      </c>
      <c r="T1855" s="7"/>
      <c r="U1855" s="5">
        <f t="shared" si="802"/>
        <v>0</v>
      </c>
      <c r="V1855" s="212"/>
    </row>
    <row r="1856" spans="2:22" x14ac:dyDescent="0.15">
      <c r="B1856" s="6" t="s">
        <v>3</v>
      </c>
      <c r="C1856" s="188"/>
      <c r="D1856" s="225"/>
      <c r="E1856" s="243"/>
      <c r="F1856" s="220">
        <f t="shared" si="799"/>
        <v>0</v>
      </c>
      <c r="H1856" s="6" t="s">
        <v>3</v>
      </c>
      <c r="I1856" s="188"/>
      <c r="J1856" s="6"/>
      <c r="K1856" s="202"/>
      <c r="L1856" s="220">
        <f t="shared" si="800"/>
        <v>0</v>
      </c>
      <c r="O1856" s="6" t="s">
        <v>3</v>
      </c>
      <c r="P1856" s="7"/>
      <c r="Q1856" s="5">
        <f t="shared" si="801"/>
        <v>0</v>
      </c>
      <c r="R1856" s="186"/>
      <c r="S1856" s="6" t="s">
        <v>3</v>
      </c>
      <c r="T1856" s="7"/>
      <c r="U1856" s="5">
        <f t="shared" si="802"/>
        <v>0</v>
      </c>
      <c r="V1856" s="212"/>
    </row>
    <row r="1857" spans="2:22" x14ac:dyDescent="0.15">
      <c r="B1857" s="6" t="s">
        <v>3</v>
      </c>
      <c r="C1857" s="188"/>
      <c r="D1857" s="6"/>
      <c r="E1857" s="202"/>
      <c r="F1857" s="220">
        <f t="shared" si="799"/>
        <v>0</v>
      </c>
      <c r="H1857" s="6" t="s">
        <v>3</v>
      </c>
      <c r="I1857" s="188"/>
      <c r="J1857" s="6"/>
      <c r="K1857" s="202"/>
      <c r="L1857" s="220">
        <f t="shared" ref="L1857:L1861" si="804">SUM(I1857:K1857)</f>
        <v>0</v>
      </c>
      <c r="O1857" s="6" t="s">
        <v>3</v>
      </c>
      <c r="P1857" s="7"/>
      <c r="Q1857" s="5">
        <f t="shared" si="801"/>
        <v>0</v>
      </c>
      <c r="R1857" s="186"/>
      <c r="S1857" s="6" t="s">
        <v>3</v>
      </c>
      <c r="T1857" s="7"/>
      <c r="U1857" s="5">
        <f t="shared" ref="U1857:U1861" si="805">SUM(T1857:T1857)</f>
        <v>0</v>
      </c>
      <c r="V1857" s="212"/>
    </row>
    <row r="1858" spans="2:22" x14ac:dyDescent="0.15">
      <c r="B1858" s="6" t="s">
        <v>3</v>
      </c>
      <c r="C1858" s="188"/>
      <c r="D1858" s="225"/>
      <c r="E1858" s="243"/>
      <c r="F1858" s="220">
        <f t="shared" si="799"/>
        <v>0</v>
      </c>
      <c r="H1858" s="6" t="s">
        <v>3</v>
      </c>
      <c r="I1858" s="188"/>
      <c r="J1858" s="225"/>
      <c r="K1858" s="243"/>
      <c r="L1858" s="220">
        <f t="shared" si="804"/>
        <v>0</v>
      </c>
      <c r="O1858" s="6" t="s">
        <v>3</v>
      </c>
      <c r="P1858" s="8"/>
      <c r="Q1858" s="5">
        <f t="shared" si="801"/>
        <v>0</v>
      </c>
      <c r="R1858" s="186"/>
      <c r="S1858" s="6" t="s">
        <v>3</v>
      </c>
      <c r="T1858" s="8"/>
      <c r="U1858" s="5">
        <f t="shared" si="805"/>
        <v>0</v>
      </c>
      <c r="V1858" s="212"/>
    </row>
    <row r="1859" spans="2:22" x14ac:dyDescent="0.15">
      <c r="B1859" s="6" t="s">
        <v>3</v>
      </c>
      <c r="C1859" s="188"/>
      <c r="D1859" s="225"/>
      <c r="E1859" s="243"/>
      <c r="F1859" s="220">
        <f t="shared" si="799"/>
        <v>0</v>
      </c>
      <c r="H1859" s="6" t="s">
        <v>3</v>
      </c>
      <c r="I1859" s="188"/>
      <c r="J1859" s="225"/>
      <c r="K1859" s="243"/>
      <c r="L1859" s="220">
        <f t="shared" si="804"/>
        <v>0</v>
      </c>
      <c r="O1859" s="6" t="s">
        <v>3</v>
      </c>
      <c r="P1859" s="8"/>
      <c r="Q1859" s="5">
        <f t="shared" si="801"/>
        <v>0</v>
      </c>
      <c r="R1859" s="186"/>
      <c r="S1859" s="6" t="s">
        <v>3</v>
      </c>
      <c r="T1859" s="8"/>
      <c r="U1859" s="5">
        <f t="shared" si="805"/>
        <v>0</v>
      </c>
      <c r="V1859" s="212"/>
    </row>
    <row r="1860" spans="2:22" x14ac:dyDescent="0.15">
      <c r="B1860" s="6" t="s">
        <v>3</v>
      </c>
      <c r="C1860" s="188"/>
      <c r="D1860" s="225"/>
      <c r="E1860" s="243"/>
      <c r="F1860" s="220">
        <f t="shared" si="799"/>
        <v>0</v>
      </c>
      <c r="H1860" s="6" t="s">
        <v>3</v>
      </c>
      <c r="I1860" s="188"/>
      <c r="J1860" s="225"/>
      <c r="K1860" s="243"/>
      <c r="L1860" s="220">
        <f t="shared" si="804"/>
        <v>0</v>
      </c>
      <c r="O1860" s="6" t="s">
        <v>3</v>
      </c>
      <c r="P1860" s="8"/>
      <c r="Q1860" s="5">
        <f t="shared" si="801"/>
        <v>0</v>
      </c>
      <c r="R1860" s="186"/>
      <c r="S1860" s="6" t="s">
        <v>3</v>
      </c>
      <c r="T1860" s="8"/>
      <c r="U1860" s="5">
        <f t="shared" si="805"/>
        <v>0</v>
      </c>
      <c r="V1860" s="212"/>
    </row>
    <row r="1861" spans="2:22" ht="14.25" thickBot="1" x14ac:dyDescent="0.2">
      <c r="B1861" s="9" t="s">
        <v>3</v>
      </c>
      <c r="C1861" s="198"/>
      <c r="D1861" s="244"/>
      <c r="E1861" s="245"/>
      <c r="F1861" s="220">
        <f t="shared" si="799"/>
        <v>0</v>
      </c>
      <c r="H1861" s="9" t="s">
        <v>3</v>
      </c>
      <c r="I1861" s="198"/>
      <c r="J1861" s="244"/>
      <c r="K1861" s="245"/>
      <c r="L1861" s="220">
        <f t="shared" si="804"/>
        <v>0</v>
      </c>
      <c r="O1861" s="9" t="s">
        <v>3</v>
      </c>
      <c r="P1861" s="10"/>
      <c r="Q1861" s="5">
        <f t="shared" si="801"/>
        <v>0</v>
      </c>
      <c r="R1861" s="186"/>
      <c r="S1861" s="9" t="s">
        <v>3</v>
      </c>
      <c r="T1861" s="10"/>
      <c r="U1861" s="5">
        <f t="shared" si="805"/>
        <v>0</v>
      </c>
      <c r="V1861" s="212"/>
    </row>
    <row r="1862" spans="2:22" ht="14.25" thickBot="1" x14ac:dyDescent="0.2">
      <c r="B1862" s="11" t="s">
        <v>4</v>
      </c>
      <c r="C1862" s="193">
        <f>SUM(C1851:C1861)</f>
        <v>260</v>
      </c>
      <c r="D1862" s="193">
        <f>SUM(D1851:D1861)</f>
        <v>63</v>
      </c>
      <c r="E1862" s="193">
        <f>SUM(E1851:E1861)</f>
        <v>65</v>
      </c>
      <c r="F1862" s="221">
        <f>SUM(F1851:F1861)</f>
        <v>388</v>
      </c>
      <c r="H1862" s="11" t="s">
        <v>4</v>
      </c>
      <c r="I1862" s="193">
        <f>SUM(I1851:I1861)</f>
        <v>8122</v>
      </c>
      <c r="J1862" s="193">
        <f t="shared" ref="J1862" si="806">SUM(J1851:J1861)</f>
        <v>2284</v>
      </c>
      <c r="K1862" s="193">
        <f t="shared" ref="K1862" si="807">SUM(K1851:K1861)</f>
        <v>2229</v>
      </c>
      <c r="L1862" s="221">
        <f>SUM(L1851:L1861)</f>
        <v>12746</v>
      </c>
      <c r="O1862" s="11" t="s">
        <v>4</v>
      </c>
      <c r="P1862" s="12">
        <f>SUM(P1851:P1861)</f>
        <v>0</v>
      </c>
      <c r="Q1862" s="13">
        <f>SUM(Q1851:Q1861)</f>
        <v>0</v>
      </c>
      <c r="S1862" s="11" t="s">
        <v>4</v>
      </c>
      <c r="T1862" s="12">
        <f>SUM(T1851:T1861)</f>
        <v>1534</v>
      </c>
      <c r="U1862" s="13">
        <f>SUM(U1851:U1861)</f>
        <v>1534</v>
      </c>
      <c r="V1862" s="209"/>
    </row>
    <row r="1863" spans="2:22" x14ac:dyDescent="0.15">
      <c r="B1863" s="4" t="s">
        <v>749</v>
      </c>
      <c r="C1863" s="233">
        <f>1+3</f>
        <v>4</v>
      </c>
      <c r="D1863" s="234">
        <v>1</v>
      </c>
      <c r="E1863" s="234"/>
      <c r="F1863" s="220">
        <f t="shared" ref="F1863:F1886" si="808">SUM(C1863:E1863)</f>
        <v>5</v>
      </c>
      <c r="G1863" s="248">
        <v>45572</v>
      </c>
      <c r="H1863" s="4"/>
      <c r="I1863" s="233"/>
      <c r="J1863" s="234"/>
      <c r="K1863" s="234"/>
      <c r="L1863" s="220">
        <f t="shared" ref="L1863:L1880" si="809">SUM(I1863:K1863)</f>
        <v>0</v>
      </c>
      <c r="O1863" s="4"/>
      <c r="P1863" s="44"/>
      <c r="Q1863" s="14">
        <f t="shared" ref="Q1863:Q1886" si="810">SUM(P1863:P1863)</f>
        <v>0</v>
      </c>
      <c r="R1863" s="185"/>
      <c r="S1863" s="4"/>
      <c r="T1863" s="44"/>
      <c r="U1863" s="14">
        <f t="shared" ref="U1863:U1885" si="811">SUM(T1863:T1863)</f>
        <v>0</v>
      </c>
      <c r="V1863" s="211"/>
    </row>
    <row r="1864" spans="2:22" x14ac:dyDescent="0.15">
      <c r="B1864" s="4" t="s">
        <v>749</v>
      </c>
      <c r="C1864" s="233">
        <v>1</v>
      </c>
      <c r="D1864" s="234"/>
      <c r="E1864" s="234"/>
      <c r="F1864" s="220">
        <f t="shared" si="808"/>
        <v>1</v>
      </c>
      <c r="G1864" s="248">
        <v>45573</v>
      </c>
      <c r="H1864" s="4"/>
      <c r="I1864" s="233"/>
      <c r="J1864" s="234"/>
      <c r="K1864" s="234"/>
      <c r="L1864" s="220">
        <f t="shared" si="809"/>
        <v>0</v>
      </c>
      <c r="O1864" s="4"/>
      <c r="P1864" s="15"/>
      <c r="Q1864" s="14">
        <f t="shared" si="810"/>
        <v>0</v>
      </c>
      <c r="R1864" s="186"/>
      <c r="S1864" s="4"/>
      <c r="T1864" s="15"/>
      <c r="U1864" s="14">
        <f t="shared" si="811"/>
        <v>0</v>
      </c>
      <c r="V1864" s="212"/>
    </row>
    <row r="1865" spans="2:22" x14ac:dyDescent="0.15">
      <c r="B1865" s="4" t="s">
        <v>749</v>
      </c>
      <c r="C1865" s="233">
        <f>1+1</f>
        <v>2</v>
      </c>
      <c r="D1865" s="234"/>
      <c r="E1865" s="234">
        <v>1</v>
      </c>
      <c r="F1865" s="220">
        <f t="shared" si="808"/>
        <v>3</v>
      </c>
      <c r="G1865" s="248">
        <v>45575</v>
      </c>
      <c r="H1865" s="4"/>
      <c r="I1865" s="233"/>
      <c r="J1865" s="234"/>
      <c r="K1865" s="234"/>
      <c r="L1865" s="220">
        <f t="shared" si="809"/>
        <v>0</v>
      </c>
      <c r="O1865" s="4"/>
      <c r="P1865" s="15"/>
      <c r="Q1865" s="14">
        <f t="shared" si="810"/>
        <v>0</v>
      </c>
      <c r="R1865" s="186"/>
      <c r="S1865" s="4"/>
      <c r="T1865" s="15"/>
      <c r="U1865" s="14">
        <f t="shared" si="811"/>
        <v>0</v>
      </c>
      <c r="V1865" s="212"/>
    </row>
    <row r="1866" spans="2:22" x14ac:dyDescent="0.15">
      <c r="B1866" s="4" t="s">
        <v>749</v>
      </c>
      <c r="C1866" s="233">
        <v>5</v>
      </c>
      <c r="D1866" s="234">
        <v>1</v>
      </c>
      <c r="E1866" s="234"/>
      <c r="F1866" s="220">
        <f t="shared" si="808"/>
        <v>6</v>
      </c>
      <c r="G1866" s="248">
        <v>45580</v>
      </c>
      <c r="H1866" s="4"/>
      <c r="I1866" s="233"/>
      <c r="J1866" s="234"/>
      <c r="K1866" s="234"/>
      <c r="L1866" s="220">
        <f t="shared" si="809"/>
        <v>0</v>
      </c>
      <c r="O1866" s="4"/>
      <c r="P1866" s="15"/>
      <c r="Q1866" s="14">
        <f t="shared" si="810"/>
        <v>0</v>
      </c>
      <c r="R1866" s="186"/>
      <c r="S1866" s="4"/>
      <c r="T1866" s="15"/>
      <c r="U1866" s="14">
        <f t="shared" si="811"/>
        <v>0</v>
      </c>
      <c r="V1866" s="212"/>
    </row>
    <row r="1867" spans="2:22" x14ac:dyDescent="0.15">
      <c r="B1867" s="4" t="s">
        <v>749</v>
      </c>
      <c r="C1867" s="233">
        <v>2</v>
      </c>
      <c r="D1867" s="234"/>
      <c r="E1867" s="234"/>
      <c r="F1867" s="220">
        <f t="shared" si="808"/>
        <v>2</v>
      </c>
      <c r="G1867" s="248">
        <v>45581</v>
      </c>
      <c r="H1867" s="4"/>
      <c r="I1867" s="233"/>
      <c r="J1867" s="234"/>
      <c r="K1867" s="234"/>
      <c r="L1867" s="220">
        <f t="shared" si="809"/>
        <v>0</v>
      </c>
      <c r="O1867" s="4"/>
      <c r="P1867" s="15"/>
      <c r="Q1867" s="14">
        <f t="shared" si="810"/>
        <v>0</v>
      </c>
      <c r="R1867" s="186"/>
      <c r="S1867" s="4"/>
      <c r="T1867" s="15"/>
      <c r="U1867" s="14">
        <f t="shared" si="811"/>
        <v>0</v>
      </c>
      <c r="V1867" s="212"/>
    </row>
    <row r="1868" spans="2:22" x14ac:dyDescent="0.15">
      <c r="B1868" s="4" t="s">
        <v>749</v>
      </c>
      <c r="C1868" s="233">
        <v>2</v>
      </c>
      <c r="D1868" s="234"/>
      <c r="E1868" s="234"/>
      <c r="F1868" s="220">
        <f t="shared" si="808"/>
        <v>2</v>
      </c>
      <c r="G1868" s="248">
        <v>45589</v>
      </c>
      <c r="H1868" s="4"/>
      <c r="I1868" s="233"/>
      <c r="J1868" s="234"/>
      <c r="K1868" s="234"/>
      <c r="L1868" s="220">
        <f t="shared" si="809"/>
        <v>0</v>
      </c>
      <c r="O1868" s="4"/>
      <c r="P1868" s="15"/>
      <c r="Q1868" s="14">
        <f t="shared" si="810"/>
        <v>0</v>
      </c>
      <c r="R1868" s="186"/>
      <c r="S1868" s="4"/>
      <c r="T1868" s="15"/>
      <c r="U1868" s="14">
        <f t="shared" si="811"/>
        <v>0</v>
      </c>
      <c r="V1868" s="212"/>
    </row>
    <row r="1869" spans="2:22" x14ac:dyDescent="0.15">
      <c r="B1869" s="4" t="s">
        <v>1327</v>
      </c>
      <c r="C1869" s="233">
        <v>1</v>
      </c>
      <c r="D1869" s="234">
        <v>1</v>
      </c>
      <c r="E1869" s="234">
        <v>1</v>
      </c>
      <c r="F1869" s="220">
        <f t="shared" si="808"/>
        <v>3</v>
      </c>
      <c r="G1869" s="248">
        <v>45594</v>
      </c>
      <c r="H1869" s="4"/>
      <c r="I1869" s="233"/>
      <c r="J1869" s="234"/>
      <c r="K1869" s="234"/>
      <c r="L1869" s="220">
        <f t="shared" si="809"/>
        <v>0</v>
      </c>
      <c r="O1869" s="4"/>
      <c r="P1869" s="15"/>
      <c r="Q1869" s="14">
        <f t="shared" si="810"/>
        <v>0</v>
      </c>
      <c r="R1869" s="186"/>
      <c r="S1869" s="4"/>
      <c r="T1869" s="15"/>
      <c r="U1869" s="14">
        <f t="shared" si="811"/>
        <v>0</v>
      </c>
      <c r="V1869" s="212"/>
    </row>
    <row r="1870" spans="2:22" x14ac:dyDescent="0.15">
      <c r="B1870" s="4" t="s">
        <v>749</v>
      </c>
      <c r="C1870" s="233">
        <v>1</v>
      </c>
      <c r="D1870" s="234"/>
      <c r="E1870" s="234"/>
      <c r="F1870" s="220">
        <f t="shared" si="808"/>
        <v>1</v>
      </c>
      <c r="G1870" s="248">
        <v>45598</v>
      </c>
      <c r="H1870" s="4"/>
      <c r="I1870" s="233"/>
      <c r="J1870" s="234"/>
      <c r="K1870" s="234"/>
      <c r="L1870" s="220">
        <f t="shared" si="809"/>
        <v>0</v>
      </c>
      <c r="O1870" s="4"/>
      <c r="P1870" s="15"/>
      <c r="Q1870" s="14">
        <f t="shared" si="810"/>
        <v>0</v>
      </c>
      <c r="R1870" s="186"/>
      <c r="S1870" s="4"/>
      <c r="T1870" s="15"/>
      <c r="U1870" s="14">
        <f t="shared" si="811"/>
        <v>0</v>
      </c>
      <c r="V1870" s="212"/>
    </row>
    <row r="1871" spans="2:22" x14ac:dyDescent="0.15">
      <c r="B1871" s="4" t="s">
        <v>749</v>
      </c>
      <c r="C1871" s="233"/>
      <c r="D1871" s="234">
        <v>3</v>
      </c>
      <c r="E1871" s="234"/>
      <c r="F1871" s="220">
        <f t="shared" si="808"/>
        <v>3</v>
      </c>
      <c r="G1871" s="248">
        <v>45601</v>
      </c>
      <c r="H1871" s="4"/>
      <c r="I1871" s="233"/>
      <c r="J1871" s="234"/>
      <c r="K1871" s="234"/>
      <c r="L1871" s="220">
        <f t="shared" si="809"/>
        <v>0</v>
      </c>
      <c r="O1871" s="4"/>
      <c r="P1871" s="15"/>
      <c r="Q1871" s="14">
        <f t="shared" si="810"/>
        <v>0</v>
      </c>
      <c r="R1871" s="186"/>
      <c r="S1871" s="4"/>
      <c r="T1871" s="15"/>
      <c r="U1871" s="14">
        <f t="shared" si="811"/>
        <v>0</v>
      </c>
      <c r="V1871" s="212"/>
    </row>
    <row r="1872" spans="2:22" x14ac:dyDescent="0.15">
      <c r="B1872" s="4" t="s">
        <v>1328</v>
      </c>
      <c r="C1872" s="233">
        <v>1</v>
      </c>
      <c r="D1872" s="234"/>
      <c r="E1872" s="234"/>
      <c r="F1872" s="220">
        <f t="shared" si="808"/>
        <v>1</v>
      </c>
      <c r="G1872" s="248">
        <v>45608</v>
      </c>
      <c r="H1872" s="4"/>
      <c r="I1872" s="233"/>
      <c r="J1872" s="234"/>
      <c r="K1872" s="234"/>
      <c r="L1872" s="220">
        <f t="shared" si="809"/>
        <v>0</v>
      </c>
      <c r="O1872" s="4"/>
      <c r="P1872" s="15"/>
      <c r="Q1872" s="14">
        <f t="shared" si="810"/>
        <v>0</v>
      </c>
      <c r="R1872" s="186"/>
      <c r="S1872" s="4"/>
      <c r="T1872" s="15"/>
      <c r="U1872" s="14">
        <f t="shared" si="811"/>
        <v>0</v>
      </c>
      <c r="V1872" s="212"/>
    </row>
    <row r="1873" spans="2:22" x14ac:dyDescent="0.15">
      <c r="B1873" s="4" t="s">
        <v>749</v>
      </c>
      <c r="C1873" s="233">
        <v>1</v>
      </c>
      <c r="D1873" s="234"/>
      <c r="E1873" s="234"/>
      <c r="F1873" s="220">
        <f t="shared" si="808"/>
        <v>1</v>
      </c>
      <c r="G1873" s="248">
        <v>45614</v>
      </c>
      <c r="H1873" s="4"/>
      <c r="I1873" s="233"/>
      <c r="J1873" s="234"/>
      <c r="K1873" s="234"/>
      <c r="L1873" s="220">
        <f t="shared" si="809"/>
        <v>0</v>
      </c>
      <c r="O1873" s="4"/>
      <c r="P1873" s="15"/>
      <c r="Q1873" s="14">
        <f t="shared" si="810"/>
        <v>0</v>
      </c>
      <c r="R1873" s="186"/>
      <c r="S1873" s="4"/>
      <c r="T1873" s="15"/>
      <c r="U1873" s="14">
        <f t="shared" si="811"/>
        <v>0</v>
      </c>
      <c r="V1873" s="212"/>
    </row>
    <row r="1874" spans="2:22" x14ac:dyDescent="0.15">
      <c r="B1874" s="4" t="s">
        <v>749</v>
      </c>
      <c r="C1874" s="233">
        <v>2</v>
      </c>
      <c r="D1874" s="234"/>
      <c r="E1874" s="234"/>
      <c r="F1874" s="220">
        <f t="shared" si="808"/>
        <v>2</v>
      </c>
      <c r="G1874" s="248">
        <v>45628</v>
      </c>
      <c r="H1874" s="4"/>
      <c r="I1874" s="233"/>
      <c r="J1874" s="234"/>
      <c r="K1874" s="234"/>
      <c r="L1874" s="220">
        <f t="shared" si="809"/>
        <v>0</v>
      </c>
      <c r="O1874" s="6"/>
      <c r="P1874" s="15"/>
      <c r="Q1874" s="14">
        <f t="shared" si="810"/>
        <v>0</v>
      </c>
      <c r="R1874" s="186"/>
      <c r="S1874" s="6"/>
      <c r="T1874" s="15"/>
      <c r="U1874" s="14">
        <f t="shared" si="811"/>
        <v>0</v>
      </c>
      <c r="V1874" s="212"/>
    </row>
    <row r="1875" spans="2:22" x14ac:dyDescent="0.15">
      <c r="B1875" s="4" t="s">
        <v>749</v>
      </c>
      <c r="C1875" s="233">
        <v>2</v>
      </c>
      <c r="D1875" s="234"/>
      <c r="E1875" s="234"/>
      <c r="F1875" s="220">
        <f t="shared" si="808"/>
        <v>2</v>
      </c>
      <c r="G1875" s="248">
        <v>45635</v>
      </c>
      <c r="H1875" s="4"/>
      <c r="I1875" s="233"/>
      <c r="J1875" s="234"/>
      <c r="K1875" s="234"/>
      <c r="L1875" s="220">
        <f t="shared" si="809"/>
        <v>0</v>
      </c>
      <c r="O1875" s="6"/>
      <c r="P1875" s="15"/>
      <c r="Q1875" s="14">
        <f t="shared" si="810"/>
        <v>0</v>
      </c>
      <c r="R1875" s="186"/>
      <c r="S1875" s="6"/>
      <c r="T1875" s="15"/>
      <c r="U1875" s="14">
        <f t="shared" si="811"/>
        <v>0</v>
      </c>
      <c r="V1875" s="212"/>
    </row>
    <row r="1876" spans="2:22" x14ac:dyDescent="0.15">
      <c r="B1876" s="4" t="s">
        <v>764</v>
      </c>
      <c r="C1876" s="233">
        <v>15</v>
      </c>
      <c r="D1876" s="234"/>
      <c r="E1876" s="234"/>
      <c r="F1876" s="220">
        <f t="shared" si="808"/>
        <v>15</v>
      </c>
      <c r="G1876" s="211">
        <v>45703</v>
      </c>
      <c r="H1876" s="4"/>
      <c r="I1876" s="233"/>
      <c r="J1876" s="234"/>
      <c r="K1876" s="234"/>
      <c r="L1876" s="220">
        <f t="shared" si="809"/>
        <v>0</v>
      </c>
      <c r="O1876" s="4"/>
      <c r="P1876" s="15"/>
      <c r="Q1876" s="14">
        <f t="shared" si="810"/>
        <v>0</v>
      </c>
      <c r="R1876" s="186"/>
      <c r="S1876" s="4"/>
      <c r="T1876" s="15"/>
      <c r="U1876" s="14">
        <f t="shared" si="811"/>
        <v>0</v>
      </c>
      <c r="V1876" s="212"/>
    </row>
    <row r="1877" spans="2:22" x14ac:dyDescent="0.15">
      <c r="B1877" s="4" t="s">
        <v>749</v>
      </c>
      <c r="C1877" s="233">
        <v>1</v>
      </c>
      <c r="D1877" s="234">
        <v>1</v>
      </c>
      <c r="E1877" s="234">
        <v>1</v>
      </c>
      <c r="F1877" s="220">
        <f t="shared" si="808"/>
        <v>3</v>
      </c>
      <c r="G1877" s="211">
        <v>45707</v>
      </c>
      <c r="H1877" s="4"/>
      <c r="I1877" s="233"/>
      <c r="J1877" s="234"/>
      <c r="K1877" s="234"/>
      <c r="L1877" s="220">
        <f t="shared" si="809"/>
        <v>0</v>
      </c>
      <c r="O1877" s="4"/>
      <c r="P1877" s="15"/>
      <c r="Q1877" s="14">
        <f t="shared" si="810"/>
        <v>0</v>
      </c>
      <c r="R1877" s="186"/>
      <c r="S1877" s="4"/>
      <c r="T1877" s="15"/>
      <c r="U1877" s="14">
        <f t="shared" si="811"/>
        <v>0</v>
      </c>
      <c r="V1877" s="212"/>
    </row>
    <row r="1878" spans="2:22" x14ac:dyDescent="0.15">
      <c r="B1878" s="4" t="s">
        <v>749</v>
      </c>
      <c r="C1878" s="233">
        <v>2</v>
      </c>
      <c r="D1878" s="234"/>
      <c r="E1878" s="234"/>
      <c r="F1878" s="220">
        <f t="shared" si="808"/>
        <v>2</v>
      </c>
      <c r="G1878" s="248">
        <v>45708</v>
      </c>
      <c r="H1878" s="4"/>
      <c r="I1878" s="233"/>
      <c r="J1878" s="234"/>
      <c r="K1878" s="234"/>
      <c r="L1878" s="220">
        <f t="shared" si="809"/>
        <v>0</v>
      </c>
      <c r="O1878" s="4"/>
      <c r="P1878" s="15"/>
      <c r="Q1878" s="14">
        <f t="shared" si="810"/>
        <v>0</v>
      </c>
      <c r="R1878" s="186"/>
      <c r="S1878" s="4"/>
      <c r="T1878" s="15"/>
      <c r="U1878" s="14">
        <f t="shared" si="811"/>
        <v>0</v>
      </c>
      <c r="V1878" s="212"/>
    </row>
    <row r="1879" spans="2:22" x14ac:dyDescent="0.15">
      <c r="B1879" s="4" t="s">
        <v>749</v>
      </c>
      <c r="C1879" s="233">
        <v>1</v>
      </c>
      <c r="D1879" s="234"/>
      <c r="E1879" s="234"/>
      <c r="F1879" s="220">
        <f t="shared" si="808"/>
        <v>1</v>
      </c>
      <c r="G1879" s="248">
        <v>45719</v>
      </c>
      <c r="H1879" s="4"/>
      <c r="I1879" s="233"/>
      <c r="J1879" s="234"/>
      <c r="K1879" s="234"/>
      <c r="L1879" s="220">
        <f t="shared" si="809"/>
        <v>0</v>
      </c>
      <c r="O1879" s="6"/>
      <c r="P1879" s="15"/>
      <c r="Q1879" s="14">
        <f t="shared" si="810"/>
        <v>0</v>
      </c>
      <c r="R1879" s="186"/>
      <c r="S1879" s="6"/>
      <c r="T1879" s="15"/>
      <c r="U1879" s="14">
        <f t="shared" si="811"/>
        <v>0</v>
      </c>
      <c r="V1879" s="212"/>
    </row>
    <row r="1880" spans="2:22" x14ac:dyDescent="0.15">
      <c r="B1880" s="4" t="s">
        <v>749</v>
      </c>
      <c r="C1880" s="233">
        <v>1</v>
      </c>
      <c r="D1880" s="234"/>
      <c r="E1880" s="234"/>
      <c r="F1880" s="220">
        <f t="shared" si="808"/>
        <v>1</v>
      </c>
      <c r="G1880" s="248">
        <v>45720</v>
      </c>
      <c r="H1880" s="4"/>
      <c r="I1880" s="233"/>
      <c r="J1880" s="234"/>
      <c r="K1880" s="234"/>
      <c r="L1880" s="220">
        <f t="shared" si="809"/>
        <v>0</v>
      </c>
      <c r="O1880" s="4"/>
      <c r="P1880" s="15"/>
      <c r="Q1880" s="14">
        <f t="shared" si="810"/>
        <v>0</v>
      </c>
      <c r="R1880" s="186"/>
      <c r="S1880" s="4"/>
      <c r="T1880" s="15"/>
      <c r="U1880" s="14">
        <f t="shared" si="811"/>
        <v>0</v>
      </c>
      <c r="V1880" s="212"/>
    </row>
    <row r="1881" spans="2:22" x14ac:dyDescent="0.15">
      <c r="B1881" s="4" t="s">
        <v>749</v>
      </c>
      <c r="C1881" s="233">
        <v>2</v>
      </c>
      <c r="D1881" s="234"/>
      <c r="E1881" s="234"/>
      <c r="F1881" s="220">
        <f t="shared" si="808"/>
        <v>2</v>
      </c>
      <c r="G1881" s="248">
        <v>45722</v>
      </c>
      <c r="H1881" s="4"/>
      <c r="I1881" s="233"/>
      <c r="J1881" s="234"/>
      <c r="K1881" s="234"/>
      <c r="L1881" s="220">
        <f t="shared" ref="L1881" si="812">SUM(I1881:K1881)</f>
        <v>0</v>
      </c>
      <c r="O1881" s="6"/>
      <c r="P1881" s="15"/>
      <c r="Q1881" s="14">
        <f t="shared" si="810"/>
        <v>0</v>
      </c>
      <c r="R1881" s="186"/>
      <c r="S1881" s="6"/>
      <c r="T1881" s="15"/>
      <c r="U1881" s="14">
        <f t="shared" si="811"/>
        <v>0</v>
      </c>
      <c r="V1881" s="212"/>
    </row>
    <row r="1882" spans="2:22" x14ac:dyDescent="0.15">
      <c r="B1882" s="4" t="s">
        <v>749</v>
      </c>
      <c r="C1882" s="233">
        <v>1</v>
      </c>
      <c r="D1882" s="234"/>
      <c r="E1882" s="234"/>
      <c r="F1882" s="220">
        <f t="shared" si="808"/>
        <v>1</v>
      </c>
      <c r="G1882" s="248">
        <v>45723</v>
      </c>
      <c r="H1882" s="4"/>
      <c r="I1882" s="233"/>
      <c r="J1882" s="234"/>
      <c r="K1882" s="234"/>
      <c r="L1882" s="220">
        <f t="shared" ref="L1882:L1886" si="813">SUM(I1882:K1882)</f>
        <v>0</v>
      </c>
      <c r="O1882" s="4"/>
      <c r="P1882" s="15"/>
      <c r="Q1882" s="14">
        <f t="shared" si="810"/>
        <v>0</v>
      </c>
      <c r="R1882" s="186"/>
      <c r="S1882" s="4"/>
      <c r="T1882" s="15"/>
      <c r="U1882" s="14">
        <f t="shared" si="811"/>
        <v>0</v>
      </c>
      <c r="V1882" s="212"/>
    </row>
    <row r="1883" spans="2:22" x14ac:dyDescent="0.15">
      <c r="B1883" s="4" t="s">
        <v>749</v>
      </c>
      <c r="C1883" s="233">
        <v>1</v>
      </c>
      <c r="D1883" s="234">
        <f>1+1+1</f>
        <v>3</v>
      </c>
      <c r="E1883" s="234"/>
      <c r="F1883" s="220">
        <f t="shared" si="808"/>
        <v>4</v>
      </c>
      <c r="G1883" s="248">
        <v>45726</v>
      </c>
      <c r="H1883" s="4"/>
      <c r="I1883" s="233"/>
      <c r="J1883" s="234"/>
      <c r="K1883" s="234"/>
      <c r="L1883" s="220">
        <f t="shared" si="813"/>
        <v>0</v>
      </c>
      <c r="O1883" s="4"/>
      <c r="P1883" s="15"/>
      <c r="Q1883" s="14">
        <f t="shared" si="810"/>
        <v>0</v>
      </c>
      <c r="R1883" s="186"/>
      <c r="S1883" s="4"/>
      <c r="T1883" s="15"/>
      <c r="U1883" s="14">
        <f t="shared" si="811"/>
        <v>0</v>
      </c>
      <c r="V1883" s="212"/>
    </row>
    <row r="1884" spans="2:22" x14ac:dyDescent="0.15">
      <c r="B1884" s="4" t="s">
        <v>749</v>
      </c>
      <c r="C1884" s="233">
        <f>1+1</f>
        <v>2</v>
      </c>
      <c r="D1884" s="234"/>
      <c r="E1884" s="234"/>
      <c r="F1884" s="220">
        <f t="shared" si="808"/>
        <v>2</v>
      </c>
      <c r="G1884" s="248">
        <v>45727</v>
      </c>
      <c r="H1884" s="4"/>
      <c r="I1884" s="233"/>
      <c r="J1884" s="234"/>
      <c r="K1884" s="234"/>
      <c r="L1884" s="220">
        <f t="shared" si="813"/>
        <v>0</v>
      </c>
      <c r="O1884" s="4"/>
      <c r="P1884" s="15"/>
      <c r="Q1884" s="14">
        <f t="shared" si="810"/>
        <v>0</v>
      </c>
      <c r="R1884" s="186"/>
      <c r="S1884" s="4"/>
      <c r="T1884" s="15"/>
      <c r="U1884" s="14">
        <f t="shared" si="811"/>
        <v>0</v>
      </c>
      <c r="V1884" s="212"/>
    </row>
    <row r="1885" spans="2:22" x14ac:dyDescent="0.15">
      <c r="B1885" s="4" t="s">
        <v>749</v>
      </c>
      <c r="C1885" s="233">
        <v>1</v>
      </c>
      <c r="D1885" s="234"/>
      <c r="E1885" s="234"/>
      <c r="F1885" s="220">
        <f t="shared" si="808"/>
        <v>1</v>
      </c>
      <c r="G1885" s="248">
        <v>45728</v>
      </c>
      <c r="H1885" s="4"/>
      <c r="I1885" s="233"/>
      <c r="J1885" s="234"/>
      <c r="K1885" s="234"/>
      <c r="L1885" s="220">
        <f t="shared" si="813"/>
        <v>0</v>
      </c>
      <c r="O1885" s="6"/>
      <c r="P1885" s="15"/>
      <c r="Q1885" s="14">
        <f t="shared" si="810"/>
        <v>0</v>
      </c>
      <c r="R1885" s="186"/>
      <c r="S1885" s="6"/>
      <c r="T1885" s="15"/>
      <c r="U1885" s="14">
        <f t="shared" si="811"/>
        <v>0</v>
      </c>
      <c r="V1885" s="212"/>
    </row>
    <row r="1886" spans="2:22" ht="14.25" thickBot="1" x14ac:dyDescent="0.2">
      <c r="B1886" s="4" t="s">
        <v>749</v>
      </c>
      <c r="C1886" s="235">
        <v>1</v>
      </c>
      <c r="D1886" s="234"/>
      <c r="E1886" s="234">
        <v>1</v>
      </c>
      <c r="F1886" s="220">
        <f t="shared" si="808"/>
        <v>2</v>
      </c>
      <c r="G1886" s="248">
        <v>45742</v>
      </c>
      <c r="H1886" s="4"/>
      <c r="I1886" s="233"/>
      <c r="J1886" s="234"/>
      <c r="K1886" s="234"/>
      <c r="L1886" s="220">
        <f t="shared" si="813"/>
        <v>0</v>
      </c>
      <c r="O1886" s="6"/>
      <c r="P1886" s="15"/>
      <c r="Q1886" s="14">
        <f t="shared" si="810"/>
        <v>0</v>
      </c>
      <c r="R1886" s="186"/>
      <c r="S1886" s="6"/>
      <c r="T1886" s="15"/>
      <c r="U1886" s="14">
        <f t="shared" ref="U1886" si="814">SUM(T1886:T1886)</f>
        <v>0</v>
      </c>
      <c r="V1886" s="212"/>
    </row>
    <row r="1887" spans="2:22" ht="14.25" thickBot="1" x14ac:dyDescent="0.2">
      <c r="B1887" s="3" t="s">
        <v>5</v>
      </c>
      <c r="C1887" s="16">
        <f>SUM(C1863:C1886)</f>
        <v>52</v>
      </c>
      <c r="D1887" s="16">
        <f>SUM(D1863:D1886)</f>
        <v>10</v>
      </c>
      <c r="E1887" s="16">
        <f>SUM(E1863:E1886)</f>
        <v>4</v>
      </c>
      <c r="F1887" s="223">
        <f>SUM(F1863:F1886)</f>
        <v>66</v>
      </c>
      <c r="H1887" s="3" t="s">
        <v>5</v>
      </c>
      <c r="I1887" s="16">
        <f>SUM(I1863:I1886)</f>
        <v>0</v>
      </c>
      <c r="J1887" s="16">
        <f t="shared" ref="J1887" si="815">SUM(J1863:J1886)</f>
        <v>0</v>
      </c>
      <c r="K1887" s="16">
        <f t="shared" ref="K1887" si="816">SUM(K1863:K1886)</f>
        <v>0</v>
      </c>
      <c r="L1887" s="223">
        <f>SUM(L1863:L1886)</f>
        <v>0</v>
      </c>
      <c r="O1887" s="3" t="s">
        <v>5</v>
      </c>
      <c r="P1887" s="16">
        <f>SUM(P1863:P1886)</f>
        <v>0</v>
      </c>
      <c r="Q1887" s="17">
        <f>SUM(Q1863:Q1886)</f>
        <v>0</v>
      </c>
      <c r="S1887" s="3" t="s">
        <v>5</v>
      </c>
      <c r="T1887" s="16">
        <f>SUM(T1863:T1886)</f>
        <v>0</v>
      </c>
      <c r="U1887" s="17">
        <f>SUM(U1863:U1886)</f>
        <v>0</v>
      </c>
      <c r="V1887" s="209"/>
    </row>
    <row r="1888" spans="2:22" ht="14.25" thickBot="1" x14ac:dyDescent="0.2">
      <c r="B1888" s="18" t="s">
        <v>6</v>
      </c>
      <c r="C1888" s="19">
        <f>C1862-C1887</f>
        <v>208</v>
      </c>
      <c r="D1888" s="19">
        <f>D1862-D1887</f>
        <v>53</v>
      </c>
      <c r="E1888" s="19">
        <f t="shared" ref="E1888" si="817">E1862-E1887</f>
        <v>61</v>
      </c>
      <c r="F1888" s="221">
        <f>F1862-F1887</f>
        <v>322</v>
      </c>
      <c r="H1888" s="18" t="s">
        <v>6</v>
      </c>
      <c r="I1888" s="19">
        <f>I1862-I1887</f>
        <v>8122</v>
      </c>
      <c r="J1888" s="19">
        <f t="shared" ref="J1888" si="818">J1862-J1887</f>
        <v>2284</v>
      </c>
      <c r="K1888" s="19">
        <f t="shared" ref="K1888" si="819">K1862-K1887</f>
        <v>2229</v>
      </c>
      <c r="L1888" s="221">
        <f>L1862-L1887</f>
        <v>12746</v>
      </c>
      <c r="O1888" s="18" t="s">
        <v>6</v>
      </c>
      <c r="P1888" s="19">
        <f>P1862-P1887</f>
        <v>0</v>
      </c>
      <c r="Q1888" s="13">
        <f>Q1862-Q1887</f>
        <v>0</v>
      </c>
      <c r="S1888" s="18" t="s">
        <v>6</v>
      </c>
      <c r="T1888" s="19">
        <f>T1862-T1887</f>
        <v>1534</v>
      </c>
      <c r="U1888" s="13">
        <f>U1862-U1887</f>
        <v>1534</v>
      </c>
      <c r="V1888" s="209"/>
    </row>
    <row r="1891" spans="1:22" ht="18" thickBot="1" x14ac:dyDescent="0.25">
      <c r="B1891" s="27" t="s">
        <v>739</v>
      </c>
      <c r="C1891" s="28"/>
      <c r="D1891" s="28"/>
      <c r="E1891" s="28"/>
      <c r="F1891" s="218"/>
      <c r="H1891" s="27" t="s">
        <v>740</v>
      </c>
      <c r="I1891" s="279"/>
      <c r="J1891" s="279"/>
      <c r="K1891" s="22"/>
      <c r="L1891" s="278"/>
      <c r="O1891" s="181" t="s">
        <v>737</v>
      </c>
      <c r="P1891" s="182"/>
      <c r="Q1891" s="182"/>
      <c r="R1891" s="183"/>
      <c r="S1891" s="181" t="s">
        <v>733</v>
      </c>
      <c r="T1891" s="182"/>
      <c r="U1891" s="182"/>
    </row>
    <row r="1892" spans="1:22" ht="14.25" thickBot="1" x14ac:dyDescent="0.2">
      <c r="B1892" s="2"/>
      <c r="C1892" s="194" t="s">
        <v>734</v>
      </c>
      <c r="D1892" s="195" t="s">
        <v>706</v>
      </c>
      <c r="E1892" s="2" t="s">
        <v>735</v>
      </c>
      <c r="F1892" s="219" t="s">
        <v>1</v>
      </c>
      <c r="H1892" s="2"/>
      <c r="I1892" s="197" t="s">
        <v>734</v>
      </c>
      <c r="J1892" s="195" t="s">
        <v>706</v>
      </c>
      <c r="K1892" s="201" t="s">
        <v>735</v>
      </c>
      <c r="L1892" s="219" t="s">
        <v>1</v>
      </c>
      <c r="O1892" s="2"/>
      <c r="P1892" s="3" t="s">
        <v>722</v>
      </c>
      <c r="Q1892" s="2" t="s">
        <v>1</v>
      </c>
      <c r="S1892" s="2"/>
      <c r="T1892" s="3" t="s">
        <v>722</v>
      </c>
      <c r="U1892" s="2" t="s">
        <v>1</v>
      </c>
    </row>
    <row r="1893" spans="1:22" x14ac:dyDescent="0.15">
      <c r="B1893" s="164" t="s">
        <v>26</v>
      </c>
      <c r="C1893" s="200">
        <f>C1888</f>
        <v>208</v>
      </c>
      <c r="D1893" s="164">
        <f t="shared" ref="D1893:F1893" si="820">D1888</f>
        <v>53</v>
      </c>
      <c r="E1893" s="164">
        <f t="shared" si="820"/>
        <v>61</v>
      </c>
      <c r="F1893" s="222">
        <f t="shared" si="820"/>
        <v>322</v>
      </c>
      <c r="H1893" s="164" t="s">
        <v>26</v>
      </c>
      <c r="I1893" s="200">
        <f>I1888</f>
        <v>8122</v>
      </c>
      <c r="J1893" s="164">
        <f t="shared" ref="J1893:L1893" si="821">J1888</f>
        <v>2284</v>
      </c>
      <c r="K1893" s="200">
        <f t="shared" si="821"/>
        <v>2229</v>
      </c>
      <c r="L1893" s="222">
        <f t="shared" si="821"/>
        <v>12746</v>
      </c>
      <c r="O1893" s="171" t="s">
        <v>26</v>
      </c>
      <c r="P1893" s="200">
        <f>P1888</f>
        <v>0</v>
      </c>
      <c r="Q1893" s="180">
        <f>Q1888</f>
        <v>0</v>
      </c>
      <c r="R1893" s="185"/>
      <c r="S1893" s="43" t="s">
        <v>26</v>
      </c>
      <c r="T1893" s="38">
        <f>T1888</f>
        <v>1534</v>
      </c>
      <c r="U1893" s="39">
        <f>U1888</f>
        <v>1534</v>
      </c>
    </row>
    <row r="1894" spans="1:22" x14ac:dyDescent="0.15">
      <c r="A1894" s="186"/>
      <c r="B1894" s="6" t="s">
        <v>3</v>
      </c>
      <c r="C1894" s="188">
        <v>200</v>
      </c>
      <c r="D1894" s="225"/>
      <c r="E1894" s="243"/>
      <c r="F1894" s="220">
        <f t="shared" ref="F1894:F1896" si="822">SUM(C1894:E1894)</f>
        <v>200</v>
      </c>
      <c r="G1894" s="211">
        <v>45752</v>
      </c>
      <c r="H1894" s="6" t="s">
        <v>3</v>
      </c>
      <c r="I1894" s="188"/>
      <c r="J1894" s="225"/>
      <c r="K1894" s="243"/>
      <c r="L1894" s="220">
        <f t="shared" ref="L1894:L1903" si="823">SUM(I1894:K1894)</f>
        <v>0</v>
      </c>
      <c r="M1894" s="212"/>
      <c r="O1894" s="6" t="s">
        <v>3</v>
      </c>
      <c r="P1894" s="7"/>
      <c r="Q1894" s="5">
        <f t="shared" ref="Q1894:Q1903" si="824">SUM(P1894:P1894)</f>
        <v>0</v>
      </c>
      <c r="R1894" s="186"/>
      <c r="S1894" s="6" t="s">
        <v>3</v>
      </c>
      <c r="T1894" s="7"/>
      <c r="U1894" s="5">
        <f t="shared" ref="U1894:U1903" si="825">SUM(T1894:T1894)</f>
        <v>0</v>
      </c>
      <c r="V1894" s="186"/>
    </row>
    <row r="1895" spans="1:22" x14ac:dyDescent="0.15">
      <c r="A1895" s="186"/>
      <c r="B1895" s="6" t="s">
        <v>3</v>
      </c>
      <c r="C1895" s="188"/>
      <c r="D1895" s="225">
        <v>100</v>
      </c>
      <c r="E1895" s="243">
        <v>100</v>
      </c>
      <c r="F1895" s="220">
        <f t="shared" si="822"/>
        <v>200</v>
      </c>
      <c r="G1895" s="211">
        <v>45784</v>
      </c>
      <c r="H1895" s="6" t="s">
        <v>3</v>
      </c>
      <c r="I1895" s="188"/>
      <c r="J1895" s="225"/>
      <c r="K1895" s="243"/>
      <c r="L1895" s="220">
        <f t="shared" si="823"/>
        <v>0</v>
      </c>
      <c r="M1895" s="212"/>
      <c r="O1895" s="6" t="s">
        <v>3</v>
      </c>
      <c r="P1895" s="7"/>
      <c r="Q1895" s="5">
        <f t="shared" si="824"/>
        <v>0</v>
      </c>
      <c r="R1895" s="186"/>
      <c r="S1895" s="6" t="s">
        <v>3</v>
      </c>
      <c r="T1895" s="7"/>
      <c r="U1895" s="5">
        <f t="shared" si="825"/>
        <v>0</v>
      </c>
      <c r="V1895" s="186"/>
    </row>
    <row r="1896" spans="1:22" x14ac:dyDescent="0.15">
      <c r="A1896" s="186"/>
      <c r="B1896" s="6" t="s">
        <v>3</v>
      </c>
      <c r="C1896" s="188"/>
      <c r="D1896" s="225"/>
      <c r="E1896" s="243"/>
      <c r="F1896" s="220">
        <f t="shared" si="822"/>
        <v>0</v>
      </c>
      <c r="G1896" s="212"/>
      <c r="H1896" s="6" t="s">
        <v>3</v>
      </c>
      <c r="I1896" s="188"/>
      <c r="J1896" s="225"/>
      <c r="K1896" s="243"/>
      <c r="L1896" s="220">
        <f t="shared" si="823"/>
        <v>0</v>
      </c>
      <c r="M1896" s="212"/>
      <c r="O1896" s="6" t="s">
        <v>3</v>
      </c>
      <c r="P1896" s="7"/>
      <c r="Q1896" s="5">
        <f t="shared" si="824"/>
        <v>0</v>
      </c>
      <c r="R1896" s="186"/>
      <c r="S1896" s="6" t="s">
        <v>3</v>
      </c>
      <c r="T1896" s="7"/>
      <c r="U1896" s="5">
        <f t="shared" si="825"/>
        <v>0</v>
      </c>
      <c r="V1896" s="186"/>
    </row>
    <row r="1897" spans="1:22" x14ac:dyDescent="0.15">
      <c r="A1897" s="186"/>
      <c r="B1897" s="6" t="s">
        <v>3</v>
      </c>
      <c r="C1897" s="188"/>
      <c r="D1897" s="225"/>
      <c r="E1897" s="243"/>
      <c r="F1897" s="220">
        <f t="shared" ref="F1897:F1903" si="826">SUM(C1897:E1897)</f>
        <v>0</v>
      </c>
      <c r="G1897" s="212"/>
      <c r="H1897" s="6" t="s">
        <v>3</v>
      </c>
      <c r="I1897" s="188"/>
      <c r="J1897" s="225"/>
      <c r="K1897" s="243"/>
      <c r="L1897" s="220">
        <f t="shared" si="823"/>
        <v>0</v>
      </c>
      <c r="M1897" s="212"/>
      <c r="O1897" s="6" t="s">
        <v>3</v>
      </c>
      <c r="P1897" s="7"/>
      <c r="Q1897" s="5">
        <f t="shared" si="824"/>
        <v>0</v>
      </c>
      <c r="R1897" s="186"/>
      <c r="S1897" s="6" t="s">
        <v>3</v>
      </c>
      <c r="T1897" s="7"/>
      <c r="U1897" s="5">
        <f t="shared" si="825"/>
        <v>0</v>
      </c>
      <c r="V1897" s="186"/>
    </row>
    <row r="1898" spans="1:22" x14ac:dyDescent="0.15">
      <c r="A1898" s="186"/>
      <c r="B1898" s="6" t="s">
        <v>3</v>
      </c>
      <c r="C1898" s="188"/>
      <c r="D1898" s="225"/>
      <c r="E1898" s="243"/>
      <c r="F1898" s="220">
        <f t="shared" si="826"/>
        <v>0</v>
      </c>
      <c r="G1898" s="212"/>
      <c r="H1898" s="6" t="s">
        <v>3</v>
      </c>
      <c r="I1898" s="188"/>
      <c r="J1898" s="225"/>
      <c r="K1898" s="243"/>
      <c r="L1898" s="220">
        <f t="shared" si="823"/>
        <v>0</v>
      </c>
      <c r="O1898" s="6" t="s">
        <v>3</v>
      </c>
      <c r="P1898" s="7"/>
      <c r="Q1898" s="5">
        <f t="shared" si="824"/>
        <v>0</v>
      </c>
      <c r="R1898" s="186"/>
      <c r="S1898" s="6" t="s">
        <v>3</v>
      </c>
      <c r="T1898" s="7"/>
      <c r="U1898" s="5">
        <f t="shared" si="825"/>
        <v>0</v>
      </c>
      <c r="V1898" s="186"/>
    </row>
    <row r="1899" spans="1:22" x14ac:dyDescent="0.15">
      <c r="B1899" s="6" t="s">
        <v>3</v>
      </c>
      <c r="C1899" s="188"/>
      <c r="D1899" s="6"/>
      <c r="E1899" s="202"/>
      <c r="F1899" s="220">
        <f t="shared" si="826"/>
        <v>0</v>
      </c>
      <c r="H1899" s="6" t="s">
        <v>3</v>
      </c>
      <c r="I1899" s="188"/>
      <c r="J1899" s="6"/>
      <c r="K1899" s="202"/>
      <c r="L1899" s="220">
        <f t="shared" si="823"/>
        <v>0</v>
      </c>
      <c r="O1899" s="6" t="s">
        <v>3</v>
      </c>
      <c r="P1899" s="7"/>
      <c r="Q1899" s="5">
        <f t="shared" si="824"/>
        <v>0</v>
      </c>
      <c r="R1899" s="186"/>
      <c r="S1899" s="6" t="s">
        <v>3</v>
      </c>
      <c r="T1899" s="7"/>
      <c r="U1899" s="5">
        <f t="shared" si="825"/>
        <v>0</v>
      </c>
      <c r="V1899" s="186"/>
    </row>
    <row r="1900" spans="1:22" x14ac:dyDescent="0.15">
      <c r="B1900" s="6" t="s">
        <v>3</v>
      </c>
      <c r="C1900" s="188"/>
      <c r="D1900" s="225"/>
      <c r="E1900" s="243"/>
      <c r="F1900" s="220">
        <f t="shared" si="826"/>
        <v>0</v>
      </c>
      <c r="H1900" s="6" t="s">
        <v>3</v>
      </c>
      <c r="I1900" s="188"/>
      <c r="J1900" s="225"/>
      <c r="K1900" s="243"/>
      <c r="L1900" s="220">
        <f t="shared" si="823"/>
        <v>0</v>
      </c>
      <c r="O1900" s="6" t="s">
        <v>3</v>
      </c>
      <c r="P1900" s="8"/>
      <c r="Q1900" s="5">
        <f t="shared" si="824"/>
        <v>0</v>
      </c>
      <c r="R1900" s="186"/>
      <c r="S1900" s="6" t="s">
        <v>3</v>
      </c>
      <c r="T1900" s="8"/>
      <c r="U1900" s="5">
        <f t="shared" si="825"/>
        <v>0</v>
      </c>
      <c r="V1900" s="186"/>
    </row>
    <row r="1901" spans="1:22" x14ac:dyDescent="0.15">
      <c r="B1901" s="6" t="s">
        <v>3</v>
      </c>
      <c r="C1901" s="188"/>
      <c r="D1901" s="225"/>
      <c r="E1901" s="243"/>
      <c r="F1901" s="220">
        <f t="shared" si="826"/>
        <v>0</v>
      </c>
      <c r="H1901" s="6" t="s">
        <v>3</v>
      </c>
      <c r="I1901" s="188"/>
      <c r="J1901" s="225"/>
      <c r="K1901" s="243"/>
      <c r="L1901" s="220">
        <f t="shared" si="823"/>
        <v>0</v>
      </c>
      <c r="O1901" s="6" t="s">
        <v>3</v>
      </c>
      <c r="P1901" s="8"/>
      <c r="Q1901" s="5">
        <f t="shared" si="824"/>
        <v>0</v>
      </c>
      <c r="R1901" s="186"/>
      <c r="S1901" s="6" t="s">
        <v>3</v>
      </c>
      <c r="T1901" s="8"/>
      <c r="U1901" s="5">
        <f t="shared" si="825"/>
        <v>0</v>
      </c>
      <c r="V1901" s="186"/>
    </row>
    <row r="1902" spans="1:22" x14ac:dyDescent="0.15">
      <c r="B1902" s="6" t="s">
        <v>3</v>
      </c>
      <c r="C1902" s="188"/>
      <c r="D1902" s="225"/>
      <c r="E1902" s="243"/>
      <c r="F1902" s="220">
        <f t="shared" si="826"/>
        <v>0</v>
      </c>
      <c r="H1902" s="6" t="s">
        <v>3</v>
      </c>
      <c r="I1902" s="188"/>
      <c r="J1902" s="225"/>
      <c r="K1902" s="243"/>
      <c r="L1902" s="220">
        <f t="shared" si="823"/>
        <v>0</v>
      </c>
      <c r="O1902" s="6" t="s">
        <v>3</v>
      </c>
      <c r="P1902" s="8"/>
      <c r="Q1902" s="5">
        <f t="shared" si="824"/>
        <v>0</v>
      </c>
      <c r="R1902" s="186"/>
      <c r="S1902" s="6" t="s">
        <v>3</v>
      </c>
      <c r="T1902" s="8"/>
      <c r="U1902" s="5">
        <f t="shared" si="825"/>
        <v>0</v>
      </c>
      <c r="V1902" s="186"/>
    </row>
    <row r="1903" spans="1:22" ht="14.25" thickBot="1" x14ac:dyDescent="0.2">
      <c r="B1903" s="9" t="s">
        <v>3</v>
      </c>
      <c r="C1903" s="198"/>
      <c r="D1903" s="244"/>
      <c r="E1903" s="245"/>
      <c r="F1903" s="220">
        <f t="shared" si="826"/>
        <v>0</v>
      </c>
      <c r="H1903" s="9" t="s">
        <v>3</v>
      </c>
      <c r="I1903" s="198"/>
      <c r="J1903" s="244"/>
      <c r="K1903" s="245"/>
      <c r="L1903" s="220">
        <f t="shared" si="823"/>
        <v>0</v>
      </c>
      <c r="O1903" s="9" t="s">
        <v>3</v>
      </c>
      <c r="P1903" s="10"/>
      <c r="Q1903" s="5">
        <f t="shared" si="824"/>
        <v>0</v>
      </c>
      <c r="R1903" s="186"/>
      <c r="S1903" s="9" t="s">
        <v>3</v>
      </c>
      <c r="T1903" s="10"/>
      <c r="U1903" s="5">
        <f t="shared" si="825"/>
        <v>0</v>
      </c>
      <c r="V1903" s="186"/>
    </row>
    <row r="1904" spans="1:22" ht="14.25" thickBot="1" x14ac:dyDescent="0.2">
      <c r="B1904" s="11" t="s">
        <v>4</v>
      </c>
      <c r="C1904" s="193">
        <f>SUM(C1893:C1903)</f>
        <v>408</v>
      </c>
      <c r="D1904" s="193">
        <f>SUM(D1893:D1903)</f>
        <v>153</v>
      </c>
      <c r="E1904" s="193">
        <f>SUM(E1893:E1903)</f>
        <v>161</v>
      </c>
      <c r="F1904" s="221">
        <f>SUM(F1893:F1903)</f>
        <v>722</v>
      </c>
      <c r="H1904" s="11" t="s">
        <v>4</v>
      </c>
      <c r="I1904" s="193">
        <f>SUM(I1893:I1903)</f>
        <v>8122</v>
      </c>
      <c r="J1904" s="193">
        <f t="shared" ref="J1904" si="827">SUM(J1893:J1903)</f>
        <v>2284</v>
      </c>
      <c r="K1904" s="193">
        <f t="shared" ref="K1904" si="828">SUM(K1893:K1903)</f>
        <v>2229</v>
      </c>
      <c r="L1904" s="221">
        <f>SUM(L1893:L1903)</f>
        <v>12746</v>
      </c>
      <c r="O1904" s="11" t="s">
        <v>4</v>
      </c>
      <c r="P1904" s="12">
        <f>SUM(P1893:P1903)</f>
        <v>0</v>
      </c>
      <c r="Q1904" s="13">
        <f>SUM(Q1893:Q1903)</f>
        <v>0</v>
      </c>
      <c r="S1904" s="11" t="s">
        <v>4</v>
      </c>
      <c r="T1904" s="12">
        <f>SUM(T1893:T1903)</f>
        <v>1534</v>
      </c>
      <c r="U1904" s="13">
        <f>SUM(U1893:U1903)</f>
        <v>1534</v>
      </c>
    </row>
    <row r="1905" spans="2:22" x14ac:dyDescent="0.15">
      <c r="B1905" s="4" t="s">
        <v>749</v>
      </c>
      <c r="C1905" s="233">
        <v>1</v>
      </c>
      <c r="D1905" s="234">
        <v>1</v>
      </c>
      <c r="E1905" s="234"/>
      <c r="F1905" s="220">
        <f t="shared" ref="F1905:F1922" si="829">SUM(C1905:E1905)</f>
        <v>2</v>
      </c>
      <c r="G1905" s="248">
        <v>45743</v>
      </c>
      <c r="H1905" s="4" t="s">
        <v>1337</v>
      </c>
      <c r="I1905" s="233">
        <v>100</v>
      </c>
      <c r="J1905" s="234"/>
      <c r="K1905" s="234"/>
      <c r="L1905" s="220">
        <f t="shared" ref="L1905:L1928" si="830">SUM(I1905:K1905)</f>
        <v>100</v>
      </c>
      <c r="M1905" s="211">
        <v>45758</v>
      </c>
      <c r="O1905" s="4"/>
      <c r="P1905" s="44"/>
      <c r="Q1905" s="14">
        <f t="shared" ref="Q1905:Q1928" si="831">SUM(P1905:P1905)</f>
        <v>0</v>
      </c>
      <c r="R1905" s="185"/>
      <c r="S1905" s="6" t="s">
        <v>1338</v>
      </c>
      <c r="T1905" s="44">
        <v>15</v>
      </c>
      <c r="U1905" s="14">
        <f t="shared" ref="U1905:U1928" si="832">SUM(T1905:T1905)</f>
        <v>15</v>
      </c>
      <c r="V1905" s="211">
        <v>45754</v>
      </c>
    </row>
    <row r="1906" spans="2:22" x14ac:dyDescent="0.15">
      <c r="B1906" s="4" t="s">
        <v>749</v>
      </c>
      <c r="C1906" s="233">
        <v>4</v>
      </c>
      <c r="D1906" s="234"/>
      <c r="E1906" s="234"/>
      <c r="F1906" s="220">
        <f t="shared" si="829"/>
        <v>4</v>
      </c>
      <c r="G1906" s="248">
        <v>45744</v>
      </c>
      <c r="H1906" s="6" t="s">
        <v>1338</v>
      </c>
      <c r="I1906" s="233">
        <v>40</v>
      </c>
      <c r="J1906" s="234">
        <v>40</v>
      </c>
      <c r="K1906" s="234">
        <v>40</v>
      </c>
      <c r="L1906" s="220">
        <f t="shared" si="830"/>
        <v>120</v>
      </c>
      <c r="M1906" s="211">
        <v>45754</v>
      </c>
      <c r="O1906" s="4"/>
      <c r="P1906" s="15"/>
      <c r="Q1906" s="14">
        <f t="shared" si="831"/>
        <v>0</v>
      </c>
      <c r="R1906" s="186"/>
      <c r="S1906" s="6" t="s">
        <v>1341</v>
      </c>
      <c r="T1906" s="15">
        <v>10</v>
      </c>
      <c r="U1906" s="14">
        <f t="shared" si="832"/>
        <v>10</v>
      </c>
      <c r="V1906" s="211">
        <v>45757</v>
      </c>
    </row>
    <row r="1907" spans="2:22" x14ac:dyDescent="0.15">
      <c r="B1907" s="4" t="s">
        <v>749</v>
      </c>
      <c r="C1907" s="233">
        <v>1</v>
      </c>
      <c r="D1907" s="234"/>
      <c r="E1907" s="234">
        <v>1</v>
      </c>
      <c r="F1907" s="220">
        <f t="shared" si="829"/>
        <v>2</v>
      </c>
      <c r="G1907" s="248">
        <v>45745</v>
      </c>
      <c r="H1907" s="4" t="s">
        <v>745</v>
      </c>
      <c r="I1907" s="233">
        <v>200</v>
      </c>
      <c r="J1907" s="234"/>
      <c r="K1907" s="234"/>
      <c r="L1907" s="220">
        <f t="shared" si="830"/>
        <v>200</v>
      </c>
      <c r="M1907" s="211">
        <v>45752</v>
      </c>
      <c r="O1907" s="4"/>
      <c r="P1907" s="15"/>
      <c r="Q1907" s="14">
        <f t="shared" si="831"/>
        <v>0</v>
      </c>
      <c r="R1907" s="186"/>
      <c r="S1907" s="6" t="s">
        <v>1342</v>
      </c>
      <c r="T1907" s="15">
        <v>7</v>
      </c>
      <c r="U1907" s="14">
        <f t="shared" si="832"/>
        <v>7</v>
      </c>
      <c r="V1907" s="211">
        <v>45758</v>
      </c>
    </row>
    <row r="1908" spans="2:22" x14ac:dyDescent="0.15">
      <c r="B1908" s="4" t="s">
        <v>749</v>
      </c>
      <c r="C1908" s="233">
        <v>2</v>
      </c>
      <c r="D1908" s="234"/>
      <c r="E1908" s="234"/>
      <c r="F1908" s="220">
        <f t="shared" si="829"/>
        <v>2</v>
      </c>
      <c r="G1908" s="248">
        <v>45747</v>
      </c>
      <c r="H1908" s="6" t="s">
        <v>1341</v>
      </c>
      <c r="I1908" s="233">
        <v>15</v>
      </c>
      <c r="J1908" s="234">
        <v>40</v>
      </c>
      <c r="K1908" s="234"/>
      <c r="L1908" s="220">
        <f t="shared" si="830"/>
        <v>55</v>
      </c>
      <c r="M1908" s="211">
        <v>45757</v>
      </c>
      <c r="O1908" s="4"/>
      <c r="P1908" s="15"/>
      <c r="Q1908" s="14">
        <f t="shared" si="831"/>
        <v>0</v>
      </c>
      <c r="R1908" s="186"/>
      <c r="S1908" s="4"/>
      <c r="T1908" s="15"/>
      <c r="U1908" s="14">
        <f t="shared" si="832"/>
        <v>0</v>
      </c>
      <c r="V1908" s="212"/>
    </row>
    <row r="1909" spans="2:22" x14ac:dyDescent="0.15">
      <c r="B1909" s="4" t="s">
        <v>749</v>
      </c>
      <c r="C1909" s="233">
        <v>1</v>
      </c>
      <c r="D1909" s="234"/>
      <c r="E1909" s="234"/>
      <c r="F1909" s="220">
        <f t="shared" si="829"/>
        <v>1</v>
      </c>
      <c r="G1909" s="248">
        <v>45749</v>
      </c>
      <c r="H1909" s="6" t="s">
        <v>1342</v>
      </c>
      <c r="I1909" s="233">
        <v>5</v>
      </c>
      <c r="J1909" s="234"/>
      <c r="K1909" s="234"/>
      <c r="L1909" s="220">
        <f t="shared" si="830"/>
        <v>5</v>
      </c>
      <c r="M1909" s="211">
        <v>45758</v>
      </c>
      <c r="O1909" s="4"/>
      <c r="P1909" s="15"/>
      <c r="Q1909" s="14">
        <f t="shared" si="831"/>
        <v>0</v>
      </c>
      <c r="R1909" s="186"/>
      <c r="S1909" s="4"/>
      <c r="T1909" s="15"/>
      <c r="U1909" s="14">
        <f t="shared" si="832"/>
        <v>0</v>
      </c>
      <c r="V1909" s="212"/>
    </row>
    <row r="1910" spans="2:22" x14ac:dyDescent="0.15">
      <c r="B1910" s="4" t="s">
        <v>749</v>
      </c>
      <c r="C1910" s="233">
        <v>1</v>
      </c>
      <c r="D1910" s="234"/>
      <c r="E1910" s="234">
        <v>1</v>
      </c>
      <c r="F1910" s="220">
        <f t="shared" si="829"/>
        <v>2</v>
      </c>
      <c r="G1910" s="248">
        <v>45752</v>
      </c>
      <c r="H1910" s="4" t="s">
        <v>1343</v>
      </c>
      <c r="I1910" s="233">
        <v>300</v>
      </c>
      <c r="J1910" s="234"/>
      <c r="K1910" s="234"/>
      <c r="L1910" s="220">
        <f t="shared" si="830"/>
        <v>300</v>
      </c>
      <c r="M1910" s="211">
        <v>45770</v>
      </c>
      <c r="O1910" s="4"/>
      <c r="P1910" s="15"/>
      <c r="Q1910" s="14">
        <f t="shared" si="831"/>
        <v>0</v>
      </c>
      <c r="R1910" s="186"/>
      <c r="S1910" s="4"/>
      <c r="T1910" s="15"/>
      <c r="U1910" s="14">
        <f t="shared" si="832"/>
        <v>0</v>
      </c>
      <c r="V1910" s="212"/>
    </row>
    <row r="1911" spans="2:22" x14ac:dyDescent="0.15">
      <c r="B1911" s="4" t="s">
        <v>749</v>
      </c>
      <c r="C1911" s="233">
        <f>5+1</f>
        <v>6</v>
      </c>
      <c r="D1911" s="234"/>
      <c r="E1911" s="234"/>
      <c r="F1911" s="220">
        <f t="shared" si="829"/>
        <v>6</v>
      </c>
      <c r="G1911" s="248">
        <v>45754</v>
      </c>
      <c r="H1911" s="4" t="s">
        <v>1344</v>
      </c>
      <c r="I1911" s="233">
        <v>300</v>
      </c>
      <c r="J1911" s="234">
        <v>200</v>
      </c>
      <c r="K1911" s="234">
        <v>100</v>
      </c>
      <c r="L1911" s="220">
        <f t="shared" si="830"/>
        <v>600</v>
      </c>
      <c r="M1911" s="211">
        <v>45780</v>
      </c>
      <c r="O1911" s="4"/>
      <c r="P1911" s="15"/>
      <c r="Q1911" s="14">
        <f t="shared" si="831"/>
        <v>0</v>
      </c>
      <c r="R1911" s="186"/>
      <c r="S1911" s="4"/>
      <c r="T1911" s="15"/>
      <c r="U1911" s="14">
        <f t="shared" si="832"/>
        <v>0</v>
      </c>
      <c r="V1911" s="212"/>
    </row>
    <row r="1912" spans="2:22" x14ac:dyDescent="0.15">
      <c r="B1912" s="4" t="s">
        <v>749</v>
      </c>
      <c r="C1912" s="233">
        <f>1+1+2</f>
        <v>4</v>
      </c>
      <c r="D1912" s="234">
        <v>1</v>
      </c>
      <c r="E1912" s="234">
        <v>1</v>
      </c>
      <c r="F1912" s="220">
        <f t="shared" si="829"/>
        <v>6</v>
      </c>
      <c r="G1912" s="248">
        <v>45755</v>
      </c>
      <c r="H1912" s="4" t="s">
        <v>745</v>
      </c>
      <c r="I1912" s="233"/>
      <c r="J1912" s="234">
        <v>100</v>
      </c>
      <c r="K1912" s="234">
        <v>100</v>
      </c>
      <c r="L1912" s="220">
        <f t="shared" si="830"/>
        <v>200</v>
      </c>
      <c r="M1912" s="211">
        <v>45784</v>
      </c>
      <c r="O1912" s="4"/>
      <c r="P1912" s="15"/>
      <c r="Q1912" s="14">
        <f t="shared" si="831"/>
        <v>0</v>
      </c>
      <c r="R1912" s="186"/>
      <c r="S1912" s="4"/>
      <c r="T1912" s="15"/>
      <c r="U1912" s="14">
        <f t="shared" si="832"/>
        <v>0</v>
      </c>
      <c r="V1912" s="212"/>
    </row>
    <row r="1913" spans="2:22" x14ac:dyDescent="0.15">
      <c r="B1913" s="4" t="s">
        <v>749</v>
      </c>
      <c r="C1913" s="233">
        <v>2</v>
      </c>
      <c r="D1913" s="234"/>
      <c r="E1913" s="234"/>
      <c r="F1913" s="220">
        <f t="shared" ref="F1913" si="833">SUM(C1913:E1913)</f>
        <v>2</v>
      </c>
      <c r="G1913" s="248">
        <v>45757</v>
      </c>
      <c r="H1913" s="4" t="s">
        <v>1345</v>
      </c>
      <c r="I1913" s="233">
        <v>5</v>
      </c>
      <c r="J1913" s="234"/>
      <c r="K1913" s="234">
        <v>30</v>
      </c>
      <c r="L1913" s="220">
        <f t="shared" si="830"/>
        <v>35</v>
      </c>
      <c r="M1913" s="211">
        <v>45787</v>
      </c>
      <c r="O1913" s="4"/>
      <c r="P1913" s="15"/>
      <c r="Q1913" s="14">
        <f t="shared" si="831"/>
        <v>0</v>
      </c>
      <c r="R1913" s="186"/>
      <c r="S1913" s="4"/>
      <c r="T1913" s="15"/>
      <c r="U1913" s="14">
        <f t="shared" si="832"/>
        <v>0</v>
      </c>
      <c r="V1913" s="212"/>
    </row>
    <row r="1914" spans="2:22" x14ac:dyDescent="0.15">
      <c r="B1914" s="4" t="s">
        <v>749</v>
      </c>
      <c r="C1914" s="233">
        <v>3</v>
      </c>
      <c r="D1914" s="234">
        <v>1</v>
      </c>
      <c r="E1914" s="234">
        <v>1</v>
      </c>
      <c r="F1914" s="220">
        <f t="shared" si="829"/>
        <v>5</v>
      </c>
      <c r="G1914" s="248">
        <v>45758</v>
      </c>
      <c r="H1914" s="4" t="s">
        <v>1346</v>
      </c>
      <c r="I1914" s="233"/>
      <c r="J1914" s="234">
        <v>50</v>
      </c>
      <c r="K1914" s="234"/>
      <c r="L1914" s="220">
        <f t="shared" si="830"/>
        <v>50</v>
      </c>
      <c r="M1914" s="211">
        <v>45789</v>
      </c>
      <c r="O1914" s="4"/>
      <c r="P1914" s="15"/>
      <c r="Q1914" s="14">
        <f t="shared" si="831"/>
        <v>0</v>
      </c>
      <c r="R1914" s="186"/>
      <c r="S1914" s="4"/>
      <c r="T1914" s="15"/>
      <c r="U1914" s="14">
        <f t="shared" si="832"/>
        <v>0</v>
      </c>
      <c r="V1914" s="212"/>
    </row>
    <row r="1915" spans="2:22" x14ac:dyDescent="0.15">
      <c r="B1915" s="4" t="s">
        <v>749</v>
      </c>
      <c r="C1915" s="233">
        <v>2</v>
      </c>
      <c r="D1915" s="234">
        <f>1+1</f>
        <v>2</v>
      </c>
      <c r="E1915" s="234"/>
      <c r="F1915" s="220">
        <f t="shared" si="829"/>
        <v>4</v>
      </c>
      <c r="G1915" s="248">
        <v>45761</v>
      </c>
      <c r="H1915" s="4"/>
      <c r="I1915" s="233"/>
      <c r="J1915" s="234"/>
      <c r="K1915" s="234"/>
      <c r="L1915" s="220">
        <f t="shared" si="830"/>
        <v>0</v>
      </c>
      <c r="M1915" s="211"/>
      <c r="O1915" s="4"/>
      <c r="P1915" s="15"/>
      <c r="Q1915" s="14">
        <f t="shared" si="831"/>
        <v>0</v>
      </c>
      <c r="R1915" s="186"/>
      <c r="S1915" s="4"/>
      <c r="T1915" s="15"/>
      <c r="U1915" s="14">
        <f t="shared" si="832"/>
        <v>0</v>
      </c>
      <c r="V1915" s="212"/>
    </row>
    <row r="1916" spans="2:22" x14ac:dyDescent="0.15">
      <c r="B1916" s="4" t="s">
        <v>749</v>
      </c>
      <c r="C1916" s="233">
        <v>6</v>
      </c>
      <c r="D1916" s="234"/>
      <c r="E1916" s="234">
        <f>1+1</f>
        <v>2</v>
      </c>
      <c r="F1916" s="220">
        <f t="shared" si="829"/>
        <v>8</v>
      </c>
      <c r="G1916" s="248">
        <v>45762</v>
      </c>
      <c r="H1916" s="4"/>
      <c r="I1916" s="233"/>
      <c r="J1916" s="234"/>
      <c r="K1916" s="234"/>
      <c r="L1916" s="220">
        <f t="shared" si="830"/>
        <v>0</v>
      </c>
      <c r="M1916" s="211"/>
      <c r="O1916" s="6"/>
      <c r="P1916" s="15"/>
      <c r="Q1916" s="14">
        <f t="shared" si="831"/>
        <v>0</v>
      </c>
      <c r="R1916" s="186"/>
      <c r="S1916" s="6"/>
      <c r="T1916" s="15"/>
      <c r="U1916" s="14">
        <f t="shared" si="832"/>
        <v>0</v>
      </c>
      <c r="V1916" s="212"/>
    </row>
    <row r="1917" spans="2:22" x14ac:dyDescent="0.15">
      <c r="B1917" s="4" t="s">
        <v>749</v>
      </c>
      <c r="C1917" s="233">
        <v>3</v>
      </c>
      <c r="D1917" s="234"/>
      <c r="E1917" s="234"/>
      <c r="F1917" s="220">
        <f t="shared" si="829"/>
        <v>3</v>
      </c>
      <c r="G1917" s="248">
        <v>45763</v>
      </c>
      <c r="H1917" s="4"/>
      <c r="I1917" s="233"/>
      <c r="J1917" s="234"/>
      <c r="K1917" s="234"/>
      <c r="L1917" s="220">
        <f t="shared" si="830"/>
        <v>0</v>
      </c>
      <c r="M1917" s="211"/>
      <c r="O1917" s="6"/>
      <c r="P1917" s="15"/>
      <c r="Q1917" s="14">
        <f t="shared" si="831"/>
        <v>0</v>
      </c>
      <c r="R1917" s="186"/>
      <c r="S1917" s="6"/>
      <c r="T1917" s="15"/>
      <c r="U1917" s="14">
        <f t="shared" si="832"/>
        <v>0</v>
      </c>
      <c r="V1917" s="212"/>
    </row>
    <row r="1918" spans="2:22" x14ac:dyDescent="0.15">
      <c r="B1918" s="4" t="s">
        <v>749</v>
      </c>
      <c r="C1918" s="233">
        <f>1+2</f>
        <v>3</v>
      </c>
      <c r="D1918" s="234">
        <f>1+1</f>
        <v>2</v>
      </c>
      <c r="E1918" s="234">
        <v>1</v>
      </c>
      <c r="F1918" s="220">
        <f t="shared" si="829"/>
        <v>6</v>
      </c>
      <c r="G1918" s="248">
        <v>45764</v>
      </c>
      <c r="H1918" s="4"/>
      <c r="I1918" s="233"/>
      <c r="J1918" s="234"/>
      <c r="K1918" s="234"/>
      <c r="L1918" s="220">
        <f t="shared" si="830"/>
        <v>0</v>
      </c>
      <c r="M1918" s="248"/>
      <c r="O1918" s="4"/>
      <c r="P1918" s="15"/>
      <c r="Q1918" s="14">
        <f t="shared" si="831"/>
        <v>0</v>
      </c>
      <c r="R1918" s="186"/>
      <c r="S1918" s="4"/>
      <c r="T1918" s="15"/>
      <c r="U1918" s="14">
        <f t="shared" si="832"/>
        <v>0</v>
      </c>
      <c r="V1918" s="212"/>
    </row>
    <row r="1919" spans="2:22" x14ac:dyDescent="0.15">
      <c r="B1919" s="4" t="s">
        <v>749</v>
      </c>
      <c r="C1919" s="233">
        <v>6</v>
      </c>
      <c r="D1919" s="234">
        <v>1</v>
      </c>
      <c r="E1919" s="234">
        <v>1</v>
      </c>
      <c r="F1919" s="220">
        <f t="shared" si="829"/>
        <v>8</v>
      </c>
      <c r="G1919" s="248">
        <v>45765</v>
      </c>
      <c r="H1919" s="4"/>
      <c r="I1919" s="233"/>
      <c r="J1919" s="234"/>
      <c r="K1919" s="234"/>
      <c r="L1919" s="220">
        <f t="shared" si="830"/>
        <v>0</v>
      </c>
      <c r="M1919" s="248"/>
      <c r="O1919" s="4"/>
      <c r="P1919" s="15"/>
      <c r="Q1919" s="14">
        <f t="shared" si="831"/>
        <v>0</v>
      </c>
      <c r="R1919" s="186"/>
      <c r="S1919" s="4"/>
      <c r="T1919" s="15"/>
      <c r="U1919" s="14">
        <f t="shared" si="832"/>
        <v>0</v>
      </c>
      <c r="V1919" s="212"/>
    </row>
    <row r="1920" spans="2:22" x14ac:dyDescent="0.15">
      <c r="B1920" s="4" t="s">
        <v>749</v>
      </c>
      <c r="C1920" s="233">
        <f>1+23+1</f>
        <v>25</v>
      </c>
      <c r="D1920" s="234">
        <v>6</v>
      </c>
      <c r="E1920" s="234">
        <v>7</v>
      </c>
      <c r="F1920" s="220">
        <f t="shared" si="829"/>
        <v>38</v>
      </c>
      <c r="G1920" s="248">
        <v>45768</v>
      </c>
      <c r="H1920" s="4"/>
      <c r="I1920" s="233"/>
      <c r="J1920" s="234"/>
      <c r="K1920" s="234"/>
      <c r="L1920" s="220">
        <f t="shared" si="830"/>
        <v>0</v>
      </c>
      <c r="M1920" s="248"/>
      <c r="O1920" s="4"/>
      <c r="P1920" s="15"/>
      <c r="Q1920" s="14">
        <f t="shared" si="831"/>
        <v>0</v>
      </c>
      <c r="R1920" s="186"/>
      <c r="S1920" s="4"/>
      <c r="T1920" s="15"/>
      <c r="U1920" s="14">
        <f t="shared" si="832"/>
        <v>0</v>
      </c>
      <c r="V1920" s="212"/>
    </row>
    <row r="1921" spans="2:22" x14ac:dyDescent="0.15">
      <c r="B1921" s="4" t="s">
        <v>749</v>
      </c>
      <c r="C1921" s="233">
        <v>5</v>
      </c>
      <c r="D1921" s="234"/>
      <c r="E1921" s="234">
        <v>1</v>
      </c>
      <c r="F1921" s="220">
        <f t="shared" si="829"/>
        <v>6</v>
      </c>
      <c r="G1921" s="248">
        <v>45769</v>
      </c>
      <c r="H1921" s="4"/>
      <c r="I1921" s="233"/>
      <c r="J1921" s="234"/>
      <c r="K1921" s="234"/>
      <c r="L1921" s="220">
        <f t="shared" si="830"/>
        <v>0</v>
      </c>
      <c r="M1921" s="248"/>
      <c r="O1921" s="6"/>
      <c r="P1921" s="15"/>
      <c r="Q1921" s="14">
        <f t="shared" si="831"/>
        <v>0</v>
      </c>
      <c r="R1921" s="186"/>
      <c r="S1921" s="6"/>
      <c r="T1921" s="15"/>
      <c r="U1921" s="14">
        <f t="shared" si="832"/>
        <v>0</v>
      </c>
      <c r="V1921" s="212"/>
    </row>
    <row r="1922" spans="2:22" x14ac:dyDescent="0.15">
      <c r="B1922" s="4" t="s">
        <v>749</v>
      </c>
      <c r="C1922" s="233">
        <f>2+1+1</f>
        <v>4</v>
      </c>
      <c r="D1922" s="234"/>
      <c r="E1922" s="234">
        <v>1</v>
      </c>
      <c r="F1922" s="220">
        <f t="shared" si="829"/>
        <v>5</v>
      </c>
      <c r="G1922" s="248">
        <v>45770</v>
      </c>
      <c r="H1922" s="4"/>
      <c r="I1922" s="233"/>
      <c r="J1922" s="234"/>
      <c r="K1922" s="234"/>
      <c r="L1922" s="220">
        <f t="shared" si="830"/>
        <v>0</v>
      </c>
      <c r="M1922" s="248"/>
      <c r="O1922" s="4"/>
      <c r="P1922" s="15"/>
      <c r="Q1922" s="14">
        <f t="shared" si="831"/>
        <v>0</v>
      </c>
      <c r="R1922" s="186"/>
      <c r="S1922" s="4"/>
      <c r="T1922" s="15"/>
      <c r="U1922" s="14">
        <f t="shared" si="832"/>
        <v>0</v>
      </c>
      <c r="V1922" s="212"/>
    </row>
    <row r="1923" spans="2:22" x14ac:dyDescent="0.15">
      <c r="B1923" s="4" t="s">
        <v>749</v>
      </c>
      <c r="C1923" s="233">
        <f>1+1</f>
        <v>2</v>
      </c>
      <c r="D1923" s="234">
        <v>3</v>
      </c>
      <c r="E1923" s="234"/>
      <c r="F1923" s="220">
        <f t="shared" ref="F1923:F1928" si="834">SUM(C1923:E1923)</f>
        <v>5</v>
      </c>
      <c r="G1923" s="248">
        <v>45771</v>
      </c>
      <c r="H1923" s="4"/>
      <c r="I1923" s="233"/>
      <c r="J1923" s="234"/>
      <c r="K1923" s="234"/>
      <c r="L1923" s="220">
        <f t="shared" si="830"/>
        <v>0</v>
      </c>
      <c r="M1923" s="248"/>
      <c r="O1923" s="6"/>
      <c r="P1923" s="15"/>
      <c r="Q1923" s="14">
        <f t="shared" si="831"/>
        <v>0</v>
      </c>
      <c r="R1923" s="186"/>
      <c r="S1923" s="6"/>
      <c r="T1923" s="15"/>
      <c r="U1923" s="14">
        <f t="shared" si="832"/>
        <v>0</v>
      </c>
      <c r="V1923" s="212"/>
    </row>
    <row r="1924" spans="2:22" x14ac:dyDescent="0.15">
      <c r="B1924" s="4" t="s">
        <v>749</v>
      </c>
      <c r="C1924" s="233">
        <v>9</v>
      </c>
      <c r="D1924" s="234">
        <f>1+1</f>
        <v>2</v>
      </c>
      <c r="E1924" s="234"/>
      <c r="F1924" s="220">
        <f t="shared" si="834"/>
        <v>11</v>
      </c>
      <c r="G1924" s="248">
        <v>45772</v>
      </c>
      <c r="H1924" s="4"/>
      <c r="I1924" s="233"/>
      <c r="J1924" s="234"/>
      <c r="K1924" s="234"/>
      <c r="L1924" s="220">
        <f t="shared" si="830"/>
        <v>0</v>
      </c>
      <c r="O1924" s="4"/>
      <c r="P1924" s="15"/>
      <c r="Q1924" s="14">
        <f t="shared" si="831"/>
        <v>0</v>
      </c>
      <c r="R1924" s="186"/>
      <c r="S1924" s="4"/>
      <c r="T1924" s="15"/>
      <c r="U1924" s="14">
        <f t="shared" si="832"/>
        <v>0</v>
      </c>
      <c r="V1924" s="212"/>
    </row>
    <row r="1925" spans="2:22" x14ac:dyDescent="0.15">
      <c r="B1925" s="4" t="s">
        <v>749</v>
      </c>
      <c r="C1925" s="233">
        <f>1+8</f>
        <v>9</v>
      </c>
      <c r="D1925" s="234">
        <v>4</v>
      </c>
      <c r="E1925" s="234">
        <f>1+1</f>
        <v>2</v>
      </c>
      <c r="F1925" s="220">
        <f t="shared" si="834"/>
        <v>15</v>
      </c>
      <c r="G1925" s="248">
        <v>45775</v>
      </c>
      <c r="H1925" s="6" t="s">
        <v>1329</v>
      </c>
      <c r="I1925" s="235"/>
      <c r="J1925" s="234"/>
      <c r="K1925" s="234"/>
      <c r="L1925" s="220">
        <f t="shared" si="830"/>
        <v>0</v>
      </c>
      <c r="M1925" s="212" t="s">
        <v>1330</v>
      </c>
      <c r="O1925" s="4"/>
      <c r="P1925" s="15"/>
      <c r="Q1925" s="14">
        <f t="shared" si="831"/>
        <v>0</v>
      </c>
      <c r="R1925" s="186"/>
      <c r="S1925" s="4"/>
      <c r="T1925" s="15"/>
      <c r="U1925" s="14">
        <f t="shared" si="832"/>
        <v>0</v>
      </c>
      <c r="V1925" s="212"/>
    </row>
    <row r="1926" spans="2:22" x14ac:dyDescent="0.15">
      <c r="B1926" s="4" t="s">
        <v>749</v>
      </c>
      <c r="C1926" s="233">
        <f>+-1+6</f>
        <v>5</v>
      </c>
      <c r="D1926" s="234">
        <v>1</v>
      </c>
      <c r="E1926" s="234"/>
      <c r="F1926" s="220">
        <f t="shared" si="834"/>
        <v>6</v>
      </c>
      <c r="G1926" s="248">
        <v>45777</v>
      </c>
      <c r="H1926" s="4" t="s">
        <v>1335</v>
      </c>
      <c r="I1926" s="233"/>
      <c r="J1926" s="234"/>
      <c r="K1926" s="234"/>
      <c r="L1926" s="220">
        <f t="shared" si="830"/>
        <v>0</v>
      </c>
      <c r="M1926" s="212" t="s">
        <v>1336</v>
      </c>
      <c r="O1926" s="4"/>
      <c r="P1926" s="15"/>
      <c r="Q1926" s="14">
        <f t="shared" si="831"/>
        <v>0</v>
      </c>
      <c r="R1926" s="186"/>
      <c r="S1926" s="4"/>
      <c r="T1926" s="15"/>
      <c r="U1926" s="14">
        <f t="shared" si="832"/>
        <v>0</v>
      </c>
      <c r="V1926" s="186"/>
    </row>
    <row r="1927" spans="2:22" x14ac:dyDescent="0.15">
      <c r="B1927" s="4" t="s">
        <v>749</v>
      </c>
      <c r="C1927" s="233">
        <v>7</v>
      </c>
      <c r="D1927" s="234"/>
      <c r="E1927" s="234"/>
      <c r="F1927" s="220">
        <f t="shared" si="834"/>
        <v>7</v>
      </c>
      <c r="G1927" s="248">
        <v>45778</v>
      </c>
      <c r="H1927" s="254" t="s">
        <v>1334</v>
      </c>
      <c r="I1927" s="258"/>
      <c r="J1927" s="275"/>
      <c r="K1927" s="275"/>
      <c r="L1927" s="250">
        <f t="shared" si="830"/>
        <v>0</v>
      </c>
      <c r="M1927" s="251"/>
      <c r="O1927" s="6"/>
      <c r="P1927" s="15"/>
      <c r="Q1927" s="14">
        <f t="shared" si="831"/>
        <v>0</v>
      </c>
      <c r="R1927" s="186"/>
      <c r="S1927" s="6"/>
      <c r="T1927" s="15"/>
      <c r="U1927" s="14">
        <f t="shared" si="832"/>
        <v>0</v>
      </c>
      <c r="V1927" s="186"/>
    </row>
    <row r="1928" spans="2:22" ht="14.25" thickBot="1" x14ac:dyDescent="0.2">
      <c r="B1928" s="4" t="s">
        <v>749</v>
      </c>
      <c r="C1928" s="235">
        <v>2</v>
      </c>
      <c r="D1928" s="234"/>
      <c r="E1928" s="234"/>
      <c r="F1928" s="220">
        <f t="shared" si="834"/>
        <v>2</v>
      </c>
      <c r="G1928" s="248">
        <v>45779</v>
      </c>
      <c r="H1928" s="4" t="s">
        <v>1332</v>
      </c>
      <c r="I1928" s="233"/>
      <c r="J1928" s="234"/>
      <c r="K1928" s="234"/>
      <c r="L1928" s="220">
        <f t="shared" si="830"/>
        <v>0</v>
      </c>
      <c r="M1928" s="212" t="s">
        <v>1333</v>
      </c>
      <c r="O1928" s="6"/>
      <c r="P1928" s="15"/>
      <c r="Q1928" s="14">
        <f t="shared" si="831"/>
        <v>0</v>
      </c>
      <c r="R1928" s="186"/>
      <c r="S1928" s="6" t="s">
        <v>1329</v>
      </c>
      <c r="T1928" s="15"/>
      <c r="U1928" s="14">
        <f t="shared" si="832"/>
        <v>0</v>
      </c>
      <c r="V1928" s="212" t="s">
        <v>1331</v>
      </c>
    </row>
    <row r="1929" spans="2:22" ht="14.25" thickBot="1" x14ac:dyDescent="0.2">
      <c r="B1929" s="3" t="s">
        <v>5</v>
      </c>
      <c r="C1929" s="16">
        <f>SUM(C1905:C1928)</f>
        <v>113</v>
      </c>
      <c r="D1929" s="16">
        <f>SUM(D1905:D1928)</f>
        <v>24</v>
      </c>
      <c r="E1929" s="16">
        <f>SUM(E1905:E1928)</f>
        <v>19</v>
      </c>
      <c r="F1929" s="223">
        <f>SUM(F1905:F1928)</f>
        <v>156</v>
      </c>
      <c r="H1929" s="3" t="s">
        <v>5</v>
      </c>
      <c r="I1929" s="16">
        <f>SUM(I1905:I1928)</f>
        <v>965</v>
      </c>
      <c r="J1929" s="16">
        <f t="shared" ref="J1929" si="835">SUM(J1905:J1928)</f>
        <v>430</v>
      </c>
      <c r="K1929" s="16">
        <f t="shared" ref="K1929" si="836">SUM(K1905:K1928)</f>
        <v>270</v>
      </c>
      <c r="L1929" s="223">
        <f>SUM(L1905:L1928)</f>
        <v>1665</v>
      </c>
      <c r="O1929" s="3" t="s">
        <v>5</v>
      </c>
      <c r="P1929" s="16">
        <f>SUM(P1905:P1928)</f>
        <v>0</v>
      </c>
      <c r="Q1929" s="17">
        <f>SUM(Q1905:Q1928)</f>
        <v>0</v>
      </c>
      <c r="S1929" s="3" t="s">
        <v>5</v>
      </c>
      <c r="T1929" s="16">
        <f>SUM(T1905:T1928)</f>
        <v>32</v>
      </c>
      <c r="U1929" s="17">
        <f>SUM(U1905:U1928)</f>
        <v>32</v>
      </c>
      <c r="V1929" s="209"/>
    </row>
    <row r="1930" spans="2:22" ht="14.25" thickBot="1" x14ac:dyDescent="0.2">
      <c r="B1930" s="18" t="s">
        <v>6</v>
      </c>
      <c r="C1930" s="19">
        <f>C1904-C1929</f>
        <v>295</v>
      </c>
      <c r="D1930" s="19">
        <f>D1904-D1929</f>
        <v>129</v>
      </c>
      <c r="E1930" s="19">
        <f t="shared" ref="E1930" si="837">E1904-E1929</f>
        <v>142</v>
      </c>
      <c r="F1930" s="221">
        <f>F1904-F1929</f>
        <v>566</v>
      </c>
      <c r="H1930" s="18" t="s">
        <v>6</v>
      </c>
      <c r="I1930" s="19">
        <f>I1904-I1929</f>
        <v>7157</v>
      </c>
      <c r="J1930" s="19">
        <f t="shared" ref="J1930" si="838">J1904-J1929</f>
        <v>1854</v>
      </c>
      <c r="K1930" s="19">
        <f t="shared" ref="K1930" si="839">K1904-K1929</f>
        <v>1959</v>
      </c>
      <c r="L1930" s="221">
        <f>L1904-L1929</f>
        <v>11081</v>
      </c>
      <c r="O1930" s="18" t="s">
        <v>6</v>
      </c>
      <c r="P1930" s="19">
        <f>P1904-P1929</f>
        <v>0</v>
      </c>
      <c r="Q1930" s="13">
        <f>Q1904-Q1929</f>
        <v>0</v>
      </c>
      <c r="S1930" s="18" t="s">
        <v>6</v>
      </c>
      <c r="T1930" s="19">
        <f>T1904-T1929</f>
        <v>1502</v>
      </c>
      <c r="U1930" s="13">
        <f>U1904-U1929</f>
        <v>1502</v>
      </c>
      <c r="V1930" s="209"/>
    </row>
    <row r="1933" spans="2:22" ht="18" thickBot="1" x14ac:dyDescent="0.25">
      <c r="B1933" s="27" t="s">
        <v>739</v>
      </c>
      <c r="C1933" s="28"/>
      <c r="D1933" s="28"/>
      <c r="E1933" s="28"/>
      <c r="F1933" s="218"/>
      <c r="H1933" s="27" t="s">
        <v>740</v>
      </c>
      <c r="I1933" s="279"/>
      <c r="J1933" s="279"/>
      <c r="K1933" s="22"/>
      <c r="L1933" s="278"/>
      <c r="O1933" s="181" t="s">
        <v>737</v>
      </c>
      <c r="P1933" s="182"/>
      <c r="Q1933" s="182"/>
      <c r="R1933" s="183"/>
      <c r="S1933" s="181" t="s">
        <v>733</v>
      </c>
      <c r="T1933" s="182"/>
      <c r="U1933" s="182"/>
    </row>
    <row r="1934" spans="2:22" ht="14.25" thickBot="1" x14ac:dyDescent="0.2">
      <c r="B1934" s="2"/>
      <c r="C1934" s="194" t="s">
        <v>734</v>
      </c>
      <c r="D1934" s="195" t="s">
        <v>706</v>
      </c>
      <c r="E1934" s="2" t="s">
        <v>735</v>
      </c>
      <c r="F1934" s="219" t="s">
        <v>1</v>
      </c>
      <c r="H1934" s="2"/>
      <c r="I1934" s="197" t="s">
        <v>734</v>
      </c>
      <c r="J1934" s="195" t="s">
        <v>706</v>
      </c>
      <c r="K1934" s="201" t="s">
        <v>735</v>
      </c>
      <c r="L1934" s="219" t="s">
        <v>1</v>
      </c>
      <c r="O1934" s="2"/>
      <c r="P1934" s="3" t="s">
        <v>722</v>
      </c>
      <c r="Q1934" s="2" t="s">
        <v>1</v>
      </c>
      <c r="S1934" s="2"/>
      <c r="T1934" s="3" t="s">
        <v>722</v>
      </c>
      <c r="U1934" s="2" t="s">
        <v>1</v>
      </c>
    </row>
    <row r="1935" spans="2:22" x14ac:dyDescent="0.15">
      <c r="B1935" s="164" t="s">
        <v>26</v>
      </c>
      <c r="C1935" s="200">
        <f>C1930</f>
        <v>295</v>
      </c>
      <c r="D1935" s="164">
        <f t="shared" ref="D1935:F1935" si="840">D1930</f>
        <v>129</v>
      </c>
      <c r="E1935" s="164">
        <f t="shared" si="840"/>
        <v>142</v>
      </c>
      <c r="F1935" s="222">
        <f t="shared" si="840"/>
        <v>566</v>
      </c>
      <c r="H1935" s="164" t="s">
        <v>26</v>
      </c>
      <c r="I1935" s="200">
        <f>I1930</f>
        <v>7157</v>
      </c>
      <c r="J1935" s="164">
        <f t="shared" ref="J1935:L1935" si="841">J1930</f>
        <v>1854</v>
      </c>
      <c r="K1935" s="200">
        <f t="shared" si="841"/>
        <v>1959</v>
      </c>
      <c r="L1935" s="222">
        <f t="shared" si="841"/>
        <v>11081</v>
      </c>
      <c r="O1935" s="171" t="s">
        <v>26</v>
      </c>
      <c r="P1935" s="200">
        <f>P1930</f>
        <v>0</v>
      </c>
      <c r="Q1935" s="180">
        <f>Q1930</f>
        <v>0</v>
      </c>
      <c r="R1935" s="185"/>
      <c r="S1935" s="43" t="s">
        <v>26</v>
      </c>
      <c r="T1935" s="38">
        <f>T1930</f>
        <v>1502</v>
      </c>
      <c r="U1935" s="39">
        <f>U1930</f>
        <v>1502</v>
      </c>
    </row>
    <row r="1936" spans="2:22" x14ac:dyDescent="0.15">
      <c r="B1936" s="6" t="s">
        <v>968</v>
      </c>
      <c r="C1936" s="188">
        <v>5</v>
      </c>
      <c r="D1936" s="225">
        <v>6</v>
      </c>
      <c r="E1936" s="243">
        <v>5</v>
      </c>
      <c r="F1936" s="220">
        <f t="shared" ref="F1936:F1945" si="842">SUM(C1936:E1936)</f>
        <v>16</v>
      </c>
      <c r="G1936" s="211">
        <v>45796</v>
      </c>
      <c r="H1936" s="6" t="s">
        <v>3</v>
      </c>
      <c r="I1936" s="188"/>
      <c r="J1936" s="225"/>
      <c r="K1936" s="243">
        <v>6</v>
      </c>
      <c r="L1936" s="220">
        <f t="shared" ref="L1936:L1945" si="843">SUM(I1936:K1936)</f>
        <v>6</v>
      </c>
      <c r="M1936" s="211">
        <v>45815</v>
      </c>
      <c r="O1936" s="6" t="s">
        <v>3</v>
      </c>
      <c r="P1936" s="7"/>
      <c r="Q1936" s="5">
        <f t="shared" ref="Q1936:Q1945" si="844">SUM(P1936:P1936)</f>
        <v>0</v>
      </c>
      <c r="R1936" s="186"/>
      <c r="S1936" s="6" t="s">
        <v>3</v>
      </c>
      <c r="T1936" s="7"/>
      <c r="U1936" s="5">
        <f t="shared" ref="U1936:U1945" si="845">SUM(T1936:T1936)</f>
        <v>0</v>
      </c>
      <c r="V1936" s="186"/>
    </row>
    <row r="1937" spans="2:22" x14ac:dyDescent="0.15">
      <c r="B1937" s="6" t="s">
        <v>3</v>
      </c>
      <c r="C1937" s="188">
        <v>100</v>
      </c>
      <c r="D1937" s="225"/>
      <c r="E1937" s="243"/>
      <c r="F1937" s="220">
        <f t="shared" si="842"/>
        <v>100</v>
      </c>
      <c r="G1937" s="211">
        <v>45808</v>
      </c>
      <c r="H1937" s="6" t="s">
        <v>3</v>
      </c>
      <c r="I1937" s="188"/>
      <c r="J1937" s="225"/>
      <c r="K1937" s="243"/>
      <c r="L1937" s="220">
        <f t="shared" si="843"/>
        <v>0</v>
      </c>
      <c r="M1937" s="212"/>
      <c r="O1937" s="6" t="s">
        <v>3</v>
      </c>
      <c r="P1937" s="7"/>
      <c r="Q1937" s="5">
        <f t="shared" si="844"/>
        <v>0</v>
      </c>
      <c r="R1937" s="186"/>
      <c r="S1937" s="6" t="s">
        <v>3</v>
      </c>
      <c r="T1937" s="7"/>
      <c r="U1937" s="5">
        <f t="shared" si="845"/>
        <v>0</v>
      </c>
      <c r="V1937" s="186"/>
    </row>
    <row r="1938" spans="2:22" x14ac:dyDescent="0.15">
      <c r="B1938" s="6" t="s">
        <v>3</v>
      </c>
      <c r="C1938" s="188"/>
      <c r="D1938" s="225"/>
      <c r="E1938" s="243">
        <v>6</v>
      </c>
      <c r="F1938" s="220">
        <f t="shared" si="842"/>
        <v>6</v>
      </c>
      <c r="G1938" s="211">
        <v>45815</v>
      </c>
      <c r="H1938" s="6" t="s">
        <v>3</v>
      </c>
      <c r="I1938" s="188"/>
      <c r="J1938" s="225"/>
      <c r="K1938" s="243"/>
      <c r="L1938" s="220">
        <f t="shared" si="843"/>
        <v>0</v>
      </c>
      <c r="M1938" s="212"/>
      <c r="O1938" s="6" t="s">
        <v>3</v>
      </c>
      <c r="P1938" s="7"/>
      <c r="Q1938" s="5">
        <f t="shared" si="844"/>
        <v>0</v>
      </c>
      <c r="R1938" s="186"/>
      <c r="S1938" s="6" t="s">
        <v>3</v>
      </c>
      <c r="T1938" s="7"/>
      <c r="U1938" s="5">
        <f t="shared" si="845"/>
        <v>0</v>
      </c>
      <c r="V1938" s="186"/>
    </row>
    <row r="1939" spans="2:22" x14ac:dyDescent="0.15">
      <c r="B1939" s="6" t="s">
        <v>3</v>
      </c>
      <c r="C1939" s="188"/>
      <c r="D1939" s="225"/>
      <c r="E1939" s="243"/>
      <c r="F1939" s="220">
        <f t="shared" si="842"/>
        <v>0</v>
      </c>
      <c r="G1939" s="212"/>
      <c r="H1939" s="6" t="s">
        <v>3</v>
      </c>
      <c r="I1939" s="188"/>
      <c r="J1939" s="225"/>
      <c r="K1939" s="243"/>
      <c r="L1939" s="220">
        <f t="shared" si="843"/>
        <v>0</v>
      </c>
      <c r="M1939" s="212"/>
      <c r="O1939" s="6" t="s">
        <v>3</v>
      </c>
      <c r="P1939" s="7"/>
      <c r="Q1939" s="5">
        <f t="shared" si="844"/>
        <v>0</v>
      </c>
      <c r="R1939" s="186"/>
      <c r="S1939" s="6" t="s">
        <v>3</v>
      </c>
      <c r="T1939" s="7"/>
      <c r="U1939" s="5">
        <f t="shared" si="845"/>
        <v>0</v>
      </c>
      <c r="V1939" s="186"/>
    </row>
    <row r="1940" spans="2:22" x14ac:dyDescent="0.15">
      <c r="B1940" s="6" t="s">
        <v>3</v>
      </c>
      <c r="C1940" s="188"/>
      <c r="D1940" s="225"/>
      <c r="E1940" s="243"/>
      <c r="F1940" s="220">
        <f t="shared" si="842"/>
        <v>0</v>
      </c>
      <c r="H1940" s="6" t="s">
        <v>3</v>
      </c>
      <c r="I1940" s="188"/>
      <c r="J1940" s="225"/>
      <c r="K1940" s="243"/>
      <c r="L1940" s="220">
        <f t="shared" si="843"/>
        <v>0</v>
      </c>
      <c r="O1940" s="6" t="s">
        <v>3</v>
      </c>
      <c r="P1940" s="7"/>
      <c r="Q1940" s="5">
        <f t="shared" si="844"/>
        <v>0</v>
      </c>
      <c r="R1940" s="186"/>
      <c r="S1940" s="6" t="s">
        <v>3</v>
      </c>
      <c r="T1940" s="7"/>
      <c r="U1940" s="5">
        <f t="shared" si="845"/>
        <v>0</v>
      </c>
      <c r="V1940" s="186"/>
    </row>
    <row r="1941" spans="2:22" x14ac:dyDescent="0.15">
      <c r="B1941" s="6" t="s">
        <v>3</v>
      </c>
      <c r="C1941" s="188"/>
      <c r="D1941" s="6"/>
      <c r="E1941" s="202"/>
      <c r="F1941" s="220">
        <f t="shared" si="842"/>
        <v>0</v>
      </c>
      <c r="H1941" s="6" t="s">
        <v>3</v>
      </c>
      <c r="I1941" s="188"/>
      <c r="J1941" s="6"/>
      <c r="K1941" s="202"/>
      <c r="L1941" s="220">
        <f t="shared" si="843"/>
        <v>0</v>
      </c>
      <c r="O1941" s="6" t="s">
        <v>3</v>
      </c>
      <c r="P1941" s="7"/>
      <c r="Q1941" s="5">
        <f t="shared" si="844"/>
        <v>0</v>
      </c>
      <c r="R1941" s="186"/>
      <c r="S1941" s="6" t="s">
        <v>3</v>
      </c>
      <c r="T1941" s="7"/>
      <c r="U1941" s="5">
        <f t="shared" si="845"/>
        <v>0</v>
      </c>
      <c r="V1941" s="186"/>
    </row>
    <row r="1942" spans="2:22" x14ac:dyDescent="0.15">
      <c r="B1942" s="6" t="s">
        <v>3</v>
      </c>
      <c r="C1942" s="188"/>
      <c r="D1942" s="225"/>
      <c r="E1942" s="243"/>
      <c r="F1942" s="220">
        <f t="shared" si="842"/>
        <v>0</v>
      </c>
      <c r="H1942" s="6" t="s">
        <v>3</v>
      </c>
      <c r="I1942" s="188"/>
      <c r="J1942" s="225"/>
      <c r="K1942" s="243"/>
      <c r="L1942" s="220">
        <f t="shared" si="843"/>
        <v>0</v>
      </c>
      <c r="O1942" s="6" t="s">
        <v>3</v>
      </c>
      <c r="P1942" s="8"/>
      <c r="Q1942" s="5">
        <f t="shared" si="844"/>
        <v>0</v>
      </c>
      <c r="R1942" s="186"/>
      <c r="S1942" s="6" t="s">
        <v>3</v>
      </c>
      <c r="T1942" s="8"/>
      <c r="U1942" s="5">
        <f t="shared" si="845"/>
        <v>0</v>
      </c>
      <c r="V1942" s="186"/>
    </row>
    <row r="1943" spans="2:22" x14ac:dyDescent="0.15">
      <c r="B1943" s="6" t="s">
        <v>3</v>
      </c>
      <c r="C1943" s="188"/>
      <c r="D1943" s="225"/>
      <c r="E1943" s="243"/>
      <c r="F1943" s="220">
        <f t="shared" si="842"/>
        <v>0</v>
      </c>
      <c r="H1943" s="6" t="s">
        <v>3</v>
      </c>
      <c r="I1943" s="188"/>
      <c r="J1943" s="225"/>
      <c r="K1943" s="243"/>
      <c r="L1943" s="220">
        <f t="shared" si="843"/>
        <v>0</v>
      </c>
      <c r="O1943" s="6" t="s">
        <v>3</v>
      </c>
      <c r="P1943" s="8"/>
      <c r="Q1943" s="5">
        <f t="shared" si="844"/>
        <v>0</v>
      </c>
      <c r="R1943" s="186"/>
      <c r="S1943" s="6" t="s">
        <v>3</v>
      </c>
      <c r="T1943" s="8"/>
      <c r="U1943" s="5">
        <f t="shared" si="845"/>
        <v>0</v>
      </c>
      <c r="V1943" s="186"/>
    </row>
    <row r="1944" spans="2:22" x14ac:dyDescent="0.15">
      <c r="B1944" s="6" t="s">
        <v>3</v>
      </c>
      <c r="C1944" s="188"/>
      <c r="D1944" s="225"/>
      <c r="E1944" s="243"/>
      <c r="F1944" s="220">
        <f t="shared" si="842"/>
        <v>0</v>
      </c>
      <c r="H1944" s="6" t="s">
        <v>3</v>
      </c>
      <c r="I1944" s="188"/>
      <c r="J1944" s="225"/>
      <c r="K1944" s="243"/>
      <c r="L1944" s="220">
        <f t="shared" si="843"/>
        <v>0</v>
      </c>
      <c r="O1944" s="6" t="s">
        <v>3</v>
      </c>
      <c r="P1944" s="8"/>
      <c r="Q1944" s="5">
        <f t="shared" si="844"/>
        <v>0</v>
      </c>
      <c r="R1944" s="186"/>
      <c r="S1944" s="6" t="s">
        <v>3</v>
      </c>
      <c r="T1944" s="8"/>
      <c r="U1944" s="5">
        <f t="shared" si="845"/>
        <v>0</v>
      </c>
      <c r="V1944" s="186"/>
    </row>
    <row r="1945" spans="2:22" ht="14.25" thickBot="1" x14ac:dyDescent="0.2">
      <c r="B1945" s="9" t="s">
        <v>3</v>
      </c>
      <c r="C1945" s="198"/>
      <c r="D1945" s="244"/>
      <c r="E1945" s="245"/>
      <c r="F1945" s="220">
        <f t="shared" si="842"/>
        <v>0</v>
      </c>
      <c r="H1945" s="9" t="s">
        <v>3</v>
      </c>
      <c r="I1945" s="198"/>
      <c r="J1945" s="244"/>
      <c r="K1945" s="245"/>
      <c r="L1945" s="220">
        <f t="shared" si="843"/>
        <v>0</v>
      </c>
      <c r="O1945" s="9" t="s">
        <v>3</v>
      </c>
      <c r="P1945" s="10"/>
      <c r="Q1945" s="5">
        <f t="shared" si="844"/>
        <v>0</v>
      </c>
      <c r="R1945" s="186"/>
      <c r="S1945" s="9" t="s">
        <v>3</v>
      </c>
      <c r="T1945" s="10"/>
      <c r="U1945" s="5">
        <f t="shared" si="845"/>
        <v>0</v>
      </c>
      <c r="V1945" s="186"/>
    </row>
    <row r="1946" spans="2:22" ht="14.25" thickBot="1" x14ac:dyDescent="0.2">
      <c r="B1946" s="11" t="s">
        <v>4</v>
      </c>
      <c r="C1946" s="193">
        <f>SUM(C1935:C1945)</f>
        <v>400</v>
      </c>
      <c r="D1946" s="193">
        <f>SUM(D1935:D1945)</f>
        <v>135</v>
      </c>
      <c r="E1946" s="193">
        <f>SUM(E1935:E1945)</f>
        <v>153</v>
      </c>
      <c r="F1946" s="221">
        <f>SUM(F1935:F1945)</f>
        <v>688</v>
      </c>
      <c r="H1946" s="11" t="s">
        <v>4</v>
      </c>
      <c r="I1946" s="193">
        <f>SUM(I1935:I1945)</f>
        <v>7157</v>
      </c>
      <c r="J1946" s="193">
        <f t="shared" ref="J1946" si="846">SUM(J1935:J1945)</f>
        <v>1854</v>
      </c>
      <c r="K1946" s="193">
        <f t="shared" ref="K1946" si="847">SUM(K1935:K1945)</f>
        <v>1965</v>
      </c>
      <c r="L1946" s="221">
        <f>SUM(L1935:L1945)</f>
        <v>11087</v>
      </c>
      <c r="O1946" s="11" t="s">
        <v>4</v>
      </c>
      <c r="P1946" s="12">
        <f>SUM(P1935:P1945)</f>
        <v>0</v>
      </c>
      <c r="Q1946" s="13">
        <f>SUM(Q1935:Q1945)</f>
        <v>0</v>
      </c>
      <c r="S1946" s="11" t="s">
        <v>4</v>
      </c>
      <c r="T1946" s="12">
        <f>SUM(T1935:T1945)</f>
        <v>1502</v>
      </c>
      <c r="U1946" s="13">
        <f>SUM(U1935:U1945)</f>
        <v>1502</v>
      </c>
    </row>
    <row r="1947" spans="2:22" x14ac:dyDescent="0.15">
      <c r="B1947" s="4" t="s">
        <v>749</v>
      </c>
      <c r="C1947" s="233">
        <f>1+1+12+5</f>
        <v>19</v>
      </c>
      <c r="D1947" s="234">
        <f>1+2</f>
        <v>3</v>
      </c>
      <c r="E1947" s="234">
        <v>2</v>
      </c>
      <c r="F1947" s="220">
        <f t="shared" ref="F1947:F1970" si="848">SUM(C1947:E1947)</f>
        <v>24</v>
      </c>
      <c r="G1947" s="248">
        <v>45784</v>
      </c>
      <c r="H1947" s="4" t="s">
        <v>1347</v>
      </c>
      <c r="I1947" s="233">
        <v>100</v>
      </c>
      <c r="J1947" s="234"/>
      <c r="K1947" s="234"/>
      <c r="L1947" s="220">
        <f t="shared" ref="L1947:L1968" si="849">SUM(I1947:K1947)</f>
        <v>100</v>
      </c>
      <c r="M1947" s="248">
        <v>45808</v>
      </c>
      <c r="O1947" s="4"/>
      <c r="P1947" s="44"/>
      <c r="Q1947" s="14">
        <f t="shared" ref="Q1947:Q1970" si="850">SUM(P1947:P1947)</f>
        <v>0</v>
      </c>
      <c r="R1947" s="185"/>
      <c r="S1947" s="4"/>
      <c r="T1947" s="44"/>
      <c r="U1947" s="14">
        <f t="shared" ref="U1947:U1970" si="851">SUM(T1947:T1947)</f>
        <v>0</v>
      </c>
      <c r="V1947" s="185"/>
    </row>
    <row r="1948" spans="2:22" x14ac:dyDescent="0.15">
      <c r="B1948" s="4" t="s">
        <v>749</v>
      </c>
      <c r="C1948" s="233">
        <v>1</v>
      </c>
      <c r="D1948" s="234"/>
      <c r="E1948" s="234">
        <v>1</v>
      </c>
      <c r="F1948" s="220">
        <f t="shared" si="848"/>
        <v>2</v>
      </c>
      <c r="G1948" s="248">
        <v>45785</v>
      </c>
      <c r="H1948" s="4"/>
      <c r="I1948" s="233"/>
      <c r="J1948" s="234"/>
      <c r="K1948" s="234"/>
      <c r="L1948" s="220">
        <f t="shared" si="849"/>
        <v>0</v>
      </c>
      <c r="M1948" s="248"/>
      <c r="O1948" s="4"/>
      <c r="P1948" s="15"/>
      <c r="Q1948" s="14">
        <f t="shared" si="850"/>
        <v>0</v>
      </c>
      <c r="R1948" s="186"/>
      <c r="S1948" s="4"/>
      <c r="T1948" s="15"/>
      <c r="U1948" s="14">
        <f t="shared" si="851"/>
        <v>0</v>
      </c>
      <c r="V1948" s="186"/>
    </row>
    <row r="1949" spans="2:22" x14ac:dyDescent="0.15">
      <c r="B1949" s="4" t="s">
        <v>749</v>
      </c>
      <c r="C1949" s="233">
        <f>1+1+1</f>
        <v>3</v>
      </c>
      <c r="D1949" s="234"/>
      <c r="E1949" s="234"/>
      <c r="F1949" s="220">
        <f t="shared" si="848"/>
        <v>3</v>
      </c>
      <c r="G1949" s="248">
        <v>45786</v>
      </c>
      <c r="H1949" s="4"/>
      <c r="I1949" s="233"/>
      <c r="J1949" s="234"/>
      <c r="K1949" s="234"/>
      <c r="L1949" s="220">
        <f t="shared" si="849"/>
        <v>0</v>
      </c>
      <c r="M1949" s="248"/>
      <c r="O1949" s="4"/>
      <c r="P1949" s="15"/>
      <c r="Q1949" s="14">
        <f t="shared" si="850"/>
        <v>0</v>
      </c>
      <c r="R1949" s="186"/>
      <c r="S1949" s="4"/>
      <c r="T1949" s="15"/>
      <c r="U1949" s="14">
        <f t="shared" si="851"/>
        <v>0</v>
      </c>
      <c r="V1949" s="186"/>
    </row>
    <row r="1950" spans="2:22" x14ac:dyDescent="0.15">
      <c r="B1950" s="4" t="s">
        <v>749</v>
      </c>
      <c r="C1950" s="233">
        <f>1+13</f>
        <v>14</v>
      </c>
      <c r="D1950" s="234">
        <f>1+2</f>
        <v>3</v>
      </c>
      <c r="E1950" s="234">
        <v>1</v>
      </c>
      <c r="F1950" s="220">
        <f t="shared" si="848"/>
        <v>18</v>
      </c>
      <c r="G1950" s="248">
        <v>45789</v>
      </c>
      <c r="H1950" s="4"/>
      <c r="I1950" s="233"/>
      <c r="J1950" s="234"/>
      <c r="K1950" s="234"/>
      <c r="L1950" s="220">
        <f t="shared" si="849"/>
        <v>0</v>
      </c>
      <c r="M1950" s="248"/>
      <c r="O1950" s="4"/>
      <c r="P1950" s="15"/>
      <c r="Q1950" s="14">
        <f t="shared" si="850"/>
        <v>0</v>
      </c>
      <c r="R1950" s="186"/>
      <c r="S1950" s="4"/>
      <c r="T1950" s="15"/>
      <c r="U1950" s="14">
        <f t="shared" si="851"/>
        <v>0</v>
      </c>
      <c r="V1950" s="186"/>
    </row>
    <row r="1951" spans="2:22" x14ac:dyDescent="0.15">
      <c r="B1951" s="4" t="s">
        <v>749</v>
      </c>
      <c r="C1951" s="233">
        <f>1+6+1</f>
        <v>8</v>
      </c>
      <c r="D1951" s="234"/>
      <c r="E1951" s="234"/>
      <c r="F1951" s="220">
        <f t="shared" si="848"/>
        <v>8</v>
      </c>
      <c r="G1951" s="248">
        <v>45791</v>
      </c>
      <c r="H1951" s="4"/>
      <c r="I1951" s="233"/>
      <c r="J1951" s="234"/>
      <c r="K1951" s="234"/>
      <c r="L1951" s="220">
        <f t="shared" si="849"/>
        <v>0</v>
      </c>
      <c r="M1951" s="248"/>
      <c r="O1951" s="4"/>
      <c r="P1951" s="15"/>
      <c r="Q1951" s="14">
        <f t="shared" si="850"/>
        <v>0</v>
      </c>
      <c r="R1951" s="186"/>
      <c r="S1951" s="4"/>
      <c r="T1951" s="15"/>
      <c r="U1951" s="14">
        <f t="shared" si="851"/>
        <v>0</v>
      </c>
      <c r="V1951" s="186"/>
    </row>
    <row r="1952" spans="2:22" x14ac:dyDescent="0.15">
      <c r="B1952" s="4" t="s">
        <v>749</v>
      </c>
      <c r="C1952" s="233">
        <f>2+1+3</f>
        <v>6</v>
      </c>
      <c r="D1952" s="234">
        <v>3</v>
      </c>
      <c r="E1952" s="234">
        <v>1</v>
      </c>
      <c r="F1952" s="220">
        <f t="shared" si="848"/>
        <v>10</v>
      </c>
      <c r="G1952" s="248">
        <v>45792</v>
      </c>
      <c r="H1952" s="4"/>
      <c r="I1952" s="233"/>
      <c r="J1952" s="234"/>
      <c r="K1952" s="234"/>
      <c r="L1952" s="220">
        <f t="shared" si="849"/>
        <v>0</v>
      </c>
      <c r="M1952" s="248"/>
      <c r="O1952" s="4"/>
      <c r="P1952" s="15"/>
      <c r="Q1952" s="14">
        <f t="shared" si="850"/>
        <v>0</v>
      </c>
      <c r="R1952" s="186"/>
      <c r="S1952" s="4"/>
      <c r="T1952" s="15"/>
      <c r="U1952" s="14">
        <f t="shared" si="851"/>
        <v>0</v>
      </c>
      <c r="V1952" s="186"/>
    </row>
    <row r="1953" spans="2:22" x14ac:dyDescent="0.15">
      <c r="B1953" s="4" t="s">
        <v>749</v>
      </c>
      <c r="C1953" s="233">
        <f>10+8+1</f>
        <v>19</v>
      </c>
      <c r="D1953" s="234">
        <v>2</v>
      </c>
      <c r="E1953" s="234">
        <v>2</v>
      </c>
      <c r="F1953" s="220">
        <f t="shared" si="848"/>
        <v>23</v>
      </c>
      <c r="G1953" s="248">
        <v>45793</v>
      </c>
      <c r="H1953" s="4"/>
      <c r="I1953" s="233"/>
      <c r="J1953" s="234"/>
      <c r="K1953" s="234"/>
      <c r="L1953" s="220">
        <f t="shared" si="849"/>
        <v>0</v>
      </c>
      <c r="M1953" s="248"/>
      <c r="O1953" s="4"/>
      <c r="P1953" s="15"/>
      <c r="Q1953" s="14">
        <f t="shared" si="850"/>
        <v>0</v>
      </c>
      <c r="R1953" s="186"/>
      <c r="S1953" s="4"/>
      <c r="T1953" s="15"/>
      <c r="U1953" s="14">
        <f t="shared" si="851"/>
        <v>0</v>
      </c>
      <c r="V1953" s="186"/>
    </row>
    <row r="1954" spans="2:22" x14ac:dyDescent="0.15">
      <c r="B1954" s="4" t="s">
        <v>749</v>
      </c>
      <c r="C1954" s="233">
        <f>11+12+4</f>
        <v>27</v>
      </c>
      <c r="D1954" s="234">
        <f>7+3</f>
        <v>10</v>
      </c>
      <c r="E1954" s="234">
        <f>4+3+1+1</f>
        <v>9</v>
      </c>
      <c r="F1954" s="220">
        <f t="shared" si="848"/>
        <v>46</v>
      </c>
      <c r="G1954" s="248">
        <v>45796</v>
      </c>
      <c r="H1954" s="4"/>
      <c r="I1954" s="233"/>
      <c r="J1954" s="234"/>
      <c r="K1954" s="234"/>
      <c r="L1954" s="220">
        <f t="shared" si="849"/>
        <v>0</v>
      </c>
      <c r="M1954" s="248"/>
      <c r="O1954" s="4"/>
      <c r="P1954" s="15"/>
      <c r="Q1954" s="14">
        <f t="shared" si="850"/>
        <v>0</v>
      </c>
      <c r="R1954" s="186"/>
      <c r="S1954" s="4"/>
      <c r="T1954" s="15"/>
      <c r="U1954" s="14">
        <f t="shared" si="851"/>
        <v>0</v>
      </c>
      <c r="V1954" s="186"/>
    </row>
    <row r="1955" spans="2:22" x14ac:dyDescent="0.15">
      <c r="B1955" s="4" t="s">
        <v>749</v>
      </c>
      <c r="C1955" s="233">
        <f>1+7+1</f>
        <v>9</v>
      </c>
      <c r="D1955" s="234">
        <v>3</v>
      </c>
      <c r="E1955" s="234">
        <f>1+1</f>
        <v>2</v>
      </c>
      <c r="F1955" s="220">
        <f t="shared" si="848"/>
        <v>14</v>
      </c>
      <c r="G1955" s="248">
        <v>45797</v>
      </c>
      <c r="H1955" s="4"/>
      <c r="I1955" s="233"/>
      <c r="J1955" s="234"/>
      <c r="K1955" s="234"/>
      <c r="L1955" s="220">
        <f t="shared" si="849"/>
        <v>0</v>
      </c>
      <c r="M1955" s="248"/>
      <c r="O1955" s="4"/>
      <c r="P1955" s="15"/>
      <c r="Q1955" s="14">
        <f t="shared" si="850"/>
        <v>0</v>
      </c>
      <c r="R1955" s="186"/>
      <c r="S1955" s="4"/>
      <c r="T1955" s="15"/>
      <c r="U1955" s="14">
        <f t="shared" si="851"/>
        <v>0</v>
      </c>
      <c r="V1955" s="186"/>
    </row>
    <row r="1956" spans="2:22" x14ac:dyDescent="0.15">
      <c r="B1956" s="4" t="s">
        <v>749</v>
      </c>
      <c r="C1956" s="233">
        <f>2+5</f>
        <v>7</v>
      </c>
      <c r="D1956" s="234">
        <f>1+2</f>
        <v>3</v>
      </c>
      <c r="E1956" s="234"/>
      <c r="F1956" s="220">
        <f t="shared" si="848"/>
        <v>10</v>
      </c>
      <c r="G1956" s="248">
        <v>45798</v>
      </c>
      <c r="H1956" s="4"/>
      <c r="I1956" s="233"/>
      <c r="J1956" s="234"/>
      <c r="K1956" s="234"/>
      <c r="L1956" s="220">
        <f t="shared" si="849"/>
        <v>0</v>
      </c>
      <c r="M1956" s="248"/>
      <c r="O1956" s="4"/>
      <c r="P1956" s="15"/>
      <c r="Q1956" s="14">
        <f t="shared" si="850"/>
        <v>0</v>
      </c>
      <c r="R1956" s="186"/>
      <c r="S1956" s="4"/>
      <c r="T1956" s="15"/>
      <c r="U1956" s="14">
        <f t="shared" si="851"/>
        <v>0</v>
      </c>
      <c r="V1956" s="186"/>
    </row>
    <row r="1957" spans="2:22" x14ac:dyDescent="0.15">
      <c r="B1957" s="4" t="s">
        <v>749</v>
      </c>
      <c r="C1957" s="233">
        <f>2+5+5</f>
        <v>12</v>
      </c>
      <c r="D1957" s="234"/>
      <c r="E1957" s="234"/>
      <c r="F1957" s="220">
        <f t="shared" si="848"/>
        <v>12</v>
      </c>
      <c r="G1957" s="248">
        <v>45799</v>
      </c>
      <c r="H1957" s="4"/>
      <c r="I1957" s="233"/>
      <c r="J1957" s="234"/>
      <c r="K1957" s="234"/>
      <c r="L1957" s="220">
        <f t="shared" si="849"/>
        <v>0</v>
      </c>
      <c r="M1957" s="248"/>
      <c r="O1957" s="4"/>
      <c r="P1957" s="15"/>
      <c r="Q1957" s="14">
        <f t="shared" si="850"/>
        <v>0</v>
      </c>
      <c r="R1957" s="186"/>
      <c r="S1957" s="4"/>
      <c r="T1957" s="15"/>
      <c r="U1957" s="14">
        <f t="shared" si="851"/>
        <v>0</v>
      </c>
      <c r="V1957" s="186"/>
    </row>
    <row r="1958" spans="2:22" x14ac:dyDescent="0.15">
      <c r="B1958" s="4" t="s">
        <v>749</v>
      </c>
      <c r="C1958" s="233">
        <f>2+6</f>
        <v>8</v>
      </c>
      <c r="D1958" s="234"/>
      <c r="E1958" s="234">
        <v>2</v>
      </c>
      <c r="F1958" s="220">
        <f t="shared" si="848"/>
        <v>10</v>
      </c>
      <c r="G1958" s="248">
        <v>45800</v>
      </c>
      <c r="H1958" s="4"/>
      <c r="I1958" s="233"/>
      <c r="J1958" s="234"/>
      <c r="K1958" s="234"/>
      <c r="L1958" s="220">
        <f t="shared" si="849"/>
        <v>0</v>
      </c>
      <c r="M1958" s="248"/>
      <c r="O1958" s="6"/>
      <c r="P1958" s="15"/>
      <c r="Q1958" s="14">
        <f t="shared" si="850"/>
        <v>0</v>
      </c>
      <c r="R1958" s="186"/>
      <c r="S1958" s="6"/>
      <c r="T1958" s="15"/>
      <c r="U1958" s="14">
        <f t="shared" si="851"/>
        <v>0</v>
      </c>
      <c r="V1958" s="186"/>
    </row>
    <row r="1959" spans="2:22" x14ac:dyDescent="0.15">
      <c r="B1959" s="4" t="s">
        <v>749</v>
      </c>
      <c r="C1959" s="233">
        <f>1+1+15+6+6+2+1</f>
        <v>32</v>
      </c>
      <c r="D1959" s="234">
        <f>1+2+1</f>
        <v>4</v>
      </c>
      <c r="E1959" s="234">
        <f>1+1+1</f>
        <v>3</v>
      </c>
      <c r="F1959" s="220">
        <f t="shared" si="848"/>
        <v>39</v>
      </c>
      <c r="G1959" s="248">
        <v>45803</v>
      </c>
      <c r="H1959" s="4"/>
      <c r="I1959" s="233"/>
      <c r="J1959" s="234"/>
      <c r="K1959" s="234"/>
      <c r="L1959" s="220">
        <f t="shared" si="849"/>
        <v>0</v>
      </c>
      <c r="M1959" s="248"/>
      <c r="O1959" s="6"/>
      <c r="P1959" s="15"/>
      <c r="Q1959" s="14">
        <f t="shared" si="850"/>
        <v>0</v>
      </c>
      <c r="R1959" s="186"/>
      <c r="S1959" s="6"/>
      <c r="T1959" s="15"/>
      <c r="U1959" s="14">
        <f t="shared" si="851"/>
        <v>0</v>
      </c>
      <c r="V1959" s="186"/>
    </row>
    <row r="1960" spans="2:22" x14ac:dyDescent="0.15">
      <c r="B1960" s="4" t="s">
        <v>749</v>
      </c>
      <c r="C1960" s="233">
        <f>1+7</f>
        <v>8</v>
      </c>
      <c r="D1960" s="234"/>
      <c r="E1960" s="234"/>
      <c r="F1960" s="220">
        <f t="shared" si="848"/>
        <v>8</v>
      </c>
      <c r="G1960" s="248">
        <v>45804</v>
      </c>
      <c r="H1960" s="4"/>
      <c r="I1960" s="233"/>
      <c r="J1960" s="234"/>
      <c r="K1960" s="234"/>
      <c r="L1960" s="220">
        <f t="shared" si="849"/>
        <v>0</v>
      </c>
      <c r="M1960" s="248"/>
      <c r="O1960" s="4"/>
      <c r="P1960" s="15"/>
      <c r="Q1960" s="14">
        <f t="shared" si="850"/>
        <v>0</v>
      </c>
      <c r="R1960" s="186"/>
      <c r="S1960" s="4"/>
      <c r="T1960" s="15"/>
      <c r="U1960" s="14">
        <f t="shared" si="851"/>
        <v>0</v>
      </c>
      <c r="V1960" s="186"/>
    </row>
    <row r="1961" spans="2:22" x14ac:dyDescent="0.15">
      <c r="B1961" s="4" t="s">
        <v>749</v>
      </c>
      <c r="C1961" s="233">
        <v>1</v>
      </c>
      <c r="D1961" s="234"/>
      <c r="E1961" s="234">
        <v>1</v>
      </c>
      <c r="F1961" s="220">
        <f t="shared" si="848"/>
        <v>2</v>
      </c>
      <c r="G1961" s="248">
        <v>45805</v>
      </c>
      <c r="H1961" s="4"/>
      <c r="I1961" s="233"/>
      <c r="J1961" s="234"/>
      <c r="K1961" s="234"/>
      <c r="L1961" s="220">
        <f t="shared" si="849"/>
        <v>0</v>
      </c>
      <c r="M1961" s="248"/>
      <c r="O1961" s="4"/>
      <c r="P1961" s="15"/>
      <c r="Q1961" s="14">
        <f t="shared" si="850"/>
        <v>0</v>
      </c>
      <c r="R1961" s="186"/>
      <c r="S1961" s="4"/>
      <c r="T1961" s="15"/>
      <c r="U1961" s="14">
        <f t="shared" si="851"/>
        <v>0</v>
      </c>
      <c r="V1961" s="186"/>
    </row>
    <row r="1962" spans="2:22" x14ac:dyDescent="0.15">
      <c r="B1962" s="4" t="s">
        <v>749</v>
      </c>
      <c r="C1962" s="233">
        <v>3</v>
      </c>
      <c r="D1962" s="234">
        <v>1</v>
      </c>
      <c r="E1962" s="234"/>
      <c r="F1962" s="220">
        <f t="shared" si="848"/>
        <v>4</v>
      </c>
      <c r="G1962" s="248">
        <v>45806</v>
      </c>
      <c r="H1962" s="4"/>
      <c r="I1962" s="233"/>
      <c r="J1962" s="234"/>
      <c r="K1962" s="234"/>
      <c r="L1962" s="220">
        <f t="shared" si="849"/>
        <v>0</v>
      </c>
      <c r="M1962" s="248"/>
      <c r="O1962" s="4"/>
      <c r="P1962" s="15"/>
      <c r="Q1962" s="14">
        <f t="shared" si="850"/>
        <v>0</v>
      </c>
      <c r="R1962" s="186"/>
      <c r="S1962" s="4"/>
      <c r="T1962" s="15"/>
      <c r="U1962" s="14">
        <f t="shared" si="851"/>
        <v>0</v>
      </c>
      <c r="V1962" s="186"/>
    </row>
    <row r="1963" spans="2:22" x14ac:dyDescent="0.15">
      <c r="B1963" s="4" t="s">
        <v>749</v>
      </c>
      <c r="C1963" s="233">
        <v>24</v>
      </c>
      <c r="D1963" s="234"/>
      <c r="E1963" s="234"/>
      <c r="F1963" s="220">
        <f t="shared" si="848"/>
        <v>24</v>
      </c>
      <c r="G1963" s="248">
        <v>45807</v>
      </c>
      <c r="H1963" s="4"/>
      <c r="I1963" s="233"/>
      <c r="J1963" s="234"/>
      <c r="K1963" s="234"/>
      <c r="L1963" s="220">
        <f t="shared" si="849"/>
        <v>0</v>
      </c>
      <c r="M1963" s="248"/>
      <c r="O1963" s="6"/>
      <c r="P1963" s="15"/>
      <c r="Q1963" s="14">
        <f t="shared" si="850"/>
        <v>0</v>
      </c>
      <c r="R1963" s="186"/>
      <c r="S1963" s="6"/>
      <c r="T1963" s="15"/>
      <c r="U1963" s="14">
        <f t="shared" si="851"/>
        <v>0</v>
      </c>
      <c r="V1963" s="186"/>
    </row>
    <row r="1964" spans="2:22" x14ac:dyDescent="0.15">
      <c r="B1964" s="4" t="s">
        <v>749</v>
      </c>
      <c r="C1964" s="233">
        <v>1</v>
      </c>
      <c r="D1964" s="234"/>
      <c r="E1964" s="234">
        <v>1</v>
      </c>
      <c r="F1964" s="220">
        <f t="shared" si="848"/>
        <v>2</v>
      </c>
      <c r="G1964" s="248">
        <v>45808</v>
      </c>
      <c r="H1964" s="4"/>
      <c r="I1964" s="233"/>
      <c r="J1964" s="234"/>
      <c r="K1964" s="234"/>
      <c r="L1964" s="220">
        <f t="shared" si="849"/>
        <v>0</v>
      </c>
      <c r="M1964" s="248"/>
      <c r="O1964" s="4"/>
      <c r="P1964" s="15"/>
      <c r="Q1964" s="14">
        <f t="shared" si="850"/>
        <v>0</v>
      </c>
      <c r="R1964" s="186"/>
      <c r="S1964" s="4"/>
      <c r="T1964" s="15"/>
      <c r="U1964" s="14">
        <f t="shared" si="851"/>
        <v>0</v>
      </c>
      <c r="V1964" s="186"/>
    </row>
    <row r="1965" spans="2:22" x14ac:dyDescent="0.15">
      <c r="B1965" s="4" t="s">
        <v>749</v>
      </c>
      <c r="C1965" s="233">
        <f>14+1+1+1</f>
        <v>17</v>
      </c>
      <c r="D1965" s="234">
        <f>1+1</f>
        <v>2</v>
      </c>
      <c r="E1965" s="234">
        <v>2</v>
      </c>
      <c r="F1965" s="220">
        <f t="shared" si="848"/>
        <v>21</v>
      </c>
      <c r="G1965" s="248">
        <v>45810</v>
      </c>
      <c r="H1965" s="4"/>
      <c r="I1965" s="233"/>
      <c r="J1965" s="234"/>
      <c r="K1965" s="234"/>
      <c r="L1965" s="220">
        <f t="shared" si="849"/>
        <v>0</v>
      </c>
      <c r="M1965" s="248"/>
      <c r="O1965" s="6"/>
      <c r="P1965" s="15"/>
      <c r="Q1965" s="14">
        <f t="shared" si="850"/>
        <v>0</v>
      </c>
      <c r="R1965" s="186"/>
      <c r="S1965" s="6"/>
      <c r="T1965" s="15"/>
      <c r="U1965" s="14">
        <f t="shared" si="851"/>
        <v>0</v>
      </c>
      <c r="V1965" s="186"/>
    </row>
    <row r="1966" spans="2:22" x14ac:dyDescent="0.15">
      <c r="B1966" s="4" t="s">
        <v>749</v>
      </c>
      <c r="C1966" s="233">
        <v>4</v>
      </c>
      <c r="D1966" s="234"/>
      <c r="E1966" s="234"/>
      <c r="F1966" s="220">
        <f t="shared" si="848"/>
        <v>4</v>
      </c>
      <c r="G1966" s="248">
        <v>45811</v>
      </c>
      <c r="H1966" s="4"/>
      <c r="I1966" s="233"/>
      <c r="J1966" s="234"/>
      <c r="K1966" s="234"/>
      <c r="L1966" s="220">
        <f t="shared" si="849"/>
        <v>0</v>
      </c>
      <c r="M1966" s="248"/>
      <c r="O1966" s="4"/>
      <c r="P1966" s="15"/>
      <c r="Q1966" s="14">
        <f t="shared" si="850"/>
        <v>0</v>
      </c>
      <c r="R1966" s="186"/>
      <c r="S1966" s="4"/>
      <c r="T1966" s="15"/>
      <c r="U1966" s="14">
        <f t="shared" si="851"/>
        <v>0</v>
      </c>
      <c r="V1966" s="186"/>
    </row>
    <row r="1967" spans="2:22" x14ac:dyDescent="0.15">
      <c r="B1967" s="4" t="s">
        <v>749</v>
      </c>
      <c r="C1967" s="233">
        <f>3+3</f>
        <v>6</v>
      </c>
      <c r="D1967" s="234">
        <v>1</v>
      </c>
      <c r="E1967" s="234">
        <v>1</v>
      </c>
      <c r="F1967" s="220">
        <f t="shared" si="848"/>
        <v>8</v>
      </c>
      <c r="G1967" s="248">
        <v>45812</v>
      </c>
      <c r="H1967" s="4"/>
      <c r="I1967" s="233"/>
      <c r="J1967" s="234"/>
      <c r="K1967" s="234"/>
      <c r="L1967" s="220">
        <f t="shared" si="849"/>
        <v>0</v>
      </c>
      <c r="M1967" s="248"/>
      <c r="O1967" s="4"/>
      <c r="P1967" s="15"/>
      <c r="Q1967" s="14">
        <f t="shared" si="850"/>
        <v>0</v>
      </c>
      <c r="R1967" s="186"/>
      <c r="S1967" s="4"/>
      <c r="T1967" s="15"/>
      <c r="U1967" s="14">
        <f t="shared" si="851"/>
        <v>0</v>
      </c>
      <c r="V1967" s="186"/>
    </row>
    <row r="1968" spans="2:22" x14ac:dyDescent="0.15">
      <c r="B1968" s="4" t="s">
        <v>749</v>
      </c>
      <c r="C1968" s="233">
        <f>6+11</f>
        <v>17</v>
      </c>
      <c r="D1968" s="234">
        <f>1+3</f>
        <v>4</v>
      </c>
      <c r="E1968" s="234">
        <v>4</v>
      </c>
      <c r="F1968" s="220">
        <f t="shared" si="848"/>
        <v>25</v>
      </c>
      <c r="G1968" s="248">
        <v>45813</v>
      </c>
      <c r="H1968" s="4"/>
      <c r="I1968" s="233"/>
      <c r="J1968" s="234"/>
      <c r="K1968" s="234"/>
      <c r="L1968" s="220">
        <f t="shared" si="849"/>
        <v>0</v>
      </c>
      <c r="M1968" s="248"/>
      <c r="O1968" s="4"/>
      <c r="P1968" s="15"/>
      <c r="Q1968" s="14">
        <f t="shared" si="850"/>
        <v>0</v>
      </c>
      <c r="R1968" s="186"/>
      <c r="S1968" s="4"/>
      <c r="T1968" s="15"/>
      <c r="U1968" s="14">
        <f t="shared" si="851"/>
        <v>0</v>
      </c>
      <c r="V1968" s="186"/>
    </row>
    <row r="1969" spans="1:22" x14ac:dyDescent="0.15">
      <c r="B1969" s="4" t="s">
        <v>749</v>
      </c>
      <c r="C1969" s="233">
        <f>8+2+1+11</f>
        <v>22</v>
      </c>
      <c r="D1969" s="234">
        <f>1+1</f>
        <v>2</v>
      </c>
      <c r="E1969" s="234">
        <v>3</v>
      </c>
      <c r="F1969" s="220">
        <f t="shared" si="848"/>
        <v>27</v>
      </c>
      <c r="G1969" s="248">
        <v>45814</v>
      </c>
      <c r="H1969" s="4"/>
      <c r="I1969" s="233"/>
      <c r="J1969" s="234"/>
      <c r="K1969" s="234"/>
      <c r="L1969" s="220">
        <f t="shared" ref="L1969:L1970" si="852">SUM(I1969:K1969)</f>
        <v>0</v>
      </c>
      <c r="M1969" s="248"/>
      <c r="O1969" s="6"/>
      <c r="P1969" s="15"/>
      <c r="Q1969" s="14">
        <f t="shared" si="850"/>
        <v>0</v>
      </c>
      <c r="R1969" s="186"/>
      <c r="S1969" s="6"/>
      <c r="T1969" s="15"/>
      <c r="U1969" s="14">
        <f t="shared" si="851"/>
        <v>0</v>
      </c>
      <c r="V1969" s="186"/>
    </row>
    <row r="1970" spans="1:22" ht="14.25" thickBot="1" x14ac:dyDescent="0.2">
      <c r="B1970" s="4" t="s">
        <v>749</v>
      </c>
      <c r="C1970" s="235">
        <f>3+4</f>
        <v>7</v>
      </c>
      <c r="D1970" s="234">
        <v>1</v>
      </c>
      <c r="E1970" s="234">
        <v>1</v>
      </c>
      <c r="F1970" s="220">
        <f t="shared" si="848"/>
        <v>9</v>
      </c>
      <c r="G1970" s="248">
        <v>45815</v>
      </c>
      <c r="H1970" s="4"/>
      <c r="I1970" s="233"/>
      <c r="J1970" s="234"/>
      <c r="K1970" s="234"/>
      <c r="L1970" s="220">
        <f t="shared" si="852"/>
        <v>0</v>
      </c>
      <c r="M1970" s="248"/>
      <c r="O1970" s="6"/>
      <c r="P1970" s="15"/>
      <c r="Q1970" s="14">
        <f t="shared" si="850"/>
        <v>0</v>
      </c>
      <c r="R1970" s="186"/>
      <c r="S1970" s="6"/>
      <c r="T1970" s="15"/>
      <c r="U1970" s="14">
        <f t="shared" si="851"/>
        <v>0</v>
      </c>
      <c r="V1970" s="186"/>
    </row>
    <row r="1971" spans="1:22" ht="14.25" thickBot="1" x14ac:dyDescent="0.2">
      <c r="B1971" s="3" t="s">
        <v>5</v>
      </c>
      <c r="C1971" s="16">
        <f>SUM(C1947:C1970)</f>
        <v>275</v>
      </c>
      <c r="D1971" s="16">
        <f>SUM(D1947:D1970)</f>
        <v>42</v>
      </c>
      <c r="E1971" s="16">
        <f>SUM(E1947:E1970)</f>
        <v>36</v>
      </c>
      <c r="F1971" s="223">
        <f>SUM(F1947:F1970)</f>
        <v>353</v>
      </c>
      <c r="H1971" s="3" t="s">
        <v>5</v>
      </c>
      <c r="I1971" s="16">
        <f>SUM(I1947:I1970)</f>
        <v>100</v>
      </c>
      <c r="J1971" s="16">
        <f t="shared" ref="J1971" si="853">SUM(J1947:J1970)</f>
        <v>0</v>
      </c>
      <c r="K1971" s="16">
        <f t="shared" ref="K1971" si="854">SUM(K1947:K1970)</f>
        <v>0</v>
      </c>
      <c r="L1971" s="223">
        <f>SUM(L1947:L1970)</f>
        <v>100</v>
      </c>
      <c r="O1971" s="3" t="s">
        <v>5</v>
      </c>
      <c r="P1971" s="16">
        <f>SUM(P1947:P1970)</f>
        <v>0</v>
      </c>
      <c r="Q1971" s="17">
        <f>SUM(Q1947:Q1970)</f>
        <v>0</v>
      </c>
      <c r="S1971" s="3" t="s">
        <v>5</v>
      </c>
      <c r="T1971" s="16">
        <f>SUM(T1947:T1970)</f>
        <v>0</v>
      </c>
      <c r="U1971" s="17">
        <f>SUM(U1947:U1970)</f>
        <v>0</v>
      </c>
      <c r="V1971" s="209"/>
    </row>
    <row r="1972" spans="1:22" ht="14.25" thickBot="1" x14ac:dyDescent="0.2">
      <c r="B1972" s="18" t="s">
        <v>6</v>
      </c>
      <c r="C1972" s="19">
        <f>C1946-C1971</f>
        <v>125</v>
      </c>
      <c r="D1972" s="19">
        <f>D1946-D1971</f>
        <v>93</v>
      </c>
      <c r="E1972" s="19">
        <f t="shared" ref="E1972" si="855">E1946-E1971</f>
        <v>117</v>
      </c>
      <c r="F1972" s="221">
        <f>F1946-F1971</f>
        <v>335</v>
      </c>
      <c r="H1972" s="18" t="s">
        <v>6</v>
      </c>
      <c r="I1972" s="19">
        <f>I1946-I1971</f>
        <v>7057</v>
      </c>
      <c r="J1972" s="19">
        <f t="shared" ref="J1972" si="856">J1946-J1971</f>
        <v>1854</v>
      </c>
      <c r="K1972" s="19">
        <f t="shared" ref="K1972" si="857">K1946-K1971</f>
        <v>1965</v>
      </c>
      <c r="L1972" s="221">
        <f>L1946-L1971</f>
        <v>10987</v>
      </c>
      <c r="O1972" s="18" t="s">
        <v>6</v>
      </c>
      <c r="P1972" s="19">
        <f>P1946-P1971</f>
        <v>0</v>
      </c>
      <c r="Q1972" s="13">
        <f>Q1946-Q1971</f>
        <v>0</v>
      </c>
      <c r="S1972" s="18" t="s">
        <v>6</v>
      </c>
      <c r="T1972" s="19">
        <f>T1946-T1971</f>
        <v>1502</v>
      </c>
      <c r="U1972" s="13">
        <f>U1946-U1971</f>
        <v>1502</v>
      </c>
      <c r="V1972" s="209"/>
    </row>
    <row r="1975" spans="1:22" ht="18" thickBot="1" x14ac:dyDescent="0.25">
      <c r="B1975" s="27" t="s">
        <v>739</v>
      </c>
      <c r="C1975" s="28"/>
      <c r="D1975" s="28"/>
      <c r="E1975" s="28"/>
      <c r="F1975" s="218"/>
      <c r="H1975" s="27" t="s">
        <v>740</v>
      </c>
      <c r="I1975" s="279"/>
      <c r="J1975" s="279"/>
      <c r="K1975" s="22"/>
      <c r="L1975" s="278"/>
      <c r="O1975" s="181" t="s">
        <v>737</v>
      </c>
      <c r="P1975" s="182"/>
      <c r="Q1975" s="182"/>
      <c r="R1975" s="183"/>
      <c r="S1975" s="181" t="s">
        <v>733</v>
      </c>
      <c r="T1975" s="182"/>
      <c r="U1975" s="182"/>
    </row>
    <row r="1976" spans="1:22" ht="14.25" thickBot="1" x14ac:dyDescent="0.2">
      <c r="B1976" s="2"/>
      <c r="C1976" s="194" t="s">
        <v>734</v>
      </c>
      <c r="D1976" s="195" t="s">
        <v>706</v>
      </c>
      <c r="E1976" s="2" t="s">
        <v>735</v>
      </c>
      <c r="F1976" s="219" t="s">
        <v>1</v>
      </c>
      <c r="H1976" s="2"/>
      <c r="I1976" s="197" t="s">
        <v>734</v>
      </c>
      <c r="J1976" s="195" t="s">
        <v>706</v>
      </c>
      <c r="K1976" s="201" t="s">
        <v>735</v>
      </c>
      <c r="L1976" s="219" t="s">
        <v>1</v>
      </c>
      <c r="O1976" s="2"/>
      <c r="P1976" s="3" t="s">
        <v>722</v>
      </c>
      <c r="Q1976" s="2" t="s">
        <v>1</v>
      </c>
      <c r="S1976" s="2"/>
      <c r="T1976" s="3" t="s">
        <v>722</v>
      </c>
      <c r="U1976" s="2" t="s">
        <v>1</v>
      </c>
    </row>
    <row r="1977" spans="1:22" x14ac:dyDescent="0.15">
      <c r="B1977" s="164" t="s">
        <v>26</v>
      </c>
      <c r="C1977" s="200">
        <f>C1972</f>
        <v>125</v>
      </c>
      <c r="D1977" s="164">
        <f t="shared" ref="D1977:F1977" si="858">D1972</f>
        <v>93</v>
      </c>
      <c r="E1977" s="164">
        <f t="shared" si="858"/>
        <v>117</v>
      </c>
      <c r="F1977" s="222">
        <f t="shared" si="858"/>
        <v>335</v>
      </c>
      <c r="H1977" s="164" t="s">
        <v>26</v>
      </c>
      <c r="I1977" s="200">
        <f>I1972</f>
        <v>7057</v>
      </c>
      <c r="J1977" s="164">
        <f t="shared" ref="J1977:L1977" si="859">J1972</f>
        <v>1854</v>
      </c>
      <c r="K1977" s="200">
        <f t="shared" si="859"/>
        <v>1965</v>
      </c>
      <c r="L1977" s="222">
        <f t="shared" si="859"/>
        <v>10987</v>
      </c>
      <c r="O1977" s="171" t="s">
        <v>26</v>
      </c>
      <c r="P1977" s="200">
        <f>P1972</f>
        <v>0</v>
      </c>
      <c r="Q1977" s="180">
        <f>Q1972</f>
        <v>0</v>
      </c>
      <c r="R1977" s="185"/>
      <c r="S1977" s="43" t="s">
        <v>26</v>
      </c>
      <c r="T1977" s="38">
        <f>T1972</f>
        <v>1502</v>
      </c>
      <c r="U1977" s="39">
        <f>U1972</f>
        <v>1502</v>
      </c>
    </row>
    <row r="1978" spans="1:22" x14ac:dyDescent="0.15">
      <c r="A1978" s="186"/>
      <c r="B1978" s="6" t="s">
        <v>3</v>
      </c>
      <c r="C1978" s="188">
        <v>200</v>
      </c>
      <c r="D1978" s="225"/>
      <c r="E1978" s="243"/>
      <c r="F1978" s="220">
        <f t="shared" ref="F1978:F1987" si="860">SUM(C1978:E1978)</f>
        <v>200</v>
      </c>
      <c r="G1978" s="211">
        <v>45824</v>
      </c>
      <c r="H1978" s="6" t="s">
        <v>3</v>
      </c>
      <c r="I1978" s="188"/>
      <c r="J1978" s="225">
        <v>10</v>
      </c>
      <c r="K1978" s="243">
        <v>10</v>
      </c>
      <c r="L1978" s="220">
        <f t="shared" ref="L1978" si="861">SUM(I1978:K1978)</f>
        <v>20</v>
      </c>
      <c r="M1978" s="211">
        <v>45829</v>
      </c>
      <c r="O1978" s="6" t="s">
        <v>3</v>
      </c>
      <c r="P1978" s="7"/>
      <c r="Q1978" s="5">
        <f t="shared" ref="Q1978:Q1987" si="862">SUM(P1978:P1978)</f>
        <v>0</v>
      </c>
      <c r="R1978" s="186"/>
      <c r="S1978" s="6" t="s">
        <v>3</v>
      </c>
      <c r="T1978" s="7"/>
      <c r="U1978" s="5">
        <f t="shared" ref="U1978:U1987" si="863">SUM(T1978:T1978)</f>
        <v>0</v>
      </c>
      <c r="V1978" s="186"/>
    </row>
    <row r="1979" spans="1:22" x14ac:dyDescent="0.15">
      <c r="A1979" s="186"/>
      <c r="B1979" s="6" t="s">
        <v>968</v>
      </c>
      <c r="C1979" s="188">
        <v>4</v>
      </c>
      <c r="D1979" s="225"/>
      <c r="E1979" s="243">
        <v>2</v>
      </c>
      <c r="F1979" s="220">
        <f t="shared" si="860"/>
        <v>6</v>
      </c>
      <c r="G1979" s="211">
        <v>45827</v>
      </c>
      <c r="H1979" s="6" t="s">
        <v>3</v>
      </c>
      <c r="I1979" s="188"/>
      <c r="J1979" s="225"/>
      <c r="K1979" s="243"/>
      <c r="L1979" s="220">
        <f t="shared" ref="L1979:L1987" si="864">SUM(I1979:K1979)</f>
        <v>0</v>
      </c>
      <c r="M1979" s="212"/>
      <c r="O1979" s="6" t="s">
        <v>3</v>
      </c>
      <c r="P1979" s="7"/>
      <c r="Q1979" s="5">
        <f t="shared" si="862"/>
        <v>0</v>
      </c>
      <c r="R1979" s="186"/>
      <c r="S1979" s="6" t="s">
        <v>3</v>
      </c>
      <c r="T1979" s="7"/>
      <c r="U1979" s="5">
        <f t="shared" si="863"/>
        <v>0</v>
      </c>
      <c r="V1979" s="186"/>
    </row>
    <row r="1980" spans="1:22" x14ac:dyDescent="0.15">
      <c r="A1980" s="186"/>
      <c r="B1980" s="6" t="s">
        <v>968</v>
      </c>
      <c r="C1980" s="188"/>
      <c r="D1980" s="225">
        <v>30</v>
      </c>
      <c r="E1980" s="243">
        <v>13</v>
      </c>
      <c r="F1980" s="220">
        <f t="shared" si="860"/>
        <v>43</v>
      </c>
      <c r="G1980" s="211">
        <v>45828</v>
      </c>
      <c r="H1980" s="6" t="s">
        <v>3</v>
      </c>
      <c r="I1980" s="188"/>
      <c r="J1980" s="225"/>
      <c r="K1980" s="243"/>
      <c r="L1980" s="220">
        <f t="shared" si="864"/>
        <v>0</v>
      </c>
      <c r="M1980" s="212"/>
      <c r="O1980" s="6" t="s">
        <v>3</v>
      </c>
      <c r="P1980" s="7"/>
      <c r="Q1980" s="5">
        <f t="shared" si="862"/>
        <v>0</v>
      </c>
      <c r="R1980" s="186"/>
      <c r="S1980" s="6" t="s">
        <v>3</v>
      </c>
      <c r="T1980" s="7"/>
      <c r="U1980" s="5">
        <f t="shared" si="863"/>
        <v>0</v>
      </c>
      <c r="V1980" s="186"/>
    </row>
    <row r="1981" spans="1:22" x14ac:dyDescent="0.15">
      <c r="A1981" s="186"/>
      <c r="B1981" s="6" t="s">
        <v>3</v>
      </c>
      <c r="C1981" s="188">
        <v>100</v>
      </c>
      <c r="D1981" s="225"/>
      <c r="E1981" s="243"/>
      <c r="F1981" s="220">
        <f t="shared" si="860"/>
        <v>100</v>
      </c>
      <c r="G1981" s="211">
        <v>45842</v>
      </c>
      <c r="H1981" s="6" t="s">
        <v>3</v>
      </c>
      <c r="I1981" s="188"/>
      <c r="J1981" s="225"/>
      <c r="K1981" s="243"/>
      <c r="L1981" s="220">
        <f t="shared" si="864"/>
        <v>0</v>
      </c>
      <c r="M1981" s="212"/>
      <c r="O1981" s="6" t="s">
        <v>3</v>
      </c>
      <c r="P1981" s="7"/>
      <c r="Q1981" s="5">
        <f t="shared" si="862"/>
        <v>0</v>
      </c>
      <c r="R1981" s="186"/>
      <c r="S1981" s="6" t="s">
        <v>3</v>
      </c>
      <c r="T1981" s="7"/>
      <c r="U1981" s="5">
        <f t="shared" si="863"/>
        <v>0</v>
      </c>
      <c r="V1981" s="186"/>
    </row>
    <row r="1982" spans="1:22" x14ac:dyDescent="0.15">
      <c r="A1982" s="186"/>
      <c r="B1982" s="6" t="s">
        <v>3</v>
      </c>
      <c r="C1982" s="188">
        <v>76</v>
      </c>
      <c r="D1982" s="225">
        <v>100</v>
      </c>
      <c r="E1982" s="243"/>
      <c r="F1982" s="220">
        <f t="shared" si="860"/>
        <v>176</v>
      </c>
      <c r="G1982" s="211">
        <v>45843</v>
      </c>
      <c r="H1982" s="6" t="s">
        <v>3</v>
      </c>
      <c r="I1982" s="188"/>
      <c r="J1982" s="225"/>
      <c r="K1982" s="243"/>
      <c r="L1982" s="220">
        <f t="shared" si="864"/>
        <v>0</v>
      </c>
      <c r="O1982" s="6" t="s">
        <v>3</v>
      </c>
      <c r="P1982" s="7"/>
      <c r="Q1982" s="5">
        <f t="shared" si="862"/>
        <v>0</v>
      </c>
      <c r="R1982" s="186"/>
      <c r="S1982" s="6" t="s">
        <v>3</v>
      </c>
      <c r="T1982" s="7"/>
      <c r="U1982" s="5">
        <f t="shared" si="863"/>
        <v>0</v>
      </c>
      <c r="V1982" s="186"/>
    </row>
    <row r="1983" spans="1:22" x14ac:dyDescent="0.15">
      <c r="B1983" s="6" t="s">
        <v>3</v>
      </c>
      <c r="C1983" s="188"/>
      <c r="D1983" s="6"/>
      <c r="E1983" s="202">
        <v>100</v>
      </c>
      <c r="F1983" s="220">
        <f t="shared" si="860"/>
        <v>100</v>
      </c>
      <c r="G1983" s="211">
        <v>45846</v>
      </c>
      <c r="H1983" s="6" t="s">
        <v>3</v>
      </c>
      <c r="I1983" s="188"/>
      <c r="J1983" s="6"/>
      <c r="K1983" s="202"/>
      <c r="L1983" s="220">
        <f t="shared" si="864"/>
        <v>0</v>
      </c>
      <c r="O1983" s="6" t="s">
        <v>3</v>
      </c>
      <c r="P1983" s="7"/>
      <c r="Q1983" s="5">
        <f t="shared" si="862"/>
        <v>0</v>
      </c>
      <c r="R1983" s="186"/>
      <c r="S1983" s="6" t="s">
        <v>3</v>
      </c>
      <c r="T1983" s="7"/>
      <c r="U1983" s="5">
        <f t="shared" si="863"/>
        <v>0</v>
      </c>
      <c r="V1983" s="186"/>
    </row>
    <row r="1984" spans="1:22" x14ac:dyDescent="0.15">
      <c r="B1984" s="6" t="s">
        <v>3</v>
      </c>
      <c r="C1984" s="188"/>
      <c r="D1984" s="225"/>
      <c r="E1984" s="243"/>
      <c r="F1984" s="220">
        <f t="shared" si="860"/>
        <v>0</v>
      </c>
      <c r="H1984" s="6" t="s">
        <v>3</v>
      </c>
      <c r="I1984" s="188"/>
      <c r="J1984" s="225"/>
      <c r="K1984" s="243"/>
      <c r="L1984" s="220">
        <f t="shared" si="864"/>
        <v>0</v>
      </c>
      <c r="O1984" s="6" t="s">
        <v>3</v>
      </c>
      <c r="P1984" s="8"/>
      <c r="Q1984" s="5">
        <f t="shared" si="862"/>
        <v>0</v>
      </c>
      <c r="R1984" s="186"/>
      <c r="S1984" s="6" t="s">
        <v>3</v>
      </c>
      <c r="T1984" s="8"/>
      <c r="U1984" s="5">
        <f t="shared" si="863"/>
        <v>0</v>
      </c>
      <c r="V1984" s="186"/>
    </row>
    <row r="1985" spans="2:22" x14ac:dyDescent="0.15">
      <c r="B1985" s="6" t="s">
        <v>3</v>
      </c>
      <c r="C1985" s="188"/>
      <c r="D1985" s="225"/>
      <c r="E1985" s="243"/>
      <c r="F1985" s="220">
        <f t="shared" si="860"/>
        <v>0</v>
      </c>
      <c r="H1985" s="6" t="s">
        <v>3</v>
      </c>
      <c r="I1985" s="188"/>
      <c r="J1985" s="225"/>
      <c r="K1985" s="243"/>
      <c r="L1985" s="220">
        <f t="shared" si="864"/>
        <v>0</v>
      </c>
      <c r="O1985" s="6" t="s">
        <v>3</v>
      </c>
      <c r="P1985" s="8"/>
      <c r="Q1985" s="5">
        <f t="shared" si="862"/>
        <v>0</v>
      </c>
      <c r="R1985" s="186"/>
      <c r="S1985" s="6" t="s">
        <v>3</v>
      </c>
      <c r="T1985" s="8"/>
      <c r="U1985" s="5">
        <f t="shared" si="863"/>
        <v>0</v>
      </c>
      <c r="V1985" s="186"/>
    </row>
    <row r="1986" spans="2:22" x14ac:dyDescent="0.15">
      <c r="B1986" s="6" t="s">
        <v>3</v>
      </c>
      <c r="C1986" s="188"/>
      <c r="D1986" s="225"/>
      <c r="E1986" s="243"/>
      <c r="F1986" s="220">
        <f t="shared" si="860"/>
        <v>0</v>
      </c>
      <c r="H1986" s="6" t="s">
        <v>3</v>
      </c>
      <c r="I1986" s="188"/>
      <c r="J1986" s="225"/>
      <c r="K1986" s="243"/>
      <c r="L1986" s="220">
        <f t="shared" si="864"/>
        <v>0</v>
      </c>
      <c r="O1986" s="6" t="s">
        <v>3</v>
      </c>
      <c r="P1986" s="8"/>
      <c r="Q1986" s="5">
        <f t="shared" si="862"/>
        <v>0</v>
      </c>
      <c r="R1986" s="186"/>
      <c r="S1986" s="6" t="s">
        <v>3</v>
      </c>
      <c r="T1986" s="8"/>
      <c r="U1986" s="5">
        <f t="shared" si="863"/>
        <v>0</v>
      </c>
      <c r="V1986" s="186"/>
    </row>
    <row r="1987" spans="2:22" ht="14.25" thickBot="1" x14ac:dyDescent="0.2">
      <c r="B1987" s="9" t="s">
        <v>3</v>
      </c>
      <c r="C1987" s="198"/>
      <c r="D1987" s="244"/>
      <c r="E1987" s="245"/>
      <c r="F1987" s="220">
        <f t="shared" si="860"/>
        <v>0</v>
      </c>
      <c r="H1987" s="9" t="s">
        <v>3</v>
      </c>
      <c r="I1987" s="198"/>
      <c r="J1987" s="244"/>
      <c r="K1987" s="245"/>
      <c r="L1987" s="220">
        <f t="shared" si="864"/>
        <v>0</v>
      </c>
      <c r="O1987" s="9" t="s">
        <v>3</v>
      </c>
      <c r="P1987" s="10"/>
      <c r="Q1987" s="5">
        <f t="shared" si="862"/>
        <v>0</v>
      </c>
      <c r="R1987" s="186"/>
      <c r="S1987" s="9" t="s">
        <v>3</v>
      </c>
      <c r="T1987" s="10"/>
      <c r="U1987" s="5">
        <f t="shared" si="863"/>
        <v>0</v>
      </c>
      <c r="V1987" s="186"/>
    </row>
    <row r="1988" spans="2:22" ht="14.25" thickBot="1" x14ac:dyDescent="0.2">
      <c r="B1988" s="11" t="s">
        <v>4</v>
      </c>
      <c r="C1988" s="193">
        <f>SUM(C1977:C1987)</f>
        <v>505</v>
      </c>
      <c r="D1988" s="193">
        <f>SUM(D1977:D1987)</f>
        <v>223</v>
      </c>
      <c r="E1988" s="193">
        <f>SUM(E1977:E1987)</f>
        <v>232</v>
      </c>
      <c r="F1988" s="221">
        <f>SUM(F1977:F1987)</f>
        <v>960</v>
      </c>
      <c r="H1988" s="11" t="s">
        <v>4</v>
      </c>
      <c r="I1988" s="193">
        <f>SUM(I1977:I1987)</f>
        <v>7057</v>
      </c>
      <c r="J1988" s="193">
        <f t="shared" ref="J1988" si="865">SUM(J1977:J1987)</f>
        <v>1864</v>
      </c>
      <c r="K1988" s="193">
        <f t="shared" ref="K1988" si="866">SUM(K1977:K1987)</f>
        <v>1975</v>
      </c>
      <c r="L1988" s="221">
        <f>SUM(L1977:L1987)</f>
        <v>11007</v>
      </c>
      <c r="O1988" s="11" t="s">
        <v>4</v>
      </c>
      <c r="P1988" s="12">
        <f>SUM(P1977:P1987)</f>
        <v>0</v>
      </c>
      <c r="Q1988" s="13">
        <f>SUM(Q1977:Q1987)</f>
        <v>0</v>
      </c>
      <c r="S1988" s="11" t="s">
        <v>4</v>
      </c>
      <c r="T1988" s="12">
        <f>SUM(T1977:T1987)</f>
        <v>1502</v>
      </c>
      <c r="U1988" s="13">
        <f>SUM(U1977:U1987)</f>
        <v>1502</v>
      </c>
    </row>
    <row r="1989" spans="2:22" x14ac:dyDescent="0.15">
      <c r="B1989" s="4" t="s">
        <v>749</v>
      </c>
      <c r="C1989" s="233">
        <f>16+17</f>
        <v>33</v>
      </c>
      <c r="D1989" s="234">
        <f>1+4</f>
        <v>5</v>
      </c>
      <c r="E1989" s="234">
        <f>2+1</f>
        <v>3</v>
      </c>
      <c r="F1989" s="220">
        <f t="shared" ref="F1989:F2012" si="867">SUM(C1989:E1989)</f>
        <v>41</v>
      </c>
      <c r="G1989" s="248">
        <v>45817</v>
      </c>
      <c r="H1989" s="6" t="s">
        <v>1348</v>
      </c>
      <c r="I1989" s="233">
        <v>100</v>
      </c>
      <c r="J1989" s="234"/>
      <c r="K1989" s="234"/>
      <c r="L1989" s="220">
        <f t="shared" ref="L1989:L1991" si="868">SUM(I1989:K1989)</f>
        <v>100</v>
      </c>
      <c r="M1989" s="211">
        <v>45826</v>
      </c>
      <c r="O1989" s="4"/>
      <c r="P1989" s="44"/>
      <c r="Q1989" s="14">
        <f t="shared" ref="Q1989:Q2012" si="869">SUM(P1989:P1989)</f>
        <v>0</v>
      </c>
      <c r="R1989" s="185"/>
      <c r="S1989" s="4"/>
      <c r="T1989" s="44"/>
      <c r="U1989" s="14">
        <f t="shared" ref="U1989:U2011" si="870">SUM(T1989:T1989)</f>
        <v>0</v>
      </c>
      <c r="V1989" s="185"/>
    </row>
    <row r="1990" spans="2:22" x14ac:dyDescent="0.15">
      <c r="B1990" s="4" t="s">
        <v>749</v>
      </c>
      <c r="C1990" s="233">
        <f>12+2+1</f>
        <v>15</v>
      </c>
      <c r="D1990" s="234">
        <v>1</v>
      </c>
      <c r="E1990" s="234">
        <v>1</v>
      </c>
      <c r="F1990" s="220">
        <f t="shared" si="867"/>
        <v>17</v>
      </c>
      <c r="G1990" s="248">
        <v>45818</v>
      </c>
      <c r="H1990" s="4" t="s">
        <v>745</v>
      </c>
      <c r="I1990" s="233">
        <v>200</v>
      </c>
      <c r="J1990" s="234"/>
      <c r="K1990" s="234"/>
      <c r="L1990" s="220">
        <f t="shared" si="868"/>
        <v>200</v>
      </c>
      <c r="M1990" s="211">
        <v>45824</v>
      </c>
      <c r="O1990" s="4"/>
      <c r="P1990" s="15"/>
      <c r="Q1990" s="14">
        <f t="shared" si="869"/>
        <v>0</v>
      </c>
      <c r="R1990" s="186"/>
      <c r="S1990" s="4"/>
      <c r="T1990" s="15"/>
      <c r="U1990" s="14">
        <f t="shared" si="870"/>
        <v>0</v>
      </c>
      <c r="V1990" s="186"/>
    </row>
    <row r="1991" spans="2:22" x14ac:dyDescent="0.15">
      <c r="B1991" s="4" t="s">
        <v>749</v>
      </c>
      <c r="C1991" s="233">
        <f>6+5</f>
        <v>11</v>
      </c>
      <c r="D1991" s="234">
        <f>1+2</f>
        <v>3</v>
      </c>
      <c r="E1991" s="234"/>
      <c r="F1991" s="220">
        <f t="shared" si="867"/>
        <v>14</v>
      </c>
      <c r="G1991" s="248">
        <v>45819</v>
      </c>
      <c r="H1991" s="6" t="s">
        <v>1349</v>
      </c>
      <c r="I1991" s="233">
        <v>290</v>
      </c>
      <c r="J1991" s="234"/>
      <c r="K1991" s="234"/>
      <c r="L1991" s="220">
        <f t="shared" si="868"/>
        <v>290</v>
      </c>
      <c r="M1991" s="211">
        <v>45828</v>
      </c>
      <c r="O1991" s="4"/>
      <c r="P1991" s="15"/>
      <c r="Q1991" s="14">
        <f t="shared" si="869"/>
        <v>0</v>
      </c>
      <c r="R1991" s="186"/>
      <c r="S1991" s="4"/>
      <c r="T1991" s="15"/>
      <c r="U1991" s="14">
        <f t="shared" si="870"/>
        <v>0</v>
      </c>
      <c r="V1991" s="186"/>
    </row>
    <row r="1992" spans="2:22" x14ac:dyDescent="0.15">
      <c r="B1992" s="4" t="s">
        <v>749</v>
      </c>
      <c r="C1992" s="233">
        <f>6+4+1</f>
        <v>11</v>
      </c>
      <c r="D1992" s="234">
        <v>1</v>
      </c>
      <c r="E1992" s="234"/>
      <c r="F1992" s="220">
        <f t="shared" si="867"/>
        <v>12</v>
      </c>
      <c r="G1992" s="248">
        <v>45820</v>
      </c>
      <c r="H1992" s="6" t="s">
        <v>1350</v>
      </c>
      <c r="I1992" s="233">
        <v>20</v>
      </c>
      <c r="J1992" s="234"/>
      <c r="K1992" s="234"/>
      <c r="L1992" s="220">
        <f t="shared" ref="L1992" si="871">SUM(I1992:K1992)</f>
        <v>20</v>
      </c>
      <c r="M1992" s="211">
        <v>45829</v>
      </c>
      <c r="O1992" s="4"/>
      <c r="P1992" s="15"/>
      <c r="Q1992" s="14">
        <f t="shared" si="869"/>
        <v>0</v>
      </c>
      <c r="R1992" s="186"/>
      <c r="S1992" s="4"/>
      <c r="T1992" s="15"/>
      <c r="U1992" s="14">
        <f t="shared" si="870"/>
        <v>0</v>
      </c>
      <c r="V1992" s="186"/>
    </row>
    <row r="1993" spans="2:22" x14ac:dyDescent="0.15">
      <c r="B1993" s="4" t="s">
        <v>749</v>
      </c>
      <c r="C1993" s="233">
        <f>1+24+1</f>
        <v>26</v>
      </c>
      <c r="D1993" s="234">
        <f>1+3</f>
        <v>4</v>
      </c>
      <c r="E1993" s="234">
        <f>1+2</f>
        <v>3</v>
      </c>
      <c r="F1993" s="220">
        <f t="shared" si="867"/>
        <v>33</v>
      </c>
      <c r="G1993" s="248">
        <v>45821</v>
      </c>
      <c r="H1993" s="6" t="s">
        <v>1352</v>
      </c>
      <c r="I1993" s="233">
        <v>27</v>
      </c>
      <c r="J1993" s="234"/>
      <c r="K1993" s="234"/>
      <c r="L1993" s="220">
        <f t="shared" ref="L1993:L2012" si="872">SUM(I1993:K1993)</f>
        <v>27</v>
      </c>
      <c r="M1993" s="211">
        <v>45833</v>
      </c>
      <c r="O1993" s="4"/>
      <c r="P1993" s="15"/>
      <c r="Q1993" s="14">
        <f t="shared" si="869"/>
        <v>0</v>
      </c>
      <c r="R1993" s="186"/>
      <c r="S1993" s="4"/>
      <c r="T1993" s="15"/>
      <c r="U1993" s="14">
        <f t="shared" si="870"/>
        <v>0</v>
      </c>
      <c r="V1993" s="186"/>
    </row>
    <row r="1994" spans="2:22" x14ac:dyDescent="0.15">
      <c r="B1994" s="4" t="s">
        <v>749</v>
      </c>
      <c r="C1994" s="233">
        <f>2+10</f>
        <v>12</v>
      </c>
      <c r="D1994" s="234">
        <v>1</v>
      </c>
      <c r="E1994" s="234">
        <v>1</v>
      </c>
      <c r="F1994" s="220">
        <f t="shared" si="867"/>
        <v>14</v>
      </c>
      <c r="G1994" s="211">
        <v>45824</v>
      </c>
      <c r="H1994" s="6" t="s">
        <v>1354</v>
      </c>
      <c r="I1994" s="233">
        <v>28</v>
      </c>
      <c r="J1994" s="234"/>
      <c r="K1994" s="234"/>
      <c r="L1994" s="220">
        <f t="shared" si="872"/>
        <v>28</v>
      </c>
      <c r="M1994" s="211">
        <v>45833</v>
      </c>
      <c r="O1994" s="4"/>
      <c r="P1994" s="15"/>
      <c r="Q1994" s="14">
        <f t="shared" si="869"/>
        <v>0</v>
      </c>
      <c r="R1994" s="186"/>
      <c r="S1994" s="4"/>
      <c r="T1994" s="15"/>
      <c r="U1994" s="14">
        <f t="shared" si="870"/>
        <v>0</v>
      </c>
      <c r="V1994" s="186"/>
    </row>
    <row r="1995" spans="2:22" x14ac:dyDescent="0.15">
      <c r="B1995" s="4" t="s">
        <v>749</v>
      </c>
      <c r="C1995" s="233">
        <f>6+1</f>
        <v>7</v>
      </c>
      <c r="D1995" s="234">
        <v>2</v>
      </c>
      <c r="E1995" s="234"/>
      <c r="F1995" s="220">
        <f t="shared" si="867"/>
        <v>9</v>
      </c>
      <c r="G1995" s="211">
        <v>45825</v>
      </c>
      <c r="H1995" s="6" t="s">
        <v>1353</v>
      </c>
      <c r="I1995" s="233">
        <v>10</v>
      </c>
      <c r="J1995" s="234"/>
      <c r="K1995" s="234"/>
      <c r="L1995" s="220">
        <f t="shared" si="872"/>
        <v>10</v>
      </c>
      <c r="M1995" s="211">
        <v>45833</v>
      </c>
      <c r="O1995" s="4"/>
      <c r="P1995" s="15"/>
      <c r="Q1995" s="14">
        <f t="shared" si="869"/>
        <v>0</v>
      </c>
      <c r="R1995" s="186"/>
      <c r="S1995" s="4"/>
      <c r="T1995" s="15"/>
      <c r="U1995" s="14">
        <f t="shared" si="870"/>
        <v>0</v>
      </c>
      <c r="V1995" s="186"/>
    </row>
    <row r="1996" spans="2:22" x14ac:dyDescent="0.15">
      <c r="B1996" s="4" t="s">
        <v>749</v>
      </c>
      <c r="C1996" s="233">
        <v>2</v>
      </c>
      <c r="D1996" s="234"/>
      <c r="E1996" s="234"/>
      <c r="F1996" s="220">
        <f t="shared" si="867"/>
        <v>2</v>
      </c>
      <c r="G1996" s="211">
        <v>45826</v>
      </c>
      <c r="H1996" s="4" t="s">
        <v>745</v>
      </c>
      <c r="I1996" s="233">
        <v>100</v>
      </c>
      <c r="J1996" s="234"/>
      <c r="K1996" s="234"/>
      <c r="L1996" s="220">
        <f t="shared" si="872"/>
        <v>100</v>
      </c>
      <c r="M1996" s="211">
        <v>45842</v>
      </c>
      <c r="O1996" s="4"/>
      <c r="P1996" s="15"/>
      <c r="Q1996" s="14">
        <f t="shared" si="869"/>
        <v>0</v>
      </c>
      <c r="R1996" s="186"/>
      <c r="S1996" s="4"/>
      <c r="T1996" s="15"/>
      <c r="U1996" s="14">
        <f t="shared" si="870"/>
        <v>0</v>
      </c>
      <c r="V1996" s="186"/>
    </row>
    <row r="1997" spans="2:22" x14ac:dyDescent="0.15">
      <c r="B1997" s="4" t="s">
        <v>749</v>
      </c>
      <c r="C1997" s="233">
        <f>1+3+1</f>
        <v>5</v>
      </c>
      <c r="D1997" s="234">
        <f>2+1+1</f>
        <v>4</v>
      </c>
      <c r="E1997" s="234">
        <v>5</v>
      </c>
      <c r="F1997" s="220">
        <f t="shared" si="867"/>
        <v>14</v>
      </c>
      <c r="G1997" s="211">
        <v>45826</v>
      </c>
      <c r="H1997" s="4" t="s">
        <v>745</v>
      </c>
      <c r="I1997" s="233">
        <v>76</v>
      </c>
      <c r="J1997" s="234">
        <v>100</v>
      </c>
      <c r="K1997" s="234"/>
      <c r="L1997" s="220">
        <f t="shared" si="872"/>
        <v>176</v>
      </c>
      <c r="M1997" s="211">
        <v>45843</v>
      </c>
      <c r="O1997" s="4"/>
      <c r="P1997" s="15"/>
      <c r="Q1997" s="14">
        <f t="shared" si="869"/>
        <v>0</v>
      </c>
      <c r="R1997" s="186"/>
      <c r="S1997" s="4"/>
      <c r="T1997" s="15"/>
      <c r="U1997" s="14">
        <f t="shared" si="870"/>
        <v>0</v>
      </c>
      <c r="V1997" s="186"/>
    </row>
    <row r="1998" spans="2:22" x14ac:dyDescent="0.15">
      <c r="B1998" s="4" t="s">
        <v>749</v>
      </c>
      <c r="C1998" s="233">
        <f>9+3</f>
        <v>12</v>
      </c>
      <c r="D1998" s="234">
        <v>2</v>
      </c>
      <c r="E1998" s="234">
        <f>2+4</f>
        <v>6</v>
      </c>
      <c r="F1998" s="220">
        <f t="shared" si="867"/>
        <v>20</v>
      </c>
      <c r="G1998" s="211">
        <v>45827</v>
      </c>
      <c r="H1998" s="4" t="s">
        <v>745</v>
      </c>
      <c r="I1998" s="233"/>
      <c r="J1998" s="234"/>
      <c r="K1998" s="234">
        <v>100</v>
      </c>
      <c r="L1998" s="220">
        <f t="shared" si="872"/>
        <v>100</v>
      </c>
      <c r="M1998" s="211">
        <v>45846</v>
      </c>
      <c r="O1998" s="4"/>
      <c r="P1998" s="15"/>
      <c r="Q1998" s="14">
        <f t="shared" si="869"/>
        <v>0</v>
      </c>
      <c r="R1998" s="186"/>
      <c r="S1998" s="4"/>
      <c r="T1998" s="15"/>
      <c r="U1998" s="14">
        <f t="shared" si="870"/>
        <v>0</v>
      </c>
      <c r="V1998" s="186"/>
    </row>
    <row r="1999" spans="2:22" x14ac:dyDescent="0.15">
      <c r="B1999" s="4" t="s">
        <v>749</v>
      </c>
      <c r="C1999" s="233">
        <f>5+1+1</f>
        <v>7</v>
      </c>
      <c r="D1999" s="234">
        <v>1</v>
      </c>
      <c r="E1999" s="234">
        <f>3+1</f>
        <v>4</v>
      </c>
      <c r="F1999" s="220">
        <f t="shared" si="867"/>
        <v>12</v>
      </c>
      <c r="G1999" s="211">
        <v>45828</v>
      </c>
      <c r="H1999" s="4"/>
      <c r="I1999" s="233"/>
      <c r="J1999" s="234"/>
      <c r="K1999" s="234"/>
      <c r="L1999" s="220">
        <f t="shared" si="872"/>
        <v>0</v>
      </c>
      <c r="M1999" s="211"/>
      <c r="O1999" s="4"/>
      <c r="P1999" s="15"/>
      <c r="Q1999" s="14">
        <f t="shared" si="869"/>
        <v>0</v>
      </c>
      <c r="R1999" s="186"/>
      <c r="S1999" s="4"/>
      <c r="T1999" s="15"/>
      <c r="U1999" s="14">
        <f t="shared" si="870"/>
        <v>0</v>
      </c>
      <c r="V1999" s="186"/>
    </row>
    <row r="2000" spans="2:22" x14ac:dyDescent="0.15">
      <c r="B2000" s="4" t="s">
        <v>1351</v>
      </c>
      <c r="C2000" s="233"/>
      <c r="D2000" s="234">
        <v>10</v>
      </c>
      <c r="E2000" s="234">
        <v>10</v>
      </c>
      <c r="F2000" s="220">
        <f t="shared" si="867"/>
        <v>20</v>
      </c>
      <c r="G2000" s="211">
        <v>45829</v>
      </c>
      <c r="H2000" s="4"/>
      <c r="I2000" s="233"/>
      <c r="J2000" s="234"/>
      <c r="K2000" s="234"/>
      <c r="L2000" s="220">
        <f t="shared" si="872"/>
        <v>0</v>
      </c>
      <c r="M2000" s="211"/>
      <c r="O2000" s="6"/>
      <c r="P2000" s="15"/>
      <c r="Q2000" s="14">
        <f t="shared" si="869"/>
        <v>0</v>
      </c>
      <c r="R2000" s="186"/>
      <c r="S2000" s="6"/>
      <c r="T2000" s="15"/>
      <c r="U2000" s="14">
        <f t="shared" si="870"/>
        <v>0</v>
      </c>
      <c r="V2000" s="186"/>
    </row>
    <row r="2001" spans="2:22" x14ac:dyDescent="0.15">
      <c r="B2001" s="4" t="s">
        <v>749</v>
      </c>
      <c r="C2001" s="233">
        <f>1+1+8</f>
        <v>10</v>
      </c>
      <c r="D2001" s="234">
        <f>1+1+3</f>
        <v>5</v>
      </c>
      <c r="E2001" s="234">
        <v>1</v>
      </c>
      <c r="F2001" s="220">
        <f t="shared" si="867"/>
        <v>16</v>
      </c>
      <c r="G2001" s="211">
        <v>45829</v>
      </c>
      <c r="H2001" s="4"/>
      <c r="I2001" s="233"/>
      <c r="J2001" s="234"/>
      <c r="K2001" s="234"/>
      <c r="L2001" s="220">
        <f t="shared" si="872"/>
        <v>0</v>
      </c>
      <c r="M2001" s="211"/>
      <c r="O2001" s="6"/>
      <c r="P2001" s="15"/>
      <c r="Q2001" s="14">
        <f t="shared" si="869"/>
        <v>0</v>
      </c>
      <c r="R2001" s="186"/>
      <c r="S2001" s="6"/>
      <c r="T2001" s="15"/>
      <c r="U2001" s="14">
        <f t="shared" si="870"/>
        <v>0</v>
      </c>
      <c r="V2001" s="186"/>
    </row>
    <row r="2002" spans="2:22" x14ac:dyDescent="0.15">
      <c r="B2002" s="4" t="s">
        <v>749</v>
      </c>
      <c r="C2002" s="233">
        <f>14+19+1+2</f>
        <v>36</v>
      </c>
      <c r="D2002" s="234">
        <f>1+6</f>
        <v>7</v>
      </c>
      <c r="E2002" s="234">
        <f>3+2</f>
        <v>5</v>
      </c>
      <c r="F2002" s="220">
        <f t="shared" si="867"/>
        <v>48</v>
      </c>
      <c r="G2002" s="248">
        <v>45831</v>
      </c>
      <c r="H2002" s="4"/>
      <c r="I2002" s="233"/>
      <c r="J2002" s="234"/>
      <c r="K2002" s="234"/>
      <c r="L2002" s="220">
        <f t="shared" si="872"/>
        <v>0</v>
      </c>
      <c r="M2002" s="211"/>
      <c r="O2002" s="4"/>
      <c r="P2002" s="15"/>
      <c r="Q2002" s="14">
        <f t="shared" si="869"/>
        <v>0</v>
      </c>
      <c r="R2002" s="186"/>
      <c r="S2002" s="4"/>
      <c r="T2002" s="15"/>
      <c r="U2002" s="14">
        <f t="shared" si="870"/>
        <v>0</v>
      </c>
      <c r="V2002" s="186"/>
    </row>
    <row r="2003" spans="2:22" x14ac:dyDescent="0.15">
      <c r="B2003" s="4" t="s">
        <v>749</v>
      </c>
      <c r="C2003" s="233">
        <v>12</v>
      </c>
      <c r="D2003" s="234">
        <f>3+1</f>
        <v>4</v>
      </c>
      <c r="E2003" s="234">
        <v>1</v>
      </c>
      <c r="F2003" s="220">
        <f t="shared" si="867"/>
        <v>17</v>
      </c>
      <c r="G2003" s="248">
        <v>45832</v>
      </c>
      <c r="H2003" s="4"/>
      <c r="I2003" s="233"/>
      <c r="J2003" s="234"/>
      <c r="K2003" s="234"/>
      <c r="L2003" s="220">
        <f t="shared" si="872"/>
        <v>0</v>
      </c>
      <c r="M2003" s="248"/>
      <c r="O2003" s="4"/>
      <c r="P2003" s="15"/>
      <c r="Q2003" s="14">
        <f t="shared" si="869"/>
        <v>0</v>
      </c>
      <c r="R2003" s="186"/>
      <c r="S2003" s="4"/>
      <c r="T2003" s="15"/>
      <c r="U2003" s="14">
        <f t="shared" si="870"/>
        <v>0</v>
      </c>
      <c r="V2003" s="186"/>
    </row>
    <row r="2004" spans="2:22" x14ac:dyDescent="0.15">
      <c r="B2004" s="4" t="s">
        <v>749</v>
      </c>
      <c r="C2004" s="233">
        <f>1+3+1+3+1</f>
        <v>9</v>
      </c>
      <c r="D2004" s="234">
        <f>1+1</f>
        <v>2</v>
      </c>
      <c r="E2004" s="234">
        <f>1+1</f>
        <v>2</v>
      </c>
      <c r="F2004" s="220">
        <f t="shared" si="867"/>
        <v>13</v>
      </c>
      <c r="G2004" s="248">
        <v>45833</v>
      </c>
      <c r="H2004" s="4"/>
      <c r="I2004" s="233"/>
      <c r="J2004" s="234"/>
      <c r="K2004" s="234"/>
      <c r="L2004" s="220">
        <f t="shared" si="872"/>
        <v>0</v>
      </c>
      <c r="M2004" s="248"/>
      <c r="O2004" s="4"/>
      <c r="P2004" s="15"/>
      <c r="Q2004" s="14">
        <f t="shared" si="869"/>
        <v>0</v>
      </c>
      <c r="R2004" s="186"/>
      <c r="S2004" s="4"/>
      <c r="T2004" s="15"/>
      <c r="U2004" s="14">
        <f t="shared" si="870"/>
        <v>0</v>
      </c>
      <c r="V2004" s="186"/>
    </row>
    <row r="2005" spans="2:22" x14ac:dyDescent="0.15">
      <c r="B2005" s="4" t="s">
        <v>749</v>
      </c>
      <c r="C2005" s="233">
        <f>1+7+3+1</f>
        <v>12</v>
      </c>
      <c r="D2005" s="234">
        <f>1+4+1</f>
        <v>6</v>
      </c>
      <c r="E2005" s="234">
        <f>2+1+1</f>
        <v>4</v>
      </c>
      <c r="F2005" s="220">
        <f t="shared" si="867"/>
        <v>22</v>
      </c>
      <c r="G2005" s="248">
        <v>45834</v>
      </c>
      <c r="H2005" s="4"/>
      <c r="I2005" s="233"/>
      <c r="J2005" s="234"/>
      <c r="K2005" s="234"/>
      <c r="L2005" s="220">
        <f t="shared" si="872"/>
        <v>0</v>
      </c>
      <c r="M2005" s="248"/>
      <c r="O2005" s="6"/>
      <c r="P2005" s="15"/>
      <c r="Q2005" s="14">
        <f t="shared" si="869"/>
        <v>0</v>
      </c>
      <c r="R2005" s="186"/>
      <c r="S2005" s="6"/>
      <c r="T2005" s="15"/>
      <c r="U2005" s="14">
        <f t="shared" si="870"/>
        <v>0</v>
      </c>
      <c r="V2005" s="186"/>
    </row>
    <row r="2006" spans="2:22" x14ac:dyDescent="0.15">
      <c r="B2006" s="4" t="s">
        <v>1355</v>
      </c>
      <c r="C2006" s="233">
        <v>3</v>
      </c>
      <c r="D2006" s="234">
        <v>1</v>
      </c>
      <c r="E2006" s="234"/>
      <c r="F2006" s="220">
        <f t="shared" si="867"/>
        <v>4</v>
      </c>
      <c r="G2006" s="248">
        <v>45834</v>
      </c>
      <c r="H2006" s="4"/>
      <c r="I2006" s="233"/>
      <c r="J2006" s="234"/>
      <c r="K2006" s="234"/>
      <c r="L2006" s="220">
        <f t="shared" si="872"/>
        <v>0</v>
      </c>
      <c r="M2006" s="248"/>
      <c r="O2006" s="4"/>
      <c r="P2006" s="15"/>
      <c r="Q2006" s="14">
        <f t="shared" si="869"/>
        <v>0</v>
      </c>
      <c r="R2006" s="186"/>
      <c r="S2006" s="4"/>
      <c r="T2006" s="15"/>
      <c r="U2006" s="14">
        <f t="shared" si="870"/>
        <v>0</v>
      </c>
      <c r="V2006" s="186"/>
    </row>
    <row r="2007" spans="2:22" x14ac:dyDescent="0.15">
      <c r="B2007" s="4" t="s">
        <v>749</v>
      </c>
      <c r="C2007" s="233">
        <f>2+12+1</f>
        <v>15</v>
      </c>
      <c r="D2007" s="234">
        <v>2</v>
      </c>
      <c r="E2007" s="234"/>
      <c r="F2007" s="220">
        <f t="shared" si="867"/>
        <v>17</v>
      </c>
      <c r="G2007" s="248">
        <v>45835</v>
      </c>
      <c r="H2007" s="4"/>
      <c r="I2007" s="233"/>
      <c r="J2007" s="234"/>
      <c r="K2007" s="234"/>
      <c r="L2007" s="220">
        <f t="shared" si="872"/>
        <v>0</v>
      </c>
      <c r="M2007" s="248"/>
      <c r="O2007" s="6"/>
      <c r="P2007" s="15"/>
      <c r="Q2007" s="14">
        <f t="shared" si="869"/>
        <v>0</v>
      </c>
      <c r="R2007" s="186"/>
      <c r="S2007" s="6"/>
      <c r="T2007" s="15"/>
      <c r="U2007" s="14">
        <f t="shared" si="870"/>
        <v>0</v>
      </c>
      <c r="V2007" s="186"/>
    </row>
    <row r="2008" spans="2:22" x14ac:dyDescent="0.15">
      <c r="B2008" s="4" t="s">
        <v>749</v>
      </c>
      <c r="C2008" s="233">
        <f>9+14+4+1+1</f>
        <v>29</v>
      </c>
      <c r="D2008" s="234">
        <f>3+3</f>
        <v>6</v>
      </c>
      <c r="E2008" s="234">
        <f>1+1+1</f>
        <v>3</v>
      </c>
      <c r="F2008" s="220">
        <f t="shared" si="867"/>
        <v>38</v>
      </c>
      <c r="G2008" s="248">
        <v>45838</v>
      </c>
      <c r="H2008" s="4"/>
      <c r="I2008" s="233"/>
      <c r="J2008" s="234"/>
      <c r="K2008" s="234"/>
      <c r="L2008" s="220">
        <f t="shared" si="872"/>
        <v>0</v>
      </c>
      <c r="M2008" s="248"/>
      <c r="O2008" s="4"/>
      <c r="P2008" s="15"/>
      <c r="Q2008" s="14">
        <f t="shared" si="869"/>
        <v>0</v>
      </c>
      <c r="R2008" s="186"/>
      <c r="S2008" s="4"/>
      <c r="T2008" s="15"/>
      <c r="U2008" s="14">
        <f t="shared" si="870"/>
        <v>0</v>
      </c>
      <c r="V2008" s="186"/>
    </row>
    <row r="2009" spans="2:22" x14ac:dyDescent="0.15">
      <c r="B2009" s="4" t="s">
        <v>749</v>
      </c>
      <c r="C2009" s="233">
        <f>17+1+1+10+1</f>
        <v>30</v>
      </c>
      <c r="D2009" s="234">
        <f>1+1+1+1</f>
        <v>4</v>
      </c>
      <c r="E2009" s="234">
        <f>1+1</f>
        <v>2</v>
      </c>
      <c r="F2009" s="220">
        <f t="shared" si="867"/>
        <v>36</v>
      </c>
      <c r="G2009" s="248">
        <v>45839</v>
      </c>
      <c r="H2009" s="4"/>
      <c r="I2009" s="233"/>
      <c r="J2009" s="234"/>
      <c r="K2009" s="234"/>
      <c r="L2009" s="220">
        <f t="shared" si="872"/>
        <v>0</v>
      </c>
      <c r="M2009" s="248"/>
      <c r="O2009" s="4"/>
      <c r="P2009" s="15"/>
      <c r="Q2009" s="14">
        <f t="shared" si="869"/>
        <v>0</v>
      </c>
      <c r="R2009" s="186"/>
      <c r="S2009" s="4"/>
      <c r="T2009" s="15"/>
      <c r="U2009" s="14">
        <f t="shared" si="870"/>
        <v>0</v>
      </c>
      <c r="V2009" s="186"/>
    </row>
    <row r="2010" spans="2:22" x14ac:dyDescent="0.15">
      <c r="B2010" s="4" t="s">
        <v>749</v>
      </c>
      <c r="C2010" s="233">
        <f>7+1+3</f>
        <v>11</v>
      </c>
      <c r="D2010" s="234">
        <f>1+3</f>
        <v>4</v>
      </c>
      <c r="E2010" s="234">
        <v>2</v>
      </c>
      <c r="F2010" s="220">
        <f t="shared" si="867"/>
        <v>17</v>
      </c>
      <c r="G2010" s="248">
        <v>45840</v>
      </c>
      <c r="H2010" s="4"/>
      <c r="I2010" s="233"/>
      <c r="J2010" s="234"/>
      <c r="K2010" s="234"/>
      <c r="L2010" s="220">
        <f t="shared" si="872"/>
        <v>0</v>
      </c>
      <c r="M2010" s="248"/>
      <c r="O2010" s="4"/>
      <c r="P2010" s="15"/>
      <c r="Q2010" s="14">
        <f t="shared" si="869"/>
        <v>0</v>
      </c>
      <c r="R2010" s="186"/>
      <c r="S2010" s="4"/>
      <c r="T2010" s="15"/>
      <c r="U2010" s="14">
        <f t="shared" si="870"/>
        <v>0</v>
      </c>
      <c r="V2010" s="186"/>
    </row>
    <row r="2011" spans="2:22" x14ac:dyDescent="0.15">
      <c r="B2011" s="4" t="s">
        <v>749</v>
      </c>
      <c r="C2011" s="233">
        <f>2+6</f>
        <v>8</v>
      </c>
      <c r="D2011" s="234">
        <v>2</v>
      </c>
      <c r="E2011" s="234">
        <v>3</v>
      </c>
      <c r="F2011" s="220">
        <f t="shared" si="867"/>
        <v>13</v>
      </c>
      <c r="G2011" s="248">
        <v>45841</v>
      </c>
      <c r="H2011" s="4" t="s">
        <v>765</v>
      </c>
      <c r="I2011" s="233"/>
      <c r="J2011" s="234"/>
      <c r="K2011" s="234"/>
      <c r="L2011" s="220">
        <f t="shared" si="872"/>
        <v>0</v>
      </c>
      <c r="M2011" s="248"/>
      <c r="O2011" s="6"/>
      <c r="P2011" s="15"/>
      <c r="Q2011" s="14">
        <f t="shared" si="869"/>
        <v>0</v>
      </c>
      <c r="R2011" s="186"/>
      <c r="S2011" s="6"/>
      <c r="T2011" s="15"/>
      <c r="U2011" s="14">
        <f t="shared" si="870"/>
        <v>0</v>
      </c>
      <c r="V2011" s="186"/>
    </row>
    <row r="2012" spans="2:22" ht="14.25" thickBot="1" x14ac:dyDescent="0.2">
      <c r="B2012" s="4" t="s">
        <v>749</v>
      </c>
      <c r="C2012" s="235">
        <f>2+8</f>
        <v>10</v>
      </c>
      <c r="D2012" s="234">
        <v>2</v>
      </c>
      <c r="E2012" s="234"/>
      <c r="F2012" s="220">
        <f t="shared" si="867"/>
        <v>12</v>
      </c>
      <c r="G2012" s="248">
        <v>45842</v>
      </c>
      <c r="H2012" s="6" t="s">
        <v>1339</v>
      </c>
      <c r="I2012" s="235"/>
      <c r="J2012" s="234"/>
      <c r="K2012" s="234"/>
      <c r="L2012" s="220">
        <f t="shared" si="872"/>
        <v>0</v>
      </c>
      <c r="M2012" s="212" t="s">
        <v>1340</v>
      </c>
      <c r="O2012" s="6"/>
      <c r="P2012" s="15"/>
      <c r="Q2012" s="14">
        <f t="shared" si="869"/>
        <v>0</v>
      </c>
      <c r="R2012" s="186"/>
      <c r="S2012" s="6"/>
      <c r="T2012" s="15"/>
      <c r="U2012" s="14">
        <f t="shared" ref="U2012" si="873">SUM(T2012:T2012)</f>
        <v>0</v>
      </c>
      <c r="V2012" s="186"/>
    </row>
    <row r="2013" spans="2:22" ht="14.25" thickBot="1" x14ac:dyDescent="0.2">
      <c r="B2013" s="3" t="s">
        <v>5</v>
      </c>
      <c r="C2013" s="16">
        <f>SUM(C1989:C2012)</f>
        <v>326</v>
      </c>
      <c r="D2013" s="16">
        <f>SUM(D1989:D2012)</f>
        <v>79</v>
      </c>
      <c r="E2013" s="16">
        <f>SUM(E1989:E2012)</f>
        <v>56</v>
      </c>
      <c r="F2013" s="223">
        <f>SUM(F1989:F2012)</f>
        <v>461</v>
      </c>
      <c r="H2013" s="3" t="s">
        <v>5</v>
      </c>
      <c r="I2013" s="16">
        <f>SUM(I1989:I2012)</f>
        <v>851</v>
      </c>
      <c r="J2013" s="16">
        <f t="shared" ref="J2013" si="874">SUM(J1989:J2012)</f>
        <v>100</v>
      </c>
      <c r="K2013" s="16">
        <f t="shared" ref="K2013" si="875">SUM(K1989:K2012)</f>
        <v>100</v>
      </c>
      <c r="L2013" s="223">
        <f>SUM(L1989:L2012)</f>
        <v>1051</v>
      </c>
      <c r="O2013" s="3" t="s">
        <v>5</v>
      </c>
      <c r="P2013" s="16">
        <f>SUM(P1989:P2012)</f>
        <v>0</v>
      </c>
      <c r="Q2013" s="17">
        <f>SUM(Q1989:Q2012)</f>
        <v>0</v>
      </c>
      <c r="S2013" s="3" t="s">
        <v>5</v>
      </c>
      <c r="T2013" s="16">
        <f>SUM(T1989:T2012)</f>
        <v>0</v>
      </c>
      <c r="U2013" s="17">
        <f>SUM(U1989:U2012)</f>
        <v>0</v>
      </c>
      <c r="V2013" s="209"/>
    </row>
    <row r="2014" spans="2:22" ht="14.25" thickBot="1" x14ac:dyDescent="0.2">
      <c r="B2014" s="18" t="s">
        <v>6</v>
      </c>
      <c r="C2014" s="19">
        <f>C1988-C2013</f>
        <v>179</v>
      </c>
      <c r="D2014" s="19">
        <f>D1988-D2013</f>
        <v>144</v>
      </c>
      <c r="E2014" s="19">
        <f t="shared" ref="E2014" si="876">E1988-E2013</f>
        <v>176</v>
      </c>
      <c r="F2014" s="221">
        <f>F1988-F2013</f>
        <v>499</v>
      </c>
      <c r="H2014" s="18" t="s">
        <v>6</v>
      </c>
      <c r="I2014" s="19">
        <f>I1988-I2013</f>
        <v>6206</v>
      </c>
      <c r="J2014" s="19">
        <f t="shared" ref="J2014" si="877">J1988-J2013</f>
        <v>1764</v>
      </c>
      <c r="K2014" s="19">
        <f t="shared" ref="K2014" si="878">K1988-K2013</f>
        <v>1875</v>
      </c>
      <c r="L2014" s="221">
        <f>L1988-L2013</f>
        <v>9956</v>
      </c>
      <c r="O2014" s="18" t="s">
        <v>6</v>
      </c>
      <c r="P2014" s="19">
        <f>P1988-P2013</f>
        <v>0</v>
      </c>
      <c r="Q2014" s="13">
        <f>Q1988-Q2013</f>
        <v>0</v>
      </c>
      <c r="S2014" s="18" t="s">
        <v>6</v>
      </c>
      <c r="T2014" s="19">
        <f>T1988-T2013</f>
        <v>1502</v>
      </c>
      <c r="U2014" s="13">
        <f>U1988-U2013</f>
        <v>1502</v>
      </c>
      <c r="V2014" s="209"/>
    </row>
    <row r="2017" spans="1:22" ht="18" thickBot="1" x14ac:dyDescent="0.25">
      <c r="B2017" s="27" t="s">
        <v>739</v>
      </c>
      <c r="C2017" s="28"/>
      <c r="D2017" s="28"/>
      <c r="E2017" s="28"/>
      <c r="F2017" s="218"/>
      <c r="H2017" s="27" t="s">
        <v>740</v>
      </c>
      <c r="I2017" s="279"/>
      <c r="J2017" s="279"/>
      <c r="K2017" s="22"/>
      <c r="L2017" s="278"/>
      <c r="O2017" s="181" t="s">
        <v>737</v>
      </c>
      <c r="P2017" s="182"/>
      <c r="Q2017" s="182"/>
      <c r="R2017" s="183"/>
      <c r="S2017" s="181" t="s">
        <v>733</v>
      </c>
      <c r="T2017" s="182"/>
      <c r="U2017" s="182"/>
    </row>
    <row r="2018" spans="1:22" ht="14.25" thickBot="1" x14ac:dyDescent="0.2">
      <c r="B2018" s="2"/>
      <c r="C2018" s="194" t="s">
        <v>734</v>
      </c>
      <c r="D2018" s="195" t="s">
        <v>706</v>
      </c>
      <c r="E2018" s="2" t="s">
        <v>735</v>
      </c>
      <c r="F2018" s="219" t="s">
        <v>1</v>
      </c>
      <c r="H2018" s="2"/>
      <c r="I2018" s="197" t="s">
        <v>734</v>
      </c>
      <c r="J2018" s="195" t="s">
        <v>706</v>
      </c>
      <c r="K2018" s="201" t="s">
        <v>735</v>
      </c>
      <c r="L2018" s="219" t="s">
        <v>1</v>
      </c>
      <c r="O2018" s="2"/>
      <c r="P2018" s="3" t="s">
        <v>722</v>
      </c>
      <c r="Q2018" s="2" t="s">
        <v>1</v>
      </c>
      <c r="S2018" s="2"/>
      <c r="T2018" s="3" t="s">
        <v>722</v>
      </c>
      <c r="U2018" s="2" t="s">
        <v>1</v>
      </c>
    </row>
    <row r="2019" spans="1:22" x14ac:dyDescent="0.15">
      <c r="B2019" s="164" t="s">
        <v>26</v>
      </c>
      <c r="C2019" s="200">
        <f>C2014</f>
        <v>179</v>
      </c>
      <c r="D2019" s="164">
        <f t="shared" ref="D2019:F2019" si="879">D2014</f>
        <v>144</v>
      </c>
      <c r="E2019" s="164">
        <f t="shared" si="879"/>
        <v>176</v>
      </c>
      <c r="F2019" s="222">
        <f t="shared" si="879"/>
        <v>499</v>
      </c>
      <c r="H2019" s="164" t="s">
        <v>26</v>
      </c>
      <c r="I2019" s="200">
        <f>I2014</f>
        <v>6206</v>
      </c>
      <c r="J2019" s="164">
        <f t="shared" ref="J2019:L2019" si="880">J2014</f>
        <v>1764</v>
      </c>
      <c r="K2019" s="200">
        <f t="shared" si="880"/>
        <v>1875</v>
      </c>
      <c r="L2019" s="222">
        <f t="shared" si="880"/>
        <v>9956</v>
      </c>
      <c r="O2019" s="171" t="s">
        <v>26</v>
      </c>
      <c r="P2019" s="200">
        <f>P2014</f>
        <v>0</v>
      </c>
      <c r="Q2019" s="180">
        <f>Q2014</f>
        <v>0</v>
      </c>
      <c r="R2019" s="185"/>
      <c r="S2019" s="43" t="s">
        <v>26</v>
      </c>
      <c r="T2019" s="38">
        <f>T2014</f>
        <v>1502</v>
      </c>
      <c r="U2019" s="39">
        <f>U2014</f>
        <v>1502</v>
      </c>
    </row>
    <row r="2020" spans="1:22" x14ac:dyDescent="0.15">
      <c r="A2020" s="186"/>
      <c r="B2020" s="6" t="s">
        <v>3</v>
      </c>
      <c r="C2020" s="188">
        <v>100</v>
      </c>
      <c r="D2020" s="225"/>
      <c r="E2020" s="243"/>
      <c r="F2020" s="220">
        <f t="shared" ref="F2020:F2021" si="881">SUM(C2020:E2020)</f>
        <v>100</v>
      </c>
      <c r="G2020" s="211">
        <v>45853</v>
      </c>
      <c r="H2020" s="6" t="s">
        <v>3</v>
      </c>
      <c r="I2020" s="188"/>
      <c r="J2020" s="225"/>
      <c r="K2020" s="243"/>
      <c r="L2020" s="220">
        <f t="shared" ref="L2020" si="882">SUM(I2020:K2020)</f>
        <v>0</v>
      </c>
      <c r="M2020" s="212"/>
      <c r="O2020" s="6" t="s">
        <v>3</v>
      </c>
      <c r="P2020" s="7"/>
      <c r="Q2020" s="5">
        <f t="shared" ref="Q2020:Q2029" si="883">SUM(P2020:P2020)</f>
        <v>0</v>
      </c>
      <c r="R2020" s="186"/>
      <c r="S2020" s="6" t="s">
        <v>3</v>
      </c>
      <c r="T2020" s="7"/>
      <c r="U2020" s="5">
        <f t="shared" ref="U2020:U2029" si="884">SUM(T2020:T2020)</f>
        <v>0</v>
      </c>
      <c r="V2020" s="186"/>
    </row>
    <row r="2021" spans="1:22" x14ac:dyDescent="0.15">
      <c r="A2021" s="186"/>
      <c r="B2021" s="6" t="s">
        <v>968</v>
      </c>
      <c r="C2021" s="188"/>
      <c r="D2021" s="225">
        <v>2</v>
      </c>
      <c r="E2021" s="243"/>
      <c r="F2021" s="220">
        <f t="shared" si="881"/>
        <v>2</v>
      </c>
      <c r="G2021" s="211">
        <v>45853</v>
      </c>
      <c r="H2021" s="6" t="s">
        <v>3</v>
      </c>
      <c r="I2021" s="188"/>
      <c r="J2021" s="225"/>
      <c r="K2021" s="243"/>
      <c r="L2021" s="220">
        <f t="shared" ref="L2021:L2029" si="885">SUM(I2021:K2021)</f>
        <v>0</v>
      </c>
      <c r="M2021" s="212"/>
      <c r="O2021" s="6" t="s">
        <v>3</v>
      </c>
      <c r="P2021" s="7"/>
      <c r="Q2021" s="5">
        <f t="shared" si="883"/>
        <v>0</v>
      </c>
      <c r="R2021" s="186"/>
      <c r="S2021" s="6" t="s">
        <v>3</v>
      </c>
      <c r="T2021" s="7"/>
      <c r="U2021" s="5">
        <f t="shared" si="884"/>
        <v>0</v>
      </c>
      <c r="V2021" s="186"/>
    </row>
    <row r="2022" spans="1:22" x14ac:dyDescent="0.15">
      <c r="A2022" s="186"/>
      <c r="B2022" s="6" t="s">
        <v>861</v>
      </c>
      <c r="C2022" s="188">
        <v>2</v>
      </c>
      <c r="D2022" s="225"/>
      <c r="E2022" s="243"/>
      <c r="F2022" s="220">
        <f t="shared" ref="F2022:F2029" si="886">SUM(C2022:E2022)</f>
        <v>2</v>
      </c>
      <c r="G2022" s="211">
        <v>45856</v>
      </c>
      <c r="H2022" s="6" t="s">
        <v>3</v>
      </c>
      <c r="I2022" s="188"/>
      <c r="J2022" s="225"/>
      <c r="K2022" s="243"/>
      <c r="L2022" s="220">
        <f t="shared" si="885"/>
        <v>0</v>
      </c>
      <c r="M2022" s="212"/>
      <c r="O2022" s="6" t="s">
        <v>3</v>
      </c>
      <c r="P2022" s="7"/>
      <c r="Q2022" s="5">
        <f t="shared" si="883"/>
        <v>0</v>
      </c>
      <c r="R2022" s="186"/>
      <c r="S2022" s="6" t="s">
        <v>3</v>
      </c>
      <c r="T2022" s="7"/>
      <c r="U2022" s="5">
        <f t="shared" si="884"/>
        <v>0</v>
      </c>
      <c r="V2022" s="186"/>
    </row>
    <row r="2023" spans="1:22" x14ac:dyDescent="0.15">
      <c r="A2023" s="186"/>
      <c r="B2023" s="6" t="s">
        <v>3</v>
      </c>
      <c r="C2023" s="188">
        <v>100</v>
      </c>
      <c r="D2023" s="225"/>
      <c r="E2023" s="243"/>
      <c r="F2023" s="220">
        <f t="shared" si="886"/>
        <v>100</v>
      </c>
      <c r="G2023" s="211">
        <v>45867</v>
      </c>
      <c r="H2023" s="6" t="s">
        <v>3</v>
      </c>
      <c r="I2023" s="188"/>
      <c r="J2023" s="225"/>
      <c r="K2023" s="243"/>
      <c r="L2023" s="220">
        <f t="shared" si="885"/>
        <v>0</v>
      </c>
      <c r="M2023" s="212"/>
      <c r="O2023" s="6" t="s">
        <v>3</v>
      </c>
      <c r="P2023" s="7"/>
      <c r="Q2023" s="5">
        <f t="shared" si="883"/>
        <v>0</v>
      </c>
      <c r="R2023" s="186"/>
      <c r="S2023" s="6" t="s">
        <v>3</v>
      </c>
      <c r="T2023" s="7"/>
      <c r="U2023" s="5">
        <f t="shared" si="884"/>
        <v>0</v>
      </c>
      <c r="V2023" s="186"/>
    </row>
    <row r="2024" spans="1:22" x14ac:dyDescent="0.15">
      <c r="A2024" s="186"/>
      <c r="B2024" s="6" t="s">
        <v>3</v>
      </c>
      <c r="C2024" s="188">
        <v>100</v>
      </c>
      <c r="D2024" s="225">
        <v>100</v>
      </c>
      <c r="E2024" s="243"/>
      <c r="F2024" s="220">
        <f t="shared" si="886"/>
        <v>200</v>
      </c>
      <c r="G2024" s="211">
        <v>45871</v>
      </c>
      <c r="H2024" s="6" t="s">
        <v>3</v>
      </c>
      <c r="I2024" s="188"/>
      <c r="J2024" s="225"/>
      <c r="K2024" s="243"/>
      <c r="L2024" s="220">
        <f t="shared" si="885"/>
        <v>0</v>
      </c>
      <c r="O2024" s="6" t="s">
        <v>3</v>
      </c>
      <c r="P2024" s="7"/>
      <c r="Q2024" s="5">
        <f t="shared" si="883"/>
        <v>0</v>
      </c>
      <c r="R2024" s="186"/>
      <c r="S2024" s="6" t="s">
        <v>3</v>
      </c>
      <c r="T2024" s="7"/>
      <c r="U2024" s="5">
        <f t="shared" si="884"/>
        <v>0</v>
      </c>
      <c r="V2024" s="186"/>
    </row>
    <row r="2025" spans="1:22" x14ac:dyDescent="0.15">
      <c r="B2025" s="6" t="s">
        <v>3</v>
      </c>
      <c r="C2025" s="188"/>
      <c r="D2025" s="6"/>
      <c r="E2025" s="202"/>
      <c r="F2025" s="220">
        <f t="shared" si="886"/>
        <v>0</v>
      </c>
      <c r="G2025" s="212"/>
      <c r="H2025" s="6" t="s">
        <v>3</v>
      </c>
      <c r="I2025" s="188"/>
      <c r="J2025" s="6"/>
      <c r="K2025" s="202"/>
      <c r="L2025" s="220">
        <f t="shared" si="885"/>
        <v>0</v>
      </c>
      <c r="O2025" s="6" t="s">
        <v>3</v>
      </c>
      <c r="P2025" s="7"/>
      <c r="Q2025" s="5">
        <f t="shared" si="883"/>
        <v>0</v>
      </c>
      <c r="R2025" s="186"/>
      <c r="S2025" s="6" t="s">
        <v>3</v>
      </c>
      <c r="T2025" s="7"/>
      <c r="U2025" s="5">
        <f t="shared" si="884"/>
        <v>0</v>
      </c>
      <c r="V2025" s="186"/>
    </row>
    <row r="2026" spans="1:22" x14ac:dyDescent="0.15">
      <c r="B2026" s="6" t="s">
        <v>3</v>
      </c>
      <c r="C2026" s="188"/>
      <c r="D2026" s="225"/>
      <c r="E2026" s="243"/>
      <c r="F2026" s="220">
        <f t="shared" si="886"/>
        <v>0</v>
      </c>
      <c r="H2026" s="6" t="s">
        <v>3</v>
      </c>
      <c r="I2026" s="188"/>
      <c r="J2026" s="225"/>
      <c r="K2026" s="243"/>
      <c r="L2026" s="220">
        <f t="shared" si="885"/>
        <v>0</v>
      </c>
      <c r="O2026" s="6" t="s">
        <v>3</v>
      </c>
      <c r="P2026" s="8"/>
      <c r="Q2026" s="5">
        <f t="shared" si="883"/>
        <v>0</v>
      </c>
      <c r="R2026" s="186"/>
      <c r="S2026" s="6" t="s">
        <v>3</v>
      </c>
      <c r="T2026" s="8"/>
      <c r="U2026" s="5">
        <f t="shared" si="884"/>
        <v>0</v>
      </c>
      <c r="V2026" s="186"/>
    </row>
    <row r="2027" spans="1:22" x14ac:dyDescent="0.15">
      <c r="B2027" s="6" t="s">
        <v>3</v>
      </c>
      <c r="C2027" s="188"/>
      <c r="D2027" s="225"/>
      <c r="E2027" s="243"/>
      <c r="F2027" s="220">
        <f t="shared" si="886"/>
        <v>0</v>
      </c>
      <c r="H2027" s="6" t="s">
        <v>3</v>
      </c>
      <c r="I2027" s="188"/>
      <c r="J2027" s="225"/>
      <c r="K2027" s="243"/>
      <c r="L2027" s="220">
        <f t="shared" si="885"/>
        <v>0</v>
      </c>
      <c r="O2027" s="6" t="s">
        <v>3</v>
      </c>
      <c r="P2027" s="8"/>
      <c r="Q2027" s="5">
        <f t="shared" si="883"/>
        <v>0</v>
      </c>
      <c r="R2027" s="186"/>
      <c r="S2027" s="6" t="s">
        <v>3</v>
      </c>
      <c r="T2027" s="8"/>
      <c r="U2027" s="5">
        <f t="shared" si="884"/>
        <v>0</v>
      </c>
      <c r="V2027" s="186"/>
    </row>
    <row r="2028" spans="1:22" x14ac:dyDescent="0.15">
      <c r="B2028" s="6" t="s">
        <v>3</v>
      </c>
      <c r="C2028" s="188"/>
      <c r="D2028" s="225"/>
      <c r="E2028" s="243"/>
      <c r="F2028" s="220">
        <f t="shared" si="886"/>
        <v>0</v>
      </c>
      <c r="H2028" s="6" t="s">
        <v>3</v>
      </c>
      <c r="I2028" s="188"/>
      <c r="J2028" s="225"/>
      <c r="K2028" s="243"/>
      <c r="L2028" s="220">
        <f t="shared" si="885"/>
        <v>0</v>
      </c>
      <c r="O2028" s="6" t="s">
        <v>3</v>
      </c>
      <c r="P2028" s="8"/>
      <c r="Q2028" s="5">
        <f t="shared" si="883"/>
        <v>0</v>
      </c>
      <c r="R2028" s="186"/>
      <c r="S2028" s="6" t="s">
        <v>3</v>
      </c>
      <c r="T2028" s="8"/>
      <c r="U2028" s="5">
        <f t="shared" si="884"/>
        <v>0</v>
      </c>
      <c r="V2028" s="186"/>
    </row>
    <row r="2029" spans="1:22" ht="14.25" thickBot="1" x14ac:dyDescent="0.2">
      <c r="B2029" s="9" t="s">
        <v>3</v>
      </c>
      <c r="C2029" s="198"/>
      <c r="D2029" s="244"/>
      <c r="E2029" s="245"/>
      <c r="F2029" s="220">
        <f t="shared" si="886"/>
        <v>0</v>
      </c>
      <c r="H2029" s="9" t="s">
        <v>3</v>
      </c>
      <c r="I2029" s="198"/>
      <c r="J2029" s="244"/>
      <c r="K2029" s="245"/>
      <c r="L2029" s="220">
        <f t="shared" si="885"/>
        <v>0</v>
      </c>
      <c r="O2029" s="9" t="s">
        <v>3</v>
      </c>
      <c r="P2029" s="10"/>
      <c r="Q2029" s="5">
        <f t="shared" si="883"/>
        <v>0</v>
      </c>
      <c r="R2029" s="186"/>
      <c r="S2029" s="9" t="s">
        <v>3</v>
      </c>
      <c r="T2029" s="10"/>
      <c r="U2029" s="5">
        <f t="shared" si="884"/>
        <v>0</v>
      </c>
      <c r="V2029" s="186"/>
    </row>
    <row r="2030" spans="1:22" ht="14.25" thickBot="1" x14ac:dyDescent="0.2">
      <c r="B2030" s="11" t="s">
        <v>4</v>
      </c>
      <c r="C2030" s="193">
        <f>SUM(C2019:C2029)</f>
        <v>481</v>
      </c>
      <c r="D2030" s="193">
        <f>SUM(D2019:D2029)</f>
        <v>246</v>
      </c>
      <c r="E2030" s="193">
        <f>SUM(E2019:E2029)</f>
        <v>176</v>
      </c>
      <c r="F2030" s="221">
        <f>SUM(F2019:F2029)</f>
        <v>903</v>
      </c>
      <c r="H2030" s="11" t="s">
        <v>4</v>
      </c>
      <c r="I2030" s="193">
        <f>SUM(I2019:I2029)</f>
        <v>6206</v>
      </c>
      <c r="J2030" s="193">
        <f t="shared" ref="J2030" si="887">SUM(J2019:J2029)</f>
        <v>1764</v>
      </c>
      <c r="K2030" s="193">
        <f t="shared" ref="K2030" si="888">SUM(K2019:K2029)</f>
        <v>1875</v>
      </c>
      <c r="L2030" s="221">
        <f>SUM(L2019:L2029)</f>
        <v>9956</v>
      </c>
      <c r="O2030" s="11" t="s">
        <v>4</v>
      </c>
      <c r="P2030" s="12">
        <f>SUM(P2019:P2029)</f>
        <v>0</v>
      </c>
      <c r="Q2030" s="13">
        <f>SUM(Q2019:Q2029)</f>
        <v>0</v>
      </c>
      <c r="S2030" s="11" t="s">
        <v>4</v>
      </c>
      <c r="T2030" s="12">
        <f>SUM(T2019:T2029)</f>
        <v>1502</v>
      </c>
      <c r="U2030" s="13">
        <f>SUM(U2019:U2029)</f>
        <v>1502</v>
      </c>
    </row>
    <row r="2031" spans="1:22" x14ac:dyDescent="0.15">
      <c r="B2031" s="4" t="s">
        <v>749</v>
      </c>
      <c r="C2031" s="233">
        <f>5+12</f>
        <v>17</v>
      </c>
      <c r="D2031" s="234">
        <v>3</v>
      </c>
      <c r="E2031" s="234">
        <v>3</v>
      </c>
      <c r="F2031" s="220">
        <f t="shared" ref="F2031:F2054" si="889">SUM(C2031:E2031)</f>
        <v>23</v>
      </c>
      <c r="G2031" s="248">
        <v>45843</v>
      </c>
      <c r="H2031" s="4" t="s">
        <v>745</v>
      </c>
      <c r="I2031" s="233">
        <v>100</v>
      </c>
      <c r="J2031" s="234"/>
      <c r="K2031" s="234"/>
      <c r="L2031" s="220">
        <f t="shared" ref="L2031:L2033" si="890">SUM(I2031:K2031)</f>
        <v>100</v>
      </c>
      <c r="M2031" s="211">
        <v>45853</v>
      </c>
      <c r="O2031" s="4"/>
      <c r="P2031" s="44"/>
      <c r="Q2031" s="14">
        <f t="shared" ref="Q2031:Q2054" si="891">SUM(P2031:P2031)</f>
        <v>0</v>
      </c>
      <c r="R2031" s="185"/>
      <c r="S2031" s="4"/>
      <c r="T2031" s="44"/>
      <c r="U2031" s="14">
        <f t="shared" ref="U2031:U2054" si="892">SUM(T2031:T2031)</f>
        <v>0</v>
      </c>
      <c r="V2031" s="185"/>
    </row>
    <row r="2032" spans="1:22" x14ac:dyDescent="0.15">
      <c r="B2032" s="4" t="s">
        <v>749</v>
      </c>
      <c r="C2032" s="233">
        <f>1+12+1+19+2+3+1</f>
        <v>39</v>
      </c>
      <c r="D2032" s="234">
        <f>8+3+1</f>
        <v>12</v>
      </c>
      <c r="E2032" s="234">
        <f>4+40</f>
        <v>44</v>
      </c>
      <c r="F2032" s="220">
        <f t="shared" si="889"/>
        <v>95</v>
      </c>
      <c r="G2032" s="248">
        <v>45845</v>
      </c>
      <c r="H2032" s="4" t="s">
        <v>745</v>
      </c>
      <c r="I2032" s="233">
        <v>100</v>
      </c>
      <c r="J2032" s="234"/>
      <c r="K2032" s="234"/>
      <c r="L2032" s="220">
        <f t="shared" si="890"/>
        <v>100</v>
      </c>
      <c r="M2032" s="211">
        <v>45867</v>
      </c>
      <c r="O2032" s="4"/>
      <c r="P2032" s="15"/>
      <c r="Q2032" s="14">
        <f t="shared" si="891"/>
        <v>0</v>
      </c>
      <c r="R2032" s="186"/>
      <c r="S2032" s="4"/>
      <c r="T2032" s="15"/>
      <c r="U2032" s="14">
        <f t="shared" si="892"/>
        <v>0</v>
      </c>
      <c r="V2032" s="186"/>
    </row>
    <row r="2033" spans="2:22" x14ac:dyDescent="0.15">
      <c r="B2033" s="4" t="s">
        <v>749</v>
      </c>
      <c r="C2033" s="233">
        <f>2+8+1+1</f>
        <v>12</v>
      </c>
      <c r="D2033" s="234">
        <f>1+1+1</f>
        <v>3</v>
      </c>
      <c r="E2033" s="234">
        <v>1</v>
      </c>
      <c r="F2033" s="220">
        <f t="shared" si="889"/>
        <v>16</v>
      </c>
      <c r="G2033" s="248">
        <v>45846</v>
      </c>
      <c r="H2033" s="4" t="s">
        <v>745</v>
      </c>
      <c r="I2033" s="233">
        <v>100</v>
      </c>
      <c r="J2033" s="234">
        <v>100</v>
      </c>
      <c r="K2033" s="234"/>
      <c r="L2033" s="220">
        <f t="shared" si="890"/>
        <v>200</v>
      </c>
      <c r="M2033" s="211">
        <v>45871</v>
      </c>
      <c r="O2033" s="4"/>
      <c r="P2033" s="15"/>
      <c r="Q2033" s="14">
        <f t="shared" si="891"/>
        <v>0</v>
      </c>
      <c r="R2033" s="186"/>
      <c r="S2033" s="4"/>
      <c r="T2033" s="15"/>
      <c r="U2033" s="14">
        <f t="shared" si="892"/>
        <v>0</v>
      </c>
      <c r="V2033" s="186"/>
    </row>
    <row r="2034" spans="2:22" x14ac:dyDescent="0.15">
      <c r="B2034" s="4" t="s">
        <v>749</v>
      </c>
      <c r="C2034" s="233">
        <f>2+7+1</f>
        <v>10</v>
      </c>
      <c r="D2034" s="234">
        <v>2</v>
      </c>
      <c r="E2034" s="234">
        <f>1+2</f>
        <v>3</v>
      </c>
      <c r="F2034" s="220">
        <f t="shared" si="889"/>
        <v>15</v>
      </c>
      <c r="G2034" s="248">
        <v>45847</v>
      </c>
      <c r="H2034" s="4"/>
      <c r="I2034" s="233"/>
      <c r="J2034" s="234"/>
      <c r="K2034" s="234"/>
      <c r="L2034" s="220">
        <f t="shared" ref="L2034:L2041" si="893">SUM(I2034:K2034)</f>
        <v>0</v>
      </c>
      <c r="M2034" s="211"/>
      <c r="O2034" s="4"/>
      <c r="P2034" s="15"/>
      <c r="Q2034" s="14">
        <f t="shared" si="891"/>
        <v>0</v>
      </c>
      <c r="R2034" s="186"/>
      <c r="S2034" s="4"/>
      <c r="T2034" s="15"/>
      <c r="U2034" s="14">
        <f t="shared" si="892"/>
        <v>0</v>
      </c>
      <c r="V2034" s="186"/>
    </row>
    <row r="2035" spans="2:22" x14ac:dyDescent="0.15">
      <c r="B2035" s="4" t="s">
        <v>749</v>
      </c>
      <c r="C2035" s="233">
        <f>9+1+2</f>
        <v>12</v>
      </c>
      <c r="D2035" s="234">
        <f>1+1</f>
        <v>2</v>
      </c>
      <c r="E2035" s="234">
        <f>2+2</f>
        <v>4</v>
      </c>
      <c r="F2035" s="220">
        <f t="shared" si="889"/>
        <v>18</v>
      </c>
      <c r="G2035" s="248">
        <v>45848</v>
      </c>
      <c r="H2035" s="4"/>
      <c r="I2035" s="233"/>
      <c r="J2035" s="234"/>
      <c r="K2035" s="234"/>
      <c r="L2035" s="220">
        <f t="shared" si="893"/>
        <v>0</v>
      </c>
      <c r="M2035" s="211"/>
      <c r="O2035" s="4"/>
      <c r="P2035" s="15"/>
      <c r="Q2035" s="14">
        <f t="shared" si="891"/>
        <v>0</v>
      </c>
      <c r="R2035" s="186"/>
      <c r="S2035" s="4"/>
      <c r="T2035" s="15"/>
      <c r="U2035" s="14">
        <f t="shared" si="892"/>
        <v>0</v>
      </c>
      <c r="V2035" s="186"/>
    </row>
    <row r="2036" spans="2:22" x14ac:dyDescent="0.15">
      <c r="B2036" s="4" t="s">
        <v>749</v>
      </c>
      <c r="C2036" s="233">
        <f>15+1+2</f>
        <v>18</v>
      </c>
      <c r="D2036" s="234">
        <v>2</v>
      </c>
      <c r="E2036" s="234">
        <v>2</v>
      </c>
      <c r="F2036" s="220">
        <f t="shared" si="889"/>
        <v>22</v>
      </c>
      <c r="G2036" s="248">
        <v>45849</v>
      </c>
      <c r="H2036" s="4"/>
      <c r="I2036" s="233"/>
      <c r="J2036" s="234"/>
      <c r="K2036" s="234"/>
      <c r="L2036" s="220">
        <f t="shared" si="893"/>
        <v>0</v>
      </c>
      <c r="M2036" s="211"/>
      <c r="O2036" s="4"/>
      <c r="P2036" s="15"/>
      <c r="Q2036" s="14">
        <f t="shared" si="891"/>
        <v>0</v>
      </c>
      <c r="R2036" s="186"/>
      <c r="S2036" s="4"/>
      <c r="T2036" s="15"/>
      <c r="U2036" s="14">
        <f t="shared" si="892"/>
        <v>0</v>
      </c>
      <c r="V2036" s="186"/>
    </row>
    <row r="2037" spans="2:22" x14ac:dyDescent="0.15">
      <c r="B2037" s="4" t="s">
        <v>749</v>
      </c>
      <c r="C2037" s="233">
        <f>12+4+1+1+4+1+10</f>
        <v>33</v>
      </c>
      <c r="D2037" s="234">
        <f>1+4+1+1+3</f>
        <v>10</v>
      </c>
      <c r="E2037" s="234">
        <f>1+1+2+1+1+3</f>
        <v>9</v>
      </c>
      <c r="F2037" s="220">
        <f t="shared" si="889"/>
        <v>52</v>
      </c>
      <c r="G2037" s="248">
        <v>45852</v>
      </c>
      <c r="H2037" s="4"/>
      <c r="I2037" s="233"/>
      <c r="J2037" s="234"/>
      <c r="K2037" s="234"/>
      <c r="L2037" s="220">
        <f t="shared" si="893"/>
        <v>0</v>
      </c>
      <c r="M2037" s="248"/>
      <c r="O2037" s="4"/>
      <c r="P2037" s="15"/>
      <c r="Q2037" s="14">
        <f t="shared" si="891"/>
        <v>0</v>
      </c>
      <c r="R2037" s="186"/>
      <c r="S2037" s="4"/>
      <c r="T2037" s="15"/>
      <c r="U2037" s="14">
        <f t="shared" si="892"/>
        <v>0</v>
      </c>
      <c r="V2037" s="186"/>
    </row>
    <row r="2038" spans="2:22" x14ac:dyDescent="0.15">
      <c r="B2038" s="4" t="s">
        <v>749</v>
      </c>
      <c r="C2038" s="233">
        <v>10</v>
      </c>
      <c r="D2038" s="234">
        <f>3+1</f>
        <v>4</v>
      </c>
      <c r="E2038" s="234">
        <v>2</v>
      </c>
      <c r="F2038" s="220">
        <f t="shared" si="889"/>
        <v>16</v>
      </c>
      <c r="G2038" s="248">
        <v>45853</v>
      </c>
      <c r="H2038" s="4"/>
      <c r="I2038" s="233"/>
      <c r="J2038" s="234"/>
      <c r="K2038" s="234"/>
      <c r="L2038" s="220">
        <f t="shared" si="893"/>
        <v>0</v>
      </c>
      <c r="M2038" s="248"/>
      <c r="O2038" s="4"/>
      <c r="P2038" s="15"/>
      <c r="Q2038" s="14">
        <f t="shared" si="891"/>
        <v>0</v>
      </c>
      <c r="R2038" s="186"/>
      <c r="S2038" s="4"/>
      <c r="T2038" s="15"/>
      <c r="U2038" s="14">
        <f t="shared" si="892"/>
        <v>0</v>
      </c>
      <c r="V2038" s="186"/>
    </row>
    <row r="2039" spans="2:22" x14ac:dyDescent="0.15">
      <c r="B2039" s="4" t="s">
        <v>749</v>
      </c>
      <c r="C2039" s="233">
        <v>4</v>
      </c>
      <c r="D2039" s="234">
        <f>1+1</f>
        <v>2</v>
      </c>
      <c r="E2039" s="234"/>
      <c r="F2039" s="220">
        <f t="shared" si="889"/>
        <v>6</v>
      </c>
      <c r="G2039" s="248">
        <v>45854</v>
      </c>
      <c r="H2039" s="4"/>
      <c r="I2039" s="233"/>
      <c r="J2039" s="234"/>
      <c r="K2039" s="234"/>
      <c r="L2039" s="220">
        <f t="shared" si="893"/>
        <v>0</v>
      </c>
      <c r="M2039" s="248"/>
      <c r="O2039" s="4"/>
      <c r="P2039" s="15"/>
      <c r="Q2039" s="14">
        <f t="shared" si="891"/>
        <v>0</v>
      </c>
      <c r="R2039" s="186"/>
      <c r="S2039" s="4"/>
      <c r="T2039" s="15"/>
      <c r="U2039" s="14">
        <f t="shared" si="892"/>
        <v>0</v>
      </c>
      <c r="V2039" s="186"/>
    </row>
    <row r="2040" spans="2:22" x14ac:dyDescent="0.15">
      <c r="B2040" s="4" t="s">
        <v>749</v>
      </c>
      <c r="C2040" s="233">
        <f>2+15</f>
        <v>17</v>
      </c>
      <c r="D2040" s="234">
        <f>2+1</f>
        <v>3</v>
      </c>
      <c r="E2040" s="234"/>
      <c r="F2040" s="220">
        <f t="shared" si="889"/>
        <v>20</v>
      </c>
      <c r="G2040" s="248">
        <v>45855</v>
      </c>
      <c r="H2040" s="4"/>
      <c r="I2040" s="233"/>
      <c r="J2040" s="234"/>
      <c r="K2040" s="234"/>
      <c r="L2040" s="220">
        <f t="shared" si="893"/>
        <v>0</v>
      </c>
      <c r="M2040" s="248"/>
      <c r="O2040" s="4"/>
      <c r="P2040" s="15"/>
      <c r="Q2040" s="14">
        <f t="shared" si="891"/>
        <v>0</v>
      </c>
      <c r="R2040" s="186"/>
      <c r="S2040" s="4"/>
      <c r="T2040" s="15"/>
      <c r="U2040" s="14">
        <f t="shared" si="892"/>
        <v>0</v>
      </c>
      <c r="V2040" s="186"/>
    </row>
    <row r="2041" spans="2:22" x14ac:dyDescent="0.15">
      <c r="B2041" s="4" t="s">
        <v>749</v>
      </c>
      <c r="C2041" s="233">
        <f>5+1+2</f>
        <v>8</v>
      </c>
      <c r="D2041" s="234">
        <v>1</v>
      </c>
      <c r="E2041" s="234"/>
      <c r="F2041" s="220">
        <f t="shared" si="889"/>
        <v>9</v>
      </c>
      <c r="G2041" s="248">
        <v>45856</v>
      </c>
      <c r="H2041" s="4"/>
      <c r="I2041" s="233"/>
      <c r="J2041" s="234"/>
      <c r="K2041" s="234"/>
      <c r="L2041" s="220">
        <f t="shared" si="893"/>
        <v>0</v>
      </c>
      <c r="M2041" s="248"/>
      <c r="O2041" s="4"/>
      <c r="P2041" s="15"/>
      <c r="Q2041" s="14">
        <f t="shared" si="891"/>
        <v>0</v>
      </c>
      <c r="R2041" s="186"/>
      <c r="S2041" s="4"/>
      <c r="T2041" s="15"/>
      <c r="U2041" s="14">
        <f t="shared" si="892"/>
        <v>0</v>
      </c>
      <c r="V2041" s="186"/>
    </row>
    <row r="2042" spans="2:22" x14ac:dyDescent="0.15">
      <c r="B2042" s="4" t="s">
        <v>749</v>
      </c>
      <c r="C2042" s="233">
        <f>1+3</f>
        <v>4</v>
      </c>
      <c r="D2042" s="234">
        <f>1+1</f>
        <v>2</v>
      </c>
      <c r="E2042" s="234">
        <v>1</v>
      </c>
      <c r="F2042" s="220">
        <f t="shared" si="889"/>
        <v>7</v>
      </c>
      <c r="G2042" s="248">
        <v>45857</v>
      </c>
      <c r="H2042" s="4"/>
      <c r="I2042" s="233"/>
      <c r="J2042" s="234"/>
      <c r="K2042" s="234"/>
      <c r="L2042" s="220">
        <f t="shared" ref="L2042:L2053" si="894">SUM(I2042:K2042)</f>
        <v>0</v>
      </c>
      <c r="M2042" s="248"/>
      <c r="O2042" s="6"/>
      <c r="P2042" s="15"/>
      <c r="Q2042" s="14">
        <f t="shared" si="891"/>
        <v>0</v>
      </c>
      <c r="R2042" s="186"/>
      <c r="S2042" s="6"/>
      <c r="T2042" s="15"/>
      <c r="U2042" s="14">
        <f t="shared" si="892"/>
        <v>0</v>
      </c>
      <c r="V2042" s="186"/>
    </row>
    <row r="2043" spans="2:22" x14ac:dyDescent="0.15">
      <c r="B2043" s="4" t="s">
        <v>749</v>
      </c>
      <c r="C2043" s="233">
        <f>15+1+1+1+1+1+1</f>
        <v>21</v>
      </c>
      <c r="D2043" s="234">
        <f>6+1+1</f>
        <v>8</v>
      </c>
      <c r="E2043" s="234"/>
      <c r="F2043" s="220">
        <f t="shared" si="889"/>
        <v>29</v>
      </c>
      <c r="G2043" s="248">
        <v>45860</v>
      </c>
      <c r="H2043" s="4"/>
      <c r="I2043" s="233"/>
      <c r="J2043" s="234"/>
      <c r="K2043" s="234"/>
      <c r="L2043" s="220">
        <f t="shared" si="894"/>
        <v>0</v>
      </c>
      <c r="M2043" s="248"/>
      <c r="O2043" s="6"/>
      <c r="P2043" s="15"/>
      <c r="Q2043" s="14">
        <f t="shared" si="891"/>
        <v>0</v>
      </c>
      <c r="R2043" s="186"/>
      <c r="S2043" s="6"/>
      <c r="T2043" s="15"/>
      <c r="U2043" s="14">
        <f t="shared" si="892"/>
        <v>0</v>
      </c>
      <c r="V2043" s="186"/>
    </row>
    <row r="2044" spans="2:22" x14ac:dyDescent="0.15">
      <c r="B2044" s="4" t="s">
        <v>749</v>
      </c>
      <c r="C2044" s="233">
        <f>1+7+1</f>
        <v>9</v>
      </c>
      <c r="D2044" s="234">
        <v>2</v>
      </c>
      <c r="E2044" s="234">
        <v>1</v>
      </c>
      <c r="F2044" s="220">
        <f t="shared" si="889"/>
        <v>12</v>
      </c>
      <c r="G2044" s="248">
        <v>45861</v>
      </c>
      <c r="H2044" s="4"/>
      <c r="I2044" s="233"/>
      <c r="J2044" s="234"/>
      <c r="K2044" s="234"/>
      <c r="L2044" s="220">
        <f t="shared" si="894"/>
        <v>0</v>
      </c>
      <c r="M2044" s="248"/>
      <c r="O2044" s="4"/>
      <c r="P2044" s="15"/>
      <c r="Q2044" s="14">
        <f t="shared" si="891"/>
        <v>0</v>
      </c>
      <c r="R2044" s="186"/>
      <c r="S2044" s="4"/>
      <c r="T2044" s="15"/>
      <c r="U2044" s="14">
        <f t="shared" si="892"/>
        <v>0</v>
      </c>
      <c r="V2044" s="186"/>
    </row>
    <row r="2045" spans="2:22" x14ac:dyDescent="0.15">
      <c r="B2045" s="4" t="s">
        <v>749</v>
      </c>
      <c r="C2045" s="233">
        <f>1+9</f>
        <v>10</v>
      </c>
      <c r="D2045" s="234">
        <f>2+1</f>
        <v>3</v>
      </c>
      <c r="E2045" s="234">
        <v>1</v>
      </c>
      <c r="F2045" s="220">
        <f t="shared" si="889"/>
        <v>14</v>
      </c>
      <c r="G2045" s="248">
        <v>45862</v>
      </c>
      <c r="H2045" s="4"/>
      <c r="I2045" s="233"/>
      <c r="J2045" s="234"/>
      <c r="K2045" s="234"/>
      <c r="L2045" s="220">
        <f t="shared" si="894"/>
        <v>0</v>
      </c>
      <c r="M2045" s="248"/>
      <c r="O2045" s="4"/>
      <c r="P2045" s="15"/>
      <c r="Q2045" s="14">
        <f t="shared" si="891"/>
        <v>0</v>
      </c>
      <c r="R2045" s="186"/>
      <c r="S2045" s="4"/>
      <c r="T2045" s="15"/>
      <c r="U2045" s="14">
        <f t="shared" si="892"/>
        <v>0</v>
      </c>
      <c r="V2045" s="186"/>
    </row>
    <row r="2046" spans="2:22" x14ac:dyDescent="0.15">
      <c r="B2046" s="4" t="s">
        <v>749</v>
      </c>
      <c r="C2046" s="233">
        <f>1+12</f>
        <v>13</v>
      </c>
      <c r="D2046" s="234">
        <v>1</v>
      </c>
      <c r="E2046" s="234">
        <v>2</v>
      </c>
      <c r="F2046" s="220">
        <f t="shared" si="889"/>
        <v>16</v>
      </c>
      <c r="G2046" s="248">
        <v>45863</v>
      </c>
      <c r="H2046" s="4"/>
      <c r="I2046" s="233"/>
      <c r="J2046" s="234"/>
      <c r="K2046" s="234"/>
      <c r="L2046" s="220">
        <f t="shared" si="894"/>
        <v>0</v>
      </c>
      <c r="M2046" s="248"/>
      <c r="O2046" s="4"/>
      <c r="P2046" s="15"/>
      <c r="Q2046" s="14">
        <f t="shared" si="891"/>
        <v>0</v>
      </c>
      <c r="R2046" s="186"/>
      <c r="S2046" s="4"/>
      <c r="T2046" s="15"/>
      <c r="U2046" s="14">
        <f t="shared" si="892"/>
        <v>0</v>
      </c>
      <c r="V2046" s="186"/>
    </row>
    <row r="2047" spans="2:22" x14ac:dyDescent="0.15">
      <c r="B2047" s="4" t="s">
        <v>749</v>
      </c>
      <c r="C2047" s="233">
        <f>15+2+12+1</f>
        <v>30</v>
      </c>
      <c r="D2047" s="234">
        <f>1+1+9+7</f>
        <v>18</v>
      </c>
      <c r="E2047" s="234">
        <f>1+3</f>
        <v>4</v>
      </c>
      <c r="F2047" s="220">
        <f t="shared" si="889"/>
        <v>52</v>
      </c>
      <c r="G2047" s="248">
        <v>45866</v>
      </c>
      <c r="H2047" s="4"/>
      <c r="I2047" s="233"/>
      <c r="J2047" s="234"/>
      <c r="K2047" s="234"/>
      <c r="L2047" s="220">
        <f t="shared" si="894"/>
        <v>0</v>
      </c>
      <c r="M2047" s="248"/>
      <c r="O2047" s="6"/>
      <c r="P2047" s="15"/>
      <c r="Q2047" s="14">
        <f t="shared" si="891"/>
        <v>0</v>
      </c>
      <c r="R2047" s="186"/>
      <c r="S2047" s="6"/>
      <c r="T2047" s="15"/>
      <c r="U2047" s="14">
        <f t="shared" si="892"/>
        <v>0</v>
      </c>
      <c r="V2047" s="186"/>
    </row>
    <row r="2048" spans="2:22" x14ac:dyDescent="0.15">
      <c r="B2048" s="4" t="s">
        <v>1358</v>
      </c>
      <c r="C2048" s="233">
        <v>4</v>
      </c>
      <c r="D2048" s="234"/>
      <c r="E2048" s="234"/>
      <c r="F2048" s="220">
        <f t="shared" si="889"/>
        <v>4</v>
      </c>
      <c r="G2048" s="248">
        <v>45866</v>
      </c>
      <c r="H2048" s="4"/>
      <c r="I2048" s="233"/>
      <c r="J2048" s="234"/>
      <c r="K2048" s="234"/>
      <c r="L2048" s="220">
        <f t="shared" si="894"/>
        <v>0</v>
      </c>
      <c r="M2048" s="248"/>
      <c r="O2048" s="4"/>
      <c r="P2048" s="15"/>
      <c r="Q2048" s="14">
        <f t="shared" si="891"/>
        <v>0</v>
      </c>
      <c r="R2048" s="186"/>
      <c r="S2048" s="4"/>
      <c r="T2048" s="15"/>
      <c r="U2048" s="14">
        <f t="shared" si="892"/>
        <v>0</v>
      </c>
      <c r="V2048" s="186"/>
    </row>
    <row r="2049" spans="1:22" x14ac:dyDescent="0.15">
      <c r="B2049" s="4" t="s">
        <v>749</v>
      </c>
      <c r="C2049" s="233">
        <f>4+1</f>
        <v>5</v>
      </c>
      <c r="D2049" s="234">
        <v>4</v>
      </c>
      <c r="E2049" s="234">
        <v>2</v>
      </c>
      <c r="F2049" s="220">
        <f t="shared" si="889"/>
        <v>11</v>
      </c>
      <c r="G2049" s="248">
        <v>45867</v>
      </c>
      <c r="H2049" s="4"/>
      <c r="I2049" s="233"/>
      <c r="J2049" s="234"/>
      <c r="K2049" s="234"/>
      <c r="L2049" s="220">
        <f t="shared" si="894"/>
        <v>0</v>
      </c>
      <c r="M2049" s="248"/>
      <c r="O2049" s="6"/>
      <c r="P2049" s="15"/>
      <c r="Q2049" s="14">
        <f t="shared" si="891"/>
        <v>0</v>
      </c>
      <c r="R2049" s="186"/>
      <c r="S2049" s="6"/>
      <c r="T2049" s="15"/>
      <c r="U2049" s="14">
        <f t="shared" si="892"/>
        <v>0</v>
      </c>
      <c r="V2049" s="186"/>
    </row>
    <row r="2050" spans="1:22" x14ac:dyDescent="0.15">
      <c r="B2050" s="4" t="s">
        <v>749</v>
      </c>
      <c r="C2050" s="233">
        <f>4+9</f>
        <v>13</v>
      </c>
      <c r="D2050" s="234">
        <v>3</v>
      </c>
      <c r="E2050" s="234"/>
      <c r="F2050" s="220">
        <f t="shared" si="889"/>
        <v>16</v>
      </c>
      <c r="G2050" s="248">
        <v>45868</v>
      </c>
      <c r="H2050" s="4"/>
      <c r="I2050" s="233"/>
      <c r="J2050" s="234"/>
      <c r="K2050" s="234"/>
      <c r="L2050" s="220">
        <f t="shared" si="894"/>
        <v>0</v>
      </c>
      <c r="M2050" s="248"/>
      <c r="O2050" s="4"/>
      <c r="P2050" s="15"/>
      <c r="Q2050" s="14">
        <f t="shared" si="891"/>
        <v>0</v>
      </c>
      <c r="R2050" s="186"/>
      <c r="S2050" s="4"/>
      <c r="T2050" s="15"/>
      <c r="U2050" s="14">
        <f t="shared" si="892"/>
        <v>0</v>
      </c>
      <c r="V2050" s="186"/>
    </row>
    <row r="2051" spans="1:22" x14ac:dyDescent="0.15">
      <c r="B2051" s="4" t="s">
        <v>749</v>
      </c>
      <c r="C2051" s="233">
        <f>1+6</f>
        <v>7</v>
      </c>
      <c r="D2051" s="234">
        <f>1+5</f>
        <v>6</v>
      </c>
      <c r="E2051" s="234">
        <v>1</v>
      </c>
      <c r="F2051" s="220">
        <f t="shared" si="889"/>
        <v>14</v>
      </c>
      <c r="G2051" s="248">
        <v>45869</v>
      </c>
      <c r="H2051" s="4"/>
      <c r="I2051" s="233"/>
      <c r="J2051" s="234"/>
      <c r="K2051" s="234"/>
      <c r="L2051" s="220">
        <f t="shared" si="894"/>
        <v>0</v>
      </c>
      <c r="M2051" s="248"/>
      <c r="O2051" s="4"/>
      <c r="P2051" s="15"/>
      <c r="Q2051" s="14">
        <f t="shared" si="891"/>
        <v>0</v>
      </c>
      <c r="R2051" s="186"/>
      <c r="S2051" s="4"/>
      <c r="T2051" s="15"/>
      <c r="U2051" s="14">
        <f t="shared" si="892"/>
        <v>0</v>
      </c>
      <c r="V2051" s="186"/>
    </row>
    <row r="2052" spans="1:22" x14ac:dyDescent="0.15">
      <c r="B2052" s="4" t="s">
        <v>749</v>
      </c>
      <c r="C2052" s="233">
        <f>1+11</f>
        <v>12</v>
      </c>
      <c r="D2052" s="234">
        <v>2</v>
      </c>
      <c r="E2052" s="234"/>
      <c r="F2052" s="220">
        <f t="shared" si="889"/>
        <v>14</v>
      </c>
      <c r="G2052" s="248">
        <v>45870</v>
      </c>
      <c r="H2052" s="4"/>
      <c r="I2052" s="233"/>
      <c r="J2052" s="234"/>
      <c r="K2052" s="234"/>
      <c r="L2052" s="220">
        <f t="shared" si="894"/>
        <v>0</v>
      </c>
      <c r="M2052" s="248"/>
      <c r="O2052" s="4"/>
      <c r="P2052" s="15"/>
      <c r="Q2052" s="14">
        <f t="shared" si="891"/>
        <v>0</v>
      </c>
      <c r="R2052" s="186"/>
      <c r="S2052" s="4"/>
      <c r="T2052" s="15"/>
      <c r="U2052" s="14">
        <f t="shared" si="892"/>
        <v>0</v>
      </c>
      <c r="V2052" s="186"/>
    </row>
    <row r="2053" spans="1:22" x14ac:dyDescent="0.15">
      <c r="B2053" s="4" t="s">
        <v>749</v>
      </c>
      <c r="C2053" s="233">
        <f>1+6+16+2</f>
        <v>25</v>
      </c>
      <c r="D2053" s="234">
        <f>5+1+1</f>
        <v>7</v>
      </c>
      <c r="E2053" s="234">
        <f>2+1+1</f>
        <v>4</v>
      </c>
      <c r="F2053" s="220">
        <f t="shared" si="889"/>
        <v>36</v>
      </c>
      <c r="G2053" s="248">
        <v>45873</v>
      </c>
      <c r="H2053" s="4"/>
      <c r="I2053" s="233"/>
      <c r="J2053" s="234"/>
      <c r="K2053" s="234"/>
      <c r="L2053" s="220">
        <f t="shared" si="894"/>
        <v>0</v>
      </c>
      <c r="M2053" s="248"/>
      <c r="O2053" s="6"/>
      <c r="P2053" s="15"/>
      <c r="Q2053" s="14">
        <f t="shared" si="891"/>
        <v>0</v>
      </c>
      <c r="R2053" s="186"/>
      <c r="S2053" s="6"/>
      <c r="T2053" s="15"/>
      <c r="U2053" s="14">
        <f t="shared" si="892"/>
        <v>0</v>
      </c>
      <c r="V2053" s="186"/>
    </row>
    <row r="2054" spans="1:22" ht="14.25" thickBot="1" x14ac:dyDescent="0.2">
      <c r="B2054" s="4" t="s">
        <v>749</v>
      </c>
      <c r="C2054" s="233">
        <f>4+3</f>
        <v>7</v>
      </c>
      <c r="D2054" s="234">
        <f>1+2</f>
        <v>3</v>
      </c>
      <c r="E2054" s="234">
        <f>1+2</f>
        <v>3</v>
      </c>
      <c r="F2054" s="220">
        <f t="shared" si="889"/>
        <v>13</v>
      </c>
      <c r="G2054" s="248">
        <v>45874</v>
      </c>
      <c r="H2054" s="4"/>
      <c r="I2054" s="233"/>
      <c r="J2054" s="234"/>
      <c r="K2054" s="234"/>
      <c r="L2054" s="220">
        <f t="shared" ref="L2054" si="895">SUM(I2054:K2054)</f>
        <v>0</v>
      </c>
      <c r="M2054" s="248"/>
      <c r="O2054" s="6"/>
      <c r="P2054" s="15"/>
      <c r="Q2054" s="14">
        <f t="shared" si="891"/>
        <v>0</v>
      </c>
      <c r="R2054" s="186"/>
      <c r="S2054" s="6" t="s">
        <v>1356</v>
      </c>
      <c r="T2054" s="15"/>
      <c r="U2054" s="14">
        <f t="shared" si="892"/>
        <v>0</v>
      </c>
      <c r="V2054" s="186" t="s">
        <v>1357</v>
      </c>
    </row>
    <row r="2055" spans="1:22" ht="14.25" thickBot="1" x14ac:dyDescent="0.2">
      <c r="B2055" s="3" t="s">
        <v>5</v>
      </c>
      <c r="C2055" s="16">
        <f>SUM(C2031:C2054)</f>
        <v>340</v>
      </c>
      <c r="D2055" s="16">
        <f>SUM(D2031:D2054)</f>
        <v>103</v>
      </c>
      <c r="E2055" s="16">
        <f>SUM(E2031:E2054)</f>
        <v>87</v>
      </c>
      <c r="F2055" s="223">
        <f>SUM(F2031:F2054)</f>
        <v>530</v>
      </c>
      <c r="H2055" s="3" t="s">
        <v>5</v>
      </c>
      <c r="I2055" s="16">
        <f>SUM(I2031:I2054)</f>
        <v>300</v>
      </c>
      <c r="J2055" s="16">
        <f t="shared" ref="J2055" si="896">SUM(J2031:J2054)</f>
        <v>100</v>
      </c>
      <c r="K2055" s="16">
        <f t="shared" ref="K2055" si="897">SUM(K2031:K2054)</f>
        <v>0</v>
      </c>
      <c r="L2055" s="223">
        <f>SUM(L2031:L2054)</f>
        <v>400</v>
      </c>
      <c r="O2055" s="3" t="s">
        <v>5</v>
      </c>
      <c r="P2055" s="16">
        <f>SUM(P2031:P2054)</f>
        <v>0</v>
      </c>
      <c r="Q2055" s="17">
        <f>SUM(Q2031:Q2054)</f>
        <v>0</v>
      </c>
      <c r="S2055" s="3" t="s">
        <v>5</v>
      </c>
      <c r="T2055" s="16">
        <f>SUM(T2031:T2054)</f>
        <v>0</v>
      </c>
      <c r="U2055" s="17">
        <f>SUM(U2031:U2054)</f>
        <v>0</v>
      </c>
      <c r="V2055" s="209"/>
    </row>
    <row r="2056" spans="1:22" ht="14.25" thickBot="1" x14ac:dyDescent="0.2">
      <c r="B2056" s="18" t="s">
        <v>6</v>
      </c>
      <c r="C2056" s="19">
        <f>C2030-C2055</f>
        <v>141</v>
      </c>
      <c r="D2056" s="19">
        <f>D2030-D2055</f>
        <v>143</v>
      </c>
      <c r="E2056" s="19">
        <f t="shared" ref="E2056" si="898">E2030-E2055</f>
        <v>89</v>
      </c>
      <c r="F2056" s="221">
        <f>F2030-F2055</f>
        <v>373</v>
      </c>
      <c r="H2056" s="18" t="s">
        <v>6</v>
      </c>
      <c r="I2056" s="19">
        <f>I2030-I2055</f>
        <v>5906</v>
      </c>
      <c r="J2056" s="19">
        <f t="shared" ref="J2056" si="899">J2030-J2055</f>
        <v>1664</v>
      </c>
      <c r="K2056" s="19">
        <f t="shared" ref="K2056" si="900">K2030-K2055</f>
        <v>1875</v>
      </c>
      <c r="L2056" s="221">
        <f>L2030-L2055</f>
        <v>9556</v>
      </c>
      <c r="O2056" s="18" t="s">
        <v>6</v>
      </c>
      <c r="P2056" s="19">
        <f>P2030-P2055</f>
        <v>0</v>
      </c>
      <c r="Q2056" s="13">
        <f>Q2030-Q2055</f>
        <v>0</v>
      </c>
      <c r="S2056" s="18" t="s">
        <v>6</v>
      </c>
      <c r="T2056" s="19">
        <f>T2030-T2055</f>
        <v>1502</v>
      </c>
      <c r="U2056" s="13">
        <f>U2030-U2055</f>
        <v>1502</v>
      </c>
      <c r="V2056" s="209"/>
    </row>
    <row r="2059" spans="1:22" ht="18" thickBot="1" x14ac:dyDescent="0.25">
      <c r="B2059" s="27" t="s">
        <v>739</v>
      </c>
      <c r="C2059" s="28"/>
      <c r="D2059" s="28"/>
      <c r="E2059" s="28"/>
      <c r="F2059" s="218"/>
      <c r="H2059" s="27" t="s">
        <v>740</v>
      </c>
      <c r="I2059" s="279"/>
      <c r="J2059" s="279"/>
      <c r="K2059" s="22"/>
      <c r="L2059" s="278"/>
      <c r="O2059" s="181" t="s">
        <v>737</v>
      </c>
      <c r="P2059" s="182"/>
      <c r="Q2059" s="182"/>
      <c r="R2059" s="183"/>
      <c r="S2059" s="181" t="s">
        <v>733</v>
      </c>
      <c r="T2059" s="182"/>
      <c r="U2059" s="182"/>
    </row>
    <row r="2060" spans="1:22" ht="14.25" thickBot="1" x14ac:dyDescent="0.2">
      <c r="B2060" s="2"/>
      <c r="C2060" s="194" t="s">
        <v>734</v>
      </c>
      <c r="D2060" s="195" t="s">
        <v>706</v>
      </c>
      <c r="E2060" s="2" t="s">
        <v>735</v>
      </c>
      <c r="F2060" s="219" t="s">
        <v>1</v>
      </c>
      <c r="H2060" s="2"/>
      <c r="I2060" s="197" t="s">
        <v>734</v>
      </c>
      <c r="J2060" s="195" t="s">
        <v>706</v>
      </c>
      <c r="K2060" s="201" t="s">
        <v>735</v>
      </c>
      <c r="L2060" s="219" t="s">
        <v>1</v>
      </c>
      <c r="O2060" s="2"/>
      <c r="P2060" s="3" t="s">
        <v>722</v>
      </c>
      <c r="Q2060" s="2" t="s">
        <v>1</v>
      </c>
      <c r="S2060" s="2"/>
      <c r="T2060" s="3" t="s">
        <v>722</v>
      </c>
      <c r="U2060" s="2" t="s">
        <v>1</v>
      </c>
    </row>
    <row r="2061" spans="1:22" x14ac:dyDescent="0.15">
      <c r="B2061" s="164" t="s">
        <v>26</v>
      </c>
      <c r="C2061" s="200">
        <f>C2056</f>
        <v>141</v>
      </c>
      <c r="D2061" s="164">
        <f t="shared" ref="D2061:F2061" si="901">D2056</f>
        <v>143</v>
      </c>
      <c r="E2061" s="164">
        <f t="shared" si="901"/>
        <v>89</v>
      </c>
      <c r="F2061" s="222">
        <f t="shared" si="901"/>
        <v>373</v>
      </c>
      <c r="H2061" s="164" t="s">
        <v>26</v>
      </c>
      <c r="I2061" s="200">
        <f>I2056</f>
        <v>5906</v>
      </c>
      <c r="J2061" s="164">
        <f t="shared" ref="J2061:L2061" si="902">J2056</f>
        <v>1664</v>
      </c>
      <c r="K2061" s="200">
        <f t="shared" si="902"/>
        <v>1875</v>
      </c>
      <c r="L2061" s="222">
        <f t="shared" si="902"/>
        <v>9556</v>
      </c>
      <c r="O2061" s="171" t="s">
        <v>26</v>
      </c>
      <c r="P2061" s="200">
        <f>P2056</f>
        <v>0</v>
      </c>
      <c r="Q2061" s="180">
        <f>Q2056</f>
        <v>0</v>
      </c>
      <c r="R2061" s="185"/>
      <c r="S2061" s="43" t="s">
        <v>26</v>
      </c>
      <c r="T2061" s="38">
        <f>T2056</f>
        <v>1502</v>
      </c>
      <c r="U2061" s="39">
        <f>U2056</f>
        <v>1502</v>
      </c>
    </row>
    <row r="2062" spans="1:22" x14ac:dyDescent="0.15">
      <c r="A2062" s="186"/>
      <c r="B2062" s="6" t="s">
        <v>785</v>
      </c>
      <c r="C2062" s="188">
        <v>-3</v>
      </c>
      <c r="D2062" s="6">
        <v>0</v>
      </c>
      <c r="E2062" s="202">
        <v>0</v>
      </c>
      <c r="F2062" s="220">
        <f t="shared" ref="F2062:F2066" si="903">SUM(C2062:E2062)</f>
        <v>-3</v>
      </c>
      <c r="G2062" s="211">
        <v>45890</v>
      </c>
      <c r="H2062" s="6" t="s">
        <v>3</v>
      </c>
      <c r="I2062" s="188"/>
      <c r="J2062" s="225"/>
      <c r="K2062" s="243"/>
      <c r="L2062" s="220">
        <f t="shared" ref="L2062:L2071" si="904">SUM(I2062:K2062)</f>
        <v>0</v>
      </c>
      <c r="M2062" s="212"/>
      <c r="O2062" s="6" t="s">
        <v>3</v>
      </c>
      <c r="P2062" s="7"/>
      <c r="Q2062" s="5">
        <f t="shared" ref="Q2062:Q2071" si="905">SUM(P2062:P2062)</f>
        <v>0</v>
      </c>
      <c r="R2062" s="186"/>
      <c r="S2062" s="6" t="s">
        <v>3</v>
      </c>
      <c r="T2062" s="7"/>
      <c r="U2062" s="5">
        <f t="shared" ref="U2062:U2071" si="906">SUM(T2062:T2062)</f>
        <v>0</v>
      </c>
      <c r="V2062" s="186"/>
    </row>
    <row r="2063" spans="1:22" x14ac:dyDescent="0.15">
      <c r="A2063" s="186"/>
      <c r="B2063" s="6" t="s">
        <v>3</v>
      </c>
      <c r="C2063" s="188">
        <v>50</v>
      </c>
      <c r="D2063" s="6"/>
      <c r="E2063" s="202"/>
      <c r="F2063" s="220">
        <f t="shared" si="903"/>
        <v>50</v>
      </c>
      <c r="G2063" s="211">
        <v>45899</v>
      </c>
      <c r="H2063" s="6" t="s">
        <v>3</v>
      </c>
      <c r="I2063" s="188"/>
      <c r="J2063" s="225"/>
      <c r="K2063" s="243"/>
      <c r="L2063" s="220">
        <f t="shared" si="904"/>
        <v>0</v>
      </c>
      <c r="M2063" s="212"/>
      <c r="O2063" s="6" t="s">
        <v>3</v>
      </c>
      <c r="P2063" s="7"/>
      <c r="Q2063" s="5">
        <f t="shared" si="905"/>
        <v>0</v>
      </c>
      <c r="R2063" s="186"/>
      <c r="S2063" s="6" t="s">
        <v>3</v>
      </c>
      <c r="T2063" s="7"/>
      <c r="U2063" s="5">
        <f t="shared" si="906"/>
        <v>0</v>
      </c>
      <c r="V2063" s="186"/>
    </row>
    <row r="2064" spans="1:22" x14ac:dyDescent="0.15">
      <c r="A2064" s="186"/>
      <c r="B2064" s="6" t="s">
        <v>3</v>
      </c>
      <c r="C2064" s="188"/>
      <c r="D2064" s="6"/>
      <c r="E2064" s="202"/>
      <c r="F2064" s="220">
        <f t="shared" si="903"/>
        <v>0</v>
      </c>
      <c r="G2064" s="212"/>
      <c r="H2064" s="6" t="s">
        <v>3</v>
      </c>
      <c r="I2064" s="188"/>
      <c r="J2064" s="225"/>
      <c r="K2064" s="243"/>
      <c r="L2064" s="220">
        <f t="shared" si="904"/>
        <v>0</v>
      </c>
      <c r="M2064" s="212"/>
      <c r="O2064" s="6" t="s">
        <v>3</v>
      </c>
      <c r="P2064" s="7"/>
      <c r="Q2064" s="5">
        <f t="shared" si="905"/>
        <v>0</v>
      </c>
      <c r="R2064" s="186"/>
      <c r="S2064" s="6" t="s">
        <v>3</v>
      </c>
      <c r="T2064" s="7"/>
      <c r="U2064" s="5">
        <f t="shared" si="906"/>
        <v>0</v>
      </c>
      <c r="V2064" s="186"/>
    </row>
    <row r="2065" spans="1:22" x14ac:dyDescent="0.15">
      <c r="A2065" s="186"/>
      <c r="B2065" s="6" t="s">
        <v>3</v>
      </c>
      <c r="C2065" s="188"/>
      <c r="D2065" s="6"/>
      <c r="E2065" s="202"/>
      <c r="F2065" s="220">
        <f t="shared" si="903"/>
        <v>0</v>
      </c>
      <c r="G2065" s="212"/>
      <c r="H2065" s="6" t="s">
        <v>3</v>
      </c>
      <c r="I2065" s="188"/>
      <c r="J2065" s="225"/>
      <c r="K2065" s="243"/>
      <c r="L2065" s="220">
        <f t="shared" si="904"/>
        <v>0</v>
      </c>
      <c r="M2065" s="212"/>
      <c r="O2065" s="6" t="s">
        <v>3</v>
      </c>
      <c r="P2065" s="7"/>
      <c r="Q2065" s="5">
        <f t="shared" si="905"/>
        <v>0</v>
      </c>
      <c r="R2065" s="186"/>
      <c r="S2065" s="6" t="s">
        <v>3</v>
      </c>
      <c r="T2065" s="7"/>
      <c r="U2065" s="5">
        <f t="shared" si="906"/>
        <v>0</v>
      </c>
      <c r="V2065" s="186"/>
    </row>
    <row r="2066" spans="1:22" x14ac:dyDescent="0.15">
      <c r="A2066" s="186"/>
      <c r="B2066" s="6" t="s">
        <v>3</v>
      </c>
      <c r="C2066" s="188"/>
      <c r="D2066" s="6"/>
      <c r="E2066" s="202"/>
      <c r="F2066" s="220">
        <f t="shared" si="903"/>
        <v>0</v>
      </c>
      <c r="G2066" s="212"/>
      <c r="H2066" s="6" t="s">
        <v>3</v>
      </c>
      <c r="I2066" s="188"/>
      <c r="J2066" s="225"/>
      <c r="K2066" s="243"/>
      <c r="L2066" s="220">
        <f t="shared" si="904"/>
        <v>0</v>
      </c>
      <c r="O2066" s="6" t="s">
        <v>3</v>
      </c>
      <c r="P2066" s="7"/>
      <c r="Q2066" s="5">
        <f t="shared" si="905"/>
        <v>0</v>
      </c>
      <c r="R2066" s="186"/>
      <c r="S2066" s="6" t="s">
        <v>3</v>
      </c>
      <c r="T2066" s="7"/>
      <c r="U2066" s="5">
        <f t="shared" si="906"/>
        <v>0</v>
      </c>
      <c r="V2066" s="186"/>
    </row>
    <row r="2067" spans="1:22" x14ac:dyDescent="0.15">
      <c r="B2067" s="6" t="s">
        <v>3</v>
      </c>
      <c r="C2067" s="188"/>
      <c r="D2067" s="6"/>
      <c r="E2067" s="202"/>
      <c r="F2067" s="220">
        <f t="shared" ref="F2067:F2071" si="907">SUM(C2067:E2067)</f>
        <v>0</v>
      </c>
      <c r="G2067" s="212"/>
      <c r="H2067" s="6" t="s">
        <v>3</v>
      </c>
      <c r="I2067" s="188"/>
      <c r="J2067" s="6"/>
      <c r="K2067" s="202"/>
      <c r="L2067" s="220">
        <f t="shared" si="904"/>
        <v>0</v>
      </c>
      <c r="O2067" s="6" t="s">
        <v>3</v>
      </c>
      <c r="P2067" s="7"/>
      <c r="Q2067" s="5">
        <f t="shared" si="905"/>
        <v>0</v>
      </c>
      <c r="R2067" s="186"/>
      <c r="S2067" s="6" t="s">
        <v>3</v>
      </c>
      <c r="T2067" s="7"/>
      <c r="U2067" s="5">
        <f t="shared" si="906"/>
        <v>0</v>
      </c>
      <c r="V2067" s="186"/>
    </row>
    <row r="2068" spans="1:22" x14ac:dyDescent="0.15">
      <c r="B2068" s="6" t="s">
        <v>3</v>
      </c>
      <c r="C2068" s="188"/>
      <c r="D2068" s="225"/>
      <c r="E2068" s="243"/>
      <c r="F2068" s="220">
        <f t="shared" si="907"/>
        <v>0</v>
      </c>
      <c r="H2068" s="6" t="s">
        <v>3</v>
      </c>
      <c r="I2068" s="188"/>
      <c r="J2068" s="225"/>
      <c r="K2068" s="243"/>
      <c r="L2068" s="220">
        <f t="shared" si="904"/>
        <v>0</v>
      </c>
      <c r="O2068" s="6" t="s">
        <v>3</v>
      </c>
      <c r="P2068" s="8"/>
      <c r="Q2068" s="5">
        <f t="shared" si="905"/>
        <v>0</v>
      </c>
      <c r="R2068" s="186"/>
      <c r="S2068" s="6" t="s">
        <v>3</v>
      </c>
      <c r="T2068" s="8"/>
      <c r="U2068" s="5">
        <f t="shared" si="906"/>
        <v>0</v>
      </c>
      <c r="V2068" s="186"/>
    </row>
    <row r="2069" spans="1:22" x14ac:dyDescent="0.15">
      <c r="B2069" s="6" t="s">
        <v>3</v>
      </c>
      <c r="C2069" s="188"/>
      <c r="D2069" s="225"/>
      <c r="E2069" s="243"/>
      <c r="F2069" s="220">
        <f t="shared" si="907"/>
        <v>0</v>
      </c>
      <c r="H2069" s="6" t="s">
        <v>3</v>
      </c>
      <c r="I2069" s="188"/>
      <c r="J2069" s="225"/>
      <c r="K2069" s="243"/>
      <c r="L2069" s="220">
        <f t="shared" si="904"/>
        <v>0</v>
      </c>
      <c r="O2069" s="6" t="s">
        <v>3</v>
      </c>
      <c r="P2069" s="8"/>
      <c r="Q2069" s="5">
        <f t="shared" si="905"/>
        <v>0</v>
      </c>
      <c r="R2069" s="186"/>
      <c r="S2069" s="6" t="s">
        <v>3</v>
      </c>
      <c r="T2069" s="8"/>
      <c r="U2069" s="5">
        <f t="shared" si="906"/>
        <v>0</v>
      </c>
      <c r="V2069" s="186"/>
    </row>
    <row r="2070" spans="1:22" x14ac:dyDescent="0.15">
      <c r="B2070" s="6" t="s">
        <v>3</v>
      </c>
      <c r="C2070" s="188"/>
      <c r="D2070" s="225"/>
      <c r="E2070" s="243"/>
      <c r="F2070" s="220">
        <f t="shared" si="907"/>
        <v>0</v>
      </c>
      <c r="H2070" s="6" t="s">
        <v>3</v>
      </c>
      <c r="I2070" s="188"/>
      <c r="J2070" s="225"/>
      <c r="K2070" s="243"/>
      <c r="L2070" s="220">
        <f t="shared" si="904"/>
        <v>0</v>
      </c>
      <c r="O2070" s="6" t="s">
        <v>3</v>
      </c>
      <c r="P2070" s="8"/>
      <c r="Q2070" s="5">
        <f t="shared" si="905"/>
        <v>0</v>
      </c>
      <c r="R2070" s="186"/>
      <c r="S2070" s="6" t="s">
        <v>3</v>
      </c>
      <c r="T2070" s="8"/>
      <c r="U2070" s="5">
        <f t="shared" si="906"/>
        <v>0</v>
      </c>
      <c r="V2070" s="186"/>
    </row>
    <row r="2071" spans="1:22" ht="14.25" thickBot="1" x14ac:dyDescent="0.2">
      <c r="B2071" s="9" t="s">
        <v>3</v>
      </c>
      <c r="C2071" s="198"/>
      <c r="D2071" s="244"/>
      <c r="E2071" s="245"/>
      <c r="F2071" s="220">
        <f t="shared" si="907"/>
        <v>0</v>
      </c>
      <c r="H2071" s="9" t="s">
        <v>3</v>
      </c>
      <c r="I2071" s="198"/>
      <c r="J2071" s="244"/>
      <c r="K2071" s="245"/>
      <c r="L2071" s="220">
        <f t="shared" si="904"/>
        <v>0</v>
      </c>
      <c r="O2071" s="9" t="s">
        <v>3</v>
      </c>
      <c r="P2071" s="10"/>
      <c r="Q2071" s="5">
        <f t="shared" si="905"/>
        <v>0</v>
      </c>
      <c r="R2071" s="186"/>
      <c r="S2071" s="9" t="s">
        <v>3</v>
      </c>
      <c r="T2071" s="10"/>
      <c r="U2071" s="5">
        <f t="shared" si="906"/>
        <v>0</v>
      </c>
      <c r="V2071" s="186"/>
    </row>
    <row r="2072" spans="1:22" ht="14.25" thickBot="1" x14ac:dyDescent="0.2">
      <c r="B2072" s="11" t="s">
        <v>4</v>
      </c>
      <c r="C2072" s="193">
        <f>SUM(C2061:C2071)</f>
        <v>188</v>
      </c>
      <c r="D2072" s="193">
        <f>SUM(D2061:D2071)</f>
        <v>143</v>
      </c>
      <c r="E2072" s="193">
        <f>SUM(E2061:E2071)</f>
        <v>89</v>
      </c>
      <c r="F2072" s="221">
        <f>SUM(F2061:F2071)</f>
        <v>420</v>
      </c>
      <c r="H2072" s="11" t="s">
        <v>4</v>
      </c>
      <c r="I2072" s="193">
        <f>SUM(I2061:I2071)</f>
        <v>5906</v>
      </c>
      <c r="J2072" s="193">
        <f t="shared" ref="J2072:K2072" si="908">SUM(J2061:J2071)</f>
        <v>1664</v>
      </c>
      <c r="K2072" s="193">
        <f t="shared" si="908"/>
        <v>1875</v>
      </c>
      <c r="L2072" s="221">
        <f>SUM(L2061:L2071)</f>
        <v>9556</v>
      </c>
      <c r="O2072" s="11" t="s">
        <v>4</v>
      </c>
      <c r="P2072" s="12">
        <f>SUM(P2061:P2071)</f>
        <v>0</v>
      </c>
      <c r="Q2072" s="13">
        <f>SUM(Q2061:Q2071)</f>
        <v>0</v>
      </c>
      <c r="S2072" s="11" t="s">
        <v>4</v>
      </c>
      <c r="T2072" s="12">
        <f>SUM(T2061:T2071)</f>
        <v>1502</v>
      </c>
      <c r="U2072" s="13">
        <f>SUM(U2061:U2071)</f>
        <v>1502</v>
      </c>
    </row>
    <row r="2073" spans="1:22" x14ac:dyDescent="0.15">
      <c r="B2073" s="4" t="s">
        <v>749</v>
      </c>
      <c r="C2073" s="233">
        <v>5</v>
      </c>
      <c r="D2073" s="234">
        <v>5</v>
      </c>
      <c r="E2073" s="234">
        <v>1</v>
      </c>
      <c r="F2073" s="220">
        <f t="shared" ref="F2073:F2096" si="909">SUM(C2073:E2073)</f>
        <v>11</v>
      </c>
      <c r="G2073" s="248">
        <v>45874</v>
      </c>
      <c r="H2073" s="4" t="s">
        <v>745</v>
      </c>
      <c r="I2073" s="233">
        <v>50</v>
      </c>
      <c r="J2073" s="234"/>
      <c r="K2073" s="234"/>
      <c r="L2073" s="220">
        <f t="shared" ref="L2073" si="910">SUM(I2073:K2073)</f>
        <v>50</v>
      </c>
      <c r="M2073" s="211">
        <v>45899</v>
      </c>
      <c r="O2073" s="4"/>
      <c r="P2073" s="44"/>
      <c r="Q2073" s="14">
        <f t="shared" ref="Q2073:Q2096" si="911">SUM(P2073:P2073)</f>
        <v>0</v>
      </c>
      <c r="R2073" s="185"/>
      <c r="S2073" s="4" t="s">
        <v>1359</v>
      </c>
      <c r="T2073" s="44">
        <v>9</v>
      </c>
      <c r="U2073" s="14">
        <f t="shared" ref="U2073:U2092" si="912">SUM(T2073:T2073)</f>
        <v>9</v>
      </c>
      <c r="V2073" s="211">
        <v>45891</v>
      </c>
    </row>
    <row r="2074" spans="1:22" x14ac:dyDescent="0.15">
      <c r="B2074" s="4" t="s">
        <v>749</v>
      </c>
      <c r="C2074" s="233">
        <f>9+2+1+2</f>
        <v>14</v>
      </c>
      <c r="D2074" s="234">
        <f>1+1</f>
        <v>2</v>
      </c>
      <c r="E2074" s="234">
        <f>1+3+1</f>
        <v>5</v>
      </c>
      <c r="F2074" s="220">
        <f t="shared" si="909"/>
        <v>21</v>
      </c>
      <c r="G2074" s="248">
        <v>45875</v>
      </c>
      <c r="H2074" s="4"/>
      <c r="I2074" s="233"/>
      <c r="J2074" s="234"/>
      <c r="K2074" s="234"/>
      <c r="L2074" s="220">
        <f t="shared" ref="L2074:L2076" si="913">SUM(I2074:K2074)</f>
        <v>0</v>
      </c>
      <c r="M2074" s="211"/>
      <c r="O2074" s="4"/>
      <c r="P2074" s="15"/>
      <c r="Q2074" s="14">
        <f t="shared" si="911"/>
        <v>0</v>
      </c>
      <c r="R2074" s="186"/>
      <c r="S2074" s="4"/>
      <c r="T2074" s="15"/>
      <c r="U2074" s="14">
        <f t="shared" si="912"/>
        <v>0</v>
      </c>
      <c r="V2074" s="212"/>
    </row>
    <row r="2075" spans="1:22" x14ac:dyDescent="0.15">
      <c r="B2075" s="4" t="s">
        <v>749</v>
      </c>
      <c r="C2075" s="233">
        <f>2+1+4</f>
        <v>7</v>
      </c>
      <c r="D2075" s="234">
        <f>7+1</f>
        <v>8</v>
      </c>
      <c r="E2075" s="234">
        <f>2+1</f>
        <v>3</v>
      </c>
      <c r="F2075" s="220">
        <f t="shared" si="909"/>
        <v>18</v>
      </c>
      <c r="G2075" s="248">
        <v>45876</v>
      </c>
      <c r="H2075" s="4"/>
      <c r="I2075" s="233"/>
      <c r="J2075" s="234"/>
      <c r="K2075" s="234"/>
      <c r="L2075" s="220">
        <f t="shared" si="913"/>
        <v>0</v>
      </c>
      <c r="M2075" s="248"/>
      <c r="O2075" s="4"/>
      <c r="P2075" s="15"/>
      <c r="Q2075" s="14">
        <f t="shared" si="911"/>
        <v>0</v>
      </c>
      <c r="R2075" s="186"/>
      <c r="S2075" s="4"/>
      <c r="T2075" s="15"/>
      <c r="U2075" s="14">
        <f t="shared" si="912"/>
        <v>0</v>
      </c>
      <c r="V2075" s="212"/>
    </row>
    <row r="2076" spans="1:22" x14ac:dyDescent="0.15">
      <c r="B2076" s="4" t="s">
        <v>749</v>
      </c>
      <c r="C2076" s="233">
        <f>5+2+1</f>
        <v>8</v>
      </c>
      <c r="D2076" s="234"/>
      <c r="E2076" s="234">
        <v>1</v>
      </c>
      <c r="F2076" s="220">
        <f t="shared" si="909"/>
        <v>9</v>
      </c>
      <c r="G2076" s="248">
        <v>45877</v>
      </c>
      <c r="H2076" s="4"/>
      <c r="I2076" s="233"/>
      <c r="J2076" s="234"/>
      <c r="K2076" s="234"/>
      <c r="L2076" s="220">
        <f t="shared" si="913"/>
        <v>0</v>
      </c>
      <c r="M2076" s="248"/>
      <c r="O2076" s="4"/>
      <c r="P2076" s="15"/>
      <c r="Q2076" s="14">
        <f t="shared" si="911"/>
        <v>0</v>
      </c>
      <c r="R2076" s="186"/>
      <c r="S2076" s="4"/>
      <c r="T2076" s="15"/>
      <c r="U2076" s="14">
        <f t="shared" si="912"/>
        <v>0</v>
      </c>
      <c r="V2076" s="212"/>
    </row>
    <row r="2077" spans="1:22" x14ac:dyDescent="0.15">
      <c r="B2077" s="4" t="s">
        <v>749</v>
      </c>
      <c r="C2077" s="233">
        <f>1+3</f>
        <v>4</v>
      </c>
      <c r="D2077" s="234">
        <v>1</v>
      </c>
      <c r="E2077" s="234">
        <v>1</v>
      </c>
      <c r="F2077" s="220">
        <f t="shared" si="909"/>
        <v>6</v>
      </c>
      <c r="G2077" s="248">
        <v>45878</v>
      </c>
      <c r="H2077" s="4"/>
      <c r="I2077" s="233"/>
      <c r="J2077" s="234"/>
      <c r="K2077" s="234"/>
      <c r="L2077" s="220">
        <f t="shared" ref="L2077:L2081" si="914">SUM(I2077:K2077)</f>
        <v>0</v>
      </c>
      <c r="M2077" s="248"/>
      <c r="O2077" s="4"/>
      <c r="P2077" s="15"/>
      <c r="Q2077" s="14">
        <f t="shared" si="911"/>
        <v>0</v>
      </c>
      <c r="R2077" s="186"/>
      <c r="S2077" s="4"/>
      <c r="T2077" s="15"/>
      <c r="U2077" s="14">
        <f t="shared" si="912"/>
        <v>0</v>
      </c>
      <c r="V2077" s="212"/>
    </row>
    <row r="2078" spans="1:22" x14ac:dyDescent="0.15">
      <c r="B2078" s="4" t="s">
        <v>749</v>
      </c>
      <c r="C2078" s="233">
        <f>18+12</f>
        <v>30</v>
      </c>
      <c r="D2078" s="234">
        <f>1+1+1+3</f>
        <v>6</v>
      </c>
      <c r="E2078" s="234">
        <f>1+3</f>
        <v>4</v>
      </c>
      <c r="F2078" s="220">
        <f t="shared" si="909"/>
        <v>40</v>
      </c>
      <c r="G2078" s="248">
        <v>45887</v>
      </c>
      <c r="H2078" s="4"/>
      <c r="I2078" s="233"/>
      <c r="J2078" s="234"/>
      <c r="K2078" s="234"/>
      <c r="L2078" s="220">
        <f t="shared" si="914"/>
        <v>0</v>
      </c>
      <c r="M2078" s="248"/>
      <c r="O2078" s="4"/>
      <c r="P2078" s="15"/>
      <c r="Q2078" s="14">
        <f t="shared" si="911"/>
        <v>0</v>
      </c>
      <c r="R2078" s="186"/>
      <c r="S2078" s="4"/>
      <c r="T2078" s="15"/>
      <c r="U2078" s="14">
        <f t="shared" si="912"/>
        <v>0</v>
      </c>
      <c r="V2078" s="212"/>
    </row>
    <row r="2079" spans="1:22" x14ac:dyDescent="0.15">
      <c r="B2079" s="4" t="s">
        <v>749</v>
      </c>
      <c r="C2079" s="233">
        <f>2+1+1+1</f>
        <v>5</v>
      </c>
      <c r="D2079" s="234">
        <v>1</v>
      </c>
      <c r="E2079" s="234">
        <f>1+1</f>
        <v>2</v>
      </c>
      <c r="F2079" s="220">
        <f t="shared" si="909"/>
        <v>8</v>
      </c>
      <c r="G2079" s="248">
        <v>45888</v>
      </c>
      <c r="H2079" s="4"/>
      <c r="I2079" s="233"/>
      <c r="J2079" s="234"/>
      <c r="K2079" s="234"/>
      <c r="L2079" s="220">
        <f t="shared" si="914"/>
        <v>0</v>
      </c>
      <c r="M2079" s="248"/>
      <c r="O2079" s="4"/>
      <c r="P2079" s="15"/>
      <c r="Q2079" s="14">
        <f t="shared" si="911"/>
        <v>0</v>
      </c>
      <c r="R2079" s="186"/>
      <c r="S2079" s="4"/>
      <c r="T2079" s="15"/>
      <c r="U2079" s="14">
        <f t="shared" si="912"/>
        <v>0</v>
      </c>
      <c r="V2079" s="212"/>
    </row>
    <row r="2080" spans="1:22" x14ac:dyDescent="0.15">
      <c r="B2080" s="4" t="s">
        <v>749</v>
      </c>
      <c r="C2080" s="233">
        <f>1+3</f>
        <v>4</v>
      </c>
      <c r="D2080" s="234">
        <v>2</v>
      </c>
      <c r="E2080" s="234">
        <v>1</v>
      </c>
      <c r="F2080" s="220">
        <f t="shared" si="909"/>
        <v>7</v>
      </c>
      <c r="G2080" s="248">
        <v>45889</v>
      </c>
      <c r="H2080" s="4"/>
      <c r="I2080" s="233"/>
      <c r="J2080" s="234"/>
      <c r="K2080" s="234"/>
      <c r="L2080" s="220">
        <f t="shared" si="914"/>
        <v>0</v>
      </c>
      <c r="M2080" s="248"/>
      <c r="O2080" s="4"/>
      <c r="P2080" s="15"/>
      <c r="Q2080" s="14">
        <f t="shared" si="911"/>
        <v>0</v>
      </c>
      <c r="R2080" s="186"/>
      <c r="S2080" s="4"/>
      <c r="T2080" s="15"/>
      <c r="U2080" s="14">
        <f t="shared" si="912"/>
        <v>0</v>
      </c>
      <c r="V2080" s="212"/>
    </row>
    <row r="2081" spans="2:22" x14ac:dyDescent="0.15">
      <c r="B2081" s="4" t="s">
        <v>749</v>
      </c>
      <c r="C2081" s="233">
        <v>2</v>
      </c>
      <c r="D2081" s="234">
        <v>2</v>
      </c>
      <c r="E2081" s="234">
        <v>1</v>
      </c>
      <c r="F2081" s="220">
        <f t="shared" si="909"/>
        <v>5</v>
      </c>
      <c r="G2081" s="248">
        <v>45890</v>
      </c>
      <c r="H2081" s="4"/>
      <c r="I2081" s="233"/>
      <c r="J2081" s="234"/>
      <c r="K2081" s="234"/>
      <c r="L2081" s="220">
        <f t="shared" si="914"/>
        <v>0</v>
      </c>
      <c r="M2081" s="248"/>
      <c r="O2081" s="4"/>
      <c r="P2081" s="15"/>
      <c r="Q2081" s="14">
        <f t="shared" si="911"/>
        <v>0</v>
      </c>
      <c r="R2081" s="186"/>
      <c r="S2081" s="4"/>
      <c r="T2081" s="15"/>
      <c r="U2081" s="14">
        <f t="shared" si="912"/>
        <v>0</v>
      </c>
      <c r="V2081" s="212"/>
    </row>
    <row r="2082" spans="2:22" x14ac:dyDescent="0.15">
      <c r="B2082" s="4" t="s">
        <v>749</v>
      </c>
      <c r="C2082" s="233">
        <v>3</v>
      </c>
      <c r="D2082" s="234"/>
      <c r="E2082" s="234"/>
      <c r="F2082" s="220">
        <f t="shared" si="909"/>
        <v>3</v>
      </c>
      <c r="G2082" s="248">
        <v>45891</v>
      </c>
      <c r="H2082" s="4"/>
      <c r="I2082" s="233"/>
      <c r="J2082" s="234"/>
      <c r="K2082" s="234"/>
      <c r="L2082" s="220">
        <f t="shared" ref="L2082:L2096" si="915">SUM(I2082:K2082)</f>
        <v>0</v>
      </c>
      <c r="M2082" s="248"/>
      <c r="O2082" s="4"/>
      <c r="P2082" s="15"/>
      <c r="Q2082" s="14">
        <f t="shared" si="911"/>
        <v>0</v>
      </c>
      <c r="R2082" s="186"/>
      <c r="S2082" s="4"/>
      <c r="T2082" s="15"/>
      <c r="U2082" s="14">
        <f t="shared" si="912"/>
        <v>0</v>
      </c>
      <c r="V2082" s="212"/>
    </row>
    <row r="2083" spans="2:22" x14ac:dyDescent="0.15">
      <c r="B2083" s="4" t="s">
        <v>749</v>
      </c>
      <c r="C2083" s="233">
        <f>1+9</f>
        <v>10</v>
      </c>
      <c r="D2083" s="234">
        <v>2</v>
      </c>
      <c r="E2083" s="234">
        <v>1</v>
      </c>
      <c r="F2083" s="220">
        <f t="shared" si="909"/>
        <v>13</v>
      </c>
      <c r="G2083" s="211">
        <v>45894</v>
      </c>
      <c r="H2083" s="4"/>
      <c r="I2083" s="233"/>
      <c r="J2083" s="234"/>
      <c r="K2083" s="234"/>
      <c r="L2083" s="220">
        <f t="shared" si="915"/>
        <v>0</v>
      </c>
      <c r="M2083" s="248"/>
      <c r="O2083" s="4"/>
      <c r="P2083" s="15"/>
      <c r="Q2083" s="14">
        <f t="shared" si="911"/>
        <v>0</v>
      </c>
      <c r="R2083" s="186"/>
      <c r="S2083" s="4"/>
      <c r="T2083" s="15"/>
      <c r="U2083" s="14">
        <f t="shared" si="912"/>
        <v>0</v>
      </c>
      <c r="V2083" s="212"/>
    </row>
    <row r="2084" spans="2:22" x14ac:dyDescent="0.15">
      <c r="B2084" s="4" t="s">
        <v>749</v>
      </c>
      <c r="C2084" s="233">
        <f>5+3</f>
        <v>8</v>
      </c>
      <c r="D2084" s="234">
        <f>1+1</f>
        <v>2</v>
      </c>
      <c r="E2084" s="234">
        <v>2</v>
      </c>
      <c r="F2084" s="220">
        <f t="shared" si="909"/>
        <v>12</v>
      </c>
      <c r="G2084" s="211">
        <v>45895</v>
      </c>
      <c r="H2084" s="4"/>
      <c r="I2084" s="233"/>
      <c r="J2084" s="234"/>
      <c r="K2084" s="234"/>
      <c r="L2084" s="220">
        <f t="shared" si="915"/>
        <v>0</v>
      </c>
      <c r="M2084" s="248"/>
      <c r="O2084" s="6"/>
      <c r="P2084" s="15"/>
      <c r="Q2084" s="14">
        <f t="shared" si="911"/>
        <v>0</v>
      </c>
      <c r="R2084" s="186"/>
      <c r="S2084" s="6"/>
      <c r="T2084" s="15"/>
      <c r="U2084" s="14">
        <f t="shared" si="912"/>
        <v>0</v>
      </c>
      <c r="V2084" s="212"/>
    </row>
    <row r="2085" spans="2:22" x14ac:dyDescent="0.15">
      <c r="B2085" s="4" t="s">
        <v>749</v>
      </c>
      <c r="C2085" s="233">
        <f>2+1</f>
        <v>3</v>
      </c>
      <c r="D2085" s="234"/>
      <c r="E2085" s="234"/>
      <c r="F2085" s="220">
        <f t="shared" si="909"/>
        <v>3</v>
      </c>
      <c r="G2085" s="211">
        <v>45896</v>
      </c>
      <c r="H2085" s="4"/>
      <c r="I2085" s="233"/>
      <c r="J2085" s="234"/>
      <c r="K2085" s="234"/>
      <c r="L2085" s="220">
        <f t="shared" si="915"/>
        <v>0</v>
      </c>
      <c r="M2085" s="248"/>
      <c r="O2085" s="6"/>
      <c r="P2085" s="15"/>
      <c r="Q2085" s="14">
        <f t="shared" si="911"/>
        <v>0</v>
      </c>
      <c r="R2085" s="186"/>
      <c r="S2085" s="6"/>
      <c r="T2085" s="15"/>
      <c r="U2085" s="14">
        <f t="shared" si="912"/>
        <v>0</v>
      </c>
      <c r="V2085" s="212"/>
    </row>
    <row r="2086" spans="2:22" x14ac:dyDescent="0.15">
      <c r="B2086" s="4" t="s">
        <v>749</v>
      </c>
      <c r="C2086" s="233">
        <f>1+1</f>
        <v>2</v>
      </c>
      <c r="D2086" s="234"/>
      <c r="E2086" s="234">
        <v>1</v>
      </c>
      <c r="F2086" s="220">
        <f t="shared" si="909"/>
        <v>3</v>
      </c>
      <c r="G2086" s="211">
        <v>45897</v>
      </c>
      <c r="H2086" s="4"/>
      <c r="I2086" s="233"/>
      <c r="J2086" s="234"/>
      <c r="K2086" s="234"/>
      <c r="L2086" s="220">
        <f t="shared" si="915"/>
        <v>0</v>
      </c>
      <c r="M2086" s="248"/>
      <c r="O2086" s="4"/>
      <c r="P2086" s="15"/>
      <c r="Q2086" s="14">
        <f t="shared" si="911"/>
        <v>0</v>
      </c>
      <c r="R2086" s="186"/>
      <c r="S2086" s="4"/>
      <c r="T2086" s="15"/>
      <c r="U2086" s="14">
        <f t="shared" si="912"/>
        <v>0</v>
      </c>
      <c r="V2086" s="212"/>
    </row>
    <row r="2087" spans="2:22" x14ac:dyDescent="0.15">
      <c r="B2087" s="4" t="s">
        <v>1361</v>
      </c>
      <c r="C2087" s="233">
        <v>3</v>
      </c>
      <c r="D2087" s="234">
        <v>3</v>
      </c>
      <c r="E2087" s="234">
        <v>3</v>
      </c>
      <c r="F2087" s="220">
        <f t="shared" si="909"/>
        <v>9</v>
      </c>
      <c r="G2087" s="211">
        <v>45901</v>
      </c>
      <c r="H2087" s="4"/>
      <c r="I2087" s="233"/>
      <c r="J2087" s="234"/>
      <c r="K2087" s="234"/>
      <c r="L2087" s="220">
        <f t="shared" si="915"/>
        <v>0</v>
      </c>
      <c r="M2087" s="248"/>
      <c r="O2087" s="4"/>
      <c r="P2087" s="15"/>
      <c r="Q2087" s="14">
        <f t="shared" si="911"/>
        <v>0</v>
      </c>
      <c r="R2087" s="186"/>
      <c r="S2087" s="4"/>
      <c r="T2087" s="15"/>
      <c r="U2087" s="14">
        <f t="shared" si="912"/>
        <v>0</v>
      </c>
      <c r="V2087" s="212"/>
    </row>
    <row r="2088" spans="2:22" x14ac:dyDescent="0.15">
      <c r="B2088" s="4" t="s">
        <v>749</v>
      </c>
      <c r="C2088" s="233">
        <f>1+2</f>
        <v>3</v>
      </c>
      <c r="D2088" s="234">
        <v>1</v>
      </c>
      <c r="E2088" s="234">
        <v>1</v>
      </c>
      <c r="F2088" s="220">
        <f t="shared" si="909"/>
        <v>5</v>
      </c>
      <c r="G2088" s="211">
        <v>45898</v>
      </c>
      <c r="H2088" s="4"/>
      <c r="I2088" s="233"/>
      <c r="J2088" s="234"/>
      <c r="K2088" s="234"/>
      <c r="L2088" s="220">
        <f t="shared" si="915"/>
        <v>0</v>
      </c>
      <c r="M2088" s="248"/>
      <c r="O2088" s="4"/>
      <c r="P2088" s="15"/>
      <c r="Q2088" s="14">
        <f t="shared" si="911"/>
        <v>0</v>
      </c>
      <c r="R2088" s="186"/>
      <c r="S2088" s="4"/>
      <c r="T2088" s="15"/>
      <c r="U2088" s="14">
        <f t="shared" si="912"/>
        <v>0</v>
      </c>
      <c r="V2088" s="212"/>
    </row>
    <row r="2089" spans="2:22" x14ac:dyDescent="0.15">
      <c r="B2089" s="4" t="s">
        <v>749</v>
      </c>
      <c r="C2089" s="233">
        <v>1</v>
      </c>
      <c r="D2089" s="234">
        <v>1</v>
      </c>
      <c r="E2089" s="234"/>
      <c r="F2089" s="220">
        <f t="shared" si="909"/>
        <v>2</v>
      </c>
      <c r="G2089" s="211">
        <v>45899</v>
      </c>
      <c r="H2089" s="4"/>
      <c r="I2089" s="233"/>
      <c r="J2089" s="234"/>
      <c r="K2089" s="234"/>
      <c r="L2089" s="220">
        <f t="shared" si="915"/>
        <v>0</v>
      </c>
      <c r="M2089" s="248"/>
      <c r="O2089" s="6"/>
      <c r="P2089" s="15"/>
      <c r="Q2089" s="14">
        <f t="shared" si="911"/>
        <v>0</v>
      </c>
      <c r="R2089" s="186"/>
      <c r="S2089" s="6"/>
      <c r="T2089" s="15"/>
      <c r="U2089" s="14">
        <f t="shared" si="912"/>
        <v>0</v>
      </c>
      <c r="V2089" s="212"/>
    </row>
    <row r="2090" spans="2:22" x14ac:dyDescent="0.15">
      <c r="B2090" s="4" t="s">
        <v>749</v>
      </c>
      <c r="C2090" s="233">
        <f>4+16</f>
        <v>20</v>
      </c>
      <c r="D2090" s="234">
        <v>3</v>
      </c>
      <c r="E2090" s="234">
        <v>1</v>
      </c>
      <c r="F2090" s="220">
        <f t="shared" si="909"/>
        <v>24</v>
      </c>
      <c r="G2090" s="248">
        <v>45901</v>
      </c>
      <c r="H2090" s="4"/>
      <c r="I2090" s="233"/>
      <c r="J2090" s="234"/>
      <c r="K2090" s="234"/>
      <c r="L2090" s="220">
        <f t="shared" si="915"/>
        <v>0</v>
      </c>
      <c r="M2090" s="248"/>
      <c r="O2090" s="4"/>
      <c r="P2090" s="15"/>
      <c r="Q2090" s="14">
        <f t="shared" si="911"/>
        <v>0</v>
      </c>
      <c r="R2090" s="186"/>
      <c r="S2090" s="4"/>
      <c r="T2090" s="15"/>
      <c r="U2090" s="14">
        <f t="shared" si="912"/>
        <v>0</v>
      </c>
      <c r="V2090" s="212"/>
    </row>
    <row r="2091" spans="2:22" x14ac:dyDescent="0.15">
      <c r="B2091" s="4" t="s">
        <v>749</v>
      </c>
      <c r="C2091" s="233">
        <v>3</v>
      </c>
      <c r="D2091" s="234"/>
      <c r="E2091" s="234"/>
      <c r="F2091" s="220">
        <f t="shared" si="909"/>
        <v>3</v>
      </c>
      <c r="G2091" s="211">
        <v>45902</v>
      </c>
      <c r="H2091" s="4"/>
      <c r="I2091" s="233"/>
      <c r="J2091" s="234"/>
      <c r="K2091" s="234"/>
      <c r="L2091" s="220">
        <f t="shared" si="915"/>
        <v>0</v>
      </c>
      <c r="M2091" s="248"/>
      <c r="O2091" s="6"/>
      <c r="P2091" s="15"/>
      <c r="Q2091" s="14">
        <f t="shared" si="911"/>
        <v>0</v>
      </c>
      <c r="R2091" s="186"/>
      <c r="S2091" s="6"/>
      <c r="T2091" s="15"/>
      <c r="U2091" s="14">
        <f t="shared" si="912"/>
        <v>0</v>
      </c>
      <c r="V2091" s="212"/>
    </row>
    <row r="2092" spans="2:22" x14ac:dyDescent="0.15">
      <c r="B2092" s="4" t="s">
        <v>920</v>
      </c>
      <c r="C2092" s="233">
        <v>1</v>
      </c>
      <c r="D2092" s="234">
        <v>1</v>
      </c>
      <c r="E2092" s="234">
        <v>1</v>
      </c>
      <c r="F2092" s="220">
        <f t="shared" si="909"/>
        <v>3</v>
      </c>
      <c r="G2092" s="211">
        <v>45905</v>
      </c>
      <c r="H2092" s="4"/>
      <c r="I2092" s="233"/>
      <c r="J2092" s="234"/>
      <c r="K2092" s="234"/>
      <c r="L2092" s="220">
        <f t="shared" si="915"/>
        <v>0</v>
      </c>
      <c r="M2092" s="248"/>
      <c r="O2092" s="4"/>
      <c r="P2092" s="15"/>
      <c r="Q2092" s="14">
        <f t="shared" si="911"/>
        <v>0</v>
      </c>
      <c r="R2092" s="186"/>
      <c r="S2092" s="4"/>
      <c r="T2092" s="15"/>
      <c r="U2092" s="14">
        <f t="shared" si="912"/>
        <v>0</v>
      </c>
      <c r="V2092" s="212"/>
    </row>
    <row r="2093" spans="2:22" x14ac:dyDescent="0.15">
      <c r="B2093" s="4" t="s">
        <v>749</v>
      </c>
      <c r="C2093" s="233">
        <v>3</v>
      </c>
      <c r="D2093" s="234"/>
      <c r="E2093" s="234"/>
      <c r="F2093" s="220">
        <f t="shared" si="909"/>
        <v>3</v>
      </c>
      <c r="G2093" s="248">
        <v>45903</v>
      </c>
      <c r="H2093" s="4"/>
      <c r="I2093" s="233"/>
      <c r="J2093" s="234"/>
      <c r="K2093" s="234"/>
      <c r="L2093" s="220">
        <f t="shared" si="915"/>
        <v>0</v>
      </c>
      <c r="M2093" s="248"/>
      <c r="O2093" s="4"/>
      <c r="P2093" s="15"/>
      <c r="Q2093" s="14">
        <f t="shared" si="911"/>
        <v>0</v>
      </c>
      <c r="R2093" s="186"/>
      <c r="S2093" s="4"/>
      <c r="T2093" s="15"/>
      <c r="U2093" s="14">
        <f t="shared" ref="U2093:U2096" si="916">SUM(T2093:T2093)</f>
        <v>0</v>
      </c>
      <c r="V2093" s="212"/>
    </row>
    <row r="2094" spans="2:22" x14ac:dyDescent="0.15">
      <c r="B2094" s="4" t="s">
        <v>749</v>
      </c>
      <c r="C2094" s="233">
        <v>1</v>
      </c>
      <c r="D2094" s="234"/>
      <c r="E2094" s="234"/>
      <c r="F2094" s="220">
        <f t="shared" si="909"/>
        <v>1</v>
      </c>
      <c r="G2094" s="211">
        <v>45904</v>
      </c>
      <c r="H2094" s="4"/>
      <c r="I2094" s="233"/>
      <c r="J2094" s="234"/>
      <c r="K2094" s="234"/>
      <c r="L2094" s="220">
        <f t="shared" si="915"/>
        <v>0</v>
      </c>
      <c r="M2094" s="248"/>
      <c r="O2094" s="4"/>
      <c r="P2094" s="15"/>
      <c r="Q2094" s="14">
        <f t="shared" si="911"/>
        <v>0</v>
      </c>
      <c r="R2094" s="186"/>
      <c r="S2094" s="4"/>
      <c r="T2094" s="15"/>
      <c r="U2094" s="14">
        <f t="shared" si="916"/>
        <v>0</v>
      </c>
      <c r="V2094" s="212"/>
    </row>
    <row r="2095" spans="2:22" x14ac:dyDescent="0.15">
      <c r="B2095" s="4" t="s">
        <v>920</v>
      </c>
      <c r="C2095" s="233">
        <v>2</v>
      </c>
      <c r="D2095" s="234">
        <v>2</v>
      </c>
      <c r="E2095" s="234">
        <v>2</v>
      </c>
      <c r="F2095" s="220">
        <f t="shared" si="909"/>
        <v>6</v>
      </c>
      <c r="G2095" s="211">
        <v>45908</v>
      </c>
      <c r="H2095" s="4"/>
      <c r="I2095" s="233"/>
      <c r="J2095" s="234"/>
      <c r="K2095" s="234"/>
      <c r="L2095" s="220">
        <f t="shared" si="915"/>
        <v>0</v>
      </c>
      <c r="M2095" s="248"/>
      <c r="O2095" s="6"/>
      <c r="P2095" s="15"/>
      <c r="Q2095" s="14">
        <f t="shared" si="911"/>
        <v>0</v>
      </c>
      <c r="R2095" s="186"/>
      <c r="S2095" s="4"/>
      <c r="T2095" s="15"/>
      <c r="U2095" s="14">
        <f t="shared" si="916"/>
        <v>0</v>
      </c>
      <c r="V2095" s="186"/>
    </row>
    <row r="2096" spans="2:22" ht="14.25" thickBot="1" x14ac:dyDescent="0.2">
      <c r="B2096" s="4" t="s">
        <v>749</v>
      </c>
      <c r="C2096" s="233">
        <v>4</v>
      </c>
      <c r="D2096" s="234"/>
      <c r="E2096" s="234"/>
      <c r="F2096" s="220">
        <f t="shared" si="909"/>
        <v>4</v>
      </c>
      <c r="G2096" s="211">
        <v>45905</v>
      </c>
      <c r="H2096" s="4"/>
      <c r="I2096" s="233"/>
      <c r="J2096" s="234"/>
      <c r="K2096" s="234"/>
      <c r="L2096" s="220">
        <f t="shared" si="915"/>
        <v>0</v>
      </c>
      <c r="M2096" s="248"/>
      <c r="O2096" s="6"/>
      <c r="P2096" s="15"/>
      <c r="Q2096" s="14">
        <f t="shared" si="911"/>
        <v>0</v>
      </c>
      <c r="R2096" s="186"/>
      <c r="S2096" s="6" t="s">
        <v>1356</v>
      </c>
      <c r="T2096" s="15"/>
      <c r="U2096" s="14">
        <f t="shared" si="916"/>
        <v>0</v>
      </c>
      <c r="V2096" s="186" t="s">
        <v>1357</v>
      </c>
    </row>
    <row r="2097" spans="1:23" ht="14.25" thickBot="1" x14ac:dyDescent="0.2">
      <c r="B2097" s="3" t="s">
        <v>5</v>
      </c>
      <c r="C2097" s="16">
        <f>SUM(C2073:C2096)</f>
        <v>146</v>
      </c>
      <c r="D2097" s="16">
        <f>SUM(D2073:D2096)</f>
        <v>42</v>
      </c>
      <c r="E2097" s="16">
        <f>SUM(E2073:E2096)</f>
        <v>31</v>
      </c>
      <c r="F2097" s="223">
        <f>SUM(F2073:F2096)</f>
        <v>219</v>
      </c>
      <c r="H2097" s="3" t="s">
        <v>5</v>
      </c>
      <c r="I2097" s="16">
        <f>SUM(I2073:I2096)</f>
        <v>50</v>
      </c>
      <c r="J2097" s="16">
        <f t="shared" ref="J2097:K2097" si="917">SUM(J2073:J2096)</f>
        <v>0</v>
      </c>
      <c r="K2097" s="16">
        <f t="shared" si="917"/>
        <v>0</v>
      </c>
      <c r="L2097" s="223">
        <f>SUM(L2073:L2096)</f>
        <v>50</v>
      </c>
      <c r="O2097" s="3" t="s">
        <v>5</v>
      </c>
      <c r="P2097" s="16">
        <f>SUM(P2073:P2096)</f>
        <v>0</v>
      </c>
      <c r="Q2097" s="17">
        <f>SUM(Q2073:Q2096)</f>
        <v>0</v>
      </c>
      <c r="S2097" s="3" t="s">
        <v>5</v>
      </c>
      <c r="T2097" s="16">
        <f>SUM(T2073:T2096)</f>
        <v>9</v>
      </c>
      <c r="U2097" s="17">
        <f>SUM(U2073:U2096)</f>
        <v>9</v>
      </c>
      <c r="V2097" s="209"/>
    </row>
    <row r="2098" spans="1:23" ht="14.25" thickBot="1" x14ac:dyDescent="0.2">
      <c r="B2098" s="18" t="s">
        <v>6</v>
      </c>
      <c r="C2098" s="19">
        <f>C2072-C2097</f>
        <v>42</v>
      </c>
      <c r="D2098" s="19">
        <f>D2072-D2097</f>
        <v>101</v>
      </c>
      <c r="E2098" s="19">
        <f t="shared" ref="E2098" si="918">E2072-E2097</f>
        <v>58</v>
      </c>
      <c r="F2098" s="221">
        <f>F2072-F2097</f>
        <v>201</v>
      </c>
      <c r="H2098" s="18" t="s">
        <v>6</v>
      </c>
      <c r="I2098" s="19">
        <f>I2072-I2097</f>
        <v>5856</v>
      </c>
      <c r="J2098" s="19">
        <f t="shared" ref="J2098:K2098" si="919">J2072-J2097</f>
        <v>1664</v>
      </c>
      <c r="K2098" s="19">
        <f t="shared" si="919"/>
        <v>1875</v>
      </c>
      <c r="L2098" s="221">
        <f>L2072-L2097</f>
        <v>9506</v>
      </c>
      <c r="O2098" s="18" t="s">
        <v>6</v>
      </c>
      <c r="P2098" s="19">
        <f>P2072-P2097</f>
        <v>0</v>
      </c>
      <c r="Q2098" s="13">
        <f>Q2072-Q2097</f>
        <v>0</v>
      </c>
      <c r="S2098" s="18" t="s">
        <v>6</v>
      </c>
      <c r="T2098" s="19">
        <f>T2072-T2097</f>
        <v>1493</v>
      </c>
      <c r="U2098" s="13">
        <f>U2072-U2097</f>
        <v>1493</v>
      </c>
      <c r="V2098" s="209"/>
      <c r="W2098" t="s">
        <v>1360</v>
      </c>
    </row>
    <row r="2101" spans="1:23" ht="18" thickBot="1" x14ac:dyDescent="0.25">
      <c r="B2101" s="27" t="s">
        <v>739</v>
      </c>
      <c r="C2101" s="28"/>
      <c r="D2101" s="28"/>
      <c r="E2101" s="28"/>
      <c r="F2101" s="218"/>
      <c r="H2101" s="27" t="s">
        <v>740</v>
      </c>
      <c r="I2101" s="279"/>
      <c r="J2101" s="279"/>
      <c r="K2101" s="22"/>
      <c r="L2101" s="278"/>
      <c r="O2101" s="181" t="s">
        <v>737</v>
      </c>
      <c r="P2101" s="182"/>
      <c r="Q2101" s="182"/>
      <c r="R2101" s="183"/>
      <c r="S2101" s="181" t="s">
        <v>733</v>
      </c>
      <c r="T2101" s="182"/>
      <c r="U2101" s="182"/>
    </row>
    <row r="2102" spans="1:23" ht="14.25" thickBot="1" x14ac:dyDescent="0.2">
      <c r="B2102" s="2"/>
      <c r="C2102" s="194" t="s">
        <v>734</v>
      </c>
      <c r="D2102" s="195" t="s">
        <v>706</v>
      </c>
      <c r="E2102" s="2" t="s">
        <v>735</v>
      </c>
      <c r="F2102" s="219" t="s">
        <v>1</v>
      </c>
      <c r="H2102" s="2"/>
      <c r="I2102" s="197" t="s">
        <v>734</v>
      </c>
      <c r="J2102" s="195" t="s">
        <v>706</v>
      </c>
      <c r="K2102" s="201" t="s">
        <v>735</v>
      </c>
      <c r="L2102" s="219" t="s">
        <v>1</v>
      </c>
      <c r="O2102" s="2"/>
      <c r="P2102" s="3" t="s">
        <v>722</v>
      </c>
      <c r="Q2102" s="2" t="s">
        <v>1</v>
      </c>
      <c r="S2102" s="2"/>
      <c r="T2102" s="3" t="s">
        <v>722</v>
      </c>
      <c r="U2102" s="2" t="s">
        <v>1</v>
      </c>
    </row>
    <row r="2103" spans="1:23" x14ac:dyDescent="0.15">
      <c r="B2103" s="164" t="s">
        <v>26</v>
      </c>
      <c r="C2103" s="200">
        <f>C2098</f>
        <v>42</v>
      </c>
      <c r="D2103" s="164">
        <f t="shared" ref="D2103:F2103" si="920">D2098</f>
        <v>101</v>
      </c>
      <c r="E2103" s="164">
        <f t="shared" si="920"/>
        <v>58</v>
      </c>
      <c r="F2103" s="222">
        <f t="shared" si="920"/>
        <v>201</v>
      </c>
      <c r="H2103" s="164" t="s">
        <v>26</v>
      </c>
      <c r="I2103" s="200">
        <f>I2098</f>
        <v>5856</v>
      </c>
      <c r="J2103" s="164">
        <f t="shared" ref="J2103:L2103" si="921">J2098</f>
        <v>1664</v>
      </c>
      <c r="K2103" s="200">
        <f t="shared" si="921"/>
        <v>1875</v>
      </c>
      <c r="L2103" s="222">
        <f t="shared" si="921"/>
        <v>9506</v>
      </c>
      <c r="O2103" s="171" t="s">
        <v>26</v>
      </c>
      <c r="P2103" s="200">
        <f>P2098</f>
        <v>0</v>
      </c>
      <c r="Q2103" s="180">
        <f>Q2098</f>
        <v>0</v>
      </c>
      <c r="R2103" s="185"/>
      <c r="S2103" s="43" t="s">
        <v>26</v>
      </c>
      <c r="T2103" s="38">
        <f>T2098</f>
        <v>1493</v>
      </c>
      <c r="U2103" s="39">
        <f>U2098</f>
        <v>1493</v>
      </c>
    </row>
    <row r="2104" spans="1:23" x14ac:dyDescent="0.15">
      <c r="A2104" s="186"/>
      <c r="B2104" s="6" t="s">
        <v>3</v>
      </c>
      <c r="C2104" s="188">
        <v>46</v>
      </c>
      <c r="D2104" s="6"/>
      <c r="E2104" s="202">
        <v>20</v>
      </c>
      <c r="F2104" s="220">
        <f t="shared" ref="F2104:F2105" si="922">SUM(C2104:E2104)</f>
        <v>66</v>
      </c>
      <c r="G2104" s="211">
        <v>45920</v>
      </c>
      <c r="H2104" s="6" t="s">
        <v>3</v>
      </c>
      <c r="I2104" s="188"/>
      <c r="J2104" s="225"/>
      <c r="K2104" s="243"/>
      <c r="L2104" s="220">
        <f t="shared" ref="L2104:L2113" si="923">SUM(I2104:K2104)</f>
        <v>0</v>
      </c>
      <c r="M2104" s="212"/>
      <c r="O2104" s="6" t="s">
        <v>3</v>
      </c>
      <c r="P2104" s="7"/>
      <c r="Q2104" s="5">
        <f t="shared" ref="Q2104:Q2113" si="924">SUM(P2104:P2104)</f>
        <v>0</v>
      </c>
      <c r="R2104" s="186"/>
      <c r="S2104" s="6" t="s">
        <v>3</v>
      </c>
      <c r="T2104" s="7"/>
      <c r="U2104" s="5">
        <f t="shared" ref="U2104:U2113" si="925">SUM(T2104:T2104)</f>
        <v>0</v>
      </c>
      <c r="V2104" s="186"/>
    </row>
    <row r="2105" spans="1:23" x14ac:dyDescent="0.15">
      <c r="A2105" s="186"/>
      <c r="B2105" s="6" t="s">
        <v>3</v>
      </c>
      <c r="C2105" s="188"/>
      <c r="D2105" s="6"/>
      <c r="E2105" s="202"/>
      <c r="F2105" s="220">
        <f t="shared" si="922"/>
        <v>0</v>
      </c>
      <c r="G2105" s="212"/>
      <c r="H2105" s="6" t="s">
        <v>3</v>
      </c>
      <c r="I2105" s="188"/>
      <c r="J2105" s="225"/>
      <c r="K2105" s="243"/>
      <c r="L2105" s="220">
        <f t="shared" si="923"/>
        <v>0</v>
      </c>
      <c r="M2105" s="212"/>
      <c r="O2105" s="6" t="s">
        <v>3</v>
      </c>
      <c r="P2105" s="7"/>
      <c r="Q2105" s="5">
        <f t="shared" si="924"/>
        <v>0</v>
      </c>
      <c r="R2105" s="186"/>
      <c r="S2105" s="6" t="s">
        <v>3</v>
      </c>
      <c r="T2105" s="7"/>
      <c r="U2105" s="5">
        <f t="shared" si="925"/>
        <v>0</v>
      </c>
      <c r="V2105" s="186"/>
    </row>
    <row r="2106" spans="1:23" x14ac:dyDescent="0.15">
      <c r="A2106" s="186"/>
      <c r="B2106" s="6" t="s">
        <v>3</v>
      </c>
      <c r="C2106" s="188"/>
      <c r="D2106" s="6"/>
      <c r="E2106" s="202"/>
      <c r="F2106" s="220">
        <f t="shared" ref="F2106:F2113" si="926">SUM(C2106:E2106)</f>
        <v>0</v>
      </c>
      <c r="G2106" s="212"/>
      <c r="H2106" s="6" t="s">
        <v>3</v>
      </c>
      <c r="I2106" s="188"/>
      <c r="J2106" s="225"/>
      <c r="K2106" s="243"/>
      <c r="L2106" s="220">
        <f t="shared" si="923"/>
        <v>0</v>
      </c>
      <c r="M2106" s="212"/>
      <c r="O2106" s="6" t="s">
        <v>3</v>
      </c>
      <c r="P2106" s="7"/>
      <c r="Q2106" s="5">
        <f t="shared" si="924"/>
        <v>0</v>
      </c>
      <c r="R2106" s="186"/>
      <c r="S2106" s="6" t="s">
        <v>3</v>
      </c>
      <c r="T2106" s="7"/>
      <c r="U2106" s="5">
        <f t="shared" si="925"/>
        <v>0</v>
      </c>
      <c r="V2106" s="186"/>
    </row>
    <row r="2107" spans="1:23" x14ac:dyDescent="0.15">
      <c r="A2107" s="186"/>
      <c r="B2107" s="6" t="s">
        <v>3</v>
      </c>
      <c r="C2107" s="188"/>
      <c r="D2107" s="6"/>
      <c r="E2107" s="202"/>
      <c r="F2107" s="220">
        <f t="shared" si="926"/>
        <v>0</v>
      </c>
      <c r="G2107" s="212"/>
      <c r="H2107" s="6" t="s">
        <v>3</v>
      </c>
      <c r="I2107" s="188"/>
      <c r="J2107" s="225"/>
      <c r="K2107" s="243"/>
      <c r="L2107" s="220">
        <f t="shared" si="923"/>
        <v>0</v>
      </c>
      <c r="M2107" s="212"/>
      <c r="O2107" s="6" t="s">
        <v>3</v>
      </c>
      <c r="P2107" s="7"/>
      <c r="Q2107" s="5">
        <f t="shared" si="924"/>
        <v>0</v>
      </c>
      <c r="R2107" s="186"/>
      <c r="S2107" s="6" t="s">
        <v>3</v>
      </c>
      <c r="T2107" s="7"/>
      <c r="U2107" s="5">
        <f t="shared" si="925"/>
        <v>0</v>
      </c>
      <c r="V2107" s="186"/>
    </row>
    <row r="2108" spans="1:23" x14ac:dyDescent="0.15">
      <c r="A2108" s="186"/>
      <c r="B2108" s="6" t="s">
        <v>3</v>
      </c>
      <c r="C2108" s="188"/>
      <c r="D2108" s="6"/>
      <c r="E2108" s="202"/>
      <c r="F2108" s="220">
        <f t="shared" si="926"/>
        <v>0</v>
      </c>
      <c r="G2108" s="212"/>
      <c r="H2108" s="6" t="s">
        <v>3</v>
      </c>
      <c r="I2108" s="188"/>
      <c r="J2108" s="225"/>
      <c r="K2108" s="243"/>
      <c r="L2108" s="220">
        <f t="shared" si="923"/>
        <v>0</v>
      </c>
      <c r="O2108" s="6" t="s">
        <v>3</v>
      </c>
      <c r="P2108" s="7"/>
      <c r="Q2108" s="5">
        <f t="shared" si="924"/>
        <v>0</v>
      </c>
      <c r="R2108" s="186"/>
      <c r="S2108" s="6" t="s">
        <v>3</v>
      </c>
      <c r="T2108" s="7"/>
      <c r="U2108" s="5">
        <f t="shared" si="925"/>
        <v>0</v>
      </c>
      <c r="V2108" s="186"/>
    </row>
    <row r="2109" spans="1:23" x14ac:dyDescent="0.15">
      <c r="B2109" s="6" t="s">
        <v>3</v>
      </c>
      <c r="C2109" s="188"/>
      <c r="D2109" s="6"/>
      <c r="E2109" s="202"/>
      <c r="F2109" s="220">
        <f t="shared" si="926"/>
        <v>0</v>
      </c>
      <c r="G2109" s="212"/>
      <c r="H2109" s="6" t="s">
        <v>3</v>
      </c>
      <c r="I2109" s="188"/>
      <c r="J2109" s="6"/>
      <c r="K2109" s="202"/>
      <c r="L2109" s="220">
        <f t="shared" si="923"/>
        <v>0</v>
      </c>
      <c r="O2109" s="6" t="s">
        <v>3</v>
      </c>
      <c r="P2109" s="7"/>
      <c r="Q2109" s="5">
        <f t="shared" si="924"/>
        <v>0</v>
      </c>
      <c r="R2109" s="186"/>
      <c r="S2109" s="6" t="s">
        <v>3</v>
      </c>
      <c r="T2109" s="7"/>
      <c r="U2109" s="5">
        <f t="shared" si="925"/>
        <v>0</v>
      </c>
      <c r="V2109" s="186"/>
    </row>
    <row r="2110" spans="1:23" x14ac:dyDescent="0.15">
      <c r="B2110" s="6" t="s">
        <v>3</v>
      </c>
      <c r="C2110" s="188"/>
      <c r="D2110" s="225"/>
      <c r="E2110" s="243"/>
      <c r="F2110" s="220">
        <f t="shared" si="926"/>
        <v>0</v>
      </c>
      <c r="H2110" s="6" t="s">
        <v>3</v>
      </c>
      <c r="I2110" s="188"/>
      <c r="J2110" s="225"/>
      <c r="K2110" s="243"/>
      <c r="L2110" s="220">
        <f t="shared" si="923"/>
        <v>0</v>
      </c>
      <c r="O2110" s="6" t="s">
        <v>3</v>
      </c>
      <c r="P2110" s="8"/>
      <c r="Q2110" s="5">
        <f t="shared" si="924"/>
        <v>0</v>
      </c>
      <c r="R2110" s="186"/>
      <c r="S2110" s="6" t="s">
        <v>3</v>
      </c>
      <c r="T2110" s="8"/>
      <c r="U2110" s="5">
        <f t="shared" si="925"/>
        <v>0</v>
      </c>
      <c r="V2110" s="186"/>
    </row>
    <row r="2111" spans="1:23" x14ac:dyDescent="0.15">
      <c r="B2111" s="6" t="s">
        <v>3</v>
      </c>
      <c r="C2111" s="188"/>
      <c r="D2111" s="225"/>
      <c r="E2111" s="243"/>
      <c r="F2111" s="220">
        <f t="shared" si="926"/>
        <v>0</v>
      </c>
      <c r="H2111" s="6" t="s">
        <v>3</v>
      </c>
      <c r="I2111" s="188"/>
      <c r="J2111" s="225"/>
      <c r="K2111" s="243"/>
      <c r="L2111" s="220">
        <f t="shared" si="923"/>
        <v>0</v>
      </c>
      <c r="O2111" s="6" t="s">
        <v>3</v>
      </c>
      <c r="P2111" s="8"/>
      <c r="Q2111" s="5">
        <f t="shared" si="924"/>
        <v>0</v>
      </c>
      <c r="R2111" s="186"/>
      <c r="S2111" s="6" t="s">
        <v>3</v>
      </c>
      <c r="T2111" s="8"/>
      <c r="U2111" s="5">
        <f t="shared" si="925"/>
        <v>0</v>
      </c>
      <c r="V2111" s="186"/>
    </row>
    <row r="2112" spans="1:23" x14ac:dyDescent="0.15">
      <c r="B2112" s="6" t="s">
        <v>3</v>
      </c>
      <c r="C2112" s="188"/>
      <c r="D2112" s="225"/>
      <c r="E2112" s="243"/>
      <c r="F2112" s="220">
        <f t="shared" si="926"/>
        <v>0</v>
      </c>
      <c r="H2112" s="6" t="s">
        <v>3</v>
      </c>
      <c r="I2112" s="188"/>
      <c r="J2112" s="225"/>
      <c r="K2112" s="243"/>
      <c r="L2112" s="220">
        <f t="shared" si="923"/>
        <v>0</v>
      </c>
      <c r="O2112" s="6" t="s">
        <v>3</v>
      </c>
      <c r="P2112" s="8"/>
      <c r="Q2112" s="5">
        <f t="shared" si="924"/>
        <v>0</v>
      </c>
      <c r="R2112" s="186"/>
      <c r="S2112" s="6" t="s">
        <v>3</v>
      </c>
      <c r="T2112" s="8"/>
      <c r="U2112" s="5">
        <f t="shared" si="925"/>
        <v>0</v>
      </c>
      <c r="V2112" s="186"/>
    </row>
    <row r="2113" spans="2:22" ht="14.25" thickBot="1" x14ac:dyDescent="0.2">
      <c r="B2113" s="9" t="s">
        <v>3</v>
      </c>
      <c r="C2113" s="198"/>
      <c r="D2113" s="244"/>
      <c r="E2113" s="245"/>
      <c r="F2113" s="220">
        <f t="shared" si="926"/>
        <v>0</v>
      </c>
      <c r="H2113" s="9" t="s">
        <v>3</v>
      </c>
      <c r="I2113" s="198"/>
      <c r="J2113" s="244"/>
      <c r="K2113" s="245"/>
      <c r="L2113" s="220">
        <f t="shared" si="923"/>
        <v>0</v>
      </c>
      <c r="O2113" s="9" t="s">
        <v>3</v>
      </c>
      <c r="P2113" s="10"/>
      <c r="Q2113" s="5">
        <f t="shared" si="924"/>
        <v>0</v>
      </c>
      <c r="R2113" s="186"/>
      <c r="S2113" s="9" t="s">
        <v>3</v>
      </c>
      <c r="T2113" s="10"/>
      <c r="U2113" s="5">
        <f t="shared" si="925"/>
        <v>0</v>
      </c>
      <c r="V2113" s="186"/>
    </row>
    <row r="2114" spans="2:22" ht="14.25" thickBot="1" x14ac:dyDescent="0.2">
      <c r="B2114" s="11" t="s">
        <v>4</v>
      </c>
      <c r="C2114" s="193">
        <f>SUM(C2103:C2113)</f>
        <v>88</v>
      </c>
      <c r="D2114" s="193">
        <f>SUM(D2103:D2113)</f>
        <v>101</v>
      </c>
      <c r="E2114" s="193">
        <f>SUM(E2103:E2113)</f>
        <v>78</v>
      </c>
      <c r="F2114" s="221">
        <f>SUM(F2103:F2113)</f>
        <v>267</v>
      </c>
      <c r="H2114" s="11" t="s">
        <v>4</v>
      </c>
      <c r="I2114" s="193">
        <f>SUM(I2103:I2113)</f>
        <v>5856</v>
      </c>
      <c r="J2114" s="193">
        <f t="shared" ref="J2114:K2114" si="927">SUM(J2103:J2113)</f>
        <v>1664</v>
      </c>
      <c r="K2114" s="193">
        <f t="shared" si="927"/>
        <v>1875</v>
      </c>
      <c r="L2114" s="221">
        <f>SUM(L2103:L2113)</f>
        <v>9506</v>
      </c>
      <c r="O2114" s="11" t="s">
        <v>4</v>
      </c>
      <c r="P2114" s="12">
        <f>SUM(P2103:P2113)</f>
        <v>0</v>
      </c>
      <c r="Q2114" s="13">
        <f>SUM(Q2103:Q2113)</f>
        <v>0</v>
      </c>
      <c r="S2114" s="11" t="s">
        <v>4</v>
      </c>
      <c r="T2114" s="12">
        <f>SUM(T2103:T2113)</f>
        <v>1493</v>
      </c>
      <c r="U2114" s="13">
        <f>SUM(U2103:U2113)</f>
        <v>1493</v>
      </c>
    </row>
    <row r="2115" spans="2:22" x14ac:dyDescent="0.15">
      <c r="B2115" s="4" t="s">
        <v>749</v>
      </c>
      <c r="C2115" s="233">
        <v>5</v>
      </c>
      <c r="D2115" s="234"/>
      <c r="E2115" s="234"/>
      <c r="F2115" s="220">
        <f t="shared" ref="F2115:F2138" si="928">SUM(C2115:E2115)</f>
        <v>5</v>
      </c>
      <c r="G2115" s="248">
        <v>45908</v>
      </c>
      <c r="H2115" s="4" t="s">
        <v>745</v>
      </c>
      <c r="I2115" s="233">
        <v>46</v>
      </c>
      <c r="J2115" s="234"/>
      <c r="K2115" s="234">
        <v>20</v>
      </c>
      <c r="L2115" s="220">
        <f t="shared" ref="L2115" si="929">SUM(I2115:K2115)</f>
        <v>66</v>
      </c>
      <c r="M2115" s="211">
        <v>45920</v>
      </c>
      <c r="O2115" s="4"/>
      <c r="P2115" s="44"/>
      <c r="Q2115" s="14">
        <f t="shared" ref="Q2115:Q2138" si="930">SUM(P2115:P2115)</f>
        <v>0</v>
      </c>
      <c r="R2115" s="185"/>
      <c r="S2115" s="4"/>
      <c r="T2115" s="15"/>
      <c r="U2115" s="14">
        <f t="shared" ref="U2115" si="931">SUM(T2115:T2115)</f>
        <v>0</v>
      </c>
      <c r="V2115" s="212"/>
    </row>
    <row r="2116" spans="2:22" x14ac:dyDescent="0.15">
      <c r="B2116" s="4" t="s">
        <v>920</v>
      </c>
      <c r="C2116" s="233">
        <v>1</v>
      </c>
      <c r="D2116" s="234">
        <v>1</v>
      </c>
      <c r="E2116" s="234">
        <v>1</v>
      </c>
      <c r="F2116" s="220">
        <f t="shared" si="928"/>
        <v>3</v>
      </c>
      <c r="G2116" s="211">
        <v>45911</v>
      </c>
      <c r="H2116" s="4" t="s">
        <v>745</v>
      </c>
      <c r="I2116" s="233">
        <v>100</v>
      </c>
      <c r="J2116" s="234"/>
      <c r="K2116" s="234"/>
      <c r="L2116" s="220">
        <f t="shared" ref="L2116" si="932">SUM(I2116:K2116)</f>
        <v>100</v>
      </c>
      <c r="M2116" s="211">
        <v>46097</v>
      </c>
      <c r="O2116" s="4"/>
      <c r="P2116" s="15"/>
      <c r="Q2116" s="14">
        <f t="shared" si="930"/>
        <v>0</v>
      </c>
      <c r="R2116" s="186"/>
      <c r="S2116" s="4"/>
      <c r="T2116" s="15"/>
      <c r="U2116" s="14">
        <f t="shared" ref="U2116:U2136" si="933">SUM(T2116:T2116)</f>
        <v>0</v>
      </c>
      <c r="V2116" s="212"/>
    </row>
    <row r="2117" spans="2:22" x14ac:dyDescent="0.15">
      <c r="B2117" s="4" t="s">
        <v>749</v>
      </c>
      <c r="C2117" s="233"/>
      <c r="D2117" s="234"/>
      <c r="E2117" s="234">
        <v>30</v>
      </c>
      <c r="F2117" s="220">
        <f t="shared" si="928"/>
        <v>30</v>
      </c>
      <c r="G2117" s="211">
        <v>45909</v>
      </c>
      <c r="H2117" s="4"/>
      <c r="I2117" s="233"/>
      <c r="J2117" s="234"/>
      <c r="K2117" s="234"/>
      <c r="L2117" s="220">
        <f t="shared" ref="L2117:L2138" si="934">SUM(I2117:K2117)</f>
        <v>0</v>
      </c>
      <c r="M2117" s="248"/>
      <c r="O2117" s="4"/>
      <c r="P2117" s="15"/>
      <c r="Q2117" s="14">
        <f t="shared" si="930"/>
        <v>0</v>
      </c>
      <c r="R2117" s="186"/>
      <c r="S2117" s="4"/>
      <c r="T2117" s="15"/>
      <c r="U2117" s="14">
        <f t="shared" si="933"/>
        <v>0</v>
      </c>
      <c r="V2117" s="212"/>
    </row>
    <row r="2118" spans="2:22" x14ac:dyDescent="0.15">
      <c r="B2118" s="4" t="s">
        <v>749</v>
      </c>
      <c r="C2118" s="233">
        <f>1+1</f>
        <v>2</v>
      </c>
      <c r="D2118" s="234">
        <f>1+1</f>
        <v>2</v>
      </c>
      <c r="E2118" s="234"/>
      <c r="F2118" s="220">
        <f t="shared" si="928"/>
        <v>4</v>
      </c>
      <c r="G2118" s="248">
        <v>45910</v>
      </c>
      <c r="H2118" s="4"/>
      <c r="I2118" s="233"/>
      <c r="J2118" s="234"/>
      <c r="K2118" s="234"/>
      <c r="L2118" s="220">
        <f t="shared" si="934"/>
        <v>0</v>
      </c>
      <c r="M2118" s="248"/>
      <c r="O2118" s="4"/>
      <c r="P2118" s="15"/>
      <c r="Q2118" s="14">
        <f t="shared" si="930"/>
        <v>0</v>
      </c>
      <c r="R2118" s="186"/>
      <c r="S2118" s="4"/>
      <c r="T2118" s="15"/>
      <c r="U2118" s="14">
        <f t="shared" si="933"/>
        <v>0</v>
      </c>
      <c r="V2118" s="212"/>
    </row>
    <row r="2119" spans="2:22" x14ac:dyDescent="0.15">
      <c r="B2119" s="4" t="s">
        <v>749</v>
      </c>
      <c r="C2119" s="233">
        <v>6</v>
      </c>
      <c r="D2119" s="234">
        <v>1</v>
      </c>
      <c r="E2119" s="234"/>
      <c r="F2119" s="220">
        <f t="shared" si="928"/>
        <v>7</v>
      </c>
      <c r="G2119" s="211">
        <v>45911</v>
      </c>
      <c r="H2119" s="4"/>
      <c r="I2119" s="233"/>
      <c r="J2119" s="234"/>
      <c r="K2119" s="234"/>
      <c r="L2119" s="220">
        <f t="shared" si="934"/>
        <v>0</v>
      </c>
      <c r="M2119" s="248"/>
      <c r="O2119" s="4"/>
      <c r="P2119" s="15"/>
      <c r="Q2119" s="14">
        <f t="shared" si="930"/>
        <v>0</v>
      </c>
      <c r="R2119" s="186"/>
      <c r="S2119" s="4"/>
      <c r="T2119" s="15"/>
      <c r="U2119" s="14">
        <f t="shared" si="933"/>
        <v>0</v>
      </c>
      <c r="V2119" s="212"/>
    </row>
    <row r="2120" spans="2:22" x14ac:dyDescent="0.15">
      <c r="B2120" s="4" t="s">
        <v>920</v>
      </c>
      <c r="C2120" s="233">
        <v>1</v>
      </c>
      <c r="D2120" s="234">
        <v>1</v>
      </c>
      <c r="E2120" s="234">
        <v>1</v>
      </c>
      <c r="F2120" s="220">
        <f t="shared" si="928"/>
        <v>3</v>
      </c>
      <c r="G2120" s="211">
        <v>45916</v>
      </c>
      <c r="H2120" s="4"/>
      <c r="I2120" s="233"/>
      <c r="J2120" s="234"/>
      <c r="K2120" s="234"/>
      <c r="L2120" s="220">
        <f t="shared" si="934"/>
        <v>0</v>
      </c>
      <c r="M2120" s="248"/>
      <c r="O2120" s="4"/>
      <c r="P2120" s="15"/>
      <c r="Q2120" s="14">
        <f t="shared" si="930"/>
        <v>0</v>
      </c>
      <c r="R2120" s="186"/>
      <c r="S2120" s="4"/>
      <c r="T2120" s="15"/>
      <c r="U2120" s="14">
        <f t="shared" si="933"/>
        <v>0</v>
      </c>
      <c r="V2120" s="212"/>
    </row>
    <row r="2121" spans="2:22" x14ac:dyDescent="0.15">
      <c r="B2121" s="4" t="s">
        <v>749</v>
      </c>
      <c r="C2121" s="233"/>
      <c r="D2121" s="234">
        <v>1</v>
      </c>
      <c r="E2121" s="234"/>
      <c r="F2121" s="220">
        <f t="shared" si="928"/>
        <v>1</v>
      </c>
      <c r="G2121" s="211">
        <v>45912</v>
      </c>
      <c r="H2121" s="4"/>
      <c r="I2121" s="233"/>
      <c r="J2121" s="234"/>
      <c r="K2121" s="234"/>
      <c r="L2121" s="220">
        <f t="shared" si="934"/>
        <v>0</v>
      </c>
      <c r="M2121" s="248"/>
      <c r="O2121" s="4"/>
      <c r="P2121" s="15"/>
      <c r="Q2121" s="14">
        <f t="shared" si="930"/>
        <v>0</v>
      </c>
      <c r="R2121" s="186"/>
      <c r="S2121" s="4"/>
      <c r="T2121" s="15"/>
      <c r="U2121" s="14">
        <f t="shared" si="933"/>
        <v>0</v>
      </c>
      <c r="V2121" s="212"/>
    </row>
    <row r="2122" spans="2:22" x14ac:dyDescent="0.15">
      <c r="B2122" s="4" t="s">
        <v>749</v>
      </c>
      <c r="C2122" s="233">
        <v>2</v>
      </c>
      <c r="D2122" s="234"/>
      <c r="E2122" s="234"/>
      <c r="F2122" s="220">
        <f t="shared" si="928"/>
        <v>2</v>
      </c>
      <c r="G2122" s="211">
        <v>45916</v>
      </c>
      <c r="H2122" s="4"/>
      <c r="I2122" s="233"/>
      <c r="J2122" s="234"/>
      <c r="K2122" s="234"/>
      <c r="L2122" s="220">
        <f t="shared" si="934"/>
        <v>0</v>
      </c>
      <c r="M2122" s="248"/>
      <c r="O2122" s="4"/>
      <c r="P2122" s="15"/>
      <c r="Q2122" s="14">
        <f t="shared" si="930"/>
        <v>0</v>
      </c>
      <c r="R2122" s="186"/>
      <c r="S2122" s="4"/>
      <c r="T2122" s="15"/>
      <c r="U2122" s="14">
        <f t="shared" si="933"/>
        <v>0</v>
      </c>
      <c r="V2122" s="212"/>
    </row>
    <row r="2123" spans="2:22" x14ac:dyDescent="0.15">
      <c r="B2123" s="4" t="s">
        <v>920</v>
      </c>
      <c r="C2123" s="233">
        <v>2</v>
      </c>
      <c r="D2123" s="234">
        <v>2</v>
      </c>
      <c r="E2123" s="234">
        <v>2</v>
      </c>
      <c r="F2123" s="220">
        <f t="shared" si="928"/>
        <v>6</v>
      </c>
      <c r="G2123" s="211">
        <v>45919</v>
      </c>
      <c r="H2123" s="4"/>
      <c r="I2123" s="233"/>
      <c r="J2123" s="234"/>
      <c r="K2123" s="234"/>
      <c r="L2123" s="220">
        <f t="shared" si="934"/>
        <v>0</v>
      </c>
      <c r="M2123" s="248"/>
      <c r="O2123" s="4"/>
      <c r="P2123" s="15"/>
      <c r="Q2123" s="14">
        <f t="shared" si="930"/>
        <v>0</v>
      </c>
      <c r="R2123" s="186"/>
      <c r="S2123" s="4"/>
      <c r="T2123" s="15"/>
      <c r="U2123" s="14">
        <f t="shared" si="933"/>
        <v>0</v>
      </c>
      <c r="V2123" s="212"/>
    </row>
    <row r="2124" spans="2:22" x14ac:dyDescent="0.15">
      <c r="B2124" s="4" t="s">
        <v>749</v>
      </c>
      <c r="C2124" s="233">
        <v>3</v>
      </c>
      <c r="D2124" s="234">
        <v>1</v>
      </c>
      <c r="E2124" s="234">
        <v>1</v>
      </c>
      <c r="F2124" s="220">
        <f t="shared" si="928"/>
        <v>5</v>
      </c>
      <c r="G2124" s="248">
        <v>45917</v>
      </c>
      <c r="H2124" s="4"/>
      <c r="I2124" s="233"/>
      <c r="J2124" s="234"/>
      <c r="K2124" s="234"/>
      <c r="L2124" s="220">
        <f t="shared" si="934"/>
        <v>0</v>
      </c>
      <c r="M2124" s="248"/>
      <c r="O2124" s="4"/>
      <c r="P2124" s="15"/>
      <c r="Q2124" s="14">
        <f t="shared" si="930"/>
        <v>0</v>
      </c>
      <c r="R2124" s="186"/>
      <c r="S2124" s="4"/>
      <c r="T2124" s="15"/>
      <c r="U2124" s="14">
        <f t="shared" si="933"/>
        <v>0</v>
      </c>
      <c r="V2124" s="212"/>
    </row>
    <row r="2125" spans="2:22" x14ac:dyDescent="0.15">
      <c r="B2125" s="4" t="s">
        <v>749</v>
      </c>
      <c r="C2125" s="233">
        <v>1</v>
      </c>
      <c r="D2125" s="234">
        <v>1</v>
      </c>
      <c r="E2125" s="234">
        <v>1</v>
      </c>
      <c r="F2125" s="220">
        <f t="shared" si="928"/>
        <v>3</v>
      </c>
      <c r="G2125" s="248">
        <v>45918</v>
      </c>
      <c r="H2125" s="4"/>
      <c r="I2125" s="233"/>
      <c r="J2125" s="234"/>
      <c r="K2125" s="234"/>
      <c r="L2125" s="220">
        <f t="shared" si="934"/>
        <v>0</v>
      </c>
      <c r="M2125" s="248"/>
      <c r="O2125" s="4"/>
      <c r="P2125" s="15"/>
      <c r="Q2125" s="14">
        <f t="shared" si="930"/>
        <v>0</v>
      </c>
      <c r="R2125" s="186"/>
      <c r="S2125" s="4"/>
      <c r="T2125" s="15"/>
      <c r="U2125" s="14">
        <f t="shared" si="933"/>
        <v>0</v>
      </c>
      <c r="V2125" s="212"/>
    </row>
    <row r="2126" spans="2:22" x14ac:dyDescent="0.15">
      <c r="B2126" s="4" t="s">
        <v>920</v>
      </c>
      <c r="C2126" s="233">
        <v>1</v>
      </c>
      <c r="D2126" s="234">
        <v>1</v>
      </c>
      <c r="E2126" s="234">
        <v>1</v>
      </c>
      <c r="F2126" s="220">
        <f t="shared" si="928"/>
        <v>3</v>
      </c>
      <c r="G2126" s="211">
        <v>45922</v>
      </c>
      <c r="H2126" s="4"/>
      <c r="I2126" s="233"/>
      <c r="J2126" s="234"/>
      <c r="K2126" s="234"/>
      <c r="L2126" s="220">
        <f t="shared" si="934"/>
        <v>0</v>
      </c>
      <c r="M2126" s="248"/>
      <c r="O2126" s="6"/>
      <c r="P2126" s="15"/>
      <c r="Q2126" s="14">
        <f t="shared" si="930"/>
        <v>0</v>
      </c>
      <c r="R2126" s="186"/>
      <c r="S2126" s="6"/>
      <c r="T2126" s="15"/>
      <c r="U2126" s="14">
        <f t="shared" si="933"/>
        <v>0</v>
      </c>
      <c r="V2126" s="212"/>
    </row>
    <row r="2127" spans="2:22" x14ac:dyDescent="0.15">
      <c r="B2127" s="4" t="s">
        <v>749</v>
      </c>
      <c r="C2127" s="233">
        <v>1</v>
      </c>
      <c r="D2127" s="234"/>
      <c r="E2127" s="234"/>
      <c r="F2127" s="220">
        <f t="shared" si="928"/>
        <v>1</v>
      </c>
      <c r="G2127" s="248">
        <v>45919</v>
      </c>
      <c r="H2127" s="4"/>
      <c r="I2127" s="233"/>
      <c r="J2127" s="234"/>
      <c r="K2127" s="234"/>
      <c r="L2127" s="220">
        <f t="shared" si="934"/>
        <v>0</v>
      </c>
      <c r="M2127" s="248"/>
      <c r="O2127" s="6"/>
      <c r="P2127" s="15"/>
      <c r="Q2127" s="14">
        <f t="shared" si="930"/>
        <v>0</v>
      </c>
      <c r="R2127" s="186"/>
      <c r="S2127" s="6"/>
      <c r="T2127" s="15"/>
      <c r="U2127" s="14">
        <f t="shared" si="933"/>
        <v>0</v>
      </c>
      <c r="V2127" s="212"/>
    </row>
    <row r="2128" spans="2:22" x14ac:dyDescent="0.15">
      <c r="B2128" s="4" t="s">
        <v>749</v>
      </c>
      <c r="C2128" s="233">
        <v>6</v>
      </c>
      <c r="D2128" s="234">
        <v>1</v>
      </c>
      <c r="E2128" s="234"/>
      <c r="F2128" s="220">
        <f t="shared" si="928"/>
        <v>7</v>
      </c>
      <c r="G2128" s="248">
        <v>45922</v>
      </c>
      <c r="H2128" s="4"/>
      <c r="I2128" s="233"/>
      <c r="J2128" s="234"/>
      <c r="K2128" s="234"/>
      <c r="L2128" s="220">
        <f t="shared" si="934"/>
        <v>0</v>
      </c>
      <c r="M2128" s="248"/>
      <c r="O2128" s="4"/>
      <c r="P2128" s="15"/>
      <c r="Q2128" s="14">
        <f t="shared" si="930"/>
        <v>0</v>
      </c>
      <c r="R2128" s="186"/>
      <c r="S2128" s="4"/>
      <c r="T2128" s="15"/>
      <c r="U2128" s="14">
        <f t="shared" si="933"/>
        <v>0</v>
      </c>
      <c r="V2128" s="212"/>
    </row>
    <row r="2129" spans="2:22" x14ac:dyDescent="0.15">
      <c r="B2129" s="4" t="s">
        <v>749</v>
      </c>
      <c r="C2129" s="233"/>
      <c r="D2129" s="234"/>
      <c r="E2129" s="234">
        <v>2</v>
      </c>
      <c r="F2129" s="220">
        <f t="shared" si="928"/>
        <v>2</v>
      </c>
      <c r="G2129" s="248">
        <v>45924</v>
      </c>
      <c r="H2129" s="4"/>
      <c r="I2129" s="233"/>
      <c r="J2129" s="234"/>
      <c r="K2129" s="234"/>
      <c r="L2129" s="220">
        <f t="shared" si="934"/>
        <v>0</v>
      </c>
      <c r="M2129" s="248"/>
      <c r="O2129" s="4"/>
      <c r="P2129" s="15"/>
      <c r="Q2129" s="14">
        <f t="shared" si="930"/>
        <v>0</v>
      </c>
      <c r="R2129" s="186"/>
      <c r="S2129" s="4"/>
      <c r="T2129" s="15"/>
      <c r="U2129" s="14">
        <f t="shared" si="933"/>
        <v>0</v>
      </c>
      <c r="V2129" s="212"/>
    </row>
    <row r="2130" spans="2:22" x14ac:dyDescent="0.15">
      <c r="B2130" s="4" t="s">
        <v>749</v>
      </c>
      <c r="C2130" s="233">
        <v>1</v>
      </c>
      <c r="D2130" s="234">
        <v>1</v>
      </c>
      <c r="E2130" s="234">
        <v>2</v>
      </c>
      <c r="F2130" s="220">
        <f t="shared" si="928"/>
        <v>4</v>
      </c>
      <c r="G2130" s="248">
        <v>45929</v>
      </c>
      <c r="H2130" s="4"/>
      <c r="I2130" s="233"/>
      <c r="J2130" s="234"/>
      <c r="K2130" s="234"/>
      <c r="L2130" s="220">
        <f t="shared" si="934"/>
        <v>0</v>
      </c>
      <c r="M2130" s="248"/>
      <c r="O2130" s="4"/>
      <c r="P2130" s="15"/>
      <c r="Q2130" s="14">
        <f t="shared" si="930"/>
        <v>0</v>
      </c>
      <c r="R2130" s="186"/>
      <c r="S2130" s="4"/>
      <c r="T2130" s="15"/>
      <c r="U2130" s="14">
        <f t="shared" si="933"/>
        <v>0</v>
      </c>
      <c r="V2130" s="212"/>
    </row>
    <row r="2131" spans="2:22" x14ac:dyDescent="0.15">
      <c r="B2131" s="4" t="s">
        <v>749</v>
      </c>
      <c r="C2131" s="233">
        <v>1</v>
      </c>
      <c r="D2131" s="234"/>
      <c r="E2131" s="234">
        <v>1</v>
      </c>
      <c r="F2131" s="220">
        <f t="shared" si="928"/>
        <v>2</v>
      </c>
      <c r="G2131" s="248">
        <v>45932</v>
      </c>
      <c r="H2131" s="4"/>
      <c r="I2131" s="233"/>
      <c r="J2131" s="234"/>
      <c r="K2131" s="234"/>
      <c r="L2131" s="220">
        <f t="shared" si="934"/>
        <v>0</v>
      </c>
      <c r="M2131" s="248"/>
      <c r="O2131" s="6"/>
      <c r="P2131" s="15"/>
      <c r="Q2131" s="14">
        <f t="shared" si="930"/>
        <v>0</v>
      </c>
      <c r="R2131" s="186"/>
      <c r="S2131" s="6"/>
      <c r="T2131" s="15"/>
      <c r="U2131" s="14">
        <f t="shared" si="933"/>
        <v>0</v>
      </c>
      <c r="V2131" s="212"/>
    </row>
    <row r="2132" spans="2:22" x14ac:dyDescent="0.15">
      <c r="B2132" s="4" t="s">
        <v>749</v>
      </c>
      <c r="C2132" s="233">
        <v>1</v>
      </c>
      <c r="D2132" s="234"/>
      <c r="E2132" s="234">
        <v>2</v>
      </c>
      <c r="F2132" s="220">
        <f t="shared" si="928"/>
        <v>3</v>
      </c>
      <c r="G2132" s="248">
        <v>45936</v>
      </c>
      <c r="H2132" s="4"/>
      <c r="I2132" s="233"/>
      <c r="J2132" s="234"/>
      <c r="K2132" s="234"/>
      <c r="L2132" s="220">
        <f t="shared" si="934"/>
        <v>0</v>
      </c>
      <c r="M2132" s="248"/>
      <c r="O2132" s="4"/>
      <c r="P2132" s="15"/>
      <c r="Q2132" s="14">
        <f t="shared" si="930"/>
        <v>0</v>
      </c>
      <c r="R2132" s="186"/>
      <c r="S2132" s="4"/>
      <c r="T2132" s="15"/>
      <c r="U2132" s="14">
        <f t="shared" si="933"/>
        <v>0</v>
      </c>
      <c r="V2132" s="212"/>
    </row>
    <row r="2133" spans="2:22" x14ac:dyDescent="0.15">
      <c r="B2133" s="4" t="s">
        <v>749</v>
      </c>
      <c r="C2133" s="233"/>
      <c r="D2133" s="234">
        <f>1+1</f>
        <v>2</v>
      </c>
      <c r="E2133" s="234"/>
      <c r="F2133" s="220">
        <f t="shared" si="928"/>
        <v>2</v>
      </c>
      <c r="G2133" s="248">
        <v>45937</v>
      </c>
      <c r="H2133" s="4"/>
      <c r="I2133" s="233"/>
      <c r="J2133" s="234"/>
      <c r="K2133" s="234"/>
      <c r="L2133" s="220">
        <f t="shared" si="934"/>
        <v>0</v>
      </c>
      <c r="M2133" s="248"/>
      <c r="O2133" s="6"/>
      <c r="P2133" s="15"/>
      <c r="Q2133" s="14">
        <f t="shared" si="930"/>
        <v>0</v>
      </c>
      <c r="R2133" s="186"/>
      <c r="S2133" s="6"/>
      <c r="T2133" s="15"/>
      <c r="U2133" s="14">
        <f t="shared" si="933"/>
        <v>0</v>
      </c>
      <c r="V2133" s="212"/>
    </row>
    <row r="2134" spans="2:22" x14ac:dyDescent="0.15">
      <c r="B2134" s="4" t="s">
        <v>749</v>
      </c>
      <c r="C2134" s="233">
        <v>1</v>
      </c>
      <c r="D2134" s="234"/>
      <c r="E2134" s="234"/>
      <c r="F2134" s="220">
        <f t="shared" si="928"/>
        <v>1</v>
      </c>
      <c r="G2134" s="248">
        <v>45938</v>
      </c>
      <c r="H2134" s="4"/>
      <c r="I2134" s="233"/>
      <c r="J2134" s="234"/>
      <c r="K2134" s="234"/>
      <c r="L2134" s="220">
        <f t="shared" si="934"/>
        <v>0</v>
      </c>
      <c r="M2134" s="248"/>
      <c r="O2134" s="4"/>
      <c r="P2134" s="15"/>
      <c r="Q2134" s="14">
        <f t="shared" si="930"/>
        <v>0</v>
      </c>
      <c r="R2134" s="186"/>
      <c r="S2134" s="4"/>
      <c r="T2134" s="15"/>
      <c r="U2134" s="14">
        <f t="shared" si="933"/>
        <v>0</v>
      </c>
      <c r="V2134" s="212"/>
    </row>
    <row r="2135" spans="2:22" x14ac:dyDescent="0.15">
      <c r="B2135" s="4" t="s">
        <v>749</v>
      </c>
      <c r="C2135" s="233"/>
      <c r="D2135" s="234">
        <v>1</v>
      </c>
      <c r="E2135" s="234"/>
      <c r="F2135" s="220">
        <f t="shared" si="928"/>
        <v>1</v>
      </c>
      <c r="G2135" s="248">
        <v>45940</v>
      </c>
      <c r="H2135" s="4"/>
      <c r="I2135" s="233"/>
      <c r="J2135" s="234"/>
      <c r="K2135" s="234"/>
      <c r="L2135" s="220">
        <f t="shared" si="934"/>
        <v>0</v>
      </c>
      <c r="M2135" s="248"/>
      <c r="O2135" s="4"/>
      <c r="P2135" s="15"/>
      <c r="Q2135" s="14">
        <f t="shared" si="930"/>
        <v>0</v>
      </c>
      <c r="R2135" s="186"/>
      <c r="S2135" s="4"/>
      <c r="T2135" s="15"/>
      <c r="U2135" s="14">
        <f t="shared" si="933"/>
        <v>0</v>
      </c>
      <c r="V2135" s="212"/>
    </row>
    <row r="2136" spans="2:22" x14ac:dyDescent="0.15">
      <c r="B2136" s="4" t="s">
        <v>749</v>
      </c>
      <c r="C2136" s="233">
        <v>6</v>
      </c>
      <c r="D2136" s="234">
        <v>2</v>
      </c>
      <c r="E2136" s="234">
        <v>1</v>
      </c>
      <c r="F2136" s="220">
        <f t="shared" si="928"/>
        <v>9</v>
      </c>
      <c r="G2136" s="248">
        <v>45944</v>
      </c>
      <c r="H2136" s="4"/>
      <c r="I2136" s="233"/>
      <c r="J2136" s="234"/>
      <c r="K2136" s="234"/>
      <c r="L2136" s="220">
        <f t="shared" si="934"/>
        <v>0</v>
      </c>
      <c r="M2136" s="248"/>
      <c r="O2136" s="4"/>
      <c r="P2136" s="15"/>
      <c r="Q2136" s="14">
        <f t="shared" si="930"/>
        <v>0</v>
      </c>
      <c r="R2136" s="186"/>
      <c r="S2136" s="4"/>
      <c r="T2136" s="15"/>
      <c r="U2136" s="14">
        <f t="shared" si="933"/>
        <v>0</v>
      </c>
      <c r="V2136" s="212"/>
    </row>
    <row r="2137" spans="2:22" x14ac:dyDescent="0.15">
      <c r="B2137" s="4" t="s">
        <v>749</v>
      </c>
      <c r="C2137" s="233">
        <v>2</v>
      </c>
      <c r="D2137" s="234"/>
      <c r="E2137" s="234"/>
      <c r="F2137" s="220">
        <f t="shared" si="928"/>
        <v>2</v>
      </c>
      <c r="G2137" s="248">
        <v>45945</v>
      </c>
      <c r="H2137" s="4"/>
      <c r="I2137" s="233"/>
      <c r="J2137" s="234"/>
      <c r="K2137" s="234"/>
      <c r="L2137" s="220">
        <f t="shared" si="934"/>
        <v>0</v>
      </c>
      <c r="M2137" s="248"/>
      <c r="O2137" s="6"/>
      <c r="P2137" s="15"/>
      <c r="Q2137" s="14">
        <f t="shared" si="930"/>
        <v>0</v>
      </c>
      <c r="R2137" s="186"/>
      <c r="S2137" s="4"/>
      <c r="T2137" s="15"/>
      <c r="U2137" s="14">
        <f t="shared" ref="U2137:U2138" si="935">SUM(T2137:T2137)</f>
        <v>0</v>
      </c>
      <c r="V2137" s="212"/>
    </row>
    <row r="2138" spans="2:22" ht="14.25" thickBot="1" x14ac:dyDescent="0.2">
      <c r="B2138" s="4" t="s">
        <v>920</v>
      </c>
      <c r="C2138" s="233">
        <v>1</v>
      </c>
      <c r="D2138" s="234">
        <v>1</v>
      </c>
      <c r="E2138" s="234">
        <v>1</v>
      </c>
      <c r="F2138" s="220">
        <f t="shared" si="928"/>
        <v>3</v>
      </c>
      <c r="G2138" s="211">
        <v>45952</v>
      </c>
      <c r="H2138" s="4"/>
      <c r="I2138" s="233"/>
      <c r="J2138" s="234"/>
      <c r="K2138" s="234"/>
      <c r="L2138" s="220">
        <f t="shared" si="934"/>
        <v>0</v>
      </c>
      <c r="M2138" s="248"/>
      <c r="O2138" s="6"/>
      <c r="P2138" s="15"/>
      <c r="Q2138" s="14">
        <f t="shared" si="930"/>
        <v>0</v>
      </c>
      <c r="R2138" s="186"/>
      <c r="S2138" s="4"/>
      <c r="T2138" s="15"/>
      <c r="U2138" s="14">
        <f t="shared" si="935"/>
        <v>0</v>
      </c>
      <c r="V2138" s="212"/>
    </row>
    <row r="2139" spans="2:22" ht="14.25" thickBot="1" x14ac:dyDescent="0.2">
      <c r="B2139" s="3" t="s">
        <v>5</v>
      </c>
      <c r="C2139" s="16">
        <f>SUM(C2115:C2138)</f>
        <v>44</v>
      </c>
      <c r="D2139" s="16">
        <f>SUM(D2115:D2138)</f>
        <v>19</v>
      </c>
      <c r="E2139" s="16">
        <f>SUM(E2115:E2138)</f>
        <v>46</v>
      </c>
      <c r="F2139" s="223">
        <f>SUM(F2115:F2138)</f>
        <v>109</v>
      </c>
      <c r="H2139" s="3" t="s">
        <v>5</v>
      </c>
      <c r="I2139" s="16">
        <f>SUM(I2115:I2138)</f>
        <v>146</v>
      </c>
      <c r="J2139" s="16">
        <f t="shared" ref="J2139:K2139" si="936">SUM(J2115:J2138)</f>
        <v>0</v>
      </c>
      <c r="K2139" s="16">
        <f t="shared" si="936"/>
        <v>20</v>
      </c>
      <c r="L2139" s="223">
        <f>SUM(L2115:L2138)</f>
        <v>166</v>
      </c>
      <c r="O2139" s="3" t="s">
        <v>5</v>
      </c>
      <c r="P2139" s="16">
        <f>SUM(P2115:P2138)</f>
        <v>0</v>
      </c>
      <c r="Q2139" s="17">
        <f>SUM(Q2115:Q2138)</f>
        <v>0</v>
      </c>
      <c r="S2139" s="3" t="s">
        <v>5</v>
      </c>
      <c r="T2139" s="16">
        <f>SUM(T2115:T2138)</f>
        <v>0</v>
      </c>
      <c r="U2139" s="17">
        <f>SUM(U2115:U2138)</f>
        <v>0</v>
      </c>
      <c r="V2139" s="209"/>
    </row>
    <row r="2140" spans="2:22" ht="14.25" thickBot="1" x14ac:dyDescent="0.2">
      <c r="B2140" s="18" t="s">
        <v>6</v>
      </c>
      <c r="C2140" s="19">
        <f>C2114-C2139</f>
        <v>44</v>
      </c>
      <c r="D2140" s="19">
        <f>D2114-D2139</f>
        <v>82</v>
      </c>
      <c r="E2140" s="19">
        <f t="shared" ref="E2140" si="937">E2114-E2139</f>
        <v>32</v>
      </c>
      <c r="F2140" s="221">
        <f>F2114-F2139</f>
        <v>158</v>
      </c>
      <c r="H2140" s="18" t="s">
        <v>6</v>
      </c>
      <c r="I2140" s="19">
        <f>I2114-I2139</f>
        <v>5710</v>
      </c>
      <c r="J2140" s="19">
        <f t="shared" ref="J2140:K2140" si="938">J2114-J2139</f>
        <v>1664</v>
      </c>
      <c r="K2140" s="19">
        <f t="shared" si="938"/>
        <v>1855</v>
      </c>
      <c r="L2140" s="221">
        <f>L2114-L2139</f>
        <v>9340</v>
      </c>
      <c r="O2140" s="18" t="s">
        <v>6</v>
      </c>
      <c r="P2140" s="19">
        <f>P2114-P2139</f>
        <v>0</v>
      </c>
      <c r="Q2140" s="13">
        <f>Q2114-Q2139</f>
        <v>0</v>
      </c>
      <c r="S2140" s="18" t="s">
        <v>6</v>
      </c>
      <c r="T2140" s="19">
        <f>T2114-T2139</f>
        <v>1493</v>
      </c>
      <c r="U2140" s="13">
        <f>U2114-U2139</f>
        <v>1493</v>
      </c>
      <c r="V2140" s="209"/>
    </row>
    <row r="2143" spans="2:22" ht="18" thickBot="1" x14ac:dyDescent="0.25">
      <c r="B2143" s="27" t="s">
        <v>739</v>
      </c>
      <c r="C2143" s="28"/>
      <c r="D2143" s="28"/>
      <c r="E2143" s="28"/>
      <c r="F2143" s="218"/>
      <c r="H2143" s="27" t="s">
        <v>740</v>
      </c>
      <c r="I2143" s="279"/>
      <c r="J2143" s="279"/>
      <c r="K2143" s="22"/>
      <c r="L2143" s="278"/>
      <c r="O2143" s="181" t="s">
        <v>737</v>
      </c>
      <c r="P2143" s="182"/>
      <c r="Q2143" s="182"/>
      <c r="R2143" s="183"/>
      <c r="S2143" s="181" t="s">
        <v>733</v>
      </c>
      <c r="T2143" s="182"/>
      <c r="U2143" s="182"/>
    </row>
    <row r="2144" spans="2:22" ht="14.25" thickBot="1" x14ac:dyDescent="0.2">
      <c r="B2144" s="2"/>
      <c r="C2144" s="194" t="s">
        <v>734</v>
      </c>
      <c r="D2144" s="195" t="s">
        <v>706</v>
      </c>
      <c r="E2144" s="2" t="s">
        <v>735</v>
      </c>
      <c r="F2144" s="219" t="s">
        <v>1</v>
      </c>
      <c r="H2144" s="2"/>
      <c r="I2144" s="197" t="s">
        <v>734</v>
      </c>
      <c r="J2144" s="195" t="s">
        <v>706</v>
      </c>
      <c r="K2144" s="201" t="s">
        <v>735</v>
      </c>
      <c r="L2144" s="219" t="s">
        <v>1</v>
      </c>
      <c r="O2144" s="2"/>
      <c r="P2144" s="3" t="s">
        <v>722</v>
      </c>
      <c r="Q2144" s="2" t="s">
        <v>1</v>
      </c>
      <c r="S2144" s="2"/>
      <c r="T2144" s="3" t="s">
        <v>722</v>
      </c>
      <c r="U2144" s="2" t="s">
        <v>1</v>
      </c>
    </row>
    <row r="2145" spans="1:21" x14ac:dyDescent="0.15">
      <c r="B2145" s="164" t="s">
        <v>26</v>
      </c>
      <c r="C2145" s="200">
        <f>C2140</f>
        <v>44</v>
      </c>
      <c r="D2145" s="164">
        <f t="shared" ref="D2145:F2145" si="939">D2140</f>
        <v>82</v>
      </c>
      <c r="E2145" s="164">
        <f t="shared" si="939"/>
        <v>32</v>
      </c>
      <c r="F2145" s="222">
        <f t="shared" si="939"/>
        <v>158</v>
      </c>
      <c r="H2145" s="164" t="s">
        <v>26</v>
      </c>
      <c r="I2145" s="200">
        <f>I2140</f>
        <v>5710</v>
      </c>
      <c r="J2145" s="164">
        <f t="shared" ref="J2145:L2145" si="940">J2140</f>
        <v>1664</v>
      </c>
      <c r="K2145" s="200">
        <f t="shared" si="940"/>
        <v>1855</v>
      </c>
      <c r="L2145" s="222">
        <f t="shared" si="940"/>
        <v>9340</v>
      </c>
      <c r="O2145" s="171" t="s">
        <v>26</v>
      </c>
      <c r="P2145" s="200">
        <f>P2140</f>
        <v>0</v>
      </c>
      <c r="Q2145" s="180">
        <f>Q2140</f>
        <v>0</v>
      </c>
      <c r="R2145" s="185"/>
      <c r="S2145" s="43" t="s">
        <v>26</v>
      </c>
      <c r="T2145" s="38">
        <f>T2140</f>
        <v>1493</v>
      </c>
      <c r="U2145" s="39">
        <f>U2140</f>
        <v>1493</v>
      </c>
    </row>
    <row r="2146" spans="1:21" x14ac:dyDescent="0.15">
      <c r="A2146" s="186"/>
      <c r="B2146" s="6" t="s">
        <v>801</v>
      </c>
      <c r="C2146" s="188">
        <v>1</v>
      </c>
      <c r="D2146" s="6">
        <v>1</v>
      </c>
      <c r="E2146" s="202">
        <v>1</v>
      </c>
      <c r="F2146" s="220">
        <f t="shared" ref="F2146:F2147" si="941">SUM(C2146:E2146)</f>
        <v>3</v>
      </c>
      <c r="G2146" s="211">
        <v>45966</v>
      </c>
      <c r="H2146" s="6" t="s">
        <v>3</v>
      </c>
      <c r="I2146" s="188"/>
      <c r="J2146" s="225"/>
      <c r="K2146" s="243"/>
      <c r="L2146" s="220">
        <f t="shared" ref="L2146:L2155" si="942">SUM(I2146:K2146)</f>
        <v>0</v>
      </c>
      <c r="O2146" s="6" t="s">
        <v>3</v>
      </c>
      <c r="P2146" s="7"/>
      <c r="Q2146" s="5">
        <f t="shared" ref="Q2146:Q2155" si="943">SUM(P2146:P2146)</f>
        <v>0</v>
      </c>
      <c r="R2146" s="186"/>
      <c r="S2146" s="6" t="s">
        <v>3</v>
      </c>
      <c r="T2146" s="7"/>
      <c r="U2146" s="5">
        <f t="shared" ref="U2146:U2155" si="944">SUM(T2146:T2146)</f>
        <v>0</v>
      </c>
    </row>
    <row r="2147" spans="1:21" x14ac:dyDescent="0.15">
      <c r="A2147" s="186"/>
      <c r="B2147" s="6" t="s">
        <v>3</v>
      </c>
      <c r="C2147" s="188">
        <v>100</v>
      </c>
      <c r="D2147" s="6"/>
      <c r="E2147" s="202"/>
      <c r="F2147" s="220">
        <f t="shared" si="941"/>
        <v>100</v>
      </c>
      <c r="G2147" s="211">
        <v>46097</v>
      </c>
      <c r="H2147" s="6" t="s">
        <v>3</v>
      </c>
      <c r="I2147" s="188"/>
      <c r="J2147" s="225"/>
      <c r="K2147" s="243"/>
      <c r="L2147" s="220">
        <f t="shared" si="942"/>
        <v>0</v>
      </c>
      <c r="O2147" s="6" t="s">
        <v>3</v>
      </c>
      <c r="P2147" s="7"/>
      <c r="Q2147" s="5">
        <f t="shared" si="943"/>
        <v>0</v>
      </c>
      <c r="R2147" s="186"/>
      <c r="S2147" s="6" t="s">
        <v>3</v>
      </c>
      <c r="T2147" s="7"/>
      <c r="U2147" s="5">
        <f t="shared" si="944"/>
        <v>0</v>
      </c>
    </row>
    <row r="2148" spans="1:21" x14ac:dyDescent="0.15">
      <c r="A2148" s="186"/>
      <c r="B2148" s="6" t="s">
        <v>3</v>
      </c>
      <c r="C2148" s="188"/>
      <c r="D2148" s="6"/>
      <c r="E2148" s="202"/>
      <c r="F2148" s="220">
        <f t="shared" ref="F2148:F2155" si="945">SUM(C2148:E2148)</f>
        <v>0</v>
      </c>
      <c r="G2148" s="212"/>
      <c r="H2148" s="6" t="s">
        <v>3</v>
      </c>
      <c r="I2148" s="188"/>
      <c r="J2148" s="225"/>
      <c r="K2148" s="243"/>
      <c r="L2148" s="220">
        <f t="shared" si="942"/>
        <v>0</v>
      </c>
      <c r="O2148" s="6" t="s">
        <v>3</v>
      </c>
      <c r="P2148" s="7"/>
      <c r="Q2148" s="5">
        <f t="shared" si="943"/>
        <v>0</v>
      </c>
      <c r="R2148" s="186"/>
      <c r="S2148" s="6" t="s">
        <v>3</v>
      </c>
      <c r="T2148" s="7"/>
      <c r="U2148" s="5">
        <f t="shared" si="944"/>
        <v>0</v>
      </c>
    </row>
    <row r="2149" spans="1:21" x14ac:dyDescent="0.15">
      <c r="A2149" s="186"/>
      <c r="B2149" s="6" t="s">
        <v>3</v>
      </c>
      <c r="C2149" s="188"/>
      <c r="D2149" s="6"/>
      <c r="E2149" s="202"/>
      <c r="F2149" s="220">
        <f t="shared" si="945"/>
        <v>0</v>
      </c>
      <c r="G2149" s="212"/>
      <c r="H2149" s="6" t="s">
        <v>3</v>
      </c>
      <c r="I2149" s="188"/>
      <c r="J2149" s="225"/>
      <c r="K2149" s="243"/>
      <c r="L2149" s="220">
        <f t="shared" si="942"/>
        <v>0</v>
      </c>
      <c r="O2149" s="6" t="s">
        <v>3</v>
      </c>
      <c r="P2149" s="7"/>
      <c r="Q2149" s="5">
        <f t="shared" si="943"/>
        <v>0</v>
      </c>
      <c r="R2149" s="186"/>
      <c r="S2149" s="6" t="s">
        <v>3</v>
      </c>
      <c r="T2149" s="7"/>
      <c r="U2149" s="5">
        <f t="shared" si="944"/>
        <v>0</v>
      </c>
    </row>
    <row r="2150" spans="1:21" x14ac:dyDescent="0.15">
      <c r="A2150" s="186"/>
      <c r="B2150" s="6" t="s">
        <v>3</v>
      </c>
      <c r="C2150" s="188"/>
      <c r="D2150" s="6"/>
      <c r="E2150" s="202"/>
      <c r="F2150" s="220">
        <f t="shared" si="945"/>
        <v>0</v>
      </c>
      <c r="G2150" s="212"/>
      <c r="H2150" s="6" t="s">
        <v>3</v>
      </c>
      <c r="I2150" s="188"/>
      <c r="J2150" s="225"/>
      <c r="K2150" s="243"/>
      <c r="L2150" s="220">
        <f t="shared" si="942"/>
        <v>0</v>
      </c>
      <c r="O2150" s="6" t="s">
        <v>3</v>
      </c>
      <c r="P2150" s="7"/>
      <c r="Q2150" s="5">
        <f t="shared" si="943"/>
        <v>0</v>
      </c>
      <c r="R2150" s="186"/>
      <c r="S2150" s="6" t="s">
        <v>3</v>
      </c>
      <c r="T2150" s="7"/>
      <c r="U2150" s="5">
        <f t="shared" si="944"/>
        <v>0</v>
      </c>
    </row>
    <row r="2151" spans="1:21" x14ac:dyDescent="0.15">
      <c r="B2151" s="6" t="s">
        <v>3</v>
      </c>
      <c r="C2151" s="188"/>
      <c r="D2151" s="6"/>
      <c r="E2151" s="202"/>
      <c r="F2151" s="220">
        <f t="shared" si="945"/>
        <v>0</v>
      </c>
      <c r="G2151" s="212"/>
      <c r="H2151" s="6" t="s">
        <v>3</v>
      </c>
      <c r="I2151" s="188"/>
      <c r="J2151" s="6"/>
      <c r="K2151" s="202"/>
      <c r="L2151" s="220">
        <f t="shared" si="942"/>
        <v>0</v>
      </c>
      <c r="O2151" s="6" t="s">
        <v>3</v>
      </c>
      <c r="P2151" s="7"/>
      <c r="Q2151" s="5">
        <f t="shared" si="943"/>
        <v>0</v>
      </c>
      <c r="R2151" s="186"/>
      <c r="S2151" s="6" t="s">
        <v>3</v>
      </c>
      <c r="T2151" s="7"/>
      <c r="U2151" s="5">
        <f t="shared" si="944"/>
        <v>0</v>
      </c>
    </row>
    <row r="2152" spans="1:21" x14ac:dyDescent="0.15">
      <c r="B2152" s="6" t="s">
        <v>3</v>
      </c>
      <c r="C2152" s="188"/>
      <c r="D2152" s="225"/>
      <c r="E2152" s="243"/>
      <c r="F2152" s="220">
        <f t="shared" si="945"/>
        <v>0</v>
      </c>
      <c r="H2152" s="6" t="s">
        <v>3</v>
      </c>
      <c r="I2152" s="188"/>
      <c r="J2152" s="225"/>
      <c r="K2152" s="243"/>
      <c r="L2152" s="220">
        <f t="shared" si="942"/>
        <v>0</v>
      </c>
      <c r="O2152" s="6" t="s">
        <v>3</v>
      </c>
      <c r="P2152" s="8"/>
      <c r="Q2152" s="5">
        <f t="shared" si="943"/>
        <v>0</v>
      </c>
      <c r="R2152" s="186"/>
      <c r="S2152" s="6" t="s">
        <v>3</v>
      </c>
      <c r="T2152" s="8"/>
      <c r="U2152" s="5">
        <f t="shared" si="944"/>
        <v>0</v>
      </c>
    </row>
    <row r="2153" spans="1:21" x14ac:dyDescent="0.15">
      <c r="B2153" s="6" t="s">
        <v>3</v>
      </c>
      <c r="C2153" s="188"/>
      <c r="D2153" s="225"/>
      <c r="E2153" s="243"/>
      <c r="F2153" s="220">
        <f t="shared" si="945"/>
        <v>0</v>
      </c>
      <c r="H2153" s="6" t="s">
        <v>3</v>
      </c>
      <c r="I2153" s="188"/>
      <c r="J2153" s="225"/>
      <c r="K2153" s="243"/>
      <c r="L2153" s="220">
        <f t="shared" si="942"/>
        <v>0</v>
      </c>
      <c r="O2153" s="6" t="s">
        <v>3</v>
      </c>
      <c r="P2153" s="8"/>
      <c r="Q2153" s="5">
        <f t="shared" si="943"/>
        <v>0</v>
      </c>
      <c r="R2153" s="186"/>
      <c r="S2153" s="6" t="s">
        <v>3</v>
      </c>
      <c r="T2153" s="8"/>
      <c r="U2153" s="5">
        <f t="shared" si="944"/>
        <v>0</v>
      </c>
    </row>
    <row r="2154" spans="1:21" x14ac:dyDescent="0.15">
      <c r="B2154" s="6" t="s">
        <v>3</v>
      </c>
      <c r="C2154" s="188"/>
      <c r="D2154" s="225"/>
      <c r="E2154" s="243"/>
      <c r="F2154" s="220">
        <f t="shared" si="945"/>
        <v>0</v>
      </c>
      <c r="H2154" s="6" t="s">
        <v>3</v>
      </c>
      <c r="I2154" s="188"/>
      <c r="J2154" s="225"/>
      <c r="K2154" s="243"/>
      <c r="L2154" s="220">
        <f t="shared" si="942"/>
        <v>0</v>
      </c>
      <c r="O2154" s="6" t="s">
        <v>3</v>
      </c>
      <c r="P2154" s="8"/>
      <c r="Q2154" s="5">
        <f t="shared" si="943"/>
        <v>0</v>
      </c>
      <c r="R2154" s="186"/>
      <c r="S2154" s="6" t="s">
        <v>3</v>
      </c>
      <c r="T2154" s="8"/>
      <c r="U2154" s="5">
        <f t="shared" si="944"/>
        <v>0</v>
      </c>
    </row>
    <row r="2155" spans="1:21" ht="14.25" thickBot="1" x14ac:dyDescent="0.2">
      <c r="B2155" s="9" t="s">
        <v>3</v>
      </c>
      <c r="C2155" s="198"/>
      <c r="D2155" s="244"/>
      <c r="E2155" s="245"/>
      <c r="F2155" s="220">
        <f t="shared" si="945"/>
        <v>0</v>
      </c>
      <c r="H2155" s="9" t="s">
        <v>3</v>
      </c>
      <c r="I2155" s="198"/>
      <c r="J2155" s="244"/>
      <c r="K2155" s="245"/>
      <c r="L2155" s="220">
        <f t="shared" si="942"/>
        <v>0</v>
      </c>
      <c r="O2155" s="9" t="s">
        <v>3</v>
      </c>
      <c r="P2155" s="10"/>
      <c r="Q2155" s="5">
        <f t="shared" si="943"/>
        <v>0</v>
      </c>
      <c r="R2155" s="186"/>
      <c r="S2155" s="9" t="s">
        <v>3</v>
      </c>
      <c r="T2155" s="10"/>
      <c r="U2155" s="5">
        <f t="shared" si="944"/>
        <v>0</v>
      </c>
    </row>
    <row r="2156" spans="1:21" ht="14.25" thickBot="1" x14ac:dyDescent="0.2">
      <c r="B2156" s="11" t="s">
        <v>4</v>
      </c>
      <c r="C2156" s="193">
        <f>SUM(C2145:C2155)</f>
        <v>145</v>
      </c>
      <c r="D2156" s="193">
        <f>SUM(D2145:D2155)</f>
        <v>83</v>
      </c>
      <c r="E2156" s="193">
        <f>SUM(E2145:E2155)</f>
        <v>33</v>
      </c>
      <c r="F2156" s="221">
        <f>SUM(F2145:F2155)</f>
        <v>261</v>
      </c>
      <c r="H2156" s="11" t="s">
        <v>4</v>
      </c>
      <c r="I2156" s="193">
        <f>SUM(I2145:I2155)</f>
        <v>5710</v>
      </c>
      <c r="J2156" s="193">
        <f t="shared" ref="J2156:K2156" si="946">SUM(J2145:J2155)</f>
        <v>1664</v>
      </c>
      <c r="K2156" s="193">
        <f t="shared" si="946"/>
        <v>1855</v>
      </c>
      <c r="L2156" s="221">
        <f>SUM(L2145:L2155)</f>
        <v>9340</v>
      </c>
      <c r="O2156" s="11" t="s">
        <v>4</v>
      </c>
      <c r="P2156" s="12">
        <f>SUM(P2145:P2155)</f>
        <v>0</v>
      </c>
      <c r="Q2156" s="13">
        <f>SUM(Q2145:Q2155)</f>
        <v>0</v>
      </c>
      <c r="S2156" s="11" t="s">
        <v>4</v>
      </c>
      <c r="T2156" s="12">
        <f>SUM(T2145:T2155)</f>
        <v>1493</v>
      </c>
      <c r="U2156" s="13">
        <f>SUM(U2145:U2155)</f>
        <v>1493</v>
      </c>
    </row>
    <row r="2157" spans="1:21" x14ac:dyDescent="0.15">
      <c r="B2157" s="4" t="s">
        <v>749</v>
      </c>
      <c r="C2157" s="233">
        <v>2</v>
      </c>
      <c r="D2157" s="234">
        <v>1</v>
      </c>
      <c r="E2157" s="234">
        <v>1</v>
      </c>
      <c r="F2157" s="220">
        <f t="shared" ref="F2157:F2176" si="947">SUM(C2157:E2157)</f>
        <v>4</v>
      </c>
      <c r="G2157" s="248">
        <v>45950</v>
      </c>
      <c r="H2157" s="4"/>
      <c r="I2157" s="233"/>
      <c r="J2157" s="234"/>
      <c r="K2157" s="234"/>
      <c r="L2157" s="220">
        <f t="shared" ref="L2157" si="948">SUM(I2157:K2157)</f>
        <v>0</v>
      </c>
      <c r="O2157" s="4"/>
      <c r="P2157" s="44"/>
      <c r="Q2157" s="14">
        <f t="shared" ref="Q2157:Q2180" si="949">SUM(P2157:P2157)</f>
        <v>0</v>
      </c>
      <c r="R2157" s="185"/>
      <c r="S2157" s="4"/>
      <c r="T2157" s="15"/>
      <c r="U2157" s="14">
        <f t="shared" ref="U2157:U2180" si="950">SUM(T2157:T2157)</f>
        <v>0</v>
      </c>
    </row>
    <row r="2158" spans="1:21" x14ac:dyDescent="0.15">
      <c r="B2158" s="4" t="s">
        <v>749</v>
      </c>
      <c r="C2158" s="233">
        <v>1</v>
      </c>
      <c r="D2158" s="234"/>
      <c r="E2158" s="234"/>
      <c r="F2158" s="220">
        <f t="shared" si="947"/>
        <v>1</v>
      </c>
      <c r="G2158" s="248">
        <v>45957</v>
      </c>
      <c r="H2158" s="4"/>
      <c r="I2158" s="233"/>
      <c r="J2158" s="234"/>
      <c r="K2158" s="234"/>
      <c r="L2158" s="220">
        <f t="shared" ref="L2158:L2179" si="951">SUM(I2158:K2158)</f>
        <v>0</v>
      </c>
      <c r="O2158" s="4"/>
      <c r="P2158" s="15"/>
      <c r="Q2158" s="14">
        <f t="shared" si="949"/>
        <v>0</v>
      </c>
      <c r="R2158" s="186"/>
      <c r="S2158" s="4"/>
      <c r="T2158" s="15"/>
      <c r="U2158" s="14">
        <f t="shared" si="950"/>
        <v>0</v>
      </c>
    </row>
    <row r="2159" spans="1:21" x14ac:dyDescent="0.15">
      <c r="B2159" s="4" t="s">
        <v>1362</v>
      </c>
      <c r="C2159" s="233">
        <v>1</v>
      </c>
      <c r="D2159" s="234">
        <v>1</v>
      </c>
      <c r="E2159" s="234">
        <v>1</v>
      </c>
      <c r="F2159" s="220">
        <f t="shared" si="947"/>
        <v>3</v>
      </c>
      <c r="G2159" s="248">
        <v>45965</v>
      </c>
      <c r="H2159" s="4"/>
      <c r="I2159" s="233"/>
      <c r="J2159" s="234"/>
      <c r="K2159" s="234"/>
      <c r="L2159" s="220">
        <f t="shared" si="951"/>
        <v>0</v>
      </c>
      <c r="O2159" s="4"/>
      <c r="P2159" s="15"/>
      <c r="Q2159" s="14">
        <f t="shared" si="949"/>
        <v>0</v>
      </c>
      <c r="R2159" s="186"/>
      <c r="S2159" s="4"/>
      <c r="T2159" s="15"/>
      <c r="U2159" s="14">
        <f t="shared" si="950"/>
        <v>0</v>
      </c>
    </row>
    <row r="2160" spans="1:21" x14ac:dyDescent="0.15">
      <c r="B2160" s="4" t="s">
        <v>749</v>
      </c>
      <c r="C2160" s="233">
        <v>2</v>
      </c>
      <c r="D2160" s="234"/>
      <c r="E2160" s="234"/>
      <c r="F2160" s="220">
        <f t="shared" si="947"/>
        <v>2</v>
      </c>
      <c r="G2160" s="248">
        <v>45966</v>
      </c>
      <c r="H2160" s="4"/>
      <c r="I2160" s="233"/>
      <c r="J2160" s="234"/>
      <c r="K2160" s="234"/>
      <c r="L2160" s="220">
        <f t="shared" si="951"/>
        <v>0</v>
      </c>
      <c r="O2160" s="4"/>
      <c r="P2160" s="15"/>
      <c r="Q2160" s="14">
        <f t="shared" si="949"/>
        <v>0</v>
      </c>
      <c r="R2160" s="186"/>
      <c r="S2160" s="4"/>
      <c r="T2160" s="15"/>
      <c r="U2160" s="14">
        <f t="shared" si="950"/>
        <v>0</v>
      </c>
    </row>
    <row r="2161" spans="2:21" x14ac:dyDescent="0.15">
      <c r="B2161" s="4" t="s">
        <v>749</v>
      </c>
      <c r="C2161" s="233">
        <v>1</v>
      </c>
      <c r="D2161" s="234"/>
      <c r="E2161" s="234"/>
      <c r="F2161" s="220">
        <f t="shared" si="947"/>
        <v>1</v>
      </c>
      <c r="G2161" s="248">
        <v>45986</v>
      </c>
      <c r="H2161" s="4"/>
      <c r="I2161" s="233"/>
      <c r="J2161" s="234"/>
      <c r="K2161" s="234"/>
      <c r="L2161" s="220">
        <f t="shared" si="951"/>
        <v>0</v>
      </c>
      <c r="O2161" s="4"/>
      <c r="P2161" s="15"/>
      <c r="Q2161" s="14">
        <f t="shared" si="949"/>
        <v>0</v>
      </c>
      <c r="R2161" s="186"/>
      <c r="S2161" s="4"/>
      <c r="T2161" s="15"/>
      <c r="U2161" s="14">
        <f t="shared" si="950"/>
        <v>0</v>
      </c>
    </row>
    <row r="2162" spans="2:21" x14ac:dyDescent="0.15">
      <c r="B2162" s="4" t="s">
        <v>749</v>
      </c>
      <c r="C2162" s="233">
        <v>1</v>
      </c>
      <c r="D2162" s="234"/>
      <c r="E2162" s="234"/>
      <c r="F2162" s="220">
        <f t="shared" si="947"/>
        <v>1</v>
      </c>
      <c r="G2162" s="248">
        <v>45992</v>
      </c>
      <c r="H2162" s="4"/>
      <c r="I2162" s="233"/>
      <c r="J2162" s="234"/>
      <c r="K2162" s="234"/>
      <c r="L2162" s="220">
        <f t="shared" si="951"/>
        <v>0</v>
      </c>
      <c r="O2162" s="4"/>
      <c r="P2162" s="15"/>
      <c r="Q2162" s="14">
        <f t="shared" si="949"/>
        <v>0</v>
      </c>
      <c r="R2162" s="186"/>
      <c r="S2162" s="4"/>
      <c r="T2162" s="15"/>
      <c r="U2162" s="14">
        <f t="shared" si="950"/>
        <v>0</v>
      </c>
    </row>
    <row r="2163" spans="2:21" x14ac:dyDescent="0.15">
      <c r="B2163" s="4" t="s">
        <v>749</v>
      </c>
      <c r="C2163" s="233">
        <v>2</v>
      </c>
      <c r="D2163" s="234">
        <v>3</v>
      </c>
      <c r="E2163" s="234"/>
      <c r="F2163" s="220">
        <f t="shared" si="947"/>
        <v>5</v>
      </c>
      <c r="G2163" s="248">
        <v>45999</v>
      </c>
      <c r="H2163" s="4"/>
      <c r="I2163" s="233"/>
      <c r="J2163" s="234"/>
      <c r="K2163" s="234"/>
      <c r="L2163" s="220">
        <f t="shared" si="951"/>
        <v>0</v>
      </c>
      <c r="O2163" s="4"/>
      <c r="P2163" s="15"/>
      <c r="Q2163" s="14">
        <f t="shared" si="949"/>
        <v>0</v>
      </c>
      <c r="R2163" s="186"/>
      <c r="S2163" s="4"/>
      <c r="T2163" s="15"/>
      <c r="U2163" s="14">
        <f t="shared" si="950"/>
        <v>0</v>
      </c>
    </row>
    <row r="2164" spans="2:21" x14ac:dyDescent="0.15">
      <c r="B2164" s="4" t="s">
        <v>749</v>
      </c>
      <c r="C2164" s="233">
        <v>1</v>
      </c>
      <c r="D2164" s="234"/>
      <c r="E2164" s="234"/>
      <c r="F2164" s="220">
        <f t="shared" si="947"/>
        <v>1</v>
      </c>
      <c r="G2164" s="248">
        <v>46006</v>
      </c>
      <c r="H2164" s="4"/>
      <c r="I2164" s="233"/>
      <c r="J2164" s="234"/>
      <c r="K2164" s="234"/>
      <c r="L2164" s="220">
        <f t="shared" si="951"/>
        <v>0</v>
      </c>
      <c r="O2164" s="4"/>
      <c r="P2164" s="15"/>
      <c r="Q2164" s="14">
        <f t="shared" si="949"/>
        <v>0</v>
      </c>
      <c r="R2164" s="186"/>
      <c r="S2164" s="4"/>
      <c r="T2164" s="15"/>
      <c r="U2164" s="14">
        <f t="shared" si="950"/>
        <v>0</v>
      </c>
    </row>
    <row r="2165" spans="2:21" x14ac:dyDescent="0.15">
      <c r="B2165" s="4" t="s">
        <v>749</v>
      </c>
      <c r="C2165" s="233">
        <v>1</v>
      </c>
      <c r="D2165" s="234"/>
      <c r="E2165" s="234"/>
      <c r="F2165" s="220">
        <f t="shared" si="947"/>
        <v>1</v>
      </c>
      <c r="G2165" s="248">
        <v>46011</v>
      </c>
      <c r="H2165" s="4"/>
      <c r="I2165" s="233"/>
      <c r="J2165" s="234"/>
      <c r="K2165" s="234"/>
      <c r="L2165" s="220">
        <f t="shared" si="951"/>
        <v>0</v>
      </c>
      <c r="O2165" s="4"/>
      <c r="P2165" s="15"/>
      <c r="Q2165" s="14">
        <f t="shared" si="949"/>
        <v>0</v>
      </c>
      <c r="R2165" s="186"/>
      <c r="S2165" s="4"/>
      <c r="T2165" s="15"/>
      <c r="U2165" s="14">
        <f t="shared" si="950"/>
        <v>0</v>
      </c>
    </row>
    <row r="2166" spans="2:21" x14ac:dyDescent="0.15">
      <c r="B2166" s="4" t="s">
        <v>749</v>
      </c>
      <c r="C2166" s="233">
        <v>2</v>
      </c>
      <c r="D2166" s="234"/>
      <c r="E2166" s="234"/>
      <c r="F2166" s="220">
        <f t="shared" si="947"/>
        <v>2</v>
      </c>
      <c r="G2166" s="248">
        <v>46016</v>
      </c>
      <c r="H2166" s="4"/>
      <c r="I2166" s="233"/>
      <c r="J2166" s="234"/>
      <c r="K2166" s="234"/>
      <c r="L2166" s="220">
        <f t="shared" si="951"/>
        <v>0</v>
      </c>
      <c r="O2166" s="4"/>
      <c r="P2166" s="15"/>
      <c r="Q2166" s="14">
        <f t="shared" si="949"/>
        <v>0</v>
      </c>
      <c r="R2166" s="186"/>
      <c r="S2166" s="4"/>
      <c r="T2166" s="15"/>
      <c r="U2166" s="14">
        <f t="shared" si="950"/>
        <v>0</v>
      </c>
    </row>
    <row r="2167" spans="2:21" x14ac:dyDescent="0.15">
      <c r="B2167" s="4" t="s">
        <v>749</v>
      </c>
      <c r="C2167" s="233">
        <v>1</v>
      </c>
      <c r="D2167" s="234">
        <v>1</v>
      </c>
      <c r="E2167" s="234"/>
      <c r="F2167" s="220">
        <f t="shared" si="947"/>
        <v>2</v>
      </c>
      <c r="G2167" s="248">
        <v>46027</v>
      </c>
      <c r="H2167" s="4"/>
      <c r="I2167" s="233"/>
      <c r="J2167" s="234"/>
      <c r="K2167" s="234"/>
      <c r="L2167" s="220">
        <f t="shared" si="951"/>
        <v>0</v>
      </c>
      <c r="O2167" s="4"/>
      <c r="P2167" s="15"/>
      <c r="Q2167" s="14">
        <f t="shared" si="949"/>
        <v>0</v>
      </c>
      <c r="R2167" s="186"/>
      <c r="S2167" s="4"/>
      <c r="T2167" s="15"/>
      <c r="U2167" s="14">
        <f t="shared" si="950"/>
        <v>0</v>
      </c>
    </row>
    <row r="2168" spans="2:21" x14ac:dyDescent="0.15">
      <c r="B2168" s="4" t="s">
        <v>749</v>
      </c>
      <c r="C2168" s="233"/>
      <c r="D2168" s="234">
        <v>1</v>
      </c>
      <c r="E2168" s="234"/>
      <c r="F2168" s="220">
        <f t="shared" si="947"/>
        <v>1</v>
      </c>
      <c r="G2168" s="248">
        <v>46028</v>
      </c>
      <c r="H2168" s="4"/>
      <c r="I2168" s="233"/>
      <c r="J2168" s="234"/>
      <c r="K2168" s="234"/>
      <c r="L2168" s="220">
        <f t="shared" si="951"/>
        <v>0</v>
      </c>
      <c r="O2168" s="6"/>
      <c r="P2168" s="15"/>
      <c r="Q2168" s="14">
        <f t="shared" si="949"/>
        <v>0</v>
      </c>
      <c r="R2168" s="186"/>
      <c r="S2168" s="6"/>
      <c r="T2168" s="15"/>
      <c r="U2168" s="14">
        <f t="shared" si="950"/>
        <v>0</v>
      </c>
    </row>
    <row r="2169" spans="2:21" x14ac:dyDescent="0.15">
      <c r="B2169" s="4" t="s">
        <v>749</v>
      </c>
      <c r="C2169" s="233">
        <v>1</v>
      </c>
      <c r="D2169" s="234"/>
      <c r="E2169" s="234"/>
      <c r="F2169" s="220">
        <f t="shared" si="947"/>
        <v>1</v>
      </c>
      <c r="G2169" s="248">
        <v>46041</v>
      </c>
      <c r="H2169" s="4"/>
      <c r="I2169" s="233"/>
      <c r="J2169" s="234"/>
      <c r="K2169" s="234"/>
      <c r="L2169" s="220">
        <f t="shared" si="951"/>
        <v>0</v>
      </c>
      <c r="O2169" s="6"/>
      <c r="P2169" s="15"/>
      <c r="Q2169" s="14">
        <f t="shared" si="949"/>
        <v>0</v>
      </c>
      <c r="R2169" s="186"/>
      <c r="S2169" s="6"/>
      <c r="T2169" s="15"/>
      <c r="U2169" s="14">
        <f t="shared" si="950"/>
        <v>0</v>
      </c>
    </row>
    <row r="2170" spans="2:21" x14ac:dyDescent="0.15">
      <c r="B2170" s="4" t="s">
        <v>749</v>
      </c>
      <c r="C2170" s="233"/>
      <c r="D2170" s="234"/>
      <c r="E2170" s="234">
        <v>1</v>
      </c>
      <c r="F2170" s="220">
        <f t="shared" si="947"/>
        <v>1</v>
      </c>
      <c r="G2170" s="248">
        <v>46059</v>
      </c>
      <c r="H2170" s="4"/>
      <c r="I2170" s="233"/>
      <c r="J2170" s="234"/>
      <c r="K2170" s="234"/>
      <c r="L2170" s="220">
        <f t="shared" si="951"/>
        <v>0</v>
      </c>
      <c r="O2170" s="4"/>
      <c r="P2170" s="15"/>
      <c r="Q2170" s="14">
        <f t="shared" si="949"/>
        <v>0</v>
      </c>
      <c r="R2170" s="186"/>
      <c r="S2170" s="4"/>
      <c r="T2170" s="15"/>
      <c r="U2170" s="14">
        <f t="shared" si="950"/>
        <v>0</v>
      </c>
    </row>
    <row r="2171" spans="2:21" x14ac:dyDescent="0.15">
      <c r="B2171" s="4" t="s">
        <v>1363</v>
      </c>
      <c r="C2171" s="233">
        <v>1</v>
      </c>
      <c r="D2171" s="234">
        <v>1</v>
      </c>
      <c r="E2171" s="234">
        <v>1</v>
      </c>
      <c r="F2171" s="220">
        <f t="shared" si="947"/>
        <v>3</v>
      </c>
      <c r="G2171" s="248">
        <v>46059</v>
      </c>
      <c r="H2171" s="4"/>
      <c r="I2171" s="233"/>
      <c r="J2171" s="234"/>
      <c r="K2171" s="234"/>
      <c r="L2171" s="220">
        <f t="shared" si="951"/>
        <v>0</v>
      </c>
      <c r="O2171" s="4"/>
      <c r="P2171" s="15"/>
      <c r="Q2171" s="14">
        <f t="shared" si="949"/>
        <v>0</v>
      </c>
      <c r="R2171" s="186"/>
      <c r="S2171" s="4"/>
      <c r="T2171" s="15"/>
      <c r="U2171" s="14">
        <f t="shared" si="950"/>
        <v>0</v>
      </c>
    </row>
    <row r="2172" spans="2:21" x14ac:dyDescent="0.15">
      <c r="B2172" s="4" t="s">
        <v>749</v>
      </c>
      <c r="C2172" s="233">
        <v>2</v>
      </c>
      <c r="D2172" s="234"/>
      <c r="E2172" s="234"/>
      <c r="F2172" s="220">
        <f t="shared" si="947"/>
        <v>2</v>
      </c>
      <c r="G2172" s="248">
        <v>46062</v>
      </c>
      <c r="H2172" s="4"/>
      <c r="I2172" s="233"/>
      <c r="J2172" s="234"/>
      <c r="K2172" s="234"/>
      <c r="L2172" s="220">
        <f t="shared" si="951"/>
        <v>0</v>
      </c>
      <c r="O2172" s="4"/>
      <c r="P2172" s="15"/>
      <c r="Q2172" s="14">
        <f t="shared" si="949"/>
        <v>0</v>
      </c>
      <c r="R2172" s="186"/>
      <c r="S2172" s="4"/>
      <c r="T2172" s="15"/>
      <c r="U2172" s="14">
        <f t="shared" si="950"/>
        <v>0</v>
      </c>
    </row>
    <row r="2173" spans="2:21" x14ac:dyDescent="0.15">
      <c r="B2173" s="4" t="s">
        <v>749</v>
      </c>
      <c r="C2173" s="233">
        <v>1</v>
      </c>
      <c r="D2173" s="234"/>
      <c r="E2173" s="234"/>
      <c r="F2173" s="220">
        <f t="shared" si="947"/>
        <v>1</v>
      </c>
      <c r="G2173" s="248">
        <v>46077</v>
      </c>
      <c r="H2173" s="4"/>
      <c r="I2173" s="233"/>
      <c r="J2173" s="234"/>
      <c r="K2173" s="234"/>
      <c r="L2173" s="220">
        <f t="shared" si="951"/>
        <v>0</v>
      </c>
      <c r="O2173" s="6"/>
      <c r="P2173" s="15"/>
      <c r="Q2173" s="14">
        <f t="shared" si="949"/>
        <v>0</v>
      </c>
      <c r="R2173" s="186"/>
      <c r="S2173" s="6"/>
      <c r="T2173" s="15"/>
      <c r="U2173" s="14">
        <f t="shared" si="950"/>
        <v>0</v>
      </c>
    </row>
    <row r="2174" spans="2:21" x14ac:dyDescent="0.15">
      <c r="B2174" s="4" t="s">
        <v>749</v>
      </c>
      <c r="C2174" s="233">
        <v>2</v>
      </c>
      <c r="D2174" s="234"/>
      <c r="E2174" s="234"/>
      <c r="F2174" s="220">
        <f t="shared" si="947"/>
        <v>2</v>
      </c>
      <c r="G2174" s="248">
        <v>46079</v>
      </c>
      <c r="H2174" s="4"/>
      <c r="I2174" s="233"/>
      <c r="J2174" s="234"/>
      <c r="K2174" s="234"/>
      <c r="L2174" s="220">
        <f t="shared" si="951"/>
        <v>0</v>
      </c>
      <c r="O2174" s="4"/>
      <c r="P2174" s="15"/>
      <c r="Q2174" s="14">
        <f t="shared" si="949"/>
        <v>0</v>
      </c>
      <c r="R2174" s="186"/>
      <c r="S2174" s="4"/>
      <c r="T2174" s="15"/>
      <c r="U2174" s="14">
        <f t="shared" si="950"/>
        <v>0</v>
      </c>
    </row>
    <row r="2175" spans="2:21" x14ac:dyDescent="0.15">
      <c r="B2175" s="4" t="s">
        <v>749</v>
      </c>
      <c r="C2175" s="233">
        <v>2</v>
      </c>
      <c r="D2175" s="234"/>
      <c r="E2175" s="234"/>
      <c r="F2175" s="220">
        <f t="shared" si="947"/>
        <v>2</v>
      </c>
      <c r="G2175" s="248">
        <v>46083</v>
      </c>
      <c r="H2175" s="4"/>
      <c r="I2175" s="233"/>
      <c r="J2175" s="234"/>
      <c r="K2175" s="234"/>
      <c r="L2175" s="220">
        <f t="shared" si="951"/>
        <v>0</v>
      </c>
      <c r="O2175" s="6"/>
      <c r="P2175" s="15"/>
      <c r="Q2175" s="14">
        <f t="shared" si="949"/>
        <v>0</v>
      </c>
      <c r="R2175" s="186"/>
      <c r="S2175" s="6"/>
      <c r="T2175" s="15"/>
      <c r="U2175" s="14">
        <f t="shared" si="950"/>
        <v>0</v>
      </c>
    </row>
    <row r="2176" spans="2:21" x14ac:dyDescent="0.15">
      <c r="B2176" s="4" t="s">
        <v>749</v>
      </c>
      <c r="C2176" s="233">
        <v>1</v>
      </c>
      <c r="D2176" s="234"/>
      <c r="E2176" s="234"/>
      <c r="F2176" s="220">
        <f t="shared" si="947"/>
        <v>1</v>
      </c>
      <c r="G2176" s="248">
        <v>46086</v>
      </c>
      <c r="H2176" s="4"/>
      <c r="I2176" s="233"/>
      <c r="J2176" s="234"/>
      <c r="K2176" s="234"/>
      <c r="L2176" s="220">
        <f t="shared" si="951"/>
        <v>0</v>
      </c>
      <c r="O2176" s="4"/>
      <c r="P2176" s="15"/>
      <c r="Q2176" s="14">
        <f t="shared" si="949"/>
        <v>0</v>
      </c>
      <c r="R2176" s="186"/>
      <c r="S2176" s="4"/>
      <c r="T2176" s="15"/>
      <c r="U2176" s="14">
        <f t="shared" si="950"/>
        <v>0</v>
      </c>
    </row>
    <row r="2177" spans="1:21" x14ac:dyDescent="0.15">
      <c r="B2177" s="4" t="s">
        <v>749</v>
      </c>
      <c r="C2177" s="233">
        <v>4</v>
      </c>
      <c r="D2177" s="234">
        <v>1</v>
      </c>
      <c r="E2177" s="234"/>
      <c r="F2177" s="220">
        <f t="shared" ref="F2177:F2180" si="952">SUM(C2177:E2177)</f>
        <v>5</v>
      </c>
      <c r="G2177" s="248">
        <v>46090</v>
      </c>
      <c r="H2177" s="4"/>
      <c r="I2177" s="233"/>
      <c r="J2177" s="234"/>
      <c r="K2177" s="234"/>
      <c r="L2177" s="220">
        <f t="shared" si="951"/>
        <v>0</v>
      </c>
      <c r="O2177" s="4"/>
      <c r="P2177" s="15"/>
      <c r="Q2177" s="14">
        <f t="shared" si="949"/>
        <v>0</v>
      </c>
      <c r="R2177" s="186"/>
      <c r="S2177" s="4"/>
      <c r="T2177" s="15"/>
      <c r="U2177" s="14">
        <f t="shared" si="950"/>
        <v>0</v>
      </c>
    </row>
    <row r="2178" spans="1:21" x14ac:dyDescent="0.15">
      <c r="B2178" s="4" t="s">
        <v>749</v>
      </c>
      <c r="C2178" s="233">
        <v>2</v>
      </c>
      <c r="D2178" s="234"/>
      <c r="E2178" s="234"/>
      <c r="F2178" s="220">
        <f t="shared" si="952"/>
        <v>2</v>
      </c>
      <c r="G2178" s="248">
        <v>46094</v>
      </c>
      <c r="H2178" s="4"/>
      <c r="I2178" s="233"/>
      <c r="J2178" s="234"/>
      <c r="K2178" s="234"/>
      <c r="L2178" s="220">
        <f t="shared" si="951"/>
        <v>0</v>
      </c>
      <c r="O2178" s="4"/>
      <c r="P2178" s="15"/>
      <c r="Q2178" s="14">
        <f t="shared" si="949"/>
        <v>0</v>
      </c>
      <c r="R2178" s="186"/>
      <c r="S2178" s="4"/>
      <c r="T2178" s="15"/>
      <c r="U2178" s="14">
        <f t="shared" si="950"/>
        <v>0</v>
      </c>
    </row>
    <row r="2179" spans="1:21" x14ac:dyDescent="0.15">
      <c r="B2179" s="4" t="s">
        <v>749</v>
      </c>
      <c r="C2179" s="233">
        <v>4</v>
      </c>
      <c r="D2179" s="234"/>
      <c r="E2179" s="234"/>
      <c r="F2179" s="220">
        <f t="shared" si="952"/>
        <v>4</v>
      </c>
      <c r="G2179" s="248">
        <v>46097</v>
      </c>
      <c r="H2179" s="4"/>
      <c r="I2179" s="233"/>
      <c r="J2179" s="234"/>
      <c r="K2179" s="234"/>
      <c r="L2179" s="220">
        <f t="shared" si="951"/>
        <v>0</v>
      </c>
      <c r="O2179" s="6"/>
      <c r="P2179" s="15"/>
      <c r="Q2179" s="14">
        <f t="shared" si="949"/>
        <v>0</v>
      </c>
      <c r="R2179" s="186"/>
      <c r="S2179" s="4"/>
      <c r="T2179" s="15"/>
      <c r="U2179" s="14">
        <f t="shared" si="950"/>
        <v>0</v>
      </c>
    </row>
    <row r="2180" spans="1:21" ht="14.25" thickBot="1" x14ac:dyDescent="0.2">
      <c r="B2180" s="4" t="s">
        <v>749</v>
      </c>
      <c r="C2180" s="233">
        <v>2</v>
      </c>
      <c r="D2180" s="234"/>
      <c r="E2180" s="234"/>
      <c r="F2180" s="220">
        <f t="shared" si="952"/>
        <v>2</v>
      </c>
      <c r="G2180" s="248">
        <v>46098</v>
      </c>
      <c r="H2180" s="4"/>
      <c r="I2180" s="233"/>
      <c r="J2180" s="234"/>
      <c r="K2180" s="234"/>
      <c r="L2180" s="220">
        <f t="shared" ref="L2180" si="953">SUM(I2180:K2180)</f>
        <v>0</v>
      </c>
      <c r="O2180" s="6"/>
      <c r="P2180" s="15"/>
      <c r="Q2180" s="14">
        <f t="shared" si="949"/>
        <v>0</v>
      </c>
      <c r="R2180" s="186"/>
      <c r="S2180" s="4"/>
      <c r="T2180" s="15"/>
      <c r="U2180" s="14">
        <f t="shared" si="950"/>
        <v>0</v>
      </c>
    </row>
    <row r="2181" spans="1:21" ht="14.25" thickBot="1" x14ac:dyDescent="0.2">
      <c r="B2181" s="3" t="s">
        <v>5</v>
      </c>
      <c r="C2181" s="16">
        <f>SUM(C2157:C2180)</f>
        <v>37</v>
      </c>
      <c r="D2181" s="16">
        <f>SUM(D2157:D2180)</f>
        <v>9</v>
      </c>
      <c r="E2181" s="16">
        <f>SUM(E2157:E2180)</f>
        <v>4</v>
      </c>
      <c r="F2181" s="223">
        <f>SUM(F2157:F2180)</f>
        <v>50</v>
      </c>
      <c r="H2181" s="3" t="s">
        <v>5</v>
      </c>
      <c r="I2181" s="16">
        <f>SUM(I2157:I2180)</f>
        <v>0</v>
      </c>
      <c r="J2181" s="16">
        <f t="shared" ref="J2181:K2181" si="954">SUM(J2157:J2180)</f>
        <v>0</v>
      </c>
      <c r="K2181" s="16">
        <f t="shared" si="954"/>
        <v>0</v>
      </c>
      <c r="L2181" s="223">
        <f>SUM(L2157:L2180)</f>
        <v>0</v>
      </c>
      <c r="O2181" s="3" t="s">
        <v>5</v>
      </c>
      <c r="P2181" s="16">
        <f>SUM(P2157:P2180)</f>
        <v>0</v>
      </c>
      <c r="Q2181" s="17">
        <f>SUM(Q2157:Q2180)</f>
        <v>0</v>
      </c>
      <c r="S2181" s="3" t="s">
        <v>5</v>
      </c>
      <c r="T2181" s="16">
        <f>SUM(T2157:T2180)</f>
        <v>0</v>
      </c>
      <c r="U2181" s="17">
        <f>SUM(U2157:U2180)</f>
        <v>0</v>
      </c>
    </row>
    <row r="2182" spans="1:21" ht="14.25" thickBot="1" x14ac:dyDescent="0.2">
      <c r="B2182" s="18" t="s">
        <v>6</v>
      </c>
      <c r="C2182" s="19">
        <f>C2156-C2181</f>
        <v>108</v>
      </c>
      <c r="D2182" s="19">
        <f>D2156-D2181</f>
        <v>74</v>
      </c>
      <c r="E2182" s="19">
        <f t="shared" ref="E2182" si="955">E2156-E2181</f>
        <v>29</v>
      </c>
      <c r="F2182" s="221">
        <f>F2156-F2181</f>
        <v>211</v>
      </c>
      <c r="H2182" s="18" t="s">
        <v>6</v>
      </c>
      <c r="I2182" s="19">
        <f>I2156-I2181</f>
        <v>5710</v>
      </c>
      <c r="J2182" s="19">
        <f t="shared" ref="J2182:K2182" si="956">J2156-J2181</f>
        <v>1664</v>
      </c>
      <c r="K2182" s="19">
        <f t="shared" si="956"/>
        <v>1855</v>
      </c>
      <c r="L2182" s="221">
        <f>L2156-L2181</f>
        <v>9340</v>
      </c>
      <c r="O2182" s="18" t="s">
        <v>6</v>
      </c>
      <c r="P2182" s="19">
        <f>P2156-P2181</f>
        <v>0</v>
      </c>
      <c r="Q2182" s="13">
        <f>Q2156-Q2181</f>
        <v>0</v>
      </c>
      <c r="S2182" s="18" t="s">
        <v>6</v>
      </c>
      <c r="T2182" s="19">
        <f>T2156-T2181</f>
        <v>1493</v>
      </c>
      <c r="U2182" s="13">
        <f>U2156-U2181</f>
        <v>1493</v>
      </c>
    </row>
    <row r="2185" spans="1:21" ht="18" thickBot="1" x14ac:dyDescent="0.25">
      <c r="B2185" s="27" t="s">
        <v>739</v>
      </c>
      <c r="C2185" s="28"/>
      <c r="D2185" s="28"/>
      <c r="E2185" s="28"/>
      <c r="F2185" s="218"/>
      <c r="H2185" s="27" t="s">
        <v>740</v>
      </c>
      <c r="I2185" s="279"/>
      <c r="J2185" s="279"/>
      <c r="K2185" s="22"/>
      <c r="L2185" s="278"/>
      <c r="O2185" s="181" t="s">
        <v>737</v>
      </c>
      <c r="P2185" s="182"/>
      <c r="Q2185" s="182"/>
      <c r="R2185" s="183"/>
      <c r="S2185" s="181" t="s">
        <v>733</v>
      </c>
      <c r="T2185" s="182"/>
      <c r="U2185" s="182"/>
    </row>
    <row r="2186" spans="1:21" ht="14.25" thickBot="1" x14ac:dyDescent="0.2">
      <c r="B2186" s="2"/>
      <c r="C2186" s="194" t="s">
        <v>734</v>
      </c>
      <c r="D2186" s="195" t="s">
        <v>706</v>
      </c>
      <c r="E2186" s="2" t="s">
        <v>735</v>
      </c>
      <c r="F2186" s="219" t="s">
        <v>1</v>
      </c>
      <c r="H2186" s="2"/>
      <c r="I2186" s="197" t="s">
        <v>734</v>
      </c>
      <c r="J2186" s="195" t="s">
        <v>706</v>
      </c>
      <c r="K2186" s="201" t="s">
        <v>735</v>
      </c>
      <c r="L2186" s="219" t="s">
        <v>1</v>
      </c>
      <c r="O2186" s="2"/>
      <c r="P2186" s="3" t="s">
        <v>722</v>
      </c>
      <c r="Q2186" s="2" t="s">
        <v>1</v>
      </c>
      <c r="S2186" s="2"/>
      <c r="T2186" s="3" t="s">
        <v>722</v>
      </c>
      <c r="U2186" s="2" t="s">
        <v>1</v>
      </c>
    </row>
    <row r="2187" spans="1:21" x14ac:dyDescent="0.15">
      <c r="B2187" s="164" t="s">
        <v>26</v>
      </c>
      <c r="C2187" s="200">
        <f>C2182</f>
        <v>108</v>
      </c>
      <c r="D2187" s="164">
        <f t="shared" ref="D2187:F2187" si="957">D2182</f>
        <v>74</v>
      </c>
      <c r="E2187" s="164">
        <f t="shared" si="957"/>
        <v>29</v>
      </c>
      <c r="F2187" s="222">
        <f t="shared" si="957"/>
        <v>211</v>
      </c>
      <c r="H2187" s="164" t="s">
        <v>26</v>
      </c>
      <c r="I2187" s="200">
        <f>I2182</f>
        <v>5710</v>
      </c>
      <c r="J2187" s="164">
        <f t="shared" ref="J2187:L2187" si="958">J2182</f>
        <v>1664</v>
      </c>
      <c r="K2187" s="200">
        <f t="shared" si="958"/>
        <v>1855</v>
      </c>
      <c r="L2187" s="222">
        <f t="shared" si="958"/>
        <v>9340</v>
      </c>
      <c r="O2187" s="171" t="s">
        <v>26</v>
      </c>
      <c r="P2187" s="200">
        <f>P2182</f>
        <v>0</v>
      </c>
      <c r="Q2187" s="180">
        <f>Q2182</f>
        <v>0</v>
      </c>
      <c r="R2187" s="185"/>
      <c r="S2187" s="43" t="s">
        <v>26</v>
      </c>
      <c r="T2187" s="38">
        <f>T2182</f>
        <v>1493</v>
      </c>
      <c r="U2187" s="39">
        <f>U2182</f>
        <v>1493</v>
      </c>
    </row>
    <row r="2188" spans="1:21" x14ac:dyDescent="0.15">
      <c r="A2188" s="186"/>
      <c r="B2188" s="290" t="s">
        <v>3</v>
      </c>
      <c r="C2188" s="291"/>
      <c r="D2188" s="290"/>
      <c r="E2188" s="292">
        <v>20</v>
      </c>
      <c r="F2188" s="293">
        <f t="shared" ref="F2188" si="959">SUM(C2188:E2188)</f>
        <v>20</v>
      </c>
      <c r="G2188" s="294">
        <v>46111</v>
      </c>
      <c r="H2188" s="6" t="s">
        <v>3</v>
      </c>
      <c r="I2188" s="188"/>
      <c r="J2188" s="225"/>
      <c r="K2188" s="243"/>
      <c r="L2188" s="220">
        <f t="shared" ref="L2188:L2197" si="960">SUM(I2188:K2188)</f>
        <v>0</v>
      </c>
      <c r="O2188" s="6" t="s">
        <v>3</v>
      </c>
      <c r="P2188" s="7"/>
      <c r="Q2188" s="5">
        <f t="shared" ref="Q2188:Q2197" si="961">SUM(P2188:P2188)</f>
        <v>0</v>
      </c>
      <c r="R2188" s="186"/>
      <c r="S2188" s="6" t="s">
        <v>3</v>
      </c>
      <c r="T2188" s="7"/>
      <c r="U2188" s="5">
        <f t="shared" ref="U2188:U2197" si="962">SUM(T2188:T2188)</f>
        <v>0</v>
      </c>
    </row>
    <row r="2189" spans="1:21" x14ac:dyDescent="0.15">
      <c r="A2189" s="186"/>
      <c r="B2189" s="290" t="s">
        <v>3</v>
      </c>
      <c r="C2189" s="291">
        <v>100</v>
      </c>
      <c r="D2189" s="290"/>
      <c r="E2189" s="292"/>
      <c r="F2189" s="293">
        <f t="shared" ref="F2189:F2197" si="963">SUM(C2189:E2189)</f>
        <v>100</v>
      </c>
      <c r="G2189" s="294">
        <v>46133</v>
      </c>
      <c r="H2189" s="6" t="s">
        <v>3</v>
      </c>
      <c r="I2189" s="188"/>
      <c r="J2189" s="225"/>
      <c r="K2189" s="243"/>
      <c r="L2189" s="220">
        <f t="shared" si="960"/>
        <v>0</v>
      </c>
      <c r="O2189" s="6" t="s">
        <v>3</v>
      </c>
      <c r="P2189" s="7"/>
      <c r="Q2189" s="5">
        <f t="shared" si="961"/>
        <v>0</v>
      </c>
      <c r="R2189" s="186"/>
      <c r="S2189" s="6" t="s">
        <v>3</v>
      </c>
      <c r="T2189" s="7"/>
      <c r="U2189" s="5">
        <f t="shared" si="962"/>
        <v>0</v>
      </c>
    </row>
    <row r="2190" spans="1:21" x14ac:dyDescent="0.15">
      <c r="A2190" s="186"/>
      <c r="B2190" s="6" t="s">
        <v>3</v>
      </c>
      <c r="C2190" s="188"/>
      <c r="D2190" s="6"/>
      <c r="E2190" s="202"/>
      <c r="F2190" s="220">
        <f t="shared" si="963"/>
        <v>0</v>
      </c>
      <c r="G2190" s="212"/>
      <c r="H2190" s="6" t="s">
        <v>3</v>
      </c>
      <c r="I2190" s="188"/>
      <c r="J2190" s="225"/>
      <c r="K2190" s="243"/>
      <c r="L2190" s="220">
        <f t="shared" si="960"/>
        <v>0</v>
      </c>
      <c r="O2190" s="6" t="s">
        <v>3</v>
      </c>
      <c r="P2190" s="7"/>
      <c r="Q2190" s="5">
        <f t="shared" si="961"/>
        <v>0</v>
      </c>
      <c r="R2190" s="186"/>
      <c r="S2190" s="6" t="s">
        <v>3</v>
      </c>
      <c r="T2190" s="7"/>
      <c r="U2190" s="5">
        <f t="shared" si="962"/>
        <v>0</v>
      </c>
    </row>
    <row r="2191" spans="1:21" x14ac:dyDescent="0.15">
      <c r="A2191" s="186"/>
      <c r="B2191" s="6" t="s">
        <v>3</v>
      </c>
      <c r="C2191" s="188"/>
      <c r="D2191" s="6"/>
      <c r="E2191" s="202"/>
      <c r="F2191" s="220">
        <f t="shared" si="963"/>
        <v>0</v>
      </c>
      <c r="G2191" s="212"/>
      <c r="H2191" s="6" t="s">
        <v>3</v>
      </c>
      <c r="I2191" s="188"/>
      <c r="J2191" s="225"/>
      <c r="K2191" s="243"/>
      <c r="L2191" s="220">
        <f t="shared" si="960"/>
        <v>0</v>
      </c>
      <c r="O2191" s="6" t="s">
        <v>3</v>
      </c>
      <c r="P2191" s="7"/>
      <c r="Q2191" s="5">
        <f t="shared" si="961"/>
        <v>0</v>
      </c>
      <c r="R2191" s="186"/>
      <c r="S2191" s="6" t="s">
        <v>3</v>
      </c>
      <c r="T2191" s="7"/>
      <c r="U2191" s="5">
        <f t="shared" si="962"/>
        <v>0</v>
      </c>
    </row>
    <row r="2192" spans="1:21" x14ac:dyDescent="0.15">
      <c r="A2192" s="186"/>
      <c r="B2192" s="6" t="s">
        <v>3</v>
      </c>
      <c r="C2192" s="188"/>
      <c r="D2192" s="6"/>
      <c r="E2192" s="202"/>
      <c r="F2192" s="220">
        <f t="shared" si="963"/>
        <v>0</v>
      </c>
      <c r="G2192" s="212"/>
      <c r="H2192" s="6" t="s">
        <v>3</v>
      </c>
      <c r="I2192" s="188"/>
      <c r="J2192" s="225"/>
      <c r="K2192" s="243"/>
      <c r="L2192" s="220">
        <f t="shared" si="960"/>
        <v>0</v>
      </c>
      <c r="O2192" s="6" t="s">
        <v>3</v>
      </c>
      <c r="P2192" s="7"/>
      <c r="Q2192" s="5">
        <f t="shared" si="961"/>
        <v>0</v>
      </c>
      <c r="R2192" s="186"/>
      <c r="S2192" s="6" t="s">
        <v>3</v>
      </c>
      <c r="T2192" s="7"/>
      <c r="U2192" s="5">
        <f t="shared" si="962"/>
        <v>0</v>
      </c>
    </row>
    <row r="2193" spans="2:21" x14ac:dyDescent="0.15">
      <c r="B2193" s="6" t="s">
        <v>3</v>
      </c>
      <c r="C2193" s="188"/>
      <c r="D2193" s="6"/>
      <c r="E2193" s="202"/>
      <c r="F2193" s="220">
        <f t="shared" si="963"/>
        <v>0</v>
      </c>
      <c r="G2193" s="212"/>
      <c r="H2193" s="6" t="s">
        <v>3</v>
      </c>
      <c r="I2193" s="188"/>
      <c r="J2193" s="6"/>
      <c r="K2193" s="202"/>
      <c r="L2193" s="220">
        <f t="shared" si="960"/>
        <v>0</v>
      </c>
      <c r="O2193" s="6" t="s">
        <v>3</v>
      </c>
      <c r="P2193" s="7"/>
      <c r="Q2193" s="5">
        <f t="shared" si="961"/>
        <v>0</v>
      </c>
      <c r="R2193" s="186"/>
      <c r="S2193" s="6" t="s">
        <v>3</v>
      </c>
      <c r="T2193" s="7"/>
      <c r="U2193" s="5">
        <f t="shared" si="962"/>
        <v>0</v>
      </c>
    </row>
    <row r="2194" spans="2:21" x14ac:dyDescent="0.15">
      <c r="B2194" s="6" t="s">
        <v>3</v>
      </c>
      <c r="C2194" s="188"/>
      <c r="D2194" s="225"/>
      <c r="E2194" s="243"/>
      <c r="F2194" s="220">
        <f t="shared" si="963"/>
        <v>0</v>
      </c>
      <c r="H2194" s="6" t="s">
        <v>3</v>
      </c>
      <c r="I2194" s="188"/>
      <c r="J2194" s="225"/>
      <c r="K2194" s="243"/>
      <c r="L2194" s="220">
        <f t="shared" si="960"/>
        <v>0</v>
      </c>
      <c r="O2194" s="6" t="s">
        <v>3</v>
      </c>
      <c r="P2194" s="8"/>
      <c r="Q2194" s="5">
        <f t="shared" si="961"/>
        <v>0</v>
      </c>
      <c r="R2194" s="186"/>
      <c r="S2194" s="6" t="s">
        <v>3</v>
      </c>
      <c r="T2194" s="8"/>
      <c r="U2194" s="5">
        <f t="shared" si="962"/>
        <v>0</v>
      </c>
    </row>
    <row r="2195" spans="2:21" x14ac:dyDescent="0.15">
      <c r="B2195" s="6" t="s">
        <v>3</v>
      </c>
      <c r="C2195" s="188"/>
      <c r="D2195" s="225"/>
      <c r="E2195" s="243"/>
      <c r="F2195" s="220">
        <f t="shared" si="963"/>
        <v>0</v>
      </c>
      <c r="H2195" s="6" t="s">
        <v>3</v>
      </c>
      <c r="I2195" s="188"/>
      <c r="J2195" s="225"/>
      <c r="K2195" s="243"/>
      <c r="L2195" s="220">
        <f t="shared" si="960"/>
        <v>0</v>
      </c>
      <c r="O2195" s="6" t="s">
        <v>3</v>
      </c>
      <c r="P2195" s="8"/>
      <c r="Q2195" s="5">
        <f t="shared" si="961"/>
        <v>0</v>
      </c>
      <c r="R2195" s="186"/>
      <c r="S2195" s="6" t="s">
        <v>3</v>
      </c>
      <c r="T2195" s="8"/>
      <c r="U2195" s="5">
        <f t="shared" si="962"/>
        <v>0</v>
      </c>
    </row>
    <row r="2196" spans="2:21" x14ac:dyDescent="0.15">
      <c r="B2196" s="6" t="s">
        <v>3</v>
      </c>
      <c r="C2196" s="188"/>
      <c r="D2196" s="225"/>
      <c r="E2196" s="243"/>
      <c r="F2196" s="220">
        <f t="shared" si="963"/>
        <v>0</v>
      </c>
      <c r="H2196" s="6" t="s">
        <v>3</v>
      </c>
      <c r="I2196" s="188"/>
      <c r="J2196" s="225"/>
      <c r="K2196" s="243"/>
      <c r="L2196" s="220">
        <f t="shared" si="960"/>
        <v>0</v>
      </c>
      <c r="O2196" s="6" t="s">
        <v>3</v>
      </c>
      <c r="P2196" s="8"/>
      <c r="Q2196" s="5">
        <f t="shared" si="961"/>
        <v>0</v>
      </c>
      <c r="R2196" s="186"/>
      <c r="S2196" s="6" t="s">
        <v>3</v>
      </c>
      <c r="T2196" s="8"/>
      <c r="U2196" s="5">
        <f t="shared" si="962"/>
        <v>0</v>
      </c>
    </row>
    <row r="2197" spans="2:21" ht="14.25" thickBot="1" x14ac:dyDescent="0.2">
      <c r="B2197" s="9" t="s">
        <v>3</v>
      </c>
      <c r="C2197" s="198"/>
      <c r="D2197" s="244"/>
      <c r="E2197" s="245"/>
      <c r="F2197" s="220">
        <f t="shared" si="963"/>
        <v>0</v>
      </c>
      <c r="H2197" s="9" t="s">
        <v>3</v>
      </c>
      <c r="I2197" s="198"/>
      <c r="J2197" s="244"/>
      <c r="K2197" s="245"/>
      <c r="L2197" s="220">
        <f t="shared" si="960"/>
        <v>0</v>
      </c>
      <c r="O2197" s="9" t="s">
        <v>3</v>
      </c>
      <c r="P2197" s="10"/>
      <c r="Q2197" s="5">
        <f t="shared" si="961"/>
        <v>0</v>
      </c>
      <c r="R2197" s="186"/>
      <c r="S2197" s="9" t="s">
        <v>3</v>
      </c>
      <c r="T2197" s="10"/>
      <c r="U2197" s="5">
        <f t="shared" si="962"/>
        <v>0</v>
      </c>
    </row>
    <row r="2198" spans="2:21" ht="14.25" thickBot="1" x14ac:dyDescent="0.2">
      <c r="B2198" s="11" t="s">
        <v>4</v>
      </c>
      <c r="C2198" s="193">
        <f>SUM(C2187:C2197)</f>
        <v>208</v>
      </c>
      <c r="D2198" s="193">
        <f>SUM(D2187:D2197)</f>
        <v>74</v>
      </c>
      <c r="E2198" s="193">
        <f>SUM(E2187:E2197)</f>
        <v>49</v>
      </c>
      <c r="F2198" s="221">
        <f>SUM(F2187:F2197)</f>
        <v>331</v>
      </c>
      <c r="H2198" s="11" t="s">
        <v>4</v>
      </c>
      <c r="I2198" s="193">
        <f>SUM(I2187:I2197)</f>
        <v>5710</v>
      </c>
      <c r="J2198" s="193">
        <f t="shared" ref="J2198:K2198" si="964">SUM(J2187:J2197)</f>
        <v>1664</v>
      </c>
      <c r="K2198" s="193">
        <f t="shared" si="964"/>
        <v>1855</v>
      </c>
      <c r="L2198" s="221">
        <f>SUM(L2187:L2197)</f>
        <v>9340</v>
      </c>
      <c r="O2198" s="11" t="s">
        <v>4</v>
      </c>
      <c r="P2198" s="12">
        <f>SUM(P2187:P2197)</f>
        <v>0</v>
      </c>
      <c r="Q2198" s="13">
        <f>SUM(Q2187:Q2197)</f>
        <v>0</v>
      </c>
      <c r="S2198" s="11" t="s">
        <v>4</v>
      </c>
      <c r="T2198" s="12">
        <f>SUM(T2187:T2197)</f>
        <v>1493</v>
      </c>
      <c r="U2198" s="13">
        <f>SUM(U2187:U2197)</f>
        <v>1493</v>
      </c>
    </row>
    <row r="2199" spans="2:21" x14ac:dyDescent="0.15">
      <c r="B2199" s="4" t="s">
        <v>1369</v>
      </c>
      <c r="C2199" s="233">
        <v>1</v>
      </c>
      <c r="D2199" s="234">
        <v>1</v>
      </c>
      <c r="E2199" s="234">
        <v>1</v>
      </c>
      <c r="F2199" s="220">
        <f t="shared" ref="F2199:F2214" si="965">SUM(C2199:E2199)</f>
        <v>3</v>
      </c>
      <c r="G2199" s="248">
        <v>46104</v>
      </c>
      <c r="H2199" s="295" t="s">
        <v>1373</v>
      </c>
      <c r="I2199" s="296"/>
      <c r="J2199" s="297"/>
      <c r="K2199" s="297">
        <v>20</v>
      </c>
      <c r="L2199" s="293">
        <f t="shared" ref="L2199:L2215" si="966">SUM(I2199:K2199)</f>
        <v>20</v>
      </c>
      <c r="M2199" s="294">
        <v>46111</v>
      </c>
      <c r="O2199" s="4"/>
      <c r="P2199" s="44"/>
      <c r="Q2199" s="14">
        <f t="shared" ref="Q2199:Q2222" si="967">SUM(P2199:P2199)</f>
        <v>0</v>
      </c>
      <c r="R2199" s="185"/>
      <c r="S2199" s="4"/>
      <c r="T2199" s="15"/>
      <c r="U2199" s="14">
        <f t="shared" ref="U2199:U2218" si="968">SUM(T2199:T2199)</f>
        <v>0</v>
      </c>
    </row>
    <row r="2200" spans="2:21" x14ac:dyDescent="0.15">
      <c r="B2200" s="4" t="s">
        <v>1370</v>
      </c>
      <c r="C2200" s="233">
        <v>1</v>
      </c>
      <c r="D2200" s="234">
        <v>1</v>
      </c>
      <c r="E2200" s="234">
        <v>1</v>
      </c>
      <c r="F2200" s="220">
        <f t="shared" si="965"/>
        <v>3</v>
      </c>
      <c r="G2200" s="248">
        <v>46104</v>
      </c>
      <c r="H2200" s="295" t="s">
        <v>765</v>
      </c>
      <c r="I2200" s="296">
        <v>100</v>
      </c>
      <c r="J2200" s="297"/>
      <c r="K2200" s="297"/>
      <c r="L2200" s="293">
        <f t="shared" si="966"/>
        <v>100</v>
      </c>
      <c r="M2200" s="294">
        <v>46133</v>
      </c>
      <c r="O2200" s="4"/>
      <c r="P2200" s="15"/>
      <c r="Q2200" s="14">
        <f t="shared" si="967"/>
        <v>0</v>
      </c>
      <c r="R2200" s="186"/>
      <c r="S2200" s="4"/>
      <c r="T2200" s="15"/>
      <c r="U2200" s="14">
        <f t="shared" si="968"/>
        <v>0</v>
      </c>
    </row>
    <row r="2201" spans="2:21" x14ac:dyDescent="0.15">
      <c r="B2201" s="4" t="s">
        <v>1371</v>
      </c>
      <c r="C2201" s="233">
        <v>1</v>
      </c>
      <c r="D2201" s="234">
        <v>2</v>
      </c>
      <c r="E2201" s="234"/>
      <c r="F2201" s="220">
        <f t="shared" si="965"/>
        <v>3</v>
      </c>
      <c r="G2201" s="248">
        <v>46104</v>
      </c>
      <c r="H2201" s="4"/>
      <c r="I2201" s="233"/>
      <c r="J2201" s="234"/>
      <c r="K2201" s="234"/>
      <c r="L2201" s="220">
        <f t="shared" si="966"/>
        <v>0</v>
      </c>
      <c r="O2201" s="4"/>
      <c r="P2201" s="15"/>
      <c r="Q2201" s="14">
        <f t="shared" si="967"/>
        <v>0</v>
      </c>
      <c r="R2201" s="186"/>
      <c r="S2201" s="4"/>
      <c r="T2201" s="15"/>
      <c r="U2201" s="14">
        <f t="shared" si="968"/>
        <v>0</v>
      </c>
    </row>
    <row r="2202" spans="2:21" x14ac:dyDescent="0.15">
      <c r="B2202" s="4" t="s">
        <v>749</v>
      </c>
      <c r="C2202" s="233">
        <v>20</v>
      </c>
      <c r="D2202" s="234"/>
      <c r="E2202" s="234"/>
      <c r="F2202" s="220">
        <f t="shared" si="965"/>
        <v>20</v>
      </c>
      <c r="G2202" s="248">
        <v>46108</v>
      </c>
      <c r="H2202" s="4"/>
      <c r="I2202" s="233"/>
      <c r="J2202" s="234"/>
      <c r="K2202" s="234"/>
      <c r="L2202" s="220">
        <f t="shared" si="966"/>
        <v>0</v>
      </c>
      <c r="O2202" s="4"/>
      <c r="P2202" s="15"/>
      <c r="Q2202" s="14">
        <f t="shared" si="967"/>
        <v>0</v>
      </c>
      <c r="R2202" s="186"/>
      <c r="S2202" s="4"/>
      <c r="T2202" s="15"/>
      <c r="U2202" s="14">
        <f t="shared" si="968"/>
        <v>0</v>
      </c>
    </row>
    <row r="2203" spans="2:21" x14ac:dyDescent="0.15">
      <c r="B2203" s="4" t="s">
        <v>749</v>
      </c>
      <c r="C2203" s="233">
        <v>2</v>
      </c>
      <c r="D2203" s="234"/>
      <c r="E2203" s="234"/>
      <c r="F2203" s="220">
        <f t="shared" si="965"/>
        <v>2</v>
      </c>
      <c r="G2203" s="248">
        <v>46111</v>
      </c>
      <c r="H2203" s="4"/>
      <c r="I2203" s="233"/>
      <c r="J2203" s="234"/>
      <c r="K2203" s="234"/>
      <c r="L2203" s="220">
        <f t="shared" si="966"/>
        <v>0</v>
      </c>
      <c r="O2203" s="4"/>
      <c r="P2203" s="15"/>
      <c r="Q2203" s="14">
        <f t="shared" si="967"/>
        <v>0</v>
      </c>
      <c r="R2203" s="186"/>
      <c r="S2203" s="4"/>
      <c r="T2203" s="15"/>
      <c r="U2203" s="14">
        <f t="shared" si="968"/>
        <v>0</v>
      </c>
    </row>
    <row r="2204" spans="2:21" x14ac:dyDescent="0.15">
      <c r="B2204" s="4" t="s">
        <v>749</v>
      </c>
      <c r="C2204" s="233">
        <v>2</v>
      </c>
      <c r="D2204" s="234"/>
      <c r="E2204" s="234"/>
      <c r="F2204" s="220">
        <f t="shared" si="965"/>
        <v>2</v>
      </c>
      <c r="G2204" s="248">
        <v>46113</v>
      </c>
      <c r="H2204" s="4"/>
      <c r="I2204" s="233"/>
      <c r="J2204" s="234"/>
      <c r="K2204" s="234"/>
      <c r="L2204" s="220">
        <f t="shared" si="966"/>
        <v>0</v>
      </c>
      <c r="O2204" s="4"/>
      <c r="P2204" s="15"/>
      <c r="Q2204" s="14">
        <f t="shared" si="967"/>
        <v>0</v>
      </c>
      <c r="R2204" s="186"/>
      <c r="S2204" s="4"/>
      <c r="T2204" s="15"/>
      <c r="U2204" s="14">
        <f t="shared" si="968"/>
        <v>0</v>
      </c>
    </row>
    <row r="2205" spans="2:21" x14ac:dyDescent="0.15">
      <c r="B2205" s="4" t="s">
        <v>749</v>
      </c>
      <c r="C2205" s="233">
        <v>4</v>
      </c>
      <c r="D2205" s="234"/>
      <c r="E2205" s="234"/>
      <c r="F2205" s="220">
        <f t="shared" si="965"/>
        <v>4</v>
      </c>
      <c r="G2205" s="248">
        <v>46115</v>
      </c>
      <c r="H2205" s="4"/>
      <c r="I2205" s="233"/>
      <c r="J2205" s="234"/>
      <c r="K2205" s="234"/>
      <c r="L2205" s="220">
        <f t="shared" si="966"/>
        <v>0</v>
      </c>
      <c r="O2205" s="4"/>
      <c r="P2205" s="15"/>
      <c r="Q2205" s="14">
        <f t="shared" si="967"/>
        <v>0</v>
      </c>
      <c r="R2205" s="186"/>
      <c r="S2205" s="4"/>
      <c r="T2205" s="15"/>
      <c r="U2205" s="14">
        <f t="shared" si="968"/>
        <v>0</v>
      </c>
    </row>
    <row r="2206" spans="2:21" x14ac:dyDescent="0.15">
      <c r="B2206" s="4" t="s">
        <v>749</v>
      </c>
      <c r="C2206" s="233">
        <v>14</v>
      </c>
      <c r="D2206" s="234">
        <v>2</v>
      </c>
      <c r="E2206" s="234">
        <v>2</v>
      </c>
      <c r="F2206" s="220">
        <f t="shared" si="965"/>
        <v>18</v>
      </c>
      <c r="G2206" s="248">
        <v>46118</v>
      </c>
      <c r="H2206" s="4"/>
      <c r="I2206" s="233"/>
      <c r="J2206" s="234"/>
      <c r="K2206" s="234"/>
      <c r="L2206" s="220">
        <f t="shared" si="966"/>
        <v>0</v>
      </c>
      <c r="O2206" s="4"/>
      <c r="P2206" s="15"/>
      <c r="Q2206" s="14">
        <f t="shared" si="967"/>
        <v>0</v>
      </c>
      <c r="R2206" s="186"/>
      <c r="S2206" s="4"/>
      <c r="T2206" s="15"/>
      <c r="U2206" s="14">
        <f t="shared" si="968"/>
        <v>0</v>
      </c>
    </row>
    <row r="2207" spans="2:21" x14ac:dyDescent="0.15">
      <c r="B2207" s="4" t="s">
        <v>749</v>
      </c>
      <c r="C2207" s="233"/>
      <c r="D2207" s="234"/>
      <c r="E2207" s="234">
        <v>2</v>
      </c>
      <c r="F2207" s="220">
        <f t="shared" si="965"/>
        <v>2</v>
      </c>
      <c r="G2207" s="248">
        <v>46119</v>
      </c>
      <c r="H2207" s="4"/>
      <c r="I2207" s="233"/>
      <c r="J2207" s="234"/>
      <c r="K2207" s="234"/>
      <c r="L2207" s="220">
        <f t="shared" si="966"/>
        <v>0</v>
      </c>
      <c r="O2207" s="4"/>
      <c r="P2207" s="15"/>
      <c r="Q2207" s="14">
        <f t="shared" si="967"/>
        <v>0</v>
      </c>
      <c r="R2207" s="186"/>
      <c r="S2207" s="4"/>
      <c r="T2207" s="15"/>
      <c r="U2207" s="14">
        <f t="shared" si="968"/>
        <v>0</v>
      </c>
    </row>
    <row r="2208" spans="2:21" x14ac:dyDescent="0.15">
      <c r="B2208" s="4" t="s">
        <v>749</v>
      </c>
      <c r="C2208" s="233">
        <v>1</v>
      </c>
      <c r="D2208" s="234"/>
      <c r="E2208" s="234"/>
      <c r="F2208" s="220">
        <f t="shared" si="965"/>
        <v>1</v>
      </c>
      <c r="G2208" s="248">
        <v>46120</v>
      </c>
      <c r="H2208" s="4"/>
      <c r="I2208" s="233"/>
      <c r="J2208" s="234"/>
      <c r="K2208" s="234"/>
      <c r="L2208" s="220">
        <f t="shared" si="966"/>
        <v>0</v>
      </c>
      <c r="O2208" s="4"/>
      <c r="P2208" s="15"/>
      <c r="Q2208" s="14">
        <f t="shared" si="967"/>
        <v>0</v>
      </c>
      <c r="R2208" s="186"/>
      <c r="S2208" s="4"/>
      <c r="T2208" s="15"/>
      <c r="U2208" s="14">
        <f t="shared" si="968"/>
        <v>0</v>
      </c>
    </row>
    <row r="2209" spans="2:22" x14ac:dyDescent="0.15">
      <c r="B2209" s="4" t="s">
        <v>749</v>
      </c>
      <c r="C2209" s="233">
        <f>2+2</f>
        <v>4</v>
      </c>
      <c r="D2209" s="234">
        <v>1</v>
      </c>
      <c r="E2209" s="234"/>
      <c r="F2209" s="220">
        <f t="shared" si="965"/>
        <v>5</v>
      </c>
      <c r="G2209" s="248">
        <v>46122</v>
      </c>
      <c r="H2209" s="4"/>
      <c r="I2209" s="233"/>
      <c r="J2209" s="234"/>
      <c r="K2209" s="234"/>
      <c r="L2209" s="220">
        <f t="shared" si="966"/>
        <v>0</v>
      </c>
      <c r="O2209" s="4"/>
      <c r="P2209" s="15"/>
      <c r="Q2209" s="14">
        <f t="shared" si="967"/>
        <v>0</v>
      </c>
      <c r="R2209" s="186"/>
      <c r="S2209" s="4"/>
      <c r="T2209" s="15"/>
      <c r="U2209" s="14">
        <f t="shared" si="968"/>
        <v>0</v>
      </c>
    </row>
    <row r="2210" spans="2:22" x14ac:dyDescent="0.15">
      <c r="B2210" s="4" t="s">
        <v>749</v>
      </c>
      <c r="C2210" s="233">
        <v>2</v>
      </c>
      <c r="D2210" s="234"/>
      <c r="E2210" s="234"/>
      <c r="F2210" s="220">
        <f t="shared" si="965"/>
        <v>2</v>
      </c>
      <c r="G2210" s="248">
        <v>46125</v>
      </c>
      <c r="H2210" s="4"/>
      <c r="I2210" s="233"/>
      <c r="J2210" s="234"/>
      <c r="K2210" s="234"/>
      <c r="L2210" s="220">
        <f t="shared" si="966"/>
        <v>0</v>
      </c>
      <c r="O2210" s="6"/>
      <c r="P2210" s="15"/>
      <c r="Q2210" s="14">
        <f t="shared" si="967"/>
        <v>0</v>
      </c>
      <c r="R2210" s="186"/>
      <c r="S2210" s="6"/>
      <c r="T2210" s="15"/>
      <c r="U2210" s="14">
        <f t="shared" si="968"/>
        <v>0</v>
      </c>
    </row>
    <row r="2211" spans="2:22" x14ac:dyDescent="0.15">
      <c r="B2211" s="4" t="s">
        <v>764</v>
      </c>
      <c r="C2211" s="233">
        <v>20</v>
      </c>
      <c r="D2211" s="234">
        <v>10</v>
      </c>
      <c r="E2211" s="234">
        <v>10</v>
      </c>
      <c r="F2211" s="220">
        <f t="shared" si="965"/>
        <v>40</v>
      </c>
      <c r="G2211" s="211">
        <v>46126</v>
      </c>
      <c r="H2211" s="4"/>
      <c r="I2211" s="233"/>
      <c r="J2211" s="234"/>
      <c r="K2211" s="234"/>
      <c r="L2211" s="220">
        <f t="shared" si="966"/>
        <v>0</v>
      </c>
      <c r="O2211" s="6"/>
      <c r="P2211" s="15"/>
      <c r="Q2211" s="14">
        <f t="shared" si="967"/>
        <v>0</v>
      </c>
      <c r="R2211" s="186"/>
      <c r="S2211" s="6"/>
      <c r="T2211" s="15"/>
      <c r="U2211" s="14">
        <f t="shared" si="968"/>
        <v>0</v>
      </c>
    </row>
    <row r="2212" spans="2:22" x14ac:dyDescent="0.15">
      <c r="B2212" s="4" t="s">
        <v>749</v>
      </c>
      <c r="C2212" s="233">
        <v>9</v>
      </c>
      <c r="D2212" s="234">
        <v>2</v>
      </c>
      <c r="E2212" s="234"/>
      <c r="F2212" s="220">
        <f t="shared" si="965"/>
        <v>11</v>
      </c>
      <c r="G2212" s="248">
        <v>46128</v>
      </c>
      <c r="H2212" s="4"/>
      <c r="I2212" s="233"/>
      <c r="J2212" s="234"/>
      <c r="K2212" s="234"/>
      <c r="L2212" s="220">
        <f t="shared" si="966"/>
        <v>0</v>
      </c>
      <c r="O2212" s="4"/>
      <c r="P2212" s="15"/>
      <c r="Q2212" s="14">
        <f t="shared" si="967"/>
        <v>0</v>
      </c>
      <c r="R2212" s="186"/>
      <c r="S2212" s="4"/>
      <c r="T2212" s="15"/>
      <c r="U2212" s="14">
        <f t="shared" si="968"/>
        <v>0</v>
      </c>
    </row>
    <row r="2213" spans="2:22" x14ac:dyDescent="0.15">
      <c r="B2213" s="4" t="s">
        <v>749</v>
      </c>
      <c r="C2213" s="233"/>
      <c r="D2213" s="234">
        <v>1</v>
      </c>
      <c r="E2213" s="234">
        <v>1</v>
      </c>
      <c r="F2213" s="220">
        <f t="shared" si="965"/>
        <v>2</v>
      </c>
      <c r="G2213" s="211">
        <v>46129</v>
      </c>
      <c r="H2213" s="4"/>
      <c r="I2213" s="233"/>
      <c r="J2213" s="234"/>
      <c r="K2213" s="234"/>
      <c r="L2213" s="220">
        <f t="shared" si="966"/>
        <v>0</v>
      </c>
      <c r="O2213" s="4"/>
      <c r="P2213" s="15"/>
      <c r="Q2213" s="14">
        <f t="shared" si="967"/>
        <v>0</v>
      </c>
      <c r="R2213" s="186"/>
      <c r="S2213" s="4"/>
      <c r="T2213" s="15"/>
      <c r="U2213" s="14">
        <f t="shared" si="968"/>
        <v>0</v>
      </c>
    </row>
    <row r="2214" spans="2:22" x14ac:dyDescent="0.15">
      <c r="B2214" s="4" t="s">
        <v>1376</v>
      </c>
      <c r="C2214" s="233">
        <v>1</v>
      </c>
      <c r="D2214" s="234">
        <v>1</v>
      </c>
      <c r="E2214" s="234">
        <v>1</v>
      </c>
      <c r="F2214" s="220">
        <f t="shared" si="965"/>
        <v>3</v>
      </c>
      <c r="G2214" s="211">
        <v>46133</v>
      </c>
      <c r="H2214" s="4"/>
      <c r="I2214" s="233"/>
      <c r="J2214" s="234"/>
      <c r="K2214" s="234"/>
      <c r="L2214" s="220">
        <f t="shared" si="966"/>
        <v>0</v>
      </c>
      <c r="O2214" s="4"/>
      <c r="P2214" s="15"/>
      <c r="Q2214" s="14">
        <f t="shared" si="967"/>
        <v>0</v>
      </c>
      <c r="R2214" s="186"/>
      <c r="S2214" s="4"/>
      <c r="T2214" s="15"/>
      <c r="U2214" s="14">
        <f t="shared" si="968"/>
        <v>0</v>
      </c>
    </row>
    <row r="2215" spans="2:22" x14ac:dyDescent="0.15">
      <c r="B2215" s="4" t="s">
        <v>749</v>
      </c>
      <c r="C2215" s="233">
        <v>4</v>
      </c>
      <c r="D2215" s="234">
        <v>1</v>
      </c>
      <c r="E2215" s="234"/>
      <c r="F2215" s="220">
        <f t="shared" ref="F2215:F2222" si="969">SUM(C2215:E2215)</f>
        <v>5</v>
      </c>
      <c r="G2215" s="248">
        <v>46132</v>
      </c>
      <c r="H2215" s="4"/>
      <c r="I2215" s="233"/>
      <c r="J2215" s="234"/>
      <c r="K2215" s="234"/>
      <c r="L2215" s="220">
        <f t="shared" si="966"/>
        <v>0</v>
      </c>
      <c r="O2215" s="6"/>
      <c r="P2215" s="15"/>
      <c r="Q2215" s="14">
        <f t="shared" si="967"/>
        <v>0</v>
      </c>
      <c r="R2215" s="186"/>
      <c r="S2215" s="6"/>
      <c r="T2215" s="15"/>
      <c r="U2215" s="14">
        <f t="shared" si="968"/>
        <v>0</v>
      </c>
    </row>
    <row r="2216" spans="2:22" x14ac:dyDescent="0.15">
      <c r="B2216" s="4" t="s">
        <v>749</v>
      </c>
      <c r="C2216" s="233">
        <v>1</v>
      </c>
      <c r="D2216" s="234"/>
      <c r="E2216" s="234"/>
      <c r="F2216" s="220">
        <f t="shared" si="969"/>
        <v>1</v>
      </c>
      <c r="G2216" s="248">
        <v>46133</v>
      </c>
      <c r="H2216" s="4"/>
      <c r="I2216" s="233"/>
      <c r="J2216" s="234"/>
      <c r="K2216" s="234"/>
      <c r="L2216" s="220">
        <f t="shared" ref="L2216" si="970">SUM(I2216:K2216)</f>
        <v>0</v>
      </c>
      <c r="O2216" s="4"/>
      <c r="P2216" s="15"/>
      <c r="Q2216" s="14">
        <f t="shared" si="967"/>
        <v>0</v>
      </c>
      <c r="R2216" s="186"/>
      <c r="S2216" s="4"/>
      <c r="T2216" s="15"/>
      <c r="U2216" s="14">
        <f t="shared" si="968"/>
        <v>0</v>
      </c>
    </row>
    <row r="2217" spans="2:22" x14ac:dyDescent="0.15">
      <c r="B2217" s="4" t="s">
        <v>749</v>
      </c>
      <c r="C2217" s="233">
        <v>1</v>
      </c>
      <c r="D2217" s="234"/>
      <c r="E2217" s="234"/>
      <c r="F2217" s="220">
        <f t="shared" si="969"/>
        <v>1</v>
      </c>
      <c r="G2217" s="248">
        <v>46134</v>
      </c>
      <c r="H2217" s="4"/>
      <c r="I2217" s="233"/>
      <c r="J2217" s="234"/>
      <c r="K2217" s="234"/>
      <c r="L2217" s="220">
        <f t="shared" ref="L2217:L2222" si="971">SUM(I2217:K2217)</f>
        <v>0</v>
      </c>
      <c r="O2217" s="6"/>
      <c r="P2217" s="15"/>
      <c r="Q2217" s="14">
        <f t="shared" si="967"/>
        <v>0</v>
      </c>
      <c r="R2217" s="186"/>
      <c r="S2217" s="6"/>
      <c r="T2217" s="15"/>
      <c r="U2217" s="14">
        <f t="shared" si="968"/>
        <v>0</v>
      </c>
    </row>
    <row r="2218" spans="2:22" x14ac:dyDescent="0.15">
      <c r="B2218" s="4" t="s">
        <v>1376</v>
      </c>
      <c r="C2218" s="233">
        <v>2</v>
      </c>
      <c r="D2218" s="234"/>
      <c r="E2218" s="234">
        <v>2</v>
      </c>
      <c r="F2218" s="220">
        <f t="shared" si="969"/>
        <v>4</v>
      </c>
      <c r="G2218" s="211">
        <v>46135</v>
      </c>
      <c r="H2218" s="4"/>
      <c r="I2218" s="233"/>
      <c r="J2218" s="234"/>
      <c r="K2218" s="234"/>
      <c r="L2218" s="220">
        <f t="shared" si="971"/>
        <v>0</v>
      </c>
      <c r="O2218" s="4"/>
      <c r="P2218" s="15"/>
      <c r="Q2218" s="14">
        <f t="shared" si="967"/>
        <v>0</v>
      </c>
      <c r="R2218" s="186"/>
      <c r="S2218" s="4"/>
      <c r="T2218" s="15"/>
      <c r="U2218" s="14">
        <f t="shared" si="968"/>
        <v>0</v>
      </c>
    </row>
    <row r="2219" spans="2:22" x14ac:dyDescent="0.15">
      <c r="B2219" s="4" t="s">
        <v>749</v>
      </c>
      <c r="C2219" s="233">
        <v>1</v>
      </c>
      <c r="D2219" s="234"/>
      <c r="E2219" s="234"/>
      <c r="F2219" s="220">
        <f t="shared" si="969"/>
        <v>1</v>
      </c>
      <c r="G2219" s="248">
        <v>46135</v>
      </c>
      <c r="H2219" s="4"/>
      <c r="I2219" s="233"/>
      <c r="J2219" s="234"/>
      <c r="K2219" s="234"/>
      <c r="L2219" s="220">
        <f t="shared" si="971"/>
        <v>0</v>
      </c>
      <c r="O2219" s="4"/>
      <c r="P2219" s="15"/>
      <c r="Q2219" s="14">
        <f t="shared" si="967"/>
        <v>0</v>
      </c>
      <c r="R2219" s="186"/>
      <c r="S2219" s="4"/>
      <c r="T2219" s="15"/>
      <c r="U2219" s="14">
        <f t="shared" ref="U2219:U2222" si="972">SUM(T2219:T2219)</f>
        <v>0</v>
      </c>
    </row>
    <row r="2220" spans="2:22" x14ac:dyDescent="0.15">
      <c r="B2220" s="4" t="s">
        <v>749</v>
      </c>
      <c r="C2220" s="233">
        <v>8</v>
      </c>
      <c r="D2220" s="234">
        <v>2</v>
      </c>
      <c r="E2220" s="234"/>
      <c r="F2220" s="220">
        <f t="shared" si="969"/>
        <v>10</v>
      </c>
      <c r="G2220" s="248">
        <v>46139</v>
      </c>
      <c r="H2220" s="4"/>
      <c r="I2220" s="233"/>
      <c r="J2220" s="234"/>
      <c r="K2220" s="234"/>
      <c r="L2220" s="220">
        <f t="shared" si="971"/>
        <v>0</v>
      </c>
      <c r="O2220" s="4"/>
      <c r="P2220" s="15"/>
      <c r="Q2220" s="14">
        <f t="shared" si="967"/>
        <v>0</v>
      </c>
      <c r="R2220" s="186"/>
      <c r="S2220" s="4"/>
      <c r="T2220" s="15"/>
      <c r="U2220" s="14">
        <f t="shared" si="972"/>
        <v>0</v>
      </c>
    </row>
    <row r="2221" spans="2:22" x14ac:dyDescent="0.15">
      <c r="B2221" s="4" t="s">
        <v>749</v>
      </c>
      <c r="C2221" s="233">
        <v>3</v>
      </c>
      <c r="D2221" s="234">
        <v>1</v>
      </c>
      <c r="E2221" s="234">
        <v>1</v>
      </c>
      <c r="F2221" s="220">
        <f t="shared" si="969"/>
        <v>5</v>
      </c>
      <c r="G2221" s="248">
        <v>46140</v>
      </c>
      <c r="H2221" s="4"/>
      <c r="I2221" s="233"/>
      <c r="J2221" s="234"/>
      <c r="K2221" s="234"/>
      <c r="L2221" s="220">
        <f t="shared" si="971"/>
        <v>0</v>
      </c>
      <c r="O2221" s="6"/>
      <c r="P2221" s="15"/>
      <c r="Q2221" s="14">
        <f t="shared" si="967"/>
        <v>0</v>
      </c>
      <c r="R2221" s="186"/>
      <c r="S2221" s="4"/>
      <c r="T2221" s="15"/>
      <c r="U2221" s="14">
        <f t="shared" si="972"/>
        <v>0</v>
      </c>
    </row>
    <row r="2222" spans="2:22" ht="14.25" thickBot="1" x14ac:dyDescent="0.2">
      <c r="B2222" s="4" t="s">
        <v>749</v>
      </c>
      <c r="C2222" s="233"/>
      <c r="D2222" s="234">
        <v>4</v>
      </c>
      <c r="E2222" s="234"/>
      <c r="F2222" s="220">
        <f t="shared" si="969"/>
        <v>4</v>
      </c>
      <c r="G2222" s="248">
        <v>46142</v>
      </c>
      <c r="H2222" s="4"/>
      <c r="I2222" s="233"/>
      <c r="J2222" s="234"/>
      <c r="K2222" s="234"/>
      <c r="L2222" s="220">
        <f t="shared" si="971"/>
        <v>0</v>
      </c>
      <c r="O2222" s="6"/>
      <c r="P2222" s="15"/>
      <c r="Q2222" s="14">
        <f t="shared" si="967"/>
        <v>0</v>
      </c>
      <c r="R2222" s="186"/>
      <c r="S2222" s="4"/>
      <c r="T2222" s="15"/>
      <c r="U2222" s="14">
        <f t="shared" si="972"/>
        <v>0</v>
      </c>
    </row>
    <row r="2223" spans="2:22" ht="14.25" thickBot="1" x14ac:dyDescent="0.2">
      <c r="B2223" s="3" t="s">
        <v>5</v>
      </c>
      <c r="C2223" s="16">
        <f>SUM(C2199:C2222)</f>
        <v>102</v>
      </c>
      <c r="D2223" s="16">
        <f>SUM(D2199:D2222)</f>
        <v>29</v>
      </c>
      <c r="E2223" s="16">
        <f>SUM(E2199:E2222)</f>
        <v>21</v>
      </c>
      <c r="F2223" s="223">
        <f>SUM(F2199:F2222)</f>
        <v>152</v>
      </c>
      <c r="H2223" s="3" t="s">
        <v>5</v>
      </c>
      <c r="I2223" s="16">
        <f>SUM(I2199:I2222)</f>
        <v>100</v>
      </c>
      <c r="J2223" s="16">
        <f t="shared" ref="J2223:K2223" si="973">SUM(J2199:J2222)</f>
        <v>0</v>
      </c>
      <c r="K2223" s="16">
        <f t="shared" si="973"/>
        <v>20</v>
      </c>
      <c r="L2223" s="223">
        <f>SUM(L2199:L2222)</f>
        <v>120</v>
      </c>
      <c r="O2223" s="3" t="s">
        <v>5</v>
      </c>
      <c r="P2223" s="16">
        <f>SUM(P2199:P2222)</f>
        <v>0</v>
      </c>
      <c r="Q2223" s="17">
        <f>SUM(Q2199:Q2222)</f>
        <v>0</v>
      </c>
      <c r="S2223" s="3" t="s">
        <v>5</v>
      </c>
      <c r="T2223" s="16">
        <f>SUM(T2199:T2222)</f>
        <v>0</v>
      </c>
      <c r="U2223" s="17">
        <f>SUM(U2199:U2222)</f>
        <v>0</v>
      </c>
    </row>
    <row r="2224" spans="2:22" ht="14.25" thickBot="1" x14ac:dyDescent="0.2">
      <c r="B2224" s="18" t="s">
        <v>6</v>
      </c>
      <c r="C2224" s="19">
        <f>C2198-C2223</f>
        <v>106</v>
      </c>
      <c r="D2224" s="19">
        <f>D2198-D2223</f>
        <v>45</v>
      </c>
      <c r="E2224" s="19">
        <f t="shared" ref="E2224" si="974">E2198-E2223</f>
        <v>28</v>
      </c>
      <c r="F2224" s="221">
        <f>F2198-F2223</f>
        <v>179</v>
      </c>
      <c r="H2224" s="18" t="s">
        <v>6</v>
      </c>
      <c r="I2224" s="19">
        <f>I2198-I2223</f>
        <v>5610</v>
      </c>
      <c r="J2224" s="19">
        <f t="shared" ref="J2224:K2224" si="975">J2198-J2223</f>
        <v>1664</v>
      </c>
      <c r="K2224" s="19">
        <f t="shared" si="975"/>
        <v>1835</v>
      </c>
      <c r="L2224" s="221">
        <f>L2198-L2223</f>
        <v>9220</v>
      </c>
      <c r="M2224" s="284" t="s">
        <v>1366</v>
      </c>
      <c r="O2224" s="18" t="s">
        <v>6</v>
      </c>
      <c r="P2224" s="19">
        <f>P2198-P2223</f>
        <v>0</v>
      </c>
      <c r="Q2224" s="13">
        <f>Q2198-Q2223</f>
        <v>0</v>
      </c>
      <c r="S2224" s="18" t="s">
        <v>6</v>
      </c>
      <c r="T2224" s="19">
        <f>T2198-T2223</f>
        <v>1493</v>
      </c>
      <c r="U2224" s="13">
        <f>U2198-U2223</f>
        <v>1493</v>
      </c>
      <c r="V2224" s="239" t="s">
        <v>1366</v>
      </c>
    </row>
    <row r="2227" spans="1:21" ht="18" thickBot="1" x14ac:dyDescent="0.25">
      <c r="B2227" s="27" t="s">
        <v>739</v>
      </c>
      <c r="C2227" s="28"/>
      <c r="D2227" s="28"/>
      <c r="E2227" s="28"/>
      <c r="F2227" s="218"/>
      <c r="H2227" s="27" t="s">
        <v>740</v>
      </c>
      <c r="I2227" s="279"/>
      <c r="J2227" s="279"/>
      <c r="K2227" s="22"/>
      <c r="L2227" s="278"/>
      <c r="O2227" s="181" t="s">
        <v>737</v>
      </c>
      <c r="P2227" s="182"/>
      <c r="Q2227" s="182"/>
      <c r="R2227" s="183"/>
      <c r="S2227" s="181" t="s">
        <v>733</v>
      </c>
      <c r="T2227" s="182"/>
      <c r="U2227" s="182"/>
    </row>
    <row r="2228" spans="1:21" ht="14.25" thickBot="1" x14ac:dyDescent="0.2">
      <c r="B2228" s="2"/>
      <c r="C2228" s="194" t="s">
        <v>734</v>
      </c>
      <c r="D2228" s="195" t="s">
        <v>706</v>
      </c>
      <c r="E2228" s="2" t="s">
        <v>735</v>
      </c>
      <c r="F2228" s="219" t="s">
        <v>1</v>
      </c>
      <c r="H2228" s="2"/>
      <c r="I2228" s="197" t="s">
        <v>734</v>
      </c>
      <c r="J2228" s="195" t="s">
        <v>706</v>
      </c>
      <c r="K2228" s="201" t="s">
        <v>735</v>
      </c>
      <c r="L2228" s="219" t="s">
        <v>1</v>
      </c>
      <c r="O2228" s="2"/>
      <c r="P2228" s="3" t="s">
        <v>722</v>
      </c>
      <c r="Q2228" s="2" t="s">
        <v>1</v>
      </c>
      <c r="S2228" s="2"/>
      <c r="T2228" s="3" t="s">
        <v>722</v>
      </c>
      <c r="U2228" s="2" t="s">
        <v>1</v>
      </c>
    </row>
    <row r="2229" spans="1:21" x14ac:dyDescent="0.15">
      <c r="B2229" s="164" t="s">
        <v>26</v>
      </c>
      <c r="C2229" s="200">
        <f>C2224</f>
        <v>106</v>
      </c>
      <c r="D2229" s="164">
        <f t="shared" ref="D2229:F2229" si="976">D2224</f>
        <v>45</v>
      </c>
      <c r="E2229" s="164">
        <f t="shared" si="976"/>
        <v>28</v>
      </c>
      <c r="F2229" s="222">
        <f t="shared" si="976"/>
        <v>179</v>
      </c>
      <c r="H2229" s="164" t="s">
        <v>26</v>
      </c>
      <c r="I2229" s="200">
        <f>I2224</f>
        <v>5610</v>
      </c>
      <c r="J2229" s="164">
        <f t="shared" ref="J2229:L2229" si="977">J2224</f>
        <v>1664</v>
      </c>
      <c r="K2229" s="200">
        <f t="shared" si="977"/>
        <v>1835</v>
      </c>
      <c r="L2229" s="222">
        <f t="shared" si="977"/>
        <v>9220</v>
      </c>
      <c r="O2229" s="171" t="s">
        <v>26</v>
      </c>
      <c r="P2229" s="200">
        <f>P2224</f>
        <v>0</v>
      </c>
      <c r="Q2229" s="180">
        <f>Q2224</f>
        <v>0</v>
      </c>
      <c r="R2229" s="185"/>
      <c r="S2229" s="43" t="s">
        <v>26</v>
      </c>
      <c r="T2229" s="38">
        <f>T2224</f>
        <v>1493</v>
      </c>
      <c r="U2229" s="39">
        <f>U2224</f>
        <v>1493</v>
      </c>
    </row>
    <row r="2230" spans="1:21" x14ac:dyDescent="0.15">
      <c r="A2230" s="186"/>
      <c r="B2230" s="6" t="s">
        <v>3</v>
      </c>
      <c r="C2230" s="188"/>
      <c r="D2230" s="6">
        <v>50</v>
      </c>
      <c r="E2230" s="202">
        <v>60</v>
      </c>
      <c r="F2230" s="220">
        <f t="shared" ref="F2230:F2231" si="978">SUM(C2230:E2230)</f>
        <v>110</v>
      </c>
      <c r="G2230" s="211">
        <v>46144</v>
      </c>
      <c r="H2230" s="6" t="s">
        <v>3</v>
      </c>
      <c r="I2230" s="188"/>
      <c r="J2230" s="225"/>
      <c r="K2230" s="243"/>
      <c r="L2230" s="220">
        <f t="shared" ref="L2230:L2239" si="979">SUM(I2230:K2230)</f>
        <v>0</v>
      </c>
      <c r="O2230" s="6" t="s">
        <v>3</v>
      </c>
      <c r="P2230" s="7"/>
      <c r="Q2230" s="5">
        <f t="shared" ref="Q2230:Q2239" si="980">SUM(P2230:P2230)</f>
        <v>0</v>
      </c>
      <c r="R2230" s="186"/>
      <c r="S2230" s="6" t="s">
        <v>3</v>
      </c>
      <c r="T2230" s="7"/>
      <c r="U2230" s="5">
        <f t="shared" ref="U2230:U2239" si="981">SUM(T2230:T2230)</f>
        <v>0</v>
      </c>
    </row>
    <row r="2231" spans="1:21" x14ac:dyDescent="0.15">
      <c r="A2231" s="186"/>
      <c r="B2231" s="6" t="s">
        <v>3</v>
      </c>
      <c r="C2231" s="188">
        <v>100</v>
      </c>
      <c r="D2231" s="6"/>
      <c r="E2231" s="202"/>
      <c r="F2231" s="220">
        <f t="shared" si="978"/>
        <v>100</v>
      </c>
      <c r="G2231" s="211">
        <v>46158</v>
      </c>
      <c r="H2231" s="6" t="s">
        <v>3</v>
      </c>
      <c r="I2231" s="188"/>
      <c r="J2231" s="225"/>
      <c r="K2231" s="243"/>
      <c r="L2231" s="220">
        <f t="shared" si="979"/>
        <v>0</v>
      </c>
      <c r="O2231" s="6" t="s">
        <v>3</v>
      </c>
      <c r="P2231" s="7"/>
      <c r="Q2231" s="5">
        <f t="shared" si="980"/>
        <v>0</v>
      </c>
      <c r="R2231" s="186"/>
      <c r="S2231" s="6" t="s">
        <v>3</v>
      </c>
      <c r="T2231" s="7"/>
      <c r="U2231" s="5">
        <f t="shared" si="981"/>
        <v>0</v>
      </c>
    </row>
    <row r="2232" spans="1:21" x14ac:dyDescent="0.15">
      <c r="A2232" s="186"/>
      <c r="B2232" s="6" t="s">
        <v>3</v>
      </c>
      <c r="C2232" s="188">
        <v>100</v>
      </c>
      <c r="D2232" s="6">
        <v>47</v>
      </c>
      <c r="E2232" s="202">
        <v>50</v>
      </c>
      <c r="F2232" s="220">
        <f t="shared" ref="F2232:F2239" si="982">SUM(C2232:E2232)</f>
        <v>197</v>
      </c>
      <c r="G2232" s="211">
        <v>46172</v>
      </c>
      <c r="H2232" s="6" t="s">
        <v>3</v>
      </c>
      <c r="I2232" s="188"/>
      <c r="J2232" s="225"/>
      <c r="K2232" s="243"/>
      <c r="L2232" s="220">
        <f t="shared" si="979"/>
        <v>0</v>
      </c>
      <c r="O2232" s="6" t="s">
        <v>3</v>
      </c>
      <c r="P2232" s="7"/>
      <c r="Q2232" s="5">
        <f t="shared" si="980"/>
        <v>0</v>
      </c>
      <c r="R2232" s="186"/>
      <c r="S2232" s="6" t="s">
        <v>3</v>
      </c>
      <c r="T2232" s="7"/>
      <c r="U2232" s="5">
        <f t="shared" si="981"/>
        <v>0</v>
      </c>
    </row>
    <row r="2233" spans="1:21" x14ac:dyDescent="0.15">
      <c r="A2233" s="186"/>
      <c r="B2233" s="6" t="s">
        <v>3</v>
      </c>
      <c r="C2233" s="188"/>
      <c r="D2233" s="6"/>
      <c r="E2233" s="202"/>
      <c r="F2233" s="220">
        <f t="shared" si="982"/>
        <v>0</v>
      </c>
      <c r="G2233" s="212"/>
      <c r="H2233" s="6" t="s">
        <v>3</v>
      </c>
      <c r="I2233" s="188"/>
      <c r="J2233" s="225"/>
      <c r="K2233" s="243"/>
      <c r="L2233" s="220">
        <f t="shared" si="979"/>
        <v>0</v>
      </c>
      <c r="O2233" s="6" t="s">
        <v>3</v>
      </c>
      <c r="P2233" s="7"/>
      <c r="Q2233" s="5">
        <f t="shared" si="980"/>
        <v>0</v>
      </c>
      <c r="R2233" s="186"/>
      <c r="S2233" s="6" t="s">
        <v>3</v>
      </c>
      <c r="T2233" s="7"/>
      <c r="U2233" s="5">
        <f t="shared" si="981"/>
        <v>0</v>
      </c>
    </row>
    <row r="2234" spans="1:21" x14ac:dyDescent="0.15">
      <c r="A2234" s="186"/>
      <c r="B2234" s="6" t="s">
        <v>3</v>
      </c>
      <c r="C2234" s="188"/>
      <c r="D2234" s="6"/>
      <c r="E2234" s="202"/>
      <c r="F2234" s="220">
        <f t="shared" si="982"/>
        <v>0</v>
      </c>
      <c r="G2234" s="212"/>
      <c r="H2234" s="6" t="s">
        <v>3</v>
      </c>
      <c r="I2234" s="188"/>
      <c r="J2234" s="225"/>
      <c r="K2234" s="243"/>
      <c r="L2234" s="220">
        <f t="shared" si="979"/>
        <v>0</v>
      </c>
      <c r="O2234" s="6" t="s">
        <v>3</v>
      </c>
      <c r="P2234" s="7"/>
      <c r="Q2234" s="5">
        <f t="shared" si="980"/>
        <v>0</v>
      </c>
      <c r="R2234" s="186"/>
      <c r="S2234" s="6" t="s">
        <v>3</v>
      </c>
      <c r="T2234" s="7"/>
      <c r="U2234" s="5">
        <f t="shared" si="981"/>
        <v>0</v>
      </c>
    </row>
    <row r="2235" spans="1:21" x14ac:dyDescent="0.15">
      <c r="B2235" s="6" t="s">
        <v>3</v>
      </c>
      <c r="C2235" s="188"/>
      <c r="D2235" s="6"/>
      <c r="E2235" s="202"/>
      <c r="F2235" s="220">
        <f t="shared" si="982"/>
        <v>0</v>
      </c>
      <c r="G2235" s="212"/>
      <c r="H2235" s="6" t="s">
        <v>3</v>
      </c>
      <c r="I2235" s="188"/>
      <c r="J2235" s="6"/>
      <c r="K2235" s="202"/>
      <c r="L2235" s="220">
        <f t="shared" si="979"/>
        <v>0</v>
      </c>
      <c r="O2235" s="6" t="s">
        <v>3</v>
      </c>
      <c r="P2235" s="7"/>
      <c r="Q2235" s="5">
        <f t="shared" si="980"/>
        <v>0</v>
      </c>
      <c r="R2235" s="186"/>
      <c r="S2235" s="6" t="s">
        <v>3</v>
      </c>
      <c r="T2235" s="7"/>
      <c r="U2235" s="5">
        <f t="shared" si="981"/>
        <v>0</v>
      </c>
    </row>
    <row r="2236" spans="1:21" x14ac:dyDescent="0.15">
      <c r="B2236" s="6" t="s">
        <v>3</v>
      </c>
      <c r="C2236" s="188"/>
      <c r="D2236" s="225"/>
      <c r="E2236" s="243"/>
      <c r="F2236" s="220">
        <f t="shared" si="982"/>
        <v>0</v>
      </c>
      <c r="H2236" s="6" t="s">
        <v>3</v>
      </c>
      <c r="I2236" s="188"/>
      <c r="J2236" s="225"/>
      <c r="K2236" s="243"/>
      <c r="L2236" s="220">
        <f t="shared" si="979"/>
        <v>0</v>
      </c>
      <c r="O2236" s="6" t="s">
        <v>3</v>
      </c>
      <c r="P2236" s="8"/>
      <c r="Q2236" s="5">
        <f t="shared" si="980"/>
        <v>0</v>
      </c>
      <c r="R2236" s="186"/>
      <c r="S2236" s="6" t="s">
        <v>3</v>
      </c>
      <c r="T2236" s="8"/>
      <c r="U2236" s="5">
        <f t="shared" si="981"/>
        <v>0</v>
      </c>
    </row>
    <row r="2237" spans="1:21" x14ac:dyDescent="0.15">
      <c r="B2237" s="6" t="s">
        <v>3</v>
      </c>
      <c r="C2237" s="188"/>
      <c r="D2237" s="225"/>
      <c r="E2237" s="243"/>
      <c r="F2237" s="220">
        <f t="shared" si="982"/>
        <v>0</v>
      </c>
      <c r="H2237" s="6" t="s">
        <v>3</v>
      </c>
      <c r="I2237" s="188"/>
      <c r="J2237" s="225"/>
      <c r="K2237" s="243"/>
      <c r="L2237" s="220">
        <f t="shared" si="979"/>
        <v>0</v>
      </c>
      <c r="O2237" s="6" t="s">
        <v>3</v>
      </c>
      <c r="P2237" s="8"/>
      <c r="Q2237" s="5">
        <f t="shared" si="980"/>
        <v>0</v>
      </c>
      <c r="R2237" s="186"/>
      <c r="S2237" s="6" t="s">
        <v>3</v>
      </c>
      <c r="T2237" s="8"/>
      <c r="U2237" s="5">
        <f t="shared" si="981"/>
        <v>0</v>
      </c>
    </row>
    <row r="2238" spans="1:21" x14ac:dyDescent="0.15">
      <c r="B2238" s="6" t="s">
        <v>3</v>
      </c>
      <c r="C2238" s="188"/>
      <c r="D2238" s="225"/>
      <c r="E2238" s="243"/>
      <c r="F2238" s="220">
        <f t="shared" si="982"/>
        <v>0</v>
      </c>
      <c r="H2238" s="6" t="s">
        <v>3</v>
      </c>
      <c r="I2238" s="188"/>
      <c r="J2238" s="225"/>
      <c r="K2238" s="243"/>
      <c r="L2238" s="220">
        <f t="shared" si="979"/>
        <v>0</v>
      </c>
      <c r="O2238" s="6" t="s">
        <v>3</v>
      </c>
      <c r="P2238" s="8"/>
      <c r="Q2238" s="5">
        <f t="shared" si="980"/>
        <v>0</v>
      </c>
      <c r="R2238" s="186"/>
      <c r="S2238" s="6" t="s">
        <v>3</v>
      </c>
      <c r="T2238" s="8"/>
      <c r="U2238" s="5">
        <f t="shared" si="981"/>
        <v>0</v>
      </c>
    </row>
    <row r="2239" spans="1:21" ht="14.25" thickBot="1" x14ac:dyDescent="0.2">
      <c r="B2239" s="9" t="s">
        <v>3</v>
      </c>
      <c r="C2239" s="198"/>
      <c r="D2239" s="244"/>
      <c r="E2239" s="245"/>
      <c r="F2239" s="220">
        <f t="shared" si="982"/>
        <v>0</v>
      </c>
      <c r="H2239" s="9" t="s">
        <v>3</v>
      </c>
      <c r="I2239" s="198"/>
      <c r="J2239" s="244"/>
      <c r="K2239" s="245"/>
      <c r="L2239" s="220">
        <f t="shared" si="979"/>
        <v>0</v>
      </c>
      <c r="O2239" s="9" t="s">
        <v>3</v>
      </c>
      <c r="P2239" s="10"/>
      <c r="Q2239" s="5">
        <f t="shared" si="980"/>
        <v>0</v>
      </c>
      <c r="R2239" s="186"/>
      <c r="S2239" s="9" t="s">
        <v>3</v>
      </c>
      <c r="T2239" s="10"/>
      <c r="U2239" s="5">
        <f t="shared" si="981"/>
        <v>0</v>
      </c>
    </row>
    <row r="2240" spans="1:21" ht="14.25" thickBot="1" x14ac:dyDescent="0.2">
      <c r="B2240" s="11" t="s">
        <v>4</v>
      </c>
      <c r="C2240" s="193">
        <f>SUM(C2229:C2239)</f>
        <v>306</v>
      </c>
      <c r="D2240" s="193">
        <f>SUM(D2229:D2239)</f>
        <v>142</v>
      </c>
      <c r="E2240" s="193">
        <f>SUM(E2229:E2239)</f>
        <v>138</v>
      </c>
      <c r="F2240" s="221">
        <f>SUM(F2229:F2239)</f>
        <v>586</v>
      </c>
      <c r="H2240" s="11" t="s">
        <v>4</v>
      </c>
      <c r="I2240" s="193">
        <f>SUM(I2229:I2239)</f>
        <v>5610</v>
      </c>
      <c r="J2240" s="193">
        <f t="shared" ref="J2240:K2240" si="983">SUM(J2229:J2239)</f>
        <v>1664</v>
      </c>
      <c r="K2240" s="193">
        <f t="shared" si="983"/>
        <v>1835</v>
      </c>
      <c r="L2240" s="221">
        <f>SUM(L2229:L2239)</f>
        <v>9220</v>
      </c>
      <c r="O2240" s="11" t="s">
        <v>4</v>
      </c>
      <c r="P2240" s="12">
        <f>SUM(P2229:P2239)</f>
        <v>0</v>
      </c>
      <c r="Q2240" s="13">
        <f>SUM(Q2229:Q2239)</f>
        <v>0</v>
      </c>
      <c r="S2240" s="11" t="s">
        <v>4</v>
      </c>
      <c r="T2240" s="12">
        <f>SUM(T2229:T2239)</f>
        <v>1493</v>
      </c>
      <c r="U2240" s="13">
        <f>SUM(U2229:U2239)</f>
        <v>1493</v>
      </c>
    </row>
    <row r="2241" spans="2:21" x14ac:dyDescent="0.15">
      <c r="B2241" s="4" t="s">
        <v>749</v>
      </c>
      <c r="C2241" s="233">
        <v>2</v>
      </c>
      <c r="D2241" s="234"/>
      <c r="E2241" s="234"/>
      <c r="F2241" s="220">
        <f t="shared" ref="F2241:F2264" si="984">SUM(C2241:E2241)</f>
        <v>2</v>
      </c>
      <c r="G2241" s="248">
        <v>46143</v>
      </c>
      <c r="H2241" s="4" t="s">
        <v>1377</v>
      </c>
      <c r="I2241" s="233"/>
      <c r="J2241" s="234">
        <v>50</v>
      </c>
      <c r="K2241" s="234">
        <v>60</v>
      </c>
      <c r="L2241" s="220">
        <f t="shared" ref="L2241:L2242" si="985">SUM(I2241:K2241)</f>
        <v>110</v>
      </c>
      <c r="M2241" s="248">
        <v>46144</v>
      </c>
      <c r="O2241" s="4"/>
      <c r="P2241" s="44"/>
      <c r="Q2241" s="14">
        <f t="shared" ref="Q2241:Q2264" si="986">SUM(P2241:P2241)</f>
        <v>0</v>
      </c>
      <c r="R2241" s="185"/>
      <c r="S2241" s="4"/>
      <c r="T2241" s="15"/>
      <c r="U2241" s="14">
        <f t="shared" ref="U2241:U2260" si="987">SUM(T2241:T2241)</f>
        <v>0</v>
      </c>
    </row>
    <row r="2242" spans="2:21" x14ac:dyDescent="0.15">
      <c r="B2242" s="4" t="s">
        <v>1378</v>
      </c>
      <c r="C2242" s="233">
        <v>2</v>
      </c>
      <c r="D2242" s="234">
        <v>1</v>
      </c>
      <c r="E2242" s="234"/>
      <c r="F2242" s="220">
        <f t="shared" si="984"/>
        <v>3</v>
      </c>
      <c r="G2242" s="211">
        <v>46150</v>
      </c>
      <c r="H2242" s="4" t="s">
        <v>1379</v>
      </c>
      <c r="I2242" s="233">
        <v>4</v>
      </c>
      <c r="J2242" s="234"/>
      <c r="K2242" s="234"/>
      <c r="L2242" s="220">
        <f t="shared" si="985"/>
        <v>4</v>
      </c>
      <c r="M2242" s="211">
        <v>46154</v>
      </c>
      <c r="O2242" s="4"/>
      <c r="P2242" s="15"/>
      <c r="Q2242" s="14">
        <f t="shared" si="986"/>
        <v>0</v>
      </c>
      <c r="R2242" s="186"/>
      <c r="S2242" s="4"/>
      <c r="T2242" s="15"/>
      <c r="U2242" s="14">
        <f t="shared" si="987"/>
        <v>0</v>
      </c>
    </row>
    <row r="2243" spans="2:21" x14ac:dyDescent="0.15">
      <c r="B2243" s="4" t="s">
        <v>749</v>
      </c>
      <c r="C2243" s="233">
        <v>10</v>
      </c>
      <c r="D2243" s="234">
        <v>6</v>
      </c>
      <c r="E2243" s="234">
        <v>1</v>
      </c>
      <c r="F2243" s="220">
        <f t="shared" si="984"/>
        <v>17</v>
      </c>
      <c r="G2243" s="248">
        <v>46149</v>
      </c>
      <c r="H2243" s="4" t="s">
        <v>765</v>
      </c>
      <c r="I2243" s="233">
        <v>100</v>
      </c>
      <c r="J2243" s="234"/>
      <c r="K2243" s="234"/>
      <c r="L2243" s="220">
        <f t="shared" ref="L2243:L2252" si="988">SUM(I2243:K2243)</f>
        <v>100</v>
      </c>
      <c r="M2243" s="211">
        <v>46158</v>
      </c>
      <c r="O2243" s="4"/>
      <c r="P2243" s="15"/>
      <c r="Q2243" s="14">
        <f t="shared" si="986"/>
        <v>0</v>
      </c>
      <c r="R2243" s="186"/>
      <c r="S2243" s="4"/>
      <c r="T2243" s="15"/>
      <c r="U2243" s="14">
        <f t="shared" si="987"/>
        <v>0</v>
      </c>
    </row>
    <row r="2244" spans="2:21" x14ac:dyDescent="0.15">
      <c r="B2244" s="4" t="s">
        <v>749</v>
      </c>
      <c r="C2244" s="233">
        <v>13</v>
      </c>
      <c r="D2244" s="234">
        <v>5</v>
      </c>
      <c r="E2244" s="234">
        <v>3</v>
      </c>
      <c r="F2244" s="220">
        <f t="shared" si="984"/>
        <v>21</v>
      </c>
      <c r="G2244" s="211">
        <v>46153</v>
      </c>
      <c r="H2244" s="6" t="s">
        <v>1384</v>
      </c>
      <c r="I2244" s="233">
        <v>400</v>
      </c>
      <c r="J2244" s="234"/>
      <c r="K2244" s="234"/>
      <c r="L2244" s="220">
        <f t="shared" si="988"/>
        <v>400</v>
      </c>
      <c r="M2244" s="211">
        <v>46163</v>
      </c>
      <c r="O2244" s="4"/>
      <c r="P2244" s="15"/>
      <c r="Q2244" s="14">
        <f t="shared" si="986"/>
        <v>0</v>
      </c>
      <c r="R2244" s="186"/>
      <c r="S2244" s="4"/>
      <c r="T2244" s="15"/>
      <c r="U2244" s="14">
        <f t="shared" si="987"/>
        <v>0</v>
      </c>
    </row>
    <row r="2245" spans="2:21" x14ac:dyDescent="0.15">
      <c r="B2245" s="4" t="s">
        <v>764</v>
      </c>
      <c r="C2245" s="233">
        <v>30</v>
      </c>
      <c r="D2245" s="234">
        <v>10</v>
      </c>
      <c r="E2245" s="234">
        <v>10</v>
      </c>
      <c r="F2245" s="220">
        <f t="shared" si="984"/>
        <v>50</v>
      </c>
      <c r="G2245" s="211">
        <v>46154</v>
      </c>
      <c r="H2245" s="4" t="s">
        <v>765</v>
      </c>
      <c r="I2245" s="233">
        <v>100</v>
      </c>
      <c r="J2245" s="234">
        <v>47</v>
      </c>
      <c r="K2245" s="234">
        <v>50</v>
      </c>
      <c r="L2245" s="220">
        <f t="shared" si="988"/>
        <v>197</v>
      </c>
      <c r="M2245" s="211">
        <v>46172</v>
      </c>
      <c r="O2245" s="4"/>
      <c r="P2245" s="15"/>
      <c r="Q2245" s="14">
        <f t="shared" si="986"/>
        <v>0</v>
      </c>
      <c r="R2245" s="186"/>
      <c r="S2245" s="4"/>
      <c r="T2245" s="15"/>
      <c r="U2245" s="14">
        <f t="shared" si="987"/>
        <v>0</v>
      </c>
    </row>
    <row r="2246" spans="2:21" x14ac:dyDescent="0.15">
      <c r="B2246" s="4" t="s">
        <v>749</v>
      </c>
      <c r="C2246" s="233">
        <v>4</v>
      </c>
      <c r="D2246" s="234"/>
      <c r="E2246" s="234"/>
      <c r="F2246" s="220">
        <f t="shared" si="984"/>
        <v>4</v>
      </c>
      <c r="G2246" s="211">
        <v>46154</v>
      </c>
      <c r="H2246" s="4"/>
      <c r="I2246" s="233"/>
      <c r="J2246" s="234"/>
      <c r="K2246" s="234"/>
      <c r="L2246" s="220">
        <f t="shared" ref="L2246" si="989">SUM(I2246:K2246)</f>
        <v>0</v>
      </c>
      <c r="O2246" s="4"/>
      <c r="P2246" s="15"/>
      <c r="Q2246" s="14">
        <f t="shared" si="986"/>
        <v>0</v>
      </c>
      <c r="R2246" s="186"/>
      <c r="S2246" s="4"/>
      <c r="T2246" s="15"/>
      <c r="U2246" s="14">
        <f t="shared" si="987"/>
        <v>0</v>
      </c>
    </row>
    <row r="2247" spans="2:21" x14ac:dyDescent="0.15">
      <c r="B2247" s="4" t="s">
        <v>749</v>
      </c>
      <c r="C2247" s="233">
        <v>13</v>
      </c>
      <c r="D2247" s="234"/>
      <c r="E2247" s="234">
        <v>2</v>
      </c>
      <c r="F2247" s="220">
        <f t="shared" si="984"/>
        <v>15</v>
      </c>
      <c r="G2247" s="211">
        <v>46155</v>
      </c>
      <c r="H2247" s="4"/>
      <c r="I2247" s="233"/>
      <c r="J2247" s="234"/>
      <c r="K2247" s="234"/>
      <c r="L2247" s="220">
        <f t="shared" si="988"/>
        <v>0</v>
      </c>
      <c r="O2247" s="4"/>
      <c r="P2247" s="15"/>
      <c r="Q2247" s="14">
        <f t="shared" si="986"/>
        <v>0</v>
      </c>
      <c r="R2247" s="186"/>
      <c r="S2247" s="4"/>
      <c r="T2247" s="15"/>
      <c r="U2247" s="14">
        <f t="shared" si="987"/>
        <v>0</v>
      </c>
    </row>
    <row r="2248" spans="2:21" x14ac:dyDescent="0.15">
      <c r="B2248" s="4" t="s">
        <v>749</v>
      </c>
      <c r="C2248" s="233"/>
      <c r="D2248" s="234"/>
      <c r="E2248" s="234">
        <v>1</v>
      </c>
      <c r="F2248" s="220">
        <f t="shared" si="984"/>
        <v>1</v>
      </c>
      <c r="G2248" s="248">
        <v>46156</v>
      </c>
      <c r="H2248" s="4"/>
      <c r="I2248" s="233"/>
      <c r="J2248" s="234"/>
      <c r="K2248" s="234"/>
      <c r="L2248" s="220">
        <f t="shared" si="988"/>
        <v>0</v>
      </c>
      <c r="O2248" s="4"/>
      <c r="P2248" s="15"/>
      <c r="Q2248" s="14">
        <f t="shared" si="986"/>
        <v>0</v>
      </c>
      <c r="R2248" s="186"/>
      <c r="S2248" s="4"/>
      <c r="T2248" s="15"/>
      <c r="U2248" s="14">
        <f t="shared" si="987"/>
        <v>0</v>
      </c>
    </row>
    <row r="2249" spans="2:21" x14ac:dyDescent="0.15">
      <c r="B2249" s="4" t="s">
        <v>749</v>
      </c>
      <c r="C2249" s="233">
        <v>5</v>
      </c>
      <c r="D2249" s="234"/>
      <c r="E2249" s="234">
        <v>1</v>
      </c>
      <c r="F2249" s="220">
        <f t="shared" si="984"/>
        <v>6</v>
      </c>
      <c r="G2249" s="248">
        <v>46157</v>
      </c>
      <c r="H2249" s="4"/>
      <c r="I2249" s="233"/>
      <c r="J2249" s="234"/>
      <c r="K2249" s="234"/>
      <c r="L2249" s="220">
        <f t="shared" si="988"/>
        <v>0</v>
      </c>
      <c r="O2249" s="4"/>
      <c r="P2249" s="15"/>
      <c r="Q2249" s="14">
        <f t="shared" si="986"/>
        <v>0</v>
      </c>
      <c r="R2249" s="186"/>
      <c r="S2249" s="4"/>
      <c r="T2249" s="15"/>
      <c r="U2249" s="14">
        <f t="shared" si="987"/>
        <v>0</v>
      </c>
    </row>
    <row r="2250" spans="2:21" x14ac:dyDescent="0.15">
      <c r="B2250" s="4" t="s">
        <v>1376</v>
      </c>
      <c r="C2250" s="233">
        <v>4</v>
      </c>
      <c r="D2250" s="234">
        <v>1</v>
      </c>
      <c r="E2250" s="234">
        <v>1</v>
      </c>
      <c r="F2250" s="220">
        <f t="shared" si="984"/>
        <v>6</v>
      </c>
      <c r="G2250" s="211">
        <v>46161</v>
      </c>
      <c r="H2250" s="4"/>
      <c r="I2250" s="233"/>
      <c r="J2250" s="234"/>
      <c r="K2250" s="234"/>
      <c r="L2250" s="220">
        <f t="shared" si="988"/>
        <v>0</v>
      </c>
      <c r="O2250" s="4"/>
      <c r="P2250" s="15"/>
      <c r="Q2250" s="14">
        <f t="shared" si="986"/>
        <v>0</v>
      </c>
      <c r="R2250" s="186"/>
      <c r="S2250" s="4"/>
      <c r="T2250" s="15"/>
      <c r="U2250" s="14">
        <f t="shared" si="987"/>
        <v>0</v>
      </c>
    </row>
    <row r="2251" spans="2:21" x14ac:dyDescent="0.15">
      <c r="B2251" s="4" t="s">
        <v>749</v>
      </c>
      <c r="C2251" s="233">
        <v>25</v>
      </c>
      <c r="D2251" s="234">
        <v>6</v>
      </c>
      <c r="E2251" s="234">
        <v>3</v>
      </c>
      <c r="F2251" s="220">
        <f t="shared" si="984"/>
        <v>34</v>
      </c>
      <c r="G2251" s="248">
        <v>46160</v>
      </c>
      <c r="H2251" s="4"/>
      <c r="I2251" s="233"/>
      <c r="J2251" s="234"/>
      <c r="K2251" s="234"/>
      <c r="L2251" s="220">
        <f t="shared" si="988"/>
        <v>0</v>
      </c>
      <c r="O2251" s="4"/>
      <c r="P2251" s="15"/>
      <c r="Q2251" s="14">
        <f t="shared" si="986"/>
        <v>0</v>
      </c>
      <c r="R2251" s="186"/>
      <c r="S2251" s="4"/>
      <c r="T2251" s="15"/>
      <c r="U2251" s="14">
        <f t="shared" si="987"/>
        <v>0</v>
      </c>
    </row>
    <row r="2252" spans="2:21" x14ac:dyDescent="0.15">
      <c r="B2252" s="4" t="s">
        <v>749</v>
      </c>
      <c r="C2252" s="233">
        <v>5</v>
      </c>
      <c r="D2252" s="234">
        <v>1</v>
      </c>
      <c r="E2252" s="234"/>
      <c r="F2252" s="220">
        <f t="shared" si="984"/>
        <v>6</v>
      </c>
      <c r="G2252" s="211">
        <v>46161</v>
      </c>
      <c r="H2252" s="4"/>
      <c r="I2252" s="233"/>
      <c r="J2252" s="234"/>
      <c r="K2252" s="234"/>
      <c r="L2252" s="220">
        <f t="shared" si="988"/>
        <v>0</v>
      </c>
      <c r="O2252" s="6"/>
      <c r="P2252" s="15"/>
      <c r="Q2252" s="14">
        <f t="shared" si="986"/>
        <v>0</v>
      </c>
      <c r="R2252" s="186"/>
      <c r="S2252" s="6"/>
      <c r="T2252" s="15"/>
      <c r="U2252" s="14">
        <f t="shared" si="987"/>
        <v>0</v>
      </c>
    </row>
    <row r="2253" spans="2:21" x14ac:dyDescent="0.15">
      <c r="B2253" s="4" t="s">
        <v>1376</v>
      </c>
      <c r="C2253" s="233">
        <v>3</v>
      </c>
      <c r="D2253" s="234"/>
      <c r="E2253" s="234">
        <v>1</v>
      </c>
      <c r="F2253" s="220">
        <f t="shared" si="984"/>
        <v>4</v>
      </c>
      <c r="G2253" s="211">
        <v>46163</v>
      </c>
      <c r="H2253" s="4"/>
      <c r="I2253" s="233"/>
      <c r="J2253" s="234"/>
      <c r="K2253" s="234"/>
      <c r="L2253" s="220">
        <f t="shared" ref="L2253:L2264" si="990">SUM(I2253:K2253)</f>
        <v>0</v>
      </c>
      <c r="O2253" s="6"/>
      <c r="P2253" s="15"/>
      <c r="Q2253" s="14">
        <f t="shared" si="986"/>
        <v>0</v>
      </c>
      <c r="R2253" s="186"/>
      <c r="S2253" s="6"/>
      <c r="T2253" s="15"/>
      <c r="U2253" s="14">
        <f t="shared" si="987"/>
        <v>0</v>
      </c>
    </row>
    <row r="2254" spans="2:21" x14ac:dyDescent="0.15">
      <c r="B2254" s="4" t="s">
        <v>749</v>
      </c>
      <c r="C2254" s="233">
        <v>10</v>
      </c>
      <c r="D2254" s="234">
        <v>3</v>
      </c>
      <c r="E2254" s="234">
        <v>2</v>
      </c>
      <c r="F2254" s="220">
        <f t="shared" si="984"/>
        <v>15</v>
      </c>
      <c r="G2254" s="211">
        <v>46162</v>
      </c>
      <c r="H2254" s="4"/>
      <c r="I2254" s="233"/>
      <c r="J2254" s="234"/>
      <c r="K2254" s="234"/>
      <c r="L2254" s="220">
        <f t="shared" si="990"/>
        <v>0</v>
      </c>
      <c r="O2254" s="4"/>
      <c r="P2254" s="15"/>
      <c r="Q2254" s="14">
        <f t="shared" si="986"/>
        <v>0</v>
      </c>
      <c r="R2254" s="186"/>
      <c r="S2254" s="4"/>
      <c r="T2254" s="15"/>
      <c r="U2254" s="14">
        <f t="shared" si="987"/>
        <v>0</v>
      </c>
    </row>
    <row r="2255" spans="2:21" x14ac:dyDescent="0.15">
      <c r="B2255" s="4" t="s">
        <v>749</v>
      </c>
      <c r="C2255" s="233">
        <v>1</v>
      </c>
      <c r="D2255" s="234">
        <v>1</v>
      </c>
      <c r="E2255" s="234"/>
      <c r="F2255" s="220">
        <f t="shared" si="984"/>
        <v>2</v>
      </c>
      <c r="G2255" s="211">
        <v>46163</v>
      </c>
      <c r="H2255" s="4"/>
      <c r="I2255" s="233"/>
      <c r="J2255" s="234"/>
      <c r="K2255" s="234"/>
      <c r="L2255" s="220">
        <f t="shared" si="990"/>
        <v>0</v>
      </c>
      <c r="O2255" s="4"/>
      <c r="P2255" s="15"/>
      <c r="Q2255" s="14">
        <f t="shared" si="986"/>
        <v>0</v>
      </c>
      <c r="R2255" s="186"/>
      <c r="S2255" s="4"/>
      <c r="T2255" s="15"/>
      <c r="U2255" s="14">
        <f t="shared" si="987"/>
        <v>0</v>
      </c>
    </row>
    <row r="2256" spans="2:21" x14ac:dyDescent="0.15">
      <c r="B2256" s="4" t="s">
        <v>749</v>
      </c>
      <c r="C2256" s="233">
        <v>1</v>
      </c>
      <c r="D2256" s="234">
        <v>1</v>
      </c>
      <c r="E2256" s="234"/>
      <c r="F2256" s="220">
        <f t="shared" si="984"/>
        <v>2</v>
      </c>
      <c r="G2256" s="211">
        <v>46164</v>
      </c>
      <c r="H2256" s="4"/>
      <c r="I2256" s="233"/>
      <c r="J2256" s="234"/>
      <c r="K2256" s="234"/>
      <c r="L2256" s="220">
        <f t="shared" si="990"/>
        <v>0</v>
      </c>
      <c r="O2256" s="4"/>
      <c r="P2256" s="15"/>
      <c r="Q2256" s="14">
        <f t="shared" si="986"/>
        <v>0</v>
      </c>
      <c r="R2256" s="186"/>
      <c r="S2256" s="4"/>
      <c r="T2256" s="15"/>
      <c r="U2256" s="14">
        <f t="shared" si="987"/>
        <v>0</v>
      </c>
    </row>
    <row r="2257" spans="1:22" x14ac:dyDescent="0.15">
      <c r="B2257" s="4" t="s">
        <v>1376</v>
      </c>
      <c r="C2257" s="233">
        <v>4</v>
      </c>
      <c r="D2257" s="234">
        <v>2</v>
      </c>
      <c r="E2257" s="234">
        <v>6</v>
      </c>
      <c r="F2257" s="220">
        <f t="shared" si="984"/>
        <v>12</v>
      </c>
      <c r="G2257" s="211">
        <v>46168</v>
      </c>
      <c r="H2257" s="4"/>
      <c r="I2257" s="233"/>
      <c r="J2257" s="234"/>
      <c r="K2257" s="234"/>
      <c r="L2257" s="220">
        <f t="shared" si="990"/>
        <v>0</v>
      </c>
      <c r="O2257" s="6"/>
      <c r="P2257" s="15"/>
      <c r="Q2257" s="14">
        <f t="shared" si="986"/>
        <v>0</v>
      </c>
      <c r="R2257" s="186"/>
      <c r="S2257" s="6"/>
      <c r="T2257" s="15"/>
      <c r="U2257" s="14">
        <f t="shared" si="987"/>
        <v>0</v>
      </c>
    </row>
    <row r="2258" spans="1:22" x14ac:dyDescent="0.15">
      <c r="B2258" s="4" t="s">
        <v>749</v>
      </c>
      <c r="C2258" s="233">
        <v>5</v>
      </c>
      <c r="D2258" s="234">
        <v>4</v>
      </c>
      <c r="E2258" s="234">
        <v>2</v>
      </c>
      <c r="F2258" s="220">
        <f t="shared" si="984"/>
        <v>11</v>
      </c>
      <c r="G2258" s="211">
        <v>46167</v>
      </c>
      <c r="H2258" s="4"/>
      <c r="I2258" s="233"/>
      <c r="J2258" s="234"/>
      <c r="K2258" s="234"/>
      <c r="L2258" s="220">
        <f t="shared" si="990"/>
        <v>0</v>
      </c>
      <c r="O2258" s="4"/>
      <c r="P2258" s="15"/>
      <c r="Q2258" s="14">
        <f t="shared" si="986"/>
        <v>0</v>
      </c>
      <c r="R2258" s="186"/>
      <c r="S2258" s="4"/>
      <c r="T2258" s="15"/>
      <c r="U2258" s="14">
        <f t="shared" si="987"/>
        <v>0</v>
      </c>
    </row>
    <row r="2259" spans="1:22" x14ac:dyDescent="0.15">
      <c r="B2259" s="4" t="s">
        <v>749</v>
      </c>
      <c r="C2259" s="233">
        <v>5</v>
      </c>
      <c r="D2259" s="234">
        <v>1</v>
      </c>
      <c r="E2259" s="234">
        <v>1</v>
      </c>
      <c r="F2259" s="220">
        <f t="shared" si="984"/>
        <v>7</v>
      </c>
      <c r="G2259" s="211">
        <v>46168</v>
      </c>
      <c r="H2259" s="4"/>
      <c r="I2259" s="233"/>
      <c r="J2259" s="234"/>
      <c r="K2259" s="234"/>
      <c r="L2259" s="220">
        <f t="shared" si="990"/>
        <v>0</v>
      </c>
      <c r="O2259" s="6"/>
      <c r="P2259" s="15"/>
      <c r="Q2259" s="14">
        <f t="shared" si="986"/>
        <v>0</v>
      </c>
      <c r="R2259" s="186"/>
      <c r="S2259" s="6"/>
      <c r="T2259" s="15"/>
      <c r="U2259" s="14">
        <f t="shared" si="987"/>
        <v>0</v>
      </c>
    </row>
    <row r="2260" spans="1:22" x14ac:dyDescent="0.15">
      <c r="B2260" s="4" t="s">
        <v>749</v>
      </c>
      <c r="C2260" s="233">
        <v>2</v>
      </c>
      <c r="D2260" s="234">
        <v>1</v>
      </c>
      <c r="E2260" s="234">
        <v>2</v>
      </c>
      <c r="F2260" s="220">
        <f t="shared" si="984"/>
        <v>5</v>
      </c>
      <c r="G2260" s="211">
        <v>46169</v>
      </c>
      <c r="H2260" s="4"/>
      <c r="I2260" s="233"/>
      <c r="J2260" s="234"/>
      <c r="K2260" s="234"/>
      <c r="L2260" s="220">
        <f t="shared" si="990"/>
        <v>0</v>
      </c>
      <c r="O2260" s="4"/>
      <c r="P2260" s="15"/>
      <c r="Q2260" s="14">
        <f t="shared" si="986"/>
        <v>0</v>
      </c>
      <c r="R2260" s="186"/>
      <c r="S2260" s="4"/>
      <c r="T2260" s="15"/>
      <c r="U2260" s="14">
        <f t="shared" si="987"/>
        <v>0</v>
      </c>
    </row>
    <row r="2261" spans="1:22" x14ac:dyDescent="0.15">
      <c r="B2261" s="4" t="s">
        <v>1376</v>
      </c>
      <c r="C2261" s="233">
        <v>2</v>
      </c>
      <c r="D2261" s="234"/>
      <c r="E2261" s="234"/>
      <c r="F2261" s="220">
        <f t="shared" si="984"/>
        <v>2</v>
      </c>
      <c r="G2261" s="211">
        <v>46171</v>
      </c>
      <c r="H2261" s="4"/>
      <c r="I2261" s="233"/>
      <c r="J2261" s="234"/>
      <c r="K2261" s="234"/>
      <c r="L2261" s="220">
        <f t="shared" si="990"/>
        <v>0</v>
      </c>
      <c r="O2261" s="4"/>
      <c r="P2261" s="15"/>
      <c r="Q2261" s="14">
        <f t="shared" si="986"/>
        <v>0</v>
      </c>
      <c r="R2261" s="186"/>
      <c r="S2261" s="4"/>
      <c r="T2261" s="15"/>
      <c r="U2261" s="14">
        <f t="shared" ref="U2261:U2264" si="991">SUM(T2261:T2261)</f>
        <v>0</v>
      </c>
    </row>
    <row r="2262" spans="1:22" x14ac:dyDescent="0.15">
      <c r="B2262" s="4" t="s">
        <v>749</v>
      </c>
      <c r="C2262" s="233">
        <v>5</v>
      </c>
      <c r="D2262" s="234"/>
      <c r="E2262" s="234">
        <v>1</v>
      </c>
      <c r="F2262" s="220">
        <f t="shared" si="984"/>
        <v>6</v>
      </c>
      <c r="G2262" s="248">
        <v>46170</v>
      </c>
      <c r="H2262" s="4"/>
      <c r="I2262" s="233"/>
      <c r="J2262" s="234"/>
      <c r="K2262" s="234"/>
      <c r="L2262" s="220">
        <f t="shared" si="990"/>
        <v>0</v>
      </c>
      <c r="O2262" s="4"/>
      <c r="P2262" s="15"/>
      <c r="Q2262" s="14">
        <f t="shared" si="986"/>
        <v>0</v>
      </c>
      <c r="R2262" s="186"/>
      <c r="S2262" s="4"/>
      <c r="T2262" s="15"/>
      <c r="U2262" s="14">
        <f t="shared" si="991"/>
        <v>0</v>
      </c>
    </row>
    <row r="2263" spans="1:22" x14ac:dyDescent="0.15">
      <c r="B2263" s="4" t="s">
        <v>749</v>
      </c>
      <c r="C2263" s="233">
        <v>3</v>
      </c>
      <c r="D2263" s="234"/>
      <c r="E2263" s="234"/>
      <c r="F2263" s="220">
        <f t="shared" si="984"/>
        <v>3</v>
      </c>
      <c r="G2263" s="211">
        <v>46171</v>
      </c>
      <c r="H2263" s="4"/>
      <c r="I2263" s="233"/>
      <c r="J2263" s="234"/>
      <c r="K2263" s="234"/>
      <c r="L2263" s="220">
        <f t="shared" si="990"/>
        <v>0</v>
      </c>
      <c r="O2263" s="6"/>
      <c r="P2263" s="15"/>
      <c r="Q2263" s="14">
        <f t="shared" si="986"/>
        <v>0</v>
      </c>
      <c r="R2263" s="186"/>
      <c r="S2263" s="4"/>
      <c r="T2263" s="15"/>
      <c r="U2263" s="14">
        <f t="shared" si="991"/>
        <v>0</v>
      </c>
    </row>
    <row r="2264" spans="1:22" ht="14.25" thickBot="1" x14ac:dyDescent="0.2">
      <c r="B2264" s="4" t="s">
        <v>1376</v>
      </c>
      <c r="C2264" s="233"/>
      <c r="D2264" s="234">
        <v>1</v>
      </c>
      <c r="E2264" s="234"/>
      <c r="F2264" s="220">
        <f t="shared" si="984"/>
        <v>1</v>
      </c>
      <c r="G2264" s="211">
        <v>46175</v>
      </c>
      <c r="H2264" s="4"/>
      <c r="I2264" s="233"/>
      <c r="J2264" s="234"/>
      <c r="K2264" s="234"/>
      <c r="L2264" s="220">
        <f t="shared" si="990"/>
        <v>0</v>
      </c>
      <c r="O2264" s="6"/>
      <c r="P2264" s="15"/>
      <c r="Q2264" s="14">
        <f t="shared" si="986"/>
        <v>0</v>
      </c>
      <c r="R2264" s="186"/>
      <c r="S2264" s="4"/>
      <c r="T2264" s="15"/>
      <c r="U2264" s="14">
        <f t="shared" si="991"/>
        <v>0</v>
      </c>
    </row>
    <row r="2265" spans="1:22" ht="14.25" thickBot="1" x14ac:dyDescent="0.2">
      <c r="B2265" s="3" t="s">
        <v>5</v>
      </c>
      <c r="C2265" s="16">
        <f>SUM(C2241:C2264)</f>
        <v>154</v>
      </c>
      <c r="D2265" s="16">
        <f>SUM(D2241:D2264)</f>
        <v>44</v>
      </c>
      <c r="E2265" s="16">
        <f>SUM(E2241:E2264)</f>
        <v>37</v>
      </c>
      <c r="F2265" s="223">
        <f>SUM(F2241:F2264)</f>
        <v>235</v>
      </c>
      <c r="H2265" s="3" t="s">
        <v>5</v>
      </c>
      <c r="I2265" s="16">
        <f>SUM(I2241:I2264)</f>
        <v>604</v>
      </c>
      <c r="J2265" s="16">
        <f t="shared" ref="J2265:K2265" si="992">SUM(J2241:J2264)</f>
        <v>97</v>
      </c>
      <c r="K2265" s="16">
        <f t="shared" si="992"/>
        <v>110</v>
      </c>
      <c r="L2265" s="223">
        <f>SUM(L2241:L2264)</f>
        <v>811</v>
      </c>
      <c r="O2265" s="3" t="s">
        <v>5</v>
      </c>
      <c r="P2265" s="16">
        <f>SUM(P2241:P2264)</f>
        <v>0</v>
      </c>
      <c r="Q2265" s="17">
        <f>SUM(Q2241:Q2264)</f>
        <v>0</v>
      </c>
      <c r="S2265" s="3" t="s">
        <v>5</v>
      </c>
      <c r="T2265" s="16">
        <f>SUM(T2241:T2264)</f>
        <v>0</v>
      </c>
      <c r="U2265" s="17">
        <f>SUM(U2241:U2264)</f>
        <v>0</v>
      </c>
    </row>
    <row r="2266" spans="1:22" ht="14.25" thickBot="1" x14ac:dyDescent="0.2">
      <c r="B2266" s="18" t="s">
        <v>6</v>
      </c>
      <c r="C2266" s="19">
        <f>C2240-C2265</f>
        <v>152</v>
      </c>
      <c r="D2266" s="19">
        <f>D2240-D2265</f>
        <v>98</v>
      </c>
      <c r="E2266" s="19">
        <f t="shared" ref="E2266" si="993">E2240-E2265</f>
        <v>101</v>
      </c>
      <c r="F2266" s="221">
        <f>F2240-F2265</f>
        <v>351</v>
      </c>
      <c r="H2266" s="18" t="s">
        <v>6</v>
      </c>
      <c r="I2266" s="19">
        <f>I2240-I2265</f>
        <v>5006</v>
      </c>
      <c r="J2266" s="19">
        <f t="shared" ref="J2266:K2266" si="994">J2240-J2265</f>
        <v>1567</v>
      </c>
      <c r="K2266" s="19">
        <f t="shared" si="994"/>
        <v>1725</v>
      </c>
      <c r="L2266" s="221">
        <f>L2240-L2265</f>
        <v>8409</v>
      </c>
      <c r="M2266" s="284" t="s">
        <v>1366</v>
      </c>
      <c r="O2266" s="18" t="s">
        <v>6</v>
      </c>
      <c r="P2266" s="19">
        <f>P2240-P2265</f>
        <v>0</v>
      </c>
      <c r="Q2266" s="13">
        <f>Q2240-Q2265</f>
        <v>0</v>
      </c>
      <c r="S2266" s="18" t="s">
        <v>6</v>
      </c>
      <c r="T2266" s="19">
        <f>T2240-T2265</f>
        <v>1493</v>
      </c>
      <c r="U2266" s="13">
        <f>U2240-U2265</f>
        <v>1493</v>
      </c>
      <c r="V2266" s="239"/>
    </row>
    <row r="2269" spans="1:22" ht="18" thickBot="1" x14ac:dyDescent="0.25">
      <c r="B2269" s="27" t="s">
        <v>739</v>
      </c>
      <c r="C2269" s="28"/>
      <c r="D2269" s="28"/>
      <c r="E2269" s="28"/>
      <c r="F2269" s="218"/>
      <c r="H2269" s="27" t="s">
        <v>740</v>
      </c>
      <c r="I2269" s="279"/>
      <c r="J2269" s="279"/>
      <c r="K2269" s="22"/>
      <c r="L2269" s="278"/>
      <c r="O2269" s="181" t="s">
        <v>737</v>
      </c>
      <c r="P2269" s="182"/>
      <c r="Q2269" s="182"/>
      <c r="R2269" s="183"/>
      <c r="S2269" s="181" t="s">
        <v>733</v>
      </c>
      <c r="T2269" s="182"/>
      <c r="U2269" s="182"/>
    </row>
    <row r="2270" spans="1:22" ht="14.25" thickBot="1" x14ac:dyDescent="0.2">
      <c r="B2270" s="2"/>
      <c r="C2270" s="194" t="s">
        <v>734</v>
      </c>
      <c r="D2270" s="195" t="s">
        <v>706</v>
      </c>
      <c r="E2270" s="2" t="s">
        <v>735</v>
      </c>
      <c r="F2270" s="219" t="s">
        <v>1</v>
      </c>
      <c r="H2270" s="2"/>
      <c r="I2270" s="197" t="s">
        <v>734</v>
      </c>
      <c r="J2270" s="195" t="s">
        <v>706</v>
      </c>
      <c r="K2270" s="201" t="s">
        <v>735</v>
      </c>
      <c r="L2270" s="219" t="s">
        <v>1</v>
      </c>
      <c r="O2270" s="2"/>
      <c r="P2270" s="3" t="s">
        <v>722</v>
      </c>
      <c r="Q2270" s="2" t="s">
        <v>1</v>
      </c>
      <c r="S2270" s="2"/>
      <c r="T2270" s="3" t="s">
        <v>722</v>
      </c>
      <c r="U2270" s="2" t="s">
        <v>1</v>
      </c>
    </row>
    <row r="2271" spans="1:22" x14ac:dyDescent="0.15">
      <c r="B2271" s="164" t="s">
        <v>26</v>
      </c>
      <c r="C2271" s="200">
        <f>C2266</f>
        <v>152</v>
      </c>
      <c r="D2271" s="164">
        <f t="shared" ref="D2271:F2271" si="995">D2266</f>
        <v>98</v>
      </c>
      <c r="E2271" s="164">
        <f t="shared" si="995"/>
        <v>101</v>
      </c>
      <c r="F2271" s="222">
        <f t="shared" si="995"/>
        <v>351</v>
      </c>
      <c r="H2271" s="164" t="s">
        <v>26</v>
      </c>
      <c r="I2271" s="200">
        <f>I2266</f>
        <v>5006</v>
      </c>
      <c r="J2271" s="164">
        <f t="shared" ref="J2271:L2271" si="996">J2266</f>
        <v>1567</v>
      </c>
      <c r="K2271" s="200">
        <f t="shared" si="996"/>
        <v>1725</v>
      </c>
      <c r="L2271" s="222">
        <f t="shared" si="996"/>
        <v>8409</v>
      </c>
      <c r="O2271" s="171" t="s">
        <v>26</v>
      </c>
      <c r="P2271" s="200">
        <f>P2266</f>
        <v>0</v>
      </c>
      <c r="Q2271" s="180">
        <f>Q2266</f>
        <v>0</v>
      </c>
      <c r="R2271" s="185"/>
      <c r="S2271" s="43" t="s">
        <v>26</v>
      </c>
      <c r="T2271" s="38">
        <f>T2266</f>
        <v>1493</v>
      </c>
      <c r="U2271" s="39">
        <f>U2266</f>
        <v>1493</v>
      </c>
    </row>
    <row r="2272" spans="1:22" x14ac:dyDescent="0.15">
      <c r="A2272" s="186"/>
      <c r="B2272" s="6" t="s">
        <v>3</v>
      </c>
      <c r="C2272" s="188">
        <v>200</v>
      </c>
      <c r="D2272" s="6"/>
      <c r="E2272" s="202"/>
      <c r="F2272" s="220">
        <f t="shared" ref="F2272:F2273" si="997">SUM(C2272:E2272)</f>
        <v>200</v>
      </c>
      <c r="G2272" s="211">
        <v>46179</v>
      </c>
      <c r="H2272" s="6" t="s">
        <v>3</v>
      </c>
      <c r="I2272" s="188"/>
      <c r="J2272" s="225"/>
      <c r="K2272" s="243"/>
      <c r="L2272" s="220">
        <f t="shared" ref="L2272:L2281" si="998">SUM(I2272:K2272)</f>
        <v>0</v>
      </c>
      <c r="O2272" s="6" t="s">
        <v>3</v>
      </c>
      <c r="P2272" s="7"/>
      <c r="Q2272" s="5">
        <f t="shared" ref="Q2272:Q2281" si="999">SUM(P2272:P2272)</f>
        <v>0</v>
      </c>
      <c r="R2272" s="186"/>
      <c r="S2272" s="6" t="s">
        <v>3</v>
      </c>
      <c r="T2272" s="7"/>
      <c r="U2272" s="5">
        <f t="shared" ref="U2272:U2281" si="1000">SUM(T2272:T2272)</f>
        <v>0</v>
      </c>
    </row>
    <row r="2273" spans="1:22" x14ac:dyDescent="0.15">
      <c r="A2273" s="186"/>
      <c r="B2273" s="6" t="s">
        <v>3</v>
      </c>
      <c r="C2273" s="188"/>
      <c r="D2273" s="6"/>
      <c r="E2273" s="202"/>
      <c r="F2273" s="220">
        <f t="shared" si="997"/>
        <v>0</v>
      </c>
      <c r="G2273" s="212"/>
      <c r="H2273" s="6" t="s">
        <v>3</v>
      </c>
      <c r="I2273" s="188"/>
      <c r="J2273" s="225"/>
      <c r="K2273" s="243"/>
      <c r="L2273" s="220">
        <f t="shared" si="998"/>
        <v>0</v>
      </c>
      <c r="O2273" s="6" t="s">
        <v>3</v>
      </c>
      <c r="P2273" s="7"/>
      <c r="Q2273" s="5">
        <f t="shared" si="999"/>
        <v>0</v>
      </c>
      <c r="R2273" s="186"/>
      <c r="S2273" s="6" t="s">
        <v>3</v>
      </c>
      <c r="T2273" s="7"/>
      <c r="U2273" s="5">
        <f t="shared" si="1000"/>
        <v>0</v>
      </c>
    </row>
    <row r="2274" spans="1:22" x14ac:dyDescent="0.15">
      <c r="A2274" s="186"/>
      <c r="B2274" s="6" t="s">
        <v>3</v>
      </c>
      <c r="C2274" s="188"/>
      <c r="D2274" s="6"/>
      <c r="E2274" s="202"/>
      <c r="F2274" s="220">
        <f t="shared" ref="F2274:F2281" si="1001">SUM(C2274:E2274)</f>
        <v>0</v>
      </c>
      <c r="G2274" s="212"/>
      <c r="H2274" s="6" t="s">
        <v>3</v>
      </c>
      <c r="I2274" s="188"/>
      <c r="J2274" s="225"/>
      <c r="K2274" s="243"/>
      <c r="L2274" s="220">
        <f t="shared" si="998"/>
        <v>0</v>
      </c>
      <c r="O2274" s="6" t="s">
        <v>3</v>
      </c>
      <c r="P2274" s="7"/>
      <c r="Q2274" s="5">
        <f t="shared" si="999"/>
        <v>0</v>
      </c>
      <c r="R2274" s="186"/>
      <c r="S2274" s="6" t="s">
        <v>3</v>
      </c>
      <c r="T2274" s="7"/>
      <c r="U2274" s="5">
        <f t="shared" si="1000"/>
        <v>0</v>
      </c>
    </row>
    <row r="2275" spans="1:22" x14ac:dyDescent="0.15">
      <c r="A2275" s="186"/>
      <c r="B2275" s="6" t="s">
        <v>3</v>
      </c>
      <c r="C2275" s="188"/>
      <c r="D2275" s="6"/>
      <c r="E2275" s="202"/>
      <c r="F2275" s="220">
        <f t="shared" si="1001"/>
        <v>0</v>
      </c>
      <c r="G2275" s="212"/>
      <c r="H2275" s="6" t="s">
        <v>3</v>
      </c>
      <c r="I2275" s="188"/>
      <c r="J2275" s="225"/>
      <c r="K2275" s="243"/>
      <c r="L2275" s="220">
        <f t="shared" si="998"/>
        <v>0</v>
      </c>
      <c r="O2275" s="6" t="s">
        <v>3</v>
      </c>
      <c r="P2275" s="7"/>
      <c r="Q2275" s="5">
        <f t="shared" si="999"/>
        <v>0</v>
      </c>
      <c r="R2275" s="186"/>
      <c r="S2275" s="6" t="s">
        <v>3</v>
      </c>
      <c r="T2275" s="7"/>
      <c r="U2275" s="5">
        <f t="shared" si="1000"/>
        <v>0</v>
      </c>
    </row>
    <row r="2276" spans="1:22" x14ac:dyDescent="0.15">
      <c r="A2276" s="186"/>
      <c r="B2276" s="6" t="s">
        <v>3</v>
      </c>
      <c r="C2276" s="188"/>
      <c r="D2276" s="6"/>
      <c r="E2276" s="202"/>
      <c r="F2276" s="220">
        <f t="shared" si="1001"/>
        <v>0</v>
      </c>
      <c r="G2276" s="212"/>
      <c r="H2276" s="6" t="s">
        <v>3</v>
      </c>
      <c r="I2276" s="188"/>
      <c r="J2276" s="225"/>
      <c r="K2276" s="243"/>
      <c r="L2276" s="220">
        <f t="shared" si="998"/>
        <v>0</v>
      </c>
      <c r="O2276" s="6" t="s">
        <v>3</v>
      </c>
      <c r="P2276" s="7"/>
      <c r="Q2276" s="5">
        <f t="shared" si="999"/>
        <v>0</v>
      </c>
      <c r="R2276" s="186"/>
      <c r="S2276" s="6" t="s">
        <v>3</v>
      </c>
      <c r="T2276" s="7"/>
      <c r="U2276" s="5">
        <f t="shared" si="1000"/>
        <v>0</v>
      </c>
    </row>
    <row r="2277" spans="1:22" x14ac:dyDescent="0.15">
      <c r="B2277" s="6" t="s">
        <v>3</v>
      </c>
      <c r="C2277" s="188"/>
      <c r="D2277" s="6"/>
      <c r="E2277" s="202"/>
      <c r="F2277" s="220">
        <f t="shared" si="1001"/>
        <v>0</v>
      </c>
      <c r="G2277" s="212"/>
      <c r="H2277" s="6" t="s">
        <v>3</v>
      </c>
      <c r="I2277" s="188"/>
      <c r="J2277" s="6"/>
      <c r="K2277" s="202"/>
      <c r="L2277" s="220">
        <f t="shared" si="998"/>
        <v>0</v>
      </c>
      <c r="O2277" s="6" t="s">
        <v>3</v>
      </c>
      <c r="P2277" s="7"/>
      <c r="Q2277" s="5">
        <f t="shared" si="999"/>
        <v>0</v>
      </c>
      <c r="R2277" s="186"/>
      <c r="S2277" s="6" t="s">
        <v>3</v>
      </c>
      <c r="T2277" s="7"/>
      <c r="U2277" s="5">
        <f t="shared" si="1000"/>
        <v>0</v>
      </c>
    </row>
    <row r="2278" spans="1:22" x14ac:dyDescent="0.15">
      <c r="B2278" s="6" t="s">
        <v>3</v>
      </c>
      <c r="C2278" s="188"/>
      <c r="D2278" s="225"/>
      <c r="E2278" s="243"/>
      <c r="F2278" s="220">
        <f t="shared" si="1001"/>
        <v>0</v>
      </c>
      <c r="H2278" s="6" t="s">
        <v>3</v>
      </c>
      <c r="I2278" s="188"/>
      <c r="J2278" s="225"/>
      <c r="K2278" s="243"/>
      <c r="L2278" s="220">
        <f t="shared" si="998"/>
        <v>0</v>
      </c>
      <c r="O2278" s="6" t="s">
        <v>3</v>
      </c>
      <c r="P2278" s="8"/>
      <c r="Q2278" s="5">
        <f t="shared" si="999"/>
        <v>0</v>
      </c>
      <c r="R2278" s="186"/>
      <c r="S2278" s="6" t="s">
        <v>3</v>
      </c>
      <c r="T2278" s="8"/>
      <c r="U2278" s="5">
        <f t="shared" si="1000"/>
        <v>0</v>
      </c>
    </row>
    <row r="2279" spans="1:22" x14ac:dyDescent="0.15">
      <c r="B2279" s="6" t="s">
        <v>3</v>
      </c>
      <c r="C2279" s="188"/>
      <c r="D2279" s="225"/>
      <c r="E2279" s="243"/>
      <c r="F2279" s="220">
        <f t="shared" si="1001"/>
        <v>0</v>
      </c>
      <c r="H2279" s="6" t="s">
        <v>3</v>
      </c>
      <c r="I2279" s="188"/>
      <c r="J2279" s="225"/>
      <c r="K2279" s="243"/>
      <c r="L2279" s="220">
        <f t="shared" si="998"/>
        <v>0</v>
      </c>
      <c r="O2279" s="6" t="s">
        <v>3</v>
      </c>
      <c r="P2279" s="8"/>
      <c r="Q2279" s="5">
        <f t="shared" si="999"/>
        <v>0</v>
      </c>
      <c r="R2279" s="186"/>
      <c r="S2279" s="6" t="s">
        <v>3</v>
      </c>
      <c r="T2279" s="8"/>
      <c r="U2279" s="5">
        <f t="shared" si="1000"/>
        <v>0</v>
      </c>
    </row>
    <row r="2280" spans="1:22" x14ac:dyDescent="0.15">
      <c r="B2280" s="6" t="s">
        <v>3</v>
      </c>
      <c r="C2280" s="188"/>
      <c r="D2280" s="225"/>
      <c r="E2280" s="243"/>
      <c r="F2280" s="220">
        <f t="shared" si="1001"/>
        <v>0</v>
      </c>
      <c r="H2280" s="6" t="s">
        <v>3</v>
      </c>
      <c r="I2280" s="188"/>
      <c r="J2280" s="225"/>
      <c r="K2280" s="243"/>
      <c r="L2280" s="220">
        <f t="shared" si="998"/>
        <v>0</v>
      </c>
      <c r="O2280" s="6" t="s">
        <v>3</v>
      </c>
      <c r="P2280" s="8"/>
      <c r="Q2280" s="5">
        <f t="shared" si="999"/>
        <v>0</v>
      </c>
      <c r="R2280" s="186"/>
      <c r="S2280" s="6" t="s">
        <v>3</v>
      </c>
      <c r="T2280" s="8"/>
      <c r="U2280" s="5">
        <f t="shared" si="1000"/>
        <v>0</v>
      </c>
    </row>
    <row r="2281" spans="1:22" ht="14.25" thickBot="1" x14ac:dyDescent="0.2">
      <c r="B2281" s="9" t="s">
        <v>3</v>
      </c>
      <c r="C2281" s="198"/>
      <c r="D2281" s="244"/>
      <c r="E2281" s="245"/>
      <c r="F2281" s="220">
        <f t="shared" si="1001"/>
        <v>0</v>
      </c>
      <c r="H2281" s="9" t="s">
        <v>3</v>
      </c>
      <c r="I2281" s="198"/>
      <c r="J2281" s="244"/>
      <c r="K2281" s="245"/>
      <c r="L2281" s="220">
        <f t="shared" si="998"/>
        <v>0</v>
      </c>
      <c r="O2281" s="9" t="s">
        <v>3</v>
      </c>
      <c r="P2281" s="10"/>
      <c r="Q2281" s="5">
        <f t="shared" si="999"/>
        <v>0</v>
      </c>
      <c r="R2281" s="186"/>
      <c r="S2281" s="9" t="s">
        <v>3</v>
      </c>
      <c r="T2281" s="10"/>
      <c r="U2281" s="5">
        <f t="shared" si="1000"/>
        <v>0</v>
      </c>
    </row>
    <row r="2282" spans="1:22" ht="14.25" thickBot="1" x14ac:dyDescent="0.2">
      <c r="B2282" s="11" t="s">
        <v>4</v>
      </c>
      <c r="C2282" s="193">
        <f>SUM(C2271:C2281)</f>
        <v>352</v>
      </c>
      <c r="D2282" s="193">
        <f>SUM(D2271:D2281)</f>
        <v>98</v>
      </c>
      <c r="E2282" s="193">
        <f>SUM(E2271:E2281)</f>
        <v>101</v>
      </c>
      <c r="F2282" s="221">
        <f>SUM(F2271:F2281)</f>
        <v>551</v>
      </c>
      <c r="H2282" s="11" t="s">
        <v>4</v>
      </c>
      <c r="I2282" s="193">
        <f>SUM(I2271:I2281)</f>
        <v>5006</v>
      </c>
      <c r="J2282" s="193">
        <f t="shared" ref="J2282:K2282" si="1002">SUM(J2271:J2281)</f>
        <v>1567</v>
      </c>
      <c r="K2282" s="193">
        <f t="shared" si="1002"/>
        <v>1725</v>
      </c>
      <c r="L2282" s="221">
        <f>SUM(L2271:L2281)</f>
        <v>8409</v>
      </c>
      <c r="O2282" s="11" t="s">
        <v>4</v>
      </c>
      <c r="P2282" s="12">
        <f>SUM(P2271:P2281)</f>
        <v>0</v>
      </c>
      <c r="Q2282" s="13">
        <f>SUM(Q2271:Q2281)</f>
        <v>0</v>
      </c>
      <c r="S2282" s="11" t="s">
        <v>4</v>
      </c>
      <c r="T2282" s="12">
        <f>SUM(T2271:T2281)</f>
        <v>1493</v>
      </c>
      <c r="U2282" s="13">
        <f>SUM(U2271:U2281)</f>
        <v>1493</v>
      </c>
    </row>
    <row r="2283" spans="1:22" x14ac:dyDescent="0.15">
      <c r="B2283" s="4" t="s">
        <v>1376</v>
      </c>
      <c r="C2283" s="233">
        <v>1</v>
      </c>
      <c r="D2283" s="234">
        <v>1</v>
      </c>
      <c r="E2283" s="234"/>
      <c r="F2283" s="220">
        <f t="shared" ref="F2283:F2302" si="1003">SUM(C2283:E2283)</f>
        <v>2</v>
      </c>
      <c r="G2283" s="211">
        <v>46175</v>
      </c>
      <c r="H2283" s="6" t="s">
        <v>1385</v>
      </c>
      <c r="I2283" s="233">
        <v>500</v>
      </c>
      <c r="J2283" s="234"/>
      <c r="K2283" s="234"/>
      <c r="L2283" s="220">
        <f t="shared" ref="L2283" si="1004">SUM(I2283:K2283)</f>
        <v>500</v>
      </c>
      <c r="M2283" s="211">
        <v>46177</v>
      </c>
      <c r="O2283" s="4"/>
      <c r="P2283" s="44"/>
      <c r="Q2283" s="14">
        <f t="shared" ref="Q2283:Q2306" si="1005">SUM(P2283:P2283)</f>
        <v>0</v>
      </c>
      <c r="R2283" s="185"/>
      <c r="S2283" s="4" t="s">
        <v>1386</v>
      </c>
      <c r="T2283" s="15">
        <v>60</v>
      </c>
      <c r="U2283" s="14">
        <f t="shared" ref="U2283:U2306" si="1006">SUM(T2283:T2283)</f>
        <v>60</v>
      </c>
      <c r="V2283" s="211">
        <v>46181</v>
      </c>
    </row>
    <row r="2284" spans="1:22" x14ac:dyDescent="0.15">
      <c r="B2284" s="4" t="s">
        <v>749</v>
      </c>
      <c r="C2284" s="233">
        <v>15</v>
      </c>
      <c r="D2284" s="234">
        <v>8</v>
      </c>
      <c r="E2284" s="234">
        <v>4</v>
      </c>
      <c r="F2284" s="220">
        <f t="shared" si="1003"/>
        <v>27</v>
      </c>
      <c r="G2284" s="248">
        <v>46174</v>
      </c>
      <c r="H2284" s="4" t="s">
        <v>1386</v>
      </c>
      <c r="I2284" s="233">
        <v>60</v>
      </c>
      <c r="J2284" s="234">
        <v>60</v>
      </c>
      <c r="K2284" s="234">
        <v>30</v>
      </c>
      <c r="L2284" s="220">
        <f t="shared" ref="L2284:L2286" si="1007">SUM(I2284:K2284)</f>
        <v>150</v>
      </c>
      <c r="M2284" s="211">
        <v>46181</v>
      </c>
      <c r="O2284" s="4"/>
      <c r="P2284" s="15"/>
      <c r="Q2284" s="14">
        <f t="shared" si="1005"/>
        <v>0</v>
      </c>
      <c r="R2284" s="186"/>
      <c r="S2284" s="4" t="s">
        <v>1392</v>
      </c>
      <c r="T2284" s="15">
        <v>60</v>
      </c>
      <c r="U2284" s="14">
        <f t="shared" si="1006"/>
        <v>60</v>
      </c>
      <c r="V2284" s="211">
        <v>46185</v>
      </c>
    </row>
    <row r="2285" spans="1:22" x14ac:dyDescent="0.15">
      <c r="B2285" s="4" t="s">
        <v>749</v>
      </c>
      <c r="C2285" s="233">
        <v>8</v>
      </c>
      <c r="D2285" s="234">
        <v>1</v>
      </c>
      <c r="E2285" s="234">
        <v>1</v>
      </c>
      <c r="F2285" s="220">
        <f t="shared" si="1003"/>
        <v>10</v>
      </c>
      <c r="G2285" s="248">
        <v>46175</v>
      </c>
      <c r="H2285" s="6" t="s">
        <v>1387</v>
      </c>
      <c r="I2285" s="233">
        <v>200</v>
      </c>
      <c r="J2285" s="234"/>
      <c r="K2285" s="234"/>
      <c r="L2285" s="220">
        <f t="shared" si="1007"/>
        <v>200</v>
      </c>
      <c r="M2285" s="211">
        <v>46179</v>
      </c>
      <c r="O2285" s="4"/>
      <c r="P2285" s="15"/>
      <c r="Q2285" s="14">
        <f t="shared" si="1005"/>
        <v>0</v>
      </c>
      <c r="R2285" s="186"/>
      <c r="S2285" s="4"/>
      <c r="T2285" s="15"/>
      <c r="U2285" s="14">
        <f t="shared" si="1006"/>
        <v>0</v>
      </c>
      <c r="V2285" s="209"/>
    </row>
    <row r="2286" spans="1:22" x14ac:dyDescent="0.15">
      <c r="B2286" s="4" t="s">
        <v>1376</v>
      </c>
      <c r="C2286" s="233">
        <v>1</v>
      </c>
      <c r="D2286" s="234">
        <v>2</v>
      </c>
      <c r="E2286" s="234">
        <v>2</v>
      </c>
      <c r="F2286" s="220">
        <f t="shared" si="1003"/>
        <v>5</v>
      </c>
      <c r="G2286" s="211">
        <v>46177</v>
      </c>
      <c r="H2286" s="4" t="s">
        <v>1389</v>
      </c>
      <c r="I2286" s="233">
        <v>200</v>
      </c>
      <c r="J2286" s="234"/>
      <c r="K2286" s="234"/>
      <c r="L2286" s="220">
        <f t="shared" si="1007"/>
        <v>200</v>
      </c>
      <c r="M2286" s="211">
        <v>46179</v>
      </c>
      <c r="O2286" s="4"/>
      <c r="P2286" s="15"/>
      <c r="Q2286" s="14">
        <f t="shared" si="1005"/>
        <v>0</v>
      </c>
      <c r="R2286" s="186"/>
      <c r="S2286" s="4"/>
      <c r="T2286" s="15"/>
      <c r="U2286" s="14">
        <f t="shared" si="1006"/>
        <v>0</v>
      </c>
      <c r="V2286" s="209"/>
    </row>
    <row r="2287" spans="1:22" x14ac:dyDescent="0.15">
      <c r="B2287" s="4" t="s">
        <v>749</v>
      </c>
      <c r="C2287" s="233">
        <v>2</v>
      </c>
      <c r="D2287" s="234">
        <v>1</v>
      </c>
      <c r="E2287" s="234">
        <v>1</v>
      </c>
      <c r="F2287" s="220">
        <f t="shared" si="1003"/>
        <v>4</v>
      </c>
      <c r="G2287" s="248">
        <v>46176</v>
      </c>
      <c r="H2287" s="4" t="s">
        <v>1394</v>
      </c>
      <c r="I2287" s="233">
        <v>200</v>
      </c>
      <c r="J2287" s="234">
        <v>150</v>
      </c>
      <c r="K2287" s="234">
        <v>50</v>
      </c>
      <c r="L2287" s="220">
        <f t="shared" ref="L2287:L2294" si="1008">SUM(I2287:K2287)</f>
        <v>400</v>
      </c>
      <c r="M2287" s="211">
        <v>46185</v>
      </c>
      <c r="O2287" s="4"/>
      <c r="P2287" s="15"/>
      <c r="Q2287" s="14">
        <f t="shared" si="1005"/>
        <v>0</v>
      </c>
      <c r="R2287" s="186"/>
      <c r="S2287" s="4"/>
      <c r="T2287" s="15"/>
      <c r="U2287" s="14">
        <f t="shared" si="1006"/>
        <v>0</v>
      </c>
      <c r="V2287" s="209"/>
    </row>
    <row r="2288" spans="1:22" x14ac:dyDescent="0.15">
      <c r="B2288" s="4" t="s">
        <v>1376</v>
      </c>
      <c r="C2288" s="233">
        <v>1</v>
      </c>
      <c r="D2288" s="234"/>
      <c r="E2288" s="234">
        <v>1</v>
      </c>
      <c r="F2288" s="220">
        <f t="shared" si="1003"/>
        <v>2</v>
      </c>
      <c r="G2288" s="211">
        <v>46177</v>
      </c>
      <c r="H2288" s="4" t="s">
        <v>1395</v>
      </c>
      <c r="I2288" s="233">
        <v>20</v>
      </c>
      <c r="J2288" s="234"/>
      <c r="K2288" s="234"/>
      <c r="L2288" s="220">
        <f t="shared" si="1008"/>
        <v>20</v>
      </c>
      <c r="M2288" s="211">
        <v>46185</v>
      </c>
      <c r="O2288" s="4"/>
      <c r="P2288" s="15"/>
      <c r="Q2288" s="14">
        <f t="shared" si="1005"/>
        <v>0</v>
      </c>
      <c r="R2288" s="186"/>
      <c r="S2288" s="4"/>
      <c r="T2288" s="15"/>
      <c r="U2288" s="14">
        <f t="shared" si="1006"/>
        <v>0</v>
      </c>
      <c r="V2288" s="209"/>
    </row>
    <row r="2289" spans="2:22" x14ac:dyDescent="0.15">
      <c r="B2289" s="4" t="s">
        <v>749</v>
      </c>
      <c r="C2289" s="233">
        <v>4</v>
      </c>
      <c r="D2289" s="234">
        <v>1</v>
      </c>
      <c r="E2289" s="234"/>
      <c r="F2289" s="220">
        <f t="shared" si="1003"/>
        <v>5</v>
      </c>
      <c r="G2289" s="248">
        <v>46177</v>
      </c>
      <c r="H2289" s="4" t="s">
        <v>1396</v>
      </c>
      <c r="I2289" s="233"/>
      <c r="J2289" s="234">
        <v>10</v>
      </c>
      <c r="K2289" s="234"/>
      <c r="L2289" s="220">
        <f t="shared" si="1008"/>
        <v>10</v>
      </c>
      <c r="M2289" s="211">
        <v>46192</v>
      </c>
      <c r="O2289" s="4"/>
      <c r="P2289" s="15"/>
      <c r="Q2289" s="14">
        <f t="shared" si="1005"/>
        <v>0</v>
      </c>
      <c r="R2289" s="186"/>
      <c r="S2289" s="4"/>
      <c r="T2289" s="15"/>
      <c r="U2289" s="14">
        <f t="shared" si="1006"/>
        <v>0</v>
      </c>
      <c r="V2289" s="209"/>
    </row>
    <row r="2290" spans="2:22" x14ac:dyDescent="0.15">
      <c r="B2290" s="4" t="s">
        <v>749</v>
      </c>
      <c r="C2290" s="233">
        <v>7</v>
      </c>
      <c r="D2290" s="234">
        <v>2</v>
      </c>
      <c r="E2290" s="234"/>
      <c r="F2290" s="220">
        <f t="shared" si="1003"/>
        <v>9</v>
      </c>
      <c r="G2290" s="248">
        <v>46178</v>
      </c>
      <c r="H2290" s="4"/>
      <c r="I2290" s="233"/>
      <c r="J2290" s="234"/>
      <c r="K2290" s="234"/>
      <c r="L2290" s="220">
        <f t="shared" si="1008"/>
        <v>0</v>
      </c>
      <c r="O2290" s="4"/>
      <c r="P2290" s="15"/>
      <c r="Q2290" s="14">
        <f t="shared" si="1005"/>
        <v>0</v>
      </c>
      <c r="R2290" s="186"/>
      <c r="S2290" s="4"/>
      <c r="T2290" s="15"/>
      <c r="U2290" s="14">
        <f t="shared" si="1006"/>
        <v>0</v>
      </c>
      <c r="V2290" s="209"/>
    </row>
    <row r="2291" spans="2:22" x14ac:dyDescent="0.15">
      <c r="B2291" s="4" t="s">
        <v>749</v>
      </c>
      <c r="C2291" s="233">
        <v>10</v>
      </c>
      <c r="D2291" s="234">
        <v>4</v>
      </c>
      <c r="E2291" s="234">
        <v>6</v>
      </c>
      <c r="F2291" s="220">
        <f t="shared" si="1003"/>
        <v>20</v>
      </c>
      <c r="G2291" s="248">
        <v>46181</v>
      </c>
      <c r="H2291" s="4"/>
      <c r="I2291" s="233"/>
      <c r="J2291" s="234"/>
      <c r="K2291" s="234"/>
      <c r="L2291" s="220">
        <f t="shared" si="1008"/>
        <v>0</v>
      </c>
      <c r="O2291" s="4"/>
      <c r="P2291" s="15"/>
      <c r="Q2291" s="14">
        <f t="shared" si="1005"/>
        <v>0</v>
      </c>
      <c r="R2291" s="186"/>
      <c r="S2291" s="4"/>
      <c r="T2291" s="15"/>
      <c r="U2291" s="14">
        <f t="shared" si="1006"/>
        <v>0</v>
      </c>
      <c r="V2291" s="209"/>
    </row>
    <row r="2292" spans="2:22" x14ac:dyDescent="0.15">
      <c r="B2292" s="4" t="s">
        <v>1376</v>
      </c>
      <c r="C2292" s="233"/>
      <c r="D2292" s="234">
        <v>3</v>
      </c>
      <c r="E2292" s="234"/>
      <c r="F2292" s="220">
        <f t="shared" si="1003"/>
        <v>3</v>
      </c>
      <c r="G2292" s="211">
        <v>46182</v>
      </c>
      <c r="H2292" s="4"/>
      <c r="I2292" s="233"/>
      <c r="J2292" s="234"/>
      <c r="K2292" s="234"/>
      <c r="L2292" s="220">
        <f t="shared" si="1008"/>
        <v>0</v>
      </c>
      <c r="O2292" s="4"/>
      <c r="P2292" s="15"/>
      <c r="Q2292" s="14">
        <f t="shared" si="1005"/>
        <v>0</v>
      </c>
      <c r="R2292" s="186"/>
      <c r="S2292" s="4"/>
      <c r="T2292" s="15"/>
      <c r="U2292" s="14">
        <f t="shared" si="1006"/>
        <v>0</v>
      </c>
      <c r="V2292" s="209"/>
    </row>
    <row r="2293" spans="2:22" x14ac:dyDescent="0.15">
      <c r="B2293" s="4" t="s">
        <v>749</v>
      </c>
      <c r="C2293" s="233">
        <v>10</v>
      </c>
      <c r="D2293" s="234">
        <v>1</v>
      </c>
      <c r="E2293" s="234"/>
      <c r="F2293" s="220">
        <f t="shared" si="1003"/>
        <v>11</v>
      </c>
      <c r="G2293" s="248">
        <v>46182</v>
      </c>
      <c r="H2293" s="4"/>
      <c r="I2293" s="233"/>
      <c r="J2293" s="234"/>
      <c r="K2293" s="234"/>
      <c r="L2293" s="220">
        <f t="shared" si="1008"/>
        <v>0</v>
      </c>
      <c r="O2293" s="4"/>
      <c r="P2293" s="15"/>
      <c r="Q2293" s="14">
        <f t="shared" si="1005"/>
        <v>0</v>
      </c>
      <c r="R2293" s="186"/>
      <c r="S2293" s="4"/>
      <c r="T2293" s="15"/>
      <c r="U2293" s="14">
        <f t="shared" si="1006"/>
        <v>0</v>
      </c>
      <c r="V2293" s="209"/>
    </row>
    <row r="2294" spans="2:22" x14ac:dyDescent="0.15">
      <c r="B2294" s="4" t="s">
        <v>1393</v>
      </c>
      <c r="C2294" s="233">
        <v>50</v>
      </c>
      <c r="D2294" s="234">
        <v>10</v>
      </c>
      <c r="E2294" s="234"/>
      <c r="F2294" s="220">
        <f t="shared" si="1003"/>
        <v>60</v>
      </c>
      <c r="G2294" s="211">
        <v>46182</v>
      </c>
      <c r="H2294" s="4"/>
      <c r="I2294" s="233"/>
      <c r="J2294" s="234"/>
      <c r="K2294" s="234"/>
      <c r="L2294" s="220">
        <f t="shared" si="1008"/>
        <v>0</v>
      </c>
      <c r="O2294" s="6"/>
      <c r="P2294" s="15"/>
      <c r="Q2294" s="14">
        <f t="shared" si="1005"/>
        <v>0</v>
      </c>
      <c r="R2294" s="186"/>
      <c r="S2294" s="6"/>
      <c r="T2294" s="15"/>
      <c r="U2294" s="14">
        <f t="shared" si="1006"/>
        <v>0</v>
      </c>
      <c r="V2294" s="209"/>
    </row>
    <row r="2295" spans="2:22" x14ac:dyDescent="0.15">
      <c r="B2295" s="4" t="s">
        <v>749</v>
      </c>
      <c r="C2295" s="233">
        <v>7</v>
      </c>
      <c r="D2295" s="234"/>
      <c r="E2295" s="234">
        <v>1</v>
      </c>
      <c r="F2295" s="220">
        <f t="shared" si="1003"/>
        <v>8</v>
      </c>
      <c r="G2295" s="248">
        <v>46183</v>
      </c>
      <c r="H2295" s="4"/>
      <c r="I2295" s="233"/>
      <c r="J2295" s="234"/>
      <c r="K2295" s="234"/>
      <c r="L2295" s="220">
        <f t="shared" ref="L2295:L2300" si="1009">SUM(I2295:K2295)</f>
        <v>0</v>
      </c>
      <c r="O2295" s="6"/>
      <c r="P2295" s="15"/>
      <c r="Q2295" s="14">
        <f t="shared" si="1005"/>
        <v>0</v>
      </c>
      <c r="R2295" s="186"/>
      <c r="S2295" s="6"/>
      <c r="T2295" s="15"/>
      <c r="U2295" s="14">
        <f t="shared" si="1006"/>
        <v>0</v>
      </c>
      <c r="V2295" s="209"/>
    </row>
    <row r="2296" spans="2:22" x14ac:dyDescent="0.15">
      <c r="B2296" s="4" t="s">
        <v>1376</v>
      </c>
      <c r="C2296" s="233">
        <v>1</v>
      </c>
      <c r="D2296" s="234">
        <v>3</v>
      </c>
      <c r="E2296" s="234"/>
      <c r="F2296" s="220">
        <f t="shared" si="1003"/>
        <v>4</v>
      </c>
      <c r="G2296" s="248">
        <v>46184</v>
      </c>
      <c r="H2296" s="4"/>
      <c r="I2296" s="233"/>
      <c r="J2296" s="234"/>
      <c r="K2296" s="234"/>
      <c r="L2296" s="220">
        <f t="shared" si="1009"/>
        <v>0</v>
      </c>
      <c r="O2296" s="4"/>
      <c r="P2296" s="15"/>
      <c r="Q2296" s="14">
        <f t="shared" si="1005"/>
        <v>0</v>
      </c>
      <c r="R2296" s="186"/>
      <c r="S2296" s="4"/>
      <c r="T2296" s="15"/>
      <c r="U2296" s="14">
        <f t="shared" si="1006"/>
        <v>0</v>
      </c>
      <c r="V2296" s="209"/>
    </row>
    <row r="2297" spans="2:22" x14ac:dyDescent="0.15">
      <c r="B2297" s="4" t="s">
        <v>749</v>
      </c>
      <c r="C2297" s="233">
        <v>19</v>
      </c>
      <c r="D2297" s="234">
        <v>2</v>
      </c>
      <c r="E2297" s="234">
        <v>2</v>
      </c>
      <c r="F2297" s="220">
        <f t="shared" si="1003"/>
        <v>23</v>
      </c>
      <c r="G2297" s="248">
        <v>46184</v>
      </c>
      <c r="H2297" s="4"/>
      <c r="I2297" s="233"/>
      <c r="J2297" s="234"/>
      <c r="K2297" s="234"/>
      <c r="L2297" s="220">
        <f t="shared" si="1009"/>
        <v>0</v>
      </c>
      <c r="O2297" s="4"/>
      <c r="P2297" s="15"/>
      <c r="Q2297" s="14">
        <f t="shared" si="1005"/>
        <v>0</v>
      </c>
      <c r="R2297" s="186"/>
      <c r="S2297" s="4"/>
      <c r="T2297" s="15"/>
      <c r="U2297" s="14">
        <f t="shared" si="1006"/>
        <v>0</v>
      </c>
      <c r="V2297" s="209"/>
    </row>
    <row r="2298" spans="2:22" x14ac:dyDescent="0.15">
      <c r="B2298" s="4" t="s">
        <v>749</v>
      </c>
      <c r="C2298" s="233">
        <v>4</v>
      </c>
      <c r="D2298" s="234">
        <v>1</v>
      </c>
      <c r="E2298" s="234">
        <v>1</v>
      </c>
      <c r="F2298" s="220">
        <f t="shared" si="1003"/>
        <v>6</v>
      </c>
      <c r="G2298" s="248">
        <v>46185</v>
      </c>
      <c r="H2298" s="4"/>
      <c r="I2298" s="233"/>
      <c r="J2298" s="234"/>
      <c r="K2298" s="234"/>
      <c r="L2298" s="220">
        <f t="shared" si="1009"/>
        <v>0</v>
      </c>
      <c r="O2298" s="4"/>
      <c r="P2298" s="15"/>
      <c r="Q2298" s="14">
        <f t="shared" si="1005"/>
        <v>0</v>
      </c>
      <c r="R2298" s="186"/>
      <c r="S2298" s="4"/>
      <c r="T2298" s="15"/>
      <c r="U2298" s="14">
        <f t="shared" si="1006"/>
        <v>0</v>
      </c>
      <c r="V2298" s="209"/>
    </row>
    <row r="2299" spans="2:22" x14ac:dyDescent="0.15">
      <c r="B2299" s="4" t="s">
        <v>749</v>
      </c>
      <c r="C2299" s="233">
        <v>7</v>
      </c>
      <c r="D2299" s="234">
        <v>2</v>
      </c>
      <c r="E2299" s="234">
        <v>2</v>
      </c>
      <c r="F2299" s="220">
        <f t="shared" si="1003"/>
        <v>11</v>
      </c>
      <c r="G2299" s="248">
        <v>46188</v>
      </c>
      <c r="H2299" s="4"/>
      <c r="I2299" s="233"/>
      <c r="J2299" s="234"/>
      <c r="K2299" s="234"/>
      <c r="L2299" s="220">
        <f t="shared" si="1009"/>
        <v>0</v>
      </c>
      <c r="O2299" s="6"/>
      <c r="P2299" s="15"/>
      <c r="Q2299" s="14">
        <f t="shared" si="1005"/>
        <v>0</v>
      </c>
      <c r="R2299" s="186"/>
      <c r="S2299" s="6"/>
      <c r="T2299" s="15"/>
      <c r="U2299" s="14">
        <f t="shared" si="1006"/>
        <v>0</v>
      </c>
      <c r="V2299" s="209"/>
    </row>
    <row r="2300" spans="2:22" x14ac:dyDescent="0.15">
      <c r="B2300" s="4" t="s">
        <v>749</v>
      </c>
      <c r="C2300" s="233">
        <v>7</v>
      </c>
      <c r="D2300" s="234">
        <v>3</v>
      </c>
      <c r="E2300" s="234"/>
      <c r="F2300" s="220">
        <f t="shared" si="1003"/>
        <v>10</v>
      </c>
      <c r="G2300" s="248">
        <v>46189</v>
      </c>
      <c r="H2300" s="4"/>
      <c r="I2300" s="233"/>
      <c r="J2300" s="234"/>
      <c r="K2300" s="234"/>
      <c r="L2300" s="220">
        <f t="shared" si="1009"/>
        <v>0</v>
      </c>
      <c r="O2300" s="4"/>
      <c r="P2300" s="15"/>
      <c r="Q2300" s="14">
        <f t="shared" si="1005"/>
        <v>0</v>
      </c>
      <c r="R2300" s="186"/>
      <c r="S2300" s="4"/>
      <c r="T2300" s="15"/>
      <c r="U2300" s="14">
        <f t="shared" si="1006"/>
        <v>0</v>
      </c>
      <c r="V2300" s="209"/>
    </row>
    <row r="2301" spans="2:22" x14ac:dyDescent="0.15">
      <c r="B2301" s="4" t="s">
        <v>749</v>
      </c>
      <c r="C2301" s="233">
        <v>4</v>
      </c>
      <c r="D2301" s="234">
        <v>1</v>
      </c>
      <c r="E2301" s="234"/>
      <c r="F2301" s="220">
        <f t="shared" si="1003"/>
        <v>5</v>
      </c>
      <c r="G2301" s="248">
        <v>46190</v>
      </c>
      <c r="H2301" s="259" t="s">
        <v>1375</v>
      </c>
      <c r="I2301" s="285">
        <v>0</v>
      </c>
      <c r="J2301" s="286">
        <v>-30</v>
      </c>
      <c r="K2301" s="286">
        <v>0</v>
      </c>
      <c r="L2301" s="257">
        <f t="shared" ref="L2301:L2306" si="1010">SUM(I2301:K2301)</f>
        <v>-30</v>
      </c>
      <c r="O2301" s="6"/>
      <c r="P2301" s="15"/>
      <c r="Q2301" s="14">
        <f t="shared" si="1005"/>
        <v>0</v>
      </c>
      <c r="R2301" s="186"/>
      <c r="S2301" s="6"/>
      <c r="T2301" s="15"/>
      <c r="U2301" s="14">
        <f t="shared" si="1006"/>
        <v>0</v>
      </c>
    </row>
    <row r="2302" spans="2:22" x14ac:dyDescent="0.15">
      <c r="B2302" s="4" t="s">
        <v>749</v>
      </c>
      <c r="C2302" s="233">
        <v>1</v>
      </c>
      <c r="D2302" s="234"/>
      <c r="E2302" s="234"/>
      <c r="F2302" s="220">
        <f t="shared" si="1003"/>
        <v>1</v>
      </c>
      <c r="G2302" s="248">
        <v>46191</v>
      </c>
      <c r="H2302" s="164" t="s">
        <v>1372</v>
      </c>
      <c r="I2302" s="267">
        <f>80-60-20</f>
        <v>0</v>
      </c>
      <c r="J2302" s="268">
        <f>95-60</f>
        <v>35</v>
      </c>
      <c r="K2302" s="268">
        <f>30-30</f>
        <v>0</v>
      </c>
      <c r="L2302" s="222">
        <f t="shared" si="1010"/>
        <v>35</v>
      </c>
      <c r="M2302" s="210" t="s">
        <v>1374</v>
      </c>
      <c r="O2302" s="4"/>
      <c r="P2302" s="15"/>
      <c r="Q2302" s="14">
        <f t="shared" si="1005"/>
        <v>0</v>
      </c>
      <c r="R2302" s="186"/>
      <c r="S2302" s="4"/>
      <c r="T2302" s="15"/>
      <c r="U2302" s="14">
        <f t="shared" si="1006"/>
        <v>0</v>
      </c>
    </row>
    <row r="2303" spans="2:22" x14ac:dyDescent="0.15">
      <c r="B2303" s="4" t="s">
        <v>161</v>
      </c>
      <c r="C2303" s="233">
        <v>5</v>
      </c>
      <c r="D2303" s="234"/>
      <c r="E2303" s="234"/>
      <c r="F2303" s="220">
        <f t="shared" ref="F2303:F2306" si="1011">SUM(C2303:E2303)</f>
        <v>5</v>
      </c>
      <c r="G2303" s="248">
        <v>46204</v>
      </c>
      <c r="H2303" s="259" t="s">
        <v>1391</v>
      </c>
      <c r="I2303" s="285">
        <v>-80</v>
      </c>
      <c r="J2303" s="286">
        <v>-80</v>
      </c>
      <c r="K2303" s="286">
        <v>-50</v>
      </c>
      <c r="L2303" s="257">
        <f t="shared" si="1010"/>
        <v>-210</v>
      </c>
      <c r="M2303" s="210"/>
      <c r="O2303" s="4"/>
      <c r="P2303" s="15"/>
      <c r="Q2303" s="14">
        <f t="shared" si="1005"/>
        <v>0</v>
      </c>
      <c r="R2303" s="186"/>
      <c r="S2303" s="164" t="s">
        <v>1372</v>
      </c>
      <c r="T2303" s="276">
        <f>180-60</f>
        <v>120</v>
      </c>
      <c r="U2303" s="277">
        <f t="shared" si="1006"/>
        <v>120</v>
      </c>
      <c r="V2303" s="210" t="s">
        <v>1374</v>
      </c>
    </row>
    <row r="2304" spans="2:22" x14ac:dyDescent="0.15">
      <c r="B2304" s="4" t="s">
        <v>161</v>
      </c>
      <c r="C2304" s="233">
        <v>13</v>
      </c>
      <c r="D2304" s="234">
        <v>5</v>
      </c>
      <c r="E2304" s="234">
        <v>2</v>
      </c>
      <c r="F2304" s="220">
        <f t="shared" si="1011"/>
        <v>20</v>
      </c>
      <c r="G2304" s="248">
        <v>46217</v>
      </c>
      <c r="H2304" s="164" t="s">
        <v>1390</v>
      </c>
      <c r="I2304" s="267">
        <f>330-200</f>
        <v>130</v>
      </c>
      <c r="J2304" s="268">
        <f>260-150-10</f>
        <v>100</v>
      </c>
      <c r="K2304" s="268">
        <f>130-50</f>
        <v>80</v>
      </c>
      <c r="L2304" s="222">
        <f t="shared" si="1010"/>
        <v>310</v>
      </c>
      <c r="M2304" s="210" t="s">
        <v>1368</v>
      </c>
      <c r="O2304" s="4"/>
      <c r="P2304" s="15"/>
      <c r="Q2304" s="14">
        <f t="shared" si="1005"/>
        <v>0</v>
      </c>
      <c r="R2304" s="186"/>
      <c r="S2304" s="4"/>
      <c r="T2304" s="15"/>
      <c r="U2304" s="14">
        <f t="shared" si="1006"/>
        <v>0</v>
      </c>
    </row>
    <row r="2305" spans="2:22" x14ac:dyDescent="0.15">
      <c r="B2305" s="4" t="s">
        <v>161</v>
      </c>
      <c r="C2305" s="233">
        <v>7</v>
      </c>
      <c r="D2305" s="234">
        <v>4</v>
      </c>
      <c r="E2305" s="234">
        <v>1</v>
      </c>
      <c r="F2305" s="220">
        <f t="shared" si="1011"/>
        <v>12</v>
      </c>
      <c r="G2305" s="248">
        <v>46218</v>
      </c>
      <c r="H2305" s="246" t="s">
        <v>1367</v>
      </c>
      <c r="I2305" s="285">
        <v>-300</v>
      </c>
      <c r="J2305" s="287"/>
      <c r="K2305" s="287"/>
      <c r="L2305" s="257">
        <f t="shared" si="1010"/>
        <v>-300</v>
      </c>
      <c r="M2305" s="210"/>
      <c r="O2305" s="6"/>
      <c r="P2305" s="15"/>
      <c r="Q2305" s="14">
        <f t="shared" si="1005"/>
        <v>0</v>
      </c>
      <c r="R2305" s="186"/>
      <c r="S2305" s="259" t="s">
        <v>1391</v>
      </c>
      <c r="T2305" s="288">
        <v>-60</v>
      </c>
      <c r="U2305" s="289">
        <f t="shared" si="1006"/>
        <v>-60</v>
      </c>
    </row>
    <row r="2306" spans="2:22" ht="14.25" thickBot="1" x14ac:dyDescent="0.2">
      <c r="B2306" s="4" t="s">
        <v>161</v>
      </c>
      <c r="C2306" s="233">
        <v>7</v>
      </c>
      <c r="D2306" s="234">
        <v>4</v>
      </c>
      <c r="E2306" s="234">
        <v>1</v>
      </c>
      <c r="F2306" s="220">
        <f t="shared" si="1011"/>
        <v>12</v>
      </c>
      <c r="G2306" s="248">
        <v>46218</v>
      </c>
      <c r="H2306" s="171" t="s">
        <v>1364</v>
      </c>
      <c r="I2306" s="282">
        <f>1500-400-500-200</f>
        <v>400</v>
      </c>
      <c r="J2306" s="283"/>
      <c r="K2306" s="283"/>
      <c r="L2306" s="222">
        <f t="shared" si="1010"/>
        <v>400</v>
      </c>
      <c r="M2306" s="210" t="s">
        <v>1365</v>
      </c>
      <c r="O2306" s="6"/>
      <c r="P2306" s="15"/>
      <c r="Q2306" s="14">
        <f t="shared" si="1005"/>
        <v>0</v>
      </c>
      <c r="R2306" s="186"/>
      <c r="S2306" s="164" t="s">
        <v>1390</v>
      </c>
      <c r="T2306" s="276">
        <f>140-60</f>
        <v>80</v>
      </c>
      <c r="U2306" s="277">
        <f t="shared" si="1006"/>
        <v>80</v>
      </c>
      <c r="V2306" s="210" t="s">
        <v>1368</v>
      </c>
    </row>
    <row r="2307" spans="2:22" ht="14.25" thickBot="1" x14ac:dyDescent="0.2">
      <c r="B2307" s="3" t="s">
        <v>5</v>
      </c>
      <c r="C2307" s="16">
        <f>SUM(C2283:C2306)</f>
        <v>191</v>
      </c>
      <c r="D2307" s="16">
        <f>SUM(D2283:D2306)</f>
        <v>59</v>
      </c>
      <c r="E2307" s="16">
        <f>SUM(E2283:E2306)</f>
        <v>25</v>
      </c>
      <c r="F2307" s="223">
        <f>SUM(F2283:F2306)</f>
        <v>275</v>
      </c>
      <c r="H2307" s="3" t="s">
        <v>5</v>
      </c>
      <c r="I2307" s="16">
        <f>SUM(I2283:I2306)</f>
        <v>1330</v>
      </c>
      <c r="J2307" s="16">
        <f t="shared" ref="J2307:K2307" si="1012">SUM(J2283:J2306)</f>
        <v>245</v>
      </c>
      <c r="K2307" s="16">
        <f t="shared" si="1012"/>
        <v>110</v>
      </c>
      <c r="L2307" s="223">
        <f>SUM(L2283:L2306)</f>
        <v>1685</v>
      </c>
      <c r="O2307" s="3" t="s">
        <v>5</v>
      </c>
      <c r="P2307" s="16">
        <f>SUM(P2283:P2306)</f>
        <v>0</v>
      </c>
      <c r="Q2307" s="17">
        <f>SUM(Q2283:Q2306)</f>
        <v>0</v>
      </c>
      <c r="S2307" s="3" t="s">
        <v>5</v>
      </c>
      <c r="T2307" s="16">
        <f>SUM(T2283:T2306)</f>
        <v>260</v>
      </c>
      <c r="U2307" s="17">
        <f>SUM(U2283:U2306)</f>
        <v>260</v>
      </c>
    </row>
    <row r="2308" spans="2:22" ht="14.25" thickBot="1" x14ac:dyDescent="0.2">
      <c r="B2308" s="18" t="s">
        <v>6</v>
      </c>
      <c r="C2308" s="19">
        <f>C2282-C2307</f>
        <v>161</v>
      </c>
      <c r="D2308" s="19">
        <f>D2282-D2307</f>
        <v>39</v>
      </c>
      <c r="E2308" s="19">
        <f t="shared" ref="E2308" si="1013">E2282-E2307</f>
        <v>76</v>
      </c>
      <c r="F2308" s="221">
        <f>F2282-F2307</f>
        <v>276</v>
      </c>
      <c r="H2308" s="18" t="s">
        <v>6</v>
      </c>
      <c r="I2308" s="19">
        <f>I2282-I2307</f>
        <v>3676</v>
      </c>
      <c r="J2308" s="19">
        <f t="shared" ref="J2308:K2308" si="1014">J2282-J2307</f>
        <v>1322</v>
      </c>
      <c r="K2308" s="19">
        <f t="shared" si="1014"/>
        <v>1615</v>
      </c>
      <c r="L2308" s="221">
        <f>L2282-L2307</f>
        <v>6724</v>
      </c>
      <c r="M2308" s="284" t="s">
        <v>1388</v>
      </c>
      <c r="O2308" s="18" t="s">
        <v>6</v>
      </c>
      <c r="P2308" s="19">
        <f>P2282-P2307</f>
        <v>0</v>
      </c>
      <c r="Q2308" s="13">
        <f>Q2282-Q2307</f>
        <v>0</v>
      </c>
      <c r="S2308" s="18" t="s">
        <v>6</v>
      </c>
      <c r="T2308" s="19">
        <f>T2282-T2307</f>
        <v>1233</v>
      </c>
      <c r="U2308" s="13">
        <f>U2282-U2307</f>
        <v>1233</v>
      </c>
      <c r="V2308" s="239"/>
    </row>
    <row r="2311" spans="2:22" ht="18" thickBot="1" x14ac:dyDescent="0.25">
      <c r="B2311" s="27" t="s">
        <v>739</v>
      </c>
      <c r="C2311" s="28"/>
      <c r="D2311" s="28"/>
      <c r="E2311" s="28"/>
      <c r="F2311" s="218"/>
      <c r="H2311" s="27" t="s">
        <v>740</v>
      </c>
      <c r="I2311" s="279"/>
      <c r="J2311" s="279"/>
      <c r="K2311" s="22"/>
      <c r="L2311" s="278"/>
      <c r="O2311" s="181" t="s">
        <v>737</v>
      </c>
      <c r="P2311" s="182"/>
      <c r="Q2311" s="182"/>
      <c r="R2311" s="183"/>
      <c r="S2311" s="181" t="s">
        <v>733</v>
      </c>
      <c r="T2311" s="182"/>
      <c r="U2311" s="182"/>
    </row>
    <row r="2312" spans="2:22" ht="14.25" thickBot="1" x14ac:dyDescent="0.2">
      <c r="B2312" s="2"/>
      <c r="C2312" s="194" t="s">
        <v>734</v>
      </c>
      <c r="D2312" s="195" t="s">
        <v>706</v>
      </c>
      <c r="E2312" s="2" t="s">
        <v>735</v>
      </c>
      <c r="F2312" s="219" t="s">
        <v>1</v>
      </c>
      <c r="H2312" s="2"/>
      <c r="I2312" s="197" t="s">
        <v>734</v>
      </c>
      <c r="J2312" s="195" t="s">
        <v>706</v>
      </c>
      <c r="K2312" s="201" t="s">
        <v>735</v>
      </c>
      <c r="L2312" s="219" t="s">
        <v>1</v>
      </c>
      <c r="O2312" s="2"/>
      <c r="P2312" s="3" t="s">
        <v>722</v>
      </c>
      <c r="Q2312" s="2" t="s">
        <v>1</v>
      </c>
      <c r="S2312" s="2"/>
      <c r="T2312" s="3" t="s">
        <v>722</v>
      </c>
      <c r="U2312" s="2" t="s">
        <v>1</v>
      </c>
    </row>
    <row r="2313" spans="2:22" x14ac:dyDescent="0.15">
      <c r="B2313" s="164" t="s">
        <v>26</v>
      </c>
      <c r="C2313" s="200">
        <f>C2308</f>
        <v>161</v>
      </c>
      <c r="D2313" s="164">
        <f t="shared" ref="D2313:F2313" si="1015">D2308</f>
        <v>39</v>
      </c>
      <c r="E2313" s="164">
        <f t="shared" si="1015"/>
        <v>76</v>
      </c>
      <c r="F2313" s="222">
        <f t="shared" si="1015"/>
        <v>276</v>
      </c>
      <c r="H2313" s="164" t="s">
        <v>26</v>
      </c>
      <c r="I2313" s="200">
        <f>I2308</f>
        <v>3676</v>
      </c>
      <c r="J2313" s="164">
        <f t="shared" ref="J2313:L2313" si="1016">J2308</f>
        <v>1322</v>
      </c>
      <c r="K2313" s="200">
        <f t="shared" si="1016"/>
        <v>1615</v>
      </c>
      <c r="L2313" s="222">
        <f t="shared" si="1016"/>
        <v>6724</v>
      </c>
      <c r="O2313" s="171" t="s">
        <v>26</v>
      </c>
      <c r="P2313" s="200">
        <f>P2308</f>
        <v>0</v>
      </c>
      <c r="Q2313" s="180">
        <f>Q2308</f>
        <v>0</v>
      </c>
      <c r="R2313" s="185"/>
      <c r="S2313" s="43" t="s">
        <v>26</v>
      </c>
      <c r="T2313" s="38">
        <f>T2308</f>
        <v>1233</v>
      </c>
      <c r="U2313" s="39">
        <f>U2308</f>
        <v>1233</v>
      </c>
    </row>
    <row r="2314" spans="2:22" x14ac:dyDescent="0.15">
      <c r="B2314" s="6" t="s">
        <v>3</v>
      </c>
      <c r="C2314" s="188"/>
      <c r="D2314" s="6"/>
      <c r="E2314" s="202"/>
      <c r="F2314" s="220">
        <f t="shared" ref="F2314:F2323" si="1017">SUM(C2314:E2314)</f>
        <v>0</v>
      </c>
      <c r="H2314" s="6" t="s">
        <v>3</v>
      </c>
      <c r="I2314" s="188"/>
      <c r="J2314" s="225"/>
      <c r="K2314" s="243"/>
      <c r="L2314" s="220">
        <f t="shared" ref="L2314:L2323" si="1018">SUM(I2314:K2314)</f>
        <v>0</v>
      </c>
      <c r="O2314" s="6" t="s">
        <v>3</v>
      </c>
      <c r="P2314" s="7"/>
      <c r="Q2314" s="5">
        <f t="shared" ref="Q2314:Q2323" si="1019">SUM(P2314:P2314)</f>
        <v>0</v>
      </c>
      <c r="R2314" s="186"/>
      <c r="S2314" s="6" t="s">
        <v>3</v>
      </c>
      <c r="T2314" s="7"/>
      <c r="U2314" s="5">
        <f t="shared" ref="U2314:U2323" si="1020">SUM(T2314:T2314)</f>
        <v>0</v>
      </c>
    </row>
    <row r="2315" spans="2:22" x14ac:dyDescent="0.15">
      <c r="B2315" s="6" t="s">
        <v>3</v>
      </c>
      <c r="C2315" s="188"/>
      <c r="D2315" s="6"/>
      <c r="E2315" s="202"/>
      <c r="F2315" s="220">
        <f t="shared" si="1017"/>
        <v>0</v>
      </c>
      <c r="H2315" s="6" t="s">
        <v>3</v>
      </c>
      <c r="I2315" s="188"/>
      <c r="J2315" s="225"/>
      <c r="K2315" s="243"/>
      <c r="L2315" s="220">
        <f t="shared" si="1018"/>
        <v>0</v>
      </c>
      <c r="O2315" s="6" t="s">
        <v>3</v>
      </c>
      <c r="P2315" s="7"/>
      <c r="Q2315" s="5">
        <f t="shared" si="1019"/>
        <v>0</v>
      </c>
      <c r="R2315" s="186"/>
      <c r="S2315" s="6" t="s">
        <v>3</v>
      </c>
      <c r="T2315" s="7"/>
      <c r="U2315" s="5">
        <f t="shared" si="1020"/>
        <v>0</v>
      </c>
    </row>
    <row r="2316" spans="2:22" x14ac:dyDescent="0.15">
      <c r="B2316" s="6" t="s">
        <v>3</v>
      </c>
      <c r="C2316" s="188"/>
      <c r="D2316" s="6"/>
      <c r="E2316" s="202"/>
      <c r="F2316" s="220">
        <f t="shared" si="1017"/>
        <v>0</v>
      </c>
      <c r="H2316" s="6" t="s">
        <v>3</v>
      </c>
      <c r="I2316" s="188"/>
      <c r="J2316" s="225"/>
      <c r="K2316" s="243"/>
      <c r="L2316" s="220">
        <f t="shared" si="1018"/>
        <v>0</v>
      </c>
      <c r="O2316" s="6" t="s">
        <v>3</v>
      </c>
      <c r="P2316" s="7"/>
      <c r="Q2316" s="5">
        <f t="shared" si="1019"/>
        <v>0</v>
      </c>
      <c r="R2316" s="186"/>
      <c r="S2316" s="6" t="s">
        <v>3</v>
      </c>
      <c r="T2316" s="7"/>
      <c r="U2316" s="5">
        <f t="shared" si="1020"/>
        <v>0</v>
      </c>
    </row>
    <row r="2317" spans="2:22" x14ac:dyDescent="0.15">
      <c r="B2317" s="6" t="s">
        <v>3</v>
      </c>
      <c r="C2317" s="188"/>
      <c r="D2317" s="6"/>
      <c r="E2317" s="202"/>
      <c r="F2317" s="220">
        <f t="shared" si="1017"/>
        <v>0</v>
      </c>
      <c r="H2317" s="6" t="s">
        <v>3</v>
      </c>
      <c r="I2317" s="188"/>
      <c r="J2317" s="225"/>
      <c r="K2317" s="243"/>
      <c r="L2317" s="220">
        <f t="shared" si="1018"/>
        <v>0</v>
      </c>
      <c r="O2317" s="6" t="s">
        <v>3</v>
      </c>
      <c r="P2317" s="7"/>
      <c r="Q2317" s="5">
        <f t="shared" si="1019"/>
        <v>0</v>
      </c>
      <c r="R2317" s="186"/>
      <c r="S2317" s="6" t="s">
        <v>3</v>
      </c>
      <c r="T2317" s="7"/>
      <c r="U2317" s="5">
        <f t="shared" si="1020"/>
        <v>0</v>
      </c>
    </row>
    <row r="2318" spans="2:22" x14ac:dyDescent="0.15">
      <c r="B2318" s="6" t="s">
        <v>3</v>
      </c>
      <c r="C2318" s="188"/>
      <c r="D2318" s="6"/>
      <c r="E2318" s="202"/>
      <c r="F2318" s="220">
        <f t="shared" si="1017"/>
        <v>0</v>
      </c>
      <c r="H2318" s="6" t="s">
        <v>3</v>
      </c>
      <c r="I2318" s="188"/>
      <c r="J2318" s="225"/>
      <c r="K2318" s="243"/>
      <c r="L2318" s="220">
        <f t="shared" si="1018"/>
        <v>0</v>
      </c>
      <c r="O2318" s="6" t="s">
        <v>3</v>
      </c>
      <c r="P2318" s="7"/>
      <c r="Q2318" s="5">
        <f t="shared" si="1019"/>
        <v>0</v>
      </c>
      <c r="R2318" s="186"/>
      <c r="S2318" s="6" t="s">
        <v>3</v>
      </c>
      <c r="T2318" s="7"/>
      <c r="U2318" s="5">
        <f t="shared" si="1020"/>
        <v>0</v>
      </c>
    </row>
    <row r="2319" spans="2:22" x14ac:dyDescent="0.15">
      <c r="B2319" s="6" t="s">
        <v>3</v>
      </c>
      <c r="C2319" s="188"/>
      <c r="D2319" s="6"/>
      <c r="E2319" s="202"/>
      <c r="F2319" s="220">
        <f t="shared" si="1017"/>
        <v>0</v>
      </c>
      <c r="H2319" s="6" t="s">
        <v>3</v>
      </c>
      <c r="I2319" s="188"/>
      <c r="J2319" s="6"/>
      <c r="K2319" s="202"/>
      <c r="L2319" s="220">
        <f t="shared" si="1018"/>
        <v>0</v>
      </c>
      <c r="O2319" s="6" t="s">
        <v>3</v>
      </c>
      <c r="P2319" s="7"/>
      <c r="Q2319" s="5">
        <f t="shared" si="1019"/>
        <v>0</v>
      </c>
      <c r="R2319" s="186"/>
      <c r="S2319" s="6" t="s">
        <v>3</v>
      </c>
      <c r="T2319" s="7"/>
      <c r="U2319" s="5">
        <f t="shared" si="1020"/>
        <v>0</v>
      </c>
    </row>
    <row r="2320" spans="2:22" x14ac:dyDescent="0.15">
      <c r="B2320" s="6" t="s">
        <v>3</v>
      </c>
      <c r="C2320" s="188"/>
      <c r="D2320" s="225"/>
      <c r="E2320" s="243"/>
      <c r="F2320" s="220">
        <f t="shared" si="1017"/>
        <v>0</v>
      </c>
      <c r="H2320" s="6" t="s">
        <v>3</v>
      </c>
      <c r="I2320" s="188"/>
      <c r="J2320" s="225"/>
      <c r="K2320" s="243"/>
      <c r="L2320" s="220">
        <f t="shared" si="1018"/>
        <v>0</v>
      </c>
      <c r="O2320" s="6" t="s">
        <v>3</v>
      </c>
      <c r="P2320" s="8"/>
      <c r="Q2320" s="5">
        <f t="shared" si="1019"/>
        <v>0</v>
      </c>
      <c r="R2320" s="186"/>
      <c r="S2320" s="6" t="s">
        <v>3</v>
      </c>
      <c r="T2320" s="8"/>
      <c r="U2320" s="5">
        <f t="shared" si="1020"/>
        <v>0</v>
      </c>
    </row>
    <row r="2321" spans="2:21" x14ac:dyDescent="0.15">
      <c r="B2321" s="6" t="s">
        <v>3</v>
      </c>
      <c r="C2321" s="188"/>
      <c r="D2321" s="225"/>
      <c r="E2321" s="243"/>
      <c r="F2321" s="220">
        <f t="shared" si="1017"/>
        <v>0</v>
      </c>
      <c r="H2321" s="6" t="s">
        <v>3</v>
      </c>
      <c r="I2321" s="188"/>
      <c r="J2321" s="225"/>
      <c r="K2321" s="243"/>
      <c r="L2321" s="220">
        <f t="shared" si="1018"/>
        <v>0</v>
      </c>
      <c r="O2321" s="6" t="s">
        <v>3</v>
      </c>
      <c r="P2321" s="8"/>
      <c r="Q2321" s="5">
        <f t="shared" si="1019"/>
        <v>0</v>
      </c>
      <c r="R2321" s="186"/>
      <c r="S2321" s="6" t="s">
        <v>3</v>
      </c>
      <c r="T2321" s="8"/>
      <c r="U2321" s="5">
        <f t="shared" si="1020"/>
        <v>0</v>
      </c>
    </row>
    <row r="2322" spans="2:21" x14ac:dyDescent="0.15">
      <c r="B2322" s="6" t="s">
        <v>3</v>
      </c>
      <c r="C2322" s="188"/>
      <c r="D2322" s="225"/>
      <c r="E2322" s="243"/>
      <c r="F2322" s="220">
        <f t="shared" si="1017"/>
        <v>0</v>
      </c>
      <c r="H2322" s="6" t="s">
        <v>3</v>
      </c>
      <c r="I2322" s="188"/>
      <c r="J2322" s="225"/>
      <c r="K2322" s="243"/>
      <c r="L2322" s="220">
        <f t="shared" si="1018"/>
        <v>0</v>
      </c>
      <c r="O2322" s="6" t="s">
        <v>3</v>
      </c>
      <c r="P2322" s="8"/>
      <c r="Q2322" s="5">
        <f t="shared" si="1019"/>
        <v>0</v>
      </c>
      <c r="R2322" s="186"/>
      <c r="S2322" s="6" t="s">
        <v>3</v>
      </c>
      <c r="T2322" s="8"/>
      <c r="U2322" s="5">
        <f t="shared" si="1020"/>
        <v>0</v>
      </c>
    </row>
    <row r="2323" spans="2:21" ht="14.25" thickBot="1" x14ac:dyDescent="0.2">
      <c r="B2323" s="9" t="s">
        <v>3</v>
      </c>
      <c r="C2323" s="198"/>
      <c r="D2323" s="244"/>
      <c r="E2323" s="245"/>
      <c r="F2323" s="220">
        <f t="shared" si="1017"/>
        <v>0</v>
      </c>
      <c r="H2323" s="9" t="s">
        <v>3</v>
      </c>
      <c r="I2323" s="198"/>
      <c r="J2323" s="244"/>
      <c r="K2323" s="245"/>
      <c r="L2323" s="220">
        <f t="shared" si="1018"/>
        <v>0</v>
      </c>
      <c r="O2323" s="9" t="s">
        <v>3</v>
      </c>
      <c r="P2323" s="10"/>
      <c r="Q2323" s="5">
        <f t="shared" si="1019"/>
        <v>0</v>
      </c>
      <c r="R2323" s="186"/>
      <c r="S2323" s="9" t="s">
        <v>3</v>
      </c>
      <c r="T2323" s="10"/>
      <c r="U2323" s="5">
        <f t="shared" si="1020"/>
        <v>0</v>
      </c>
    </row>
    <row r="2324" spans="2:21" ht="14.25" thickBot="1" x14ac:dyDescent="0.2">
      <c r="B2324" s="11" t="s">
        <v>4</v>
      </c>
      <c r="C2324" s="193">
        <f>SUM(C2313:C2323)</f>
        <v>161</v>
      </c>
      <c r="D2324" s="193">
        <f>SUM(D2313:D2323)</f>
        <v>39</v>
      </c>
      <c r="E2324" s="193">
        <f>SUM(E2313:E2323)</f>
        <v>76</v>
      </c>
      <c r="F2324" s="221">
        <f>SUM(F2313:F2323)</f>
        <v>276</v>
      </c>
      <c r="H2324" s="11" t="s">
        <v>4</v>
      </c>
      <c r="I2324" s="193">
        <f>SUM(I2313:I2323)</f>
        <v>3676</v>
      </c>
      <c r="J2324" s="193">
        <f t="shared" ref="J2324:K2324" si="1021">SUM(J2313:J2323)</f>
        <v>1322</v>
      </c>
      <c r="K2324" s="193">
        <f t="shared" si="1021"/>
        <v>1615</v>
      </c>
      <c r="L2324" s="221">
        <f>SUM(L2313:L2323)</f>
        <v>6724</v>
      </c>
      <c r="O2324" s="11" t="s">
        <v>4</v>
      </c>
      <c r="P2324" s="12">
        <f>SUM(P2313:P2323)</f>
        <v>0</v>
      </c>
      <c r="Q2324" s="13">
        <f>SUM(Q2313:Q2323)</f>
        <v>0</v>
      </c>
      <c r="S2324" s="11" t="s">
        <v>4</v>
      </c>
      <c r="T2324" s="12">
        <f>SUM(T2313:T2323)</f>
        <v>1233</v>
      </c>
      <c r="U2324" s="13">
        <f>SUM(U2313:U2323)</f>
        <v>1233</v>
      </c>
    </row>
    <row r="2325" spans="2:21" x14ac:dyDescent="0.15">
      <c r="B2325" s="4" t="s">
        <v>161</v>
      </c>
      <c r="C2325" s="233">
        <v>2</v>
      </c>
      <c r="D2325" s="234"/>
      <c r="E2325" s="234"/>
      <c r="F2325" s="220">
        <f t="shared" ref="F2325:F2329" si="1022">SUM(C2325:E2325)</f>
        <v>2</v>
      </c>
      <c r="G2325" s="248">
        <v>46218</v>
      </c>
      <c r="H2325" s="4"/>
      <c r="I2325" s="233"/>
      <c r="J2325" s="234"/>
      <c r="K2325" s="234"/>
      <c r="L2325" s="220">
        <f t="shared" ref="L2325:L2327" si="1023">SUM(I2325:K2325)</f>
        <v>0</v>
      </c>
      <c r="M2325" s="212"/>
      <c r="O2325" s="4"/>
      <c r="P2325" s="44"/>
      <c r="Q2325" s="14">
        <f t="shared" ref="Q2325:Q2348" si="1024">SUM(P2325:P2325)</f>
        <v>0</v>
      </c>
      <c r="R2325" s="185"/>
      <c r="S2325" s="4"/>
      <c r="T2325" s="15"/>
      <c r="U2325" s="14">
        <f t="shared" ref="U2325" si="1025">SUM(T2325:T2325)</f>
        <v>0</v>
      </c>
    </row>
    <row r="2326" spans="2:21" x14ac:dyDescent="0.15">
      <c r="B2326" s="4"/>
      <c r="C2326" s="233"/>
      <c r="D2326" s="234"/>
      <c r="E2326" s="234"/>
      <c r="F2326" s="220">
        <f t="shared" si="1022"/>
        <v>0</v>
      </c>
      <c r="H2326" s="4"/>
      <c r="I2326" s="233"/>
      <c r="J2326" s="234"/>
      <c r="K2326" s="234"/>
      <c r="L2326" s="220">
        <f t="shared" si="1023"/>
        <v>0</v>
      </c>
      <c r="M2326" s="212"/>
      <c r="O2326" s="4"/>
      <c r="P2326" s="15"/>
      <c r="Q2326" s="14">
        <f t="shared" si="1024"/>
        <v>0</v>
      </c>
      <c r="R2326" s="186"/>
      <c r="S2326" s="4"/>
      <c r="T2326" s="15"/>
      <c r="U2326" s="14">
        <f t="shared" ref="U2326:U2344" si="1026">SUM(T2326:T2326)</f>
        <v>0</v>
      </c>
    </row>
    <row r="2327" spans="2:21" x14ac:dyDescent="0.15">
      <c r="B2327" s="4"/>
      <c r="C2327" s="233"/>
      <c r="D2327" s="234"/>
      <c r="E2327" s="234"/>
      <c r="F2327" s="220">
        <f t="shared" si="1022"/>
        <v>0</v>
      </c>
      <c r="H2327" s="4"/>
      <c r="I2327" s="233"/>
      <c r="J2327" s="234"/>
      <c r="K2327" s="234"/>
      <c r="L2327" s="220">
        <f t="shared" si="1023"/>
        <v>0</v>
      </c>
      <c r="M2327" s="212"/>
      <c r="O2327" s="4"/>
      <c r="P2327" s="15"/>
      <c r="Q2327" s="14">
        <f t="shared" si="1024"/>
        <v>0</v>
      </c>
      <c r="R2327" s="186"/>
      <c r="S2327" s="4"/>
      <c r="T2327" s="15"/>
      <c r="U2327" s="14">
        <f t="shared" si="1026"/>
        <v>0</v>
      </c>
    </row>
    <row r="2328" spans="2:21" x14ac:dyDescent="0.15">
      <c r="B2328" s="4"/>
      <c r="C2328" s="233"/>
      <c r="D2328" s="234"/>
      <c r="E2328" s="234"/>
      <c r="F2328" s="220">
        <f t="shared" si="1022"/>
        <v>0</v>
      </c>
      <c r="H2328" s="4"/>
      <c r="I2328" s="233"/>
      <c r="J2328" s="234"/>
      <c r="K2328" s="234"/>
      <c r="L2328" s="220">
        <f t="shared" ref="L2328:L2348" si="1027">SUM(I2328:K2328)</f>
        <v>0</v>
      </c>
      <c r="M2328" s="212"/>
      <c r="O2328" s="4"/>
      <c r="P2328" s="15"/>
      <c r="Q2328" s="14">
        <f t="shared" si="1024"/>
        <v>0</v>
      </c>
      <c r="R2328" s="186"/>
      <c r="S2328" s="4"/>
      <c r="T2328" s="15"/>
      <c r="U2328" s="14">
        <f t="shared" si="1026"/>
        <v>0</v>
      </c>
    </row>
    <row r="2329" spans="2:21" x14ac:dyDescent="0.15">
      <c r="B2329" s="4"/>
      <c r="C2329" s="233"/>
      <c r="D2329" s="234"/>
      <c r="E2329" s="234"/>
      <c r="F2329" s="220">
        <f t="shared" si="1022"/>
        <v>0</v>
      </c>
      <c r="H2329" s="4"/>
      <c r="I2329" s="233"/>
      <c r="J2329" s="234"/>
      <c r="K2329" s="234"/>
      <c r="L2329" s="220">
        <f t="shared" si="1027"/>
        <v>0</v>
      </c>
      <c r="M2329" s="212"/>
      <c r="O2329" s="4"/>
      <c r="P2329" s="15"/>
      <c r="Q2329" s="14">
        <f t="shared" si="1024"/>
        <v>0</v>
      </c>
      <c r="R2329" s="186"/>
      <c r="S2329" s="4"/>
      <c r="T2329" s="15"/>
      <c r="U2329" s="14">
        <f t="shared" si="1026"/>
        <v>0</v>
      </c>
    </row>
    <row r="2330" spans="2:21" x14ac:dyDescent="0.15">
      <c r="B2330" s="4"/>
      <c r="C2330" s="233"/>
      <c r="D2330" s="234"/>
      <c r="E2330" s="234"/>
      <c r="F2330" s="220">
        <f t="shared" ref="F2330:F2348" si="1028">SUM(C2330:E2330)</f>
        <v>0</v>
      </c>
      <c r="H2330" s="4"/>
      <c r="I2330" s="233"/>
      <c r="J2330" s="234"/>
      <c r="K2330" s="234"/>
      <c r="L2330" s="220">
        <f t="shared" si="1027"/>
        <v>0</v>
      </c>
      <c r="O2330" s="4"/>
      <c r="P2330" s="15"/>
      <c r="Q2330" s="14">
        <f t="shared" si="1024"/>
        <v>0</v>
      </c>
      <c r="R2330" s="186"/>
      <c r="S2330" s="4"/>
      <c r="T2330" s="15"/>
      <c r="U2330" s="14">
        <f t="shared" si="1026"/>
        <v>0</v>
      </c>
    </row>
    <row r="2331" spans="2:21" x14ac:dyDescent="0.15">
      <c r="B2331" s="4"/>
      <c r="C2331" s="233"/>
      <c r="D2331" s="234"/>
      <c r="E2331" s="234"/>
      <c r="F2331" s="220">
        <f t="shared" si="1028"/>
        <v>0</v>
      </c>
      <c r="H2331" s="4"/>
      <c r="I2331" s="233"/>
      <c r="J2331" s="234"/>
      <c r="K2331" s="234"/>
      <c r="L2331" s="220">
        <f t="shared" si="1027"/>
        <v>0</v>
      </c>
      <c r="O2331" s="4"/>
      <c r="P2331" s="15"/>
      <c r="Q2331" s="14">
        <f t="shared" si="1024"/>
        <v>0</v>
      </c>
      <c r="R2331" s="186"/>
      <c r="S2331" s="4"/>
      <c r="T2331" s="15"/>
      <c r="U2331" s="14">
        <f t="shared" si="1026"/>
        <v>0</v>
      </c>
    </row>
    <row r="2332" spans="2:21" x14ac:dyDescent="0.15">
      <c r="B2332" s="4"/>
      <c r="C2332" s="233"/>
      <c r="D2332" s="234"/>
      <c r="E2332" s="234"/>
      <c r="F2332" s="220">
        <f t="shared" si="1028"/>
        <v>0</v>
      </c>
      <c r="H2332" s="4"/>
      <c r="I2332" s="233"/>
      <c r="J2332" s="234"/>
      <c r="K2332" s="234"/>
      <c r="L2332" s="220">
        <f t="shared" si="1027"/>
        <v>0</v>
      </c>
      <c r="O2332" s="4"/>
      <c r="P2332" s="15"/>
      <c r="Q2332" s="14">
        <f t="shared" si="1024"/>
        <v>0</v>
      </c>
      <c r="R2332" s="186"/>
      <c r="S2332" s="4"/>
      <c r="T2332" s="15"/>
      <c r="U2332" s="14">
        <f t="shared" si="1026"/>
        <v>0</v>
      </c>
    </row>
    <row r="2333" spans="2:21" x14ac:dyDescent="0.15">
      <c r="B2333" s="4"/>
      <c r="C2333" s="233"/>
      <c r="D2333" s="234"/>
      <c r="E2333" s="234"/>
      <c r="F2333" s="220">
        <f t="shared" si="1028"/>
        <v>0</v>
      </c>
      <c r="H2333" s="4"/>
      <c r="I2333" s="233"/>
      <c r="J2333" s="234"/>
      <c r="K2333" s="234"/>
      <c r="L2333" s="220">
        <f t="shared" si="1027"/>
        <v>0</v>
      </c>
      <c r="O2333" s="4"/>
      <c r="P2333" s="15"/>
      <c r="Q2333" s="14">
        <f t="shared" si="1024"/>
        <v>0</v>
      </c>
      <c r="R2333" s="186"/>
      <c r="S2333" s="4"/>
      <c r="T2333" s="15"/>
      <c r="U2333" s="14">
        <f t="shared" si="1026"/>
        <v>0</v>
      </c>
    </row>
    <row r="2334" spans="2:21" x14ac:dyDescent="0.15">
      <c r="B2334" s="4"/>
      <c r="C2334" s="233"/>
      <c r="D2334" s="234"/>
      <c r="E2334" s="234"/>
      <c r="F2334" s="220">
        <f t="shared" si="1028"/>
        <v>0</v>
      </c>
      <c r="H2334" s="4"/>
      <c r="I2334" s="233"/>
      <c r="J2334" s="234"/>
      <c r="K2334" s="234"/>
      <c r="L2334" s="220">
        <f t="shared" si="1027"/>
        <v>0</v>
      </c>
      <c r="O2334" s="4"/>
      <c r="P2334" s="15"/>
      <c r="Q2334" s="14">
        <f t="shared" si="1024"/>
        <v>0</v>
      </c>
      <c r="R2334" s="186"/>
      <c r="S2334" s="4"/>
      <c r="T2334" s="15"/>
      <c r="U2334" s="14">
        <f t="shared" si="1026"/>
        <v>0</v>
      </c>
    </row>
    <row r="2335" spans="2:21" x14ac:dyDescent="0.15">
      <c r="B2335" s="4"/>
      <c r="C2335" s="233"/>
      <c r="D2335" s="234"/>
      <c r="E2335" s="234"/>
      <c r="F2335" s="220">
        <f t="shared" si="1028"/>
        <v>0</v>
      </c>
      <c r="H2335" s="4"/>
      <c r="I2335" s="233"/>
      <c r="J2335" s="234"/>
      <c r="K2335" s="234"/>
      <c r="L2335" s="220">
        <f t="shared" si="1027"/>
        <v>0</v>
      </c>
      <c r="O2335" s="4"/>
      <c r="P2335" s="15"/>
      <c r="Q2335" s="14">
        <f t="shared" si="1024"/>
        <v>0</v>
      </c>
      <c r="R2335" s="186"/>
      <c r="S2335" s="4"/>
      <c r="T2335" s="15"/>
      <c r="U2335" s="14">
        <f t="shared" si="1026"/>
        <v>0</v>
      </c>
    </row>
    <row r="2336" spans="2:21" x14ac:dyDescent="0.15">
      <c r="B2336" s="4"/>
      <c r="C2336" s="233"/>
      <c r="D2336" s="234"/>
      <c r="E2336" s="234"/>
      <c r="F2336" s="220">
        <f t="shared" si="1028"/>
        <v>0</v>
      </c>
      <c r="H2336" s="4"/>
      <c r="I2336" s="233"/>
      <c r="J2336" s="234"/>
      <c r="K2336" s="234"/>
      <c r="L2336" s="220">
        <f t="shared" si="1027"/>
        <v>0</v>
      </c>
      <c r="O2336" s="6"/>
      <c r="P2336" s="15"/>
      <c r="Q2336" s="14">
        <f t="shared" si="1024"/>
        <v>0</v>
      </c>
      <c r="R2336" s="186"/>
      <c r="S2336" s="6"/>
      <c r="T2336" s="15"/>
      <c r="U2336" s="14">
        <f t="shared" si="1026"/>
        <v>0</v>
      </c>
    </row>
    <row r="2337" spans="2:21" x14ac:dyDescent="0.15">
      <c r="B2337" s="4"/>
      <c r="C2337" s="233"/>
      <c r="D2337" s="234"/>
      <c r="E2337" s="234"/>
      <c r="F2337" s="220">
        <f t="shared" si="1028"/>
        <v>0</v>
      </c>
      <c r="H2337" s="4"/>
      <c r="I2337" s="233"/>
      <c r="J2337" s="234"/>
      <c r="K2337" s="234"/>
      <c r="L2337" s="220">
        <f t="shared" ref="L2337:L2342" si="1029">SUM(I2337:K2337)</f>
        <v>0</v>
      </c>
      <c r="O2337" s="6"/>
      <c r="P2337" s="15"/>
      <c r="Q2337" s="14">
        <f t="shared" si="1024"/>
        <v>0</v>
      </c>
      <c r="R2337" s="186"/>
      <c r="S2337" s="6"/>
      <c r="T2337" s="15"/>
      <c r="U2337" s="14">
        <f t="shared" si="1026"/>
        <v>0</v>
      </c>
    </row>
    <row r="2338" spans="2:21" x14ac:dyDescent="0.15">
      <c r="B2338" s="4"/>
      <c r="C2338" s="233"/>
      <c r="D2338" s="234"/>
      <c r="E2338" s="234"/>
      <c r="F2338" s="220">
        <f t="shared" si="1028"/>
        <v>0</v>
      </c>
      <c r="H2338" s="4"/>
      <c r="I2338" s="233"/>
      <c r="J2338" s="234"/>
      <c r="K2338" s="234"/>
      <c r="L2338" s="220">
        <f t="shared" si="1029"/>
        <v>0</v>
      </c>
      <c r="O2338" s="4"/>
      <c r="P2338" s="15"/>
      <c r="Q2338" s="14">
        <f t="shared" si="1024"/>
        <v>0</v>
      </c>
      <c r="R2338" s="186"/>
      <c r="S2338" s="4"/>
      <c r="T2338" s="15"/>
      <c r="U2338" s="14">
        <f t="shared" si="1026"/>
        <v>0</v>
      </c>
    </row>
    <row r="2339" spans="2:21" x14ac:dyDescent="0.15">
      <c r="B2339" s="4"/>
      <c r="C2339" s="233"/>
      <c r="D2339" s="234"/>
      <c r="E2339" s="234"/>
      <c r="F2339" s="220">
        <f t="shared" si="1028"/>
        <v>0</v>
      </c>
      <c r="H2339" s="4"/>
      <c r="I2339" s="233"/>
      <c r="J2339" s="234"/>
      <c r="K2339" s="234"/>
      <c r="L2339" s="220">
        <f t="shared" si="1029"/>
        <v>0</v>
      </c>
      <c r="O2339" s="4"/>
      <c r="P2339" s="15"/>
      <c r="Q2339" s="14">
        <f t="shared" si="1024"/>
        <v>0</v>
      </c>
      <c r="R2339" s="186"/>
      <c r="S2339" s="4"/>
      <c r="T2339" s="15"/>
      <c r="U2339" s="14">
        <f t="shared" si="1026"/>
        <v>0</v>
      </c>
    </row>
    <row r="2340" spans="2:21" x14ac:dyDescent="0.15">
      <c r="B2340" s="4"/>
      <c r="C2340" s="233"/>
      <c r="D2340" s="234"/>
      <c r="E2340" s="234"/>
      <c r="F2340" s="220">
        <f t="shared" si="1028"/>
        <v>0</v>
      </c>
      <c r="H2340" s="4"/>
      <c r="I2340" s="233"/>
      <c r="J2340" s="234"/>
      <c r="K2340" s="234"/>
      <c r="L2340" s="220">
        <f t="shared" si="1029"/>
        <v>0</v>
      </c>
      <c r="O2340" s="4"/>
      <c r="P2340" s="15"/>
      <c r="Q2340" s="14">
        <f t="shared" si="1024"/>
        <v>0</v>
      </c>
      <c r="R2340" s="186"/>
      <c r="S2340" s="4"/>
      <c r="T2340" s="15"/>
      <c r="U2340" s="14">
        <f t="shared" si="1026"/>
        <v>0</v>
      </c>
    </row>
    <row r="2341" spans="2:21" x14ac:dyDescent="0.15">
      <c r="B2341" s="4"/>
      <c r="C2341" s="233"/>
      <c r="D2341" s="234"/>
      <c r="E2341" s="234"/>
      <c r="F2341" s="220">
        <f t="shared" si="1028"/>
        <v>0</v>
      </c>
      <c r="H2341" s="4"/>
      <c r="I2341" s="233"/>
      <c r="J2341" s="234"/>
      <c r="K2341" s="234"/>
      <c r="L2341" s="220">
        <f t="shared" si="1029"/>
        <v>0</v>
      </c>
      <c r="O2341" s="6"/>
      <c r="P2341" s="15"/>
      <c r="Q2341" s="14">
        <f t="shared" si="1024"/>
        <v>0</v>
      </c>
      <c r="R2341" s="186"/>
      <c r="S2341" s="6"/>
      <c r="T2341" s="15"/>
      <c r="U2341" s="14">
        <f t="shared" si="1026"/>
        <v>0</v>
      </c>
    </row>
    <row r="2342" spans="2:21" x14ac:dyDescent="0.15">
      <c r="B2342" s="4"/>
      <c r="C2342" s="233"/>
      <c r="D2342" s="234"/>
      <c r="E2342" s="234"/>
      <c r="F2342" s="220">
        <f t="shared" si="1028"/>
        <v>0</v>
      </c>
      <c r="H2342" s="4"/>
      <c r="I2342" s="233"/>
      <c r="J2342" s="234"/>
      <c r="K2342" s="234"/>
      <c r="L2342" s="220">
        <f t="shared" si="1029"/>
        <v>0</v>
      </c>
      <c r="O2342" s="4"/>
      <c r="P2342" s="15"/>
      <c r="Q2342" s="14">
        <f t="shared" si="1024"/>
        <v>0</v>
      </c>
      <c r="R2342" s="186"/>
      <c r="S2342" s="4"/>
      <c r="T2342" s="15"/>
      <c r="U2342" s="14">
        <f t="shared" si="1026"/>
        <v>0</v>
      </c>
    </row>
    <row r="2343" spans="2:21" x14ac:dyDescent="0.15">
      <c r="B2343" s="4"/>
      <c r="C2343" s="233"/>
      <c r="D2343" s="234"/>
      <c r="E2343" s="234"/>
      <c r="F2343" s="220">
        <f t="shared" si="1028"/>
        <v>0</v>
      </c>
      <c r="H2343" s="246" t="s">
        <v>1121</v>
      </c>
      <c r="I2343" s="285">
        <v>-300</v>
      </c>
      <c r="J2343" s="287"/>
      <c r="K2343" s="287"/>
      <c r="L2343" s="257">
        <f t="shared" si="1027"/>
        <v>-300</v>
      </c>
      <c r="M2343" s="210"/>
      <c r="O2343" s="6"/>
      <c r="P2343" s="15"/>
      <c r="Q2343" s="14">
        <f t="shared" si="1024"/>
        <v>0</v>
      </c>
      <c r="R2343" s="186"/>
      <c r="S2343" s="6"/>
      <c r="T2343" s="15"/>
      <c r="U2343" s="14">
        <f t="shared" si="1026"/>
        <v>0</v>
      </c>
    </row>
    <row r="2344" spans="2:21" x14ac:dyDescent="0.15">
      <c r="B2344" s="4"/>
      <c r="C2344" s="233"/>
      <c r="D2344" s="234"/>
      <c r="E2344" s="234"/>
      <c r="F2344" s="220">
        <f t="shared" si="1028"/>
        <v>0</v>
      </c>
      <c r="H2344" s="171" t="s">
        <v>1118</v>
      </c>
      <c r="I2344" s="282">
        <v>1000</v>
      </c>
      <c r="J2344" s="283"/>
      <c r="K2344" s="283"/>
      <c r="L2344" s="222">
        <f t="shared" si="1027"/>
        <v>1000</v>
      </c>
      <c r="M2344" s="210" t="s">
        <v>1380</v>
      </c>
      <c r="O2344" s="4"/>
      <c r="P2344" s="15"/>
      <c r="Q2344" s="14">
        <f t="shared" si="1024"/>
        <v>0</v>
      </c>
      <c r="R2344" s="186"/>
      <c r="S2344" s="4"/>
      <c r="T2344" s="15"/>
      <c r="U2344" s="14">
        <f t="shared" si="1026"/>
        <v>0</v>
      </c>
    </row>
    <row r="2345" spans="2:21" x14ac:dyDescent="0.15">
      <c r="B2345" s="4"/>
      <c r="C2345" s="233"/>
      <c r="D2345" s="234"/>
      <c r="E2345" s="234"/>
      <c r="F2345" s="220">
        <f t="shared" si="1028"/>
        <v>0</v>
      </c>
      <c r="H2345" s="246" t="s">
        <v>1381</v>
      </c>
      <c r="I2345" s="285">
        <v>-300</v>
      </c>
      <c r="J2345" s="287"/>
      <c r="K2345" s="287"/>
      <c r="L2345" s="257">
        <f t="shared" si="1027"/>
        <v>-300</v>
      </c>
      <c r="M2345" s="210"/>
      <c r="O2345" s="4"/>
      <c r="P2345" s="15"/>
      <c r="Q2345" s="14">
        <f t="shared" si="1024"/>
        <v>0</v>
      </c>
      <c r="R2345" s="186"/>
      <c r="S2345" s="4"/>
      <c r="T2345" s="15"/>
      <c r="U2345" s="14">
        <f t="shared" ref="U2345:U2348" si="1030">SUM(T2345:T2345)</f>
        <v>0</v>
      </c>
    </row>
    <row r="2346" spans="2:21" x14ac:dyDescent="0.15">
      <c r="B2346" s="4"/>
      <c r="C2346" s="233"/>
      <c r="D2346" s="234"/>
      <c r="E2346" s="234"/>
      <c r="F2346" s="220">
        <f t="shared" si="1028"/>
        <v>0</v>
      </c>
      <c r="H2346" s="171" t="s">
        <v>770</v>
      </c>
      <c r="I2346" s="282">
        <v>1000</v>
      </c>
      <c r="J2346" s="283"/>
      <c r="K2346" s="283"/>
      <c r="L2346" s="222">
        <f t="shared" si="1027"/>
        <v>1000</v>
      </c>
      <c r="M2346" s="210" t="s">
        <v>1382</v>
      </c>
      <c r="O2346" s="4"/>
      <c r="P2346" s="15"/>
      <c r="Q2346" s="14">
        <f t="shared" si="1024"/>
        <v>0</v>
      </c>
      <c r="R2346" s="186"/>
      <c r="S2346" s="4"/>
      <c r="T2346" s="15"/>
      <c r="U2346" s="14">
        <f t="shared" si="1030"/>
        <v>0</v>
      </c>
    </row>
    <row r="2347" spans="2:21" x14ac:dyDescent="0.15">
      <c r="B2347" s="4"/>
      <c r="C2347" s="233"/>
      <c r="D2347" s="234"/>
      <c r="E2347" s="234"/>
      <c r="F2347" s="220">
        <f t="shared" si="1028"/>
        <v>0</v>
      </c>
      <c r="H2347" s="246" t="s">
        <v>1053</v>
      </c>
      <c r="I2347" s="285">
        <v>-300</v>
      </c>
      <c r="J2347" s="287"/>
      <c r="K2347" s="287"/>
      <c r="L2347" s="257">
        <f t="shared" si="1027"/>
        <v>-300</v>
      </c>
      <c r="M2347" s="210"/>
      <c r="O2347" s="6"/>
      <c r="P2347" s="15"/>
      <c r="Q2347" s="14">
        <f t="shared" si="1024"/>
        <v>0</v>
      </c>
      <c r="R2347" s="186"/>
      <c r="S2347" s="4"/>
      <c r="T2347" s="15"/>
      <c r="U2347" s="14">
        <f t="shared" si="1030"/>
        <v>0</v>
      </c>
    </row>
    <row r="2348" spans="2:21" ht="14.25" thickBot="1" x14ac:dyDescent="0.2">
      <c r="B2348" s="4"/>
      <c r="C2348" s="233"/>
      <c r="D2348" s="234"/>
      <c r="E2348" s="234"/>
      <c r="F2348" s="220">
        <f t="shared" si="1028"/>
        <v>0</v>
      </c>
      <c r="H2348" s="171" t="s">
        <v>771</v>
      </c>
      <c r="I2348" s="282">
        <v>1000</v>
      </c>
      <c r="J2348" s="283"/>
      <c r="K2348" s="283"/>
      <c r="L2348" s="222">
        <f t="shared" si="1027"/>
        <v>1000</v>
      </c>
      <c r="M2348" s="210" t="s">
        <v>1383</v>
      </c>
      <c r="O2348" s="6"/>
      <c r="P2348" s="15"/>
      <c r="Q2348" s="14">
        <f t="shared" si="1024"/>
        <v>0</v>
      </c>
      <c r="R2348" s="186"/>
      <c r="S2348" s="4"/>
      <c r="T2348" s="15"/>
      <c r="U2348" s="14">
        <f t="shared" si="1030"/>
        <v>0</v>
      </c>
    </row>
    <row r="2349" spans="2:21" ht="14.25" thickBot="1" x14ac:dyDescent="0.2">
      <c r="B2349" s="3" t="s">
        <v>5</v>
      </c>
      <c r="C2349" s="16">
        <f>SUM(C2325:C2348)</f>
        <v>2</v>
      </c>
      <c r="D2349" s="16">
        <f>SUM(D2325:D2348)</f>
        <v>0</v>
      </c>
      <c r="E2349" s="16">
        <f>SUM(E2325:E2348)</f>
        <v>0</v>
      </c>
      <c r="F2349" s="223">
        <f>SUM(F2325:F2348)</f>
        <v>2</v>
      </c>
      <c r="H2349" s="3" t="s">
        <v>5</v>
      </c>
      <c r="I2349" s="16">
        <f>SUM(I2325:I2348)</f>
        <v>2100</v>
      </c>
      <c r="J2349" s="16">
        <f t="shared" ref="J2349:K2349" si="1031">SUM(J2325:J2348)</f>
        <v>0</v>
      </c>
      <c r="K2349" s="16">
        <f t="shared" si="1031"/>
        <v>0</v>
      </c>
      <c r="L2349" s="223">
        <f>SUM(L2325:L2348)</f>
        <v>2100</v>
      </c>
      <c r="O2349" s="3" t="s">
        <v>5</v>
      </c>
      <c r="P2349" s="16">
        <f>SUM(P2325:P2348)</f>
        <v>0</v>
      </c>
      <c r="Q2349" s="17">
        <f>SUM(Q2325:Q2348)</f>
        <v>0</v>
      </c>
      <c r="S2349" s="3" t="s">
        <v>5</v>
      </c>
      <c r="T2349" s="16">
        <f>SUM(T2325:T2348)</f>
        <v>0</v>
      </c>
      <c r="U2349" s="17">
        <f>SUM(U2325:U2348)</f>
        <v>0</v>
      </c>
    </row>
    <row r="2350" spans="2:21" ht="14.25" thickBot="1" x14ac:dyDescent="0.2">
      <c r="B2350" s="18" t="s">
        <v>6</v>
      </c>
      <c r="C2350" s="19">
        <f>C2324-C2349</f>
        <v>159</v>
      </c>
      <c r="D2350" s="19">
        <f>D2324-D2349</f>
        <v>39</v>
      </c>
      <c r="E2350" s="19">
        <f t="shared" ref="E2350" si="1032">E2324-E2349</f>
        <v>76</v>
      </c>
      <c r="F2350" s="221">
        <f>F2324-F2349</f>
        <v>274</v>
      </c>
      <c r="H2350" s="18" t="s">
        <v>6</v>
      </c>
      <c r="I2350" s="19">
        <f>I2324-I2349</f>
        <v>1576</v>
      </c>
      <c r="J2350" s="19">
        <f t="shared" ref="J2350:K2350" si="1033">J2324-J2349</f>
        <v>1322</v>
      </c>
      <c r="K2350" s="19">
        <f t="shared" si="1033"/>
        <v>1615</v>
      </c>
      <c r="L2350" s="221">
        <f>L2324-L2349</f>
        <v>4624</v>
      </c>
      <c r="M2350" s="284" t="s">
        <v>1366</v>
      </c>
      <c r="O2350" s="18" t="s">
        <v>6</v>
      </c>
      <c r="P2350" s="19">
        <f>P2324-P2349</f>
        <v>0</v>
      </c>
      <c r="Q2350" s="13">
        <f>Q2324-Q2349</f>
        <v>0</v>
      </c>
      <c r="S2350" s="18" t="s">
        <v>6</v>
      </c>
      <c r="T2350" s="19">
        <f>T2324-T2349</f>
        <v>1233</v>
      </c>
      <c r="U2350" s="13">
        <f>U2324-U2349</f>
        <v>1233</v>
      </c>
    </row>
  </sheetData>
  <mergeCells count="1">
    <mergeCell ref="B1512:U1512"/>
  </mergeCells>
  <phoneticPr fontId="39"/>
  <pageMargins left="0.7" right="0.7" top="0.75" bottom="0.75" header="0.3" footer="0.3"/>
  <pageSetup paperSize="9" orientation="portrait" r:id="rId1"/>
  <ignoredErrors>
    <ignoredError sqref="U58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ブラックオンリー従来品</vt:lpstr>
      <vt:lpstr>スーッと爽快アームカバー3色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聡祐 松島</cp:lastModifiedBy>
  <dcterms:created xsi:type="dcterms:W3CDTF">2011-12-05T08:48:37Z</dcterms:created>
  <dcterms:modified xsi:type="dcterms:W3CDTF">2026-07-15T05:19:59Z</dcterms:modified>
</cp:coreProperties>
</file>